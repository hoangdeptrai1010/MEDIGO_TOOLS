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EDIGO\KPI_UPDATE\thang8\"/>
    </mc:Choice>
  </mc:AlternateContent>
  <xr:revisionPtr revIDLastSave="0" documentId="8_{34A01441-4409-4C96-B848-63EDD9835A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46" i="11" l="1"/>
  <c r="H1746" i="11"/>
  <c r="G1746" i="11"/>
  <c r="I1745" i="11"/>
  <c r="H1745" i="11"/>
  <c r="G1745" i="11"/>
  <c r="I1744" i="11"/>
  <c r="H1744" i="11"/>
  <c r="G1744" i="11"/>
  <c r="I1743" i="11"/>
  <c r="H1743" i="11"/>
  <c r="G1743" i="11"/>
  <c r="I1742" i="11"/>
  <c r="H1742" i="11"/>
  <c r="G1742" i="11"/>
  <c r="I1741" i="11"/>
  <c r="H1741" i="11"/>
  <c r="G1741" i="11"/>
  <c r="I1740" i="11"/>
  <c r="H1740" i="11"/>
  <c r="G1740" i="11"/>
  <c r="I1739" i="11"/>
  <c r="H1739" i="11"/>
  <c r="G1739" i="11"/>
  <c r="I1738" i="11"/>
  <c r="H1738" i="11"/>
  <c r="G1738" i="11"/>
  <c r="I1737" i="11"/>
  <c r="H1737" i="11"/>
  <c r="G1737" i="11"/>
  <c r="I1736" i="11"/>
  <c r="H1736" i="11"/>
  <c r="G1736" i="11"/>
  <c r="I1735" i="11"/>
  <c r="H1735" i="11"/>
  <c r="G1735" i="11"/>
  <c r="I1734" i="11"/>
  <c r="H1734" i="11"/>
  <c r="G1734" i="11"/>
  <c r="I1733" i="11"/>
  <c r="H1733" i="11"/>
  <c r="G1733" i="11"/>
  <c r="I1732" i="11"/>
  <c r="H1732" i="11"/>
  <c r="G1732" i="11"/>
  <c r="I1731" i="11"/>
  <c r="H1731" i="11"/>
  <c r="G1731" i="11"/>
  <c r="I1730" i="11"/>
  <c r="H1730" i="11"/>
  <c r="G1730" i="11"/>
  <c r="I1729" i="11"/>
  <c r="H1729" i="11"/>
  <c r="G1729" i="11"/>
  <c r="I1728" i="11"/>
  <c r="H1728" i="11"/>
  <c r="G1728" i="11"/>
  <c r="I1727" i="11"/>
  <c r="H1727" i="11"/>
  <c r="G1727" i="11"/>
  <c r="I1726" i="11"/>
  <c r="H1726" i="11"/>
  <c r="G1726" i="11"/>
  <c r="I1725" i="11"/>
  <c r="H1725" i="11"/>
  <c r="G1725" i="11"/>
  <c r="I1724" i="11"/>
  <c r="H1724" i="11"/>
  <c r="G1724" i="11"/>
  <c r="I1723" i="11"/>
  <c r="H1723" i="11"/>
  <c r="G1723" i="11"/>
  <c r="I1722" i="11"/>
  <c r="H1722" i="11"/>
  <c r="G1722" i="11"/>
  <c r="I1721" i="11"/>
  <c r="H1721" i="11"/>
  <c r="G1721" i="11"/>
  <c r="I1720" i="11"/>
  <c r="H1720" i="11"/>
  <c r="G1720" i="11"/>
  <c r="I1719" i="11"/>
  <c r="H1719" i="11"/>
  <c r="G1719" i="11"/>
  <c r="I1718" i="11"/>
  <c r="H1718" i="11"/>
  <c r="G1718" i="11"/>
  <c r="I1717" i="11"/>
  <c r="H1717" i="11"/>
  <c r="G1717" i="11"/>
  <c r="I1716" i="11"/>
  <c r="H1716" i="11"/>
  <c r="G1716" i="11"/>
  <c r="I1715" i="11"/>
  <c r="H1715" i="11"/>
  <c r="G1715" i="11"/>
  <c r="I1714" i="11"/>
  <c r="H1714" i="11"/>
  <c r="G1714" i="11"/>
  <c r="I1713" i="11"/>
  <c r="H1713" i="11"/>
  <c r="G1713" i="11"/>
  <c r="I1712" i="11"/>
  <c r="H1712" i="11"/>
  <c r="G1712" i="11"/>
  <c r="I1711" i="11"/>
  <c r="H1711" i="11"/>
  <c r="G1711" i="11"/>
  <c r="I1710" i="11"/>
  <c r="H1710" i="11"/>
  <c r="G1710" i="11"/>
  <c r="I1709" i="11"/>
  <c r="H1709" i="11"/>
  <c r="G1709" i="11"/>
  <c r="I1708" i="11"/>
  <c r="H1708" i="11"/>
  <c r="G1708" i="11"/>
  <c r="I1707" i="11"/>
  <c r="H1707" i="11"/>
  <c r="G1707" i="11"/>
  <c r="I1706" i="11"/>
  <c r="H1706" i="11"/>
  <c r="G1706" i="11"/>
  <c r="I1705" i="11"/>
  <c r="H1705" i="11"/>
  <c r="G1705" i="11"/>
  <c r="I1704" i="11"/>
  <c r="H1704" i="11"/>
  <c r="G1704" i="11"/>
  <c r="I1703" i="11"/>
  <c r="H1703" i="11"/>
  <c r="G1703" i="11"/>
  <c r="I1702" i="11"/>
  <c r="H1702" i="11"/>
  <c r="G1702" i="11"/>
  <c r="I1701" i="11"/>
  <c r="H1701" i="11"/>
  <c r="G1701" i="11"/>
  <c r="I1700" i="11"/>
  <c r="H1700" i="11"/>
  <c r="G1700" i="11"/>
  <c r="I1699" i="11"/>
  <c r="H1699" i="11"/>
  <c r="G1699" i="11"/>
  <c r="I1698" i="11"/>
  <c r="H1698" i="11"/>
  <c r="G1698" i="11"/>
  <c r="I1697" i="11"/>
  <c r="H1697" i="11"/>
  <c r="G1697" i="11"/>
  <c r="I1696" i="11"/>
  <c r="H1696" i="11"/>
  <c r="G1696" i="11"/>
  <c r="I1695" i="11"/>
  <c r="H1695" i="11"/>
  <c r="G1695" i="11"/>
  <c r="I1694" i="11"/>
  <c r="H1694" i="11"/>
  <c r="G1694" i="11"/>
  <c r="I1693" i="11"/>
  <c r="H1693" i="11"/>
  <c r="G1693" i="11"/>
  <c r="I1692" i="11"/>
  <c r="H1692" i="11"/>
  <c r="G1692" i="11"/>
  <c r="I1691" i="11"/>
  <c r="H1691" i="11"/>
  <c r="G1691" i="11"/>
  <c r="I1690" i="11"/>
  <c r="H1690" i="11"/>
  <c r="G1690" i="11"/>
  <c r="I1689" i="11"/>
  <c r="H1689" i="11"/>
  <c r="G1689" i="11"/>
  <c r="I1688" i="11"/>
  <c r="H1688" i="11"/>
  <c r="G1688" i="11"/>
  <c r="I1687" i="11"/>
  <c r="H1687" i="11"/>
  <c r="G1687" i="11"/>
  <c r="I1686" i="11"/>
  <c r="H1686" i="11"/>
  <c r="G1686" i="11"/>
  <c r="I1685" i="11"/>
  <c r="H1685" i="11"/>
  <c r="G1685" i="11"/>
  <c r="I1684" i="11"/>
  <c r="H1684" i="11"/>
  <c r="G1684" i="11"/>
  <c r="I1683" i="11"/>
  <c r="H1683" i="11"/>
  <c r="G1683" i="11"/>
  <c r="I1682" i="11"/>
  <c r="H1682" i="11"/>
  <c r="G1682" i="11"/>
  <c r="I1681" i="11"/>
  <c r="H1681" i="11"/>
  <c r="G1681" i="11"/>
  <c r="I1680" i="11"/>
  <c r="H1680" i="11"/>
  <c r="G1680" i="11"/>
  <c r="I1679" i="11"/>
  <c r="H1679" i="11"/>
  <c r="G1679" i="11"/>
  <c r="I1678" i="11"/>
  <c r="H1678" i="11"/>
  <c r="G1678" i="11"/>
  <c r="I1677" i="11"/>
  <c r="H1677" i="11"/>
  <c r="G1677" i="11"/>
  <c r="I1676" i="11"/>
  <c r="H1676" i="11"/>
  <c r="G1676" i="11"/>
  <c r="I1675" i="11"/>
  <c r="H1675" i="11"/>
  <c r="G1675" i="11"/>
  <c r="I1674" i="11"/>
  <c r="H1674" i="11"/>
  <c r="G1674" i="11"/>
  <c r="I1673" i="11"/>
  <c r="H1673" i="11"/>
  <c r="G1673" i="11"/>
  <c r="I1672" i="11"/>
  <c r="H1672" i="11"/>
  <c r="G1672" i="11"/>
  <c r="I1671" i="11"/>
  <c r="H1671" i="11"/>
  <c r="G1671" i="11"/>
  <c r="I1670" i="11"/>
  <c r="H1670" i="11"/>
  <c r="G1670" i="11"/>
  <c r="I1669" i="11"/>
  <c r="H1669" i="11"/>
  <c r="G1669" i="11"/>
  <c r="I1668" i="11"/>
  <c r="H1668" i="11"/>
  <c r="G1668" i="11"/>
  <c r="I1667" i="11"/>
  <c r="H1667" i="11"/>
  <c r="G1667" i="11"/>
  <c r="I1666" i="11"/>
  <c r="H1666" i="11"/>
  <c r="G1666" i="11"/>
  <c r="I1665" i="11"/>
  <c r="H1665" i="11"/>
  <c r="G1665" i="11"/>
  <c r="I1664" i="11"/>
  <c r="H1664" i="11"/>
  <c r="G1664" i="11"/>
  <c r="I1663" i="11"/>
  <c r="H1663" i="11"/>
  <c r="M71" i="11" s="1"/>
  <c r="G1663" i="11"/>
  <c r="I1662" i="11"/>
  <c r="H1662" i="11"/>
  <c r="G1662" i="11"/>
  <c r="I1661" i="11"/>
  <c r="H1661" i="11"/>
  <c r="G1661" i="11"/>
  <c r="I1660" i="11"/>
  <c r="H1660" i="11"/>
  <c r="G1660" i="11"/>
  <c r="I1659" i="11"/>
  <c r="H1659" i="11"/>
  <c r="G1659" i="11"/>
  <c r="I1658" i="11"/>
  <c r="H1658" i="11"/>
  <c r="G1658" i="11"/>
  <c r="I1657" i="11"/>
  <c r="H1657" i="11"/>
  <c r="G1657" i="11"/>
  <c r="I1656" i="11"/>
  <c r="H1656" i="11"/>
  <c r="G1656" i="11"/>
  <c r="I1655" i="11"/>
  <c r="H1655" i="11"/>
  <c r="G1655" i="11"/>
  <c r="I1654" i="11"/>
  <c r="H1654" i="11"/>
  <c r="G1654" i="11"/>
  <c r="I1653" i="11"/>
  <c r="H1653" i="11"/>
  <c r="G1653" i="11"/>
  <c r="I1652" i="11"/>
  <c r="H1652" i="11"/>
  <c r="G1652" i="11"/>
  <c r="I1651" i="11"/>
  <c r="H1651" i="11"/>
  <c r="G1651" i="11"/>
  <c r="I1650" i="11"/>
  <c r="H1650" i="11"/>
  <c r="G1650" i="11"/>
  <c r="I1649" i="11"/>
  <c r="H1649" i="11"/>
  <c r="G1649" i="11"/>
  <c r="I1648" i="11"/>
  <c r="H1648" i="11"/>
  <c r="G1648" i="11"/>
  <c r="I1647" i="11"/>
  <c r="H1647" i="11"/>
  <c r="G1647" i="11"/>
  <c r="I1646" i="11"/>
  <c r="H1646" i="11"/>
  <c r="G1646" i="11"/>
  <c r="I1645" i="11"/>
  <c r="H1645" i="11"/>
  <c r="G1645" i="11"/>
  <c r="I1644" i="11"/>
  <c r="H1644" i="11"/>
  <c r="G1644" i="11"/>
  <c r="I1643" i="11"/>
  <c r="H1643" i="11"/>
  <c r="G1643" i="11"/>
  <c r="I1642" i="11"/>
  <c r="H1642" i="11"/>
  <c r="G1642" i="11"/>
  <c r="I1641" i="11"/>
  <c r="H1641" i="11"/>
  <c r="G1641" i="11"/>
  <c r="I1640" i="11"/>
  <c r="H1640" i="11"/>
  <c r="G1640" i="11"/>
  <c r="I1639" i="11"/>
  <c r="H1639" i="11"/>
  <c r="G1639" i="11"/>
  <c r="I1638" i="11"/>
  <c r="H1638" i="11"/>
  <c r="G1638" i="11"/>
  <c r="I1637" i="11"/>
  <c r="H1637" i="11"/>
  <c r="G1637" i="11"/>
  <c r="I1636" i="11"/>
  <c r="H1636" i="11"/>
  <c r="G1636" i="11"/>
  <c r="I1635" i="11"/>
  <c r="H1635" i="11"/>
  <c r="G1635" i="11"/>
  <c r="I1634" i="11"/>
  <c r="H1634" i="11"/>
  <c r="G1634" i="11"/>
  <c r="I1633" i="11"/>
  <c r="H1633" i="11"/>
  <c r="G1633" i="11"/>
  <c r="I1632" i="11"/>
  <c r="H1632" i="11"/>
  <c r="G1632" i="11"/>
  <c r="I1631" i="11"/>
  <c r="H1631" i="11"/>
  <c r="G1631" i="11"/>
  <c r="I1630" i="11"/>
  <c r="H1630" i="11"/>
  <c r="G1630" i="11"/>
  <c r="I1629" i="11"/>
  <c r="H1629" i="11"/>
  <c r="G1629" i="11"/>
  <c r="I1628" i="11"/>
  <c r="H1628" i="11"/>
  <c r="G1628" i="11"/>
  <c r="I1627" i="11"/>
  <c r="H1627" i="11"/>
  <c r="G1627" i="11"/>
  <c r="I1626" i="11"/>
  <c r="H1626" i="11"/>
  <c r="G1626" i="11"/>
  <c r="I1625" i="11"/>
  <c r="H1625" i="11"/>
  <c r="G1625" i="11"/>
  <c r="I1624" i="11"/>
  <c r="H1624" i="11"/>
  <c r="G1624" i="11"/>
  <c r="I1623" i="11"/>
  <c r="H1623" i="11"/>
  <c r="G1623" i="11"/>
  <c r="I1622" i="11"/>
  <c r="H1622" i="11"/>
  <c r="G1622" i="11"/>
  <c r="I1621" i="11"/>
  <c r="H1621" i="11"/>
  <c r="G1621" i="11"/>
  <c r="I1620" i="11"/>
  <c r="H1620" i="11"/>
  <c r="G1620" i="11"/>
  <c r="I1619" i="11"/>
  <c r="H1619" i="11"/>
  <c r="G1619" i="11"/>
  <c r="I1618" i="11"/>
  <c r="H1618" i="11"/>
  <c r="G1618" i="11"/>
  <c r="I1617" i="11"/>
  <c r="H1617" i="11"/>
  <c r="G1617" i="11"/>
  <c r="I1616" i="11"/>
  <c r="H1616" i="11"/>
  <c r="G1616" i="11"/>
  <c r="I1615" i="11"/>
  <c r="H1615" i="11"/>
  <c r="G1615" i="11"/>
  <c r="I1614" i="11"/>
  <c r="H1614" i="11"/>
  <c r="G1614" i="11"/>
  <c r="I1613" i="11"/>
  <c r="H1613" i="11"/>
  <c r="G1613" i="11"/>
  <c r="I1612" i="11"/>
  <c r="H1612" i="11"/>
  <c r="G1612" i="11"/>
  <c r="I1611" i="11"/>
  <c r="H1611" i="11"/>
  <c r="G1611" i="11"/>
  <c r="I1610" i="11"/>
  <c r="H1610" i="11"/>
  <c r="G1610" i="11"/>
  <c r="I1609" i="11"/>
  <c r="H1609" i="11"/>
  <c r="G1609" i="11"/>
  <c r="I1608" i="11"/>
  <c r="H1608" i="11"/>
  <c r="G1608" i="11"/>
  <c r="I1607" i="11"/>
  <c r="H1607" i="11"/>
  <c r="G1607" i="11"/>
  <c r="I1606" i="11"/>
  <c r="H1606" i="11"/>
  <c r="G1606" i="11"/>
  <c r="I1605" i="11"/>
  <c r="H1605" i="11"/>
  <c r="G1605" i="11"/>
  <c r="I1604" i="11"/>
  <c r="H1604" i="11"/>
  <c r="G1604" i="11"/>
  <c r="I1603" i="11"/>
  <c r="H1603" i="11"/>
  <c r="G1603" i="11"/>
  <c r="I1602" i="11"/>
  <c r="H1602" i="11"/>
  <c r="G1602" i="11"/>
  <c r="I1601" i="11"/>
  <c r="H1601" i="11"/>
  <c r="G1601" i="11"/>
  <c r="I1600" i="11"/>
  <c r="H1600" i="11"/>
  <c r="G1600" i="11"/>
  <c r="I1599" i="11"/>
  <c r="H1599" i="11"/>
  <c r="G1599" i="11"/>
  <c r="I1598" i="11"/>
  <c r="H1598" i="11"/>
  <c r="G1598" i="11"/>
  <c r="I1597" i="11"/>
  <c r="H1597" i="11"/>
  <c r="G1597" i="11"/>
  <c r="I1596" i="11"/>
  <c r="H1596" i="11"/>
  <c r="G1596" i="11"/>
  <c r="I1595" i="11"/>
  <c r="H1595" i="11"/>
  <c r="G1595" i="11"/>
  <c r="I1594" i="11"/>
  <c r="H1594" i="11"/>
  <c r="G1594" i="11"/>
  <c r="I1593" i="11"/>
  <c r="H1593" i="11"/>
  <c r="G1593" i="11"/>
  <c r="I1592" i="11"/>
  <c r="H1592" i="11"/>
  <c r="G1592" i="11"/>
  <c r="I1591" i="11"/>
  <c r="H1591" i="11"/>
  <c r="G1591" i="11"/>
  <c r="I1590" i="11"/>
  <c r="H1590" i="11"/>
  <c r="G1590" i="11"/>
  <c r="I1589" i="11"/>
  <c r="H1589" i="11"/>
  <c r="G1589" i="11"/>
  <c r="I1588" i="11"/>
  <c r="H1588" i="11"/>
  <c r="G1588" i="11"/>
  <c r="I1587" i="11"/>
  <c r="H1587" i="11"/>
  <c r="G1587" i="11"/>
  <c r="I1586" i="11"/>
  <c r="H1586" i="11"/>
  <c r="G1586" i="11"/>
  <c r="I1585" i="11"/>
  <c r="H1585" i="11"/>
  <c r="G1585" i="11"/>
  <c r="I1584" i="11"/>
  <c r="H1584" i="11"/>
  <c r="G1584" i="11"/>
  <c r="I1583" i="11"/>
  <c r="H1583" i="11"/>
  <c r="G1583" i="11"/>
  <c r="I1582" i="11"/>
  <c r="H1582" i="11"/>
  <c r="G1582" i="11"/>
  <c r="I1581" i="11"/>
  <c r="H1581" i="11"/>
  <c r="G1581" i="11"/>
  <c r="I1580" i="11"/>
  <c r="H1580" i="11"/>
  <c r="G1580" i="11"/>
  <c r="I1579" i="11"/>
  <c r="H1579" i="11"/>
  <c r="G1579" i="11"/>
  <c r="I1578" i="11"/>
  <c r="H1578" i="11"/>
  <c r="G1578" i="11"/>
  <c r="I1577" i="11"/>
  <c r="H1577" i="11"/>
  <c r="G1577" i="11"/>
  <c r="I1576" i="11"/>
  <c r="H1576" i="11"/>
  <c r="G1576" i="11"/>
  <c r="I1575" i="11"/>
  <c r="H1575" i="11"/>
  <c r="G1575" i="11"/>
  <c r="I1574" i="11"/>
  <c r="H1574" i="11"/>
  <c r="G1574" i="11"/>
  <c r="I1573" i="11"/>
  <c r="H1573" i="11"/>
  <c r="G1573" i="11"/>
  <c r="I1572" i="11"/>
  <c r="H1572" i="11"/>
  <c r="G1572" i="11"/>
  <c r="I1571" i="11"/>
  <c r="H1571" i="11"/>
  <c r="G1571" i="11"/>
  <c r="I1570" i="11"/>
  <c r="H1570" i="11"/>
  <c r="G1570" i="11"/>
  <c r="I1569" i="11"/>
  <c r="H1569" i="11"/>
  <c r="G1569" i="11"/>
  <c r="I1568" i="11"/>
  <c r="H1568" i="11"/>
  <c r="G1568" i="11"/>
  <c r="I1567" i="11"/>
  <c r="H1567" i="11"/>
  <c r="G1567" i="11"/>
  <c r="I1566" i="11"/>
  <c r="H1566" i="11"/>
  <c r="G1566" i="11"/>
  <c r="I1565" i="11"/>
  <c r="H1565" i="11"/>
  <c r="G1565" i="11"/>
  <c r="I1564" i="11"/>
  <c r="H1564" i="11"/>
  <c r="G1564" i="11"/>
  <c r="I1563" i="11"/>
  <c r="H1563" i="11"/>
  <c r="G1563" i="11"/>
  <c r="I1562" i="11"/>
  <c r="H1562" i="11"/>
  <c r="G1562" i="11"/>
  <c r="I1561" i="11"/>
  <c r="H1561" i="11"/>
  <c r="G1561" i="11"/>
  <c r="I1560" i="11"/>
  <c r="H1560" i="11"/>
  <c r="G1560" i="11"/>
  <c r="I1559" i="11"/>
  <c r="H1559" i="11"/>
  <c r="G1559" i="11"/>
  <c r="I1558" i="11"/>
  <c r="H1558" i="11"/>
  <c r="G1558" i="11"/>
  <c r="I1557" i="11"/>
  <c r="H1557" i="11"/>
  <c r="G1557" i="11"/>
  <c r="I1556" i="11"/>
  <c r="H1556" i="11"/>
  <c r="G1556" i="11"/>
  <c r="I1555" i="11"/>
  <c r="H1555" i="11"/>
  <c r="G1555" i="11"/>
  <c r="I1554" i="11"/>
  <c r="H1554" i="11"/>
  <c r="G1554" i="11"/>
  <c r="I1553" i="11"/>
  <c r="H1553" i="11"/>
  <c r="G1553" i="11"/>
  <c r="I1552" i="11"/>
  <c r="H1552" i="11"/>
  <c r="G1552" i="11"/>
  <c r="I1551" i="11"/>
  <c r="H1551" i="11"/>
  <c r="G1551" i="11"/>
  <c r="I1550" i="11"/>
  <c r="H1550" i="11"/>
  <c r="G1550" i="11"/>
  <c r="I1549" i="11"/>
  <c r="H1549" i="11"/>
  <c r="G1549" i="11"/>
  <c r="I1548" i="11"/>
  <c r="H1548" i="11"/>
  <c r="G1548" i="11"/>
  <c r="I1547" i="11"/>
  <c r="H1547" i="11"/>
  <c r="G1547" i="11"/>
  <c r="I1546" i="11"/>
  <c r="H1546" i="11"/>
  <c r="G1546" i="11"/>
  <c r="I1545" i="11"/>
  <c r="H1545" i="11"/>
  <c r="G1545" i="11"/>
  <c r="I1544" i="11"/>
  <c r="H1544" i="11"/>
  <c r="G1544" i="11"/>
  <c r="I1543" i="11"/>
  <c r="H1543" i="11"/>
  <c r="G1543" i="11"/>
  <c r="I1542" i="11"/>
  <c r="H1542" i="11"/>
  <c r="G1542" i="11"/>
  <c r="I1541" i="11"/>
  <c r="H1541" i="11"/>
  <c r="G1541" i="11"/>
  <c r="I1540" i="11"/>
  <c r="H1540" i="11"/>
  <c r="G1540" i="11"/>
  <c r="I1539" i="11"/>
  <c r="H1539" i="11"/>
  <c r="G1539" i="11"/>
  <c r="I1538" i="11"/>
  <c r="H1538" i="11"/>
  <c r="G1538" i="11"/>
  <c r="I1537" i="11"/>
  <c r="H1537" i="11"/>
  <c r="G1537" i="11"/>
  <c r="I1536" i="11"/>
  <c r="H1536" i="11"/>
  <c r="G1536" i="11"/>
  <c r="I1535" i="11"/>
  <c r="H1535" i="11"/>
  <c r="G1535" i="11"/>
  <c r="I1534" i="11"/>
  <c r="H1534" i="11"/>
  <c r="G1534" i="11"/>
  <c r="I1533" i="11"/>
  <c r="H1533" i="11"/>
  <c r="G1533" i="11"/>
  <c r="I1532" i="11"/>
  <c r="H1532" i="11"/>
  <c r="G1532" i="11"/>
  <c r="I1531" i="11"/>
  <c r="H1531" i="11"/>
  <c r="G1531" i="11"/>
  <c r="I1530" i="11"/>
  <c r="H1530" i="11"/>
  <c r="G1530" i="11"/>
  <c r="I1529" i="11"/>
  <c r="H1529" i="11"/>
  <c r="G1529" i="11"/>
  <c r="I1528" i="11"/>
  <c r="H1528" i="11"/>
  <c r="G1528" i="11"/>
  <c r="I1527" i="11"/>
  <c r="H1527" i="11"/>
  <c r="G1527" i="11"/>
  <c r="I1526" i="11"/>
  <c r="H1526" i="11"/>
  <c r="G1526" i="11"/>
  <c r="I1525" i="11"/>
  <c r="H1525" i="11"/>
  <c r="G1525" i="11"/>
  <c r="I1524" i="11"/>
  <c r="H1524" i="11"/>
  <c r="G1524" i="11"/>
  <c r="I1523" i="11"/>
  <c r="H1523" i="11"/>
  <c r="G1523" i="11"/>
  <c r="I1522" i="11"/>
  <c r="H1522" i="11"/>
  <c r="G1522" i="11"/>
  <c r="I1521" i="11"/>
  <c r="H1521" i="11"/>
  <c r="G1521" i="11"/>
  <c r="I1520" i="11"/>
  <c r="H1520" i="11"/>
  <c r="G1520" i="11"/>
  <c r="I1519" i="11"/>
  <c r="H1519" i="11"/>
  <c r="G1519" i="11"/>
  <c r="I1518" i="11"/>
  <c r="H1518" i="11"/>
  <c r="G1518" i="11"/>
  <c r="I1517" i="11"/>
  <c r="H1517" i="11"/>
  <c r="G1517" i="11"/>
  <c r="I1516" i="11"/>
  <c r="H1516" i="11"/>
  <c r="G1516" i="11"/>
  <c r="I1515" i="11"/>
  <c r="H1515" i="11"/>
  <c r="G1515" i="11"/>
  <c r="I1514" i="11"/>
  <c r="H1514" i="11"/>
  <c r="G1514" i="11"/>
  <c r="I1513" i="11"/>
  <c r="H1513" i="11"/>
  <c r="G1513" i="11"/>
  <c r="I1512" i="11"/>
  <c r="H1512" i="11"/>
  <c r="G1512" i="11"/>
  <c r="I1511" i="11"/>
  <c r="H1511" i="11"/>
  <c r="G1511" i="11"/>
  <c r="I1510" i="11"/>
  <c r="H1510" i="11"/>
  <c r="G1510" i="11"/>
  <c r="I1509" i="11"/>
  <c r="H1509" i="11"/>
  <c r="G1509" i="11"/>
  <c r="I1508" i="11"/>
  <c r="H1508" i="11"/>
  <c r="G1508" i="11"/>
  <c r="I1507" i="11"/>
  <c r="H1507" i="11"/>
  <c r="G1507" i="11"/>
  <c r="I1506" i="11"/>
  <c r="H1506" i="11"/>
  <c r="G1506" i="11"/>
  <c r="I1505" i="11"/>
  <c r="H1505" i="11"/>
  <c r="G1505" i="11"/>
  <c r="I1504" i="11"/>
  <c r="H1504" i="11"/>
  <c r="G1504" i="11"/>
  <c r="I1503" i="11"/>
  <c r="H1503" i="11"/>
  <c r="G1503" i="11"/>
  <c r="I1502" i="11"/>
  <c r="H1502" i="11"/>
  <c r="G1502" i="11"/>
  <c r="I1501" i="11"/>
  <c r="H1501" i="11"/>
  <c r="G1501" i="11"/>
  <c r="I1500" i="11"/>
  <c r="H1500" i="11"/>
  <c r="G1500" i="11"/>
  <c r="I1499" i="11"/>
  <c r="H1499" i="11"/>
  <c r="G1499" i="11"/>
  <c r="I1498" i="11"/>
  <c r="H1498" i="11"/>
  <c r="G1498" i="11"/>
  <c r="I1497" i="11"/>
  <c r="H1497" i="11"/>
  <c r="G1497" i="11"/>
  <c r="I1496" i="11"/>
  <c r="H1496" i="11"/>
  <c r="G1496" i="11"/>
  <c r="I1495" i="11"/>
  <c r="H1495" i="11"/>
  <c r="G1495" i="11"/>
  <c r="I1494" i="11"/>
  <c r="H1494" i="11"/>
  <c r="G1494" i="11"/>
  <c r="I1493" i="11"/>
  <c r="H1493" i="11"/>
  <c r="G1493" i="11"/>
  <c r="I1492" i="11"/>
  <c r="H1492" i="11"/>
  <c r="G1492" i="11"/>
  <c r="I1491" i="11"/>
  <c r="H1491" i="11"/>
  <c r="G1491" i="11"/>
  <c r="I1490" i="11"/>
  <c r="H1490" i="11"/>
  <c r="G1490" i="11"/>
  <c r="I1489" i="11"/>
  <c r="H1489" i="11"/>
  <c r="G1489" i="11"/>
  <c r="I1488" i="11"/>
  <c r="H1488" i="11"/>
  <c r="G1488" i="11"/>
  <c r="I1487" i="11"/>
  <c r="H1487" i="11"/>
  <c r="G1487" i="11"/>
  <c r="I1486" i="11"/>
  <c r="H1486" i="11"/>
  <c r="G1486" i="11"/>
  <c r="I1485" i="11"/>
  <c r="H1485" i="11"/>
  <c r="G1485" i="11"/>
  <c r="I1484" i="11"/>
  <c r="H1484" i="11"/>
  <c r="G1484" i="11"/>
  <c r="I1483" i="11"/>
  <c r="H1483" i="11"/>
  <c r="G1483" i="11"/>
  <c r="I1482" i="11"/>
  <c r="H1482" i="11"/>
  <c r="G1482" i="11"/>
  <c r="I1481" i="11"/>
  <c r="H1481" i="11"/>
  <c r="G1481" i="11"/>
  <c r="I1480" i="11"/>
  <c r="H1480" i="11"/>
  <c r="G1480" i="11"/>
  <c r="I1479" i="11"/>
  <c r="H1479" i="11"/>
  <c r="G1479" i="11"/>
  <c r="I1478" i="11"/>
  <c r="H1478" i="11"/>
  <c r="G1478" i="11"/>
  <c r="I1477" i="11"/>
  <c r="H1477" i="11"/>
  <c r="G1477" i="11"/>
  <c r="I1476" i="11"/>
  <c r="H1476" i="11"/>
  <c r="G1476" i="11"/>
  <c r="I1475" i="11"/>
  <c r="H1475" i="11"/>
  <c r="G1475" i="11"/>
  <c r="I1474" i="11"/>
  <c r="H1474" i="11"/>
  <c r="G1474" i="11"/>
  <c r="I1473" i="11"/>
  <c r="H1473" i="11"/>
  <c r="G1473" i="11"/>
  <c r="I1472" i="11"/>
  <c r="H1472" i="11"/>
  <c r="G1472" i="11"/>
  <c r="I1471" i="11"/>
  <c r="H1471" i="11"/>
  <c r="G1471" i="11"/>
  <c r="I1470" i="11"/>
  <c r="H1470" i="11"/>
  <c r="G1470" i="11"/>
  <c r="I1469" i="11"/>
  <c r="H1469" i="11"/>
  <c r="G1469" i="11"/>
  <c r="I1468" i="11"/>
  <c r="H1468" i="11"/>
  <c r="G1468" i="11"/>
  <c r="I1467" i="11"/>
  <c r="H1467" i="11"/>
  <c r="G1467" i="11"/>
  <c r="I1466" i="11"/>
  <c r="H1466" i="11"/>
  <c r="G1466" i="11"/>
  <c r="I1465" i="11"/>
  <c r="H1465" i="11"/>
  <c r="G1465" i="11"/>
  <c r="I1464" i="11"/>
  <c r="H1464" i="11"/>
  <c r="G1464" i="11"/>
  <c r="I1463" i="11"/>
  <c r="H1463" i="11"/>
  <c r="G1463" i="11"/>
  <c r="I1462" i="11"/>
  <c r="H1462" i="11"/>
  <c r="G1462" i="11"/>
  <c r="I1461" i="11"/>
  <c r="H1461" i="11"/>
  <c r="G1461" i="11"/>
  <c r="I1460" i="11"/>
  <c r="H1460" i="11"/>
  <c r="G1460" i="11"/>
  <c r="I1459" i="11"/>
  <c r="H1459" i="11"/>
  <c r="G1459" i="11"/>
  <c r="I1458" i="11"/>
  <c r="H1458" i="11"/>
  <c r="G1458" i="11"/>
  <c r="I1457" i="11"/>
  <c r="H1457" i="11"/>
  <c r="G1457" i="11"/>
  <c r="I1456" i="11"/>
  <c r="H1456" i="11"/>
  <c r="G1456" i="11"/>
  <c r="I1455" i="11"/>
  <c r="H1455" i="11"/>
  <c r="G1455" i="11"/>
  <c r="I1454" i="11"/>
  <c r="H1454" i="11"/>
  <c r="G1454" i="11"/>
  <c r="I1453" i="11"/>
  <c r="H1453" i="11"/>
  <c r="G1453" i="11"/>
  <c r="I1452" i="11"/>
  <c r="H1452" i="11"/>
  <c r="G1452" i="11"/>
  <c r="I1451" i="11"/>
  <c r="H1451" i="11"/>
  <c r="G1451" i="11"/>
  <c r="I1450" i="11"/>
  <c r="H1450" i="11"/>
  <c r="G1450" i="11"/>
  <c r="I1449" i="11"/>
  <c r="H1449" i="11"/>
  <c r="G1449" i="11"/>
  <c r="I1448" i="11"/>
  <c r="H1448" i="11"/>
  <c r="G1448" i="11"/>
  <c r="I1447" i="11"/>
  <c r="H1447" i="11"/>
  <c r="G1447" i="11"/>
  <c r="I1446" i="11"/>
  <c r="H1446" i="11"/>
  <c r="G1446" i="11"/>
  <c r="I1445" i="11"/>
  <c r="H1445" i="11"/>
  <c r="G1445" i="11"/>
  <c r="I1444" i="11"/>
  <c r="H1444" i="11"/>
  <c r="G1444" i="11"/>
  <c r="I1443" i="11"/>
  <c r="H1443" i="11"/>
  <c r="G1443" i="11"/>
  <c r="I1442" i="11"/>
  <c r="H1442" i="11"/>
  <c r="G1442" i="11"/>
  <c r="I1441" i="11"/>
  <c r="H1441" i="11"/>
  <c r="G1441" i="11"/>
  <c r="I1440" i="11"/>
  <c r="H1440" i="11"/>
  <c r="G1440" i="11"/>
  <c r="I1439" i="11"/>
  <c r="H1439" i="11"/>
  <c r="G1439" i="11"/>
  <c r="I1438" i="11"/>
  <c r="H1438" i="11"/>
  <c r="G1438" i="11"/>
  <c r="I1437" i="11"/>
  <c r="H1437" i="11"/>
  <c r="G1437" i="11"/>
  <c r="I1436" i="11"/>
  <c r="H1436" i="11"/>
  <c r="G1436" i="11"/>
  <c r="I1435" i="11"/>
  <c r="H1435" i="11"/>
  <c r="G1435" i="11"/>
  <c r="I1434" i="11"/>
  <c r="H1434" i="11"/>
  <c r="G1434" i="11"/>
  <c r="I1433" i="11"/>
  <c r="H1433" i="11"/>
  <c r="G1433" i="11"/>
  <c r="I1432" i="11"/>
  <c r="H1432" i="11"/>
  <c r="G1432" i="11"/>
  <c r="I1431" i="11"/>
  <c r="H1431" i="11"/>
  <c r="G1431" i="11"/>
  <c r="I1430" i="11"/>
  <c r="H1430" i="11"/>
  <c r="G1430" i="11"/>
  <c r="I1429" i="11"/>
  <c r="H1429" i="11"/>
  <c r="G1429" i="11"/>
  <c r="I1428" i="11"/>
  <c r="H1428" i="11"/>
  <c r="G1428" i="11"/>
  <c r="I1427" i="11"/>
  <c r="H1427" i="11"/>
  <c r="G1427" i="11"/>
  <c r="I1426" i="11"/>
  <c r="H1426" i="11"/>
  <c r="G1426" i="11"/>
  <c r="I1425" i="11"/>
  <c r="H1425" i="11"/>
  <c r="G1425" i="11"/>
  <c r="I1424" i="11"/>
  <c r="H1424" i="11"/>
  <c r="G1424" i="11"/>
  <c r="I1423" i="11"/>
  <c r="H1423" i="11"/>
  <c r="G1423" i="11"/>
  <c r="I1422" i="11"/>
  <c r="H1422" i="11"/>
  <c r="G1422" i="11"/>
  <c r="I1421" i="11"/>
  <c r="H1421" i="11"/>
  <c r="G1421" i="11"/>
  <c r="I1420" i="11"/>
  <c r="H1420" i="11"/>
  <c r="G1420" i="11"/>
  <c r="I1419" i="11"/>
  <c r="H1419" i="11"/>
  <c r="G1419" i="11"/>
  <c r="I1418" i="11"/>
  <c r="H1418" i="11"/>
  <c r="G1418" i="11"/>
  <c r="I1417" i="11"/>
  <c r="H1417" i="11"/>
  <c r="G1417" i="11"/>
  <c r="I1416" i="11"/>
  <c r="H1416" i="11"/>
  <c r="G1416" i="11"/>
  <c r="I1415" i="11"/>
  <c r="H1415" i="11"/>
  <c r="G1415" i="11"/>
  <c r="I1414" i="11"/>
  <c r="H1414" i="11"/>
  <c r="G1414" i="11"/>
  <c r="I1413" i="11"/>
  <c r="H1413" i="11"/>
  <c r="G1413" i="11"/>
  <c r="I1412" i="11"/>
  <c r="H1412" i="11"/>
  <c r="G1412" i="11"/>
  <c r="I1411" i="11"/>
  <c r="H1411" i="11"/>
  <c r="G1411" i="11"/>
  <c r="I1410" i="11"/>
  <c r="H1410" i="11"/>
  <c r="G1410" i="11"/>
  <c r="I1409" i="11"/>
  <c r="H1409" i="11"/>
  <c r="G1409" i="11"/>
  <c r="I1408" i="11"/>
  <c r="H1408" i="11"/>
  <c r="G1408" i="11"/>
  <c r="I1407" i="11"/>
  <c r="H1407" i="11"/>
  <c r="G1407" i="11"/>
  <c r="I1406" i="11"/>
  <c r="H1406" i="11"/>
  <c r="G1406" i="11"/>
  <c r="I1405" i="11"/>
  <c r="H1405" i="11"/>
  <c r="G1405" i="11"/>
  <c r="I1404" i="11"/>
  <c r="H1404" i="11"/>
  <c r="G1404" i="11"/>
  <c r="I1403" i="11"/>
  <c r="H1403" i="11"/>
  <c r="G1403" i="11"/>
  <c r="I1402" i="11"/>
  <c r="H1402" i="11"/>
  <c r="G1402" i="11"/>
  <c r="I1401" i="11"/>
  <c r="H1401" i="11"/>
  <c r="G1401" i="11"/>
  <c r="I1400" i="11"/>
  <c r="H1400" i="11"/>
  <c r="G1400" i="11"/>
  <c r="I1399" i="11"/>
  <c r="H1399" i="11"/>
  <c r="G1399" i="11"/>
  <c r="I1398" i="11"/>
  <c r="H1398" i="11"/>
  <c r="G1398" i="11"/>
  <c r="I1397" i="11"/>
  <c r="H1397" i="11"/>
  <c r="G1397" i="11"/>
  <c r="I1396" i="11"/>
  <c r="H1396" i="11"/>
  <c r="G1396" i="11"/>
  <c r="I1395" i="11"/>
  <c r="H1395" i="11"/>
  <c r="G1395" i="11"/>
  <c r="I1394" i="11"/>
  <c r="H1394" i="11"/>
  <c r="G1394" i="11"/>
  <c r="I1393" i="11"/>
  <c r="H1393" i="11"/>
  <c r="G1393" i="11"/>
  <c r="I1392" i="11"/>
  <c r="H1392" i="11"/>
  <c r="G1392" i="11"/>
  <c r="I1391" i="11"/>
  <c r="H1391" i="11"/>
  <c r="G1391" i="11"/>
  <c r="I1390" i="11"/>
  <c r="H1390" i="11"/>
  <c r="G1390" i="11"/>
  <c r="I1389" i="11"/>
  <c r="H1389" i="11"/>
  <c r="G1389" i="11"/>
  <c r="I1388" i="11"/>
  <c r="H1388" i="11"/>
  <c r="G1388" i="11"/>
  <c r="I1387" i="11"/>
  <c r="H1387" i="11"/>
  <c r="G1387" i="11"/>
  <c r="I1386" i="11"/>
  <c r="H1386" i="11"/>
  <c r="G1386" i="11"/>
  <c r="I1385" i="11"/>
  <c r="H1385" i="11"/>
  <c r="G1385" i="11"/>
  <c r="I1384" i="11"/>
  <c r="H1384" i="11"/>
  <c r="G1384" i="11"/>
  <c r="I1383" i="11"/>
  <c r="H1383" i="11"/>
  <c r="G1383" i="11"/>
  <c r="I1382" i="11"/>
  <c r="H1382" i="11"/>
  <c r="G1382" i="11"/>
  <c r="I1381" i="11"/>
  <c r="H1381" i="11"/>
  <c r="G1381" i="11"/>
  <c r="I1380" i="11"/>
  <c r="H1380" i="11"/>
  <c r="G1380" i="11"/>
  <c r="I1379" i="11"/>
  <c r="H1379" i="11"/>
  <c r="G1379" i="11"/>
  <c r="I1378" i="11"/>
  <c r="H1378" i="11"/>
  <c r="G1378" i="11"/>
  <c r="I1377" i="11"/>
  <c r="H1377" i="11"/>
  <c r="G1377" i="11"/>
  <c r="I1376" i="11"/>
  <c r="H1376" i="11"/>
  <c r="G1376" i="11"/>
  <c r="I1375" i="11"/>
  <c r="H1375" i="11"/>
  <c r="G1375" i="11"/>
  <c r="I1374" i="11"/>
  <c r="H1374" i="11"/>
  <c r="G1374" i="11"/>
  <c r="I1373" i="11"/>
  <c r="H1373" i="11"/>
  <c r="G1373" i="11"/>
  <c r="I1372" i="11"/>
  <c r="H1372" i="11"/>
  <c r="G1372" i="11"/>
  <c r="I1371" i="11"/>
  <c r="H1371" i="11"/>
  <c r="G1371" i="11"/>
  <c r="I1370" i="11"/>
  <c r="H1370" i="11"/>
  <c r="G1370" i="11"/>
  <c r="I1369" i="11"/>
  <c r="H1369" i="11"/>
  <c r="G1369" i="11"/>
  <c r="I1368" i="11"/>
  <c r="H1368" i="11"/>
  <c r="G1368" i="11"/>
  <c r="I1367" i="11"/>
  <c r="H1367" i="11"/>
  <c r="G1367" i="11"/>
  <c r="I1366" i="11"/>
  <c r="H1366" i="11"/>
  <c r="G1366" i="11"/>
  <c r="I1365" i="11"/>
  <c r="H1365" i="11"/>
  <c r="G1365" i="11"/>
  <c r="I1364" i="11"/>
  <c r="H1364" i="11"/>
  <c r="G1364" i="11"/>
  <c r="I1363" i="11"/>
  <c r="H1363" i="11"/>
  <c r="G1363" i="11"/>
  <c r="I1362" i="11"/>
  <c r="H1362" i="11"/>
  <c r="G1362" i="11"/>
  <c r="I1361" i="11"/>
  <c r="H1361" i="11"/>
  <c r="G1361" i="11"/>
  <c r="I1360" i="11"/>
  <c r="H1360" i="11"/>
  <c r="G1360" i="11"/>
  <c r="I1359" i="11"/>
  <c r="H1359" i="11"/>
  <c r="G1359" i="11"/>
  <c r="I1358" i="11"/>
  <c r="H1358" i="11"/>
  <c r="G1358" i="11"/>
  <c r="I1357" i="11"/>
  <c r="H1357" i="11"/>
  <c r="G1357" i="11"/>
  <c r="I1356" i="11"/>
  <c r="H1356" i="11"/>
  <c r="G1356" i="11"/>
  <c r="I1355" i="11"/>
  <c r="H1355" i="11"/>
  <c r="G1355" i="11"/>
  <c r="I1354" i="11"/>
  <c r="H1354" i="11"/>
  <c r="G1354" i="11"/>
  <c r="I1353" i="11"/>
  <c r="H1353" i="11"/>
  <c r="G1353" i="11"/>
  <c r="I1352" i="11"/>
  <c r="H1352" i="11"/>
  <c r="G1352" i="11"/>
  <c r="I1351" i="11"/>
  <c r="H1351" i="11"/>
  <c r="G1351" i="11"/>
  <c r="I1350" i="11"/>
  <c r="H1350" i="11"/>
  <c r="G1350" i="11"/>
  <c r="I1349" i="11"/>
  <c r="H1349" i="11"/>
  <c r="G1349" i="11"/>
  <c r="I1348" i="11"/>
  <c r="H1348" i="11"/>
  <c r="G1348" i="11"/>
  <c r="I1347" i="11"/>
  <c r="H1347" i="11"/>
  <c r="G1347" i="11"/>
  <c r="I1346" i="11"/>
  <c r="H1346" i="11"/>
  <c r="G1346" i="11"/>
  <c r="I1345" i="11"/>
  <c r="H1345" i="11"/>
  <c r="G1345" i="11"/>
  <c r="I1344" i="11"/>
  <c r="H1344" i="11"/>
  <c r="G1344" i="11"/>
  <c r="I1343" i="11"/>
  <c r="H1343" i="11"/>
  <c r="M60" i="11" s="1"/>
  <c r="G1343" i="11"/>
  <c r="I1342" i="11"/>
  <c r="H1342" i="11"/>
  <c r="G1342" i="11"/>
  <c r="I1341" i="11"/>
  <c r="H1341" i="11"/>
  <c r="G1341" i="11"/>
  <c r="I1340" i="11"/>
  <c r="H1340" i="11"/>
  <c r="G1340" i="11"/>
  <c r="I1339" i="11"/>
  <c r="H1339" i="11"/>
  <c r="G1339" i="11"/>
  <c r="I1338" i="11"/>
  <c r="H1338" i="11"/>
  <c r="G1338" i="11"/>
  <c r="I1337" i="11"/>
  <c r="H1337" i="11"/>
  <c r="G1337" i="11"/>
  <c r="I1336" i="11"/>
  <c r="H1336" i="11"/>
  <c r="G1336" i="11"/>
  <c r="I1335" i="11"/>
  <c r="H1335" i="11"/>
  <c r="G1335" i="11"/>
  <c r="I1334" i="11"/>
  <c r="H1334" i="11"/>
  <c r="G1334" i="11"/>
  <c r="I1333" i="11"/>
  <c r="H1333" i="11"/>
  <c r="G1333" i="11"/>
  <c r="I1332" i="11"/>
  <c r="H1332" i="11"/>
  <c r="G1332" i="11"/>
  <c r="I1331" i="11"/>
  <c r="H1331" i="11"/>
  <c r="G1331" i="11"/>
  <c r="I1330" i="11"/>
  <c r="H1330" i="11"/>
  <c r="G1330" i="11"/>
  <c r="I1329" i="11"/>
  <c r="H1329" i="11"/>
  <c r="G1329" i="11"/>
  <c r="I1328" i="11"/>
  <c r="H1328" i="11"/>
  <c r="G1328" i="11"/>
  <c r="I1327" i="11"/>
  <c r="H1327" i="11"/>
  <c r="G1327" i="11"/>
  <c r="I1326" i="11"/>
  <c r="H1326" i="11"/>
  <c r="G1326" i="11"/>
  <c r="I1325" i="11"/>
  <c r="H1325" i="11"/>
  <c r="G1325" i="11"/>
  <c r="I1324" i="11"/>
  <c r="H1324" i="11"/>
  <c r="G1324" i="11"/>
  <c r="I1323" i="11"/>
  <c r="H1323" i="11"/>
  <c r="G1323" i="11"/>
  <c r="I1322" i="11"/>
  <c r="H1322" i="11"/>
  <c r="G1322" i="11"/>
  <c r="I1321" i="11"/>
  <c r="H1321" i="11"/>
  <c r="G1321" i="11"/>
  <c r="I1320" i="11"/>
  <c r="H1320" i="11"/>
  <c r="G1320" i="11"/>
  <c r="I1319" i="11"/>
  <c r="H1319" i="11"/>
  <c r="G1319" i="11"/>
  <c r="I1318" i="11"/>
  <c r="H1318" i="11"/>
  <c r="G1318" i="11"/>
  <c r="I1317" i="11"/>
  <c r="H1317" i="11"/>
  <c r="G1317" i="11"/>
  <c r="I1316" i="11"/>
  <c r="H1316" i="11"/>
  <c r="G1316" i="11"/>
  <c r="I1315" i="11"/>
  <c r="H1315" i="11"/>
  <c r="G1315" i="11"/>
  <c r="I1314" i="11"/>
  <c r="H1314" i="11"/>
  <c r="G1314" i="11"/>
  <c r="I1313" i="11"/>
  <c r="H1313" i="11"/>
  <c r="G1313" i="11"/>
  <c r="I1312" i="11"/>
  <c r="H1312" i="11"/>
  <c r="M55" i="11" s="1"/>
  <c r="G1312" i="11"/>
  <c r="I1311" i="11"/>
  <c r="H1311" i="11"/>
  <c r="G1311" i="11"/>
  <c r="I1310" i="11"/>
  <c r="H1310" i="11"/>
  <c r="G1310" i="11"/>
  <c r="I1309" i="11"/>
  <c r="H1309" i="11"/>
  <c r="G1309" i="11"/>
  <c r="I1308" i="11"/>
  <c r="H1308" i="11"/>
  <c r="G1308" i="11"/>
  <c r="I1307" i="11"/>
  <c r="H1307" i="11"/>
  <c r="G1307" i="11"/>
  <c r="I1306" i="11"/>
  <c r="H1306" i="11"/>
  <c r="G1306" i="11"/>
  <c r="I1305" i="11"/>
  <c r="H1305" i="11"/>
  <c r="G1305" i="11"/>
  <c r="I1304" i="11"/>
  <c r="H1304" i="11"/>
  <c r="G1304" i="11"/>
  <c r="I1303" i="11"/>
  <c r="H1303" i="11"/>
  <c r="G1303" i="11"/>
  <c r="I1302" i="11"/>
  <c r="H1302" i="11"/>
  <c r="G1302" i="11"/>
  <c r="I1301" i="11"/>
  <c r="H1301" i="11"/>
  <c r="G1301" i="11"/>
  <c r="I1300" i="11"/>
  <c r="H1300" i="11"/>
  <c r="G1300" i="11"/>
  <c r="I1299" i="11"/>
  <c r="H1299" i="11"/>
  <c r="G1299" i="11"/>
  <c r="I1298" i="11"/>
  <c r="H1298" i="11"/>
  <c r="G1298" i="11"/>
  <c r="I1297" i="11"/>
  <c r="H1297" i="11"/>
  <c r="G1297" i="11"/>
  <c r="I1296" i="11"/>
  <c r="H1296" i="11"/>
  <c r="G1296" i="11"/>
  <c r="I1295" i="11"/>
  <c r="H1295" i="11"/>
  <c r="G1295" i="11"/>
  <c r="I1294" i="11"/>
  <c r="H1294" i="11"/>
  <c r="G1294" i="11"/>
  <c r="I1293" i="11"/>
  <c r="H1293" i="11"/>
  <c r="G1293" i="11"/>
  <c r="I1292" i="11"/>
  <c r="H1292" i="11"/>
  <c r="G1292" i="11"/>
  <c r="I1291" i="11"/>
  <c r="H1291" i="11"/>
  <c r="G1291" i="11"/>
  <c r="I1290" i="11"/>
  <c r="H1290" i="11"/>
  <c r="G1290" i="11"/>
  <c r="I1289" i="11"/>
  <c r="H1289" i="11"/>
  <c r="G1289" i="11"/>
  <c r="I1288" i="11"/>
  <c r="H1288" i="11"/>
  <c r="G1288" i="11"/>
  <c r="I1287" i="11"/>
  <c r="H1287" i="11"/>
  <c r="G1287" i="11"/>
  <c r="I1286" i="11"/>
  <c r="H1286" i="11"/>
  <c r="G1286" i="11"/>
  <c r="I1285" i="11"/>
  <c r="H1285" i="11"/>
  <c r="G1285" i="11"/>
  <c r="I1284" i="11"/>
  <c r="H1284" i="11"/>
  <c r="G1284" i="11"/>
  <c r="I1283" i="11"/>
  <c r="H1283" i="11"/>
  <c r="G1283" i="11"/>
  <c r="I1282" i="11"/>
  <c r="H1282" i="11"/>
  <c r="G1282" i="11"/>
  <c r="I1281" i="11"/>
  <c r="H1281" i="11"/>
  <c r="G1281" i="11"/>
  <c r="I1280" i="11"/>
  <c r="H1280" i="11"/>
  <c r="G1280" i="11"/>
  <c r="I1279" i="11"/>
  <c r="H1279" i="11"/>
  <c r="G1279" i="11"/>
  <c r="I1278" i="11"/>
  <c r="H1278" i="11"/>
  <c r="M2" i="11" s="1"/>
  <c r="O2" i="11" s="1"/>
  <c r="G1278" i="11"/>
  <c r="I1277" i="11"/>
  <c r="H1277" i="11"/>
  <c r="G1277" i="11"/>
  <c r="I1276" i="11"/>
  <c r="H1276" i="11"/>
  <c r="G1276" i="11"/>
  <c r="I1275" i="11"/>
  <c r="H1275" i="11"/>
  <c r="G1275" i="11"/>
  <c r="I1274" i="11"/>
  <c r="H1274" i="11"/>
  <c r="G1274" i="11"/>
  <c r="I1273" i="11"/>
  <c r="H1273" i="11"/>
  <c r="G1273" i="11"/>
  <c r="I1272" i="11"/>
  <c r="H1272" i="11"/>
  <c r="G1272" i="11"/>
  <c r="I1271" i="11"/>
  <c r="H1271" i="11"/>
  <c r="G1271" i="11"/>
  <c r="I1270" i="11"/>
  <c r="H1270" i="11"/>
  <c r="G1270" i="11"/>
  <c r="I1269" i="11"/>
  <c r="H1269" i="11"/>
  <c r="G1269" i="11"/>
  <c r="I1268" i="11"/>
  <c r="H1268" i="11"/>
  <c r="G1268" i="11"/>
  <c r="I1267" i="11"/>
  <c r="H1267" i="11"/>
  <c r="G1267" i="11"/>
  <c r="I1266" i="11"/>
  <c r="H1266" i="11"/>
  <c r="G1266" i="11"/>
  <c r="I1265" i="11"/>
  <c r="H1265" i="11"/>
  <c r="G1265" i="11"/>
  <c r="I1264" i="11"/>
  <c r="H1264" i="11"/>
  <c r="G1264" i="11"/>
  <c r="I1263" i="11"/>
  <c r="H1263" i="11"/>
  <c r="G1263" i="11"/>
  <c r="I1262" i="11"/>
  <c r="H1262" i="11"/>
  <c r="G1262" i="11"/>
  <c r="I1261" i="11"/>
  <c r="H1261" i="11"/>
  <c r="G1261" i="11"/>
  <c r="I1260" i="11"/>
  <c r="H1260" i="11"/>
  <c r="G1260" i="11"/>
  <c r="I1259" i="11"/>
  <c r="H1259" i="11"/>
  <c r="G1259" i="11"/>
  <c r="I1258" i="11"/>
  <c r="H1258" i="11"/>
  <c r="G1258" i="11"/>
  <c r="I1257" i="11"/>
  <c r="H1257" i="11"/>
  <c r="G1257" i="11"/>
  <c r="I1256" i="11"/>
  <c r="H1256" i="11"/>
  <c r="G1256" i="11"/>
  <c r="I1255" i="11"/>
  <c r="H1255" i="11"/>
  <c r="G1255" i="11"/>
  <c r="I1254" i="11"/>
  <c r="H1254" i="11"/>
  <c r="G1254" i="11"/>
  <c r="I1253" i="11"/>
  <c r="H1253" i="11"/>
  <c r="G1253" i="11"/>
  <c r="I1252" i="11"/>
  <c r="H1252" i="11"/>
  <c r="G1252" i="11"/>
  <c r="I1251" i="11"/>
  <c r="H1251" i="11"/>
  <c r="G1251" i="11"/>
  <c r="I1250" i="11"/>
  <c r="H1250" i="11"/>
  <c r="G1250" i="11"/>
  <c r="I1249" i="11"/>
  <c r="H1249" i="11"/>
  <c r="G1249" i="11"/>
  <c r="I1248" i="11"/>
  <c r="H1248" i="11"/>
  <c r="G1248" i="11"/>
  <c r="I1247" i="11"/>
  <c r="H1247" i="11"/>
  <c r="G1247" i="11"/>
  <c r="I1246" i="11"/>
  <c r="H1246" i="11"/>
  <c r="G1246" i="11"/>
  <c r="I1245" i="11"/>
  <c r="H1245" i="11"/>
  <c r="G1245" i="11"/>
  <c r="I1244" i="11"/>
  <c r="H1244" i="11"/>
  <c r="G1244" i="11"/>
  <c r="I1243" i="11"/>
  <c r="H1243" i="11"/>
  <c r="G1243" i="11"/>
  <c r="I1242" i="11"/>
  <c r="H1242" i="11"/>
  <c r="G1242" i="11"/>
  <c r="I1241" i="11"/>
  <c r="H1241" i="11"/>
  <c r="G1241" i="11"/>
  <c r="I1240" i="11"/>
  <c r="H1240" i="11"/>
  <c r="G1240" i="11"/>
  <c r="I1239" i="11"/>
  <c r="H1239" i="11"/>
  <c r="G1239" i="11"/>
  <c r="I1238" i="11"/>
  <c r="H1238" i="11"/>
  <c r="G1238" i="11"/>
  <c r="I1237" i="11"/>
  <c r="H1237" i="11"/>
  <c r="G1237" i="11"/>
  <c r="I1236" i="11"/>
  <c r="H1236" i="11"/>
  <c r="G1236" i="11"/>
  <c r="I1235" i="11"/>
  <c r="H1235" i="11"/>
  <c r="G1235" i="11"/>
  <c r="I1234" i="11"/>
  <c r="H1234" i="11"/>
  <c r="G1234" i="11"/>
  <c r="I1233" i="11"/>
  <c r="H1233" i="11"/>
  <c r="G1233" i="11"/>
  <c r="I1232" i="11"/>
  <c r="H1232" i="11"/>
  <c r="G1232" i="11"/>
  <c r="I1231" i="11"/>
  <c r="H1231" i="11"/>
  <c r="G1231" i="11"/>
  <c r="I1230" i="11"/>
  <c r="H1230" i="11"/>
  <c r="G1230" i="11"/>
  <c r="I1229" i="11"/>
  <c r="H1229" i="11"/>
  <c r="G1229" i="11"/>
  <c r="I1228" i="11"/>
  <c r="H1228" i="11"/>
  <c r="G1228" i="11"/>
  <c r="I1227" i="11"/>
  <c r="H1227" i="11"/>
  <c r="G1227" i="11"/>
  <c r="I1226" i="11"/>
  <c r="H1226" i="11"/>
  <c r="G1226" i="11"/>
  <c r="I1225" i="11"/>
  <c r="H1225" i="11"/>
  <c r="G1225" i="11"/>
  <c r="I1224" i="11"/>
  <c r="H1224" i="11"/>
  <c r="G1224" i="11"/>
  <c r="I1223" i="11"/>
  <c r="H1223" i="11"/>
  <c r="G1223" i="11"/>
  <c r="I1222" i="11"/>
  <c r="H1222" i="11"/>
  <c r="G1222" i="11"/>
  <c r="I1221" i="11"/>
  <c r="H1221" i="11"/>
  <c r="G1221" i="11"/>
  <c r="I1220" i="11"/>
  <c r="H1220" i="11"/>
  <c r="G1220" i="11"/>
  <c r="I1219" i="11"/>
  <c r="H1219" i="11"/>
  <c r="G1219" i="11"/>
  <c r="I1218" i="11"/>
  <c r="H1218" i="11"/>
  <c r="G1218" i="11"/>
  <c r="I1217" i="11"/>
  <c r="H1217" i="11"/>
  <c r="G1217" i="11"/>
  <c r="I1216" i="11"/>
  <c r="H1216" i="11"/>
  <c r="G1216" i="11"/>
  <c r="I1215" i="11"/>
  <c r="H1215" i="11"/>
  <c r="G1215" i="11"/>
  <c r="I1214" i="11"/>
  <c r="H1214" i="11"/>
  <c r="G1214" i="11"/>
  <c r="I1213" i="11"/>
  <c r="H1213" i="11"/>
  <c r="G1213" i="11"/>
  <c r="I1212" i="11"/>
  <c r="H1212" i="11"/>
  <c r="G1212" i="11"/>
  <c r="I1211" i="11"/>
  <c r="H1211" i="11"/>
  <c r="G1211" i="11"/>
  <c r="I1210" i="11"/>
  <c r="H1210" i="11"/>
  <c r="G1210" i="11"/>
  <c r="I1209" i="11"/>
  <c r="H1209" i="11"/>
  <c r="G1209" i="11"/>
  <c r="I1208" i="11"/>
  <c r="H1208" i="11"/>
  <c r="G1208" i="11"/>
  <c r="I1207" i="11"/>
  <c r="H1207" i="11"/>
  <c r="G1207" i="11"/>
  <c r="I1206" i="11"/>
  <c r="H1206" i="11"/>
  <c r="G1206" i="11"/>
  <c r="I1205" i="11"/>
  <c r="H1205" i="11"/>
  <c r="G1205" i="11"/>
  <c r="I1204" i="11"/>
  <c r="H1204" i="11"/>
  <c r="G1204" i="11"/>
  <c r="I1203" i="11"/>
  <c r="H1203" i="11"/>
  <c r="G1203" i="11"/>
  <c r="I1202" i="11"/>
  <c r="H1202" i="11"/>
  <c r="G1202" i="11"/>
  <c r="I1201" i="11"/>
  <c r="H1201" i="11"/>
  <c r="G1201" i="11"/>
  <c r="I1200" i="11"/>
  <c r="H1200" i="11"/>
  <c r="G1200" i="11"/>
  <c r="I1199" i="11"/>
  <c r="H1199" i="11"/>
  <c r="G1199" i="11"/>
  <c r="I1198" i="11"/>
  <c r="H1198" i="11"/>
  <c r="G1198" i="11"/>
  <c r="I1197" i="11"/>
  <c r="H1197" i="11"/>
  <c r="G1197" i="11"/>
  <c r="I1196" i="11"/>
  <c r="H1196" i="11"/>
  <c r="G1196" i="11"/>
  <c r="I1195" i="11"/>
  <c r="H1195" i="11"/>
  <c r="G1195" i="11"/>
  <c r="I1194" i="11"/>
  <c r="H1194" i="11"/>
  <c r="G1194" i="11"/>
  <c r="I1193" i="11"/>
  <c r="H1193" i="11"/>
  <c r="G1193" i="11"/>
  <c r="I1192" i="11"/>
  <c r="H1192" i="11"/>
  <c r="G1192" i="11"/>
  <c r="I1191" i="11"/>
  <c r="H1191" i="11"/>
  <c r="G1191" i="11"/>
  <c r="I1190" i="11"/>
  <c r="H1190" i="11"/>
  <c r="G1190" i="11"/>
  <c r="I1189" i="11"/>
  <c r="H1189" i="11"/>
  <c r="G1189" i="11"/>
  <c r="I1188" i="11"/>
  <c r="H1188" i="11"/>
  <c r="G1188" i="11"/>
  <c r="I1187" i="11"/>
  <c r="H1187" i="11"/>
  <c r="G1187" i="11"/>
  <c r="I1186" i="11"/>
  <c r="H1186" i="11"/>
  <c r="G1186" i="11"/>
  <c r="I1185" i="11"/>
  <c r="H1185" i="11"/>
  <c r="G1185" i="11"/>
  <c r="I1184" i="11"/>
  <c r="H1184" i="11"/>
  <c r="G1184" i="11"/>
  <c r="I1183" i="11"/>
  <c r="H1183" i="11"/>
  <c r="G1183" i="11"/>
  <c r="I1182" i="11"/>
  <c r="H1182" i="11"/>
  <c r="G1182" i="11"/>
  <c r="I1181" i="11"/>
  <c r="H1181" i="11"/>
  <c r="G1181" i="11"/>
  <c r="I1180" i="11"/>
  <c r="H1180" i="11"/>
  <c r="G1180" i="11"/>
  <c r="I1179" i="11"/>
  <c r="H1179" i="11"/>
  <c r="G1179" i="11"/>
  <c r="I1178" i="11"/>
  <c r="H1178" i="11"/>
  <c r="G1178" i="11"/>
  <c r="I1177" i="11"/>
  <c r="H1177" i="11"/>
  <c r="G1177" i="11"/>
  <c r="I1176" i="11"/>
  <c r="H1176" i="11"/>
  <c r="G1176" i="11"/>
  <c r="I1175" i="11"/>
  <c r="H1175" i="11"/>
  <c r="G1175" i="11"/>
  <c r="I1174" i="11"/>
  <c r="H1174" i="11"/>
  <c r="G1174" i="11"/>
  <c r="I1173" i="11"/>
  <c r="H1173" i="11"/>
  <c r="G1173" i="11"/>
  <c r="I1172" i="11"/>
  <c r="H1172" i="11"/>
  <c r="G1172" i="11"/>
  <c r="I1171" i="11"/>
  <c r="H1171" i="11"/>
  <c r="G1171" i="11"/>
  <c r="I1170" i="11"/>
  <c r="H1170" i="11"/>
  <c r="G1170" i="11"/>
  <c r="I1169" i="11"/>
  <c r="H1169" i="11"/>
  <c r="G1169" i="11"/>
  <c r="I1168" i="11"/>
  <c r="H1168" i="11"/>
  <c r="G1168" i="11"/>
  <c r="I1167" i="11"/>
  <c r="H1167" i="11"/>
  <c r="G1167" i="11"/>
  <c r="I1166" i="11"/>
  <c r="H1166" i="11"/>
  <c r="G1166" i="11"/>
  <c r="I1165" i="11"/>
  <c r="H1165" i="11"/>
  <c r="G1165" i="11"/>
  <c r="I1164" i="11"/>
  <c r="H1164" i="11"/>
  <c r="G1164" i="11"/>
  <c r="I1163" i="11"/>
  <c r="H1163" i="11"/>
  <c r="G1163" i="11"/>
  <c r="I1162" i="11"/>
  <c r="H1162" i="11"/>
  <c r="G1162" i="11"/>
  <c r="I1161" i="11"/>
  <c r="H1161" i="11"/>
  <c r="G1161" i="11"/>
  <c r="I1160" i="11"/>
  <c r="H1160" i="11"/>
  <c r="G1160" i="11"/>
  <c r="I1159" i="11"/>
  <c r="H1159" i="11"/>
  <c r="G1159" i="11"/>
  <c r="I1158" i="11"/>
  <c r="H1158" i="11"/>
  <c r="G1158" i="11"/>
  <c r="I1157" i="11"/>
  <c r="H1157" i="11"/>
  <c r="G1157" i="11"/>
  <c r="I1156" i="11"/>
  <c r="H1156" i="11"/>
  <c r="G1156" i="11"/>
  <c r="I1155" i="11"/>
  <c r="H1155" i="11"/>
  <c r="G1155" i="11"/>
  <c r="I1154" i="11"/>
  <c r="H1154" i="11"/>
  <c r="G1154" i="11"/>
  <c r="I1153" i="11"/>
  <c r="H1153" i="11"/>
  <c r="G1153" i="11"/>
  <c r="I1152" i="11"/>
  <c r="H1152" i="11"/>
  <c r="G1152" i="11"/>
  <c r="I1151" i="11"/>
  <c r="H1151" i="11"/>
  <c r="G1151" i="11"/>
  <c r="I1150" i="11"/>
  <c r="H1150" i="11"/>
  <c r="G1150" i="11"/>
  <c r="I1149" i="11"/>
  <c r="H1149" i="11"/>
  <c r="G1149" i="11"/>
  <c r="I1148" i="11"/>
  <c r="H1148" i="11"/>
  <c r="G1148" i="11"/>
  <c r="I1147" i="11"/>
  <c r="H1147" i="11"/>
  <c r="G1147" i="11"/>
  <c r="I1146" i="11"/>
  <c r="H1146" i="11"/>
  <c r="G1146" i="11"/>
  <c r="I1145" i="11"/>
  <c r="H1145" i="11"/>
  <c r="G1145" i="11"/>
  <c r="I1144" i="11"/>
  <c r="H1144" i="11"/>
  <c r="G1144" i="11"/>
  <c r="I1143" i="11"/>
  <c r="H1143" i="11"/>
  <c r="G1143" i="11"/>
  <c r="I1142" i="11"/>
  <c r="H1142" i="11"/>
  <c r="G1142" i="11"/>
  <c r="I1141" i="11"/>
  <c r="H1141" i="11"/>
  <c r="G1141" i="11"/>
  <c r="I1140" i="11"/>
  <c r="H1140" i="11"/>
  <c r="G1140" i="11"/>
  <c r="I1139" i="11"/>
  <c r="H1139" i="11"/>
  <c r="G1139" i="11"/>
  <c r="I1138" i="11"/>
  <c r="H1138" i="11"/>
  <c r="G1138" i="11"/>
  <c r="I1137" i="11"/>
  <c r="H1137" i="11"/>
  <c r="G1137" i="11"/>
  <c r="I1136" i="11"/>
  <c r="H1136" i="11"/>
  <c r="G1136" i="11"/>
  <c r="I1135" i="11"/>
  <c r="H1135" i="11"/>
  <c r="G1135" i="11"/>
  <c r="I1134" i="11"/>
  <c r="H1134" i="11"/>
  <c r="G1134" i="11"/>
  <c r="I1133" i="11"/>
  <c r="H1133" i="11"/>
  <c r="G1133" i="11"/>
  <c r="I1132" i="11"/>
  <c r="H1132" i="11"/>
  <c r="G1132" i="11"/>
  <c r="I1131" i="11"/>
  <c r="H1131" i="11"/>
  <c r="G1131" i="11"/>
  <c r="I1130" i="11"/>
  <c r="H1130" i="11"/>
  <c r="G1130" i="11"/>
  <c r="I1129" i="11"/>
  <c r="H1129" i="11"/>
  <c r="G1129" i="11"/>
  <c r="I1128" i="11"/>
  <c r="H1128" i="11"/>
  <c r="G1128" i="11"/>
  <c r="I1127" i="11"/>
  <c r="H1127" i="11"/>
  <c r="G1127" i="11"/>
  <c r="I1126" i="11"/>
  <c r="H1126" i="11"/>
  <c r="G1126" i="11"/>
  <c r="I1125" i="11"/>
  <c r="H1125" i="11"/>
  <c r="G1125" i="11"/>
  <c r="I1124" i="11"/>
  <c r="H1124" i="11"/>
  <c r="G1124" i="11"/>
  <c r="I1123" i="11"/>
  <c r="H1123" i="11"/>
  <c r="G1123" i="11"/>
  <c r="I1122" i="11"/>
  <c r="H1122" i="11"/>
  <c r="G1122" i="11"/>
  <c r="I1121" i="11"/>
  <c r="H1121" i="11"/>
  <c r="G1121" i="11"/>
  <c r="I1120" i="11"/>
  <c r="H1120" i="11"/>
  <c r="G1120" i="11"/>
  <c r="I1119" i="11"/>
  <c r="H1119" i="11"/>
  <c r="G1119" i="11"/>
  <c r="I1118" i="11"/>
  <c r="H1118" i="11"/>
  <c r="G1118" i="11"/>
  <c r="I1117" i="11"/>
  <c r="H1117" i="11"/>
  <c r="G1117" i="11"/>
  <c r="I1116" i="11"/>
  <c r="H1116" i="11"/>
  <c r="G1116" i="11"/>
  <c r="I1115" i="11"/>
  <c r="H1115" i="11"/>
  <c r="G1115" i="11"/>
  <c r="I1114" i="11"/>
  <c r="H1114" i="11"/>
  <c r="G1114" i="11"/>
  <c r="I1113" i="11"/>
  <c r="H1113" i="11"/>
  <c r="G1113" i="11"/>
  <c r="I1112" i="11"/>
  <c r="H1112" i="11"/>
  <c r="G1112" i="11"/>
  <c r="I1111" i="11"/>
  <c r="H1111" i="11"/>
  <c r="G1111" i="11"/>
  <c r="I1110" i="11"/>
  <c r="H1110" i="11"/>
  <c r="G1110" i="11"/>
  <c r="I1109" i="11"/>
  <c r="H1109" i="11"/>
  <c r="G1109" i="11"/>
  <c r="I1108" i="11"/>
  <c r="H1108" i="11"/>
  <c r="G1108" i="11"/>
  <c r="I1107" i="11"/>
  <c r="H1107" i="11"/>
  <c r="G1107" i="11"/>
  <c r="I1106" i="11"/>
  <c r="H1106" i="11"/>
  <c r="G1106" i="11"/>
  <c r="I1105" i="11"/>
  <c r="H1105" i="11"/>
  <c r="G1105" i="11"/>
  <c r="I1104" i="11"/>
  <c r="H1104" i="11"/>
  <c r="G1104" i="11"/>
  <c r="I1103" i="11"/>
  <c r="H1103" i="11"/>
  <c r="G1103" i="11"/>
  <c r="I1102" i="11"/>
  <c r="H1102" i="11"/>
  <c r="G1102" i="11"/>
  <c r="I1101" i="11"/>
  <c r="H1101" i="11"/>
  <c r="G1101" i="11"/>
  <c r="I1100" i="11"/>
  <c r="H1100" i="11"/>
  <c r="G1100" i="11"/>
  <c r="I1099" i="11"/>
  <c r="H1099" i="11"/>
  <c r="G1099" i="11"/>
  <c r="I1098" i="11"/>
  <c r="H1098" i="11"/>
  <c r="G1098" i="11"/>
  <c r="I1097" i="11"/>
  <c r="H1097" i="11"/>
  <c r="G1097" i="11"/>
  <c r="I1096" i="11"/>
  <c r="H1096" i="11"/>
  <c r="G1096" i="11"/>
  <c r="I1095" i="11"/>
  <c r="H1095" i="11"/>
  <c r="G1095" i="11"/>
  <c r="I1094" i="11"/>
  <c r="H1094" i="11"/>
  <c r="G1094" i="11"/>
  <c r="I1093" i="11"/>
  <c r="H1093" i="11"/>
  <c r="G1093" i="11"/>
  <c r="I1092" i="11"/>
  <c r="H1092" i="11"/>
  <c r="G1092" i="11"/>
  <c r="I1091" i="11"/>
  <c r="H1091" i="11"/>
  <c r="G1091" i="11"/>
  <c r="I1090" i="11"/>
  <c r="H1090" i="11"/>
  <c r="G1090" i="11"/>
  <c r="I1089" i="11"/>
  <c r="H1089" i="11"/>
  <c r="G1089" i="11"/>
  <c r="I1088" i="11"/>
  <c r="H1088" i="11"/>
  <c r="G1088" i="11"/>
  <c r="I1087" i="11"/>
  <c r="H1087" i="11"/>
  <c r="G1087" i="11"/>
  <c r="I1086" i="11"/>
  <c r="H1086" i="11"/>
  <c r="G1086" i="11"/>
  <c r="I1085" i="11"/>
  <c r="H1085" i="11"/>
  <c r="G1085" i="11"/>
  <c r="I1084" i="11"/>
  <c r="H1084" i="11"/>
  <c r="G1084" i="11"/>
  <c r="I1083" i="11"/>
  <c r="H1083" i="11"/>
  <c r="G1083" i="11"/>
  <c r="I1082" i="11"/>
  <c r="H1082" i="11"/>
  <c r="G1082" i="11"/>
  <c r="I1081" i="11"/>
  <c r="H1081" i="11"/>
  <c r="G1081" i="11"/>
  <c r="I1080" i="11"/>
  <c r="H1080" i="11"/>
  <c r="G1080" i="11"/>
  <c r="I1079" i="11"/>
  <c r="H1079" i="11"/>
  <c r="G1079" i="11"/>
  <c r="I1078" i="11"/>
  <c r="H1078" i="11"/>
  <c r="G1078" i="11"/>
  <c r="I1077" i="11"/>
  <c r="H1077" i="11"/>
  <c r="G1077" i="11"/>
  <c r="I1076" i="11"/>
  <c r="H1076" i="11"/>
  <c r="G1076" i="11"/>
  <c r="I1075" i="11"/>
  <c r="H1075" i="11"/>
  <c r="G1075" i="11"/>
  <c r="I1074" i="11"/>
  <c r="H1074" i="11"/>
  <c r="G1074" i="11"/>
  <c r="I1073" i="11"/>
  <c r="H1073" i="11"/>
  <c r="G1073" i="11"/>
  <c r="I1072" i="11"/>
  <c r="H1072" i="11"/>
  <c r="G1072" i="11"/>
  <c r="I1071" i="11"/>
  <c r="H1071" i="11"/>
  <c r="G1071" i="11"/>
  <c r="I1070" i="11"/>
  <c r="H1070" i="11"/>
  <c r="G1070" i="11"/>
  <c r="I1069" i="11"/>
  <c r="H1069" i="11"/>
  <c r="G1069" i="11"/>
  <c r="I1068" i="11"/>
  <c r="H1068" i="11"/>
  <c r="G1068" i="11"/>
  <c r="I1067" i="11"/>
  <c r="H1067" i="11"/>
  <c r="G1067" i="11"/>
  <c r="I1066" i="11"/>
  <c r="H1066" i="11"/>
  <c r="G1066" i="11"/>
  <c r="I1065" i="11"/>
  <c r="H1065" i="11"/>
  <c r="G1065" i="11"/>
  <c r="I1064" i="11"/>
  <c r="H1064" i="11"/>
  <c r="G1064" i="11"/>
  <c r="I1063" i="11"/>
  <c r="H1063" i="11"/>
  <c r="G1063" i="11"/>
  <c r="I1062" i="11"/>
  <c r="H1062" i="11"/>
  <c r="G1062" i="11"/>
  <c r="I1061" i="11"/>
  <c r="H1061" i="11"/>
  <c r="G1061" i="11"/>
  <c r="I1060" i="11"/>
  <c r="H1060" i="11"/>
  <c r="G1060" i="11"/>
  <c r="I1059" i="11"/>
  <c r="H1059" i="11"/>
  <c r="G1059" i="11"/>
  <c r="I1058" i="11"/>
  <c r="H1058" i="11"/>
  <c r="G1058" i="11"/>
  <c r="I1057" i="11"/>
  <c r="H1057" i="11"/>
  <c r="G1057" i="11"/>
  <c r="I1056" i="11"/>
  <c r="H1056" i="11"/>
  <c r="G1056" i="11"/>
  <c r="I1055" i="11"/>
  <c r="H1055" i="11"/>
  <c r="G1055" i="11"/>
  <c r="I1054" i="11"/>
  <c r="H1054" i="11"/>
  <c r="G1054" i="11"/>
  <c r="I1053" i="11"/>
  <c r="H1053" i="11"/>
  <c r="G1053" i="11"/>
  <c r="I1052" i="11"/>
  <c r="H1052" i="11"/>
  <c r="G1052" i="11"/>
  <c r="I1051" i="11"/>
  <c r="H1051" i="11"/>
  <c r="G1051" i="11"/>
  <c r="I1050" i="11"/>
  <c r="H1050" i="11"/>
  <c r="G1050" i="11"/>
  <c r="I1049" i="11"/>
  <c r="H1049" i="11"/>
  <c r="G1049" i="11"/>
  <c r="I1048" i="11"/>
  <c r="H1048" i="11"/>
  <c r="G1048" i="11"/>
  <c r="I1047" i="11"/>
  <c r="H1047" i="11"/>
  <c r="G1047" i="11"/>
  <c r="I1046" i="11"/>
  <c r="H1046" i="11"/>
  <c r="G1046" i="11"/>
  <c r="I1045" i="11"/>
  <c r="H1045" i="11"/>
  <c r="G1045" i="11"/>
  <c r="I1044" i="11"/>
  <c r="H1044" i="11"/>
  <c r="G1044" i="11"/>
  <c r="I1043" i="11"/>
  <c r="H1043" i="11"/>
  <c r="G1043" i="11"/>
  <c r="I1042" i="11"/>
  <c r="H1042" i="11"/>
  <c r="G1042" i="11"/>
  <c r="I1041" i="11"/>
  <c r="H1041" i="11"/>
  <c r="G1041" i="11"/>
  <c r="I1040" i="11"/>
  <c r="H1040" i="11"/>
  <c r="G1040" i="11"/>
  <c r="I1039" i="11"/>
  <c r="H1039" i="11"/>
  <c r="G1039" i="11"/>
  <c r="I1038" i="11"/>
  <c r="H1038" i="11"/>
  <c r="G1038" i="11"/>
  <c r="I1037" i="11"/>
  <c r="H1037" i="11"/>
  <c r="G1037" i="11"/>
  <c r="I1036" i="11"/>
  <c r="H1036" i="11"/>
  <c r="G1036" i="11"/>
  <c r="I1035" i="11"/>
  <c r="H1035" i="11"/>
  <c r="G1035" i="11"/>
  <c r="I1034" i="11"/>
  <c r="H1034" i="11"/>
  <c r="G1034" i="11"/>
  <c r="I1033" i="11"/>
  <c r="H1033" i="11"/>
  <c r="G1033" i="11"/>
  <c r="I1032" i="11"/>
  <c r="H1032" i="11"/>
  <c r="G1032" i="11"/>
  <c r="I1031" i="11"/>
  <c r="H1031" i="11"/>
  <c r="G1031" i="11"/>
  <c r="I1030" i="11"/>
  <c r="H1030" i="11"/>
  <c r="G1030" i="11"/>
  <c r="I1029" i="11"/>
  <c r="H1029" i="11"/>
  <c r="G1029" i="11"/>
  <c r="I1028" i="11"/>
  <c r="H1028" i="11"/>
  <c r="G1028" i="11"/>
  <c r="I1027" i="11"/>
  <c r="H1027" i="11"/>
  <c r="G1027" i="11"/>
  <c r="I1026" i="11"/>
  <c r="H1026" i="11"/>
  <c r="G1026" i="11"/>
  <c r="I1025" i="11"/>
  <c r="H1025" i="11"/>
  <c r="G1025" i="11"/>
  <c r="I1024" i="11"/>
  <c r="H1024" i="11"/>
  <c r="G1024" i="11"/>
  <c r="I1023" i="11"/>
  <c r="H1023" i="11"/>
  <c r="G1023" i="11"/>
  <c r="I1022" i="11"/>
  <c r="H1022" i="11"/>
  <c r="G1022" i="11"/>
  <c r="I1021" i="11"/>
  <c r="H1021" i="11"/>
  <c r="G1021" i="11"/>
  <c r="I1020" i="11"/>
  <c r="H1020" i="11"/>
  <c r="G1020" i="11"/>
  <c r="I1019" i="11"/>
  <c r="H1019" i="11"/>
  <c r="G1019" i="11"/>
  <c r="I1018" i="11"/>
  <c r="H1018" i="11"/>
  <c r="G1018" i="11"/>
  <c r="I1017" i="11"/>
  <c r="H1017" i="11"/>
  <c r="G1017" i="11"/>
  <c r="I1016" i="11"/>
  <c r="H1016" i="11"/>
  <c r="G1016" i="11"/>
  <c r="I1015" i="11"/>
  <c r="H1015" i="11"/>
  <c r="G1015" i="11"/>
  <c r="I1014" i="11"/>
  <c r="H1014" i="11"/>
  <c r="G1014" i="11"/>
  <c r="I1013" i="11"/>
  <c r="H1013" i="11"/>
  <c r="G1013" i="11"/>
  <c r="I1012" i="11"/>
  <c r="H1012" i="11"/>
  <c r="G1012" i="11"/>
  <c r="I1011" i="11"/>
  <c r="H1011" i="11"/>
  <c r="G1011" i="11"/>
  <c r="I1010" i="11"/>
  <c r="H1010" i="11"/>
  <c r="G1010" i="11"/>
  <c r="I1009" i="11"/>
  <c r="H1009" i="11"/>
  <c r="G1009" i="11"/>
  <c r="I1008" i="11"/>
  <c r="H1008" i="11"/>
  <c r="G1008" i="11"/>
  <c r="I1007" i="11"/>
  <c r="H1007" i="11"/>
  <c r="G1007" i="11"/>
  <c r="I1006" i="11"/>
  <c r="H1006" i="11"/>
  <c r="G1006" i="11"/>
  <c r="I1005" i="11"/>
  <c r="H1005" i="11"/>
  <c r="G1005" i="11"/>
  <c r="I1004" i="11"/>
  <c r="H1004" i="11"/>
  <c r="G1004" i="11"/>
  <c r="I1003" i="11"/>
  <c r="H1003" i="11"/>
  <c r="G1003" i="11"/>
  <c r="I1002" i="11"/>
  <c r="H1002" i="11"/>
  <c r="G1002" i="11"/>
  <c r="I1001" i="11"/>
  <c r="H1001" i="11"/>
  <c r="G1001" i="11"/>
  <c r="I1000" i="11"/>
  <c r="H1000" i="11"/>
  <c r="G1000" i="11"/>
  <c r="I999" i="11"/>
  <c r="H999" i="11"/>
  <c r="G999" i="11"/>
  <c r="I998" i="11"/>
  <c r="H998" i="11"/>
  <c r="G998" i="11"/>
  <c r="I997" i="11"/>
  <c r="H997" i="11"/>
  <c r="G997" i="11"/>
  <c r="I996" i="11"/>
  <c r="H996" i="11"/>
  <c r="G996" i="11"/>
  <c r="I995" i="11"/>
  <c r="H995" i="11"/>
  <c r="G995" i="11"/>
  <c r="I994" i="11"/>
  <c r="H994" i="11"/>
  <c r="G994" i="11"/>
  <c r="I993" i="11"/>
  <c r="H993" i="11"/>
  <c r="G993" i="11"/>
  <c r="I992" i="11"/>
  <c r="H992" i="11"/>
  <c r="G992" i="11"/>
  <c r="I991" i="11"/>
  <c r="H991" i="11"/>
  <c r="G991" i="11"/>
  <c r="I990" i="11"/>
  <c r="H990" i="11"/>
  <c r="G990" i="11"/>
  <c r="I989" i="11"/>
  <c r="H989" i="11"/>
  <c r="G989" i="11"/>
  <c r="I988" i="11"/>
  <c r="H988" i="11"/>
  <c r="G988" i="11"/>
  <c r="I987" i="11"/>
  <c r="H987" i="11"/>
  <c r="G987" i="11"/>
  <c r="I986" i="11"/>
  <c r="H986" i="11"/>
  <c r="G986" i="11"/>
  <c r="I985" i="11"/>
  <c r="H985" i="11"/>
  <c r="G985" i="11"/>
  <c r="I984" i="11"/>
  <c r="H984" i="11"/>
  <c r="G984" i="11"/>
  <c r="I983" i="11"/>
  <c r="H983" i="11"/>
  <c r="G983" i="11"/>
  <c r="I982" i="11"/>
  <c r="H982" i="11"/>
  <c r="G982" i="11"/>
  <c r="I981" i="11"/>
  <c r="H981" i="11"/>
  <c r="G981" i="11"/>
  <c r="I980" i="11"/>
  <c r="H980" i="11"/>
  <c r="G980" i="11"/>
  <c r="I979" i="11"/>
  <c r="H979" i="11"/>
  <c r="G979" i="11"/>
  <c r="I978" i="11"/>
  <c r="H978" i="11"/>
  <c r="G978" i="11"/>
  <c r="I977" i="11"/>
  <c r="H977" i="11"/>
  <c r="G977" i="11"/>
  <c r="I976" i="11"/>
  <c r="H976" i="11"/>
  <c r="G976" i="11"/>
  <c r="I975" i="11"/>
  <c r="H975" i="11"/>
  <c r="G975" i="11"/>
  <c r="I974" i="11"/>
  <c r="H974" i="11"/>
  <c r="G974" i="11"/>
  <c r="I973" i="11"/>
  <c r="H973" i="11"/>
  <c r="G973" i="11"/>
  <c r="I972" i="11"/>
  <c r="H972" i="11"/>
  <c r="G972" i="11"/>
  <c r="I971" i="11"/>
  <c r="H971" i="11"/>
  <c r="G971" i="11"/>
  <c r="I970" i="11"/>
  <c r="H970" i="11"/>
  <c r="G970" i="11"/>
  <c r="I969" i="11"/>
  <c r="H969" i="11"/>
  <c r="G969" i="11"/>
  <c r="I968" i="11"/>
  <c r="H968" i="11"/>
  <c r="G968" i="11"/>
  <c r="I967" i="11"/>
  <c r="H967" i="11"/>
  <c r="G967" i="11"/>
  <c r="I966" i="11"/>
  <c r="H966" i="11"/>
  <c r="G966" i="11"/>
  <c r="I965" i="11"/>
  <c r="H965" i="11"/>
  <c r="G965" i="11"/>
  <c r="I964" i="11"/>
  <c r="H964" i="11"/>
  <c r="G964" i="11"/>
  <c r="I963" i="11"/>
  <c r="H963" i="11"/>
  <c r="G963" i="11"/>
  <c r="I962" i="11"/>
  <c r="H962" i="11"/>
  <c r="G962" i="11"/>
  <c r="I961" i="11"/>
  <c r="H961" i="11"/>
  <c r="G961" i="11"/>
  <c r="I960" i="11"/>
  <c r="H960" i="11"/>
  <c r="G960" i="11"/>
  <c r="I959" i="11"/>
  <c r="H959" i="11"/>
  <c r="G959" i="11"/>
  <c r="I958" i="11"/>
  <c r="H958" i="11"/>
  <c r="G958" i="11"/>
  <c r="I957" i="11"/>
  <c r="H957" i="11"/>
  <c r="G957" i="11"/>
  <c r="I956" i="11"/>
  <c r="H956" i="11"/>
  <c r="G956" i="11"/>
  <c r="I955" i="11"/>
  <c r="H955" i="11"/>
  <c r="G955" i="11"/>
  <c r="I954" i="11"/>
  <c r="H954" i="11"/>
  <c r="G954" i="11"/>
  <c r="I953" i="11"/>
  <c r="H953" i="11"/>
  <c r="G953" i="11"/>
  <c r="I952" i="11"/>
  <c r="H952" i="11"/>
  <c r="G952" i="11"/>
  <c r="I951" i="11"/>
  <c r="H951" i="11"/>
  <c r="G951" i="11"/>
  <c r="I950" i="11"/>
  <c r="H950" i="11"/>
  <c r="G950" i="11"/>
  <c r="I949" i="11"/>
  <c r="H949" i="11"/>
  <c r="G949" i="11"/>
  <c r="I948" i="11"/>
  <c r="H948" i="11"/>
  <c r="G948" i="11"/>
  <c r="I947" i="11"/>
  <c r="H947" i="11"/>
  <c r="G947" i="11"/>
  <c r="I946" i="11"/>
  <c r="H946" i="11"/>
  <c r="G946" i="11"/>
  <c r="I945" i="11"/>
  <c r="H945" i="11"/>
  <c r="G945" i="11"/>
  <c r="I944" i="11"/>
  <c r="H944" i="11"/>
  <c r="G944" i="11"/>
  <c r="I943" i="11"/>
  <c r="H943" i="11"/>
  <c r="G943" i="11"/>
  <c r="I942" i="11"/>
  <c r="H942" i="11"/>
  <c r="G942" i="11"/>
  <c r="I941" i="11"/>
  <c r="H941" i="11"/>
  <c r="G941" i="11"/>
  <c r="I940" i="11"/>
  <c r="H940" i="11"/>
  <c r="G940" i="11"/>
  <c r="I939" i="11"/>
  <c r="H939" i="11"/>
  <c r="G939" i="11"/>
  <c r="I938" i="11"/>
  <c r="H938" i="11"/>
  <c r="G938" i="11"/>
  <c r="I937" i="11"/>
  <c r="H937" i="11"/>
  <c r="G937" i="11"/>
  <c r="I936" i="11"/>
  <c r="H936" i="11"/>
  <c r="G936" i="11"/>
  <c r="I935" i="11"/>
  <c r="H935" i="11"/>
  <c r="G935" i="11"/>
  <c r="I934" i="11"/>
  <c r="H934" i="11"/>
  <c r="G934" i="11"/>
  <c r="I933" i="11"/>
  <c r="H933" i="11"/>
  <c r="G933" i="11"/>
  <c r="I932" i="11"/>
  <c r="H932" i="11"/>
  <c r="G932" i="11"/>
  <c r="I931" i="11"/>
  <c r="H931" i="11"/>
  <c r="G931" i="11"/>
  <c r="I930" i="11"/>
  <c r="H930" i="11"/>
  <c r="G930" i="11"/>
  <c r="I929" i="11"/>
  <c r="H929" i="11"/>
  <c r="G929" i="11"/>
  <c r="I928" i="11"/>
  <c r="H928" i="11"/>
  <c r="G928" i="11"/>
  <c r="I927" i="11"/>
  <c r="H927" i="11"/>
  <c r="G927" i="11"/>
  <c r="I926" i="11"/>
  <c r="H926" i="11"/>
  <c r="G926" i="11"/>
  <c r="I925" i="11"/>
  <c r="H925" i="11"/>
  <c r="G925" i="11"/>
  <c r="I924" i="11"/>
  <c r="H924" i="11"/>
  <c r="G924" i="11"/>
  <c r="I923" i="11"/>
  <c r="H923" i="11"/>
  <c r="G923" i="11"/>
  <c r="I922" i="11"/>
  <c r="H922" i="11"/>
  <c r="G922" i="11"/>
  <c r="I921" i="11"/>
  <c r="H921" i="11"/>
  <c r="G921" i="11"/>
  <c r="I920" i="11"/>
  <c r="H920" i="11"/>
  <c r="G920" i="11"/>
  <c r="I919" i="11"/>
  <c r="H919" i="11"/>
  <c r="G919" i="11"/>
  <c r="I918" i="11"/>
  <c r="H918" i="11"/>
  <c r="G918" i="11"/>
  <c r="I917" i="11"/>
  <c r="H917" i="11"/>
  <c r="G917" i="11"/>
  <c r="I916" i="11"/>
  <c r="H916" i="11"/>
  <c r="G916" i="11"/>
  <c r="I915" i="11"/>
  <c r="H915" i="11"/>
  <c r="G915" i="11"/>
  <c r="I914" i="11"/>
  <c r="H914" i="11"/>
  <c r="G914" i="11"/>
  <c r="I913" i="11"/>
  <c r="H913" i="11"/>
  <c r="G913" i="11"/>
  <c r="I912" i="11"/>
  <c r="H912" i="11"/>
  <c r="G912" i="11"/>
  <c r="I911" i="11"/>
  <c r="H911" i="11"/>
  <c r="G911" i="11"/>
  <c r="I910" i="11"/>
  <c r="H910" i="11"/>
  <c r="G910" i="11"/>
  <c r="I909" i="11"/>
  <c r="H909" i="11"/>
  <c r="G909" i="11"/>
  <c r="I908" i="11"/>
  <c r="H908" i="11"/>
  <c r="G908" i="11"/>
  <c r="I907" i="11"/>
  <c r="H907" i="11"/>
  <c r="G907" i="11"/>
  <c r="I906" i="11"/>
  <c r="H906" i="11"/>
  <c r="G906" i="11"/>
  <c r="I905" i="11"/>
  <c r="H905" i="11"/>
  <c r="G905" i="11"/>
  <c r="I904" i="11"/>
  <c r="H904" i="11"/>
  <c r="G904" i="11"/>
  <c r="I903" i="11"/>
  <c r="H903" i="11"/>
  <c r="G903" i="11"/>
  <c r="I902" i="11"/>
  <c r="H902" i="11"/>
  <c r="G902" i="11"/>
  <c r="I901" i="11"/>
  <c r="H901" i="11"/>
  <c r="G901" i="11"/>
  <c r="I900" i="11"/>
  <c r="H900" i="11"/>
  <c r="G900" i="11"/>
  <c r="I899" i="11"/>
  <c r="H899" i="11"/>
  <c r="G899" i="11"/>
  <c r="I898" i="11"/>
  <c r="H898" i="11"/>
  <c r="G898" i="11"/>
  <c r="I897" i="11"/>
  <c r="H897" i="11"/>
  <c r="G897" i="11"/>
  <c r="I896" i="11"/>
  <c r="H896" i="11"/>
  <c r="G896" i="11"/>
  <c r="I895" i="11"/>
  <c r="H895" i="11"/>
  <c r="G895" i="11"/>
  <c r="I894" i="11"/>
  <c r="H894" i="11"/>
  <c r="G894" i="11"/>
  <c r="I893" i="11"/>
  <c r="H893" i="11"/>
  <c r="G893" i="11"/>
  <c r="I892" i="11"/>
  <c r="H892" i="11"/>
  <c r="G892" i="11"/>
  <c r="I891" i="11"/>
  <c r="H891" i="11"/>
  <c r="G891" i="11"/>
  <c r="I890" i="11"/>
  <c r="H890" i="11"/>
  <c r="G890" i="11"/>
  <c r="I889" i="11"/>
  <c r="H889" i="11"/>
  <c r="G889" i="11"/>
  <c r="I888" i="11"/>
  <c r="H888" i="11"/>
  <c r="G888" i="11"/>
  <c r="I887" i="11"/>
  <c r="H887" i="11"/>
  <c r="G887" i="11"/>
  <c r="I886" i="11"/>
  <c r="H886" i="11"/>
  <c r="G886" i="11"/>
  <c r="I885" i="11"/>
  <c r="H885" i="11"/>
  <c r="G885" i="11"/>
  <c r="I884" i="11"/>
  <c r="H884" i="11"/>
  <c r="G884" i="11"/>
  <c r="I883" i="11"/>
  <c r="H883" i="11"/>
  <c r="G883" i="11"/>
  <c r="I882" i="11"/>
  <c r="H882" i="11"/>
  <c r="G882" i="11"/>
  <c r="I881" i="11"/>
  <c r="H881" i="11"/>
  <c r="G881" i="11"/>
  <c r="I880" i="11"/>
  <c r="H880" i="11"/>
  <c r="G880" i="11"/>
  <c r="I879" i="11"/>
  <c r="H879" i="11"/>
  <c r="G879" i="11"/>
  <c r="I878" i="11"/>
  <c r="H878" i="11"/>
  <c r="G878" i="11"/>
  <c r="I877" i="11"/>
  <c r="H877" i="11"/>
  <c r="G877" i="11"/>
  <c r="I876" i="11"/>
  <c r="H876" i="11"/>
  <c r="G876" i="11"/>
  <c r="I875" i="11"/>
  <c r="H875" i="11"/>
  <c r="G875" i="11"/>
  <c r="I874" i="11"/>
  <c r="H874" i="11"/>
  <c r="G874" i="11"/>
  <c r="I873" i="11"/>
  <c r="H873" i="11"/>
  <c r="G873" i="11"/>
  <c r="I872" i="11"/>
  <c r="H872" i="11"/>
  <c r="G872" i="11"/>
  <c r="I871" i="11"/>
  <c r="H871" i="11"/>
  <c r="G871" i="11"/>
  <c r="I870" i="11"/>
  <c r="H870" i="11"/>
  <c r="G870" i="11"/>
  <c r="I869" i="11"/>
  <c r="H869" i="11"/>
  <c r="G869" i="11"/>
  <c r="I868" i="11"/>
  <c r="H868" i="11"/>
  <c r="G868" i="11"/>
  <c r="I867" i="11"/>
  <c r="H867" i="11"/>
  <c r="G867" i="11"/>
  <c r="I866" i="11"/>
  <c r="H866" i="11"/>
  <c r="G866" i="11"/>
  <c r="I865" i="11"/>
  <c r="H865" i="11"/>
  <c r="G865" i="11"/>
  <c r="I864" i="11"/>
  <c r="H864" i="11"/>
  <c r="G864" i="11"/>
  <c r="I863" i="11"/>
  <c r="H863" i="11"/>
  <c r="G863" i="11"/>
  <c r="I862" i="11"/>
  <c r="H862" i="11"/>
  <c r="G862" i="11"/>
  <c r="I861" i="11"/>
  <c r="H861" i="11"/>
  <c r="G861" i="11"/>
  <c r="I860" i="11"/>
  <c r="H860" i="11"/>
  <c r="G860" i="11"/>
  <c r="I859" i="11"/>
  <c r="H859" i="11"/>
  <c r="G859" i="11"/>
  <c r="I858" i="11"/>
  <c r="H858" i="11"/>
  <c r="G858" i="11"/>
  <c r="I857" i="11"/>
  <c r="H857" i="11"/>
  <c r="G857" i="11"/>
  <c r="I856" i="11"/>
  <c r="H856" i="11"/>
  <c r="G856" i="11"/>
  <c r="I855" i="11"/>
  <c r="H855" i="11"/>
  <c r="G855" i="11"/>
  <c r="I854" i="11"/>
  <c r="H854" i="11"/>
  <c r="G854" i="11"/>
  <c r="I853" i="11"/>
  <c r="H853" i="11"/>
  <c r="G853" i="11"/>
  <c r="I852" i="11"/>
  <c r="H852" i="11"/>
  <c r="G852" i="11"/>
  <c r="I851" i="11"/>
  <c r="H851" i="11"/>
  <c r="G851" i="11"/>
  <c r="I850" i="11"/>
  <c r="H850" i="11"/>
  <c r="G850" i="11"/>
  <c r="I849" i="11"/>
  <c r="H849" i="11"/>
  <c r="G849" i="11"/>
  <c r="I848" i="11"/>
  <c r="H848" i="11"/>
  <c r="G848" i="11"/>
  <c r="I847" i="11"/>
  <c r="H847" i="11"/>
  <c r="G847" i="11"/>
  <c r="I846" i="11"/>
  <c r="H846" i="11"/>
  <c r="G846" i="11"/>
  <c r="I845" i="11"/>
  <c r="H845" i="11"/>
  <c r="G845" i="11"/>
  <c r="I844" i="11"/>
  <c r="H844" i="11"/>
  <c r="G844" i="11"/>
  <c r="I843" i="11"/>
  <c r="H843" i="11"/>
  <c r="G843" i="11"/>
  <c r="I842" i="11"/>
  <c r="H842" i="11"/>
  <c r="G842" i="11"/>
  <c r="I841" i="11"/>
  <c r="H841" i="11"/>
  <c r="G841" i="11"/>
  <c r="I840" i="11"/>
  <c r="H840" i="11"/>
  <c r="G840" i="11"/>
  <c r="I839" i="11"/>
  <c r="H839" i="11"/>
  <c r="G839" i="11"/>
  <c r="I838" i="11"/>
  <c r="H838" i="11"/>
  <c r="G838" i="11"/>
  <c r="I837" i="11"/>
  <c r="H837" i="11"/>
  <c r="G837" i="11"/>
  <c r="I836" i="11"/>
  <c r="H836" i="11"/>
  <c r="G836" i="11"/>
  <c r="I835" i="11"/>
  <c r="H835" i="11"/>
  <c r="G835" i="11"/>
  <c r="I834" i="11"/>
  <c r="H834" i="11"/>
  <c r="G834" i="11"/>
  <c r="I833" i="11"/>
  <c r="H833" i="11"/>
  <c r="G833" i="11"/>
  <c r="I832" i="11"/>
  <c r="H832" i="11"/>
  <c r="G832" i="11"/>
  <c r="I831" i="11"/>
  <c r="H831" i="11"/>
  <c r="G831" i="11"/>
  <c r="I830" i="11"/>
  <c r="H830" i="11"/>
  <c r="G830" i="11"/>
  <c r="I829" i="11"/>
  <c r="H829" i="11"/>
  <c r="G829" i="11"/>
  <c r="I828" i="11"/>
  <c r="H828" i="11"/>
  <c r="G828" i="11"/>
  <c r="I827" i="11"/>
  <c r="H827" i="11"/>
  <c r="G827" i="11"/>
  <c r="I826" i="11"/>
  <c r="H826" i="11"/>
  <c r="G826" i="11"/>
  <c r="I825" i="11"/>
  <c r="H825" i="11"/>
  <c r="G825" i="11"/>
  <c r="I824" i="11"/>
  <c r="H824" i="11"/>
  <c r="G824" i="11"/>
  <c r="I823" i="11"/>
  <c r="H823" i="11"/>
  <c r="G823" i="11"/>
  <c r="I822" i="11"/>
  <c r="H822" i="11"/>
  <c r="G822" i="11"/>
  <c r="I821" i="11"/>
  <c r="H821" i="11"/>
  <c r="G821" i="11"/>
  <c r="I820" i="11"/>
  <c r="H820" i="11"/>
  <c r="G820" i="11"/>
  <c r="I819" i="11"/>
  <c r="H819" i="11"/>
  <c r="G819" i="11"/>
  <c r="I818" i="11"/>
  <c r="H818" i="11"/>
  <c r="G818" i="11"/>
  <c r="I817" i="11"/>
  <c r="H817" i="11"/>
  <c r="G817" i="11"/>
  <c r="I816" i="11"/>
  <c r="H816" i="11"/>
  <c r="G816" i="11"/>
  <c r="I815" i="11"/>
  <c r="H815" i="11"/>
  <c r="G815" i="11"/>
  <c r="I814" i="11"/>
  <c r="H814" i="11"/>
  <c r="G814" i="11"/>
  <c r="I813" i="11"/>
  <c r="H813" i="11"/>
  <c r="G813" i="11"/>
  <c r="I812" i="11"/>
  <c r="H812" i="11"/>
  <c r="G812" i="11"/>
  <c r="I811" i="11"/>
  <c r="H811" i="11"/>
  <c r="G811" i="11"/>
  <c r="I810" i="11"/>
  <c r="H810" i="11"/>
  <c r="G810" i="11"/>
  <c r="I809" i="11"/>
  <c r="H809" i="11"/>
  <c r="G809" i="11"/>
  <c r="I808" i="11"/>
  <c r="H808" i="11"/>
  <c r="G808" i="11"/>
  <c r="I807" i="11"/>
  <c r="H807" i="11"/>
  <c r="G807" i="11"/>
  <c r="I806" i="11"/>
  <c r="H806" i="11"/>
  <c r="G806" i="11"/>
  <c r="I805" i="11"/>
  <c r="H805" i="11"/>
  <c r="G805" i="11"/>
  <c r="I804" i="11"/>
  <c r="H804" i="11"/>
  <c r="G804" i="11"/>
  <c r="I803" i="11"/>
  <c r="H803" i="11"/>
  <c r="G803" i="11"/>
  <c r="I802" i="11"/>
  <c r="H802" i="11"/>
  <c r="G802" i="11"/>
  <c r="I801" i="11"/>
  <c r="H801" i="11"/>
  <c r="G801" i="11"/>
  <c r="I800" i="11"/>
  <c r="H800" i="11"/>
  <c r="G800" i="11"/>
  <c r="I799" i="11"/>
  <c r="H799" i="11"/>
  <c r="G799" i="11"/>
  <c r="I798" i="11"/>
  <c r="H798" i="11"/>
  <c r="G798" i="11"/>
  <c r="I797" i="11"/>
  <c r="H797" i="11"/>
  <c r="G797" i="11"/>
  <c r="I796" i="11"/>
  <c r="H796" i="11"/>
  <c r="G796" i="11"/>
  <c r="I795" i="11"/>
  <c r="H795" i="11"/>
  <c r="G795" i="11"/>
  <c r="I794" i="11"/>
  <c r="H794" i="11"/>
  <c r="G794" i="11"/>
  <c r="I793" i="11"/>
  <c r="H793" i="11"/>
  <c r="G793" i="11"/>
  <c r="I792" i="11"/>
  <c r="H792" i="11"/>
  <c r="G792" i="11"/>
  <c r="I791" i="11"/>
  <c r="H791" i="11"/>
  <c r="G791" i="11"/>
  <c r="I790" i="11"/>
  <c r="H790" i="11"/>
  <c r="G790" i="11"/>
  <c r="I789" i="11"/>
  <c r="H789" i="11"/>
  <c r="G789" i="11"/>
  <c r="I788" i="11"/>
  <c r="H788" i="11"/>
  <c r="G788" i="11"/>
  <c r="I787" i="11"/>
  <c r="H787" i="11"/>
  <c r="G787" i="11"/>
  <c r="I786" i="11"/>
  <c r="H786" i="11"/>
  <c r="G786" i="11"/>
  <c r="I785" i="11"/>
  <c r="H785" i="11"/>
  <c r="G785" i="11"/>
  <c r="I784" i="11"/>
  <c r="H784" i="11"/>
  <c r="G784" i="11"/>
  <c r="I783" i="11"/>
  <c r="H783" i="11"/>
  <c r="G783" i="11"/>
  <c r="I782" i="11"/>
  <c r="H782" i="11"/>
  <c r="G782" i="11"/>
  <c r="I781" i="11"/>
  <c r="H781" i="11"/>
  <c r="G781" i="11"/>
  <c r="I780" i="11"/>
  <c r="H780" i="11"/>
  <c r="G780" i="11"/>
  <c r="I779" i="11"/>
  <c r="H779" i="11"/>
  <c r="G779" i="11"/>
  <c r="I778" i="11"/>
  <c r="H778" i="11"/>
  <c r="G778" i="11"/>
  <c r="I777" i="11"/>
  <c r="H777" i="11"/>
  <c r="G777" i="11"/>
  <c r="I776" i="11"/>
  <c r="H776" i="11"/>
  <c r="G776" i="11"/>
  <c r="I775" i="11"/>
  <c r="H775" i="11"/>
  <c r="G775" i="11"/>
  <c r="I774" i="11"/>
  <c r="H774" i="11"/>
  <c r="G774" i="11"/>
  <c r="I773" i="11"/>
  <c r="H773" i="11"/>
  <c r="G773" i="11"/>
  <c r="I772" i="11"/>
  <c r="H772" i="11"/>
  <c r="G772" i="11"/>
  <c r="I771" i="11"/>
  <c r="H771" i="11"/>
  <c r="G771" i="11"/>
  <c r="I770" i="11"/>
  <c r="H770" i="11"/>
  <c r="G770" i="11"/>
  <c r="I769" i="11"/>
  <c r="H769" i="11"/>
  <c r="G769" i="11"/>
  <c r="I768" i="11"/>
  <c r="H768" i="11"/>
  <c r="G768" i="11"/>
  <c r="I767" i="11"/>
  <c r="H767" i="11"/>
  <c r="G767" i="11"/>
  <c r="I766" i="11"/>
  <c r="H766" i="11"/>
  <c r="G766" i="11"/>
  <c r="I765" i="11"/>
  <c r="H765" i="11"/>
  <c r="G765" i="11"/>
  <c r="I764" i="11"/>
  <c r="H764" i="11"/>
  <c r="G764" i="11"/>
  <c r="I763" i="11"/>
  <c r="H763" i="11"/>
  <c r="G763" i="11"/>
  <c r="I762" i="11"/>
  <c r="H762" i="11"/>
  <c r="G762" i="11"/>
  <c r="I761" i="11"/>
  <c r="H761" i="11"/>
  <c r="G761" i="11"/>
  <c r="I760" i="11"/>
  <c r="H760" i="11"/>
  <c r="G760" i="11"/>
  <c r="I759" i="11"/>
  <c r="H759" i="11"/>
  <c r="G759" i="11"/>
  <c r="I758" i="11"/>
  <c r="H758" i="11"/>
  <c r="G758" i="11"/>
  <c r="I757" i="11"/>
  <c r="H757" i="11"/>
  <c r="G757" i="11"/>
  <c r="I756" i="11"/>
  <c r="H756" i="11"/>
  <c r="G756" i="11"/>
  <c r="I755" i="11"/>
  <c r="H755" i="11"/>
  <c r="G755" i="11"/>
  <c r="I754" i="11"/>
  <c r="H754" i="11"/>
  <c r="G754" i="11"/>
  <c r="I753" i="11"/>
  <c r="H753" i="11"/>
  <c r="G753" i="11"/>
  <c r="I752" i="11"/>
  <c r="H752" i="11"/>
  <c r="G752" i="11"/>
  <c r="I751" i="11"/>
  <c r="H751" i="11"/>
  <c r="G751" i="11"/>
  <c r="I750" i="11"/>
  <c r="H750" i="11"/>
  <c r="G750" i="11"/>
  <c r="I749" i="11"/>
  <c r="H749" i="11"/>
  <c r="G749" i="11"/>
  <c r="I748" i="11"/>
  <c r="H748" i="11"/>
  <c r="G748" i="11"/>
  <c r="I747" i="11"/>
  <c r="H747" i="11"/>
  <c r="G747" i="11"/>
  <c r="I746" i="11"/>
  <c r="H746" i="11"/>
  <c r="G746" i="11"/>
  <c r="I745" i="11"/>
  <c r="H745" i="11"/>
  <c r="G745" i="11"/>
  <c r="I744" i="11"/>
  <c r="H744" i="11"/>
  <c r="G744" i="11"/>
  <c r="I743" i="11"/>
  <c r="H743" i="11"/>
  <c r="G743" i="11"/>
  <c r="I742" i="11"/>
  <c r="H742" i="11"/>
  <c r="G742" i="11"/>
  <c r="I741" i="11"/>
  <c r="H741" i="11"/>
  <c r="G741" i="11"/>
  <c r="I740" i="11"/>
  <c r="H740" i="11"/>
  <c r="G740" i="11"/>
  <c r="I739" i="11"/>
  <c r="H739" i="11"/>
  <c r="G739" i="11"/>
  <c r="I738" i="11"/>
  <c r="H738" i="11"/>
  <c r="G738" i="11"/>
  <c r="I737" i="11"/>
  <c r="H737" i="11"/>
  <c r="G737" i="11"/>
  <c r="I736" i="11"/>
  <c r="H736" i="11"/>
  <c r="G736" i="11"/>
  <c r="I735" i="11"/>
  <c r="H735" i="11"/>
  <c r="G735" i="11"/>
  <c r="I734" i="11"/>
  <c r="H734" i="11"/>
  <c r="G734" i="11"/>
  <c r="I733" i="11"/>
  <c r="H733" i="11"/>
  <c r="G733" i="11"/>
  <c r="I732" i="11"/>
  <c r="H732" i="11"/>
  <c r="G732" i="11"/>
  <c r="I731" i="11"/>
  <c r="H731" i="11"/>
  <c r="G731" i="11"/>
  <c r="I730" i="11"/>
  <c r="H730" i="11"/>
  <c r="G730" i="11"/>
  <c r="I729" i="11"/>
  <c r="H729" i="11"/>
  <c r="G729" i="11"/>
  <c r="I728" i="11"/>
  <c r="H728" i="11"/>
  <c r="G728" i="11"/>
  <c r="I727" i="11"/>
  <c r="H727" i="11"/>
  <c r="G727" i="11"/>
  <c r="I726" i="11"/>
  <c r="H726" i="11"/>
  <c r="G726" i="11"/>
  <c r="I725" i="11"/>
  <c r="H725" i="11"/>
  <c r="G725" i="11"/>
  <c r="I724" i="11"/>
  <c r="H724" i="11"/>
  <c r="G724" i="11"/>
  <c r="I723" i="11"/>
  <c r="H723" i="11"/>
  <c r="G723" i="11"/>
  <c r="I722" i="11"/>
  <c r="H722" i="11"/>
  <c r="G722" i="11"/>
  <c r="I721" i="11"/>
  <c r="H721" i="11"/>
  <c r="G721" i="11"/>
  <c r="I720" i="11"/>
  <c r="H720" i="11"/>
  <c r="G720" i="11"/>
  <c r="I719" i="11"/>
  <c r="H719" i="11"/>
  <c r="G719" i="11"/>
  <c r="I718" i="11"/>
  <c r="H718" i="11"/>
  <c r="G718" i="11"/>
  <c r="I717" i="11"/>
  <c r="H717" i="11"/>
  <c r="G717" i="11"/>
  <c r="I716" i="11"/>
  <c r="H716" i="11"/>
  <c r="G716" i="11"/>
  <c r="I715" i="11"/>
  <c r="H715" i="11"/>
  <c r="G715" i="11"/>
  <c r="I714" i="11"/>
  <c r="H714" i="11"/>
  <c r="G714" i="11"/>
  <c r="I713" i="11"/>
  <c r="H713" i="11"/>
  <c r="G713" i="11"/>
  <c r="I712" i="11"/>
  <c r="H712" i="11"/>
  <c r="G712" i="11"/>
  <c r="I711" i="11"/>
  <c r="H711" i="11"/>
  <c r="G711" i="11"/>
  <c r="I710" i="11"/>
  <c r="H710" i="11"/>
  <c r="G710" i="11"/>
  <c r="I709" i="11"/>
  <c r="H709" i="11"/>
  <c r="G709" i="11"/>
  <c r="I708" i="11"/>
  <c r="H708" i="11"/>
  <c r="G708" i="11"/>
  <c r="I707" i="11"/>
  <c r="H707" i="11"/>
  <c r="G707" i="11"/>
  <c r="I706" i="11"/>
  <c r="H706" i="11"/>
  <c r="G706" i="11"/>
  <c r="I705" i="11"/>
  <c r="H705" i="11"/>
  <c r="G705" i="11"/>
  <c r="I704" i="11"/>
  <c r="H704" i="11"/>
  <c r="G704" i="11"/>
  <c r="I703" i="11"/>
  <c r="H703" i="11"/>
  <c r="G703" i="11"/>
  <c r="I702" i="11"/>
  <c r="H702" i="11"/>
  <c r="G702" i="11"/>
  <c r="I701" i="11"/>
  <c r="H701" i="11"/>
  <c r="G701" i="11"/>
  <c r="I700" i="11"/>
  <c r="H700" i="11"/>
  <c r="G700" i="11"/>
  <c r="I699" i="11"/>
  <c r="H699" i="11"/>
  <c r="G699" i="11"/>
  <c r="I698" i="11"/>
  <c r="H698" i="11"/>
  <c r="G698" i="11"/>
  <c r="I697" i="11"/>
  <c r="H697" i="11"/>
  <c r="G697" i="11"/>
  <c r="I696" i="11"/>
  <c r="H696" i="11"/>
  <c r="G696" i="11"/>
  <c r="I695" i="11"/>
  <c r="H695" i="11"/>
  <c r="G695" i="11"/>
  <c r="I694" i="11"/>
  <c r="H694" i="11"/>
  <c r="G694" i="11"/>
  <c r="I693" i="11"/>
  <c r="H693" i="11"/>
  <c r="G693" i="11"/>
  <c r="I692" i="11"/>
  <c r="H692" i="11"/>
  <c r="G692" i="11"/>
  <c r="I691" i="11"/>
  <c r="H691" i="11"/>
  <c r="G691" i="11"/>
  <c r="I690" i="11"/>
  <c r="H690" i="11"/>
  <c r="G690" i="11"/>
  <c r="I689" i="11"/>
  <c r="H689" i="11"/>
  <c r="G689" i="11"/>
  <c r="I688" i="11"/>
  <c r="H688" i="11"/>
  <c r="G688" i="11"/>
  <c r="I687" i="11"/>
  <c r="H687" i="11"/>
  <c r="G687" i="11"/>
  <c r="I686" i="11"/>
  <c r="H686" i="11"/>
  <c r="G686" i="11"/>
  <c r="I685" i="11"/>
  <c r="H685" i="11"/>
  <c r="G685" i="11"/>
  <c r="I684" i="11"/>
  <c r="H684" i="11"/>
  <c r="G684" i="11"/>
  <c r="I683" i="11"/>
  <c r="H683" i="11"/>
  <c r="G683" i="11"/>
  <c r="I682" i="11"/>
  <c r="H682" i="11"/>
  <c r="G682" i="11"/>
  <c r="I681" i="11"/>
  <c r="H681" i="11"/>
  <c r="G681" i="11"/>
  <c r="I680" i="11"/>
  <c r="H680" i="11"/>
  <c r="G680" i="11"/>
  <c r="I679" i="11"/>
  <c r="H679" i="11"/>
  <c r="G679" i="11"/>
  <c r="I678" i="11"/>
  <c r="H678" i="11"/>
  <c r="G678" i="11"/>
  <c r="I677" i="11"/>
  <c r="H677" i="11"/>
  <c r="G677" i="11"/>
  <c r="I676" i="11"/>
  <c r="H676" i="11"/>
  <c r="G676" i="11"/>
  <c r="I675" i="11"/>
  <c r="H675" i="11"/>
  <c r="G675" i="11"/>
  <c r="I674" i="11"/>
  <c r="H674" i="11"/>
  <c r="G674" i="11"/>
  <c r="I673" i="11"/>
  <c r="H673" i="11"/>
  <c r="G673" i="11"/>
  <c r="I672" i="11"/>
  <c r="H672" i="11"/>
  <c r="G672" i="11"/>
  <c r="I671" i="11"/>
  <c r="H671" i="11"/>
  <c r="G671" i="11"/>
  <c r="I670" i="11"/>
  <c r="H670" i="11"/>
  <c r="G670" i="11"/>
  <c r="I669" i="11"/>
  <c r="H669" i="11"/>
  <c r="G669" i="11"/>
  <c r="I668" i="11"/>
  <c r="H668" i="11"/>
  <c r="G668" i="11"/>
  <c r="I667" i="11"/>
  <c r="H667" i="11"/>
  <c r="G667" i="11"/>
  <c r="I666" i="11"/>
  <c r="H666" i="11"/>
  <c r="G666" i="11"/>
  <c r="I665" i="11"/>
  <c r="H665" i="11"/>
  <c r="G665" i="11"/>
  <c r="I664" i="11"/>
  <c r="H664" i="11"/>
  <c r="G664" i="11"/>
  <c r="I663" i="11"/>
  <c r="H663" i="11"/>
  <c r="G663" i="11"/>
  <c r="I662" i="11"/>
  <c r="H662" i="11"/>
  <c r="G662" i="11"/>
  <c r="I661" i="11"/>
  <c r="H661" i="11"/>
  <c r="G661" i="11"/>
  <c r="I660" i="11"/>
  <c r="H660" i="11"/>
  <c r="G660" i="11"/>
  <c r="I659" i="11"/>
  <c r="H659" i="11"/>
  <c r="G659" i="11"/>
  <c r="I658" i="11"/>
  <c r="H658" i="11"/>
  <c r="G658" i="11"/>
  <c r="I657" i="11"/>
  <c r="H657" i="11"/>
  <c r="G657" i="11"/>
  <c r="I656" i="11"/>
  <c r="H656" i="11"/>
  <c r="G656" i="11"/>
  <c r="I655" i="11"/>
  <c r="H655" i="11"/>
  <c r="G655" i="11"/>
  <c r="I654" i="11"/>
  <c r="H654" i="11"/>
  <c r="G654" i="11"/>
  <c r="I653" i="11"/>
  <c r="H653" i="11"/>
  <c r="G653" i="11"/>
  <c r="I652" i="11"/>
  <c r="H652" i="11"/>
  <c r="G652" i="11"/>
  <c r="I651" i="11"/>
  <c r="H651" i="11"/>
  <c r="G651" i="11"/>
  <c r="I650" i="11"/>
  <c r="H650" i="11"/>
  <c r="G650" i="11"/>
  <c r="I649" i="11"/>
  <c r="H649" i="11"/>
  <c r="G649" i="11"/>
  <c r="I648" i="11"/>
  <c r="H648" i="11"/>
  <c r="G648" i="11"/>
  <c r="I647" i="11"/>
  <c r="H647" i="11"/>
  <c r="G647" i="11"/>
  <c r="I646" i="11"/>
  <c r="H646" i="11"/>
  <c r="G646" i="11"/>
  <c r="I645" i="11"/>
  <c r="H645" i="11"/>
  <c r="G645" i="11"/>
  <c r="I644" i="11"/>
  <c r="H644" i="11"/>
  <c r="G644" i="11"/>
  <c r="I643" i="11"/>
  <c r="H643" i="11"/>
  <c r="G643" i="11"/>
  <c r="I642" i="11"/>
  <c r="H642" i="11"/>
  <c r="G642" i="11"/>
  <c r="I641" i="11"/>
  <c r="H641" i="11"/>
  <c r="G641" i="11"/>
  <c r="I640" i="11"/>
  <c r="H640" i="11"/>
  <c r="G640" i="11"/>
  <c r="I639" i="11"/>
  <c r="H639" i="11"/>
  <c r="G639" i="11"/>
  <c r="I638" i="11"/>
  <c r="H638" i="11"/>
  <c r="G638" i="11"/>
  <c r="I637" i="11"/>
  <c r="H637" i="11"/>
  <c r="G637" i="11"/>
  <c r="I636" i="11"/>
  <c r="H636" i="11"/>
  <c r="G636" i="11"/>
  <c r="I635" i="11"/>
  <c r="H635" i="11"/>
  <c r="G635" i="11"/>
  <c r="I634" i="11"/>
  <c r="H634" i="11"/>
  <c r="G634" i="11"/>
  <c r="I633" i="11"/>
  <c r="H633" i="11"/>
  <c r="G633" i="11"/>
  <c r="I632" i="11"/>
  <c r="H632" i="11"/>
  <c r="G632" i="11"/>
  <c r="I631" i="11"/>
  <c r="H631" i="11"/>
  <c r="G631" i="11"/>
  <c r="I630" i="11"/>
  <c r="H630" i="11"/>
  <c r="G630" i="11"/>
  <c r="I629" i="11"/>
  <c r="H629" i="11"/>
  <c r="G629" i="11"/>
  <c r="I628" i="11"/>
  <c r="H628" i="11"/>
  <c r="G628" i="11"/>
  <c r="I627" i="11"/>
  <c r="H627" i="11"/>
  <c r="G627" i="11"/>
  <c r="I626" i="11"/>
  <c r="H626" i="11"/>
  <c r="G626" i="11"/>
  <c r="I625" i="11"/>
  <c r="H625" i="11"/>
  <c r="G625" i="11"/>
  <c r="I624" i="11"/>
  <c r="H624" i="11"/>
  <c r="G624" i="11"/>
  <c r="I623" i="11"/>
  <c r="H623" i="11"/>
  <c r="G623" i="11"/>
  <c r="I622" i="11"/>
  <c r="H622" i="11"/>
  <c r="G622" i="11"/>
  <c r="I621" i="11"/>
  <c r="H621" i="11"/>
  <c r="G621" i="11"/>
  <c r="I620" i="11"/>
  <c r="H620" i="11"/>
  <c r="G620" i="11"/>
  <c r="I619" i="11"/>
  <c r="H619" i="11"/>
  <c r="G619" i="11"/>
  <c r="I618" i="11"/>
  <c r="H618" i="11"/>
  <c r="G618" i="11"/>
  <c r="I617" i="11"/>
  <c r="H617" i="11"/>
  <c r="G617" i="11"/>
  <c r="I616" i="11"/>
  <c r="H616" i="11"/>
  <c r="G616" i="11"/>
  <c r="I615" i="11"/>
  <c r="H615" i="11"/>
  <c r="G615" i="11"/>
  <c r="I614" i="11"/>
  <c r="H614" i="11"/>
  <c r="G614" i="11"/>
  <c r="I613" i="11"/>
  <c r="H613" i="11"/>
  <c r="G613" i="11"/>
  <c r="I612" i="11"/>
  <c r="H612" i="11"/>
  <c r="G612" i="11"/>
  <c r="I611" i="11"/>
  <c r="H611" i="11"/>
  <c r="G611" i="11"/>
  <c r="I610" i="11"/>
  <c r="H610" i="11"/>
  <c r="G610" i="11"/>
  <c r="I609" i="11"/>
  <c r="H609" i="11"/>
  <c r="G609" i="11"/>
  <c r="I608" i="11"/>
  <c r="H608" i="11"/>
  <c r="G608" i="11"/>
  <c r="I607" i="11"/>
  <c r="H607" i="11"/>
  <c r="G607" i="11"/>
  <c r="I606" i="11"/>
  <c r="H606" i="11"/>
  <c r="G606" i="11"/>
  <c r="I605" i="11"/>
  <c r="H605" i="11"/>
  <c r="G605" i="11"/>
  <c r="I604" i="11"/>
  <c r="H604" i="11"/>
  <c r="G604" i="11"/>
  <c r="I603" i="11"/>
  <c r="H603" i="11"/>
  <c r="G603" i="11"/>
  <c r="I602" i="11"/>
  <c r="H602" i="11"/>
  <c r="G602" i="11"/>
  <c r="I601" i="11"/>
  <c r="H601" i="11"/>
  <c r="G601" i="11"/>
  <c r="I600" i="11"/>
  <c r="H600" i="11"/>
  <c r="G600" i="11"/>
  <c r="I599" i="11"/>
  <c r="H599" i="11"/>
  <c r="G599" i="11"/>
  <c r="I598" i="11"/>
  <c r="H598" i="11"/>
  <c r="G598" i="11"/>
  <c r="I597" i="11"/>
  <c r="H597" i="11"/>
  <c r="G597" i="11"/>
  <c r="I596" i="11"/>
  <c r="H596" i="11"/>
  <c r="G596" i="11"/>
  <c r="I595" i="11"/>
  <c r="H595" i="11"/>
  <c r="G595" i="11"/>
  <c r="I594" i="11"/>
  <c r="H594" i="11"/>
  <c r="G594" i="11"/>
  <c r="I593" i="11"/>
  <c r="H593" i="11"/>
  <c r="G593" i="11"/>
  <c r="I592" i="11"/>
  <c r="H592" i="11"/>
  <c r="G592" i="11"/>
  <c r="I591" i="11"/>
  <c r="H591" i="11"/>
  <c r="G591" i="11"/>
  <c r="I590" i="11"/>
  <c r="H590" i="11"/>
  <c r="G590" i="11"/>
  <c r="I589" i="11"/>
  <c r="H589" i="11"/>
  <c r="G589" i="11"/>
  <c r="I588" i="11"/>
  <c r="H588" i="11"/>
  <c r="G588" i="11"/>
  <c r="I587" i="11"/>
  <c r="H587" i="11"/>
  <c r="G587" i="11"/>
  <c r="I586" i="11"/>
  <c r="H586" i="11"/>
  <c r="G586" i="11"/>
  <c r="I585" i="11"/>
  <c r="H585" i="11"/>
  <c r="G585" i="11"/>
  <c r="I584" i="11"/>
  <c r="H584" i="11"/>
  <c r="G584" i="11"/>
  <c r="I583" i="11"/>
  <c r="H583" i="11"/>
  <c r="G583" i="11"/>
  <c r="I582" i="11"/>
  <c r="H582" i="11"/>
  <c r="G582" i="11"/>
  <c r="I581" i="11"/>
  <c r="H581" i="11"/>
  <c r="G581" i="11"/>
  <c r="I580" i="11"/>
  <c r="H580" i="11"/>
  <c r="G580" i="11"/>
  <c r="I579" i="11"/>
  <c r="H579" i="11"/>
  <c r="G579" i="11"/>
  <c r="I578" i="11"/>
  <c r="H578" i="11"/>
  <c r="G578" i="11"/>
  <c r="I577" i="11"/>
  <c r="H577" i="11"/>
  <c r="G577" i="11"/>
  <c r="I576" i="11"/>
  <c r="H576" i="11"/>
  <c r="G576" i="11"/>
  <c r="I575" i="11"/>
  <c r="H575" i="11"/>
  <c r="G575" i="11"/>
  <c r="I574" i="11"/>
  <c r="H574" i="11"/>
  <c r="G574" i="11"/>
  <c r="I573" i="11"/>
  <c r="H573" i="11"/>
  <c r="G573" i="11"/>
  <c r="I572" i="11"/>
  <c r="H572" i="11"/>
  <c r="G572" i="11"/>
  <c r="I571" i="11"/>
  <c r="H571" i="11"/>
  <c r="G571" i="11"/>
  <c r="I570" i="11"/>
  <c r="H570" i="11"/>
  <c r="G570" i="11"/>
  <c r="I569" i="11"/>
  <c r="H569" i="11"/>
  <c r="G569" i="11"/>
  <c r="I568" i="11"/>
  <c r="H568" i="11"/>
  <c r="G568" i="11"/>
  <c r="I567" i="11"/>
  <c r="H567" i="11"/>
  <c r="G567" i="11"/>
  <c r="I566" i="11"/>
  <c r="H566" i="11"/>
  <c r="G566" i="11"/>
  <c r="I565" i="11"/>
  <c r="H565" i="11"/>
  <c r="G565" i="11"/>
  <c r="I564" i="11"/>
  <c r="H564" i="11"/>
  <c r="G564" i="11"/>
  <c r="I563" i="11"/>
  <c r="H563" i="11"/>
  <c r="G563" i="11"/>
  <c r="I562" i="11"/>
  <c r="H562" i="11"/>
  <c r="G562" i="11"/>
  <c r="I561" i="11"/>
  <c r="H561" i="11"/>
  <c r="G561" i="11"/>
  <c r="I560" i="11"/>
  <c r="H560" i="11"/>
  <c r="G560" i="11"/>
  <c r="I559" i="11"/>
  <c r="H559" i="11"/>
  <c r="G559" i="11"/>
  <c r="I558" i="11"/>
  <c r="H558" i="11"/>
  <c r="G558" i="11"/>
  <c r="I557" i="11"/>
  <c r="H557" i="11"/>
  <c r="G557" i="11"/>
  <c r="I556" i="11"/>
  <c r="H556" i="11"/>
  <c r="G556" i="11"/>
  <c r="I555" i="11"/>
  <c r="H555" i="11"/>
  <c r="G555" i="11"/>
  <c r="I554" i="11"/>
  <c r="H554" i="11"/>
  <c r="G554" i="11"/>
  <c r="I553" i="11"/>
  <c r="H553" i="11"/>
  <c r="G553" i="11"/>
  <c r="I552" i="11"/>
  <c r="H552" i="11"/>
  <c r="G552" i="11"/>
  <c r="I551" i="11"/>
  <c r="H551" i="11"/>
  <c r="G551" i="11"/>
  <c r="I550" i="11"/>
  <c r="H550" i="11"/>
  <c r="G550" i="11"/>
  <c r="I549" i="11"/>
  <c r="H549" i="11"/>
  <c r="G549" i="11"/>
  <c r="I548" i="11"/>
  <c r="H548" i="11"/>
  <c r="G548" i="11"/>
  <c r="I547" i="11"/>
  <c r="H547" i="11"/>
  <c r="G547" i="11"/>
  <c r="I546" i="11"/>
  <c r="H546" i="11"/>
  <c r="G546" i="11"/>
  <c r="I545" i="11"/>
  <c r="H545" i="11"/>
  <c r="G545" i="11"/>
  <c r="I544" i="11"/>
  <c r="H544" i="11"/>
  <c r="G544" i="11"/>
  <c r="I543" i="11"/>
  <c r="H543" i="11"/>
  <c r="G543" i="11"/>
  <c r="I542" i="11"/>
  <c r="H542" i="11"/>
  <c r="G542" i="11"/>
  <c r="I541" i="11"/>
  <c r="H541" i="11"/>
  <c r="G541" i="11"/>
  <c r="I540" i="11"/>
  <c r="H540" i="11"/>
  <c r="G540" i="11"/>
  <c r="I539" i="11"/>
  <c r="H539" i="11"/>
  <c r="G539" i="11"/>
  <c r="I538" i="11"/>
  <c r="H538" i="11"/>
  <c r="G538" i="11"/>
  <c r="I537" i="11"/>
  <c r="H537" i="11"/>
  <c r="G537" i="11"/>
  <c r="I536" i="11"/>
  <c r="H536" i="11"/>
  <c r="G536" i="11"/>
  <c r="I535" i="11"/>
  <c r="H535" i="11"/>
  <c r="G535" i="11"/>
  <c r="I534" i="11"/>
  <c r="H534" i="11"/>
  <c r="G534" i="11"/>
  <c r="I533" i="11"/>
  <c r="H533" i="11"/>
  <c r="G533" i="11"/>
  <c r="I532" i="11"/>
  <c r="H532" i="11"/>
  <c r="G532" i="11"/>
  <c r="I531" i="11"/>
  <c r="H531" i="11"/>
  <c r="G531" i="11"/>
  <c r="I530" i="11"/>
  <c r="H530" i="11"/>
  <c r="G530" i="11"/>
  <c r="I529" i="11"/>
  <c r="H529" i="11"/>
  <c r="G529" i="11"/>
  <c r="I528" i="11"/>
  <c r="H528" i="11"/>
  <c r="G528" i="11"/>
  <c r="I527" i="11"/>
  <c r="H527" i="11"/>
  <c r="G527" i="11"/>
  <c r="I526" i="11"/>
  <c r="H526" i="11"/>
  <c r="G526" i="11"/>
  <c r="I525" i="11"/>
  <c r="H525" i="11"/>
  <c r="G525" i="11"/>
  <c r="I524" i="11"/>
  <c r="H524" i="11"/>
  <c r="G524" i="11"/>
  <c r="I523" i="11"/>
  <c r="H523" i="11"/>
  <c r="G523" i="11"/>
  <c r="I522" i="11"/>
  <c r="H522" i="11"/>
  <c r="G522" i="11"/>
  <c r="I521" i="11"/>
  <c r="H521" i="11"/>
  <c r="G521" i="11"/>
  <c r="I520" i="11"/>
  <c r="H520" i="11"/>
  <c r="G520" i="11"/>
  <c r="I519" i="11"/>
  <c r="H519" i="11"/>
  <c r="G519" i="11"/>
  <c r="I518" i="11"/>
  <c r="H518" i="11"/>
  <c r="G518" i="11"/>
  <c r="I517" i="11"/>
  <c r="H517" i="11"/>
  <c r="G517" i="11"/>
  <c r="I516" i="11"/>
  <c r="H516" i="11"/>
  <c r="G516" i="11"/>
  <c r="I515" i="11"/>
  <c r="H515" i="11"/>
  <c r="G515" i="11"/>
  <c r="I514" i="11"/>
  <c r="H514" i="11"/>
  <c r="G514" i="11"/>
  <c r="I513" i="11"/>
  <c r="H513" i="11"/>
  <c r="G513" i="11"/>
  <c r="I512" i="11"/>
  <c r="H512" i="11"/>
  <c r="G512" i="11"/>
  <c r="I511" i="11"/>
  <c r="H511" i="11"/>
  <c r="G511" i="11"/>
  <c r="I510" i="11"/>
  <c r="H510" i="11"/>
  <c r="G510" i="11"/>
  <c r="I509" i="11"/>
  <c r="H509" i="11"/>
  <c r="G509" i="11"/>
  <c r="I508" i="11"/>
  <c r="H508" i="11"/>
  <c r="G508" i="11"/>
  <c r="I507" i="11"/>
  <c r="H507" i="11"/>
  <c r="G507" i="11"/>
  <c r="I506" i="11"/>
  <c r="H506" i="11"/>
  <c r="G506" i="11"/>
  <c r="I505" i="11"/>
  <c r="H505" i="11"/>
  <c r="G505" i="11"/>
  <c r="I504" i="11"/>
  <c r="H504" i="11"/>
  <c r="G504" i="11"/>
  <c r="I503" i="11"/>
  <c r="H503" i="11"/>
  <c r="G503" i="11"/>
  <c r="I502" i="11"/>
  <c r="H502" i="11"/>
  <c r="G502" i="11"/>
  <c r="I501" i="11"/>
  <c r="H501" i="11"/>
  <c r="G501" i="11"/>
  <c r="I500" i="11"/>
  <c r="H500" i="11"/>
  <c r="G500" i="11"/>
  <c r="I499" i="11"/>
  <c r="H499" i="11"/>
  <c r="G499" i="11"/>
  <c r="I498" i="11"/>
  <c r="H498" i="11"/>
  <c r="G498" i="11"/>
  <c r="I497" i="11"/>
  <c r="H497" i="11"/>
  <c r="G497" i="11"/>
  <c r="I496" i="11"/>
  <c r="H496" i="11"/>
  <c r="G496" i="11"/>
  <c r="I495" i="11"/>
  <c r="H495" i="11"/>
  <c r="G495" i="11"/>
  <c r="I494" i="11"/>
  <c r="H494" i="11"/>
  <c r="G494" i="11"/>
  <c r="I493" i="11"/>
  <c r="H493" i="11"/>
  <c r="G493" i="11"/>
  <c r="I492" i="11"/>
  <c r="H492" i="11"/>
  <c r="G492" i="11"/>
  <c r="I491" i="11"/>
  <c r="H491" i="11"/>
  <c r="G491" i="11"/>
  <c r="I490" i="11"/>
  <c r="H490" i="11"/>
  <c r="G490" i="11"/>
  <c r="I489" i="11"/>
  <c r="H489" i="11"/>
  <c r="G489" i="11"/>
  <c r="I488" i="11"/>
  <c r="H488" i="11"/>
  <c r="G488" i="11"/>
  <c r="I487" i="11"/>
  <c r="H487" i="11"/>
  <c r="G487" i="11"/>
  <c r="I486" i="11"/>
  <c r="H486" i="11"/>
  <c r="G486" i="11"/>
  <c r="I485" i="11"/>
  <c r="H485" i="11"/>
  <c r="G485" i="11"/>
  <c r="I484" i="11"/>
  <c r="H484" i="11"/>
  <c r="G484" i="11"/>
  <c r="I483" i="11"/>
  <c r="H483" i="11"/>
  <c r="G483" i="11"/>
  <c r="I482" i="11"/>
  <c r="H482" i="11"/>
  <c r="G482" i="11"/>
  <c r="I481" i="11"/>
  <c r="H481" i="11"/>
  <c r="G481" i="11"/>
  <c r="I480" i="11"/>
  <c r="H480" i="11"/>
  <c r="G480" i="11"/>
  <c r="I479" i="11"/>
  <c r="H479" i="11"/>
  <c r="G479" i="11"/>
  <c r="I478" i="11"/>
  <c r="H478" i="11"/>
  <c r="G478" i="11"/>
  <c r="I477" i="11"/>
  <c r="H477" i="11"/>
  <c r="G477" i="11"/>
  <c r="I476" i="11"/>
  <c r="H476" i="11"/>
  <c r="G476" i="11"/>
  <c r="I475" i="11"/>
  <c r="H475" i="11"/>
  <c r="G475" i="11"/>
  <c r="I474" i="11"/>
  <c r="H474" i="11"/>
  <c r="G474" i="11"/>
  <c r="I473" i="11"/>
  <c r="H473" i="11"/>
  <c r="M28" i="11" s="1"/>
  <c r="R29" i="2" s="1"/>
  <c r="I29" i="2" s="1"/>
  <c r="G473" i="11"/>
  <c r="I472" i="11"/>
  <c r="H472" i="11"/>
  <c r="G472" i="11"/>
  <c r="I471" i="11"/>
  <c r="H471" i="11"/>
  <c r="G471" i="11"/>
  <c r="I470" i="11"/>
  <c r="H470" i="11"/>
  <c r="G470" i="11"/>
  <c r="I469" i="11"/>
  <c r="H469" i="11"/>
  <c r="G469" i="11"/>
  <c r="I468" i="11"/>
  <c r="H468" i="11"/>
  <c r="G468" i="11"/>
  <c r="I467" i="11"/>
  <c r="H467" i="11"/>
  <c r="G467" i="11"/>
  <c r="I466" i="11"/>
  <c r="H466" i="11"/>
  <c r="G466" i="11"/>
  <c r="I465" i="11"/>
  <c r="H465" i="11"/>
  <c r="G465" i="11"/>
  <c r="I464" i="11"/>
  <c r="H464" i="11"/>
  <c r="G464" i="11"/>
  <c r="I463" i="11"/>
  <c r="H463" i="11"/>
  <c r="G463" i="11"/>
  <c r="I462" i="11"/>
  <c r="H462" i="11"/>
  <c r="G462" i="11"/>
  <c r="I461" i="11"/>
  <c r="H461" i="11"/>
  <c r="G461" i="11"/>
  <c r="I460" i="11"/>
  <c r="H460" i="11"/>
  <c r="G460" i="11"/>
  <c r="I459" i="11"/>
  <c r="H459" i="11"/>
  <c r="G459" i="11"/>
  <c r="I458" i="11"/>
  <c r="H458" i="11"/>
  <c r="G458" i="11"/>
  <c r="I457" i="11"/>
  <c r="H457" i="11"/>
  <c r="G457" i="11"/>
  <c r="I456" i="11"/>
  <c r="H456" i="11"/>
  <c r="G456" i="11"/>
  <c r="I455" i="11"/>
  <c r="H455" i="11"/>
  <c r="G455" i="11"/>
  <c r="I454" i="11"/>
  <c r="H454" i="11"/>
  <c r="G454" i="11"/>
  <c r="I453" i="11"/>
  <c r="H453" i="11"/>
  <c r="G453" i="11"/>
  <c r="I452" i="11"/>
  <c r="H452" i="11"/>
  <c r="G452" i="11"/>
  <c r="I451" i="11"/>
  <c r="H451" i="11"/>
  <c r="G451" i="11"/>
  <c r="I450" i="11"/>
  <c r="H450" i="11"/>
  <c r="G450" i="11"/>
  <c r="I449" i="11"/>
  <c r="H449" i="11"/>
  <c r="G449" i="11"/>
  <c r="I448" i="11"/>
  <c r="H448" i="11"/>
  <c r="G448" i="11"/>
  <c r="I447" i="11"/>
  <c r="H447" i="11"/>
  <c r="G447" i="11"/>
  <c r="I446" i="11"/>
  <c r="H446" i="11"/>
  <c r="G446" i="11"/>
  <c r="I445" i="11"/>
  <c r="H445" i="11"/>
  <c r="G445" i="11"/>
  <c r="I444" i="11"/>
  <c r="H444" i="11"/>
  <c r="G444" i="11"/>
  <c r="I443" i="11"/>
  <c r="H443" i="11"/>
  <c r="G443" i="11"/>
  <c r="I442" i="11"/>
  <c r="H442" i="11"/>
  <c r="G442" i="11"/>
  <c r="I441" i="11"/>
  <c r="H441" i="11"/>
  <c r="G441" i="11"/>
  <c r="I440" i="11"/>
  <c r="H440" i="11"/>
  <c r="G440" i="11"/>
  <c r="I439" i="11"/>
  <c r="H439" i="11"/>
  <c r="G439" i="11"/>
  <c r="I438" i="11"/>
  <c r="H438" i="11"/>
  <c r="G438" i="11"/>
  <c r="I437" i="11"/>
  <c r="H437" i="11"/>
  <c r="G437" i="11"/>
  <c r="I436" i="11"/>
  <c r="H436" i="11"/>
  <c r="G436" i="11"/>
  <c r="I435" i="11"/>
  <c r="H435" i="11"/>
  <c r="G435" i="11"/>
  <c r="I434" i="11"/>
  <c r="H434" i="11"/>
  <c r="G434" i="11"/>
  <c r="I433" i="11"/>
  <c r="H433" i="11"/>
  <c r="G433" i="11"/>
  <c r="I432" i="11"/>
  <c r="H432" i="11"/>
  <c r="G432" i="11"/>
  <c r="I431" i="11"/>
  <c r="H431" i="11"/>
  <c r="G431" i="11"/>
  <c r="I430" i="11"/>
  <c r="H430" i="11"/>
  <c r="G430" i="11"/>
  <c r="I429" i="11"/>
  <c r="H429" i="11"/>
  <c r="G429" i="11"/>
  <c r="I428" i="11"/>
  <c r="H428" i="11"/>
  <c r="G428" i="11"/>
  <c r="I427" i="11"/>
  <c r="H427" i="11"/>
  <c r="G427" i="11"/>
  <c r="I426" i="11"/>
  <c r="H426" i="11"/>
  <c r="G426" i="11"/>
  <c r="I425" i="11"/>
  <c r="H425" i="11"/>
  <c r="G425" i="11"/>
  <c r="I424" i="11"/>
  <c r="H424" i="11"/>
  <c r="G424" i="11"/>
  <c r="I423" i="11"/>
  <c r="H423" i="11"/>
  <c r="G423" i="11"/>
  <c r="I422" i="11"/>
  <c r="H422" i="11"/>
  <c r="G422" i="11"/>
  <c r="I421" i="11"/>
  <c r="H421" i="11"/>
  <c r="G421" i="11"/>
  <c r="I420" i="11"/>
  <c r="H420" i="11"/>
  <c r="G420" i="11"/>
  <c r="I419" i="11"/>
  <c r="H419" i="11"/>
  <c r="G419" i="11"/>
  <c r="I418" i="11"/>
  <c r="H418" i="11"/>
  <c r="G418" i="11"/>
  <c r="I417" i="11"/>
  <c r="H417" i="11"/>
  <c r="G417" i="11"/>
  <c r="I416" i="11"/>
  <c r="H416" i="11"/>
  <c r="G416" i="11"/>
  <c r="I415" i="11"/>
  <c r="H415" i="11"/>
  <c r="G415" i="11"/>
  <c r="I414" i="11"/>
  <c r="H414" i="11"/>
  <c r="G414" i="11"/>
  <c r="I413" i="11"/>
  <c r="H413" i="11"/>
  <c r="G413" i="11"/>
  <c r="I412" i="11"/>
  <c r="H412" i="11"/>
  <c r="G412" i="11"/>
  <c r="I411" i="11"/>
  <c r="H411" i="11"/>
  <c r="G411" i="11"/>
  <c r="I410" i="11"/>
  <c r="H410" i="11"/>
  <c r="G410" i="11"/>
  <c r="I409" i="11"/>
  <c r="H409" i="11"/>
  <c r="G409" i="11"/>
  <c r="I408" i="11"/>
  <c r="H408" i="11"/>
  <c r="G408" i="11"/>
  <c r="I407" i="11"/>
  <c r="H407" i="11"/>
  <c r="G407" i="11"/>
  <c r="I406" i="11"/>
  <c r="H406" i="11"/>
  <c r="G406" i="11"/>
  <c r="I405" i="11"/>
  <c r="H405" i="11"/>
  <c r="G405" i="11"/>
  <c r="I404" i="11"/>
  <c r="H404" i="11"/>
  <c r="G404" i="11"/>
  <c r="I403" i="11"/>
  <c r="H403" i="11"/>
  <c r="G403" i="11"/>
  <c r="I402" i="11"/>
  <c r="H402" i="11"/>
  <c r="G402" i="11"/>
  <c r="I401" i="11"/>
  <c r="H401" i="11"/>
  <c r="G401" i="11"/>
  <c r="I400" i="11"/>
  <c r="H400" i="11"/>
  <c r="G400" i="11"/>
  <c r="I399" i="11"/>
  <c r="H399" i="11"/>
  <c r="G399" i="11"/>
  <c r="I398" i="11"/>
  <c r="H398" i="11"/>
  <c r="G398" i="11"/>
  <c r="I397" i="11"/>
  <c r="H397" i="11"/>
  <c r="G397" i="11"/>
  <c r="I396" i="11"/>
  <c r="H396" i="11"/>
  <c r="G396" i="11"/>
  <c r="I395" i="11"/>
  <c r="H395" i="11"/>
  <c r="G395" i="11"/>
  <c r="I394" i="11"/>
  <c r="H394" i="11"/>
  <c r="G394" i="11"/>
  <c r="I393" i="11"/>
  <c r="H393" i="11"/>
  <c r="G393" i="11"/>
  <c r="I392" i="11"/>
  <c r="H392" i="11"/>
  <c r="G392" i="11"/>
  <c r="I391" i="11"/>
  <c r="H391" i="11"/>
  <c r="G391" i="11"/>
  <c r="I390" i="11"/>
  <c r="H390" i="11"/>
  <c r="G390" i="11"/>
  <c r="I389" i="11"/>
  <c r="H389" i="11"/>
  <c r="G389" i="11"/>
  <c r="I388" i="11"/>
  <c r="H388" i="11"/>
  <c r="G388" i="11"/>
  <c r="I387" i="11"/>
  <c r="H387" i="11"/>
  <c r="G387" i="11"/>
  <c r="I386" i="11"/>
  <c r="H386" i="11"/>
  <c r="G386" i="11"/>
  <c r="I385" i="11"/>
  <c r="H385" i="11"/>
  <c r="G385" i="11"/>
  <c r="I384" i="11"/>
  <c r="H384" i="11"/>
  <c r="G384" i="11"/>
  <c r="I383" i="11"/>
  <c r="H383" i="11"/>
  <c r="G383" i="11"/>
  <c r="I382" i="11"/>
  <c r="H382" i="11"/>
  <c r="G382" i="11"/>
  <c r="I381" i="11"/>
  <c r="H381" i="11"/>
  <c r="G381" i="11"/>
  <c r="I380" i="11"/>
  <c r="H380" i="11"/>
  <c r="G380" i="11"/>
  <c r="I379" i="11"/>
  <c r="H379" i="11"/>
  <c r="G379" i="11"/>
  <c r="I378" i="11"/>
  <c r="H378" i="11"/>
  <c r="G378" i="11"/>
  <c r="I377" i="11"/>
  <c r="H377" i="11"/>
  <c r="G377" i="11"/>
  <c r="I376" i="11"/>
  <c r="H376" i="11"/>
  <c r="G376" i="11"/>
  <c r="I375" i="11"/>
  <c r="H375" i="11"/>
  <c r="G375" i="11"/>
  <c r="I374" i="11"/>
  <c r="H374" i="11"/>
  <c r="G374" i="11"/>
  <c r="I373" i="11"/>
  <c r="H373" i="11"/>
  <c r="G373" i="11"/>
  <c r="I372" i="11"/>
  <c r="H372" i="11"/>
  <c r="G372" i="11"/>
  <c r="I371" i="11"/>
  <c r="H371" i="11"/>
  <c r="G371" i="11"/>
  <c r="I370" i="11"/>
  <c r="H370" i="11"/>
  <c r="G370" i="11"/>
  <c r="I369" i="11"/>
  <c r="H369" i="11"/>
  <c r="G369" i="11"/>
  <c r="I368" i="11"/>
  <c r="H368" i="11"/>
  <c r="G368" i="11"/>
  <c r="I367" i="11"/>
  <c r="H367" i="11"/>
  <c r="G367" i="11"/>
  <c r="I366" i="11"/>
  <c r="H366" i="11"/>
  <c r="G366" i="11"/>
  <c r="I365" i="11"/>
  <c r="H365" i="11"/>
  <c r="G365" i="11"/>
  <c r="I364" i="11"/>
  <c r="H364" i="11"/>
  <c r="G364" i="11"/>
  <c r="I363" i="11"/>
  <c r="H363" i="11"/>
  <c r="G363" i="11"/>
  <c r="I362" i="11"/>
  <c r="H362" i="11"/>
  <c r="G362" i="11"/>
  <c r="I361" i="11"/>
  <c r="H361" i="11"/>
  <c r="G361" i="11"/>
  <c r="I360" i="11"/>
  <c r="H360" i="11"/>
  <c r="G360" i="11"/>
  <c r="I359" i="11"/>
  <c r="H359" i="11"/>
  <c r="G359" i="11"/>
  <c r="I358" i="11"/>
  <c r="H358" i="11"/>
  <c r="G358" i="11"/>
  <c r="I357" i="11"/>
  <c r="H357" i="11"/>
  <c r="G357" i="11"/>
  <c r="I356" i="11"/>
  <c r="H356" i="11"/>
  <c r="G356" i="11"/>
  <c r="I355" i="11"/>
  <c r="H355" i="11"/>
  <c r="G355" i="11"/>
  <c r="I354" i="11"/>
  <c r="H354" i="11"/>
  <c r="G354" i="11"/>
  <c r="I353" i="11"/>
  <c r="H353" i="11"/>
  <c r="G353" i="11"/>
  <c r="I352" i="11"/>
  <c r="H352" i="11"/>
  <c r="G352" i="11"/>
  <c r="I351" i="11"/>
  <c r="H351" i="11"/>
  <c r="G351" i="11"/>
  <c r="I350" i="11"/>
  <c r="H350" i="11"/>
  <c r="G350" i="11"/>
  <c r="I349" i="11"/>
  <c r="H349" i="11"/>
  <c r="G349" i="11"/>
  <c r="I348" i="11"/>
  <c r="H348" i="11"/>
  <c r="G348" i="11"/>
  <c r="I347" i="11"/>
  <c r="H347" i="11"/>
  <c r="G347" i="11"/>
  <c r="I346" i="11"/>
  <c r="H346" i="11"/>
  <c r="G346" i="11"/>
  <c r="I345" i="11"/>
  <c r="H345" i="11"/>
  <c r="G345" i="11"/>
  <c r="I344" i="11"/>
  <c r="H344" i="11"/>
  <c r="G344" i="11"/>
  <c r="I343" i="11"/>
  <c r="H343" i="11"/>
  <c r="G343" i="11"/>
  <c r="I342" i="11"/>
  <c r="H342" i="11"/>
  <c r="G342" i="11"/>
  <c r="I341" i="11"/>
  <c r="H341" i="11"/>
  <c r="G341" i="11"/>
  <c r="I340" i="11"/>
  <c r="H340" i="11"/>
  <c r="G340" i="11"/>
  <c r="I339" i="11"/>
  <c r="H339" i="11"/>
  <c r="G339" i="11"/>
  <c r="I338" i="11"/>
  <c r="H338" i="11"/>
  <c r="G338" i="11"/>
  <c r="I337" i="11"/>
  <c r="H337" i="11"/>
  <c r="G337" i="11"/>
  <c r="I336" i="11"/>
  <c r="H336" i="11"/>
  <c r="G336" i="11"/>
  <c r="I335" i="11"/>
  <c r="H335" i="11"/>
  <c r="G335" i="11"/>
  <c r="I334" i="11"/>
  <c r="H334" i="11"/>
  <c r="G334" i="11"/>
  <c r="I333" i="11"/>
  <c r="H333" i="11"/>
  <c r="G333" i="11"/>
  <c r="I332" i="11"/>
  <c r="H332" i="11"/>
  <c r="G332" i="11"/>
  <c r="I331" i="11"/>
  <c r="H331" i="11"/>
  <c r="G331" i="11"/>
  <c r="I330" i="11"/>
  <c r="H330" i="11"/>
  <c r="G330" i="11"/>
  <c r="I329" i="11"/>
  <c r="H329" i="11"/>
  <c r="G329" i="11"/>
  <c r="I328" i="11"/>
  <c r="H328" i="11"/>
  <c r="G328" i="11"/>
  <c r="I327" i="11"/>
  <c r="H327" i="11"/>
  <c r="G327" i="11"/>
  <c r="I326" i="11"/>
  <c r="H326" i="11"/>
  <c r="G326" i="11"/>
  <c r="I325" i="11"/>
  <c r="H325" i="11"/>
  <c r="G325" i="11"/>
  <c r="I324" i="11"/>
  <c r="H324" i="11"/>
  <c r="G324" i="11"/>
  <c r="I323" i="11"/>
  <c r="H323" i="11"/>
  <c r="G323" i="11"/>
  <c r="I322" i="11"/>
  <c r="H322" i="11"/>
  <c r="G322" i="11"/>
  <c r="I321" i="11"/>
  <c r="H321" i="11"/>
  <c r="G321" i="11"/>
  <c r="I320" i="11"/>
  <c r="H320" i="11"/>
  <c r="G320" i="11"/>
  <c r="I319" i="11"/>
  <c r="H319" i="11"/>
  <c r="G319" i="11"/>
  <c r="I318" i="11"/>
  <c r="H318" i="11"/>
  <c r="G318" i="11"/>
  <c r="I317" i="11"/>
  <c r="H317" i="11"/>
  <c r="G317" i="11"/>
  <c r="I316" i="11"/>
  <c r="H316" i="11"/>
  <c r="G316" i="11"/>
  <c r="I315" i="11"/>
  <c r="H315" i="11"/>
  <c r="G315" i="11"/>
  <c r="I314" i="11"/>
  <c r="H314" i="11"/>
  <c r="G314" i="11"/>
  <c r="I313" i="11"/>
  <c r="H313" i="11"/>
  <c r="G313" i="11"/>
  <c r="I312" i="11"/>
  <c r="H312" i="11"/>
  <c r="G312" i="11"/>
  <c r="I311" i="11"/>
  <c r="H311" i="11"/>
  <c r="G311" i="11"/>
  <c r="I310" i="11"/>
  <c r="H310" i="11"/>
  <c r="G310" i="11"/>
  <c r="I309" i="11"/>
  <c r="H309" i="11"/>
  <c r="G309" i="11"/>
  <c r="I308" i="11"/>
  <c r="H308" i="11"/>
  <c r="G308" i="11"/>
  <c r="I307" i="11"/>
  <c r="H307" i="11"/>
  <c r="G307" i="11"/>
  <c r="I306" i="11"/>
  <c r="H306" i="11"/>
  <c r="G306" i="11"/>
  <c r="I305" i="11"/>
  <c r="H305" i="11"/>
  <c r="G305" i="11"/>
  <c r="I304" i="11"/>
  <c r="H304" i="11"/>
  <c r="G304" i="11"/>
  <c r="I303" i="11"/>
  <c r="H303" i="11"/>
  <c r="G303" i="11"/>
  <c r="I302" i="11"/>
  <c r="H302" i="11"/>
  <c r="G302" i="11"/>
  <c r="I301" i="11"/>
  <c r="H301" i="11"/>
  <c r="G301" i="11"/>
  <c r="I300" i="11"/>
  <c r="H300" i="11"/>
  <c r="G300" i="11"/>
  <c r="I299" i="11"/>
  <c r="H299" i="11"/>
  <c r="G299" i="11"/>
  <c r="I298" i="11"/>
  <c r="H298" i="11"/>
  <c r="G298" i="11"/>
  <c r="I297" i="11"/>
  <c r="H297" i="11"/>
  <c r="G297" i="11"/>
  <c r="I296" i="11"/>
  <c r="H296" i="11"/>
  <c r="G296" i="11"/>
  <c r="I295" i="11"/>
  <c r="H295" i="11"/>
  <c r="G295" i="11"/>
  <c r="I294" i="11"/>
  <c r="H294" i="11"/>
  <c r="G294" i="11"/>
  <c r="I293" i="11"/>
  <c r="H293" i="11"/>
  <c r="G293" i="11"/>
  <c r="I292" i="11"/>
  <c r="H292" i="11"/>
  <c r="G292" i="11"/>
  <c r="I291" i="11"/>
  <c r="H291" i="11"/>
  <c r="G291" i="11"/>
  <c r="I290" i="11"/>
  <c r="H290" i="11"/>
  <c r="G290" i="11"/>
  <c r="I289" i="11"/>
  <c r="H289" i="11"/>
  <c r="G289" i="11"/>
  <c r="I288" i="11"/>
  <c r="H288" i="11"/>
  <c r="G288" i="11"/>
  <c r="I287" i="11"/>
  <c r="H287" i="11"/>
  <c r="G287" i="11"/>
  <c r="I286" i="11"/>
  <c r="H286" i="11"/>
  <c r="G286" i="11"/>
  <c r="I285" i="11"/>
  <c r="H285" i="11"/>
  <c r="G285" i="11"/>
  <c r="I284" i="11"/>
  <c r="H284" i="11"/>
  <c r="G284" i="11"/>
  <c r="I283" i="11"/>
  <c r="H283" i="11"/>
  <c r="G283" i="11"/>
  <c r="I282" i="11"/>
  <c r="H282" i="11"/>
  <c r="G282" i="11"/>
  <c r="I281" i="11"/>
  <c r="H281" i="11"/>
  <c r="G281" i="11"/>
  <c r="I280" i="11"/>
  <c r="H280" i="11"/>
  <c r="G280" i="11"/>
  <c r="I279" i="11"/>
  <c r="H279" i="11"/>
  <c r="G279" i="11"/>
  <c r="I278" i="11"/>
  <c r="H278" i="11"/>
  <c r="G278" i="11"/>
  <c r="I277" i="11"/>
  <c r="H277" i="11"/>
  <c r="G277" i="11"/>
  <c r="I276" i="11"/>
  <c r="H276" i="11"/>
  <c r="G276" i="11"/>
  <c r="I275" i="11"/>
  <c r="H275" i="11"/>
  <c r="G275" i="11"/>
  <c r="I274" i="11"/>
  <c r="H274" i="11"/>
  <c r="G274" i="11"/>
  <c r="I273" i="11"/>
  <c r="H273" i="11"/>
  <c r="G273" i="11"/>
  <c r="I272" i="11"/>
  <c r="H272" i="11"/>
  <c r="G272" i="11"/>
  <c r="I271" i="11"/>
  <c r="H271" i="11"/>
  <c r="G271" i="11"/>
  <c r="I270" i="11"/>
  <c r="H270" i="11"/>
  <c r="G270" i="11"/>
  <c r="I269" i="11"/>
  <c r="H269" i="11"/>
  <c r="G269" i="11"/>
  <c r="I268" i="11"/>
  <c r="H268" i="11"/>
  <c r="G268" i="11"/>
  <c r="I267" i="11"/>
  <c r="H267" i="11"/>
  <c r="G267" i="11"/>
  <c r="I266" i="11"/>
  <c r="H266" i="11"/>
  <c r="G266" i="11"/>
  <c r="I265" i="11"/>
  <c r="H265" i="11"/>
  <c r="G265" i="11"/>
  <c r="I264" i="11"/>
  <c r="H264" i="11"/>
  <c r="G264" i="11"/>
  <c r="I263" i="11"/>
  <c r="H263" i="11"/>
  <c r="G263" i="11"/>
  <c r="I262" i="11"/>
  <c r="H262" i="11"/>
  <c r="G262" i="11"/>
  <c r="I261" i="11"/>
  <c r="H261" i="11"/>
  <c r="G261" i="11"/>
  <c r="I260" i="11"/>
  <c r="H260" i="11"/>
  <c r="G260" i="11"/>
  <c r="I259" i="11"/>
  <c r="H259" i="11"/>
  <c r="G259" i="11"/>
  <c r="I258" i="11"/>
  <c r="H258" i="11"/>
  <c r="G258" i="11"/>
  <c r="I257" i="11"/>
  <c r="H257" i="11"/>
  <c r="G257" i="11"/>
  <c r="I256" i="11"/>
  <c r="H256" i="11"/>
  <c r="G256" i="11"/>
  <c r="I255" i="11"/>
  <c r="H255" i="11"/>
  <c r="G255" i="11"/>
  <c r="I254" i="11"/>
  <c r="H254" i="11"/>
  <c r="G254" i="11"/>
  <c r="I253" i="11"/>
  <c r="H253" i="11"/>
  <c r="G253" i="11"/>
  <c r="I252" i="11"/>
  <c r="H252" i="11"/>
  <c r="G252" i="11"/>
  <c r="I251" i="11"/>
  <c r="H251" i="11"/>
  <c r="G251" i="11"/>
  <c r="I250" i="11"/>
  <c r="H250" i="11"/>
  <c r="G250" i="11"/>
  <c r="I249" i="11"/>
  <c r="H249" i="11"/>
  <c r="G249" i="11"/>
  <c r="I248" i="11"/>
  <c r="H248" i="11"/>
  <c r="G248" i="11"/>
  <c r="I247" i="11"/>
  <c r="H247" i="11"/>
  <c r="G247" i="11"/>
  <c r="I246" i="11"/>
  <c r="H246" i="11"/>
  <c r="G246" i="11"/>
  <c r="I245" i="11"/>
  <c r="H245" i="11"/>
  <c r="G245" i="11"/>
  <c r="I244" i="11"/>
  <c r="H244" i="11"/>
  <c r="G244" i="11"/>
  <c r="I243" i="11"/>
  <c r="H243" i="11"/>
  <c r="G243" i="11"/>
  <c r="I242" i="11"/>
  <c r="H242" i="11"/>
  <c r="G242" i="11"/>
  <c r="I241" i="11"/>
  <c r="H241" i="11"/>
  <c r="G241" i="11"/>
  <c r="I240" i="11"/>
  <c r="H240" i="11"/>
  <c r="G240" i="11"/>
  <c r="I239" i="11"/>
  <c r="H239" i="11"/>
  <c r="G239" i="11"/>
  <c r="I238" i="11"/>
  <c r="H238" i="11"/>
  <c r="G238" i="11"/>
  <c r="I237" i="11"/>
  <c r="H237" i="11"/>
  <c r="G237" i="11"/>
  <c r="I236" i="11"/>
  <c r="H236" i="11"/>
  <c r="G236" i="11"/>
  <c r="I235" i="11"/>
  <c r="H235" i="11"/>
  <c r="G235" i="11"/>
  <c r="I234" i="11"/>
  <c r="H234" i="11"/>
  <c r="G234" i="11"/>
  <c r="I233" i="11"/>
  <c r="H233" i="11"/>
  <c r="G233" i="11"/>
  <c r="I232" i="11"/>
  <c r="H232" i="11"/>
  <c r="G232" i="11"/>
  <c r="I231" i="11"/>
  <c r="H231" i="11"/>
  <c r="G231" i="11"/>
  <c r="I230" i="11"/>
  <c r="H230" i="11"/>
  <c r="G230" i="11"/>
  <c r="I229" i="11"/>
  <c r="H229" i="11"/>
  <c r="G229" i="11"/>
  <c r="I228" i="11"/>
  <c r="H228" i="11"/>
  <c r="G228" i="11"/>
  <c r="I227" i="11"/>
  <c r="H227" i="11"/>
  <c r="G227" i="11"/>
  <c r="I226" i="11"/>
  <c r="H226" i="11"/>
  <c r="G226" i="11"/>
  <c r="I225" i="11"/>
  <c r="H225" i="11"/>
  <c r="G225" i="11"/>
  <c r="I224" i="11"/>
  <c r="H224" i="11"/>
  <c r="G224" i="11"/>
  <c r="I223" i="11"/>
  <c r="H223" i="11"/>
  <c r="G223" i="11"/>
  <c r="I222" i="11"/>
  <c r="H222" i="11"/>
  <c r="G222" i="11"/>
  <c r="I221" i="11"/>
  <c r="H221" i="11"/>
  <c r="G221" i="11"/>
  <c r="I220" i="11"/>
  <c r="H220" i="11"/>
  <c r="G220" i="11"/>
  <c r="I219" i="11"/>
  <c r="H219" i="11"/>
  <c r="G219" i="11"/>
  <c r="I218" i="11"/>
  <c r="H218" i="11"/>
  <c r="G218" i="11"/>
  <c r="I217" i="11"/>
  <c r="H217" i="11"/>
  <c r="G217" i="11"/>
  <c r="I216" i="11"/>
  <c r="H216" i="11"/>
  <c r="G216" i="11"/>
  <c r="I215" i="11"/>
  <c r="H215" i="11"/>
  <c r="G215" i="11"/>
  <c r="I214" i="11"/>
  <c r="H214" i="11"/>
  <c r="G214" i="11"/>
  <c r="I213" i="11"/>
  <c r="H213" i="11"/>
  <c r="G213" i="11"/>
  <c r="I212" i="11"/>
  <c r="H212" i="11"/>
  <c r="G212" i="11"/>
  <c r="I211" i="11"/>
  <c r="H211" i="11"/>
  <c r="G211" i="11"/>
  <c r="I210" i="11"/>
  <c r="H210" i="11"/>
  <c r="G210" i="11"/>
  <c r="I209" i="11"/>
  <c r="H209" i="11"/>
  <c r="G209" i="11"/>
  <c r="I208" i="11"/>
  <c r="H208" i="11"/>
  <c r="G208" i="11"/>
  <c r="I207" i="11"/>
  <c r="H207" i="11"/>
  <c r="G207" i="11"/>
  <c r="I206" i="11"/>
  <c r="H206" i="11"/>
  <c r="G206" i="11"/>
  <c r="I205" i="11"/>
  <c r="H205" i="11"/>
  <c r="G205" i="11"/>
  <c r="I204" i="11"/>
  <c r="H204" i="11"/>
  <c r="G204" i="11"/>
  <c r="I203" i="11"/>
  <c r="H203" i="11"/>
  <c r="G203" i="11"/>
  <c r="I202" i="11"/>
  <c r="H202" i="11"/>
  <c r="G202" i="11"/>
  <c r="I201" i="11"/>
  <c r="H201" i="11"/>
  <c r="G201" i="11"/>
  <c r="I200" i="11"/>
  <c r="H200" i="11"/>
  <c r="G200" i="11"/>
  <c r="I199" i="11"/>
  <c r="H199" i="11"/>
  <c r="G199" i="11"/>
  <c r="I198" i="11"/>
  <c r="H198" i="11"/>
  <c r="G198" i="11"/>
  <c r="I197" i="11"/>
  <c r="H197" i="11"/>
  <c r="G197" i="11"/>
  <c r="I196" i="11"/>
  <c r="H196" i="11"/>
  <c r="G196" i="11"/>
  <c r="I195" i="11"/>
  <c r="H195" i="11"/>
  <c r="G195" i="11"/>
  <c r="I194" i="11"/>
  <c r="H194" i="11"/>
  <c r="G194" i="11"/>
  <c r="I193" i="11"/>
  <c r="H193" i="11"/>
  <c r="G193" i="11"/>
  <c r="I192" i="11"/>
  <c r="H192" i="11"/>
  <c r="G192" i="11"/>
  <c r="I191" i="11"/>
  <c r="H191" i="11"/>
  <c r="G191" i="11"/>
  <c r="I190" i="11"/>
  <c r="H190" i="11"/>
  <c r="G190" i="11"/>
  <c r="I189" i="11"/>
  <c r="H189" i="11"/>
  <c r="G189" i="11"/>
  <c r="I188" i="11"/>
  <c r="H188" i="11"/>
  <c r="G188" i="11"/>
  <c r="I187" i="11"/>
  <c r="H187" i="11"/>
  <c r="G187" i="11"/>
  <c r="I186" i="11"/>
  <c r="H186" i="11"/>
  <c r="G186" i="11"/>
  <c r="I185" i="11"/>
  <c r="H185" i="11"/>
  <c r="G185" i="11"/>
  <c r="I184" i="11"/>
  <c r="H184" i="11"/>
  <c r="G184" i="11"/>
  <c r="I183" i="11"/>
  <c r="H183" i="11"/>
  <c r="G183" i="11"/>
  <c r="I182" i="11"/>
  <c r="H182" i="11"/>
  <c r="G182" i="11"/>
  <c r="I181" i="11"/>
  <c r="H181" i="11"/>
  <c r="G181" i="11"/>
  <c r="I180" i="11"/>
  <c r="H180" i="11"/>
  <c r="G180" i="11"/>
  <c r="I179" i="11"/>
  <c r="H179" i="11"/>
  <c r="G179" i="11"/>
  <c r="I178" i="11"/>
  <c r="H178" i="11"/>
  <c r="G178" i="11"/>
  <c r="I177" i="11"/>
  <c r="H177" i="11"/>
  <c r="G177" i="11"/>
  <c r="I176" i="11"/>
  <c r="H176" i="11"/>
  <c r="G176" i="11"/>
  <c r="I175" i="11"/>
  <c r="H175" i="11"/>
  <c r="G175" i="11"/>
  <c r="I174" i="11"/>
  <c r="H174" i="11"/>
  <c r="G174" i="11"/>
  <c r="I173" i="11"/>
  <c r="H173" i="11"/>
  <c r="G173" i="11"/>
  <c r="I172" i="11"/>
  <c r="H172" i="11"/>
  <c r="G172" i="11"/>
  <c r="I171" i="11"/>
  <c r="H171" i="11"/>
  <c r="G171" i="11"/>
  <c r="I170" i="11"/>
  <c r="H170" i="11"/>
  <c r="G170" i="11"/>
  <c r="I169" i="11"/>
  <c r="H169" i="11"/>
  <c r="G169" i="11"/>
  <c r="I168" i="11"/>
  <c r="H168" i="11"/>
  <c r="G168" i="11"/>
  <c r="I167" i="11"/>
  <c r="H167" i="11"/>
  <c r="G167" i="11"/>
  <c r="I166" i="11"/>
  <c r="H166" i="11"/>
  <c r="G166" i="11"/>
  <c r="I165" i="11"/>
  <c r="H165" i="11"/>
  <c r="G165" i="11"/>
  <c r="I164" i="11"/>
  <c r="H164" i="11"/>
  <c r="G164" i="11"/>
  <c r="I163" i="11"/>
  <c r="H163" i="11"/>
  <c r="G163" i="11"/>
  <c r="I162" i="11"/>
  <c r="H162" i="11"/>
  <c r="G162" i="11"/>
  <c r="I161" i="11"/>
  <c r="H161" i="11"/>
  <c r="G161" i="11"/>
  <c r="I160" i="11"/>
  <c r="H160" i="11"/>
  <c r="G160" i="11"/>
  <c r="I159" i="11"/>
  <c r="H159" i="11"/>
  <c r="G159" i="11"/>
  <c r="I158" i="11"/>
  <c r="H158" i="11"/>
  <c r="G158" i="11"/>
  <c r="I157" i="11"/>
  <c r="H157" i="11"/>
  <c r="G157" i="11"/>
  <c r="I156" i="11"/>
  <c r="H156" i="11"/>
  <c r="G156" i="11"/>
  <c r="I155" i="11"/>
  <c r="H155" i="11"/>
  <c r="G155" i="11"/>
  <c r="I154" i="11"/>
  <c r="H154" i="11"/>
  <c r="G154" i="11"/>
  <c r="I153" i="11"/>
  <c r="H153" i="11"/>
  <c r="G153" i="11"/>
  <c r="I152" i="11"/>
  <c r="H152" i="11"/>
  <c r="G152" i="11"/>
  <c r="I151" i="11"/>
  <c r="H151" i="11"/>
  <c r="G151" i="11"/>
  <c r="I150" i="11"/>
  <c r="H150" i="11"/>
  <c r="G150" i="11"/>
  <c r="I149" i="11"/>
  <c r="H149" i="11"/>
  <c r="G149" i="11"/>
  <c r="I148" i="11"/>
  <c r="H148" i="11"/>
  <c r="G148" i="11"/>
  <c r="I147" i="11"/>
  <c r="H147" i="11"/>
  <c r="G147" i="11"/>
  <c r="I146" i="11"/>
  <c r="H146" i="11"/>
  <c r="G146" i="11"/>
  <c r="I145" i="11"/>
  <c r="H145" i="11"/>
  <c r="G145" i="11"/>
  <c r="I144" i="11"/>
  <c r="H144" i="11"/>
  <c r="G144" i="11"/>
  <c r="I143" i="11"/>
  <c r="H143" i="11"/>
  <c r="G143" i="11"/>
  <c r="I142" i="11"/>
  <c r="H142" i="11"/>
  <c r="G142" i="11"/>
  <c r="I141" i="11"/>
  <c r="H141" i="11"/>
  <c r="G141" i="11"/>
  <c r="I140" i="11"/>
  <c r="H140" i="11"/>
  <c r="G140" i="11"/>
  <c r="I139" i="11"/>
  <c r="H139" i="11"/>
  <c r="G139" i="11"/>
  <c r="I138" i="11"/>
  <c r="H138" i="11"/>
  <c r="G138" i="11"/>
  <c r="I137" i="11"/>
  <c r="H137" i="11"/>
  <c r="G137" i="11"/>
  <c r="I136" i="11"/>
  <c r="H136" i="11"/>
  <c r="G136" i="11"/>
  <c r="I135" i="11"/>
  <c r="H135" i="11"/>
  <c r="G135" i="11"/>
  <c r="I134" i="11"/>
  <c r="H134" i="11"/>
  <c r="G134" i="11"/>
  <c r="I133" i="11"/>
  <c r="H133" i="11"/>
  <c r="G133" i="11"/>
  <c r="I132" i="11"/>
  <c r="H132" i="11"/>
  <c r="G132" i="11"/>
  <c r="I131" i="11"/>
  <c r="H131" i="11"/>
  <c r="G131" i="11"/>
  <c r="I130" i="11"/>
  <c r="H130" i="11"/>
  <c r="G130" i="11"/>
  <c r="I129" i="11"/>
  <c r="H129" i="11"/>
  <c r="G129" i="11"/>
  <c r="I128" i="11"/>
  <c r="H128" i="11"/>
  <c r="G128" i="11"/>
  <c r="I127" i="11"/>
  <c r="H127" i="11"/>
  <c r="G127" i="11"/>
  <c r="I126" i="11"/>
  <c r="H126" i="11"/>
  <c r="G126" i="11"/>
  <c r="I125" i="11"/>
  <c r="H125" i="11"/>
  <c r="G125" i="11"/>
  <c r="I124" i="11"/>
  <c r="H124" i="11"/>
  <c r="G124" i="11"/>
  <c r="I123" i="11"/>
  <c r="H123" i="11"/>
  <c r="G123" i="11"/>
  <c r="I122" i="11"/>
  <c r="H122" i="11"/>
  <c r="G122" i="11"/>
  <c r="I121" i="11"/>
  <c r="H121" i="11"/>
  <c r="G121" i="11"/>
  <c r="I120" i="11"/>
  <c r="H120" i="11"/>
  <c r="G120" i="11"/>
  <c r="I119" i="11"/>
  <c r="H119" i="11"/>
  <c r="G119" i="11"/>
  <c r="I118" i="11"/>
  <c r="H118" i="11"/>
  <c r="M33" i="11" s="1"/>
  <c r="G118" i="11"/>
  <c r="I117" i="11"/>
  <c r="H117" i="11"/>
  <c r="G117" i="11"/>
  <c r="I116" i="11"/>
  <c r="H116" i="11"/>
  <c r="G116" i="11"/>
  <c r="I115" i="11"/>
  <c r="H115" i="11"/>
  <c r="G115" i="11"/>
  <c r="I114" i="11"/>
  <c r="H114" i="11"/>
  <c r="G114" i="11"/>
  <c r="I113" i="11"/>
  <c r="H113" i="11"/>
  <c r="G113" i="11"/>
  <c r="I112" i="11"/>
  <c r="H112" i="11"/>
  <c r="G112" i="11"/>
  <c r="I111" i="11"/>
  <c r="H111" i="11"/>
  <c r="G111" i="11"/>
  <c r="I110" i="11"/>
  <c r="H110" i="11"/>
  <c r="G110" i="11"/>
  <c r="I109" i="11"/>
  <c r="H109" i="11"/>
  <c r="G109" i="11"/>
  <c r="I108" i="11"/>
  <c r="H108" i="11"/>
  <c r="G108" i="11"/>
  <c r="I107" i="11"/>
  <c r="H107" i="11"/>
  <c r="G107" i="11"/>
  <c r="I106" i="11"/>
  <c r="H106" i="11"/>
  <c r="G106" i="11"/>
  <c r="I105" i="11"/>
  <c r="H105" i="11"/>
  <c r="G105" i="11"/>
  <c r="I104" i="11"/>
  <c r="H104" i="11"/>
  <c r="G104" i="11"/>
  <c r="I103" i="11"/>
  <c r="H103" i="11"/>
  <c r="G103" i="11"/>
  <c r="I102" i="11"/>
  <c r="H102" i="11"/>
  <c r="G102" i="11"/>
  <c r="I101" i="11"/>
  <c r="H101" i="11"/>
  <c r="G101" i="11"/>
  <c r="I100" i="11"/>
  <c r="H100" i="11"/>
  <c r="G100" i="11"/>
  <c r="I99" i="11"/>
  <c r="H99" i="11"/>
  <c r="G99" i="11"/>
  <c r="I98" i="11"/>
  <c r="H98" i="11"/>
  <c r="G98" i="11"/>
  <c r="I97" i="11"/>
  <c r="H97" i="11"/>
  <c r="G97" i="11"/>
  <c r="I96" i="11"/>
  <c r="H96" i="11"/>
  <c r="G96" i="11"/>
  <c r="I95" i="11"/>
  <c r="H95" i="11"/>
  <c r="G95" i="11"/>
  <c r="I94" i="11"/>
  <c r="H94" i="11"/>
  <c r="G94" i="11"/>
  <c r="I93" i="11"/>
  <c r="H93" i="11"/>
  <c r="G93" i="11"/>
  <c r="I92" i="11"/>
  <c r="H92" i="11"/>
  <c r="G92" i="11"/>
  <c r="I91" i="11"/>
  <c r="H91" i="11"/>
  <c r="G91" i="11"/>
  <c r="I90" i="11"/>
  <c r="H90" i="11"/>
  <c r="G90" i="11"/>
  <c r="I89" i="11"/>
  <c r="H89" i="11"/>
  <c r="G89" i="11"/>
  <c r="I88" i="11"/>
  <c r="H88" i="11"/>
  <c r="G88" i="11"/>
  <c r="I87" i="11"/>
  <c r="H87" i="11"/>
  <c r="G87" i="11"/>
  <c r="I86" i="11"/>
  <c r="H86" i="11"/>
  <c r="G86" i="11"/>
  <c r="I85" i="11"/>
  <c r="H85" i="11"/>
  <c r="G85" i="11"/>
  <c r="I84" i="11"/>
  <c r="H84" i="11"/>
  <c r="G84" i="11"/>
  <c r="I83" i="11"/>
  <c r="H83" i="11"/>
  <c r="G83" i="11"/>
  <c r="I82" i="11"/>
  <c r="H82" i="11"/>
  <c r="G82" i="11"/>
  <c r="I81" i="11"/>
  <c r="H81" i="11"/>
  <c r="G81" i="11"/>
  <c r="I80" i="11"/>
  <c r="H80" i="11"/>
  <c r="G80" i="11"/>
  <c r="I79" i="11"/>
  <c r="H79" i="11"/>
  <c r="G79" i="11"/>
  <c r="I78" i="11"/>
  <c r="H78" i="11"/>
  <c r="G78" i="11"/>
  <c r="I77" i="11"/>
  <c r="H77" i="11"/>
  <c r="G77" i="11"/>
  <c r="I76" i="11"/>
  <c r="H76" i="11"/>
  <c r="G76" i="11"/>
  <c r="I75" i="11"/>
  <c r="H75" i="11"/>
  <c r="G75" i="11"/>
  <c r="I74" i="11"/>
  <c r="H74" i="11"/>
  <c r="G74" i="11"/>
  <c r="I73" i="11"/>
  <c r="H73" i="11"/>
  <c r="G73" i="11"/>
  <c r="I72" i="11"/>
  <c r="H72" i="11"/>
  <c r="G72" i="11"/>
  <c r="I71" i="11"/>
  <c r="H71" i="11"/>
  <c r="G71" i="11"/>
  <c r="I70" i="11"/>
  <c r="H70" i="11"/>
  <c r="G70" i="11"/>
  <c r="I69" i="11"/>
  <c r="H69" i="11"/>
  <c r="G69" i="11"/>
  <c r="I68" i="11"/>
  <c r="H68" i="11"/>
  <c r="G68" i="11"/>
  <c r="I67" i="11"/>
  <c r="H67" i="11"/>
  <c r="G67" i="11"/>
  <c r="I66" i="11"/>
  <c r="H66" i="11"/>
  <c r="G66" i="11"/>
  <c r="I65" i="11"/>
  <c r="H65" i="11"/>
  <c r="G65" i="11"/>
  <c r="I64" i="11"/>
  <c r="H64" i="11"/>
  <c r="G64" i="11"/>
  <c r="I63" i="11"/>
  <c r="H63" i="11"/>
  <c r="G63" i="11"/>
  <c r="I62" i="11"/>
  <c r="H62" i="11"/>
  <c r="G62" i="11"/>
  <c r="I61" i="11"/>
  <c r="H61" i="11"/>
  <c r="G61" i="11"/>
  <c r="I60" i="11"/>
  <c r="H60" i="11"/>
  <c r="G60" i="11"/>
  <c r="I59" i="11"/>
  <c r="H59" i="11"/>
  <c r="G59" i="11"/>
  <c r="I58" i="11"/>
  <c r="H58" i="11"/>
  <c r="G58" i="11"/>
  <c r="I57" i="11"/>
  <c r="H57" i="11"/>
  <c r="G57" i="11"/>
  <c r="I56" i="11"/>
  <c r="H56" i="11"/>
  <c r="G56" i="11"/>
  <c r="I55" i="11"/>
  <c r="H55" i="11"/>
  <c r="G55" i="11"/>
  <c r="I54" i="11"/>
  <c r="H54" i="11"/>
  <c r="G54" i="11"/>
  <c r="I53" i="11"/>
  <c r="H53" i="11"/>
  <c r="G53" i="11"/>
  <c r="I52" i="11"/>
  <c r="H52" i="11"/>
  <c r="G52" i="11"/>
  <c r="I51" i="11"/>
  <c r="H51" i="11"/>
  <c r="G51" i="11"/>
  <c r="I50" i="11"/>
  <c r="H50" i="11"/>
  <c r="G50" i="11"/>
  <c r="I49" i="11"/>
  <c r="H49" i="11"/>
  <c r="G49" i="11"/>
  <c r="I48" i="11"/>
  <c r="H48" i="11"/>
  <c r="G48" i="11"/>
  <c r="I47" i="11"/>
  <c r="H47" i="11"/>
  <c r="G47" i="11"/>
  <c r="I46" i="11"/>
  <c r="H46" i="11"/>
  <c r="G46" i="11"/>
  <c r="I45" i="11"/>
  <c r="H45" i="11"/>
  <c r="G45" i="11"/>
  <c r="I44" i="11"/>
  <c r="H44" i="11"/>
  <c r="G44" i="11"/>
  <c r="I43" i="11"/>
  <c r="H43" i="11"/>
  <c r="G43" i="11"/>
  <c r="I42" i="11"/>
  <c r="H42" i="11"/>
  <c r="G42" i="11"/>
  <c r="I41" i="11"/>
  <c r="H41" i="11"/>
  <c r="G41" i="11"/>
  <c r="I40" i="11"/>
  <c r="H40" i="11"/>
  <c r="G40" i="11"/>
  <c r="I39" i="11"/>
  <c r="H39" i="11"/>
  <c r="G39" i="11"/>
  <c r="I38" i="11"/>
  <c r="H38" i="11"/>
  <c r="G38" i="11"/>
  <c r="I37" i="11"/>
  <c r="H37" i="11"/>
  <c r="G37" i="11"/>
  <c r="I36" i="11"/>
  <c r="H36" i="11"/>
  <c r="G36" i="11"/>
  <c r="I35" i="11"/>
  <c r="H35" i="11"/>
  <c r="G35" i="11"/>
  <c r="I34" i="11"/>
  <c r="H34" i="11"/>
  <c r="G34" i="11"/>
  <c r="I33" i="11"/>
  <c r="H33" i="11"/>
  <c r="G33" i="11"/>
  <c r="I32" i="11"/>
  <c r="H32" i="11"/>
  <c r="G32" i="11"/>
  <c r="I31" i="11"/>
  <c r="H31" i="11"/>
  <c r="G31" i="11"/>
  <c r="I30" i="11"/>
  <c r="H30" i="11"/>
  <c r="G30" i="11"/>
  <c r="I29" i="11"/>
  <c r="H29" i="11"/>
  <c r="G29" i="11"/>
  <c r="I28" i="11"/>
  <c r="H28" i="11"/>
  <c r="G28" i="11"/>
  <c r="N27" i="11"/>
  <c r="I27" i="11"/>
  <c r="H27" i="11"/>
  <c r="G27" i="11"/>
  <c r="I26" i="11"/>
  <c r="H26" i="11"/>
  <c r="G26" i="11"/>
  <c r="M25" i="11"/>
  <c r="O25" i="11" s="1"/>
  <c r="I25" i="11"/>
  <c r="H25" i="11"/>
  <c r="G25" i="11"/>
  <c r="I24" i="11"/>
  <c r="H24" i="11"/>
  <c r="G24" i="11"/>
  <c r="I23" i="11"/>
  <c r="H23" i="11"/>
  <c r="G23" i="11"/>
  <c r="I22" i="11"/>
  <c r="H22" i="11"/>
  <c r="G22" i="11"/>
  <c r="I21" i="11"/>
  <c r="H21" i="11"/>
  <c r="G21" i="11"/>
  <c r="I20" i="11"/>
  <c r="H20" i="11"/>
  <c r="G20" i="11"/>
  <c r="I19" i="11"/>
  <c r="H19" i="11"/>
  <c r="G19" i="11"/>
  <c r="I18" i="11"/>
  <c r="H18" i="11"/>
  <c r="G18" i="11"/>
  <c r="I17" i="11"/>
  <c r="H17" i="11"/>
  <c r="G17" i="11"/>
  <c r="I16" i="11"/>
  <c r="H16" i="11"/>
  <c r="G16" i="11"/>
  <c r="I15" i="11"/>
  <c r="H15" i="11"/>
  <c r="G15" i="11"/>
  <c r="I14" i="11"/>
  <c r="H14" i="11"/>
  <c r="G14" i="11"/>
  <c r="I13" i="11"/>
  <c r="H13" i="11"/>
  <c r="G13" i="11"/>
  <c r="I12" i="11"/>
  <c r="H12" i="11"/>
  <c r="G12" i="11"/>
  <c r="I11" i="11"/>
  <c r="H11" i="11"/>
  <c r="G11" i="11"/>
  <c r="I10" i="11"/>
  <c r="H10" i="11"/>
  <c r="G10" i="11"/>
  <c r="I9" i="11"/>
  <c r="H9" i="11"/>
  <c r="G9" i="11"/>
  <c r="I8" i="11"/>
  <c r="H8" i="11"/>
  <c r="G8" i="11"/>
  <c r="I7" i="11"/>
  <c r="H7" i="11"/>
  <c r="G7" i="11"/>
  <c r="I6" i="11"/>
  <c r="H6" i="11"/>
  <c r="G6" i="11"/>
  <c r="I5" i="11"/>
  <c r="H5" i="11"/>
  <c r="G5" i="11"/>
  <c r="I4" i="11"/>
  <c r="H4" i="11"/>
  <c r="G4" i="11"/>
  <c r="I3" i="11"/>
  <c r="H3" i="11"/>
  <c r="G3" i="11"/>
  <c r="I2" i="11"/>
  <c r="H2" i="11"/>
  <c r="G2" i="11"/>
  <c r="J71" i="10"/>
  <c r="H72" i="2" s="1"/>
  <c r="J70" i="10"/>
  <c r="J69" i="10"/>
  <c r="I69" i="10" s="1"/>
  <c r="J68" i="10"/>
  <c r="I68" i="10" s="1"/>
  <c r="J67" i="10"/>
  <c r="H68" i="2" s="1"/>
  <c r="J66" i="10"/>
  <c r="J65" i="10"/>
  <c r="H66" i="2" s="1"/>
  <c r="J64" i="10"/>
  <c r="J63" i="10"/>
  <c r="I63" i="10" s="1"/>
  <c r="K63" i="10" s="1"/>
  <c r="N63" i="11" s="1"/>
  <c r="J62" i="10"/>
  <c r="J61" i="10"/>
  <c r="H62" i="2" s="1"/>
  <c r="J60" i="10"/>
  <c r="I60" i="10" s="1"/>
  <c r="J59" i="10"/>
  <c r="I59" i="10" s="1"/>
  <c r="J58" i="10"/>
  <c r="I58" i="10" s="1"/>
  <c r="J57" i="10"/>
  <c r="I57" i="10" s="1"/>
  <c r="K57" i="10" s="1"/>
  <c r="N57" i="11" s="1"/>
  <c r="J56" i="10"/>
  <c r="J55" i="10"/>
  <c r="I55" i="10" s="1"/>
  <c r="J54" i="10"/>
  <c r="J53" i="10"/>
  <c r="I53" i="10" s="1"/>
  <c r="K53" i="10" s="1"/>
  <c r="N53" i="11" s="1"/>
  <c r="J52" i="10"/>
  <c r="I52" i="10" s="1"/>
  <c r="J51" i="10"/>
  <c r="I51" i="10" s="1"/>
  <c r="K51" i="10" s="1"/>
  <c r="N51" i="11" s="1"/>
  <c r="J50" i="10"/>
  <c r="J49" i="10"/>
  <c r="I49" i="10" s="1"/>
  <c r="J48" i="10"/>
  <c r="J47" i="10"/>
  <c r="I47" i="10" s="1"/>
  <c r="J46" i="10"/>
  <c r="I46" i="10" s="1"/>
  <c r="K46" i="10" s="1"/>
  <c r="N46" i="11" s="1"/>
  <c r="J45" i="10"/>
  <c r="H46" i="2" s="1"/>
  <c r="J44" i="10"/>
  <c r="J43" i="10"/>
  <c r="I43" i="10" s="1"/>
  <c r="K43" i="10" s="1"/>
  <c r="N43" i="11" s="1"/>
  <c r="J42" i="10"/>
  <c r="J41" i="10"/>
  <c r="I41" i="10" s="1"/>
  <c r="J40" i="10"/>
  <c r="I40" i="10" s="1"/>
  <c r="K40" i="10" s="1"/>
  <c r="N40" i="11" s="1"/>
  <c r="J39" i="10"/>
  <c r="I39" i="10" s="1"/>
  <c r="K39" i="10" s="1"/>
  <c r="N39" i="11" s="1"/>
  <c r="J38" i="10"/>
  <c r="I38" i="10" s="1"/>
  <c r="K38" i="10" s="1"/>
  <c r="N38" i="11" s="1"/>
  <c r="J37" i="10"/>
  <c r="I37" i="10" s="1"/>
  <c r="K37" i="10" s="1"/>
  <c r="N37" i="11" s="1"/>
  <c r="J36" i="10"/>
  <c r="J35" i="10"/>
  <c r="I35" i="10" s="1"/>
  <c r="J34" i="10"/>
  <c r="I34" i="10" s="1"/>
  <c r="K34" i="10" s="1"/>
  <c r="N34" i="11" s="1"/>
  <c r="J33" i="10"/>
  <c r="I33" i="10" s="1"/>
  <c r="K33" i="10" s="1"/>
  <c r="N33" i="11" s="1"/>
  <c r="J32" i="10"/>
  <c r="I32" i="10" s="1"/>
  <c r="K32" i="10" s="1"/>
  <c r="N32" i="11" s="1"/>
  <c r="J31" i="10"/>
  <c r="I31" i="10" s="1"/>
  <c r="K31" i="10" s="1"/>
  <c r="N31" i="11" s="1"/>
  <c r="J30" i="10"/>
  <c r="I30" i="10" s="1"/>
  <c r="K30" i="10" s="1"/>
  <c r="N30" i="11" s="1"/>
  <c r="J29" i="10"/>
  <c r="I29" i="10" s="1"/>
  <c r="K29" i="10" s="1"/>
  <c r="N29" i="11" s="1"/>
  <c r="J28" i="10"/>
  <c r="I28" i="10" s="1"/>
  <c r="K28" i="10" s="1"/>
  <c r="N28" i="11" s="1"/>
  <c r="J27" i="10"/>
  <c r="I27" i="10" s="1"/>
  <c r="K27" i="10" s="1"/>
  <c r="J26" i="10"/>
  <c r="I26" i="10" s="1"/>
  <c r="K26" i="10" s="1"/>
  <c r="N26" i="11" s="1"/>
  <c r="J25" i="10"/>
  <c r="I25" i="10" s="1"/>
  <c r="K25" i="10" s="1"/>
  <c r="N25" i="11" s="1"/>
  <c r="J24" i="10"/>
  <c r="J23" i="10"/>
  <c r="I23" i="10" s="1"/>
  <c r="K23" i="10" s="1"/>
  <c r="N23" i="11" s="1"/>
  <c r="J22" i="10"/>
  <c r="I22" i="10" s="1"/>
  <c r="K22" i="10" s="1"/>
  <c r="N22" i="11" s="1"/>
  <c r="J21" i="10"/>
  <c r="I21" i="10" s="1"/>
  <c r="K21" i="10" s="1"/>
  <c r="N21" i="11" s="1"/>
  <c r="J20" i="10"/>
  <c r="I20" i="10" s="1"/>
  <c r="K20" i="10" s="1"/>
  <c r="N20" i="11" s="1"/>
  <c r="J19" i="10"/>
  <c r="I19" i="10" s="1"/>
  <c r="K19" i="10" s="1"/>
  <c r="N19" i="11" s="1"/>
  <c r="J18" i="10"/>
  <c r="I18" i="10" s="1"/>
  <c r="K18" i="10" s="1"/>
  <c r="N18" i="11" s="1"/>
  <c r="J17" i="10"/>
  <c r="I17" i="10" s="1"/>
  <c r="K17" i="10" s="1"/>
  <c r="N17" i="11" s="1"/>
  <c r="J16" i="10"/>
  <c r="I16" i="10" s="1"/>
  <c r="K16" i="10" s="1"/>
  <c r="N16" i="11" s="1"/>
  <c r="J15" i="10"/>
  <c r="I15" i="10" s="1"/>
  <c r="K15" i="10" s="1"/>
  <c r="N15" i="11" s="1"/>
  <c r="J14" i="10"/>
  <c r="I14" i="10" s="1"/>
  <c r="K14" i="10" s="1"/>
  <c r="N14" i="11" s="1"/>
  <c r="J13" i="10"/>
  <c r="I13" i="10" s="1"/>
  <c r="K13" i="10" s="1"/>
  <c r="N13" i="11" s="1"/>
  <c r="J12" i="10"/>
  <c r="I12" i="10" s="1"/>
  <c r="K12" i="10" s="1"/>
  <c r="N12" i="11" s="1"/>
  <c r="J11" i="10"/>
  <c r="I11" i="10" s="1"/>
  <c r="K11" i="10" s="1"/>
  <c r="N11" i="11" s="1"/>
  <c r="J10" i="10"/>
  <c r="I10" i="10" s="1"/>
  <c r="K10" i="10" s="1"/>
  <c r="N10" i="11" s="1"/>
  <c r="J9" i="10"/>
  <c r="I9" i="10" s="1"/>
  <c r="K9" i="10" s="1"/>
  <c r="N9" i="11" s="1"/>
  <c r="J8" i="10"/>
  <c r="I8" i="10" s="1"/>
  <c r="K8" i="10" s="1"/>
  <c r="N8" i="11" s="1"/>
  <c r="J7" i="10"/>
  <c r="I7" i="10" s="1"/>
  <c r="K7" i="10" s="1"/>
  <c r="N7" i="11" s="1"/>
  <c r="J6" i="10"/>
  <c r="I6" i="10" s="1"/>
  <c r="K6" i="10" s="1"/>
  <c r="N6" i="11" s="1"/>
  <c r="J5" i="10"/>
  <c r="I5" i="10" s="1"/>
  <c r="K5" i="10" s="1"/>
  <c r="N5" i="11" s="1"/>
  <c r="J4" i="10"/>
  <c r="I4" i="10" s="1"/>
  <c r="K4" i="10" s="1"/>
  <c r="N4" i="11" s="1"/>
  <c r="J3" i="10"/>
  <c r="I3" i="10" s="1"/>
  <c r="K3" i="10" s="1"/>
  <c r="N3" i="11" s="1"/>
  <c r="J2" i="10"/>
  <c r="I2" i="10" s="1"/>
  <c r="K2" i="10" s="1"/>
  <c r="N2" i="11" s="1"/>
  <c r="C52" i="9"/>
  <c r="AD59" i="2" s="1"/>
  <c r="C51" i="9"/>
  <c r="C50" i="9"/>
  <c r="AD57" i="2" s="1"/>
  <c r="C49" i="9"/>
  <c r="AD55" i="2" s="1"/>
  <c r="C48" i="9"/>
  <c r="C47" i="9"/>
  <c r="AD51" i="2" s="1"/>
  <c r="C46" i="9"/>
  <c r="AD52" i="2" s="1"/>
  <c r="C45" i="9"/>
  <c r="C44" i="9"/>
  <c r="AD49" i="2" s="1"/>
  <c r="C43" i="9"/>
  <c r="AD48" i="2" s="1"/>
  <c r="C42" i="9"/>
  <c r="C41" i="9"/>
  <c r="AD45" i="2" s="1"/>
  <c r="C40" i="9"/>
  <c r="AD46" i="2" s="1"/>
  <c r="C39" i="9"/>
  <c r="C38" i="9"/>
  <c r="AD41" i="2" s="1"/>
  <c r="C37" i="9"/>
  <c r="AD37" i="2" s="1"/>
  <c r="C36" i="9"/>
  <c r="C35" i="9"/>
  <c r="AD33" i="2" s="1"/>
  <c r="C34" i="9"/>
  <c r="AD32" i="2" s="1"/>
  <c r="C33" i="9"/>
  <c r="C32" i="9"/>
  <c r="AD35" i="2" s="1"/>
  <c r="C31" i="9"/>
  <c r="C30" i="9"/>
  <c r="C29" i="9"/>
  <c r="AD22" i="2" s="1"/>
  <c r="C28" i="9"/>
  <c r="AD24" i="2" s="1"/>
  <c r="C27" i="9"/>
  <c r="C26" i="9"/>
  <c r="AD23" i="2" s="1"/>
  <c r="C25" i="9"/>
  <c r="AD21" i="2" s="1"/>
  <c r="C24" i="9"/>
  <c r="C23" i="9"/>
  <c r="C22" i="9"/>
  <c r="AD17" i="2" s="1"/>
  <c r="C21" i="9"/>
  <c r="C20" i="9"/>
  <c r="AD15" i="2" s="1"/>
  <c r="C19" i="9"/>
  <c r="AD10" i="2" s="1"/>
  <c r="C18" i="9"/>
  <c r="C17" i="9"/>
  <c r="AD12" i="2" s="1"/>
  <c r="C16" i="9"/>
  <c r="AD6" i="2" s="1"/>
  <c r="C15" i="9"/>
  <c r="C14" i="9"/>
  <c r="AD9" i="2" s="1"/>
  <c r="C13" i="9"/>
  <c r="AD5" i="2" s="1"/>
  <c r="C12" i="9"/>
  <c r="C11" i="9"/>
  <c r="AD4" i="2" s="1"/>
  <c r="C10" i="9"/>
  <c r="AD67" i="2" s="1"/>
  <c r="C9" i="9"/>
  <c r="C8" i="9"/>
  <c r="AD66" i="2" s="1"/>
  <c r="C7" i="9"/>
  <c r="AD64" i="2" s="1"/>
  <c r="C6" i="9"/>
  <c r="C5" i="9"/>
  <c r="C4" i="9"/>
  <c r="AD69" i="2" s="1"/>
  <c r="C3" i="9"/>
  <c r="AD70" i="2" s="1"/>
  <c r="C2" i="9"/>
  <c r="AD68" i="2" s="1"/>
  <c r="K52" i="8"/>
  <c r="L52" i="8" s="1"/>
  <c r="D52" i="8" s="1"/>
  <c r="C52" i="8" s="1"/>
  <c r="I52" i="8" s="1"/>
  <c r="K51" i="8"/>
  <c r="L51" i="8" s="1"/>
  <c r="D51" i="8" s="1"/>
  <c r="C51" i="8" s="1"/>
  <c r="K50" i="8"/>
  <c r="L50" i="8" s="1"/>
  <c r="D50" i="8" s="1"/>
  <c r="C50" i="8" s="1"/>
  <c r="I50" i="8" s="1"/>
  <c r="K49" i="8"/>
  <c r="L49" i="8" s="1"/>
  <c r="D49" i="8" s="1"/>
  <c r="C49" i="8" s="1"/>
  <c r="K48" i="8"/>
  <c r="L48" i="8" s="1"/>
  <c r="D48" i="8" s="1"/>
  <c r="C48" i="8" s="1"/>
  <c r="I48" i="8" s="1"/>
  <c r="K47" i="8"/>
  <c r="L47" i="8" s="1"/>
  <c r="D47" i="8" s="1"/>
  <c r="C47" i="8" s="1"/>
  <c r="I47" i="8" s="1"/>
  <c r="K46" i="8"/>
  <c r="L46" i="8" s="1"/>
  <c r="D46" i="8" s="1"/>
  <c r="C46" i="8" s="1"/>
  <c r="K45" i="8"/>
  <c r="L45" i="8" s="1"/>
  <c r="D45" i="8" s="1"/>
  <c r="C45" i="8" s="1"/>
  <c r="K44" i="8"/>
  <c r="L44" i="8" s="1"/>
  <c r="D44" i="8" s="1"/>
  <c r="C44" i="8" s="1"/>
  <c r="K43" i="8"/>
  <c r="L43" i="8" s="1"/>
  <c r="D43" i="8" s="1"/>
  <c r="C43" i="8" s="1"/>
  <c r="I43" i="8" s="1"/>
  <c r="K42" i="8"/>
  <c r="L42" i="8" s="1"/>
  <c r="D42" i="8" s="1"/>
  <c r="C42" i="8" s="1"/>
  <c r="K41" i="8"/>
  <c r="L41" i="8" s="1"/>
  <c r="D41" i="8" s="1"/>
  <c r="C41" i="8" s="1"/>
  <c r="K40" i="8"/>
  <c r="L40" i="8" s="1"/>
  <c r="D40" i="8" s="1"/>
  <c r="C40" i="8" s="1"/>
  <c r="I40" i="8" s="1"/>
  <c r="K39" i="8"/>
  <c r="L39" i="8" s="1"/>
  <c r="D39" i="8" s="1"/>
  <c r="C39" i="8" s="1"/>
  <c r="I39" i="8" s="1"/>
  <c r="K38" i="8"/>
  <c r="L38" i="8" s="1"/>
  <c r="D38" i="8" s="1"/>
  <c r="C38" i="8" s="1"/>
  <c r="K37" i="8"/>
  <c r="L37" i="8" s="1"/>
  <c r="D37" i="8" s="1"/>
  <c r="C37" i="8" s="1"/>
  <c r="I37" i="8" s="1"/>
  <c r="K36" i="8"/>
  <c r="L36" i="8" s="1"/>
  <c r="D36" i="8" s="1"/>
  <c r="C36" i="8" s="1"/>
  <c r="I36" i="8" s="1"/>
  <c r="K35" i="8"/>
  <c r="L35" i="8" s="1"/>
  <c r="D35" i="8" s="1"/>
  <c r="C35" i="8" s="1"/>
  <c r="K34" i="8"/>
  <c r="L34" i="8" s="1"/>
  <c r="D34" i="8" s="1"/>
  <c r="C34" i="8" s="1"/>
  <c r="I34" i="8" s="1"/>
  <c r="K33" i="8"/>
  <c r="L33" i="8" s="1"/>
  <c r="D33" i="8" s="1"/>
  <c r="C33" i="8" s="1"/>
  <c r="I33" i="8" s="1"/>
  <c r="K32" i="8"/>
  <c r="L32" i="8" s="1"/>
  <c r="D32" i="8" s="1"/>
  <c r="C32" i="8" s="1"/>
  <c r="K31" i="8"/>
  <c r="L31" i="8" s="1"/>
  <c r="D31" i="8" s="1"/>
  <c r="C31" i="8" s="1"/>
  <c r="I31" i="8" s="1"/>
  <c r="K30" i="8"/>
  <c r="L30" i="8" s="1"/>
  <c r="D30" i="8" s="1"/>
  <c r="C30" i="8" s="1"/>
  <c r="I30" i="8" s="1"/>
  <c r="K29" i="8"/>
  <c r="L29" i="8" s="1"/>
  <c r="D29" i="8" s="1"/>
  <c r="C29" i="8" s="1"/>
  <c r="I29" i="8" s="1"/>
  <c r="K28" i="8"/>
  <c r="L28" i="8" s="1"/>
  <c r="D28" i="8" s="1"/>
  <c r="C28" i="8" s="1"/>
  <c r="I28" i="8" s="1"/>
  <c r="K27" i="8"/>
  <c r="L27" i="8" s="1"/>
  <c r="D27" i="8" s="1"/>
  <c r="C27" i="8" s="1"/>
  <c r="K26" i="8"/>
  <c r="L26" i="8" s="1"/>
  <c r="D26" i="8" s="1"/>
  <c r="C26" i="8" s="1"/>
  <c r="I26" i="8" s="1"/>
  <c r="K25" i="8"/>
  <c r="L25" i="8" s="1"/>
  <c r="D25" i="8" s="1"/>
  <c r="C25" i="8" s="1"/>
  <c r="I25" i="8" s="1"/>
  <c r="K24" i="8"/>
  <c r="L24" i="8" s="1"/>
  <c r="D24" i="8" s="1"/>
  <c r="C24" i="8" s="1"/>
  <c r="I24" i="8" s="1"/>
  <c r="K23" i="8"/>
  <c r="L23" i="8" s="1"/>
  <c r="D23" i="8" s="1"/>
  <c r="C23" i="8" s="1"/>
  <c r="K22" i="8"/>
  <c r="L22" i="8" s="1"/>
  <c r="D22" i="8" s="1"/>
  <c r="C22" i="8" s="1"/>
  <c r="I22" i="8" s="1"/>
  <c r="K21" i="8"/>
  <c r="L21" i="8" s="1"/>
  <c r="D21" i="8" s="1"/>
  <c r="C21" i="8" s="1"/>
  <c r="I21" i="8" s="1"/>
  <c r="K20" i="8"/>
  <c r="L20" i="8" s="1"/>
  <c r="D20" i="8" s="1"/>
  <c r="C20" i="8" s="1"/>
  <c r="K19" i="8"/>
  <c r="L19" i="8" s="1"/>
  <c r="D19" i="8" s="1"/>
  <c r="C19" i="8" s="1"/>
  <c r="I19" i="8" s="1"/>
  <c r="K18" i="8"/>
  <c r="L18" i="8" s="1"/>
  <c r="D18" i="8" s="1"/>
  <c r="C18" i="8" s="1"/>
  <c r="I18" i="8" s="1"/>
  <c r="K17" i="8"/>
  <c r="L17" i="8" s="1"/>
  <c r="D17" i="8" s="1"/>
  <c r="C17" i="8" s="1"/>
  <c r="K16" i="8"/>
  <c r="L16" i="8" s="1"/>
  <c r="D16" i="8" s="1"/>
  <c r="C16" i="8" s="1"/>
  <c r="I16" i="8" s="1"/>
  <c r="K15" i="8"/>
  <c r="L15" i="8" s="1"/>
  <c r="D15" i="8" s="1"/>
  <c r="C15" i="8" s="1"/>
  <c r="I15" i="8" s="1"/>
  <c r="K14" i="8"/>
  <c r="L14" i="8" s="1"/>
  <c r="D14" i="8" s="1"/>
  <c r="C14" i="8" s="1"/>
  <c r="I14" i="8" s="1"/>
  <c r="K13" i="8"/>
  <c r="L13" i="8" s="1"/>
  <c r="D13" i="8" s="1"/>
  <c r="C13" i="8" s="1"/>
  <c r="I13" i="8" s="1"/>
  <c r="K12" i="8"/>
  <c r="L12" i="8" s="1"/>
  <c r="D12" i="8" s="1"/>
  <c r="C12" i="8" s="1"/>
  <c r="I12" i="8" s="1"/>
  <c r="K11" i="8"/>
  <c r="L11" i="8" s="1"/>
  <c r="D11" i="8" s="1"/>
  <c r="C11" i="8" s="1"/>
  <c r="I11" i="8" s="1"/>
  <c r="K10" i="8"/>
  <c r="L10" i="8" s="1"/>
  <c r="D10" i="8" s="1"/>
  <c r="C10" i="8" s="1"/>
  <c r="K9" i="8"/>
  <c r="L9" i="8" s="1"/>
  <c r="D9" i="8" s="1"/>
  <c r="C9" i="8" s="1"/>
  <c r="K8" i="8"/>
  <c r="L8" i="8" s="1"/>
  <c r="D8" i="8" s="1"/>
  <c r="C8" i="8" s="1"/>
  <c r="K7" i="8"/>
  <c r="L7" i="8" s="1"/>
  <c r="D7" i="8" s="1"/>
  <c r="C7" i="8" s="1"/>
  <c r="K6" i="8"/>
  <c r="L6" i="8" s="1"/>
  <c r="D6" i="8" s="1"/>
  <c r="C6" i="8" s="1"/>
  <c r="K5" i="8"/>
  <c r="L5" i="8" s="1"/>
  <c r="D5" i="8" s="1"/>
  <c r="C5" i="8" s="1"/>
  <c r="K4" i="8"/>
  <c r="L4" i="8" s="1"/>
  <c r="D4" i="8" s="1"/>
  <c r="C4" i="8" s="1"/>
  <c r="I4" i="8" s="1"/>
  <c r="K3" i="8"/>
  <c r="L3" i="8" s="1"/>
  <c r="D3" i="8" s="1"/>
  <c r="C3" i="8" s="1"/>
  <c r="K2" i="8"/>
  <c r="L2" i="8" s="1"/>
  <c r="D2" i="8" s="1"/>
  <c r="C2" i="8" s="1"/>
  <c r="I2" i="8" s="1"/>
  <c r="C54" i="7"/>
  <c r="AE62" i="2" s="1"/>
  <c r="C53" i="7"/>
  <c r="AE59" i="2" s="1"/>
  <c r="C52" i="7"/>
  <c r="AE58" i="2" s="1"/>
  <c r="C51" i="7"/>
  <c r="AE57" i="2" s="1"/>
  <c r="C50" i="7"/>
  <c r="AE55" i="2" s="1"/>
  <c r="C49" i="7"/>
  <c r="AE54" i="2" s="1"/>
  <c r="C48" i="7"/>
  <c r="C47" i="7"/>
  <c r="AE52" i="2" s="1"/>
  <c r="C46" i="7"/>
  <c r="AE50" i="2" s="1"/>
  <c r="C45" i="7"/>
  <c r="AE49" i="2" s="1"/>
  <c r="C44" i="7"/>
  <c r="AE48" i="2" s="1"/>
  <c r="C43" i="7"/>
  <c r="AE47" i="2" s="1"/>
  <c r="C42" i="7"/>
  <c r="AE45" i="2" s="1"/>
  <c r="C41" i="7"/>
  <c r="C40" i="7"/>
  <c r="C39" i="7"/>
  <c r="AE38" i="2" s="1"/>
  <c r="C38" i="7"/>
  <c r="AE41" i="2" s="1"/>
  <c r="C37" i="7"/>
  <c r="AE37" i="2" s="1"/>
  <c r="C36" i="7"/>
  <c r="C35" i="7"/>
  <c r="AE33" i="2" s="1"/>
  <c r="C34" i="7"/>
  <c r="AE32" i="2" s="1"/>
  <c r="C33" i="7"/>
  <c r="AE31" i="2" s="1"/>
  <c r="C32" i="7"/>
  <c r="C31" i="7"/>
  <c r="C30" i="7"/>
  <c r="AE25" i="2" s="1"/>
  <c r="C29" i="7"/>
  <c r="C28" i="7"/>
  <c r="C27" i="7"/>
  <c r="AE27" i="2" s="1"/>
  <c r="C26" i="7"/>
  <c r="AE23" i="2" s="1"/>
  <c r="C25" i="7"/>
  <c r="C24" i="7"/>
  <c r="AE21" i="2" s="1"/>
  <c r="C23" i="7"/>
  <c r="C22" i="7"/>
  <c r="AE20" i="2" s="1"/>
  <c r="C21" i="7"/>
  <c r="C20" i="7"/>
  <c r="AE16" i="2" s="1"/>
  <c r="C19" i="7"/>
  <c r="AE15" i="2" s="1"/>
  <c r="C18" i="7"/>
  <c r="C17" i="7"/>
  <c r="AE13" i="2" s="1"/>
  <c r="C16" i="7"/>
  <c r="C15" i="7"/>
  <c r="AE7" i="2" s="1"/>
  <c r="C14" i="7"/>
  <c r="AE9" i="2" s="1"/>
  <c r="C13" i="7"/>
  <c r="C12" i="7"/>
  <c r="AE8" i="2" s="1"/>
  <c r="C11" i="7"/>
  <c r="AE4" i="2" s="1"/>
  <c r="C10" i="7"/>
  <c r="C9" i="7"/>
  <c r="AE65" i="2" s="1"/>
  <c r="C8" i="7"/>
  <c r="AE66" i="2" s="1"/>
  <c r="C7" i="7"/>
  <c r="AE64" i="2" s="1"/>
  <c r="C6" i="7"/>
  <c r="AE63" i="2" s="1"/>
  <c r="C5" i="7"/>
  <c r="AE71" i="2" s="1"/>
  <c r="C4" i="7"/>
  <c r="AE69" i="2" s="1"/>
  <c r="C3" i="7"/>
  <c r="AE70" i="2" s="1"/>
  <c r="C2" i="7"/>
  <c r="AE68" i="2" s="1"/>
  <c r="J71" i="6"/>
  <c r="C71" i="6" s="1"/>
  <c r="AG72" i="2" s="1"/>
  <c r="J70" i="6"/>
  <c r="C70" i="6" s="1"/>
  <c r="AG71" i="2" s="1"/>
  <c r="J69" i="6"/>
  <c r="C69" i="6" s="1"/>
  <c r="AG70" i="2" s="1"/>
  <c r="J68" i="6"/>
  <c r="C68" i="6" s="1"/>
  <c r="J67" i="6"/>
  <c r="C67" i="6" s="1"/>
  <c r="AG68" i="2" s="1"/>
  <c r="J66" i="6"/>
  <c r="C66" i="6"/>
  <c r="AG67" i="2" s="1"/>
  <c r="J65" i="6"/>
  <c r="C65" i="6" s="1"/>
  <c r="AG66" i="2" s="1"/>
  <c r="J64" i="6"/>
  <c r="C64" i="6"/>
  <c r="AG65" i="2" s="1"/>
  <c r="J63" i="6"/>
  <c r="C63" i="6" s="1"/>
  <c r="AG64" i="2" s="1"/>
  <c r="J62" i="6"/>
  <c r="C62" i="6" s="1"/>
  <c r="AG63" i="2" s="1"/>
  <c r="J61" i="6"/>
  <c r="C61" i="6" s="1"/>
  <c r="AG62" i="2" s="1"/>
  <c r="J60" i="6"/>
  <c r="J59" i="6"/>
  <c r="J58" i="6"/>
  <c r="J57" i="6"/>
  <c r="C57" i="6" s="1"/>
  <c r="AG58" i="2" s="1"/>
  <c r="J56" i="6"/>
  <c r="C56" i="6"/>
  <c r="AG57" i="2" s="1"/>
  <c r="J55" i="6"/>
  <c r="J54" i="6"/>
  <c r="J53" i="6"/>
  <c r="C53" i="6" s="1"/>
  <c r="AG54" i="2" s="1"/>
  <c r="J52" i="6"/>
  <c r="J51" i="6"/>
  <c r="J50" i="6"/>
  <c r="C50" i="6"/>
  <c r="AG51" i="2" s="1"/>
  <c r="J49" i="6"/>
  <c r="C49" i="6" s="1"/>
  <c r="AG50" i="2" s="1"/>
  <c r="J48" i="6"/>
  <c r="C48" i="6"/>
  <c r="AG49" i="2" s="1"/>
  <c r="J47" i="6"/>
  <c r="C47" i="6"/>
  <c r="J46" i="6"/>
  <c r="C46" i="6" s="1"/>
  <c r="AG47" i="2" s="1"/>
  <c r="J45" i="6"/>
  <c r="C45" i="6" s="1"/>
  <c r="AG46" i="2" s="1"/>
  <c r="J44" i="6"/>
  <c r="C44" i="6" s="1"/>
  <c r="AG45" i="2" s="1"/>
  <c r="J43" i="6"/>
  <c r="C43" i="6" s="1"/>
  <c r="AG44" i="2" s="1"/>
  <c r="J42" i="6"/>
  <c r="C42" i="6" s="1"/>
  <c r="AG43" i="2" s="1"/>
  <c r="J41" i="6"/>
  <c r="J40" i="6"/>
  <c r="C40" i="6" s="1"/>
  <c r="AG41" i="2" s="1"/>
  <c r="J39" i="6"/>
  <c r="J38" i="6"/>
  <c r="C38" i="6" s="1"/>
  <c r="AG39" i="2" s="1"/>
  <c r="J37" i="6"/>
  <c r="C37" i="6" s="1"/>
  <c r="AG38" i="2" s="1"/>
  <c r="J36" i="6"/>
  <c r="C36" i="6" s="1"/>
  <c r="AG37" i="2" s="1"/>
  <c r="J35" i="6"/>
  <c r="C35" i="6" s="1"/>
  <c r="AG36" i="2" s="1"/>
  <c r="J34" i="6"/>
  <c r="C34" i="6" s="1"/>
  <c r="AG35" i="2" s="1"/>
  <c r="J33" i="6"/>
  <c r="C33" i="6" s="1"/>
  <c r="AG34" i="2" s="1"/>
  <c r="J32" i="6"/>
  <c r="C32" i="6" s="1"/>
  <c r="AG33" i="2" s="1"/>
  <c r="J31" i="6"/>
  <c r="C31" i="6" s="1"/>
  <c r="AG32" i="2" s="1"/>
  <c r="J30" i="6"/>
  <c r="C30" i="6" s="1"/>
  <c r="AG31" i="2" s="1"/>
  <c r="J29" i="6"/>
  <c r="C29" i="6" s="1"/>
  <c r="AG30" i="2" s="1"/>
  <c r="J28" i="6"/>
  <c r="C28" i="6" s="1"/>
  <c r="AG29" i="2" s="1"/>
  <c r="J27" i="6"/>
  <c r="J26" i="6"/>
  <c r="C59" i="6" s="1"/>
  <c r="AG60" i="2" s="1"/>
  <c r="J25" i="6"/>
  <c r="J24" i="6"/>
  <c r="C24" i="6"/>
  <c r="AG25" i="2" s="1"/>
  <c r="J23" i="6"/>
  <c r="C23" i="6" s="1"/>
  <c r="AG24" i="2" s="1"/>
  <c r="J22" i="6"/>
  <c r="C22" i="6" s="1"/>
  <c r="AG23" i="2" s="1"/>
  <c r="J21" i="6"/>
  <c r="J20" i="6"/>
  <c r="C20" i="6" s="1"/>
  <c r="AG21" i="2" s="1"/>
  <c r="J19" i="6"/>
  <c r="C19" i="6" s="1"/>
  <c r="J18" i="6"/>
  <c r="C41" i="6" s="1"/>
  <c r="AG42" i="2" s="1"/>
  <c r="J17" i="6"/>
  <c r="J16" i="6"/>
  <c r="C16" i="6" s="1"/>
  <c r="AG17" i="2" s="1"/>
  <c r="J15" i="6"/>
  <c r="C15" i="6" s="1"/>
  <c r="AG16" i="2" s="1"/>
  <c r="J14" i="6"/>
  <c r="C14" i="6" s="1"/>
  <c r="AG15" i="2" s="1"/>
  <c r="J13" i="6"/>
  <c r="C25" i="6" s="1"/>
  <c r="J12" i="6"/>
  <c r="C12" i="6" s="1"/>
  <c r="AG13" i="2" s="1"/>
  <c r="J11" i="6"/>
  <c r="C11" i="6" s="1"/>
  <c r="AG12" i="2" s="1"/>
  <c r="J10" i="6"/>
  <c r="C21" i="6" s="1"/>
  <c r="AG22" i="2" s="1"/>
  <c r="J9" i="6"/>
  <c r="C9" i="6" s="1"/>
  <c r="AG10" i="2" s="1"/>
  <c r="J8" i="6"/>
  <c r="C8" i="6"/>
  <c r="J7" i="6"/>
  <c r="C7" i="6" s="1"/>
  <c r="AG8" i="2" s="1"/>
  <c r="J6" i="6"/>
  <c r="C6" i="6" s="1"/>
  <c r="AG7" i="2" s="1"/>
  <c r="J5" i="6"/>
  <c r="C5" i="6" s="1"/>
  <c r="AG6" i="2" s="1"/>
  <c r="J4" i="6"/>
  <c r="C4" i="6" s="1"/>
  <c r="AG5" i="2" s="1"/>
  <c r="J3" i="6"/>
  <c r="C55" i="6" s="1"/>
  <c r="AG56" i="2" s="1"/>
  <c r="J2" i="6"/>
  <c r="C54" i="6" s="1"/>
  <c r="AG55" i="2" s="1"/>
  <c r="D71" i="5"/>
  <c r="AC72" i="2" s="1"/>
  <c r="D70" i="5"/>
  <c r="AC71" i="2" s="1"/>
  <c r="D69" i="5"/>
  <c r="D68" i="5"/>
  <c r="AC69" i="2" s="1"/>
  <c r="D67" i="5"/>
  <c r="AC68" i="2" s="1"/>
  <c r="D66" i="5"/>
  <c r="AC67" i="2" s="1"/>
  <c r="D65" i="5"/>
  <c r="AC66" i="2" s="1"/>
  <c r="D64" i="5"/>
  <c r="AC65" i="2" s="1"/>
  <c r="D63" i="5"/>
  <c r="AC64" i="2" s="1"/>
  <c r="D62" i="5"/>
  <c r="AC63" i="2" s="1"/>
  <c r="D61" i="5"/>
  <c r="AC62" i="2" s="1"/>
  <c r="D60" i="5"/>
  <c r="D59" i="5"/>
  <c r="D58" i="5"/>
  <c r="D57" i="5"/>
  <c r="AC58" i="2" s="1"/>
  <c r="D56" i="5"/>
  <c r="AC57" i="2" s="1"/>
  <c r="D55" i="5"/>
  <c r="D54" i="5"/>
  <c r="D53" i="5"/>
  <c r="AC54" i="2" s="1"/>
  <c r="D52" i="5"/>
  <c r="D51" i="5"/>
  <c r="D50" i="5"/>
  <c r="AC51" i="2" s="1"/>
  <c r="D49" i="5"/>
  <c r="AC50" i="2" s="1"/>
  <c r="D48" i="5"/>
  <c r="D47" i="5"/>
  <c r="AC48" i="2" s="1"/>
  <c r="D46" i="5"/>
  <c r="AC47" i="2" s="1"/>
  <c r="D45" i="5"/>
  <c r="AC46" i="2" s="1"/>
  <c r="D44" i="5"/>
  <c r="AC45" i="2" s="1"/>
  <c r="D43" i="5"/>
  <c r="AC44" i="2" s="1"/>
  <c r="D42" i="5"/>
  <c r="D41" i="5"/>
  <c r="D40" i="5"/>
  <c r="AC41" i="2" s="1"/>
  <c r="D39" i="5"/>
  <c r="D38" i="5"/>
  <c r="AC39" i="2" s="1"/>
  <c r="D37" i="5"/>
  <c r="AC38" i="2" s="1"/>
  <c r="D36" i="5"/>
  <c r="AC37" i="2" s="1"/>
  <c r="D35" i="5"/>
  <c r="D34" i="5"/>
  <c r="AC35" i="2" s="1"/>
  <c r="D33" i="5"/>
  <c r="AC34" i="2" s="1"/>
  <c r="D32" i="5"/>
  <c r="AC33" i="2" s="1"/>
  <c r="D31" i="5"/>
  <c r="AC32" i="2" s="1"/>
  <c r="D30" i="5"/>
  <c r="AC31" i="2" s="1"/>
  <c r="D29" i="5"/>
  <c r="AC30" i="2" s="1"/>
  <c r="D28" i="5"/>
  <c r="AC29" i="2" s="1"/>
  <c r="D27" i="5"/>
  <c r="D26" i="5"/>
  <c r="D25" i="5"/>
  <c r="D24" i="5"/>
  <c r="AC25" i="2" s="1"/>
  <c r="D23" i="5"/>
  <c r="AC24" i="2" s="1"/>
  <c r="D22" i="5"/>
  <c r="AC23" i="2" s="1"/>
  <c r="D21" i="5"/>
  <c r="D20" i="5"/>
  <c r="AC21" i="2" s="1"/>
  <c r="D19" i="5"/>
  <c r="AC20" i="2" s="1"/>
  <c r="D18" i="5"/>
  <c r="D17" i="5"/>
  <c r="D16" i="5"/>
  <c r="AC17" i="2" s="1"/>
  <c r="D15" i="5"/>
  <c r="AC16" i="2" s="1"/>
  <c r="D14" i="5"/>
  <c r="D13" i="5"/>
  <c r="D12" i="5"/>
  <c r="D11" i="5"/>
  <c r="AC12" i="2" s="1"/>
  <c r="D10" i="5"/>
  <c r="D9" i="5"/>
  <c r="AC10" i="2" s="1"/>
  <c r="D8" i="5"/>
  <c r="AC9" i="2" s="1"/>
  <c r="D7" i="5"/>
  <c r="D6" i="5"/>
  <c r="AC7" i="2" s="1"/>
  <c r="D5" i="5"/>
  <c r="D4" i="5"/>
  <c r="AC5" i="2" s="1"/>
  <c r="D3" i="5"/>
  <c r="AC4" i="2" s="1"/>
  <c r="D2" i="5"/>
  <c r="I61" i="4"/>
  <c r="H61" i="4"/>
  <c r="G61" i="4"/>
  <c r="I60" i="4"/>
  <c r="H60" i="4"/>
  <c r="G60" i="4"/>
  <c r="I59" i="4"/>
  <c r="H59" i="4"/>
  <c r="G59" i="4"/>
  <c r="I58" i="4"/>
  <c r="H58" i="4"/>
  <c r="G58" i="4"/>
  <c r="I57" i="4"/>
  <c r="H57" i="4"/>
  <c r="G57" i="4"/>
  <c r="I56" i="4"/>
  <c r="H56" i="4"/>
  <c r="G56" i="4"/>
  <c r="I55" i="4"/>
  <c r="H55" i="4"/>
  <c r="G55" i="4"/>
  <c r="I54" i="4"/>
  <c r="H54" i="4"/>
  <c r="G54" i="4"/>
  <c r="I53" i="4"/>
  <c r="H53" i="4"/>
  <c r="G53" i="4"/>
  <c r="I52" i="4"/>
  <c r="H52" i="4"/>
  <c r="G52" i="4"/>
  <c r="I51" i="4"/>
  <c r="H51" i="4"/>
  <c r="G51" i="4"/>
  <c r="I50" i="4"/>
  <c r="H50" i="4"/>
  <c r="G50" i="4"/>
  <c r="I49" i="4"/>
  <c r="H49" i="4"/>
  <c r="G49" i="4"/>
  <c r="I48" i="4"/>
  <c r="H48" i="4"/>
  <c r="G48" i="4"/>
  <c r="I47" i="4"/>
  <c r="H47" i="4"/>
  <c r="G47" i="4"/>
  <c r="I46" i="4"/>
  <c r="H46" i="4"/>
  <c r="G46" i="4"/>
  <c r="I45" i="4"/>
  <c r="H45" i="4"/>
  <c r="G45" i="4"/>
  <c r="I44" i="4"/>
  <c r="H44" i="4"/>
  <c r="G44" i="4"/>
  <c r="I43" i="4"/>
  <c r="H43" i="4"/>
  <c r="G43" i="4"/>
  <c r="I42" i="4"/>
  <c r="H42" i="4"/>
  <c r="G42" i="4"/>
  <c r="I41" i="4"/>
  <c r="H41" i="4"/>
  <c r="G41" i="4"/>
  <c r="I40" i="4"/>
  <c r="H40" i="4"/>
  <c r="G40" i="4"/>
  <c r="I39" i="4"/>
  <c r="H39" i="4"/>
  <c r="G39" i="4"/>
  <c r="I38" i="4"/>
  <c r="H38" i="4"/>
  <c r="J38" i="4" s="1"/>
  <c r="AA39" i="2" s="1"/>
  <c r="G38" i="4"/>
  <c r="I37" i="4"/>
  <c r="H37" i="4"/>
  <c r="G37" i="4"/>
  <c r="I36" i="4"/>
  <c r="H36" i="4"/>
  <c r="G36" i="4"/>
  <c r="I35" i="4"/>
  <c r="H35" i="4"/>
  <c r="G35" i="4"/>
  <c r="I34" i="4"/>
  <c r="H34" i="4"/>
  <c r="G34" i="4"/>
  <c r="I33" i="4"/>
  <c r="H33" i="4"/>
  <c r="G33" i="4"/>
  <c r="I32" i="4"/>
  <c r="H32" i="4"/>
  <c r="G32" i="4"/>
  <c r="I31" i="4"/>
  <c r="H31" i="4"/>
  <c r="G31" i="4"/>
  <c r="I30" i="4"/>
  <c r="H30" i="4"/>
  <c r="G30" i="4"/>
  <c r="I29" i="4"/>
  <c r="H29" i="4"/>
  <c r="G29" i="4"/>
  <c r="I28" i="4"/>
  <c r="H28" i="4"/>
  <c r="G28" i="4"/>
  <c r="I27" i="4"/>
  <c r="H27" i="4"/>
  <c r="G27" i="4"/>
  <c r="I26" i="4"/>
  <c r="H26" i="4"/>
  <c r="G26" i="4"/>
  <c r="I25" i="4"/>
  <c r="H25" i="4"/>
  <c r="G25" i="4"/>
  <c r="I24" i="4"/>
  <c r="H24" i="4"/>
  <c r="G24" i="4"/>
  <c r="I23" i="4"/>
  <c r="H23" i="4"/>
  <c r="G23" i="4"/>
  <c r="I22" i="4"/>
  <c r="H22" i="4"/>
  <c r="G22" i="4"/>
  <c r="I21" i="4"/>
  <c r="H21" i="4"/>
  <c r="G21" i="4"/>
  <c r="I20" i="4"/>
  <c r="H20" i="4"/>
  <c r="G20" i="4"/>
  <c r="I19" i="4"/>
  <c r="H19" i="4"/>
  <c r="G19" i="4"/>
  <c r="I18" i="4"/>
  <c r="H18" i="4"/>
  <c r="G18" i="4"/>
  <c r="I17" i="4"/>
  <c r="H17" i="4"/>
  <c r="G17" i="4"/>
  <c r="I16" i="4"/>
  <c r="H16" i="4"/>
  <c r="G16" i="4"/>
  <c r="I15" i="4"/>
  <c r="H15" i="4"/>
  <c r="G15" i="4"/>
  <c r="I14" i="4"/>
  <c r="H14" i="4"/>
  <c r="G14" i="4"/>
  <c r="I13" i="4"/>
  <c r="H13" i="4"/>
  <c r="G13" i="4"/>
  <c r="I12" i="4"/>
  <c r="H12" i="4"/>
  <c r="G12" i="4"/>
  <c r="I11" i="4"/>
  <c r="H11" i="4"/>
  <c r="G11" i="4"/>
  <c r="S10" i="4"/>
  <c r="T10" i="4" s="1"/>
  <c r="O10" i="4"/>
  <c r="N10" i="4"/>
  <c r="P10" i="4" s="1"/>
  <c r="I10" i="4"/>
  <c r="H10" i="4"/>
  <c r="G10" i="4"/>
  <c r="S9" i="4"/>
  <c r="T9" i="4" s="1"/>
  <c r="O9" i="4"/>
  <c r="N9" i="4"/>
  <c r="P9" i="4" s="1"/>
  <c r="I9" i="4"/>
  <c r="H9" i="4"/>
  <c r="G9" i="4"/>
  <c r="S8" i="4"/>
  <c r="T8" i="4" s="1"/>
  <c r="O8" i="4"/>
  <c r="N8" i="4"/>
  <c r="P8" i="4" s="1"/>
  <c r="I8" i="4"/>
  <c r="H8" i="4"/>
  <c r="G8" i="4"/>
  <c r="S7" i="4"/>
  <c r="T7" i="4" s="1"/>
  <c r="O7" i="4"/>
  <c r="N7" i="4"/>
  <c r="P7" i="4" s="1"/>
  <c r="I7" i="4"/>
  <c r="H7" i="4"/>
  <c r="G7" i="4"/>
  <c r="S6" i="4"/>
  <c r="T6" i="4" s="1"/>
  <c r="O6" i="4"/>
  <c r="N6" i="4"/>
  <c r="P6" i="4" s="1"/>
  <c r="I6" i="4"/>
  <c r="H6" i="4"/>
  <c r="G6" i="4"/>
  <c r="S5" i="4"/>
  <c r="T5" i="4" s="1"/>
  <c r="O5" i="4"/>
  <c r="N5" i="4"/>
  <c r="P5" i="4" s="1"/>
  <c r="I5" i="4"/>
  <c r="H5" i="4"/>
  <c r="G5" i="4"/>
  <c r="S4" i="4"/>
  <c r="T4" i="4" s="1"/>
  <c r="O4" i="4"/>
  <c r="N4" i="4"/>
  <c r="P4" i="4" s="1"/>
  <c r="I4" i="4"/>
  <c r="H4" i="4"/>
  <c r="G4" i="4"/>
  <c r="S3" i="4"/>
  <c r="T3" i="4" s="1"/>
  <c r="O3" i="4"/>
  <c r="N3" i="4"/>
  <c r="P3" i="4" s="1"/>
  <c r="I3" i="4"/>
  <c r="H3" i="4"/>
  <c r="G3" i="4"/>
  <c r="S2" i="4"/>
  <c r="T2" i="4" s="1"/>
  <c r="O2" i="4"/>
  <c r="N2" i="4"/>
  <c r="P2" i="4" s="1"/>
  <c r="I2" i="4"/>
  <c r="H2" i="4"/>
  <c r="G2" i="4"/>
  <c r="K11" i="3"/>
  <c r="J11" i="3"/>
  <c r="I11" i="3"/>
  <c r="H11" i="3"/>
  <c r="K10" i="3"/>
  <c r="J10" i="3"/>
  <c r="I10" i="3"/>
  <c r="H10" i="3"/>
  <c r="K9" i="3"/>
  <c r="J9" i="3"/>
  <c r="I9" i="3"/>
  <c r="H9" i="3"/>
  <c r="K8" i="3"/>
  <c r="J8" i="3"/>
  <c r="I8" i="3"/>
  <c r="H8" i="3"/>
  <c r="K7" i="3"/>
  <c r="J7" i="3"/>
  <c r="I7" i="3"/>
  <c r="H7" i="3"/>
  <c r="K6" i="3"/>
  <c r="J6" i="3"/>
  <c r="I6" i="3"/>
  <c r="H6" i="3"/>
  <c r="K5" i="3"/>
  <c r="J5" i="3"/>
  <c r="I5" i="3"/>
  <c r="H5" i="3"/>
  <c r="K4" i="3"/>
  <c r="J4" i="3"/>
  <c r="I4" i="3"/>
  <c r="H4" i="3"/>
  <c r="W3" i="3"/>
  <c r="V3" i="3"/>
  <c r="U3" i="3"/>
  <c r="T3" i="3"/>
  <c r="K3" i="3"/>
  <c r="J3" i="3"/>
  <c r="I3" i="3"/>
  <c r="H3" i="3"/>
  <c r="W2" i="3"/>
  <c r="V2" i="3"/>
  <c r="U2" i="3"/>
  <c r="T2" i="3"/>
  <c r="K2" i="3"/>
  <c r="J2" i="3"/>
  <c r="I2" i="3"/>
  <c r="H2" i="3"/>
  <c r="AI74" i="2"/>
  <c r="Z74" i="2"/>
  <c r="Y74" i="2"/>
  <c r="W74" i="2"/>
  <c r="U74" i="2"/>
  <c r="T74" i="2"/>
  <c r="Q74" i="2"/>
  <c r="M74" i="2"/>
  <c r="L74" i="2"/>
  <c r="AP72" i="2"/>
  <c r="AO72" i="2"/>
  <c r="AN72" i="2"/>
  <c r="AM72" i="2"/>
  <c r="AL72" i="2"/>
  <c r="AK72" i="2"/>
  <c r="AH72" i="2"/>
  <c r="AF72" i="2"/>
  <c r="AE72" i="2"/>
  <c r="AD72" i="2"/>
  <c r="AB72" i="2"/>
  <c r="V72" i="2"/>
  <c r="S72" i="2"/>
  <c r="P72" i="2"/>
  <c r="O72" i="2"/>
  <c r="N72" i="2"/>
  <c r="K72" i="2"/>
  <c r="AP71" i="2"/>
  <c r="AO71" i="2"/>
  <c r="AN71" i="2"/>
  <c r="AM71" i="2"/>
  <c r="AL71" i="2"/>
  <c r="AK71" i="2"/>
  <c r="AH71" i="2"/>
  <c r="AD71" i="2"/>
  <c r="AB71" i="2"/>
  <c r="V71" i="2"/>
  <c r="S71" i="2"/>
  <c r="P71" i="2"/>
  <c r="O71" i="2"/>
  <c r="N71" i="2"/>
  <c r="K71" i="2"/>
  <c r="AP70" i="2"/>
  <c r="AO70" i="2"/>
  <c r="AN70" i="2"/>
  <c r="AM70" i="2"/>
  <c r="AL70" i="2"/>
  <c r="AK70" i="2"/>
  <c r="AH70" i="2"/>
  <c r="AC70" i="2"/>
  <c r="AB70" i="2"/>
  <c r="V70" i="2"/>
  <c r="S70" i="2"/>
  <c r="P70" i="2"/>
  <c r="O70" i="2"/>
  <c r="N70" i="2"/>
  <c r="K70" i="2"/>
  <c r="AP69" i="2"/>
  <c r="AO69" i="2"/>
  <c r="AN69" i="2"/>
  <c r="AM69" i="2"/>
  <c r="AL69" i="2"/>
  <c r="AK69" i="2"/>
  <c r="AH69" i="2"/>
  <c r="AG69" i="2"/>
  <c r="AB69" i="2"/>
  <c r="V69" i="2"/>
  <c r="S69" i="2"/>
  <c r="P69" i="2"/>
  <c r="O69" i="2"/>
  <c r="N69" i="2"/>
  <c r="K69" i="2"/>
  <c r="AP68" i="2"/>
  <c r="AO68" i="2"/>
  <c r="AN68" i="2"/>
  <c r="AM68" i="2"/>
  <c r="AL68" i="2"/>
  <c r="AK68" i="2"/>
  <c r="AH68" i="2"/>
  <c r="S68" i="2"/>
  <c r="P68" i="2"/>
  <c r="O68" i="2"/>
  <c r="N68" i="2"/>
  <c r="K68" i="2"/>
  <c r="AP67" i="2"/>
  <c r="AO67" i="2"/>
  <c r="AN67" i="2"/>
  <c r="AM67" i="2"/>
  <c r="AL67" i="2"/>
  <c r="AK67" i="2"/>
  <c r="AH67" i="2"/>
  <c r="AE67" i="2"/>
  <c r="AB67" i="2"/>
  <c r="V67" i="2"/>
  <c r="S67" i="2"/>
  <c r="P67" i="2"/>
  <c r="O67" i="2"/>
  <c r="N67" i="2"/>
  <c r="K67" i="2"/>
  <c r="AP66" i="2"/>
  <c r="AO66" i="2"/>
  <c r="AN66" i="2"/>
  <c r="AM66" i="2"/>
  <c r="AL66" i="2"/>
  <c r="AK66" i="2"/>
  <c r="AH66" i="2"/>
  <c r="AB66" i="2"/>
  <c r="V66" i="2"/>
  <c r="S66" i="2"/>
  <c r="P66" i="2"/>
  <c r="O66" i="2"/>
  <c r="N66" i="2"/>
  <c r="K66" i="2"/>
  <c r="AP65" i="2"/>
  <c r="AO65" i="2"/>
  <c r="AN65" i="2"/>
  <c r="AM65" i="2"/>
  <c r="AL65" i="2"/>
  <c r="AK65" i="2"/>
  <c r="AH65" i="2"/>
  <c r="AD65" i="2"/>
  <c r="AB65" i="2"/>
  <c r="V65" i="2"/>
  <c r="S65" i="2"/>
  <c r="P65" i="2"/>
  <c r="O65" i="2"/>
  <c r="N65" i="2"/>
  <c r="K65" i="2"/>
  <c r="AP64" i="2"/>
  <c r="AO64" i="2"/>
  <c r="AN64" i="2"/>
  <c r="AM64" i="2"/>
  <c r="AL64" i="2"/>
  <c r="AK64" i="2"/>
  <c r="AH64" i="2"/>
  <c r="AB64" i="2"/>
  <c r="V64" i="2"/>
  <c r="S64" i="2"/>
  <c r="P64" i="2"/>
  <c r="O64" i="2"/>
  <c r="N64" i="2"/>
  <c r="K64" i="2"/>
  <c r="AP63" i="2"/>
  <c r="AO63" i="2"/>
  <c r="AN63" i="2"/>
  <c r="AM63" i="2"/>
  <c r="AL63" i="2"/>
  <c r="AK63" i="2"/>
  <c r="AH63" i="2"/>
  <c r="AD63" i="2"/>
  <c r="S63" i="2"/>
  <c r="P63" i="2"/>
  <c r="O63" i="2"/>
  <c r="N63" i="2"/>
  <c r="K63" i="2"/>
  <c r="AP62" i="2"/>
  <c r="AO62" i="2"/>
  <c r="AN62" i="2"/>
  <c r="AM62" i="2"/>
  <c r="AL62" i="2"/>
  <c r="AK62" i="2"/>
  <c r="AH62" i="2"/>
  <c r="AF62" i="2"/>
  <c r="AD62" i="2"/>
  <c r="AB62" i="2"/>
  <c r="X62" i="2"/>
  <c r="V62" i="2"/>
  <c r="S62" i="2"/>
  <c r="P62" i="2"/>
  <c r="F62" i="2" s="1"/>
  <c r="O62" i="2"/>
  <c r="N62" i="2"/>
  <c r="K62" i="2"/>
  <c r="AP61" i="2"/>
  <c r="AO61" i="2"/>
  <c r="AN61" i="2"/>
  <c r="AM61" i="2"/>
  <c r="AL61" i="2"/>
  <c r="AK61" i="2"/>
  <c r="AH61" i="2"/>
  <c r="AF61" i="2"/>
  <c r="AE61" i="2"/>
  <c r="AD61" i="2"/>
  <c r="AC61" i="2"/>
  <c r="AB61" i="2"/>
  <c r="AA61" i="2"/>
  <c r="V61" i="2"/>
  <c r="S61" i="2"/>
  <c r="P61" i="2"/>
  <c r="O61" i="2"/>
  <c r="N61" i="2"/>
  <c r="K61" i="2"/>
  <c r="I61" i="2"/>
  <c r="AP60" i="2"/>
  <c r="AO60" i="2"/>
  <c r="AN60" i="2"/>
  <c r="AM60" i="2"/>
  <c r="AL60" i="2"/>
  <c r="AK60" i="2"/>
  <c r="AH60" i="2"/>
  <c r="AF60" i="2"/>
  <c r="AE60" i="2"/>
  <c r="AD60" i="2"/>
  <c r="AC60" i="2"/>
  <c r="AB60" i="2"/>
  <c r="AA60" i="2"/>
  <c r="V60" i="2"/>
  <c r="S60" i="2"/>
  <c r="P60" i="2"/>
  <c r="O60" i="2"/>
  <c r="N60" i="2"/>
  <c r="K60" i="2"/>
  <c r="I60" i="2"/>
  <c r="H60" i="2"/>
  <c r="AP59" i="2"/>
  <c r="AO59" i="2"/>
  <c r="AN59" i="2"/>
  <c r="AM59" i="2"/>
  <c r="AL59" i="2"/>
  <c r="AK59" i="2"/>
  <c r="AH59" i="2"/>
  <c r="AC59" i="2"/>
  <c r="AB59" i="2"/>
  <c r="AA59" i="2"/>
  <c r="V59" i="2"/>
  <c r="S59" i="2"/>
  <c r="P59" i="2"/>
  <c r="O59" i="2"/>
  <c r="N59" i="2"/>
  <c r="K59" i="2"/>
  <c r="I59" i="2"/>
  <c r="AP58" i="2"/>
  <c r="AO58" i="2"/>
  <c r="AN58" i="2"/>
  <c r="AM58" i="2"/>
  <c r="AL58" i="2"/>
  <c r="AK58" i="2"/>
  <c r="AH58" i="2"/>
  <c r="AD58" i="2"/>
  <c r="AB58" i="2"/>
  <c r="V58" i="2"/>
  <c r="S58" i="2"/>
  <c r="P58" i="2"/>
  <c r="O58" i="2"/>
  <c r="N58" i="2"/>
  <c r="K58" i="2"/>
  <c r="H58" i="2"/>
  <c r="X58" i="2" s="1"/>
  <c r="AP57" i="2"/>
  <c r="AO57" i="2"/>
  <c r="AN57" i="2"/>
  <c r="AM57" i="2"/>
  <c r="AL57" i="2"/>
  <c r="AK57" i="2"/>
  <c r="AH57" i="2"/>
  <c r="AB57" i="2"/>
  <c r="V57" i="2"/>
  <c r="S57" i="2"/>
  <c r="P57" i="2"/>
  <c r="O57" i="2"/>
  <c r="N57" i="2"/>
  <c r="K57" i="2"/>
  <c r="AP56" i="2"/>
  <c r="AO56" i="2"/>
  <c r="AN56" i="2"/>
  <c r="AM56" i="2"/>
  <c r="AL56" i="2"/>
  <c r="AK56" i="2"/>
  <c r="AH56" i="2"/>
  <c r="AF56" i="2"/>
  <c r="AE56" i="2"/>
  <c r="AD56" i="2"/>
  <c r="AC56" i="2"/>
  <c r="AA56" i="2"/>
  <c r="V56" i="2"/>
  <c r="S56" i="2"/>
  <c r="P56" i="2"/>
  <c r="O56" i="2"/>
  <c r="N56" i="2"/>
  <c r="K56" i="2"/>
  <c r="I56" i="2"/>
  <c r="AP55" i="2"/>
  <c r="AO55" i="2"/>
  <c r="AN55" i="2"/>
  <c r="AM55" i="2"/>
  <c r="AL55" i="2"/>
  <c r="AK55" i="2"/>
  <c r="AH55" i="2"/>
  <c r="AC55" i="2"/>
  <c r="AA55" i="2"/>
  <c r="V55" i="2"/>
  <c r="S55" i="2"/>
  <c r="P55" i="2"/>
  <c r="O55" i="2"/>
  <c r="N55" i="2"/>
  <c r="K55" i="2"/>
  <c r="I55" i="2"/>
  <c r="AP54" i="2"/>
  <c r="AO54" i="2"/>
  <c r="AN54" i="2"/>
  <c r="AM54" i="2"/>
  <c r="AL54" i="2"/>
  <c r="AK54" i="2"/>
  <c r="AH54" i="2"/>
  <c r="AD54" i="2"/>
  <c r="AB54" i="2"/>
  <c r="V54" i="2"/>
  <c r="S54" i="2"/>
  <c r="P54" i="2"/>
  <c r="O54" i="2"/>
  <c r="N54" i="2"/>
  <c r="K54" i="2"/>
  <c r="H54" i="2"/>
  <c r="G54" i="2"/>
  <c r="J54" i="2" s="1"/>
  <c r="AP53" i="2"/>
  <c r="AO53" i="2"/>
  <c r="AN53" i="2"/>
  <c r="AM53" i="2"/>
  <c r="AL53" i="2"/>
  <c r="AK53" i="2"/>
  <c r="AH53" i="2"/>
  <c r="AF53" i="2"/>
  <c r="AE53" i="2"/>
  <c r="AD53" i="2"/>
  <c r="AC53" i="2"/>
  <c r="AB53" i="2"/>
  <c r="AA53" i="2"/>
  <c r="V53" i="2"/>
  <c r="S53" i="2"/>
  <c r="P53" i="2"/>
  <c r="O53" i="2"/>
  <c r="N53" i="2"/>
  <c r="K53" i="2"/>
  <c r="I53" i="2"/>
  <c r="AP52" i="2"/>
  <c r="AO52" i="2"/>
  <c r="AN52" i="2"/>
  <c r="AM52" i="2"/>
  <c r="AL52" i="2"/>
  <c r="AK52" i="2"/>
  <c r="AH52" i="2"/>
  <c r="AC52" i="2"/>
  <c r="AB52" i="2"/>
  <c r="AA52" i="2"/>
  <c r="V52" i="2"/>
  <c r="S52" i="2"/>
  <c r="P52" i="2"/>
  <c r="O52" i="2"/>
  <c r="N52" i="2"/>
  <c r="K52" i="2"/>
  <c r="I52" i="2"/>
  <c r="AP51" i="2"/>
  <c r="AO51" i="2"/>
  <c r="AN51" i="2"/>
  <c r="AM51" i="2"/>
  <c r="AL51" i="2"/>
  <c r="AK51" i="2"/>
  <c r="AH51" i="2"/>
  <c r="AE51" i="2"/>
  <c r="AB51" i="2"/>
  <c r="V51" i="2"/>
  <c r="S51" i="2"/>
  <c r="P51" i="2"/>
  <c r="O51" i="2"/>
  <c r="N51" i="2"/>
  <c r="K51" i="2"/>
  <c r="AP50" i="2"/>
  <c r="AO50" i="2"/>
  <c r="AN50" i="2"/>
  <c r="AM50" i="2"/>
  <c r="AL50" i="2"/>
  <c r="AK50" i="2"/>
  <c r="AH50" i="2"/>
  <c r="AD50" i="2"/>
  <c r="AB50" i="2"/>
  <c r="V50" i="2"/>
  <c r="S50" i="2"/>
  <c r="P50" i="2"/>
  <c r="O50" i="2"/>
  <c r="N50" i="2"/>
  <c r="K50" i="2"/>
  <c r="H50" i="2"/>
  <c r="AP49" i="2"/>
  <c r="AO49" i="2"/>
  <c r="AN49" i="2"/>
  <c r="AM49" i="2"/>
  <c r="AL49" i="2"/>
  <c r="AK49" i="2"/>
  <c r="AH49" i="2"/>
  <c r="AC49" i="2"/>
  <c r="AA49" i="2"/>
  <c r="V49" i="2"/>
  <c r="S49" i="2"/>
  <c r="P49" i="2"/>
  <c r="O49" i="2"/>
  <c r="N49" i="2"/>
  <c r="K49" i="2"/>
  <c r="I49" i="2"/>
  <c r="AP48" i="2"/>
  <c r="AO48" i="2"/>
  <c r="AN48" i="2"/>
  <c r="AM48" i="2"/>
  <c r="AL48" i="2"/>
  <c r="AK48" i="2"/>
  <c r="AH48" i="2"/>
  <c r="AG48" i="2"/>
  <c r="AB48" i="2"/>
  <c r="V48" i="2"/>
  <c r="S48" i="2"/>
  <c r="P48" i="2"/>
  <c r="O48" i="2"/>
  <c r="N48" i="2"/>
  <c r="K48" i="2"/>
  <c r="AP47" i="2"/>
  <c r="AO47" i="2"/>
  <c r="AN47" i="2"/>
  <c r="AM47" i="2"/>
  <c r="AL47" i="2"/>
  <c r="AK47" i="2"/>
  <c r="AH47" i="2"/>
  <c r="AD47" i="2"/>
  <c r="AB47" i="2"/>
  <c r="V47" i="2"/>
  <c r="S47" i="2"/>
  <c r="P47" i="2"/>
  <c r="O47" i="2"/>
  <c r="N47" i="2"/>
  <c r="K47" i="2"/>
  <c r="AP46" i="2"/>
  <c r="AO46" i="2"/>
  <c r="AN46" i="2"/>
  <c r="AM46" i="2"/>
  <c r="AL46" i="2"/>
  <c r="AK46" i="2"/>
  <c r="AH46" i="2"/>
  <c r="AE46" i="2"/>
  <c r="AB46" i="2"/>
  <c r="V46" i="2"/>
  <c r="S46" i="2"/>
  <c r="P46" i="2"/>
  <c r="O46" i="2"/>
  <c r="N46" i="2"/>
  <c r="K46" i="2"/>
  <c r="AP45" i="2"/>
  <c r="AO45" i="2"/>
  <c r="AN45" i="2"/>
  <c r="AM45" i="2"/>
  <c r="AL45" i="2"/>
  <c r="AK45" i="2"/>
  <c r="AH45" i="2"/>
  <c r="S45" i="2"/>
  <c r="P45" i="2"/>
  <c r="O45" i="2"/>
  <c r="N45" i="2"/>
  <c r="K45" i="2"/>
  <c r="AP44" i="2"/>
  <c r="AO44" i="2"/>
  <c r="AN44" i="2"/>
  <c r="AM44" i="2"/>
  <c r="AL44" i="2"/>
  <c r="AK44" i="2"/>
  <c r="AH44" i="2"/>
  <c r="AF44" i="2"/>
  <c r="AE44" i="2"/>
  <c r="AD44" i="2"/>
  <c r="AB44" i="2"/>
  <c r="V44" i="2"/>
  <c r="S44" i="2"/>
  <c r="P44" i="2"/>
  <c r="O44" i="2"/>
  <c r="N44" i="2"/>
  <c r="K44" i="2"/>
  <c r="H44" i="2"/>
  <c r="AP43" i="2"/>
  <c r="AO43" i="2"/>
  <c r="AN43" i="2"/>
  <c r="AM43" i="2"/>
  <c r="AL43" i="2"/>
  <c r="AK43" i="2"/>
  <c r="AH43" i="2"/>
  <c r="AF43" i="2"/>
  <c r="AE43" i="2"/>
  <c r="AD43" i="2"/>
  <c r="AC43" i="2"/>
  <c r="AB43" i="2"/>
  <c r="V43" i="2"/>
  <c r="S43" i="2"/>
  <c r="P43" i="2"/>
  <c r="O43" i="2"/>
  <c r="N43" i="2"/>
  <c r="K43" i="2"/>
  <c r="AP42" i="2"/>
  <c r="AO42" i="2"/>
  <c r="AN42" i="2"/>
  <c r="AM42" i="2"/>
  <c r="AL42" i="2"/>
  <c r="AK42" i="2"/>
  <c r="AH42" i="2"/>
  <c r="AF42" i="2"/>
  <c r="AE42" i="2"/>
  <c r="AD42" i="2"/>
  <c r="AC42" i="2"/>
  <c r="AB42" i="2"/>
  <c r="AA42" i="2"/>
  <c r="V42" i="2"/>
  <c r="S42" i="2"/>
  <c r="P42" i="2"/>
  <c r="O42" i="2"/>
  <c r="N42" i="2"/>
  <c r="K42" i="2"/>
  <c r="I42" i="2"/>
  <c r="AP41" i="2"/>
  <c r="AO41" i="2"/>
  <c r="AN41" i="2"/>
  <c r="AM41" i="2"/>
  <c r="AL41" i="2"/>
  <c r="AK41" i="2"/>
  <c r="AH41" i="2"/>
  <c r="AB41" i="2"/>
  <c r="V41" i="2"/>
  <c r="S41" i="2"/>
  <c r="P41" i="2"/>
  <c r="O41" i="2"/>
  <c r="N41" i="2"/>
  <c r="K41" i="2"/>
  <c r="H41" i="2"/>
  <c r="AP40" i="2"/>
  <c r="AO40" i="2"/>
  <c r="AN40" i="2"/>
  <c r="AM40" i="2"/>
  <c r="AL40" i="2"/>
  <c r="AK40" i="2"/>
  <c r="AH40" i="2"/>
  <c r="AF40" i="2"/>
  <c r="AE40" i="2"/>
  <c r="AD40" i="2"/>
  <c r="AC40" i="2"/>
  <c r="AB40" i="2"/>
  <c r="AA40" i="2"/>
  <c r="V40" i="2"/>
  <c r="S40" i="2"/>
  <c r="P40" i="2"/>
  <c r="O40" i="2"/>
  <c r="N40" i="2"/>
  <c r="K40" i="2"/>
  <c r="I40" i="2"/>
  <c r="AP39" i="2"/>
  <c r="AO39" i="2"/>
  <c r="AN39" i="2"/>
  <c r="AM39" i="2"/>
  <c r="AL39" i="2"/>
  <c r="AK39" i="2"/>
  <c r="AH39" i="2"/>
  <c r="AF39" i="2"/>
  <c r="AE39" i="2"/>
  <c r="AD39" i="2"/>
  <c r="AB39" i="2"/>
  <c r="V39" i="2"/>
  <c r="S39" i="2"/>
  <c r="P39" i="2"/>
  <c r="O39" i="2"/>
  <c r="N39" i="2"/>
  <c r="K39" i="2"/>
  <c r="AP38" i="2"/>
  <c r="AO38" i="2"/>
  <c r="AN38" i="2"/>
  <c r="AM38" i="2"/>
  <c r="AL38" i="2"/>
  <c r="AK38" i="2"/>
  <c r="AH38" i="2"/>
  <c r="AD38" i="2"/>
  <c r="AB38" i="2"/>
  <c r="V38" i="2"/>
  <c r="S38" i="2"/>
  <c r="P38" i="2"/>
  <c r="O38" i="2"/>
  <c r="N38" i="2"/>
  <c r="K38" i="2"/>
  <c r="AP37" i="2"/>
  <c r="AO37" i="2"/>
  <c r="AN37" i="2"/>
  <c r="AM37" i="2"/>
  <c r="AL37" i="2"/>
  <c r="AK37" i="2"/>
  <c r="AH37" i="2"/>
  <c r="S37" i="2"/>
  <c r="P37" i="2"/>
  <c r="O37" i="2"/>
  <c r="N37" i="2"/>
  <c r="K37" i="2"/>
  <c r="AP36" i="2"/>
  <c r="AO36" i="2"/>
  <c r="AN36" i="2"/>
  <c r="AM36" i="2"/>
  <c r="AL36" i="2"/>
  <c r="AK36" i="2"/>
  <c r="AH36" i="2"/>
  <c r="AF36" i="2"/>
  <c r="AE36" i="2"/>
  <c r="AD36" i="2"/>
  <c r="S36" i="2"/>
  <c r="P36" i="2"/>
  <c r="O36" i="2"/>
  <c r="N36" i="2"/>
  <c r="K36" i="2"/>
  <c r="H36" i="2"/>
  <c r="X36" i="2" s="1"/>
  <c r="AP35" i="2"/>
  <c r="AO35" i="2"/>
  <c r="AN35" i="2"/>
  <c r="AM35" i="2"/>
  <c r="AL35" i="2"/>
  <c r="AK35" i="2"/>
  <c r="AH35" i="2"/>
  <c r="AE35" i="2"/>
  <c r="AB35" i="2"/>
  <c r="V35" i="2"/>
  <c r="S35" i="2"/>
  <c r="P35" i="2"/>
  <c r="O35" i="2"/>
  <c r="N35" i="2"/>
  <c r="K35" i="2"/>
  <c r="AP34" i="2"/>
  <c r="AO34" i="2"/>
  <c r="AN34" i="2"/>
  <c r="AM34" i="2"/>
  <c r="AL34" i="2"/>
  <c r="AK34" i="2"/>
  <c r="AH34" i="2"/>
  <c r="AF34" i="2"/>
  <c r="AE34" i="2"/>
  <c r="AD34" i="2"/>
  <c r="AB34" i="2"/>
  <c r="V34" i="2"/>
  <c r="S34" i="2"/>
  <c r="P34" i="2"/>
  <c r="O34" i="2"/>
  <c r="N34" i="2"/>
  <c r="K34" i="2"/>
  <c r="AP33" i="2"/>
  <c r="AO33" i="2"/>
  <c r="AN33" i="2"/>
  <c r="AM33" i="2"/>
  <c r="AL33" i="2"/>
  <c r="AK33" i="2"/>
  <c r="AH33" i="2"/>
  <c r="AB33" i="2"/>
  <c r="X33" i="2"/>
  <c r="V33" i="2"/>
  <c r="S33" i="2"/>
  <c r="P33" i="2"/>
  <c r="O33" i="2"/>
  <c r="N33" i="2"/>
  <c r="K33" i="2"/>
  <c r="H33" i="2"/>
  <c r="G33" i="2"/>
  <c r="J33" i="2" s="1"/>
  <c r="AP32" i="2"/>
  <c r="AO32" i="2"/>
  <c r="AN32" i="2"/>
  <c r="AM32" i="2"/>
  <c r="AL32" i="2"/>
  <c r="AK32" i="2"/>
  <c r="AH32" i="2"/>
  <c r="AB32" i="2"/>
  <c r="V32" i="2"/>
  <c r="S32" i="2"/>
  <c r="P32" i="2"/>
  <c r="O32" i="2"/>
  <c r="N32" i="2"/>
  <c r="K32" i="2"/>
  <c r="G32" i="2"/>
  <c r="J32" i="2" s="1"/>
  <c r="X32" i="2" s="1"/>
  <c r="AP31" i="2"/>
  <c r="AO31" i="2"/>
  <c r="AN31" i="2"/>
  <c r="AM31" i="2"/>
  <c r="AL31" i="2"/>
  <c r="AK31" i="2"/>
  <c r="AH31" i="2"/>
  <c r="AD31" i="2"/>
  <c r="AB31" i="2"/>
  <c r="V31" i="2"/>
  <c r="S31" i="2"/>
  <c r="P31" i="2"/>
  <c r="O31" i="2"/>
  <c r="N31" i="2"/>
  <c r="K31" i="2"/>
  <c r="AP30" i="2"/>
  <c r="AO30" i="2"/>
  <c r="AN30" i="2"/>
  <c r="AM30" i="2"/>
  <c r="AL30" i="2"/>
  <c r="AK30" i="2"/>
  <c r="AH30" i="2"/>
  <c r="AE30" i="2"/>
  <c r="AD30" i="2"/>
  <c r="S30" i="2"/>
  <c r="P30" i="2"/>
  <c r="O30" i="2"/>
  <c r="N30" i="2"/>
  <c r="K30" i="2"/>
  <c r="H30" i="2"/>
  <c r="G30" i="2"/>
  <c r="J30" i="2" s="1"/>
  <c r="AP29" i="2"/>
  <c r="AO29" i="2"/>
  <c r="AN29" i="2"/>
  <c r="AM29" i="2"/>
  <c r="AL29" i="2"/>
  <c r="AK29" i="2"/>
  <c r="AH29" i="2"/>
  <c r="AF29" i="2"/>
  <c r="AE29" i="2"/>
  <c r="AD29" i="2"/>
  <c r="AB29" i="2"/>
  <c r="V29" i="2"/>
  <c r="S29" i="2"/>
  <c r="P29" i="2"/>
  <c r="O29" i="2"/>
  <c r="N29" i="2"/>
  <c r="K29" i="2"/>
  <c r="AP28" i="2"/>
  <c r="AO28" i="2"/>
  <c r="AN28" i="2"/>
  <c r="AM28" i="2"/>
  <c r="AL28" i="2"/>
  <c r="AK28" i="2"/>
  <c r="AH28" i="2"/>
  <c r="AF28" i="2"/>
  <c r="AE28" i="2"/>
  <c r="AD28" i="2"/>
  <c r="AC28" i="2"/>
  <c r="AB28" i="2"/>
  <c r="AA28" i="2"/>
  <c r="V28" i="2"/>
  <c r="S28" i="2"/>
  <c r="P28" i="2"/>
  <c r="O28" i="2"/>
  <c r="N28" i="2"/>
  <c r="K28" i="2"/>
  <c r="I28" i="2"/>
  <c r="H28" i="2"/>
  <c r="G28" i="2"/>
  <c r="J28" i="2" s="1"/>
  <c r="AP27" i="2"/>
  <c r="AO27" i="2"/>
  <c r="AN27" i="2"/>
  <c r="AM27" i="2"/>
  <c r="AL27" i="2"/>
  <c r="AK27" i="2"/>
  <c r="AH27" i="2"/>
  <c r="AD27" i="2"/>
  <c r="AB27" i="2"/>
  <c r="V27" i="2"/>
  <c r="S27" i="2"/>
  <c r="P27" i="2"/>
  <c r="O27" i="2"/>
  <c r="N27" i="2"/>
  <c r="K27" i="2"/>
  <c r="AP26" i="2"/>
  <c r="AO26" i="2"/>
  <c r="AN26" i="2"/>
  <c r="AM26" i="2"/>
  <c r="AL26" i="2"/>
  <c r="AK26" i="2"/>
  <c r="AH26" i="2"/>
  <c r="AG26" i="2"/>
  <c r="AF26" i="2"/>
  <c r="AE26" i="2"/>
  <c r="AD26" i="2"/>
  <c r="AC26" i="2"/>
  <c r="AB26" i="2"/>
  <c r="AA26" i="2"/>
  <c r="V26" i="2"/>
  <c r="S26" i="2"/>
  <c r="P26" i="2"/>
  <c r="O26" i="2"/>
  <c r="N26" i="2"/>
  <c r="K26" i="2"/>
  <c r="I26" i="2"/>
  <c r="AP25" i="2"/>
  <c r="AO25" i="2"/>
  <c r="AN25" i="2"/>
  <c r="AM25" i="2"/>
  <c r="AL25" i="2"/>
  <c r="AK25" i="2"/>
  <c r="AH25" i="2"/>
  <c r="AD25" i="2"/>
  <c r="AB25" i="2"/>
  <c r="V25" i="2"/>
  <c r="S25" i="2"/>
  <c r="P25" i="2"/>
  <c r="O25" i="2"/>
  <c r="N25" i="2"/>
  <c r="K25" i="2"/>
  <c r="AP24" i="2"/>
  <c r="AO24" i="2"/>
  <c r="AN24" i="2"/>
  <c r="AM24" i="2"/>
  <c r="AL24" i="2"/>
  <c r="AK24" i="2"/>
  <c r="AH24" i="2"/>
  <c r="AE24" i="2"/>
  <c r="AB24" i="2"/>
  <c r="V24" i="2"/>
  <c r="S24" i="2"/>
  <c r="P24" i="2"/>
  <c r="O24" i="2"/>
  <c r="N24" i="2"/>
  <c r="K24" i="2"/>
  <c r="AP23" i="2"/>
  <c r="AO23" i="2"/>
  <c r="AN23" i="2"/>
  <c r="AM23" i="2"/>
  <c r="AL23" i="2"/>
  <c r="AK23" i="2"/>
  <c r="AH23" i="2"/>
  <c r="AB23" i="2"/>
  <c r="V23" i="2"/>
  <c r="S23" i="2"/>
  <c r="P23" i="2"/>
  <c r="O23" i="2"/>
  <c r="N23" i="2"/>
  <c r="K23" i="2"/>
  <c r="AP22" i="2"/>
  <c r="AO22" i="2"/>
  <c r="AN22" i="2"/>
  <c r="AM22" i="2"/>
  <c r="AL22" i="2"/>
  <c r="AK22" i="2"/>
  <c r="AH22" i="2"/>
  <c r="AE22" i="2"/>
  <c r="AC22" i="2"/>
  <c r="AB22" i="2"/>
  <c r="AA22" i="2"/>
  <c r="V22" i="2"/>
  <c r="S22" i="2"/>
  <c r="P22" i="2"/>
  <c r="O22" i="2"/>
  <c r="N22" i="2"/>
  <c r="K22" i="2"/>
  <c r="I22" i="2"/>
  <c r="H22" i="2"/>
  <c r="AP21" i="2"/>
  <c r="AO21" i="2"/>
  <c r="AN21" i="2"/>
  <c r="AM21" i="2"/>
  <c r="AL21" i="2"/>
  <c r="AK21" i="2"/>
  <c r="AH21" i="2"/>
  <c r="AB21" i="2"/>
  <c r="V21" i="2"/>
  <c r="S21" i="2"/>
  <c r="P21" i="2"/>
  <c r="O21" i="2"/>
  <c r="N21" i="2"/>
  <c r="K21" i="2"/>
  <c r="AP20" i="2"/>
  <c r="AO20" i="2"/>
  <c r="AN20" i="2"/>
  <c r="AM20" i="2"/>
  <c r="AL20" i="2"/>
  <c r="AK20" i="2"/>
  <c r="AH20" i="2"/>
  <c r="AG20" i="2"/>
  <c r="AD20" i="2"/>
  <c r="AB20" i="2"/>
  <c r="V20" i="2"/>
  <c r="S20" i="2"/>
  <c r="P20" i="2"/>
  <c r="O20" i="2"/>
  <c r="N20" i="2"/>
  <c r="K20" i="2"/>
  <c r="AP19" i="2"/>
  <c r="AO19" i="2"/>
  <c r="AN19" i="2"/>
  <c r="AM19" i="2"/>
  <c r="AL19" i="2"/>
  <c r="AK19" i="2"/>
  <c r="AH19" i="2"/>
  <c r="AE19" i="2"/>
  <c r="AD19" i="2"/>
  <c r="AB19" i="2"/>
  <c r="V19" i="2"/>
  <c r="S19" i="2"/>
  <c r="P19" i="2"/>
  <c r="O19" i="2"/>
  <c r="N19" i="2"/>
  <c r="K19" i="2"/>
  <c r="G19" i="2"/>
  <c r="J19" i="2" s="1"/>
  <c r="AP18" i="2"/>
  <c r="AO18" i="2"/>
  <c r="AN18" i="2"/>
  <c r="AM18" i="2"/>
  <c r="AL18" i="2"/>
  <c r="AK18" i="2"/>
  <c r="AH18" i="2"/>
  <c r="AF18" i="2"/>
  <c r="AE18" i="2"/>
  <c r="AD18" i="2"/>
  <c r="AC18" i="2"/>
  <c r="AB18" i="2"/>
  <c r="AA18" i="2"/>
  <c r="V18" i="2"/>
  <c r="S18" i="2"/>
  <c r="P18" i="2"/>
  <c r="O18" i="2"/>
  <c r="N18" i="2"/>
  <c r="K18" i="2"/>
  <c r="I18" i="2"/>
  <c r="AP17" i="2"/>
  <c r="AO17" i="2"/>
  <c r="AN17" i="2"/>
  <c r="AM17" i="2"/>
  <c r="AL17" i="2"/>
  <c r="AK17" i="2"/>
  <c r="AH17" i="2"/>
  <c r="AE17" i="2"/>
  <c r="S17" i="2"/>
  <c r="P17" i="2"/>
  <c r="O17" i="2"/>
  <c r="N17" i="2"/>
  <c r="K17" i="2"/>
  <c r="AP16" i="2"/>
  <c r="AO16" i="2"/>
  <c r="AN16" i="2"/>
  <c r="AM16" i="2"/>
  <c r="AL16" i="2"/>
  <c r="AK16" i="2"/>
  <c r="AH16" i="2"/>
  <c r="AD16" i="2"/>
  <c r="AB16" i="2"/>
  <c r="V16" i="2"/>
  <c r="S16" i="2"/>
  <c r="P16" i="2"/>
  <c r="O16" i="2"/>
  <c r="N16" i="2"/>
  <c r="K16" i="2"/>
  <c r="AP15" i="2"/>
  <c r="AO15" i="2"/>
  <c r="AN15" i="2"/>
  <c r="AM15" i="2"/>
  <c r="AL15" i="2"/>
  <c r="AK15" i="2"/>
  <c r="AH15" i="2"/>
  <c r="AC15" i="2"/>
  <c r="AB15" i="2"/>
  <c r="V15" i="2"/>
  <c r="S15" i="2"/>
  <c r="P15" i="2"/>
  <c r="O15" i="2"/>
  <c r="N15" i="2"/>
  <c r="K15" i="2"/>
  <c r="AP14" i="2"/>
  <c r="AO14" i="2"/>
  <c r="AN14" i="2"/>
  <c r="AM14" i="2"/>
  <c r="AL14" i="2"/>
  <c r="AK14" i="2"/>
  <c r="AH14" i="2"/>
  <c r="AF14" i="2"/>
  <c r="AE14" i="2"/>
  <c r="AD14" i="2"/>
  <c r="AB14" i="2"/>
  <c r="V14" i="2"/>
  <c r="S14" i="2"/>
  <c r="P14" i="2"/>
  <c r="O14" i="2"/>
  <c r="N14" i="2"/>
  <c r="K14" i="2"/>
  <c r="AP13" i="2"/>
  <c r="AO13" i="2"/>
  <c r="AN13" i="2"/>
  <c r="AM13" i="2"/>
  <c r="AL13" i="2"/>
  <c r="AK13" i="2"/>
  <c r="AH13" i="2"/>
  <c r="AF13" i="2"/>
  <c r="AD13" i="2"/>
  <c r="AC13" i="2"/>
  <c r="AB13" i="2"/>
  <c r="V13" i="2"/>
  <c r="S13" i="2"/>
  <c r="P13" i="2"/>
  <c r="O13" i="2"/>
  <c r="N13" i="2"/>
  <c r="AP12" i="2"/>
  <c r="AO12" i="2"/>
  <c r="AN12" i="2"/>
  <c r="AM12" i="2"/>
  <c r="AL12" i="2"/>
  <c r="AK12" i="2"/>
  <c r="AH12" i="2"/>
  <c r="AE12" i="2"/>
  <c r="AB12" i="2"/>
  <c r="V12" i="2"/>
  <c r="S12" i="2"/>
  <c r="P12" i="2"/>
  <c r="O12" i="2"/>
  <c r="N12" i="2"/>
  <c r="H12" i="2"/>
  <c r="F12" i="2" s="1"/>
  <c r="G12" i="2"/>
  <c r="AP11" i="2"/>
  <c r="AO11" i="2"/>
  <c r="AN11" i="2"/>
  <c r="AM11" i="2"/>
  <c r="AL11" i="2"/>
  <c r="AK11" i="2"/>
  <c r="AH11" i="2"/>
  <c r="AF11" i="2"/>
  <c r="AE11" i="2"/>
  <c r="AD11" i="2"/>
  <c r="AB11" i="2"/>
  <c r="V11" i="2"/>
  <c r="S11" i="2"/>
  <c r="P11" i="2"/>
  <c r="O11" i="2"/>
  <c r="N11" i="2"/>
  <c r="K11" i="2"/>
  <c r="AP10" i="2"/>
  <c r="AO10" i="2"/>
  <c r="AN10" i="2"/>
  <c r="AM10" i="2"/>
  <c r="AL10" i="2"/>
  <c r="AK10" i="2"/>
  <c r="AH10" i="2"/>
  <c r="AE10" i="2"/>
  <c r="S10" i="2"/>
  <c r="P10" i="2"/>
  <c r="O10" i="2"/>
  <c r="N10" i="2"/>
  <c r="K10" i="2"/>
  <c r="AP9" i="2"/>
  <c r="AO9" i="2"/>
  <c r="AN9" i="2"/>
  <c r="AM9" i="2"/>
  <c r="AL9" i="2"/>
  <c r="AK9" i="2"/>
  <c r="AH9" i="2"/>
  <c r="AG9" i="2"/>
  <c r="AB9" i="2"/>
  <c r="V9" i="2"/>
  <c r="S9" i="2"/>
  <c r="P9" i="2"/>
  <c r="O9" i="2"/>
  <c r="N9" i="2"/>
  <c r="K9" i="2"/>
  <c r="G9" i="2"/>
  <c r="J9" i="2" s="1"/>
  <c r="AP8" i="2"/>
  <c r="AO8" i="2"/>
  <c r="AN8" i="2"/>
  <c r="AM8" i="2"/>
  <c r="AL8" i="2"/>
  <c r="AK8" i="2"/>
  <c r="AH8" i="2"/>
  <c r="AD8" i="2"/>
  <c r="AB8" i="2"/>
  <c r="V8" i="2"/>
  <c r="S8" i="2"/>
  <c r="P8" i="2"/>
  <c r="O8" i="2"/>
  <c r="N8" i="2"/>
  <c r="K8" i="2"/>
  <c r="AP7" i="2"/>
  <c r="AO7" i="2"/>
  <c r="AN7" i="2"/>
  <c r="AM7" i="2"/>
  <c r="AL7" i="2"/>
  <c r="AK7" i="2"/>
  <c r="AH7" i="2"/>
  <c r="AD7" i="2"/>
  <c r="AB7" i="2"/>
  <c r="V7" i="2"/>
  <c r="S7" i="2"/>
  <c r="P7" i="2"/>
  <c r="O7" i="2"/>
  <c r="N7" i="2"/>
  <c r="K7" i="2"/>
  <c r="AP6" i="2"/>
  <c r="AO6" i="2"/>
  <c r="AN6" i="2"/>
  <c r="AM6" i="2"/>
  <c r="AL6" i="2"/>
  <c r="AK6" i="2"/>
  <c r="AH6" i="2"/>
  <c r="AE6" i="2"/>
  <c r="AC6" i="2"/>
  <c r="AB6" i="2"/>
  <c r="V6" i="2"/>
  <c r="S6" i="2"/>
  <c r="P6" i="2"/>
  <c r="F6" i="2" s="1"/>
  <c r="O6" i="2"/>
  <c r="N6" i="2"/>
  <c r="K6" i="2"/>
  <c r="H6" i="2"/>
  <c r="AP5" i="2"/>
  <c r="AO5" i="2"/>
  <c r="AN5" i="2"/>
  <c r="AM5" i="2"/>
  <c r="AL5" i="2"/>
  <c r="AK5" i="2"/>
  <c r="AH5" i="2"/>
  <c r="AF5" i="2"/>
  <c r="AE5" i="2"/>
  <c r="AB5" i="2"/>
  <c r="V5" i="2"/>
  <c r="S5" i="2"/>
  <c r="P5" i="2"/>
  <c r="O5" i="2"/>
  <c r="N5" i="2"/>
  <c r="K5" i="2"/>
  <c r="AP4" i="2"/>
  <c r="AO4" i="2"/>
  <c r="AN4" i="2"/>
  <c r="AM4" i="2"/>
  <c r="AL4" i="2"/>
  <c r="AK4" i="2"/>
  <c r="AH4" i="2"/>
  <c r="S4" i="2"/>
  <c r="P4" i="2"/>
  <c r="O4" i="2"/>
  <c r="N4" i="2"/>
  <c r="K4" i="2"/>
  <c r="H4" i="2"/>
  <c r="G4" i="2"/>
  <c r="J4" i="2" s="1"/>
  <c r="AP3" i="2"/>
  <c r="AO3" i="2"/>
  <c r="AN3" i="2"/>
  <c r="AM3" i="2"/>
  <c r="AL3" i="2"/>
  <c r="AK3" i="2"/>
  <c r="AH3" i="2"/>
  <c r="AF3" i="2"/>
  <c r="AE3" i="2"/>
  <c r="AD3" i="2"/>
  <c r="S3" i="2"/>
  <c r="P3" i="2"/>
  <c r="O3" i="2"/>
  <c r="N3" i="2"/>
  <c r="K3" i="2"/>
  <c r="E13" i="1"/>
  <c r="B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G17" i="2" l="1"/>
  <c r="AF30" i="2"/>
  <c r="G52" i="2"/>
  <c r="AC36" i="2"/>
  <c r="H17" i="2"/>
  <c r="F17" i="2" s="1"/>
  <c r="R26" i="2"/>
  <c r="H38" i="2"/>
  <c r="AC14" i="2"/>
  <c r="H52" i="2"/>
  <c r="G44" i="2"/>
  <c r="J44" i="2" s="1"/>
  <c r="AC3" i="2"/>
  <c r="AC27" i="2"/>
  <c r="I45" i="10"/>
  <c r="K45" i="10" s="1"/>
  <c r="N45" i="11" s="1"/>
  <c r="H20" i="2"/>
  <c r="F20" i="2" s="1"/>
  <c r="C27" i="6"/>
  <c r="AG28" i="2" s="1"/>
  <c r="AF17" i="2"/>
  <c r="AC8" i="2"/>
  <c r="H26" i="2"/>
  <c r="X26" i="2" s="1"/>
  <c r="G11" i="2"/>
  <c r="J11" i="2" s="1"/>
  <c r="AF32" i="2"/>
  <c r="G41" i="2"/>
  <c r="J41" i="2" s="1"/>
  <c r="AF46" i="2"/>
  <c r="G64" i="2"/>
  <c r="J64" i="2" s="1"/>
  <c r="X64" i="2" s="1"/>
  <c r="H14" i="2"/>
  <c r="X14" i="2" s="1"/>
  <c r="M50" i="11"/>
  <c r="R51" i="2" s="1"/>
  <c r="I51" i="2" s="1"/>
  <c r="I61" i="10"/>
  <c r="K61" i="10" s="1"/>
  <c r="N61" i="11" s="1"/>
  <c r="C26" i="6"/>
  <c r="AG27" i="2" s="1"/>
  <c r="C39" i="6"/>
  <c r="AG40" i="2" s="1"/>
  <c r="C58" i="6"/>
  <c r="AG59" i="2" s="1"/>
  <c r="J5" i="4"/>
  <c r="AA6" i="2" s="1"/>
  <c r="L3" i="3"/>
  <c r="AA64" i="2" s="1"/>
  <c r="L6" i="3"/>
  <c r="AA67" i="2" s="1"/>
  <c r="AJ28" i="2"/>
  <c r="F36" i="2"/>
  <c r="AJ57" i="2"/>
  <c r="F14" i="2"/>
  <c r="AJ61" i="2"/>
  <c r="F46" i="2"/>
  <c r="AJ60" i="2"/>
  <c r="AJ23" i="2"/>
  <c r="AJ8" i="2"/>
  <c r="H35" i="2"/>
  <c r="AJ51" i="2"/>
  <c r="J17" i="4"/>
  <c r="J29" i="4"/>
  <c r="AA30" i="2" s="1"/>
  <c r="J33" i="4"/>
  <c r="AA34" i="2" s="1"/>
  <c r="J37" i="4"/>
  <c r="AA38" i="2" s="1"/>
  <c r="AC11" i="2"/>
  <c r="F68" i="2"/>
  <c r="G16" i="2"/>
  <c r="J16" i="2" s="1"/>
  <c r="F28" i="2"/>
  <c r="AJ40" i="2"/>
  <c r="H59" i="2"/>
  <c r="X59" i="2" s="1"/>
  <c r="C17" i="6"/>
  <c r="AG18" i="2" s="1"/>
  <c r="H16" i="2"/>
  <c r="X16" i="2" s="1"/>
  <c r="G22" i="2"/>
  <c r="J22" i="2" s="1"/>
  <c r="AJ59" i="2"/>
  <c r="AF69" i="2"/>
  <c r="J14" i="4"/>
  <c r="AA15" i="2" s="1"/>
  <c r="J18" i="4"/>
  <c r="AA19" i="2" s="1"/>
  <c r="J26" i="4"/>
  <c r="AA27" i="2" s="1"/>
  <c r="C3" i="6"/>
  <c r="AG4" i="2" s="1"/>
  <c r="G14" i="2"/>
  <c r="J14" i="2" s="1"/>
  <c r="G24" i="2"/>
  <c r="J24" i="2" s="1"/>
  <c r="G38" i="2"/>
  <c r="J38" i="2" s="1"/>
  <c r="X38" i="2" s="1"/>
  <c r="H48" i="2"/>
  <c r="X48" i="2" s="1"/>
  <c r="AJ50" i="2"/>
  <c r="F52" i="2"/>
  <c r="H3" i="2"/>
  <c r="X3" i="2" s="1"/>
  <c r="H11" i="2"/>
  <c r="AJ14" i="2"/>
  <c r="AJ20" i="2"/>
  <c r="H24" i="2"/>
  <c r="X24" i="2" s="1"/>
  <c r="G27" i="2"/>
  <c r="J27" i="2" s="1"/>
  <c r="H32" i="2"/>
  <c r="F32" i="2" s="1"/>
  <c r="AJ11" i="2"/>
  <c r="H27" i="2"/>
  <c r="F27" i="2" s="1"/>
  <c r="AJ32" i="2"/>
  <c r="G46" i="2"/>
  <c r="AJ48" i="2"/>
  <c r="F50" i="2"/>
  <c r="L8" i="3"/>
  <c r="AA69" i="2" s="1"/>
  <c r="J11" i="4"/>
  <c r="AA12" i="2" s="1"/>
  <c r="J15" i="4"/>
  <c r="AA16" i="2" s="1"/>
  <c r="J19" i="4"/>
  <c r="AA20" i="2" s="1"/>
  <c r="J27" i="4"/>
  <c r="J35" i="4"/>
  <c r="AA36" i="2" s="1"/>
  <c r="AC19" i="2"/>
  <c r="K13" i="2"/>
  <c r="G6" i="2"/>
  <c r="AJ13" i="2"/>
  <c r="M41" i="11"/>
  <c r="R42" i="2" s="1"/>
  <c r="G3" i="2"/>
  <c r="J3" i="2" s="1"/>
  <c r="H56" i="2"/>
  <c r="X56" i="2" s="1"/>
  <c r="H69" i="2"/>
  <c r="F69" i="2" s="1"/>
  <c r="M20" i="11"/>
  <c r="O20" i="11" s="1"/>
  <c r="G8" i="2"/>
  <c r="J8" i="2" s="1"/>
  <c r="G40" i="2"/>
  <c r="E40" i="2" s="1"/>
  <c r="F54" i="2"/>
  <c r="L2" i="3"/>
  <c r="AA63" i="2" s="1"/>
  <c r="AN74" i="2"/>
  <c r="M5" i="11"/>
  <c r="O5" i="11" s="1"/>
  <c r="H8" i="2"/>
  <c r="H40" i="2"/>
  <c r="J2" i="4"/>
  <c r="AA3" i="2" s="1"/>
  <c r="J20" i="4"/>
  <c r="AA21" i="2" s="1"/>
  <c r="J24" i="4"/>
  <c r="AA25" i="2" s="1"/>
  <c r="J28" i="4"/>
  <c r="AA29" i="2" s="1"/>
  <c r="J36" i="4"/>
  <c r="AA37" i="2" s="1"/>
  <c r="I65" i="10"/>
  <c r="M32" i="11"/>
  <c r="O32" i="11" s="1"/>
  <c r="H19" i="2"/>
  <c r="G35" i="2"/>
  <c r="J35" i="2" s="1"/>
  <c r="AJ54" i="2"/>
  <c r="H64" i="2"/>
  <c r="F64" i="2" s="1"/>
  <c r="J8" i="4"/>
  <c r="AA9" i="2" s="1"/>
  <c r="K12" i="2"/>
  <c r="I5" i="8"/>
  <c r="AF71" i="2"/>
  <c r="I27" i="8"/>
  <c r="AF27" i="2"/>
  <c r="K69" i="10"/>
  <c r="N69" i="11" s="1"/>
  <c r="G70" i="2"/>
  <c r="J70" i="2" s="1"/>
  <c r="I20" i="8"/>
  <c r="AF15" i="2"/>
  <c r="I41" i="8"/>
  <c r="AF45" i="2"/>
  <c r="I23" i="8"/>
  <c r="AF20" i="2"/>
  <c r="AJ4" i="2"/>
  <c r="AJ5" i="2"/>
  <c r="AJ16" i="2"/>
  <c r="AJ27" i="2"/>
  <c r="G31" i="2"/>
  <c r="AJ36" i="2"/>
  <c r="AF59" i="2"/>
  <c r="AJ67" i="2"/>
  <c r="X68" i="2"/>
  <c r="Y2" i="3"/>
  <c r="AB63" i="2" s="1"/>
  <c r="J4" i="4"/>
  <c r="AA5" i="2" s="1"/>
  <c r="C10" i="6"/>
  <c r="AG11" i="2" s="1"/>
  <c r="M42" i="11"/>
  <c r="M4" i="11"/>
  <c r="R5" i="2" s="1"/>
  <c r="I5" i="2" s="1"/>
  <c r="M69" i="11"/>
  <c r="D13" i="1"/>
  <c r="H7" i="2"/>
  <c r="X7" i="2" s="1"/>
  <c r="AJ9" i="2"/>
  <c r="AF19" i="2"/>
  <c r="F58" i="2"/>
  <c r="AF68" i="2"/>
  <c r="L10" i="3"/>
  <c r="AA71" i="2" s="1"/>
  <c r="J6" i="4"/>
  <c r="AA7" i="2" s="1"/>
  <c r="J47" i="4"/>
  <c r="AA48" i="2" s="1"/>
  <c r="J51" i="4"/>
  <c r="J55" i="4"/>
  <c r="M43" i="11"/>
  <c r="M45" i="11"/>
  <c r="M44" i="11"/>
  <c r="M57" i="11"/>
  <c r="O57" i="11" s="1"/>
  <c r="AJ15" i="2"/>
  <c r="X17" i="2"/>
  <c r="AJ31" i="2"/>
  <c r="X19" i="2"/>
  <c r="AF23" i="2"/>
  <c r="AF24" i="2"/>
  <c r="AJ25" i="2"/>
  <c r="X27" i="2"/>
  <c r="G34" i="2"/>
  <c r="G82" i="2" s="1"/>
  <c r="H42" i="2"/>
  <c r="F42" i="2" s="1"/>
  <c r="AJ43" i="2"/>
  <c r="X54" i="2"/>
  <c r="G58" i="2"/>
  <c r="J58" i="2" s="1"/>
  <c r="AJ65" i="2"/>
  <c r="S11" i="4"/>
  <c r="C18" i="6"/>
  <c r="AG19" i="2" s="1"/>
  <c r="C51" i="6"/>
  <c r="AG52" i="2" s="1"/>
  <c r="M9" i="11"/>
  <c r="O9" i="11" s="1"/>
  <c r="M26" i="11"/>
  <c r="O26" i="11" s="1"/>
  <c r="AK74" i="2"/>
  <c r="H18" i="2"/>
  <c r="F18" i="2" s="1"/>
  <c r="H34" i="2"/>
  <c r="AJ35" i="2"/>
  <c r="M53" i="11"/>
  <c r="R54" i="2" s="1"/>
  <c r="I54" i="2" s="1"/>
  <c r="E54" i="2" s="1"/>
  <c r="M35" i="11"/>
  <c r="R36" i="2" s="1"/>
  <c r="M8" i="11"/>
  <c r="O8" i="11" s="1"/>
  <c r="AJ19" i="2"/>
  <c r="X28" i="2"/>
  <c r="AJ37" i="2"/>
  <c r="H70" i="2"/>
  <c r="AJ72" i="2"/>
  <c r="J3" i="4"/>
  <c r="AA4" i="2" s="1"/>
  <c r="J44" i="4"/>
  <c r="AA45" i="2" s="1"/>
  <c r="J56" i="4"/>
  <c r="AA57" i="2" s="1"/>
  <c r="J60" i="4"/>
  <c r="C52" i="6"/>
  <c r="AG53" i="2" s="1"/>
  <c r="M17" i="11"/>
  <c r="R18" i="2" s="1"/>
  <c r="P74" i="2"/>
  <c r="AJ7" i="2"/>
  <c r="H13" i="2"/>
  <c r="F13" i="2" s="1"/>
  <c r="AF10" i="2"/>
  <c r="AJ24" i="2"/>
  <c r="F33" i="2"/>
  <c r="AJ45" i="2"/>
  <c r="X52" i="2"/>
  <c r="AJ55" i="2"/>
  <c r="AJ58" i="2"/>
  <c r="AJ68" i="2"/>
  <c r="L5" i="3"/>
  <c r="AA66" i="2" s="1"/>
  <c r="J10" i="4"/>
  <c r="AA11" i="2" s="1"/>
  <c r="M11" i="11"/>
  <c r="O11" i="11" s="1"/>
  <c r="AJ70" i="2"/>
  <c r="J41" i="4"/>
  <c r="J45" i="4"/>
  <c r="AA46" i="2" s="1"/>
  <c r="J53" i="4"/>
  <c r="AA54" i="2" s="1"/>
  <c r="S74" i="2"/>
  <c r="AJ6" i="2"/>
  <c r="H10" i="2"/>
  <c r="X10" i="2" s="1"/>
  <c r="AJ18" i="2"/>
  <c r="AJ30" i="2"/>
  <c r="AJ34" i="2"/>
  <c r="AJ10" i="2"/>
  <c r="AJ33" i="2"/>
  <c r="AJ42" i="2"/>
  <c r="AJ66" i="2"/>
  <c r="L11" i="3"/>
  <c r="AA72" i="2" s="1"/>
  <c r="J7" i="4"/>
  <c r="AA8" i="2" s="1"/>
  <c r="C2" i="6"/>
  <c r="AG3" i="2" s="1"/>
  <c r="C60" i="6"/>
  <c r="AG61" i="2" s="1"/>
  <c r="AJ12" i="2"/>
  <c r="AJ21" i="2"/>
  <c r="AJ71" i="2"/>
  <c r="M10" i="11"/>
  <c r="M21" i="11"/>
  <c r="O21" i="11" s="1"/>
  <c r="M30" i="11"/>
  <c r="R31" i="2" s="1"/>
  <c r="I31" i="2" s="1"/>
  <c r="M38" i="11"/>
  <c r="O38" i="11" s="1"/>
  <c r="M23" i="11"/>
  <c r="M29" i="11"/>
  <c r="R30" i="2" s="1"/>
  <c r="AJ22" i="2"/>
  <c r="AJ29" i="2"/>
  <c r="AJ69" i="2"/>
  <c r="M14" i="11"/>
  <c r="O14" i="11" s="1"/>
  <c r="M15" i="11"/>
  <c r="O15" i="11" s="1"/>
  <c r="M56" i="11"/>
  <c r="R57" i="2" s="1"/>
  <c r="I57" i="2" s="1"/>
  <c r="M22" i="11"/>
  <c r="M47" i="11"/>
  <c r="AH74" i="2"/>
  <c r="G15" i="2"/>
  <c r="AJ17" i="2"/>
  <c r="AF31" i="2"/>
  <c r="AJ39" i="2"/>
  <c r="AJ53" i="2"/>
  <c r="AJ64" i="2"/>
  <c r="J9" i="4"/>
  <c r="AA10" i="2" s="1"/>
  <c r="J42" i="4"/>
  <c r="AA43" i="2" s="1"/>
  <c r="J46" i="4"/>
  <c r="AA47" i="2" s="1"/>
  <c r="J54" i="4"/>
  <c r="I17" i="8"/>
  <c r="AF12" i="2"/>
  <c r="O53" i="11"/>
  <c r="R9" i="2"/>
  <c r="I9" i="2" s="1"/>
  <c r="E9" i="2" s="1"/>
  <c r="R12" i="2"/>
  <c r="I12" i="2" s="1"/>
  <c r="E12" i="2" s="1"/>
  <c r="R6" i="2"/>
  <c r="O17" i="11"/>
  <c r="I35" i="8"/>
  <c r="AF33" i="2"/>
  <c r="R27" i="2"/>
  <c r="R48" i="2"/>
  <c r="I48" i="2" s="1"/>
  <c r="O23" i="11"/>
  <c r="R24" i="2"/>
  <c r="I24" i="2" s="1"/>
  <c r="E24" i="2" s="1"/>
  <c r="R45" i="2"/>
  <c r="R15" i="2"/>
  <c r="I15" i="2" s="1"/>
  <c r="O33" i="11"/>
  <c r="M46" i="11"/>
  <c r="G13" i="2"/>
  <c r="R21" i="2"/>
  <c r="I21" i="2" s="1"/>
  <c r="AJ26" i="2"/>
  <c r="AJ56" i="2"/>
  <c r="I8" i="8"/>
  <c r="AF66" i="2"/>
  <c r="I44" i="8"/>
  <c r="AF49" i="2"/>
  <c r="I51" i="8"/>
  <c r="AF58" i="2"/>
  <c r="Q9" i="4"/>
  <c r="R9" i="4"/>
  <c r="M52" i="11"/>
  <c r="O45" i="11"/>
  <c r="R46" i="2"/>
  <c r="I46" i="2" s="1"/>
  <c r="E46" i="2" s="1"/>
  <c r="R58" i="2"/>
  <c r="I58" i="2" s="1"/>
  <c r="E58" i="2" s="1"/>
  <c r="R61" i="2"/>
  <c r="O4" i="11"/>
  <c r="X41" i="2"/>
  <c r="F41" i="2"/>
  <c r="AF64" i="2"/>
  <c r="I7" i="8"/>
  <c r="G61" i="2"/>
  <c r="K60" i="10"/>
  <c r="N60" i="11" s="1"/>
  <c r="O60" i="11" s="1"/>
  <c r="K52" i="10"/>
  <c r="N52" i="11" s="1"/>
  <c r="G53" i="2"/>
  <c r="M51" i="11"/>
  <c r="M16" i="11"/>
  <c r="M24" i="11"/>
  <c r="M49" i="11"/>
  <c r="O69" i="11"/>
  <c r="R70" i="2"/>
  <c r="I70" i="2" s="1"/>
  <c r="E70" i="2" s="1"/>
  <c r="K74" i="2"/>
  <c r="AE74" i="2"/>
  <c r="F4" i="2"/>
  <c r="X4" i="2"/>
  <c r="F16" i="2"/>
  <c r="AF22" i="2"/>
  <c r="G23" i="2"/>
  <c r="H31" i="2"/>
  <c r="F31" i="2" s="1"/>
  <c r="AF37" i="2"/>
  <c r="F38" i="2"/>
  <c r="G39" i="2"/>
  <c r="AJ41" i="2"/>
  <c r="X44" i="2"/>
  <c r="F44" i="2"/>
  <c r="G47" i="2"/>
  <c r="AF48" i="2"/>
  <c r="AF65" i="2"/>
  <c r="I9" i="8"/>
  <c r="I38" i="8"/>
  <c r="AF41" i="2"/>
  <c r="AF50" i="2"/>
  <c r="I45" i="8"/>
  <c r="I42" i="10"/>
  <c r="H43" i="2"/>
  <c r="J12" i="2"/>
  <c r="X12" i="2" s="1"/>
  <c r="AD74" i="2"/>
  <c r="M37" i="11"/>
  <c r="O43" i="11"/>
  <c r="R44" i="2"/>
  <c r="I44" i="2" s="1"/>
  <c r="E44" i="2" s="1"/>
  <c r="R72" i="2"/>
  <c r="I72" i="2" s="1"/>
  <c r="N74" i="2"/>
  <c r="H23" i="2"/>
  <c r="F23" i="2" s="1"/>
  <c r="F26" i="2"/>
  <c r="AF38" i="2"/>
  <c r="H39" i="2"/>
  <c r="F39" i="2" s="1"/>
  <c r="J46" i="2"/>
  <c r="X46" i="2" s="1"/>
  <c r="H47" i="2"/>
  <c r="F47" i="2" s="1"/>
  <c r="AJ49" i="2"/>
  <c r="Q8" i="4"/>
  <c r="U8" i="4" s="1"/>
  <c r="AB45" i="2" s="1"/>
  <c r="R8" i="4"/>
  <c r="J32" i="4"/>
  <c r="AA33" i="2" s="1"/>
  <c r="J59" i="4"/>
  <c r="I10" i="8"/>
  <c r="AF67" i="2"/>
  <c r="I46" i="8"/>
  <c r="AF52" i="2"/>
  <c r="I64" i="10"/>
  <c r="H65" i="2"/>
  <c r="K41" i="10"/>
  <c r="N41" i="11" s="1"/>
  <c r="G42" i="2"/>
  <c r="M13" i="11"/>
  <c r="M39" i="11"/>
  <c r="M19" i="11"/>
  <c r="O74" i="2"/>
  <c r="J6" i="2"/>
  <c r="X6" i="2" s="1"/>
  <c r="G29" i="2"/>
  <c r="M27" i="11"/>
  <c r="G18" i="2"/>
  <c r="Q6" i="4"/>
  <c r="R6" i="4"/>
  <c r="I62" i="10"/>
  <c r="H63" i="2"/>
  <c r="M18" i="11"/>
  <c r="AF25" i="2"/>
  <c r="J31" i="2"/>
  <c r="X31" i="2" s="1"/>
  <c r="I54" i="10"/>
  <c r="H55" i="2"/>
  <c r="M58" i="11"/>
  <c r="M54" i="11"/>
  <c r="R56" i="2"/>
  <c r="M7" i="11"/>
  <c r="M62" i="11"/>
  <c r="F7" i="2"/>
  <c r="H9" i="2"/>
  <c r="H77" i="2" s="1"/>
  <c r="R10" i="2"/>
  <c r="F19" i="2"/>
  <c r="H21" i="2"/>
  <c r="R22" i="2"/>
  <c r="H29" i="2"/>
  <c r="R33" i="2"/>
  <c r="I33" i="2" s="1"/>
  <c r="E33" i="2" s="1"/>
  <c r="AJ44" i="2"/>
  <c r="AJ47" i="2"/>
  <c r="E52" i="2"/>
  <c r="X60" i="2"/>
  <c r="F60" i="2"/>
  <c r="AJ62" i="2"/>
  <c r="Q10" i="4"/>
  <c r="U10" i="4" s="1"/>
  <c r="R10" i="4"/>
  <c r="K55" i="10"/>
  <c r="N55" i="11" s="1"/>
  <c r="O55" i="11" s="1"/>
  <c r="G56" i="2"/>
  <c r="M12" i="11"/>
  <c r="AF8" i="2"/>
  <c r="G21" i="2"/>
  <c r="G26" i="2"/>
  <c r="H61" i="2"/>
  <c r="Q3" i="4"/>
  <c r="R3" i="4"/>
  <c r="AF70" i="2"/>
  <c r="I3" i="8"/>
  <c r="I32" i="8"/>
  <c r="AF35" i="2"/>
  <c r="I44" i="10"/>
  <c r="H45" i="2"/>
  <c r="M61" i="11"/>
  <c r="M34" i="11"/>
  <c r="M67" i="11"/>
  <c r="M64" i="11"/>
  <c r="R3" i="2"/>
  <c r="AJ3" i="2"/>
  <c r="AF6" i="2"/>
  <c r="G7" i="2"/>
  <c r="X35" i="2"/>
  <c r="F35" i="2"/>
  <c r="AJ38" i="2"/>
  <c r="R43" i="2"/>
  <c r="I43" i="2" s="1"/>
  <c r="AF51" i="2"/>
  <c r="H53" i="2"/>
  <c r="Q5" i="4"/>
  <c r="R5" i="4"/>
  <c r="I24" i="10"/>
  <c r="H25" i="2"/>
  <c r="K35" i="10"/>
  <c r="N35" i="11" s="1"/>
  <c r="O35" i="11" s="1"/>
  <c r="G36" i="2"/>
  <c r="I56" i="10"/>
  <c r="H57" i="2"/>
  <c r="I66" i="10"/>
  <c r="H67" i="2"/>
  <c r="O28" i="11"/>
  <c r="M59" i="11"/>
  <c r="M65" i="11"/>
  <c r="AJ46" i="2"/>
  <c r="M66" i="11"/>
  <c r="M70" i="11"/>
  <c r="G5" i="2"/>
  <c r="F22" i="2"/>
  <c r="X22" i="2"/>
  <c r="F30" i="2"/>
  <c r="X30" i="2"/>
  <c r="J52" i="2"/>
  <c r="AF57" i="2"/>
  <c r="Q7" i="4"/>
  <c r="R7" i="4"/>
  <c r="AF55" i="2"/>
  <c r="I49" i="8"/>
  <c r="K47" i="10"/>
  <c r="N47" i="11" s="1"/>
  <c r="G48" i="2"/>
  <c r="K58" i="10"/>
  <c r="N58" i="11" s="1"/>
  <c r="G59" i="2"/>
  <c r="K68" i="10"/>
  <c r="N68" i="11" s="1"/>
  <c r="G69" i="2"/>
  <c r="I36" i="10"/>
  <c r="H37" i="2"/>
  <c r="M36" i="11"/>
  <c r="M3" i="11"/>
  <c r="AL74" i="2"/>
  <c r="AF4" i="2"/>
  <c r="AF16" i="2"/>
  <c r="F3" i="2"/>
  <c r="AM74" i="2"/>
  <c r="H5" i="2"/>
  <c r="AF9" i="2"/>
  <c r="G10" i="2"/>
  <c r="AF21" i="2"/>
  <c r="R34" i="2"/>
  <c r="AF54" i="2"/>
  <c r="Q2" i="4"/>
  <c r="R2" i="4"/>
  <c r="U9" i="4"/>
  <c r="AB49" i="2" s="1"/>
  <c r="I6" i="8"/>
  <c r="AF63" i="2"/>
  <c r="I42" i="8"/>
  <c r="AF47" i="2"/>
  <c r="I48" i="10"/>
  <c r="H49" i="2"/>
  <c r="K59" i="10"/>
  <c r="N59" i="11" s="1"/>
  <c r="G60" i="2"/>
  <c r="O30" i="11"/>
  <c r="M40" i="11"/>
  <c r="M48" i="11"/>
  <c r="K49" i="10"/>
  <c r="N49" i="11" s="1"/>
  <c r="G50" i="2"/>
  <c r="M31" i="11"/>
  <c r="M6" i="11"/>
  <c r="M63" i="11"/>
  <c r="AO74" i="2"/>
  <c r="AF7" i="2"/>
  <c r="H15" i="2"/>
  <c r="R16" i="2"/>
  <c r="I16" i="2" s="1"/>
  <c r="E16" i="2" s="1"/>
  <c r="J17" i="2"/>
  <c r="G20" i="2"/>
  <c r="E28" i="2"/>
  <c r="AJ52" i="2"/>
  <c r="T11" i="4"/>
  <c r="Q4" i="4"/>
  <c r="R4" i="4"/>
  <c r="O11" i="4"/>
  <c r="J23" i="4"/>
  <c r="AA24" i="2" s="1"/>
  <c r="J50" i="4"/>
  <c r="AA51" i="2" s="1"/>
  <c r="I50" i="10"/>
  <c r="H51" i="2"/>
  <c r="I70" i="10"/>
  <c r="H71" i="2"/>
  <c r="H87" i="2" s="1"/>
  <c r="X72" i="2"/>
  <c r="F72" i="2"/>
  <c r="L9" i="3"/>
  <c r="AA70" i="2" s="1"/>
  <c r="J21" i="4"/>
  <c r="J39" i="4"/>
  <c r="J57" i="4"/>
  <c r="AA58" i="2" s="1"/>
  <c r="C13" i="6"/>
  <c r="AG14" i="2" s="1"/>
  <c r="X70" i="2"/>
  <c r="F70" i="2"/>
  <c r="L4" i="3"/>
  <c r="AA65" i="2" s="1"/>
  <c r="N11" i="4"/>
  <c r="J25" i="4"/>
  <c r="J43" i="4"/>
  <c r="AA44" i="2" s="1"/>
  <c r="J61" i="4"/>
  <c r="AA62" i="2" s="1"/>
  <c r="X66" i="2"/>
  <c r="F66" i="2"/>
  <c r="L7" i="3"/>
  <c r="AA68" i="2" s="1"/>
  <c r="J22" i="4"/>
  <c r="AA23" i="2" s="1"/>
  <c r="J40" i="4"/>
  <c r="AA41" i="2" s="1"/>
  <c r="J58" i="4"/>
  <c r="I67" i="10"/>
  <c r="AJ63" i="2"/>
  <c r="P11" i="4"/>
  <c r="J12" i="4"/>
  <c r="AA13" i="2" s="1"/>
  <c r="J30" i="4"/>
  <c r="AA31" i="2" s="1"/>
  <c r="J48" i="4"/>
  <c r="J16" i="4"/>
  <c r="AA17" i="2" s="1"/>
  <c r="J34" i="4"/>
  <c r="AA35" i="2" s="1"/>
  <c r="J52" i="4"/>
  <c r="M68" i="11"/>
  <c r="Y3" i="3"/>
  <c r="AB68" i="2" s="1"/>
  <c r="J13" i="4"/>
  <c r="AA14" i="2" s="1"/>
  <c r="J31" i="4"/>
  <c r="AA32" i="2" s="1"/>
  <c r="J49" i="4"/>
  <c r="AA50" i="2" s="1"/>
  <c r="I71" i="10"/>
  <c r="F48" i="2" l="1"/>
  <c r="G62" i="2"/>
  <c r="J62" i="2" s="1"/>
  <c r="X20" i="2"/>
  <c r="O47" i="11"/>
  <c r="O41" i="11"/>
  <c r="O29" i="11"/>
  <c r="U5" i="4"/>
  <c r="F10" i="2"/>
  <c r="E22" i="2"/>
  <c r="X42" i="2"/>
  <c r="AC74" i="2"/>
  <c r="F24" i="2"/>
  <c r="J40" i="2"/>
  <c r="F59" i="2"/>
  <c r="H80" i="2"/>
  <c r="J34" i="2"/>
  <c r="U2" i="4"/>
  <c r="AF74" i="2"/>
  <c r="H83" i="2"/>
  <c r="F40" i="2"/>
  <c r="X40" i="2"/>
  <c r="F11" i="2"/>
  <c r="X11" i="2"/>
  <c r="F56" i="2"/>
  <c r="E15" i="2"/>
  <c r="F8" i="2"/>
  <c r="X8" i="2"/>
  <c r="K65" i="10"/>
  <c r="N65" i="11" s="1"/>
  <c r="G66" i="2"/>
  <c r="J66" i="2" s="1"/>
  <c r="U3" i="4"/>
  <c r="AB10" i="2" s="1"/>
  <c r="U6" i="4"/>
  <c r="AB30" i="2" s="1"/>
  <c r="J15" i="2"/>
  <c r="R39" i="2"/>
  <c r="I39" i="2" s="1"/>
  <c r="E39" i="2" s="1"/>
  <c r="H79" i="2"/>
  <c r="O22" i="11"/>
  <c r="R23" i="2"/>
  <c r="I23" i="2" s="1"/>
  <c r="O10" i="11"/>
  <c r="R11" i="2"/>
  <c r="I11" i="2" s="1"/>
  <c r="E11" i="2" s="1"/>
  <c r="AG74" i="2"/>
  <c r="U4" i="4"/>
  <c r="AB17" i="2" s="1"/>
  <c r="E31" i="2"/>
  <c r="X34" i="2"/>
  <c r="F34" i="2"/>
  <c r="AA74" i="2"/>
  <c r="H82" i="2"/>
  <c r="I82" i="2" s="1"/>
  <c r="J5" i="2"/>
  <c r="E5" i="2"/>
  <c r="R67" i="2"/>
  <c r="I67" i="2" s="1"/>
  <c r="K66" i="10"/>
  <c r="N66" i="11" s="1"/>
  <c r="O66" i="11" s="1"/>
  <c r="G67" i="2"/>
  <c r="O61" i="11"/>
  <c r="R62" i="2"/>
  <c r="I62" i="2" s="1"/>
  <c r="E62" i="2" s="1"/>
  <c r="J21" i="2"/>
  <c r="E21" i="2"/>
  <c r="X9" i="2"/>
  <c r="F9" i="2"/>
  <c r="O19" i="11"/>
  <c r="R20" i="2"/>
  <c r="I20" i="2" s="1"/>
  <c r="E20" i="2" s="1"/>
  <c r="J47" i="2"/>
  <c r="X47" i="2" s="1"/>
  <c r="R65" i="2"/>
  <c r="I65" i="2" s="1"/>
  <c r="J29" i="2"/>
  <c r="E29" i="2"/>
  <c r="O37" i="11"/>
  <c r="R38" i="2"/>
  <c r="I38" i="2" s="1"/>
  <c r="E38" i="2" s="1"/>
  <c r="J50" i="2"/>
  <c r="X50" i="2" s="1"/>
  <c r="F5" i="2"/>
  <c r="X5" i="2"/>
  <c r="J59" i="2"/>
  <c r="E59" i="2"/>
  <c r="F57" i="2"/>
  <c r="X57" i="2"/>
  <c r="H84" i="2"/>
  <c r="X45" i="2"/>
  <c r="F45" i="2"/>
  <c r="O18" i="11"/>
  <c r="R19" i="2"/>
  <c r="O39" i="11"/>
  <c r="R40" i="2"/>
  <c r="H85" i="2"/>
  <c r="X49" i="2"/>
  <c r="F49" i="2"/>
  <c r="F61" i="2"/>
  <c r="X61" i="2"/>
  <c r="J53" i="2"/>
  <c r="E53" i="2"/>
  <c r="O34" i="11"/>
  <c r="R35" i="2"/>
  <c r="I35" i="2" s="1"/>
  <c r="E35" i="2" s="1"/>
  <c r="K56" i="10"/>
  <c r="N56" i="11" s="1"/>
  <c r="O56" i="11" s="1"/>
  <c r="G57" i="2"/>
  <c r="K44" i="10"/>
  <c r="N44" i="11" s="1"/>
  <c r="O44" i="11" s="1"/>
  <c r="G45" i="2"/>
  <c r="R63" i="2"/>
  <c r="H86" i="2"/>
  <c r="F63" i="2"/>
  <c r="X63" i="2"/>
  <c r="O13" i="11"/>
  <c r="R14" i="2"/>
  <c r="X43" i="2"/>
  <c r="F43" i="2"/>
  <c r="J61" i="2"/>
  <c r="E61" i="2"/>
  <c r="O52" i="11"/>
  <c r="R53" i="2"/>
  <c r="I6" i="2"/>
  <c r="E6" i="2" s="1"/>
  <c r="R68" i="2"/>
  <c r="K71" i="10"/>
  <c r="N71" i="11" s="1"/>
  <c r="O71" i="11" s="1"/>
  <c r="G72" i="2"/>
  <c r="G78" i="2"/>
  <c r="J10" i="2"/>
  <c r="F67" i="2"/>
  <c r="X67" i="2"/>
  <c r="X53" i="2"/>
  <c r="F53" i="2"/>
  <c r="O31" i="11"/>
  <c r="R32" i="2"/>
  <c r="I32" i="2" s="1"/>
  <c r="E32" i="2" s="1"/>
  <c r="AB3" i="2"/>
  <c r="AB4" i="2"/>
  <c r="X71" i="2"/>
  <c r="F71" i="2"/>
  <c r="J48" i="2"/>
  <c r="E48" i="2"/>
  <c r="J36" i="2"/>
  <c r="O7" i="11"/>
  <c r="R8" i="2"/>
  <c r="I8" i="2" s="1"/>
  <c r="E8" i="2" s="1"/>
  <c r="K62" i="10"/>
  <c r="N62" i="11" s="1"/>
  <c r="O62" i="11" s="1"/>
  <c r="G63" i="2"/>
  <c r="J42" i="2"/>
  <c r="E42" i="2"/>
  <c r="K42" i="10"/>
  <c r="N42" i="11" s="1"/>
  <c r="O42" i="11" s="1"/>
  <c r="G43" i="2"/>
  <c r="H74" i="2"/>
  <c r="O51" i="11"/>
  <c r="R52" i="2"/>
  <c r="K36" i="10"/>
  <c r="N36" i="11" s="1"/>
  <c r="G37" i="2"/>
  <c r="O6" i="11"/>
  <c r="R7" i="2"/>
  <c r="I7" i="2" s="1"/>
  <c r="E7" i="2" s="1"/>
  <c r="J69" i="2"/>
  <c r="X69" i="2" s="1"/>
  <c r="J26" i="2"/>
  <c r="E26" i="2"/>
  <c r="J20" i="2"/>
  <c r="K67" i="10"/>
  <c r="N67" i="11" s="1"/>
  <c r="O67" i="11" s="1"/>
  <c r="G68" i="2"/>
  <c r="K70" i="10"/>
  <c r="N70" i="11" s="1"/>
  <c r="O70" i="11" s="1"/>
  <c r="G71" i="2"/>
  <c r="O12" i="11"/>
  <c r="R13" i="2"/>
  <c r="I13" i="2" s="1"/>
  <c r="E13" i="2" s="1"/>
  <c r="J39" i="2"/>
  <c r="X39" i="2" s="1"/>
  <c r="X65" i="2"/>
  <c r="F65" i="2"/>
  <c r="R71" i="2"/>
  <c r="I71" i="2" s="1"/>
  <c r="I10" i="2"/>
  <c r="E10" i="2" s="1"/>
  <c r="V10" i="2"/>
  <c r="R49" i="2"/>
  <c r="I36" i="2" s="1"/>
  <c r="E36" i="2" s="1"/>
  <c r="O40" i="11"/>
  <c r="R41" i="2"/>
  <c r="I41" i="2" s="1"/>
  <c r="E41" i="2" s="1"/>
  <c r="R11" i="4"/>
  <c r="F51" i="2"/>
  <c r="X51" i="2"/>
  <c r="Q11" i="4"/>
  <c r="F25" i="2"/>
  <c r="X25" i="2"/>
  <c r="J7" i="2"/>
  <c r="J56" i="2"/>
  <c r="E56" i="2"/>
  <c r="O49" i="11"/>
  <c r="R50" i="2"/>
  <c r="I50" i="2" s="1"/>
  <c r="E50" i="2" s="1"/>
  <c r="O46" i="11"/>
  <c r="R47" i="2"/>
  <c r="I47" i="2" s="1"/>
  <c r="E47" i="2" s="1"/>
  <c r="K48" i="10"/>
  <c r="N48" i="11" s="1"/>
  <c r="O48" i="11" s="1"/>
  <c r="G49" i="2"/>
  <c r="K64" i="10"/>
  <c r="N64" i="11" s="1"/>
  <c r="O64" i="11" s="1"/>
  <c r="G65" i="2"/>
  <c r="R69" i="2"/>
  <c r="I69" i="2" s="1"/>
  <c r="E69" i="2" s="1"/>
  <c r="O68" i="11"/>
  <c r="K50" i="10"/>
  <c r="N50" i="11" s="1"/>
  <c r="O50" i="11" s="1"/>
  <c r="G51" i="2"/>
  <c r="X15" i="2"/>
  <c r="F15" i="2"/>
  <c r="G80" i="2"/>
  <c r="O65" i="11"/>
  <c r="R66" i="2"/>
  <c r="I66" i="2" s="1"/>
  <c r="E66" i="2" s="1"/>
  <c r="K24" i="10"/>
  <c r="N24" i="11" s="1"/>
  <c r="O24" i="11" s="1"/>
  <c r="G25" i="2"/>
  <c r="X29" i="2"/>
  <c r="F29" i="2"/>
  <c r="R55" i="2"/>
  <c r="V3" i="2" s="1"/>
  <c r="E18" i="2"/>
  <c r="J18" i="2"/>
  <c r="X18" i="2" s="1"/>
  <c r="I30" i="2"/>
  <c r="E30" i="2" s="1"/>
  <c r="V30" i="2"/>
  <c r="X37" i="2"/>
  <c r="F37" i="2"/>
  <c r="K54" i="10"/>
  <c r="N54" i="11" s="1"/>
  <c r="O54" i="11" s="1"/>
  <c r="G55" i="2"/>
  <c r="J60" i="2"/>
  <c r="E60" i="2"/>
  <c r="O3" i="11"/>
  <c r="R4" i="2"/>
  <c r="O59" i="11"/>
  <c r="R60" i="2"/>
  <c r="I27" i="2" s="1"/>
  <c r="E27" i="2" s="1"/>
  <c r="AJ74" i="2"/>
  <c r="AB55" i="2"/>
  <c r="AB56" i="2"/>
  <c r="O58" i="11"/>
  <c r="R59" i="2"/>
  <c r="G77" i="2"/>
  <c r="R25" i="2"/>
  <c r="I25" i="2" s="1"/>
  <c r="J13" i="2"/>
  <c r="X13" i="2" s="1"/>
  <c r="V45" i="2"/>
  <c r="I45" i="2"/>
  <c r="H78" i="2"/>
  <c r="X21" i="2"/>
  <c r="F21" i="2"/>
  <c r="O63" i="11"/>
  <c r="R64" i="2"/>
  <c r="I64" i="2" s="1"/>
  <c r="E64" i="2" s="1"/>
  <c r="I34" i="2"/>
  <c r="E34" i="2" s="1"/>
  <c r="O36" i="11"/>
  <c r="R37" i="2"/>
  <c r="U7" i="4"/>
  <c r="H81" i="2"/>
  <c r="X55" i="2"/>
  <c r="F55" i="2"/>
  <c r="O27" i="11"/>
  <c r="R28" i="2"/>
  <c r="J23" i="2"/>
  <c r="X23" i="2" s="1"/>
  <c r="E23" i="2"/>
  <c r="O16" i="11"/>
  <c r="R17" i="2"/>
  <c r="I80" i="2" l="1"/>
  <c r="I19" i="2"/>
  <c r="E19" i="2" s="1"/>
  <c r="H88" i="2"/>
  <c r="I3" i="2"/>
  <c r="E3" i="2" s="1"/>
  <c r="F74" i="2"/>
  <c r="I78" i="2"/>
  <c r="U11" i="4"/>
  <c r="X74" i="2"/>
  <c r="I17" i="2"/>
  <c r="E17" i="2" s="1"/>
  <c r="V17" i="2"/>
  <c r="R74" i="2"/>
  <c r="I4" i="2"/>
  <c r="E4" i="2" s="1"/>
  <c r="V4" i="2"/>
  <c r="I14" i="2"/>
  <c r="E14" i="2" s="1"/>
  <c r="J37" i="2"/>
  <c r="V68" i="2"/>
  <c r="I68" i="2"/>
  <c r="E68" i="2" s="1"/>
  <c r="J72" i="2"/>
  <c r="E72" i="2"/>
  <c r="J68" i="2"/>
  <c r="G87" i="2"/>
  <c r="I87" i="2" s="1"/>
  <c r="V36" i="2"/>
  <c r="J67" i="2"/>
  <c r="E67" i="2"/>
  <c r="I77" i="2"/>
  <c r="G81" i="2"/>
  <c r="I81" i="2" s="1"/>
  <c r="E55" i="2"/>
  <c r="J55" i="2"/>
  <c r="E25" i="2"/>
  <c r="J25" i="2"/>
  <c r="G79" i="2"/>
  <c r="I79" i="2" s="1"/>
  <c r="G86" i="2"/>
  <c r="I86" i="2" s="1"/>
  <c r="J63" i="2"/>
  <c r="E65" i="2"/>
  <c r="J65" i="2"/>
  <c r="G83" i="2"/>
  <c r="I83" i="2" s="1"/>
  <c r="I63" i="2"/>
  <c r="E63" i="2" s="1"/>
  <c r="V63" i="2"/>
  <c r="V37" i="2"/>
  <c r="I37" i="2"/>
  <c r="E37" i="2" s="1"/>
  <c r="J51" i="2"/>
  <c r="E51" i="2"/>
  <c r="E71" i="2"/>
  <c r="J71" i="2"/>
  <c r="G74" i="2"/>
  <c r="E43" i="2"/>
  <c r="J43" i="2"/>
  <c r="G84" i="2"/>
  <c r="I84" i="2" s="1"/>
  <c r="J45" i="2"/>
  <c r="E45" i="2"/>
  <c r="G85" i="2"/>
  <c r="I85" i="2" s="1"/>
  <c r="E49" i="2"/>
  <c r="J49" i="2"/>
  <c r="AB37" i="2"/>
  <c r="AB36" i="2"/>
  <c r="J57" i="2"/>
  <c r="E57" i="2"/>
  <c r="AB74" i="2" l="1"/>
  <c r="J74" i="2"/>
  <c r="V74" i="2"/>
  <c r="I88" i="2"/>
  <c r="G88" i="2"/>
  <c r="E74" i="2"/>
  <c r="I7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1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======
ID#AAACGhCjMOg
None    (2026-09-04 07:52:42)
Bù thưởng Whatsapp tháng 7:</t>
        </r>
      </text>
    </comment>
    <comment ref="AI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======
ID#AAACGhCjMOo
None    (2026-09-04 07:52:42)
Bù thưởng Whatsapp tháng 7</t>
        </r>
      </text>
    </comment>
    <comment ref="AI15" authorId="0" shapeId="0" xr:uid="{00000000-0006-0000-0100-000003000000}">
      <text>
        <r>
          <rPr>
            <sz val="10"/>
            <color rgb="FF000000"/>
            <rFont val="Calibri"/>
            <scheme val="minor"/>
          </rPr>
          <t>======
ID#AAACGhCjMOc
None    (2026-09-04 07:52:42)
Bù thưởng Whatsapp tháng 7</t>
        </r>
      </text>
    </comment>
    <comment ref="AI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>======
ID#AAACGhCjMOs
None    (2026-09-04 07:52:42)
gửi xe đêm
Bù thưởng Whatsapp tháng 7</t>
        </r>
      </text>
    </comment>
    <comment ref="AI1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======
ID#AAACGhCjMOY
None    (2026-09-04 07:52:42)
Bù thưởng Whatsapp tháng 7</t>
        </r>
      </text>
    </comment>
    <comment ref="AI19" authorId="0" shapeId="0" xr:uid="{00000000-0006-0000-0100-000006000000}">
      <text>
        <r>
          <rPr>
            <sz val="10"/>
            <color rgb="FF000000"/>
            <rFont val="Calibri"/>
            <scheme val="minor"/>
          </rPr>
          <t>======
ID#AAACGhCjMOQ
None    (2026-09-04 07:52:42)
gửi xe ca 1+2</t>
        </r>
      </text>
    </comment>
    <comment ref="AI2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======
ID#AAACGhCjMOw
None    (2026-09-04 07:52:42)
Hỗ trợ vận hành tháng 6</t>
        </r>
      </text>
    </comment>
    <comment ref="AI2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======
ID#AAACGhCjMOk
None    (2026-09-04 07:52:42)
Hỗ trợ tiền cận date tháng 5</t>
        </r>
      </text>
    </comment>
    <comment ref="AI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======
ID#AAACGhCjMOU
None    (2026-09-04 07:52:42)
Bù thưởng dự an Mini tháng 6</t>
        </r>
      </text>
    </comment>
  </commentList>
</comments>
</file>

<file path=xl/sharedStrings.xml><?xml version="1.0" encoding="utf-8"?>
<sst xmlns="http://schemas.openxmlformats.org/spreadsheetml/2006/main" count="9744" uniqueCount="845">
  <si>
    <t>Chi nhánh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</si>
  <si>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</si>
  <si>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</si>
  <si>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</si>
  <si>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</si>
  <si>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</si>
  <si>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</si>
  <si>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</si>
  <si>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</si>
  <si>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</si>
  <si>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</si>
  <si>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</si>
  <si>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</si>
  <si>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</si>
  <si>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</si>
  <si>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Trường Sa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</si>
  <si>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</si>
  <si>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</si>
  <si>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</si>
  <si>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</si>
  <si>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</si>
  <si>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</si>
  <si>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</si>
  <si>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</si>
  <si>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Lê Bình</t>
  </si>
  <si>
    <t>Đường Láng</t>
  </si>
  <si>
    <t>Hàng Bông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</si>
  <si>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</si>
  <si>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</si>
  <si>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</si>
  <si>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</si>
  <si>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</si>
  <si>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</si>
  <si>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</si>
  <si>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</si>
  <si>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</si>
  <si>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</si>
  <si>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</si>
  <si>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</si>
  <si>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làm ngày</t>
  </si>
  <si>
    <t>Số ca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</si>
  <si>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</si>
  <si>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</si>
  <si>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</si>
  <si>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</si>
  <si>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</si>
  <si>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</si>
  <si>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</si>
  <si>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</si>
  <si>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</si>
  <si>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</si>
  <si>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</si>
  <si>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</si>
  <si>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</si>
  <si>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</si>
  <si>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</si>
  <si>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</si>
  <si>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</si>
  <si>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</si>
  <si>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</si>
  <si>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</si>
  <si>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</si>
  <si>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</si>
  <si>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</si>
  <si>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</si>
  <si>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</si>
  <si>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</si>
  <si>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</si>
  <si>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</si>
  <si>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</si>
  <si>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</si>
  <si>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</si>
  <si>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Hồ Thị Minh Hòa</t>
  </si>
  <si>
    <t>CHT</t>
  </si>
  <si>
    <t>Nguyễn Trần Ngọc Phương</t>
  </si>
  <si>
    <t>Q.CHT</t>
  </si>
  <si>
    <t>Nguyễn Ngọc Anh Thư</t>
  </si>
  <si>
    <t>DSCD (TV)</t>
  </si>
  <si>
    <t>Trịnh Thị Phượng</t>
  </si>
  <si>
    <t>DSCD</t>
  </si>
  <si>
    <t>Ngô Trần Tuyết Vy</t>
  </si>
  <si>
    <t>DSXC</t>
  </si>
  <si>
    <t>Phạm Nguyễn Ngọc Quý</t>
  </si>
  <si>
    <t>Trần Thị Kim Khánh</t>
  </si>
  <si>
    <t>Ngô Thị Thanh Thắm</t>
  </si>
  <si>
    <t>Dương Thị Huỳnh Như</t>
  </si>
  <si>
    <t>Phạm Thị Nghĩa Hương</t>
  </si>
  <si>
    <t>Trần Thiên Phát</t>
  </si>
  <si>
    <t>Hoàng Lâm Gia Bảo</t>
  </si>
  <si>
    <t>Hoàng Thanh Thủy</t>
  </si>
  <si>
    <t>Lê Thị Huyền Trân</t>
  </si>
  <si>
    <t>Thái Thùy Linh</t>
  </si>
  <si>
    <t>Phan Công Vũ Tài</t>
  </si>
  <si>
    <t>Đoàn Quốc Tâm</t>
  </si>
  <si>
    <t>Nguyễn Ngọc Thùy</t>
  </si>
  <si>
    <t>DSHV</t>
  </si>
  <si>
    <t>Trần Thị Ánh Nguyệt</t>
  </si>
  <si>
    <t>Đỗ Thị Kim Tiến</t>
  </si>
  <si>
    <t>Bùi Thị Thanh Thủy</t>
  </si>
  <si>
    <t>DSXC (TV)</t>
  </si>
  <si>
    <t>Nguyễn Thị Huyền Trang</t>
  </si>
  <si>
    <t>Trần Linh Khải</t>
  </si>
  <si>
    <t>DSBC</t>
  </si>
  <si>
    <t>Lê Thị Quỳnh Trâm</t>
  </si>
  <si>
    <t>Nguyễn Thị Hồng Hạnh</t>
  </si>
  <si>
    <t>Trần Hoàng Khánh</t>
  </si>
  <si>
    <t>Lý Thục Mi</t>
  </si>
  <si>
    <t>Ngô Thị Ngọc Thủy</t>
  </si>
  <si>
    <t>Đỗ Thị Phương Thảo</t>
  </si>
  <si>
    <t>Cù Thị Tường Vy</t>
  </si>
  <si>
    <t>Triệu Thị Ngọc Lý</t>
  </si>
  <si>
    <t>Cao Trọng Nhân</t>
  </si>
  <si>
    <t>Trần Thành Đạt</t>
  </si>
  <si>
    <t>Nguyễn Trí Nghĩa</t>
  </si>
  <si>
    <t>Bích Trâm (Đã nghỉ)</t>
  </si>
  <si>
    <t>Bùi Thị Bích Trâm</t>
  </si>
  <si>
    <t>Võ Ngọc Giàu Sang</t>
  </si>
  <si>
    <t>Hồ Ngọc Lý</t>
  </si>
  <si>
    <t>Nguyễn Thị Thu Huyền</t>
  </si>
  <si>
    <t>Nguyễn Thị Hương Giang</t>
  </si>
  <si>
    <t>Huỳnh Thị Huệ Hiền</t>
  </si>
  <si>
    <t>Nguyễn Thị Phúc Lộc</t>
  </si>
  <si>
    <t>Phạm Nguyễn Ngọc Quyền Trân</t>
  </si>
  <si>
    <t>Lê Thị Xuyến</t>
  </si>
  <si>
    <t>Đinh Hoài Bảo</t>
  </si>
  <si>
    <t>Trần Thị Phương Thùy</t>
  </si>
  <si>
    <t>Hứa Thị Kim Thoa</t>
  </si>
  <si>
    <t>Lê Thị Soạn</t>
  </si>
  <si>
    <t>Nguyễn Thị Mai Duyên</t>
  </si>
  <si>
    <t>Nguyễn Thị Tâm</t>
  </si>
  <si>
    <t>Trần Ngọc Dung</t>
  </si>
  <si>
    <t>Đinh Thị Lan Anh</t>
  </si>
  <si>
    <t>Nguyễn Mạnh Tuấn</t>
  </si>
  <si>
    <t>Vũ Thanh Hằng</t>
  </si>
  <si>
    <t>Đinh Thị Khánh Ly</t>
  </si>
  <si>
    <t>Đỗ Thu Huệ</t>
  </si>
  <si>
    <t>Tổng</t>
  </si>
  <si>
    <t>Số giờ ca đêm ( chưa x 1.5 )</t>
  </si>
  <si>
    <t>Tổng số giờ</t>
  </si>
  <si>
    <t>Tổng cộng</t>
  </si>
  <si>
    <t>Người bán</t>
  </si>
  <si>
    <t>SL Party Smart</t>
  </si>
  <si>
    <t>SL KAT bán</t>
  </si>
  <si>
    <t>SL LadyCare bán</t>
  </si>
  <si>
    <t>SL AVC bán</t>
  </si>
  <si>
    <t>Doanh thu LadyCare</t>
  </si>
  <si>
    <t>Doanh thu AVC</t>
  </si>
  <si>
    <t>Thưởng KAT</t>
  </si>
  <si>
    <t>Thưởng Party</t>
  </si>
  <si>
    <t>Thưởng LadyCare</t>
  </si>
  <si>
    <t>Thưởng AVC</t>
  </si>
  <si>
    <t>Tổng Thưởng</t>
  </si>
  <si>
    <t>SL PARTY SMART bán</t>
  </si>
  <si>
    <t>Thưởng KAT Tổng</t>
  </si>
  <si>
    <t>Thưởng PS 180 hộp</t>
  </si>
  <si>
    <t>PS đầu 150 hộp</t>
  </si>
  <si>
    <t>Tổng thưởng</t>
  </si>
  <si>
    <t>Doanh Thu KAT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</si>
  <si>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</si>
  <si>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</si>
  <si>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</si>
  <si>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</si>
  <si>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</si>
  <si>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</si>
  <si>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</si>
  <si>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</si>
  <si>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</si>
  <si>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</si>
  <si>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</si>
  <si>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</si>
  <si>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</si>
  <si>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</si>
  <si>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</si>
  <si>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</si>
  <si>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</si>
  <si>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</si>
  <si>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</si>
  <si>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</si>
  <si>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</si>
  <si>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</si>
  <si>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Tên Nhân viên</t>
  </si>
  <si>
    <t>Giờ ca ngày</t>
  </si>
  <si>
    <t>Giờ ca đêm</t>
  </si>
  <si>
    <t>Tổng giờ</t>
  </si>
  <si>
    <t>Tên chi nhánh</t>
  </si>
  <si>
    <t>Số giờ theo chi nhánh</t>
  </si>
  <si>
    <t>Tăng ca 3</t>
  </si>
  <si>
    <t>3h1p</t>
  </si>
  <si>
    <t>Ca Đêm(ca qua đêm)</t>
  </si>
  <si>
    <t>230h16p</t>
  </si>
  <si>
    <t>245h26p</t>
  </si>
  <si>
    <t>Ca Sáng</t>
  </si>
  <si>
    <t>83h3p</t>
  </si>
  <si>
    <t>Ca chiều</t>
  </si>
  <si>
    <t>99h58p</t>
  </si>
  <si>
    <t>91h48p</t>
  </si>
  <si>
    <t>154h34p</t>
  </si>
  <si>
    <t>1h6p</t>
  </si>
  <si>
    <t>CA CHIỀU</t>
  </si>
  <si>
    <t>8h0p</t>
  </si>
  <si>
    <t>Ca 1 Sáng</t>
  </si>
  <si>
    <t>40h35p</t>
  </si>
  <si>
    <t>Ca Hành Chính 1</t>
  </si>
  <si>
    <t>8h41p</t>
  </si>
  <si>
    <t>Ca Chiều Chính</t>
  </si>
  <si>
    <t>110h13p</t>
  </si>
  <si>
    <t>CA GÃY CHIỀU</t>
  </si>
  <si>
    <t>8h6p</t>
  </si>
  <si>
    <t>Ca Chiều Phụ 3</t>
  </si>
  <si>
    <t>2h2p</t>
  </si>
  <si>
    <t>Ca 3 Đêm(ca qua đêm)</t>
  </si>
  <si>
    <t>56h11p</t>
  </si>
  <si>
    <t>90h19p</t>
  </si>
  <si>
    <t>145h50p</t>
  </si>
  <si>
    <t>8h5p</t>
  </si>
  <si>
    <t>CA SÁNG</t>
  </si>
  <si>
    <t>112h10p</t>
  </si>
  <si>
    <t>105h20p</t>
  </si>
  <si>
    <t>LƯNG CHỪNG CA</t>
  </si>
  <si>
    <t>6h6p</t>
  </si>
  <si>
    <t>CA TỐI(ca qua đêm)</t>
  </si>
  <si>
    <t>16h57p</t>
  </si>
  <si>
    <t>Ca Phụ Sáng</t>
  </si>
  <si>
    <t>5h24p</t>
  </si>
  <si>
    <t>8h46p</t>
  </si>
  <si>
    <t>CA PHỤ CHIỀU</t>
  </si>
  <si>
    <t>2h13p</t>
  </si>
  <si>
    <t>243h29p</t>
  </si>
  <si>
    <t>ca hành chính</t>
  </si>
  <si>
    <t>12h42p</t>
  </si>
  <si>
    <t>16h4p</t>
  </si>
  <si>
    <t>0h30p</t>
  </si>
  <si>
    <t>63h33p</t>
  </si>
  <si>
    <t>116h4p</t>
  </si>
  <si>
    <t>1h21p</t>
  </si>
  <si>
    <t>42h22p</t>
  </si>
  <si>
    <t>7h30p</t>
  </si>
  <si>
    <t>139h31p</t>
  </si>
  <si>
    <t>16h16p</t>
  </si>
  <si>
    <t>8h4p</t>
  </si>
  <si>
    <t>ca phụ chiều</t>
  </si>
  <si>
    <t>33h38p</t>
  </si>
  <si>
    <t>CA ĐÊM(ca qua đêm)</t>
  </si>
  <si>
    <t>49h2p</t>
  </si>
  <si>
    <t>46h27p</t>
  </si>
  <si>
    <t>Ca sáng</t>
  </si>
  <si>
    <t>0h23p</t>
  </si>
  <si>
    <t>ca đêm(ca qua đêm)</t>
  </si>
  <si>
    <t>164h13p</t>
  </si>
  <si>
    <t>CA PHỤ SÁNG</t>
  </si>
  <si>
    <t>6h3p</t>
  </si>
  <si>
    <t>16h15p</t>
  </si>
  <si>
    <t>15h42p</t>
  </si>
  <si>
    <t>15h45p</t>
  </si>
  <si>
    <t>185h15p</t>
  </si>
  <si>
    <t>CA sáng 1</t>
  </si>
  <si>
    <t>54h32p</t>
  </si>
  <si>
    <t>Ca Chiều</t>
  </si>
  <si>
    <t>27h33p</t>
  </si>
  <si>
    <t>Ca Phụ Chiều</t>
  </si>
  <si>
    <t>26h9p</t>
  </si>
  <si>
    <t>Ca Đêm 2(ca qua đêm)</t>
  </si>
  <si>
    <t>7h5p</t>
  </si>
  <si>
    <t>Ca Hành Chính</t>
  </si>
  <si>
    <t>5h58p</t>
  </si>
  <si>
    <t>Ca Chiều 1</t>
  </si>
  <si>
    <t>5h27p</t>
  </si>
  <si>
    <t>Ca đêm(ca qua đêm)</t>
  </si>
  <si>
    <t>16h43p</t>
  </si>
  <si>
    <t>15h59p</t>
  </si>
  <si>
    <t>30h3p</t>
  </si>
  <si>
    <t>71h1p</t>
  </si>
  <si>
    <t>11h0p</t>
  </si>
  <si>
    <t>129h59p</t>
  </si>
  <si>
    <t>23h0p</t>
  </si>
  <si>
    <t>55h44p</t>
  </si>
  <si>
    <t>104h40p</t>
  </si>
  <si>
    <t>88h14p</t>
  </si>
  <si>
    <t>6h1p</t>
  </si>
  <si>
    <t>32h13p</t>
  </si>
  <si>
    <t>8h15p</t>
  </si>
  <si>
    <t>4h16p</t>
  </si>
  <si>
    <t>2h0p</t>
  </si>
  <si>
    <t>ca hỗ trợ</t>
  </si>
  <si>
    <t>3h56p</t>
  </si>
  <si>
    <t>Ca Đêm 1(ca qua đêm)</t>
  </si>
  <si>
    <t>234h58p</t>
  </si>
  <si>
    <t>24h26p</t>
  </si>
  <si>
    <t>8h3p</t>
  </si>
  <si>
    <t>0h55p</t>
  </si>
  <si>
    <t>193h34p</t>
  </si>
  <si>
    <t>187h37p</t>
  </si>
  <si>
    <t>CA GHÉP 1</t>
  </si>
  <si>
    <t>20h0p</t>
  </si>
  <si>
    <t>83h22p</t>
  </si>
  <si>
    <t>7h15p</t>
  </si>
  <si>
    <t>4h0p</t>
  </si>
  <si>
    <t>8h30p</t>
  </si>
  <si>
    <t>190h14p</t>
  </si>
  <si>
    <t>80h22p</t>
  </si>
  <si>
    <t>7h45p</t>
  </si>
  <si>
    <t>CA ĐÊM 1(ca qua đêm)</t>
  </si>
  <si>
    <t>219h22p</t>
  </si>
  <si>
    <t>7h50p</t>
  </si>
  <si>
    <t>235h30p</t>
  </si>
  <si>
    <t>8h17p</t>
  </si>
  <si>
    <t>Ca hành chính</t>
  </si>
  <si>
    <t>16h0p</t>
  </si>
  <si>
    <t>CA GÃY</t>
  </si>
  <si>
    <t>215h32p</t>
  </si>
  <si>
    <t>8h18p</t>
  </si>
  <si>
    <t>73h35p</t>
  </si>
  <si>
    <t>175h46p</t>
  </si>
  <si>
    <t>8h35p</t>
  </si>
  <si>
    <t>198h44p</t>
  </si>
  <si>
    <t>43h40p</t>
  </si>
  <si>
    <t>12h35p</t>
  </si>
  <si>
    <t>Ca Lửng Đêm</t>
  </si>
  <si>
    <t>33h43p</t>
  </si>
  <si>
    <t>224h59p</t>
  </si>
  <si>
    <t>172h4p</t>
  </si>
  <si>
    <t>85h54p</t>
  </si>
  <si>
    <t>71h42p</t>
  </si>
  <si>
    <t>Ca Lửng Chiều</t>
  </si>
  <si>
    <t>9h59p</t>
  </si>
  <si>
    <t>2h22p</t>
  </si>
  <si>
    <t>39h51p</t>
  </si>
  <si>
    <t>24h16p</t>
  </si>
  <si>
    <t>32h31p</t>
  </si>
  <si>
    <t>8h2p</t>
  </si>
  <si>
    <t>24h3p</t>
  </si>
  <si>
    <t>17h45p</t>
  </si>
  <si>
    <t>58h49p</t>
  </si>
  <si>
    <t>23h28p</t>
  </si>
  <si>
    <t>15h54p</t>
  </si>
  <si>
    <t>40h44p</t>
  </si>
  <si>
    <t>5h22p</t>
  </si>
  <si>
    <t>223h8p</t>
  </si>
  <si>
    <t>48h47p</t>
  </si>
  <si>
    <t>56h21p</t>
  </si>
  <si>
    <t>55h43p</t>
  </si>
  <si>
    <t>23h36p</t>
  </si>
  <si>
    <t>ca hành chính 2</t>
  </si>
  <si>
    <t>137h13p</t>
  </si>
  <si>
    <t>52h40p</t>
  </si>
  <si>
    <t>ca phụ đêm</t>
  </si>
  <si>
    <t>4h9p</t>
  </si>
  <si>
    <t>16h8p</t>
  </si>
  <si>
    <t>7h57p</t>
  </si>
  <si>
    <t>210h8p</t>
  </si>
  <si>
    <t>8h56p</t>
  </si>
  <si>
    <t>9h10p</t>
  </si>
  <si>
    <t>196h50p</t>
  </si>
  <si>
    <t>14h0p</t>
  </si>
  <si>
    <t>132h49p</t>
  </si>
  <si>
    <t>55h3p</t>
  </si>
  <si>
    <t>4h10p</t>
  </si>
  <si>
    <t>217h53p</t>
  </si>
  <si>
    <t>6h22p</t>
  </si>
  <si>
    <t>2h36p</t>
  </si>
  <si>
    <t>206h28p</t>
  </si>
  <si>
    <t>1h54p</t>
  </si>
  <si>
    <t>202h22p</t>
  </si>
  <si>
    <t>ca hỗ trợ 2</t>
  </si>
  <si>
    <t>20h7p</t>
  </si>
  <si>
    <t>40h4p</t>
  </si>
  <si>
    <t>96h45p</t>
  </si>
  <si>
    <t>149h16p</t>
  </si>
  <si>
    <t>5h42p</t>
  </si>
  <si>
    <t>10h14p</t>
  </si>
  <si>
    <t>11h11p</t>
  </si>
  <si>
    <t>4h30p</t>
  </si>
  <si>
    <t>147h34p</t>
  </si>
  <si>
    <t>32h50p</t>
  </si>
  <si>
    <t>57h45p</t>
  </si>
  <si>
    <t>19h52p</t>
  </si>
  <si>
    <t>4h19p</t>
  </si>
  <si>
    <t>98h57p</t>
  </si>
  <si>
    <t>TĂNG 1</t>
  </si>
  <si>
    <t>63h12p</t>
  </si>
  <si>
    <t>89h59p</t>
  </si>
  <si>
    <t>19h56p</t>
  </si>
  <si>
    <t>6h53p</t>
  </si>
  <si>
    <t>LƯNG CHỪNG</t>
  </si>
  <si>
    <t>15h41p</t>
  </si>
  <si>
    <t>121h38p</t>
  </si>
  <si>
    <t>Ca giữa</t>
  </si>
  <si>
    <t>18h17p</t>
  </si>
  <si>
    <t>83h1p</t>
  </si>
  <si>
    <t>22h31p</t>
  </si>
  <si>
    <t>31h26p</t>
  </si>
  <si>
    <t>10h0p</t>
  </si>
  <si>
    <t>91h57p</t>
  </si>
  <si>
    <t>24h29p</t>
  </si>
  <si>
    <t>16h41p</t>
  </si>
  <si>
    <t>17h44p</t>
  </si>
  <si>
    <t>Lưng Chừng 1</t>
  </si>
  <si>
    <t>6h12p</t>
  </si>
  <si>
    <t>29h35p</t>
  </si>
  <si>
    <t>28h23p</t>
  </si>
  <si>
    <t>8h37p</t>
  </si>
  <si>
    <t>65h35p</t>
  </si>
  <si>
    <t>14h20p</t>
  </si>
  <si>
    <t>17h18p</t>
  </si>
  <si>
    <t>49h11p</t>
  </si>
  <si>
    <t>11h59p</t>
  </si>
  <si>
    <t>5h57p</t>
  </si>
  <si>
    <t>24h4p</t>
  </si>
  <si>
    <t>5h45p</t>
  </si>
  <si>
    <t>7h56p</t>
  </si>
  <si>
    <t>5h18p</t>
  </si>
  <si>
    <t>219h30p</t>
  </si>
  <si>
    <t>37h5p</t>
  </si>
  <si>
    <t>7h28p</t>
  </si>
  <si>
    <t>15h30p</t>
  </si>
  <si>
    <t>23h7p</t>
  </si>
  <si>
    <t>165h16p</t>
  </si>
  <si>
    <t>46h25p</t>
  </si>
  <si>
    <t>Ca đêm Phụ(ca qua đêm)</t>
  </si>
  <si>
    <t>9h8p</t>
  </si>
  <si>
    <t>31h59p</t>
  </si>
  <si>
    <t>247h46p</t>
  </si>
  <si>
    <t>87h51p</t>
  </si>
  <si>
    <t>24h20p</t>
  </si>
  <si>
    <t>176h16p</t>
  </si>
  <si>
    <t>12h0p</t>
  </si>
  <si>
    <t>ca phụ 0</t>
  </si>
  <si>
    <t>88h44p</t>
  </si>
  <si>
    <t>Ca phụ 1</t>
  </si>
  <si>
    <t>5h11p</t>
  </si>
  <si>
    <t>Ca phụ 4</t>
  </si>
  <si>
    <t>43h18p</t>
  </si>
  <si>
    <t>20h19p</t>
  </si>
  <si>
    <t>Ca phụ 3(ca qua đêm)</t>
  </si>
  <si>
    <t>26h50p</t>
  </si>
  <si>
    <t>96h10p</t>
  </si>
  <si>
    <t>ca giữa</t>
  </si>
  <si>
    <t>79h58p</t>
  </si>
  <si>
    <t>58h22p</t>
  </si>
  <si>
    <t>Ca chiều muộn</t>
  </si>
  <si>
    <t>7h22p</t>
  </si>
  <si>
    <t>Ca đêm ( 2 )(ca qua đêm)</t>
  </si>
  <si>
    <t>ca đêm (1)(ca qua đêm)</t>
  </si>
  <si>
    <t>5h9p</t>
  </si>
  <si>
    <t>44h5p</t>
  </si>
  <si>
    <t>167h19p</t>
  </si>
  <si>
    <t>28h58p</t>
  </si>
  <si>
    <t>48h22p</t>
  </si>
  <si>
    <t>86h8p</t>
  </si>
  <si>
    <t>76h25p</t>
  </si>
  <si>
    <t>40h7p</t>
  </si>
  <si>
    <t>21h53p</t>
  </si>
  <si>
    <t>47h31p</t>
  </si>
  <si>
    <t>64h31p</t>
  </si>
  <si>
    <t>79h7p</t>
  </si>
  <si>
    <t>33h3p</t>
  </si>
  <si>
    <t>55h46p</t>
  </si>
  <si>
    <t>39h35p</t>
  </si>
  <si>
    <t>32h49p</t>
  </si>
  <si>
    <t>3h0p</t>
  </si>
  <si>
    <t>21h27p</t>
  </si>
  <si>
    <t>189h16p</t>
  </si>
  <si>
    <t>5h47p</t>
  </si>
  <si>
    <t>Ngày</t>
  </si>
  <si>
    <t>Giờ làm thực tế</t>
  </si>
  <si>
    <t>Giờ công chuẩn</t>
  </si>
  <si>
    <t>Ca &lt;= 4h</t>
  </si>
  <si>
    <t>Công thực tế</t>
  </si>
  <si>
    <t>Ca đêm chuẩn</t>
  </si>
  <si>
    <t>Ngày công chuẩn</t>
  </si>
  <si>
    <t>Giờ công</t>
  </si>
  <si>
    <t>Trung bình giờ/công</t>
  </si>
  <si>
    <t>sheet ngày công</t>
  </si>
  <si>
    <t>Sheet giờ công</t>
  </si>
  <si>
    <t>7h54p</t>
  </si>
  <si>
    <t>7h52p</t>
  </si>
  <si>
    <t>8h7p</t>
  </si>
  <si>
    <t>7h53p</t>
  </si>
  <si>
    <t>7h42p</t>
  </si>
  <si>
    <t>8h1p</t>
  </si>
  <si>
    <t>7h58p</t>
  </si>
  <si>
    <t>7h59p</t>
  </si>
  <si>
    <t>7h51p</t>
  </si>
  <si>
    <t>7h55p</t>
  </si>
  <si>
    <t>7h49p</t>
  </si>
  <si>
    <t>7h40p</t>
  </si>
  <si>
    <t>7h41p</t>
  </si>
  <si>
    <t>7h47p</t>
  </si>
  <si>
    <t>8h23p</t>
  </si>
  <si>
    <t>8h20p</t>
  </si>
  <si>
    <t>8h14p</t>
  </si>
  <si>
    <t>9h2p</t>
  </si>
  <si>
    <t>8h25p</t>
  </si>
  <si>
    <t>7h46p</t>
  </si>
  <si>
    <t>5h35p</t>
  </si>
  <si>
    <t>8h31p</t>
  </si>
  <si>
    <t>8h21p</t>
  </si>
  <si>
    <t>8h26p</t>
  </si>
  <si>
    <t>8h28p</t>
  </si>
  <si>
    <t>8h9p</t>
  </si>
  <si>
    <t>8h29p</t>
  </si>
  <si>
    <t>8h13p</t>
  </si>
  <si>
    <t>8h10p</t>
  </si>
  <si>
    <t>8h12p</t>
  </si>
  <si>
    <t>8h11p</t>
  </si>
  <si>
    <t>0h32p</t>
  </si>
  <si>
    <t>0h34p</t>
  </si>
  <si>
    <t>0h0p</t>
  </si>
  <si>
    <t>8h50p</t>
  </si>
  <si>
    <t>9h25p</t>
  </si>
  <si>
    <t>8h45p</t>
  </si>
  <si>
    <t>8h8p</t>
  </si>
  <si>
    <t>3h54p</t>
  </si>
  <si>
    <t>4h12p</t>
  </si>
  <si>
    <t>8h33p</t>
  </si>
  <si>
    <t>8h16p</t>
  </si>
  <si>
    <t>8h22p</t>
  </si>
  <si>
    <t>9h16p</t>
  </si>
  <si>
    <t>7h38p</t>
  </si>
  <si>
    <t>8h24p</t>
  </si>
  <si>
    <t>11h43p</t>
  </si>
  <si>
    <t>9h26p</t>
  </si>
  <si>
    <t>8h19p</t>
  </si>
  <si>
    <t>1h24p</t>
  </si>
  <si>
    <t>0h58p</t>
  </si>
  <si>
    <t>3h38p</t>
  </si>
  <si>
    <t>1h9p</t>
  </si>
  <si>
    <t>1h4p</t>
  </si>
  <si>
    <t>4h37p</t>
  </si>
  <si>
    <t>10h25p</t>
  </si>
  <si>
    <t>11h58p</t>
  </si>
  <si>
    <t>9h34p</t>
  </si>
  <si>
    <t>8h47p</t>
  </si>
  <si>
    <t>0h51p</t>
  </si>
  <si>
    <t>5h30p</t>
  </si>
  <si>
    <t>6h0p</t>
  </si>
  <si>
    <t>4h44p</t>
  </si>
  <si>
    <t>4h33p</t>
  </si>
  <si>
    <t>6h4p</t>
  </si>
  <si>
    <t>8h42p</t>
  </si>
  <si>
    <t>8h39p</t>
  </si>
  <si>
    <t>9h13p</t>
  </si>
  <si>
    <t>10h9p</t>
  </si>
  <si>
    <t>9h5p</t>
  </si>
  <si>
    <t>9h58p</t>
  </si>
  <si>
    <t>10h3p</t>
  </si>
  <si>
    <t>6h16p</t>
  </si>
  <si>
    <t>7h6p</t>
  </si>
  <si>
    <t>3h23p</t>
  </si>
  <si>
    <t>6h20p</t>
  </si>
  <si>
    <t>6h17p</t>
  </si>
  <si>
    <t>0h42p</t>
  </si>
  <si>
    <t>6h44p</t>
  </si>
  <si>
    <t>7h48p</t>
  </si>
  <si>
    <t>4h51p</t>
  </si>
  <si>
    <t>7h33p</t>
  </si>
  <si>
    <t>2h3p</t>
  </si>
  <si>
    <t>5h59p</t>
  </si>
  <si>
    <t>7h24p</t>
  </si>
  <si>
    <t>7h26p</t>
  </si>
  <si>
    <t>7h3p</t>
  </si>
  <si>
    <t>5h51p</t>
  </si>
  <si>
    <t>7h21p</t>
  </si>
  <si>
    <t>7h13p</t>
  </si>
  <si>
    <t>8h34p</t>
  </si>
  <si>
    <t>4h42p</t>
  </si>
  <si>
    <t>8h54p</t>
  </si>
  <si>
    <t>9h47p</t>
  </si>
  <si>
    <t>9h56p</t>
  </si>
  <si>
    <t>11h15p</t>
  </si>
  <si>
    <t>11h4p</t>
  </si>
  <si>
    <t>12h14p</t>
  </si>
  <si>
    <t>5h40p</t>
  </si>
  <si>
    <t>5h20p</t>
  </si>
  <si>
    <t>6h21p</t>
  </si>
  <si>
    <t>6h24p</t>
  </si>
  <si>
    <t>0h15p</t>
  </si>
  <si>
    <t>0h21p</t>
  </si>
  <si>
    <t>0h17p</t>
  </si>
  <si>
    <t>1h30p</t>
  </si>
  <si>
    <t>0h19p</t>
  </si>
  <si>
    <t>3h21p</t>
  </si>
  <si>
    <t>1h0p</t>
  </si>
  <si>
    <t>1h1p</t>
  </si>
  <si>
    <t>0h57p</t>
  </si>
  <si>
    <t>12h4p</t>
  </si>
  <si>
    <t>12h19p</t>
  </si>
  <si>
    <t>12h9p</t>
  </si>
  <si>
    <t>12h11p</t>
  </si>
  <si>
    <t>12h23p</t>
  </si>
  <si>
    <t>14h10p</t>
  </si>
  <si>
    <t>8h52p</t>
  </si>
  <si>
    <t>8h53p</t>
  </si>
  <si>
    <t>12h5p</t>
  </si>
  <si>
    <t>8h49p</t>
  </si>
  <si>
    <t>11h27p</t>
  </si>
  <si>
    <t>8h27p</t>
  </si>
  <si>
    <t>10h55p</t>
  </si>
  <si>
    <t>11h26p</t>
  </si>
  <si>
    <t>8h59p</t>
  </si>
  <si>
    <t>14h8p</t>
  </si>
  <si>
    <t>9h44p</t>
  </si>
  <si>
    <t>9h17p</t>
  </si>
  <si>
    <t>9h36p</t>
  </si>
  <si>
    <t>13h8p</t>
  </si>
  <si>
    <t>10h26p</t>
  </si>
  <si>
    <t>8h32p</t>
  </si>
  <si>
    <t>10h44p</t>
  </si>
  <si>
    <t>6h46p</t>
  </si>
  <si>
    <t>4h2p</t>
  </si>
  <si>
    <t>3h59p</t>
  </si>
  <si>
    <t>3h51p</t>
  </si>
  <si>
    <t>7h8p</t>
  </si>
  <si>
    <t>6h54p</t>
  </si>
  <si>
    <t>6h45p</t>
  </si>
  <si>
    <t>7h23p</t>
  </si>
  <si>
    <t>7h34p</t>
  </si>
  <si>
    <t>8h40p</t>
  </si>
  <si>
    <t>8h38p</t>
  </si>
  <si>
    <t>12h2p</t>
  </si>
  <si>
    <t>1h55p</t>
  </si>
  <si>
    <t>0h36p</t>
  </si>
  <si>
    <t>1h17p</t>
  </si>
  <si>
    <t>10h56p</t>
  </si>
  <si>
    <t>3h6p</t>
  </si>
  <si>
    <t>0h37p</t>
  </si>
  <si>
    <t>2h50p</t>
  </si>
  <si>
    <t>1h58p</t>
  </si>
  <si>
    <t>3h22p</t>
  </si>
  <si>
    <t>2h11p</t>
  </si>
  <si>
    <t>2h1p</t>
  </si>
  <si>
    <t>1h57p</t>
  </si>
  <si>
    <t>2h6p</t>
  </si>
  <si>
    <t>2h4p</t>
  </si>
  <si>
    <t>1h56p</t>
  </si>
  <si>
    <t>1h13p</t>
  </si>
  <si>
    <t>6h59p</t>
  </si>
  <si>
    <t>11h12p</t>
  </si>
  <si>
    <t>13h12p</t>
  </si>
  <si>
    <t>12h6p</t>
  </si>
  <si>
    <t>10h48p</t>
  </si>
  <si>
    <t>10h58p</t>
  </si>
  <si>
    <t>10h52p</t>
  </si>
  <si>
    <t>10h42p</t>
  </si>
  <si>
    <t>10h11p</t>
  </si>
  <si>
    <t>9h0p</t>
  </si>
  <si>
    <t>15h31p</t>
  </si>
  <si>
    <t>12h40p</t>
  </si>
  <si>
    <t>13h59p</t>
  </si>
  <si>
    <t>11h55p</t>
  </si>
  <si>
    <t>12h58p</t>
  </si>
  <si>
    <t>11h54p</t>
  </si>
  <si>
    <t>7h19p</t>
  </si>
  <si>
    <t>5h1p</t>
  </si>
  <si>
    <t>4h58p</t>
  </si>
  <si>
    <t>7h1p</t>
  </si>
  <si>
    <t>0h31p</t>
  </si>
  <si>
    <t>1h7p</t>
  </si>
  <si>
    <t>7h2p</t>
  </si>
  <si>
    <t>7h0p</t>
  </si>
  <si>
    <t>9h48p</t>
  </si>
  <si>
    <t>7h14p</t>
  </si>
  <si>
    <t>6h15p</t>
  </si>
  <si>
    <t>7h32p</t>
  </si>
  <si>
    <t>4h43p</t>
  </si>
  <si>
    <t>6h26p</t>
  </si>
  <si>
    <t>7h11p</t>
  </si>
  <si>
    <t>4h56p</t>
  </si>
  <si>
    <t>5h44p</t>
  </si>
  <si>
    <t>0h54p</t>
  </si>
  <si>
    <t>2h55p</t>
  </si>
  <si>
    <t>0h44p</t>
  </si>
  <si>
    <t>0h56p</t>
  </si>
  <si>
    <t>1h15p</t>
  </si>
  <si>
    <t>0h41p</t>
  </si>
  <si>
    <t>0h46p</t>
  </si>
  <si>
    <t>0h26p</t>
  </si>
  <si>
    <t>0h38p</t>
  </si>
  <si>
    <t>2h26p</t>
  </si>
  <si>
    <t>2h17p</t>
  </si>
  <si>
    <t>14h55p</t>
  </si>
  <si>
    <t>2h38p</t>
  </si>
  <si>
    <t>1h25p</t>
  </si>
  <si>
    <t>1h49p</t>
  </si>
  <si>
    <t>7h44p</t>
  </si>
  <si>
    <t>7h36p</t>
  </si>
  <si>
    <t>7h31p</t>
  </si>
  <si>
    <t>7h27p</t>
  </si>
  <si>
    <t>7h16p</t>
  </si>
  <si>
    <t>7h29p</t>
  </si>
  <si>
    <t>8h55p</t>
  </si>
  <si>
    <t>8h48p</t>
  </si>
  <si>
    <t>8h58p</t>
  </si>
  <si>
    <t>7h35p</t>
  </si>
  <si>
    <t>1h59p</t>
  </si>
  <si>
    <t>2h35p</t>
  </si>
  <si>
    <t>2h19p</t>
  </si>
  <si>
    <t>4h34p</t>
  </si>
  <si>
    <t>6h40p</t>
  </si>
  <si>
    <t>6h48p</t>
  </si>
  <si>
    <t>5h43p</t>
  </si>
  <si>
    <t>4h39p</t>
  </si>
  <si>
    <t>6h30p</t>
  </si>
  <si>
    <t>8h36p</t>
  </si>
  <si>
    <t>7h39p</t>
  </si>
  <si>
    <t>7h43p</t>
  </si>
  <si>
    <t>1h19p</t>
  </si>
  <si>
    <t>0h43p</t>
  </si>
  <si>
    <t>0h25p</t>
  </si>
  <si>
    <t>0h29p</t>
  </si>
  <si>
    <t>0h16p</t>
  </si>
  <si>
    <t>0h22p</t>
  </si>
  <si>
    <t>0h50p</t>
  </si>
  <si>
    <t>0h52p</t>
  </si>
  <si>
    <t>0h12p</t>
  </si>
  <si>
    <t>0h11p</t>
  </si>
  <si>
    <t>0h7p</t>
  </si>
  <si>
    <t>4h4p</t>
  </si>
  <si>
    <t>4h5p</t>
  </si>
  <si>
    <t>4h7p</t>
  </si>
  <si>
    <t>3h55p</t>
  </si>
  <si>
    <t>9h45p</t>
  </si>
  <si>
    <t>9h22p</t>
  </si>
  <si>
    <t>9h3p</t>
  </si>
  <si>
    <t>11h10p</t>
  </si>
  <si>
    <t>11h6p</t>
  </si>
  <si>
    <t>6h23p</t>
  </si>
  <si>
    <t>2h8p</t>
  </si>
  <si>
    <t>10h22p</t>
  </si>
  <si>
    <t>2h14p</t>
  </si>
  <si>
    <t>14h43p</t>
  </si>
  <si>
    <t>9h38p</t>
  </si>
  <si>
    <t>9h15p</t>
  </si>
  <si>
    <t>15h53p</t>
  </si>
  <si>
    <t>12h45p</t>
  </si>
  <si>
    <t>12h55p</t>
  </si>
  <si>
    <t>2h43p</t>
  </si>
  <si>
    <t>9h20p</t>
  </si>
  <si>
    <t>5h7p</t>
  </si>
  <si>
    <t>7h4p</t>
  </si>
  <si>
    <t>11h25p</t>
  </si>
  <si>
    <t>3h47p</t>
  </si>
  <si>
    <t>10h6p</t>
  </si>
  <si>
    <t>7h20p</t>
  </si>
  <si>
    <t>6h11p</t>
  </si>
  <si>
    <t>15h4p</t>
  </si>
  <si>
    <t>7h18p</t>
  </si>
  <si>
    <t>12h34p</t>
  </si>
  <si>
    <t>9h29p</t>
  </si>
  <si>
    <t>11h46p</t>
  </si>
  <si>
    <t>9h50p</t>
  </si>
  <si>
    <t>8h44p</t>
  </si>
  <si>
    <t>6h41p</t>
  </si>
  <si>
    <t>1h38p</t>
  </si>
  <si>
    <t>7h12p</t>
  </si>
  <si>
    <t>9h11p</t>
  </si>
  <si>
    <t>9h27p</t>
  </si>
  <si>
    <t>11h14p</t>
  </si>
  <si>
    <t>9h51p</t>
  </si>
  <si>
    <t>9h14p</t>
  </si>
  <si>
    <t>5h31p</t>
  </si>
  <si>
    <t>6h14p</t>
  </si>
  <si>
    <t>3h41p</t>
  </si>
  <si>
    <t>6h5p</t>
  </si>
  <si>
    <t>2h20p</t>
  </si>
  <si>
    <t>1h8p</t>
  </si>
  <si>
    <t>9h28p</t>
  </si>
  <si>
    <t>9h12p</t>
  </si>
  <si>
    <t>10h41p</t>
  </si>
  <si>
    <t>5h53p</t>
  </si>
  <si>
    <t>6h2p</t>
  </si>
  <si>
    <t>2h48p</t>
  </si>
  <si>
    <t>6h8p</t>
  </si>
  <si>
    <t>9h37p</t>
  </si>
  <si>
    <t>6h57p</t>
  </si>
  <si>
    <t>10h29p</t>
  </si>
  <si>
    <t>6h37p</t>
  </si>
  <si>
    <t>7h7p</t>
  </si>
  <si>
    <t>9h7p</t>
  </si>
  <si>
    <t>15h55p</t>
  </si>
  <si>
    <t>3h13p</t>
  </si>
  <si>
    <t>4h15p</t>
  </si>
  <si>
    <t>3h50p</t>
  </si>
  <si>
    <t>3h49p</t>
  </si>
  <si>
    <t>6h47p</t>
  </si>
  <si>
    <t>2h7p</t>
  </si>
  <si>
    <t>2h30p</t>
  </si>
  <si>
    <t>2h5p</t>
  </si>
  <si>
    <t>1h5p</t>
  </si>
  <si>
    <t>2h41p</t>
  </si>
  <si>
    <t>4h32p</t>
  </si>
  <si>
    <t>2h16p</t>
  </si>
  <si>
    <t>4h26p</t>
  </si>
  <si>
    <t>8h51p</t>
  </si>
  <si>
    <t>10h24p</t>
  </si>
  <si>
    <t>10h15p</t>
  </si>
  <si>
    <t>5h16p</t>
  </si>
  <si>
    <t>9h57p</t>
  </si>
  <si>
    <t>10h18p</t>
  </si>
  <si>
    <t>9h9p</t>
  </si>
  <si>
    <t>2h12p</t>
  </si>
  <si>
    <t>2h57p</t>
  </si>
  <si>
    <t>9h49p</t>
  </si>
  <si>
    <t>9h19p</t>
  </si>
  <si>
    <t>6h55p</t>
  </si>
  <si>
    <t>3h34p</t>
  </si>
  <si>
    <t>2h59p</t>
  </si>
  <si>
    <t>1h26p</t>
  </si>
  <si>
    <t>1h37p</t>
  </si>
  <si>
    <t>2h39p</t>
  </si>
  <si>
    <t>2h15p</t>
  </si>
  <si>
    <t>1h35p</t>
  </si>
  <si>
    <t>1h28p</t>
  </si>
  <si>
    <t>2h42p</t>
  </si>
  <si>
    <t>6h43p</t>
  </si>
  <si>
    <t>7h37p</t>
  </si>
  <si>
    <t>6h18p</t>
  </si>
  <si>
    <t>2h53p</t>
  </si>
  <si>
    <t>3h20p</t>
  </si>
  <si>
    <t>2h24p</t>
  </si>
  <si>
    <t>3h36p</t>
  </si>
  <si>
    <t>8h43p</t>
  </si>
  <si>
    <t>9h6p</t>
  </si>
  <si>
    <t>9h1p</t>
  </si>
  <si>
    <t>3h31p</t>
  </si>
  <si>
    <t>4h13p</t>
  </si>
  <si>
    <t>3h5p</t>
  </si>
  <si>
    <t>3h8p</t>
  </si>
  <si>
    <t>3h19p</t>
  </si>
  <si>
    <t>4h6p</t>
  </si>
  <si>
    <t>2h54p</t>
  </si>
  <si>
    <t>2h25p</t>
  </si>
  <si>
    <t>2h9p</t>
  </si>
  <si>
    <t>6h9p</t>
  </si>
  <si>
    <t>5h8p</t>
  </si>
  <si>
    <t>2h52p</t>
  </si>
  <si>
    <t>Cấn trừ chi phí đồng phục</t>
  </si>
  <si>
    <t>Trừ công</t>
  </si>
  <si>
    <t>Trùng trừ công</t>
  </si>
  <si>
    <t>Số giờ lễ ca ngày ( x 3 )</t>
  </si>
  <si>
    <t>Số giờ lễ ca đêm ( x 3 )</t>
  </si>
  <si>
    <t>Thời gian đào tạo</t>
  </si>
  <si>
    <t>Giờ đào tạo</t>
  </si>
  <si>
    <t>SL đánh giá
Tháng 06/26</t>
  </si>
  <si>
    <t>Thưởng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</si>
</sst>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/mm/yyyy"/>
    <numFmt numFmtId="166" formatCode="d/m/yyyy"/>
    <numFmt numFmtId="167" formatCode="#,##0.0"/>
  </numFmts>
  <fonts count="27">
    <font>
      <sz val="10"/>
      <color rgb="FF000000"/>
      <name val="Calibri"/>
      <scheme val="minor"/>
    </font>
    <font>
      <b/>
      <i/>
      <sz val="12"/>
      <color theme="1"/>
      <name val="Times New Roman"/>
    </font>
    <font>
      <b/>
      <sz val="12"/>
      <color theme="1"/>
      <name val="Calibri"/>
    </font>
    <font>
      <b/>
      <i/>
      <sz val="12"/>
      <color rgb="FF000000"/>
      <name val="Times New Roman"/>
    </font>
    <font>
      <b/>
      <sz val="12"/>
      <color theme="1"/>
      <name val="Times New Roman"/>
    </font>
    <font>
      <b/>
      <i/>
      <sz val="12"/>
      <color rgb="FFFF0000"/>
      <name val="Times New Roman"/>
    </font>
    <font>
      <sz val="12"/>
      <color theme="1"/>
      <name val="Times New Roman"/>
    </font>
    <font>
      <sz val="12"/>
      <color theme="1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</font>
    <font>
      <sz val="12"/>
      <color rgb="FF15171A"/>
      <name val="Times New Roman"/>
    </font>
    <font>
      <u/>
      <sz val="12"/>
      <color theme="1"/>
      <name val="Times New Roman"/>
    </font>
    <font>
      <sz val="10"/>
      <color theme="1"/>
      <name val="Calibri"/>
      <scheme val="minor"/>
    </font>
    <font>
      <sz val="11"/>
      <color rgb="FF15171A"/>
      <name val="Inter"/>
    </font>
    <font>
      <i/>
      <sz val="12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color rgb="FF000000"/>
      <name val="Calibri"/>
    </font>
    <font>
      <b/>
      <sz val="12"/>
      <color rgb="FFFFFFFF"/>
      <name val="Times New Roman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  <font>
      <b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0">
    <xf numFmtId="0" fontId="0" fillId="0" borderId="0" xfId="0" applyBorder="1"/>
    <xf numFmtId="0" fontId="1" fillId="2" borderId="1" xfId="0" applyFont="1" applyFill="1" applyAlignment="1">
      <alignment horizontal="center" vertical="center"/>
    </xf>
    <xf numFmtId="0" fontId="2" fillId="3" borderId="1" xfId="0" applyFont="1" applyFill="1" applyAlignment="1">
      <alignment horizontal="center"/>
    </xf>
    <xf numFmtId="0" fontId="3" fillId="2" borderId="1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2" borderId="1" xfId="0" applyFont="1" applyFill="1" applyAlignment="1">
      <alignment horizontal="center" vertical="center" wrapText="1"/>
    </xf>
    <xf numFmtId="0" fontId="2" fillId="5" borderId="1" xfId="0" applyFont="1" applyFill="1" applyAlignment="1">
      <alignment horizontal="center"/>
    </xf>
    <xf numFmtId="0" fontId="6" fillId="0" borderId="0" xfId="0" applyFont="1" applyBorder="1"/>
    <xf numFmtId="0" fontId="7" fillId="0" borderId="4" xfId="0" applyFont="1" applyBorder="1"/>
    <xf numFmtId="3" fontId="7" fillId="0" borderId="4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3" fontId="8" fillId="0" borderId="0" xfId="0" applyNumberFormat="1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3" fontId="6" fillId="0" borderId="0" xfId="0" applyNumberFormat="1" applyFont="1" applyBorder="1"/>
    <xf numFmtId="0" fontId="1" fillId="4" borderId="4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/>
    </xf>
    <xf numFmtId="0" fontId="3" fillId="4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7" fillId="0" borderId="0" xfId="0" applyFont="1" applyBorder="1"/>
    <xf numFmtId="0" fontId="10" fillId="8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6" fillId="5" borderId="1" xfId="0" applyFont="1" applyFill="1"/>
    <xf numFmtId="0" fontId="1" fillId="9" borderId="4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7" borderId="4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center"/>
    </xf>
    <xf numFmtId="0" fontId="1" fillId="7" borderId="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3" fontId="6" fillId="0" borderId="0" xfId="0" applyNumberFormat="1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center" vertical="center"/>
    </xf>
    <xf numFmtId="3" fontId="1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3" fontId="6" fillId="5" borderId="1" xfId="0" applyNumberFormat="1" applyFont="1" applyFill="1" applyAlignment="1">
      <alignment horizontal="center" vertical="center"/>
    </xf>
    <xf numFmtId="0" fontId="13" fillId="0" borderId="0" xfId="0" applyFont="1" applyBorder="1"/>
    <xf numFmtId="10" fontId="6" fillId="0" borderId="0" xfId="0" applyNumberFormat="1" applyFont="1" applyBorder="1" applyAlignment="1">
      <alignment horizontal="center"/>
    </xf>
    <xf numFmtId="9" fontId="6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64" fontId="6" fillId="0" borderId="0" xfId="0" applyNumberFormat="1" applyFont="1" applyBorder="1" applyAlignment="1">
      <alignment horizontal="center"/>
    </xf>
    <xf numFmtId="3" fontId="6" fillId="5" borderId="1" xfId="0" applyNumberFormat="1" applyFont="1" applyFill="1"/>
    <xf numFmtId="0" fontId="6" fillId="5" borderId="1" xfId="0" applyFont="1" applyFill="1" applyAlignment="1">
      <alignment horizontal="center"/>
    </xf>
    <xf numFmtId="3" fontId="6" fillId="5" borderId="1" xfId="0" applyNumberFormat="1" applyFont="1" applyFill="1" applyAlignment="1">
      <alignment horizontal="center"/>
    </xf>
    <xf numFmtId="0" fontId="14" fillId="0" borderId="0" xfId="0" applyFont="1" applyBorder="1"/>
    <xf numFmtId="0" fontId="1" fillId="10" borderId="1" xfId="0" applyFont="1" applyFill="1" applyAlignment="1">
      <alignment horizontal="center" vertical="center"/>
    </xf>
    <xf numFmtId="3" fontId="1" fillId="10" borderId="1" xfId="0" applyNumberFormat="1" applyFont="1" applyFill="1" applyAlignment="1">
      <alignment horizontal="center" vertical="center" wrapText="1"/>
    </xf>
    <xf numFmtId="0" fontId="4" fillId="5" borderId="1" xfId="0" applyFont="1" applyFill="1" applyAlignment="1">
      <alignment horizontal="center" vertical="center" wrapText="1"/>
    </xf>
    <xf numFmtId="0" fontId="4" fillId="2" borderId="1" xfId="0" applyFont="1" applyFill="1" applyAlignment="1">
      <alignment horizontal="center" vertical="center" wrapText="1"/>
    </xf>
    <xf numFmtId="3" fontId="4" fillId="2" borderId="1" xfId="0" applyNumberFormat="1" applyFont="1" applyFill="1" applyAlignment="1">
      <alignment horizontal="center" vertical="center" wrapText="1"/>
    </xf>
    <xf numFmtId="0" fontId="6" fillId="2" borderId="1" xfId="0" applyFont="1" applyFill="1" applyAlignment="1">
      <alignment horizontal="center" vertical="center" wrapText="1"/>
    </xf>
    <xf numFmtId="0" fontId="1" fillId="11" borderId="1" xfId="0" applyFont="1" applyFill="1" applyAlignment="1">
      <alignment horizontal="center" vertical="center"/>
    </xf>
    <xf numFmtId="0" fontId="4" fillId="11" borderId="1" xfId="0" applyFont="1" applyFill="1" applyAlignment="1">
      <alignment horizontal="center" vertical="center"/>
    </xf>
    <xf numFmtId="3" fontId="6" fillId="0" borderId="0" xfId="0" applyNumberFormat="1" applyFont="1" applyBorder="1" applyAlignment="1">
      <alignment horizontal="center" vertical="center" wrapText="1"/>
    </xf>
    <xf numFmtId="3" fontId="4" fillId="11" borderId="1" xfId="0" applyNumberFormat="1" applyFont="1" applyFill="1" applyAlignment="1">
      <alignment horizontal="center" vertical="center"/>
    </xf>
    <xf numFmtId="0" fontId="6" fillId="5" borderId="1" xfId="0" applyFont="1" applyFill="1" applyAlignment="1">
      <alignment horizontal="center" vertical="center"/>
    </xf>
    <xf numFmtId="0" fontId="8" fillId="2" borderId="1" xfId="0" applyFont="1" applyFill="1" applyAlignment="1">
      <alignment horizontal="left"/>
    </xf>
    <xf numFmtId="3" fontId="8" fillId="2" borderId="1" xfId="0" applyNumberFormat="1" applyFont="1" applyFill="1" applyAlignment="1">
      <alignment horizontal="center"/>
    </xf>
    <xf numFmtId="3" fontId="6" fillId="2" borderId="1" xfId="0" applyNumberFormat="1" applyFont="1" applyFill="1" applyAlignment="1">
      <alignment horizontal="center"/>
    </xf>
    <xf numFmtId="0" fontId="6" fillId="2" borderId="1" xfId="0" applyFont="1" applyFill="1" applyAlignment="1">
      <alignment horizontal="left"/>
    </xf>
    <xf numFmtId="165" fontId="4" fillId="5" borderId="1" xfId="0" applyNumberFormat="1" applyFont="1" applyFill="1" applyAlignment="1">
      <alignment horizontal="center" vertical="center" wrapText="1"/>
    </xf>
    <xf numFmtId="3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5" borderId="1" xfId="0" applyFont="1" applyFill="1" applyAlignment="1">
      <alignment horizontal="center" vertical="center" wrapText="1"/>
    </xf>
    <xf numFmtId="0" fontId="6" fillId="2" borderId="1" xfId="0" applyFont="1" applyFill="1"/>
    <xf numFmtId="3" fontId="6" fillId="12" borderId="1" xfId="0" applyNumberFormat="1" applyFont="1" applyFill="1" applyAlignment="1">
      <alignment horizontal="center" vertical="center"/>
    </xf>
    <xf numFmtId="0" fontId="1" fillId="10" borderId="1" xfId="0" applyFont="1" applyFill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3" fontId="12" fillId="5" borderId="1" xfId="0" applyNumberFormat="1" applyFont="1" applyFill="1" applyAlignment="1">
      <alignment horizontal="center"/>
    </xf>
    <xf numFmtId="0" fontId="12" fillId="0" borderId="0" xfId="0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2" fontId="6" fillId="2" borderId="1" xfId="0" applyNumberFormat="1" applyFont="1" applyFill="1" applyAlignment="1">
      <alignment horizontal="center"/>
    </xf>
    <xf numFmtId="3" fontId="12" fillId="0" borderId="0" xfId="0" applyNumberFormat="1" applyFont="1" applyBorder="1" applyAlignment="1">
      <alignment horizontal="center"/>
    </xf>
    <xf numFmtId="3" fontId="15" fillId="13" borderId="8" xfId="0" applyNumberFormat="1" applyFont="1" applyFill="1" applyBorder="1" applyAlignment="1">
      <alignment horizontal="center"/>
    </xf>
    <xf numFmtId="0" fontId="15" fillId="5" borderId="8" xfId="0" applyFont="1" applyFill="1" applyBorder="1"/>
    <xf numFmtId="3" fontId="15" fillId="5" borderId="8" xfId="0" applyNumberFormat="1" applyFont="1" applyFill="1" applyBorder="1" applyAlignment="1">
      <alignment horizontal="center"/>
    </xf>
    <xf numFmtId="3" fontId="15" fillId="5" borderId="1" xfId="0" applyNumberFormat="1" applyFont="1" applyFill="1" applyAlignment="1">
      <alignment horizontal="center"/>
    </xf>
    <xf numFmtId="0" fontId="6" fillId="14" borderId="1" xfId="0" applyFont="1" applyFill="1" applyAlignment="1">
      <alignment horizontal="center" vertical="center" wrapText="1"/>
    </xf>
    <xf numFmtId="0" fontId="6" fillId="14" borderId="1" xfId="0" applyFont="1" applyFill="1"/>
    <xf numFmtId="0" fontId="12" fillId="5" borderId="9" xfId="0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0" fontId="6" fillId="2" borderId="1" xfId="0" applyFont="1" applyFill="1" applyAlignment="1">
      <alignment horizontal="left" vertical="center" wrapText="1"/>
    </xf>
    <xf numFmtId="2" fontId="6" fillId="2" borderId="1" xfId="0" applyNumberFormat="1" applyFont="1" applyFill="1" applyAlignment="1">
      <alignment horizontal="center" vertical="center"/>
    </xf>
    <xf numFmtId="3" fontId="6" fillId="2" borderId="1" xfId="0" applyNumberFormat="1" applyFont="1" applyFill="1" applyAlignment="1">
      <alignment horizontal="center" vertical="center"/>
    </xf>
    <xf numFmtId="3" fontId="6" fillId="2" borderId="1" xfId="0" applyNumberFormat="1" applyFont="1" applyFill="1" applyAlignment="1">
      <alignment horizontal="left" vertical="center" wrapText="1"/>
    </xf>
    <xf numFmtId="2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1" fillId="6" borderId="1" xfId="0" applyFont="1" applyFill="1" applyAlignment="1">
      <alignment horizontal="center" vertical="center" wrapText="1"/>
    </xf>
    <xf numFmtId="2" fontId="1" fillId="15" borderId="1" xfId="0" applyNumberFormat="1" applyFont="1" applyFill="1" applyAlignment="1">
      <alignment horizontal="center" vertical="center" wrapText="1"/>
    </xf>
    <xf numFmtId="0" fontId="1" fillId="5" borderId="1" xfId="0" applyFont="1" applyFill="1" applyAlignment="1">
      <alignment horizontal="center" vertical="center" wrapText="1"/>
    </xf>
    <xf numFmtId="2" fontId="1" fillId="10" borderId="1" xfId="0" applyNumberFormat="1" applyFont="1" applyFill="1" applyAlignment="1">
      <alignment horizontal="center" vertical="center" wrapText="1"/>
    </xf>
    <xf numFmtId="4" fontId="1" fillId="5" borderId="1" xfId="0" applyNumberFormat="1" applyFont="1" applyFill="1" applyAlignment="1">
      <alignment horizontal="center" vertical="center" wrapText="1"/>
    </xf>
    <xf numFmtId="0" fontId="1" fillId="5" borderId="1" xfId="0" applyFont="1" applyFill="1" applyAlignment="1">
      <alignment horizontal="center" vertical="center"/>
    </xf>
    <xf numFmtId="0" fontId="16" fillId="0" borderId="0" xfId="0" applyFont="1" applyBorder="1"/>
    <xf numFmtId="0" fontId="6" fillId="2" borderId="1" xfId="0" applyFont="1" applyFill="1" applyAlignment="1">
      <alignment horizontal="center"/>
    </xf>
    <xf numFmtId="0" fontId="6" fillId="5" borderId="1" xfId="0" applyFont="1" applyFill="1" applyAlignment="1">
      <alignment horizontal="left" vertical="center"/>
    </xf>
    <xf numFmtId="2" fontId="6" fillId="15" borderId="1" xfId="0" applyNumberFormat="1" applyFont="1" applyFill="1" applyAlignment="1">
      <alignment horizontal="center" vertical="center" wrapText="1"/>
    </xf>
    <xf numFmtId="2" fontId="6" fillId="5" borderId="1" xfId="0" applyNumberFormat="1" applyFont="1" applyFill="1" applyAlignment="1">
      <alignment horizontal="center" vertical="center" wrapText="1"/>
    </xf>
    <xf numFmtId="4" fontId="6" fillId="5" borderId="1" xfId="0" applyNumberFormat="1" applyFont="1" applyFill="1" applyAlignment="1">
      <alignment horizontal="center" vertical="center" wrapText="1"/>
    </xf>
    <xf numFmtId="4" fontId="6" fillId="0" borderId="0" xfId="0" applyNumberFormat="1" applyFont="1" applyBorder="1" applyAlignment="1">
      <alignment horizontal="center"/>
    </xf>
    <xf numFmtId="0" fontId="6" fillId="7" borderId="1" xfId="0" applyFont="1" applyFill="1"/>
    <xf numFmtId="4" fontId="1" fillId="16" borderId="1" xfId="0" applyNumberFormat="1" applyFont="1" applyFill="1" applyAlignment="1">
      <alignment horizontal="center" vertical="center" wrapText="1"/>
    </xf>
    <xf numFmtId="0" fontId="1" fillId="8" borderId="1" xfId="0" applyFont="1" applyFill="1" applyAlignment="1">
      <alignment horizontal="center" vertical="center" wrapText="1"/>
    </xf>
    <xf numFmtId="4" fontId="1" fillId="10" borderId="1" xfId="0" applyNumberFormat="1" applyFont="1" applyFill="1" applyAlignment="1">
      <alignment horizontal="center" vertical="center" wrapText="1"/>
    </xf>
    <xf numFmtId="165" fontId="6" fillId="5" borderId="1" xfId="0" applyNumberFormat="1" applyFont="1" applyFill="1" applyAlignment="1">
      <alignment horizontal="center" vertical="center" wrapText="1"/>
    </xf>
    <xf numFmtId="2" fontId="6" fillId="0" borderId="0" xfId="0" applyNumberFormat="1" applyFont="1" applyBorder="1"/>
    <xf numFmtId="4" fontId="6" fillId="0" borderId="0" xfId="0" applyNumberFormat="1" applyFont="1" applyBorder="1"/>
    <xf numFmtId="4" fontId="6" fillId="16" borderId="1" xfId="0" applyNumberFormat="1" applyFont="1" applyFill="1" applyAlignment="1">
      <alignment horizontal="center"/>
    </xf>
    <xf numFmtId="0" fontId="6" fillId="11" borderId="1" xfId="0" applyFont="1" applyFill="1" applyAlignment="1">
      <alignment horizontal="center"/>
    </xf>
    <xf numFmtId="0" fontId="6" fillId="8" borderId="1" xfId="0" applyFont="1" applyFill="1" applyAlignment="1">
      <alignment horizontal="center"/>
    </xf>
    <xf numFmtId="3" fontId="1" fillId="7" borderId="1" xfId="0" applyNumberFormat="1" applyFont="1" applyFill="1" applyAlignment="1">
      <alignment horizontal="center" vertical="center" wrapText="1"/>
    </xf>
    <xf numFmtId="3" fontId="1" fillId="7" borderId="1" xfId="0" applyNumberFormat="1" applyFont="1" applyFill="1" applyAlignment="1">
      <alignment horizontal="center" vertical="center"/>
    </xf>
    <xf numFmtId="0" fontId="1" fillId="4" borderId="1" xfId="0" applyFont="1" applyFill="1" applyAlignment="1">
      <alignment horizontal="center" vertical="center"/>
    </xf>
    <xf numFmtId="0" fontId="4" fillId="0" borderId="0" xfId="0" applyFont="1" applyBorder="1" applyAlignment="1">
      <alignment vertical="center"/>
    </xf>
    <xf numFmtId="3" fontId="8" fillId="0" borderId="0" xfId="0" applyNumberFormat="1" applyFont="1" applyBorder="1" applyAlignment="1">
      <alignment horizontal="center"/>
    </xf>
    <xf numFmtId="3" fontId="6" fillId="5" borderId="1" xfId="0" applyNumberFormat="1" applyFont="1" applyFill="1" applyAlignment="1">
      <alignment horizontal="center" vertical="center" wrapText="1"/>
    </xf>
    <xf numFmtId="3" fontId="6" fillId="0" borderId="0" xfId="0" applyNumberFormat="1" applyFont="1" applyBorder="1" applyAlignment="1">
      <alignment horizontal="center" wrapText="1"/>
    </xf>
    <xf numFmtId="165" fontId="6" fillId="0" borderId="0" xfId="0" applyNumberFormat="1" applyFont="1" applyBorder="1" applyAlignment="1">
      <alignment horizontal="center" wrapText="1"/>
    </xf>
    <xf numFmtId="166" fontId="6" fillId="5" borderId="1" xfId="0" applyNumberFormat="1" applyFont="1" applyFill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 vertical="center"/>
    </xf>
    <xf numFmtId="0" fontId="18" fillId="5" borderId="1" xfId="0" applyFont="1" applyFill="1" applyAlignment="1">
      <alignment horizontal="center"/>
    </xf>
    <xf numFmtId="0" fontId="6" fillId="5" borderId="1" xfId="0" applyFont="1" applyFill="1" applyAlignment="1">
      <alignment horizontal="left" vertical="center" wrapText="1"/>
    </xf>
    <xf numFmtId="0" fontId="19" fillId="0" borderId="0" xfId="0" applyFont="1" applyBorder="1" applyAlignment="1">
      <alignment horizontal="center" vertical="center" wrapText="1"/>
    </xf>
    <xf numFmtId="4" fontId="4" fillId="0" borderId="0" xfId="0" applyNumberFormat="1" applyFont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 wrapText="1"/>
    </xf>
    <xf numFmtId="166" fontId="6" fillId="0" borderId="0" xfId="0" applyNumberFormat="1" applyFont="1" applyBorder="1" applyAlignment="1">
      <alignment horizontal="center"/>
    </xf>
    <xf numFmtId="0" fontId="1" fillId="7" borderId="1" xfId="0" applyFont="1" applyFill="1" applyAlignment="1">
      <alignment horizontal="center" vertical="center" wrapText="1"/>
    </xf>
    <xf numFmtId="0" fontId="6" fillId="11" borderId="1" xfId="0" applyFont="1" applyFill="1" applyAlignment="1">
      <alignment horizontal="center" vertical="center" wrapText="1"/>
    </xf>
    <xf numFmtId="0" fontId="6" fillId="8" borderId="1" xfId="0" applyFont="1" applyFill="1" applyAlignment="1">
      <alignment horizontal="center" vertical="center" wrapText="1"/>
    </xf>
    <xf numFmtId="0" fontId="6" fillId="11" borderId="1" xfId="0" applyFont="1" applyFill="1"/>
    <xf numFmtId="0" fontId="6" fillId="8" borderId="1" xfId="0" applyFont="1" applyFill="1"/>
    <xf numFmtId="3" fontId="4" fillId="17" borderId="1" xfId="0" applyNumberFormat="1" applyFont="1" applyFill="1" applyAlignment="1">
      <alignment horizontal="center" vertical="center" wrapText="1"/>
    </xf>
    <xf numFmtId="3" fontId="4" fillId="8" borderId="1" xfId="0" applyNumberFormat="1" applyFont="1" applyFill="1" applyAlignment="1">
      <alignment horizontal="center" vertical="center"/>
    </xf>
    <xf numFmtId="3" fontId="4" fillId="8" borderId="1" xfId="0" applyNumberFormat="1" applyFont="1" applyFill="1" applyAlignment="1">
      <alignment horizontal="left" vertical="center"/>
    </xf>
    <xf numFmtId="4" fontId="4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 wrapText="1"/>
    </xf>
    <xf numFmtId="3" fontId="4" fillId="8" borderId="1" xfId="0" applyNumberFormat="1" applyFont="1" applyFill="1" applyAlignment="1">
      <alignment horizontal="center" vertical="center" wrapText="1"/>
    </xf>
    <xf numFmtId="2" fontId="6" fillId="0" borderId="0" xfId="0" applyNumberFormat="1" applyFont="1" applyBorder="1" applyAlignment="1">
      <alignment horizontal="left" vertical="center"/>
    </xf>
    <xf numFmtId="4" fontId="11" fillId="0" borderId="0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" fontId="4" fillId="12" borderId="1" xfId="0" applyNumberFormat="1" applyFont="1" applyFill="1" applyAlignment="1">
      <alignment horizontal="center" vertical="center"/>
    </xf>
    <xf numFmtId="2" fontId="6" fillId="0" borderId="0" xfId="0" applyNumberFormat="1" applyFont="1" applyBorder="1" applyAlignment="1">
      <alignment horizontal="left" vertical="center" wrapText="1"/>
    </xf>
    <xf numFmtId="2" fontId="1" fillId="7" borderId="1" xfId="0" applyNumberFormat="1" applyFont="1" applyFill="1" applyAlignment="1">
      <alignment horizontal="center" vertical="center" wrapText="1"/>
    </xf>
    <xf numFmtId="2" fontId="4" fillId="5" borderId="1" xfId="0" applyNumberFormat="1" applyFont="1" applyFill="1" applyAlignment="1">
      <alignment horizontal="center" vertical="center" wrapText="1"/>
    </xf>
    <xf numFmtId="0" fontId="4" fillId="0" borderId="0" xfId="0" applyFont="1" applyBorder="1"/>
    <xf numFmtId="0" fontId="8" fillId="18" borderId="4" xfId="0" applyFont="1" applyFill="1" applyBorder="1"/>
    <xf numFmtId="0" fontId="21" fillId="0" borderId="3" xfId="0" applyFont="1" applyBorder="1" applyAlignment="1">
      <alignment horizontal="center"/>
    </xf>
    <xf numFmtId="2" fontId="6" fillId="7" borderId="1" xfId="0" applyNumberFormat="1" applyFont="1" applyFill="1" applyAlignment="1">
      <alignment horizontal="center" wrapText="1"/>
    </xf>
    <xf numFmtId="0" fontId="8" fillId="0" borderId="4" xfId="0" applyFont="1" applyBorder="1"/>
    <xf numFmtId="0" fontId="8" fillId="19" borderId="4" xfId="0" applyFont="1" applyFill="1" applyBorder="1"/>
    <xf numFmtId="0" fontId="8" fillId="0" borderId="11" xfId="0" applyFont="1" applyBorder="1"/>
    <xf numFmtId="0" fontId="8" fillId="0" borderId="12" xfId="0" applyFont="1" applyBorder="1"/>
    <xf numFmtId="0" fontId="8" fillId="19" borderId="13" xfId="0" applyFont="1" applyFill="1" applyBorder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wrapText="1"/>
    </xf>
    <xf numFmtId="0" fontId="8" fillId="0" borderId="0" xfId="0" applyFont="1" applyBorder="1"/>
    <xf numFmtId="0" fontId="22" fillId="10" borderId="1" xfId="0" applyFont="1" applyFill="1" applyAlignment="1">
      <alignment horizontal="center" vertical="center"/>
    </xf>
    <xf numFmtId="2" fontId="22" fillId="10" borderId="1" xfId="0" applyNumberFormat="1" applyFont="1" applyFill="1" applyAlignment="1">
      <alignment horizontal="center" vertical="center" wrapText="1"/>
    </xf>
    <xf numFmtId="3" fontId="22" fillId="10" borderId="1" xfId="0" applyNumberFormat="1" applyFont="1" applyFill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5" borderId="1" xfId="0" applyFont="1" applyFill="1" applyAlignment="1">
      <alignment horizontal="center" vertical="center" wrapText="1"/>
    </xf>
    <xf numFmtId="0" fontId="24" fillId="0" borderId="0" xfId="0" applyFont="1" applyBorder="1"/>
    <xf numFmtId="0" fontId="25" fillId="0" borderId="4" xfId="0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1" fontId="24" fillId="0" borderId="0" xfId="0" applyNumberFormat="1" applyFont="1" applyBorder="1" applyAlignment="1">
      <alignment horizontal="center"/>
    </xf>
    <xf numFmtId="0" fontId="23" fillId="5" borderId="1" xfId="0" applyFont="1" applyFill="1" applyAlignment="1">
      <alignment horizontal="center" vertical="center"/>
    </xf>
    <xf numFmtId="0" fontId="24" fillId="0" borderId="0" xfId="0" applyFont="1" applyBorder="1" applyAlignment="1">
      <alignment horizontal="center"/>
    </xf>
    <xf numFmtId="0" fontId="24" fillId="5" borderId="1" xfId="0" applyFont="1" applyFill="1" applyAlignment="1">
      <alignment horizontal="center" vertical="center" wrapText="1"/>
    </xf>
    <xf numFmtId="2" fontId="6" fillId="16" borderId="1" xfId="0" applyNumberFormat="1" applyFont="1" applyFill="1" applyAlignment="1">
      <alignment horizontal="center" wrapText="1"/>
    </xf>
    <xf numFmtId="2" fontId="6" fillId="16" borderId="1" xfId="0" applyNumberFormat="1" applyFont="1" applyFill="1"/>
    <xf numFmtId="2" fontId="24" fillId="5" borderId="1" xfId="0" applyNumberFormat="1" applyFont="1" applyFill="1" applyAlignment="1">
      <alignment horizontal="center" vertical="center" wrapText="1"/>
    </xf>
    <xf numFmtId="3" fontId="24" fillId="5" borderId="1" xfId="0" applyNumberFormat="1" applyFont="1" applyFill="1" applyAlignment="1">
      <alignment horizontal="center" vertical="center" wrapText="1"/>
    </xf>
    <xf numFmtId="2" fontId="24" fillId="0" borderId="0" xfId="0" applyNumberFormat="1" applyFont="1" applyBorder="1"/>
    <xf numFmtId="3" fontId="24" fillId="0" borderId="0" xfId="0" applyNumberFormat="1" applyFont="1" applyBorder="1"/>
    <xf numFmtId="0" fontId="1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167" fontId="6" fillId="0" borderId="0" xfId="0" applyNumberFormat="1" applyFont="1" applyBorder="1" applyAlignment="1">
      <alignment horizontal="center" vertical="center"/>
    </xf>
    <xf numFmtId="3" fontId="14" fillId="0" borderId="0" xfId="0" applyNumberFormat="1" applyFont="1" applyBorder="1"/>
    <xf numFmtId="167" fontId="6" fillId="0" borderId="0" xfId="0" applyNumberFormat="1" applyFont="1" applyBorder="1" applyAlignment="1">
      <alignment horizontal="center" vertical="center" wrapText="1"/>
    </xf>
    <xf numFmtId="4" fontId="4" fillId="17" borderId="1" xfId="0" applyNumberFormat="1" applyFont="1" applyFill="1" applyAlignment="1">
      <alignment horizontal="center" vertical="center" wrapText="1"/>
    </xf>
    <xf numFmtId="4" fontId="4" fillId="8" borderId="1" xfId="0" applyNumberFormat="1" applyFont="1" applyFill="1" applyAlignment="1">
      <alignment horizontal="center" vertical="center"/>
    </xf>
    <xf numFmtId="167" fontId="4" fillId="8" borderId="1" xfId="0" applyNumberFormat="1" applyFont="1" applyFill="1" applyAlignment="1">
      <alignment horizontal="center" vertical="center"/>
    </xf>
    <xf numFmtId="4" fontId="20" fillId="0" borderId="1" xfId="0" applyNumberFormat="1" applyFont="1" applyAlignment="1">
      <alignment horizontal="center" vertical="center"/>
    </xf>
    <xf numFmtId="3" fontId="6" fillId="0" borderId="1" xfId="0" applyNumberFormat="1" applyFont="1" applyAlignment="1">
      <alignment horizontal="center" vertical="center" wrapText="1"/>
    </xf>
    <xf numFmtId="4" fontId="6" fillId="0" borderId="1" xfId="0" applyNumberFormat="1" applyFont="1" applyAlignment="1">
      <alignment horizontal="center" vertical="center" wrapText="1"/>
    </xf>
    <xf numFmtId="4" fontId="6" fillId="0" borderId="1" xfId="0" applyNumberFormat="1" applyFont="1" applyAlignment="1">
      <alignment horizontal="center" vertical="center"/>
    </xf>
    <xf numFmtId="0" fontId="26" fillId="20" borderId="14" xfId="0" applyFont="1" applyFill="1" applyBorder="1" applyAlignment="1">
      <alignment horizontal="center" vertical="center" wrapText="1"/>
    </xf>
    <xf numFmtId="3" fontId="7" fillId="0" borderId="0" xfId="0" applyNumberFormat="1" applyFont="1" applyBorder="1"/>
    <xf numFmtId="0" fontId="7" fillId="0" borderId="14" xfId="0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0" fillId="0" borderId="14" xfId="0" applyNumberFormat="1" applyBorder="1"/>
    <xf numFmtId="0" fontId="7" fillId="0" borderId="14" xfId="0" applyFont="1" applyBorder="1"/>
    <xf numFmtId="0" fontId="26" fillId="21" borderId="14" xfId="0" applyFont="1" applyFill="1" applyBorder="1"/>
    <xf numFmtId="3" fontId="26" fillId="21" borderId="14" xfId="0" applyNumberFormat="1" applyFont="1" applyFill="1" applyBorder="1" applyAlignment="1">
      <alignment horizontal="center"/>
    </xf>
    <xf numFmtId="2" fontId="12" fillId="0" borderId="0" xfId="0" applyNumberFormat="1" applyFont="1" applyBorder="1" applyAlignment="1">
      <alignment horizontal="center"/>
    </xf>
    <xf numFmtId="2" fontId="6" fillId="2" borderId="1" xfId="0" applyNumberFormat="1" applyFont="1" applyFill="1" applyAlignment="1">
      <alignment horizontal="center" vertical="center" wrapText="1"/>
    </xf>
    <xf numFmtId="4" fontId="6" fillId="15" borderId="1" xfId="0" applyNumberFormat="1" applyFont="1" applyFill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5" fillId="7" borderId="1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33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4140625" defaultRowHeight="15" customHeight="1"/>
  <cols>
    <col min="1" max="1" width="24.6640625" customWidth="1"/>
    <col min="2" max="11" width="18.88671875" customWidth="1"/>
    <col min="12" max="12" width="23" hidden="1" customWidth="1"/>
    <col min="13" max="13" width="23" customWidth="1"/>
    <col min="14" max="14" width="18.109375" customWidth="1"/>
    <col min="15" max="16" width="23" customWidth="1"/>
  </cols>
  <sheetData>
    <row r="1" spans="1:28" ht="15.75" customHeight="1">
      <c r="A1" s="1" t="s">
        <v>0</v>
      </c>
      <c r="B1" s="3" t="s">
        <v>1</v>
      </c>
      <c r="C1" s="3" t="s">
        <v>2</v>
      </c>
      <c r="D1" s="3" t="s">
        <v>3</v>
      </c>
      <c r="E1" s="1"/>
      <c r="F1" s="1" t="s">
        <v>4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5" t="s">
        <v>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>
      <c r="A2" s="10" t="s">
        <v>15</v>
      </c>
      <c r="B2" s="11"/>
      <c r="C2" s="11"/>
      <c r="D2" s="11">
        <f t="shared" ref="D2:D12" si="0">B2-C2</f>
        <v>0</v>
      </c>
      <c r="E2" s="15">
        <f t="shared" ref="E2:E13" si="1">IF(B2&gt;0, D2/B2, 0)</f>
        <v>0</v>
      </c>
      <c r="F2" s="16" t="s">
        <v>16</v>
      </c>
      <c r="G2" s="17"/>
      <c r="H2" s="19"/>
      <c r="I2" s="19"/>
      <c r="J2" s="17"/>
      <c r="K2" s="17"/>
      <c r="L2" s="17"/>
      <c r="M2" s="17"/>
      <c r="N2" s="17"/>
      <c r="O2" s="17"/>
      <c r="P2" s="1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>
      <c r="A3" s="10" t="s">
        <v>17</v>
      </c>
      <c r="B3" s="11"/>
      <c r="C3" s="11"/>
      <c r="D3" s="11">
        <f t="shared" si="0"/>
        <v>0</v>
      </c>
      <c r="E3" s="15">
        <f t="shared" si="1"/>
        <v>0</v>
      </c>
      <c r="F3" s="16" t="s">
        <v>16</v>
      </c>
      <c r="G3" s="17"/>
      <c r="H3" s="19"/>
      <c r="I3" s="19"/>
      <c r="J3" s="17"/>
      <c r="K3" s="17"/>
      <c r="L3" s="17"/>
      <c r="M3" s="17"/>
      <c r="N3" s="17"/>
      <c r="O3" s="17"/>
      <c r="P3" s="1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>
      <c r="A4" s="10" t="s">
        <v>18</v>
      </c>
      <c r="B4" s="11"/>
      <c r="C4" s="11"/>
      <c r="D4" s="11">
        <f t="shared" si="0"/>
        <v>0</v>
      </c>
      <c r="E4" s="15">
        <f t="shared" si="1"/>
        <v>0</v>
      </c>
      <c r="F4" s="16" t="s">
        <v>16</v>
      </c>
      <c r="G4" s="17"/>
      <c r="H4" s="19"/>
      <c r="I4" s="19"/>
      <c r="J4" s="17"/>
      <c r="K4" s="17"/>
      <c r="L4" s="17"/>
      <c r="M4" s="17"/>
      <c r="N4" s="17"/>
      <c r="O4" s="17"/>
      <c r="P4" s="1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customHeight="1">
      <c r="A5" s="10" t="s">
        <v>19</v>
      </c>
      <c r="B5" s="11"/>
      <c r="C5" s="11"/>
      <c r="D5" s="11">
        <f t="shared" si="0"/>
        <v>0</v>
      </c>
      <c r="E5" s="15">
        <f t="shared" si="1"/>
        <v>0</v>
      </c>
      <c r="F5" s="16" t="s">
        <v>16</v>
      </c>
      <c r="G5" s="17"/>
      <c r="H5" s="19"/>
      <c r="I5" s="19"/>
      <c r="J5" s="17"/>
      <c r="K5" s="17"/>
      <c r="L5" s="17"/>
      <c r="M5" s="17"/>
      <c r="N5" s="17"/>
      <c r="O5" s="17"/>
      <c r="P5" s="17"/>
      <c r="Q5" s="7"/>
      <c r="R5" s="7"/>
      <c r="S5" s="28"/>
      <c r="T5" s="7"/>
      <c r="U5" s="7"/>
      <c r="V5" s="7"/>
      <c r="W5" s="7"/>
      <c r="X5" s="7"/>
      <c r="Y5" s="7"/>
      <c r="Z5" s="7"/>
      <c r="AA5" s="7"/>
      <c r="AB5" s="7"/>
    </row>
    <row r="6" spans="1:28" ht="15.75" customHeight="1">
      <c r="A6" s="10" t="s">
        <v>20</v>
      </c>
      <c r="B6" s="11"/>
      <c r="C6" s="11"/>
      <c r="D6" s="11">
        <f t="shared" si="0"/>
        <v>0</v>
      </c>
      <c r="E6" s="15">
        <f t="shared" si="1"/>
        <v>0</v>
      </c>
      <c r="F6" s="16" t="s">
        <v>16</v>
      </c>
      <c r="G6" s="17"/>
      <c r="H6" s="19"/>
      <c r="I6" s="19"/>
      <c r="J6" s="17"/>
      <c r="K6" s="17"/>
      <c r="L6" s="17"/>
      <c r="M6" s="17"/>
      <c r="N6" s="17"/>
      <c r="O6" s="17"/>
      <c r="P6" s="1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customHeight="1">
      <c r="A7" s="10" t="s">
        <v>21</v>
      </c>
      <c r="B7" s="11"/>
      <c r="C7" s="11"/>
      <c r="D7" s="11">
        <f t="shared" si="0"/>
        <v>0</v>
      </c>
      <c r="E7" s="15">
        <f t="shared" si="1"/>
        <v>0</v>
      </c>
      <c r="F7" s="16" t="s">
        <v>16</v>
      </c>
      <c r="G7" s="17"/>
      <c r="H7" s="19"/>
      <c r="I7" s="19"/>
      <c r="J7" s="17"/>
      <c r="K7" s="17"/>
      <c r="L7" s="17"/>
      <c r="M7" s="17"/>
      <c r="N7" s="17"/>
      <c r="O7" s="17"/>
      <c r="P7" s="1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customHeight="1">
      <c r="A8" s="10" t="s">
        <v>22</v>
      </c>
      <c r="B8" s="11"/>
      <c r="C8" s="11"/>
      <c r="D8" s="11">
        <f t="shared" si="0"/>
        <v>0</v>
      </c>
      <c r="E8" s="15">
        <f t="shared" si="1"/>
        <v>0</v>
      </c>
      <c r="F8" s="16" t="s">
        <v>16</v>
      </c>
      <c r="G8" s="17"/>
      <c r="H8" s="19"/>
      <c r="I8" s="19"/>
      <c r="J8" s="17"/>
      <c r="K8" s="17"/>
      <c r="L8" s="17"/>
      <c r="M8" s="17"/>
      <c r="N8" s="17"/>
      <c r="O8" s="17"/>
      <c r="P8" s="1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>
      <c r="A9" s="10" t="s">
        <v>23</v>
      </c>
      <c r="B9" s="37"/>
      <c r="C9" s="37"/>
      <c r="D9" s="11">
        <f t="shared" si="0"/>
        <v>0</v>
      </c>
      <c r="E9" s="15">
        <f t="shared" si="1"/>
        <v>0</v>
      </c>
      <c r="F9" s="16" t="s">
        <v>16</v>
      </c>
      <c r="G9" s="17"/>
      <c r="H9" s="19"/>
      <c r="I9" s="19"/>
      <c r="J9" s="17"/>
      <c r="K9" s="17"/>
      <c r="L9" s="17"/>
      <c r="M9" s="17"/>
      <c r="N9" s="17"/>
      <c r="O9" s="17"/>
      <c r="P9" s="17"/>
      <c r="Q9" s="7"/>
      <c r="R9" s="7"/>
      <c r="S9" s="28"/>
      <c r="T9" s="7"/>
      <c r="U9" s="7"/>
      <c r="V9" s="7"/>
      <c r="W9" s="7"/>
      <c r="X9" s="7"/>
      <c r="Y9" s="7"/>
      <c r="Z9" s="7"/>
      <c r="AA9" s="7"/>
      <c r="AB9" s="7"/>
    </row>
    <row r="10" spans="1:28" ht="15.75" customHeight="1">
      <c r="A10" s="10" t="s">
        <v>24</v>
      </c>
      <c r="B10" s="11"/>
      <c r="C10" s="11"/>
      <c r="D10" s="11">
        <f t="shared" si="0"/>
        <v>0</v>
      </c>
      <c r="E10" s="15">
        <f t="shared" si="1"/>
        <v>0</v>
      </c>
      <c r="F10" s="16" t="s">
        <v>16</v>
      </c>
      <c r="G10" s="17"/>
      <c r="H10" s="19"/>
      <c r="I10" s="19"/>
      <c r="J10" s="17"/>
      <c r="K10" s="17"/>
      <c r="L10" s="17"/>
      <c r="M10" s="17"/>
      <c r="N10" s="17"/>
      <c r="O10" s="17"/>
      <c r="P10" s="17"/>
      <c r="Q10" s="7"/>
      <c r="R10" s="7"/>
      <c r="S10" s="28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customHeight="1">
      <c r="A11" s="10" t="s">
        <v>25</v>
      </c>
      <c r="B11" s="11"/>
      <c r="C11" s="11"/>
      <c r="D11" s="11">
        <f t="shared" si="0"/>
        <v>0</v>
      </c>
      <c r="E11" s="15">
        <f t="shared" si="1"/>
        <v>0</v>
      </c>
      <c r="F11" s="16" t="s">
        <v>16</v>
      </c>
      <c r="G11" s="17"/>
      <c r="H11" s="19"/>
      <c r="I11" s="19"/>
      <c r="J11" s="17"/>
      <c r="K11" s="17"/>
      <c r="L11" s="17"/>
      <c r="M11" s="17"/>
      <c r="N11" s="17"/>
      <c r="O11" s="17"/>
      <c r="P11" s="17"/>
      <c r="Q11" s="7"/>
      <c r="R11" s="7"/>
      <c r="S11" s="28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customHeight="1">
      <c r="A12" s="7" t="s">
        <v>26</v>
      </c>
      <c r="B12" s="37"/>
      <c r="C12" s="10"/>
      <c r="D12" s="37">
        <f t="shared" si="0"/>
        <v>0</v>
      </c>
      <c r="E12" s="15">
        <f t="shared" si="1"/>
        <v>0</v>
      </c>
      <c r="F12" s="7" t="s">
        <v>16</v>
      </c>
      <c r="G12" s="7"/>
      <c r="H12" s="7"/>
      <c r="I12" s="7"/>
      <c r="J12" s="7"/>
      <c r="K12" s="7"/>
      <c r="L12" s="7"/>
      <c r="M12" s="7"/>
      <c r="N12" s="7"/>
      <c r="O12" s="7"/>
      <c r="P12" s="17"/>
      <c r="Q12" s="7"/>
      <c r="R12" s="17"/>
      <c r="S12" s="28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customHeight="1">
      <c r="A13" s="7"/>
      <c r="B13" s="17">
        <f>SUM(B2:B12)</f>
        <v>0</v>
      </c>
      <c r="C13" s="7"/>
      <c r="D13" s="17">
        <f>SUM(D2:D12)</f>
        <v>0</v>
      </c>
      <c r="E13" s="7">
        <f t="shared" si="1"/>
        <v>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28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customHeight="1">
      <c r="A14" s="7"/>
      <c r="B14" s="7"/>
      <c r="C14" s="7"/>
      <c r="D14" s="7"/>
      <c r="E14" s="7"/>
      <c r="F14" s="7"/>
      <c r="G14" s="1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28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/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8.6640625" customWidth="1"/>
    <col min="2" max="2" width="26.5546875" customWidth="1"/>
    <col min="3" max="3" width="31.109375" customWidth="1"/>
    <col min="4" max="4" width="15.44140625" customWidth="1"/>
    <col min="5" max="6" width="15.5546875" customWidth="1"/>
    <col min="7" max="7" width="18.44140625" customWidth="1"/>
    <col min="8" max="8" width="19.33203125" customWidth="1"/>
    <col min="9" max="9" width="22.5546875" customWidth="1"/>
    <col min="10" max="12" width="20" customWidth="1"/>
    <col min="13" max="13" width="22.109375" customWidth="1"/>
    <col min="14" max="16" width="20" customWidth="1"/>
    <col min="17" max="17" width="21.88671875" customWidth="1"/>
    <col min="18" max="18" width="17.88671875" customWidth="1"/>
    <col min="19" max="19" width="18.88671875" customWidth="1"/>
    <col min="20" max="20" width="14.88671875" customWidth="1"/>
    <col min="21" max="21" width="20.33203125" customWidth="1"/>
    <col min="22" max="22" width="23.88671875" customWidth="1"/>
    <col min="23" max="24" width="17.5546875" customWidth="1"/>
    <col min="25" max="27" width="14.6640625" customWidth="1"/>
    <col min="28" max="28" width="20.44140625" customWidth="1"/>
    <col min="29" max="31" width="14.6640625" customWidth="1"/>
    <col min="32" max="32" width="20.44140625" customWidth="1"/>
    <col min="33" max="34" width="21" customWidth="1"/>
    <col min="35" max="35" width="16.33203125" customWidth="1"/>
    <col min="36" max="37" width="16" customWidth="1"/>
    <col min="38" max="38" width="16.44140625" customWidth="1"/>
    <col min="39" max="41" width="17.44140625" customWidth="1"/>
    <col min="42" max="42" width="50.6640625" customWidth="1"/>
    <col min="43" max="43" width="17.33203125" customWidth="1"/>
    <col min="44" max="44" width="24.44140625" customWidth="1"/>
  </cols>
  <sheetData>
    <row r="1" spans="1:53" ht="26.25" customHeight="1">
      <c r="A1" s="4"/>
      <c r="B1" s="4"/>
      <c r="C1" s="4"/>
      <c r="D1" s="4"/>
      <c r="E1" s="219" t="s">
        <v>27</v>
      </c>
      <c r="F1" s="216"/>
      <c r="G1" s="214" t="s">
        <v>28</v>
      </c>
      <c r="H1" s="215"/>
      <c r="I1" s="215"/>
      <c r="J1" s="215"/>
      <c r="K1" s="215"/>
      <c r="L1" s="215"/>
      <c r="M1" s="215"/>
      <c r="N1" s="215"/>
      <c r="O1" s="215"/>
      <c r="P1" s="215"/>
      <c r="Q1" s="216"/>
      <c r="R1" s="218" t="s">
        <v>29</v>
      </c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12"/>
      <c r="AK1" s="217" t="s">
        <v>30</v>
      </c>
      <c r="AL1" s="215"/>
      <c r="AM1" s="215"/>
      <c r="AN1" s="215"/>
      <c r="AO1" s="216"/>
      <c r="AP1" s="13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 customHeight="1">
      <c r="A2" s="18" t="s">
        <v>31</v>
      </c>
      <c r="B2" s="18" t="s">
        <v>0</v>
      </c>
      <c r="C2" s="18" t="s">
        <v>32</v>
      </c>
      <c r="D2" s="18" t="s">
        <v>33</v>
      </c>
      <c r="E2" s="20" t="s">
        <v>34</v>
      </c>
      <c r="F2" s="20" t="s">
        <v>35</v>
      </c>
      <c r="G2" s="21" t="s">
        <v>36</v>
      </c>
      <c r="H2" s="21" t="s">
        <v>37</v>
      </c>
      <c r="I2" s="22" t="s">
        <v>38</v>
      </c>
      <c r="J2" s="24" t="s">
        <v>39</v>
      </c>
      <c r="K2" s="24" t="s">
        <v>40</v>
      </c>
      <c r="L2" s="24" t="s">
        <v>41</v>
      </c>
      <c r="M2" s="24" t="s">
        <v>42</v>
      </c>
      <c r="N2" s="25" t="s">
        <v>43</v>
      </c>
      <c r="O2" s="25" t="s">
        <v>44</v>
      </c>
      <c r="P2" s="25" t="s">
        <v>45</v>
      </c>
      <c r="Q2" s="25" t="s">
        <v>46</v>
      </c>
      <c r="R2" s="26" t="s">
        <v>47</v>
      </c>
      <c r="S2" s="27" t="s">
        <v>48</v>
      </c>
      <c r="T2" s="26" t="s">
        <v>49</v>
      </c>
      <c r="U2" s="26" t="s">
        <v>50</v>
      </c>
      <c r="V2" s="26" t="s">
        <v>51</v>
      </c>
      <c r="W2" s="26" t="s">
        <v>52</v>
      </c>
      <c r="X2" s="26" t="s">
        <v>53</v>
      </c>
      <c r="Y2" s="29" t="s">
        <v>54</v>
      </c>
      <c r="Z2" s="29" t="s">
        <v>55</v>
      </c>
      <c r="AA2" s="29" t="s">
        <v>56</v>
      </c>
      <c r="AB2" s="29" t="s">
        <v>57</v>
      </c>
      <c r="AC2" s="29" t="s">
        <v>58</v>
      </c>
      <c r="AD2" s="26" t="s">
        <v>59</v>
      </c>
      <c r="AE2" s="26" t="s">
        <v>60</v>
      </c>
      <c r="AF2" s="26" t="s">
        <v>61</v>
      </c>
      <c r="AG2" s="26" t="s">
        <v>62</v>
      </c>
      <c r="AH2" s="26" t="s">
        <v>63</v>
      </c>
      <c r="AI2" s="26" t="s">
        <v>64</v>
      </c>
      <c r="AJ2" s="31" t="s">
        <v>65</v>
      </c>
      <c r="AK2" s="31" t="s">
        <v>66</v>
      </c>
      <c r="AL2" s="31" t="s">
        <v>67</v>
      </c>
      <c r="AM2" s="33" t="s">
        <v>68</v>
      </c>
      <c r="AN2" s="33" t="s">
        <v>69</v>
      </c>
      <c r="AO2" s="33" t="s">
        <v>70</v>
      </c>
      <c r="AP2" s="18" t="s">
        <v>71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 ht="15.75" customHeight="1">
      <c r="A3" s="34">
        <v>1</v>
      </c>
      <c r="B3" s="35" t="s">
        <v>15</v>
      </c>
      <c r="C3" s="36" t="s">
        <v>72</v>
      </c>
      <c r="D3" s="34" t="s">
        <v>73</v>
      </c>
      <c r="E3" s="140">
        <f t="shared" ref="E3:E34" si="0">SUM(G3, I3, L3, O3, S3, T3)</f>
        <v>31.689999999999998</v>
      </c>
      <c r="F3" s="140">
        <f t="shared" ref="F3:F34" si="1">SUM(H3, P3)</f>
        <v>0</v>
      </c>
      <c r="G3" s="39">
        <f>SUMIFS('Giờ công'!I:I, 'Giờ công'!G:G, B3, 'Giờ công'!H:H, C3)</f>
        <v>15.69</v>
      </c>
      <c r="H3" s="39">
        <f>SUMIFS('Giờ công'!J:J, 'Giờ công'!G:G, B3, 'Giờ công'!H:H, C3)</f>
        <v>0</v>
      </c>
      <c r="I3" s="42">
        <f t="shared" ref="I3:I34" si="2">IF(ROW()=MATCH(C3, $C$1:$C$72, 0), IF(SUMIF($C$3:$C$72, C3, $R$3:$R$72)&gt;=30, 16, IF(SUMIF($C$3:$C$72, C3, $R$3:$R$72)&gt;=29, 8, "")), "")</f>
        <v>16</v>
      </c>
      <c r="J3" s="193">
        <f t="shared" ref="J3:J34" si="3">ROUND(G3/24, 1)</f>
        <v>0.7</v>
      </c>
      <c r="K3" s="42">
        <f>SUMIFS('Ngày công'!I:I, 'Ngày công'!A:A, B3, 'Ngày công'!B:B, C3)</f>
        <v>0</v>
      </c>
      <c r="L3" s="35"/>
      <c r="M3" s="35"/>
      <c r="N3" s="42">
        <f>SUMIFS('Tăng ca lễ'!M:M, 'Tăng ca lễ'!K:K, B3, 'Tăng ca lễ'!L:L, C3)</f>
        <v>0</v>
      </c>
      <c r="O3" s="35">
        <f>IF(OR(D3="PT", D3="DSHV"), SUMIFS('Tăng ca lễ'!O:O, 'Tăng ca lễ'!K:K, B3, 'Tăng ca lễ'!L:L, C3)*2, SUMIFS('Tăng ca lễ'!O:O, 'Tăng ca lễ'!K:K, B3, 'Tăng ca lễ'!L:L, C3)*3)</f>
        <v>0</v>
      </c>
      <c r="P3" s="35">
        <f>IF(OR(D3="PT", D3="DSHV"), SUMIFS('Tăng ca lễ'!P:P, 'Tăng ca lễ'!K:K, B3, 'Tăng ca lễ'!L:L, C3)*2, SUMIFS('Tăng ca lễ'!P:P, 'Tăng ca lễ'!K:K, B3, 'Tăng ca lễ'!L:L, C3)*3)</f>
        <v>0</v>
      </c>
      <c r="Q3" s="35"/>
      <c r="R3" s="42">
        <f>SUMIFS('Ngày công'!M:M, 'Ngày công'!K:K, B3, 'Ngày công'!L:L, C3)</f>
        <v>2</v>
      </c>
      <c r="S3" s="39">
        <f>SUMIFS('Công Đào tạo'!G:G, 'Công Đào tạo'!E:E, B3, 'Công Đào tạo'!F:F, C3)</f>
        <v>0</v>
      </c>
      <c r="T3" s="35">
        <v>0</v>
      </c>
      <c r="U3" s="41"/>
      <c r="V3" s="42">
        <f t="shared" ref="V3:V34" si="4">IF(AND(ROW()=MATCH(C3, $C$1:$C$72, 0), OR(TRIM(D3)="CHT", TRIM(D3)="Q.CHT")), 500000/31*SUMIF($C$3:$C$72, C3, $R$3:$R$72), 0)</f>
        <v>483870.96774193551</v>
      </c>
      <c r="W3" s="42"/>
      <c r="X3" s="42">
        <f t="shared" ref="X3:X34" si="5">IF(C3="","", IF(TRIM(D3)="DSCD", MIN(1500000, ROUND(1500000/28*MIN(N(J3),28),0)), IF(AND(OR(TRIM(D3)="DSXC", TRIM(D3)="DSBC", TRIM(D3)="CHT", TRIM(D3)="DSTV", TRIM(D3)="Q.CHT"), N(H3)&gt;=160), MIN(1500000, ROUND(1500000/28*MIN(N(K3),28),0)), 0)))</f>
        <v>0</v>
      </c>
      <c r="Y3" s="42"/>
      <c r="Z3" s="42"/>
      <c r="AA3" s="42">
        <f>IF(ROW()=MATCH(C3, $C$1:$C$72, 0), IFERROR(VLOOKUP(C3, 'MiniKat - HN'!$A:$L, 12, FALSE), 0) + IFERROR(VLOOKUP(C3, 'MiniKat - HCM'!$A:$J, 10, FALSE), 0), 0)</f>
        <v>225000</v>
      </c>
      <c r="AB3" s="42">
        <f>IF(OR(TRIM(D3)="CHT", TRIM(D3)="Q.CHT"), SUMIFS('MiniKat - HN'!$Y:$Y, 'MiniKat - HN'!$N:$N, B3) + SUMIFS('MiniKat - HCM'!$U:$U, 'MiniKat - HCM'!$M:$M, B3), 0)</f>
        <v>300000</v>
      </c>
      <c r="AC3" s="42">
        <f>IF(ROW()=MATCH(C3, $C$1:$C$72, 0), SUMIFS(whatsapp!$D:$D, whatsapp!$A:$A, C3), 0)</f>
        <v>0</v>
      </c>
      <c r="AD3" s="42">
        <f>SUMIFS('Dự án'!$C:$C, 'Dự án'!$A:$A, B3, 'Dự án'!$B:$B, C3)</f>
        <v>0</v>
      </c>
      <c r="AE3" s="42">
        <f>SUMIFS(KPI!$C:$C, KPI!$A:$A, B3, KPI!$B:$B, C3)</f>
        <v>0</v>
      </c>
      <c r="AF3" s="43">
        <f>SUMIFS('Thưởng CK'!$C:$C, 'Thưởng CK'!$A:$A, B3, 'Thưởng CK'!$B:$B, C3)</f>
        <v>0</v>
      </c>
      <c r="AG3" s="42">
        <f>SUMIFS('Cận date'!$C:$C, 'Cận date'!$A:$A, B3, 'Cận date'!$B:$B, C3)</f>
        <v>0</v>
      </c>
      <c r="AH3" s="42">
        <f>SUMIFS(Map!$D:$D, Map!$B:$B, B3, Map!$A:$A, C3)</f>
        <v>0</v>
      </c>
      <c r="AI3" s="42">
        <v>0</v>
      </c>
      <c r="AJ3" s="42">
        <f t="shared" ref="AJ3:AJ34" si="6">SUM(AK3:AO3)</f>
        <v>0</v>
      </c>
      <c r="AK3" s="42">
        <f>SUMIFS('KPI trừ'!$C:$C, 'KPI trừ'!$A:$A, B3, 'KPI trừ'!$B:$B, C3)</f>
        <v>0</v>
      </c>
      <c r="AL3" s="42">
        <f>SUMIFS('KPI trừ'!$D:$D, 'KPI trừ'!$A:$A, B3, 'KPI trừ'!$B:$B, C3)</f>
        <v>0</v>
      </c>
      <c r="AM3" s="42">
        <f>SUMIFS('KPI trừ'!$E:$E, 'KPI trừ'!$A:$A, B3, 'KPI trừ'!$B:$B, C3)</f>
        <v>0</v>
      </c>
      <c r="AN3" s="42">
        <f>SUMIFS('KPI trừ'!$F:$F, 'KPI trừ'!$A:$A, B3, 'KPI trừ'!$B:$B, C3)</f>
        <v>0</v>
      </c>
      <c r="AO3" s="42">
        <f>SUMIFS('KPI trừ'!$G:$G, 'KPI trừ'!$A:$A, B3, 'KPI trừ'!$B:$B, C3)</f>
        <v>0</v>
      </c>
      <c r="AP3" s="44" t="str">
        <f>IFERROR(INDEX('KPI trừ'!$H:$H, MATCH(1, ('KPI trừ'!$A:$A=B3)*('KPI trừ'!$B:$B=C3), 0)), "")</f>
        <v/>
      </c>
      <c r="AQ3" s="16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ht="15.75" customHeight="1">
      <c r="A4" s="34">
        <v>2</v>
      </c>
      <c r="B4" s="35" t="s">
        <v>15</v>
      </c>
      <c r="C4" s="36" t="s">
        <v>74</v>
      </c>
      <c r="D4" s="34" t="s">
        <v>75</v>
      </c>
      <c r="E4" s="140">
        <f t="shared" si="0"/>
        <v>186.64</v>
      </c>
      <c r="F4" s="140">
        <f t="shared" si="1"/>
        <v>28.38</v>
      </c>
      <c r="G4" s="39">
        <f>SUMIFS('Giờ công'!I:I, 'Giờ công'!G:G, B4, 'Giờ công'!H:H, C4)</f>
        <v>186.64</v>
      </c>
      <c r="H4" s="39">
        <f>SUMIFS('Giờ công'!J:J, 'Giờ công'!G:G, B4, 'Giờ công'!H:H, C4)</f>
        <v>28.38</v>
      </c>
      <c r="I4" s="42" t="str">
        <f t="shared" si="2"/>
        <v/>
      </c>
      <c r="J4" s="193">
        <f t="shared" si="3"/>
        <v>7.8</v>
      </c>
      <c r="K4" s="42">
        <f>SUMIFS('Ngày công'!I:I, 'Ngày công'!A:A, B4, 'Ngày công'!B:B, C4)</f>
        <v>3</v>
      </c>
      <c r="L4" s="35"/>
      <c r="M4" s="35"/>
      <c r="N4" s="42">
        <f>SUMIFS('Tăng ca lễ'!M:M, 'Tăng ca lễ'!K:K, B4, 'Tăng ca lễ'!L:L, C4)</f>
        <v>0</v>
      </c>
      <c r="O4" s="35">
        <f>IF(OR(D4="PT", D4="DSHV"), SUMIFS('Tăng ca lễ'!O:O, 'Tăng ca lễ'!K:K, B4, 'Tăng ca lễ'!L:L, C4)*2, SUMIFS('Tăng ca lễ'!O:O, 'Tăng ca lễ'!K:K, B4, 'Tăng ca lễ'!L:L, C4)*3)</f>
        <v>0</v>
      </c>
      <c r="P4" s="35">
        <f>IF(OR(D4="PT", D4="DSHV"), SUMIFS('Tăng ca lễ'!P:P, 'Tăng ca lễ'!K:K, B4, 'Tăng ca lễ'!L:L, C4)*2, SUMIFS('Tăng ca lễ'!P:P, 'Tăng ca lễ'!K:K, B4, 'Tăng ca lễ'!L:L, C4)*3)</f>
        <v>0</v>
      </c>
      <c r="Q4" s="35"/>
      <c r="R4" s="42">
        <f>SUMIFS('Ngày công'!M:M, 'Ngày công'!K:K, B4, 'Ngày công'!L:L, C4)</f>
        <v>26</v>
      </c>
      <c r="S4" s="39">
        <f>SUMIFS('Công Đào tạo'!G:G, 'Công Đào tạo'!E:E, B4, 'Công Đào tạo'!F:F, C4)</f>
        <v>0</v>
      </c>
      <c r="T4" s="35">
        <v>0</v>
      </c>
      <c r="U4" s="41"/>
      <c r="V4" s="42">
        <f t="shared" si="4"/>
        <v>435483.87096774194</v>
      </c>
      <c r="W4" s="42"/>
      <c r="X4" s="42">
        <f t="shared" si="5"/>
        <v>0</v>
      </c>
      <c r="Y4" s="42"/>
      <c r="Z4" s="42"/>
      <c r="AA4" s="42">
        <f>IF(ROW()=MATCH(C4, $C$1:$C$72, 0), IFERROR(VLOOKUP(C4, 'MiniKat - HN'!$A:$L, 12, FALSE), 0) + IFERROR(VLOOKUP(C4, 'MiniKat - HCM'!$A:$J, 10, FALSE), 0), 0)</f>
        <v>0</v>
      </c>
      <c r="AB4" s="42">
        <f>IF(OR(TRIM(D4)="CHT", TRIM(D4)="Q.CHT"), SUMIFS('MiniKat - HN'!$Y:$Y, 'MiniKat - HN'!$N:$N, B4) + SUMIFS('MiniKat - HCM'!$U:$U, 'MiniKat - HCM'!$M:$M, B4), 0)</f>
        <v>300000</v>
      </c>
      <c r="AC4" s="42">
        <f>IF(ROW()=MATCH(C4, $C$1:$C$72, 0), SUMIFS(whatsapp!$D:$D, whatsapp!$A:$A, C4), 0)</f>
        <v>0</v>
      </c>
      <c r="AD4" s="42">
        <f>SUMIFS('Dự án'!$C:$C, 'Dự án'!$A:$A, B4, 'Dự án'!$B:$B, C4)</f>
        <v>0</v>
      </c>
      <c r="AE4" s="42">
        <f>SUMIFS(KPI!$C:$C, KPI!$A:$A, B4, KPI!$B:$B, C4)</f>
        <v>0</v>
      </c>
      <c r="AF4" s="43">
        <f>SUMIFS('Thưởng CK'!$C:$C, 'Thưởng CK'!$A:$A, B4, 'Thưởng CK'!$B:$B, C4)</f>
        <v>1280200</v>
      </c>
      <c r="AG4" s="42">
        <f>SUMIFS('Cận date'!$C:$C, 'Cận date'!$A:$A, B4, 'Cận date'!$B:$B, C4)</f>
        <v>6601</v>
      </c>
      <c r="AH4" s="42">
        <f>SUMIFS(Map!$D:$D, Map!$B:$B, B4, Map!$A:$A, C4)</f>
        <v>0</v>
      </c>
      <c r="AI4" s="42">
        <v>0</v>
      </c>
      <c r="AJ4" s="42">
        <f t="shared" si="6"/>
        <v>500000</v>
      </c>
      <c r="AK4" s="42">
        <f>SUMIFS('KPI trừ'!$C:$C, 'KPI trừ'!$A:$A, B4, 'KPI trừ'!$B:$B, C4)</f>
        <v>0</v>
      </c>
      <c r="AL4" s="42">
        <f>SUMIFS('KPI trừ'!$D:$D, 'KPI trừ'!$A:$A, B4, 'KPI trừ'!$B:$B, C4)</f>
        <v>0</v>
      </c>
      <c r="AM4" s="42">
        <f>SUMIFS('KPI trừ'!$E:$E, 'KPI trừ'!$A:$A, B4, 'KPI trừ'!$B:$B, C4)</f>
        <v>0</v>
      </c>
      <c r="AN4" s="42">
        <f>SUMIFS('KPI trừ'!$F:$F, 'KPI trừ'!$A:$A, B4, 'KPI trừ'!$B:$B, C4)</f>
        <v>0</v>
      </c>
      <c r="AO4" s="42">
        <f>SUMIFS('KPI trừ'!$G:$G, 'KPI trừ'!$A:$A, B4, 'KPI trừ'!$B:$B, C4)</f>
        <v>500000</v>
      </c>
      <c r="AP4" s="44" t="str">
        <f>IFERROR(INDEX('KPI trừ'!$H:$H, MATCH(1, ('KPI trừ'!$A:$A=B4)*('KPI trừ'!$B:$B=C4), 0)), "")</f>
        <v/>
      </c>
      <c r="AQ4" s="16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 ht="15.75" customHeight="1">
      <c r="A5" s="34">
        <v>3</v>
      </c>
      <c r="B5" s="35" t="s">
        <v>15</v>
      </c>
      <c r="C5" s="44" t="s">
        <v>76</v>
      </c>
      <c r="D5" s="34" t="s">
        <v>77</v>
      </c>
      <c r="E5" s="140">
        <f t="shared" si="0"/>
        <v>26.97999999999999</v>
      </c>
      <c r="F5" s="140">
        <f t="shared" si="1"/>
        <v>219.5</v>
      </c>
      <c r="G5" s="39">
        <f>SUMIFS('Giờ công'!I:I, 'Giờ công'!G:G, B5, 'Giờ công'!H:H, C5)</f>
        <v>18.97999999999999</v>
      </c>
      <c r="H5" s="39">
        <f>SUMIFS('Giờ công'!J:J, 'Giờ công'!G:G, B5, 'Giờ công'!H:H, C5)</f>
        <v>219.5</v>
      </c>
      <c r="I5" s="42">
        <f t="shared" si="2"/>
        <v>8</v>
      </c>
      <c r="J5" s="193">
        <f t="shared" si="3"/>
        <v>0.8</v>
      </c>
      <c r="K5" s="42">
        <f>SUMIFS('Ngày công'!I:I, 'Ngày công'!A:A, B5, 'Ngày công'!B:B, C5)</f>
        <v>27</v>
      </c>
      <c r="L5" s="35"/>
      <c r="M5" s="35"/>
      <c r="N5" s="42">
        <f>SUMIFS('Tăng ca lễ'!M:M, 'Tăng ca lễ'!K:K, B5, 'Tăng ca lễ'!L:L, C5)</f>
        <v>0</v>
      </c>
      <c r="O5" s="35">
        <f>IF(OR(D5="PT", D5="DSHV"), SUMIFS('Tăng ca lễ'!O:O, 'Tăng ca lễ'!K:K, B5, 'Tăng ca lễ'!L:L, C5)*2, SUMIFS('Tăng ca lễ'!O:O, 'Tăng ca lễ'!K:K, B5, 'Tăng ca lễ'!L:L, C5)*3)</f>
        <v>0</v>
      </c>
      <c r="P5" s="35">
        <f>IF(OR(D5="PT", D5="DSHV"), SUMIFS('Tăng ca lễ'!P:P, 'Tăng ca lễ'!K:K, B5, 'Tăng ca lễ'!L:L, C5)*2, SUMIFS('Tăng ca lễ'!P:P, 'Tăng ca lễ'!K:K, B5, 'Tăng ca lễ'!L:L, C5)*3)</f>
        <v>0</v>
      </c>
      <c r="Q5" s="35"/>
      <c r="R5" s="42">
        <f>SUMIFS('Ngày công'!M:M, 'Ngày công'!K:K, B5, 'Ngày công'!L:L, C5)</f>
        <v>29</v>
      </c>
      <c r="S5" s="39">
        <f>SUMIFS('Công Đào tạo'!G:G, 'Công Đào tạo'!E:E, B5, 'Công Đào tạo'!F:F, C5)</f>
        <v>0</v>
      </c>
      <c r="T5" s="35">
        <v>0</v>
      </c>
      <c r="U5" s="41"/>
      <c r="V5" s="42">
        <f t="shared" si="4"/>
        <v>0</v>
      </c>
      <c r="W5" s="42"/>
      <c r="X5" s="42">
        <f t="shared" si="5"/>
        <v>0</v>
      </c>
      <c r="Y5" s="42"/>
      <c r="Z5" s="42"/>
      <c r="AA5" s="42">
        <f>IF(ROW()=MATCH(C5, $C$1:$C$72, 0), IFERROR(VLOOKUP(C5, 'MiniKat - HN'!$A:$L, 12, FALSE), 0) + IFERROR(VLOOKUP(C5, 'MiniKat - HCM'!$A:$J, 10, FALSE), 0), 0)</f>
        <v>0</v>
      </c>
      <c r="AB5" s="42">
        <f>IF(OR(TRIM(D5)="CHT", TRIM(D5)="Q.CHT"), SUMIFS('MiniKat - HN'!$Y:$Y, 'MiniKat - HN'!$N:$N, B5) + SUMIFS('MiniKat - HCM'!$U:$U, 'MiniKat - HCM'!$M:$M, B5), 0)</f>
        <v>0</v>
      </c>
      <c r="AC5" s="42">
        <f>IF(ROW()=MATCH(C5, $C$1:$C$72, 0), SUMIFS(whatsapp!$D:$D, whatsapp!$A:$A, C5), 0)</f>
        <v>0</v>
      </c>
      <c r="AD5" s="42">
        <f>SUMIFS('Dự án'!$C:$C, 'Dự án'!$A:$A, B5, 'Dự án'!$B:$B, C5)</f>
        <v>0</v>
      </c>
      <c r="AE5" s="42">
        <f>SUMIFS(KPI!$C:$C, KPI!$A:$A, B5, KPI!$B:$B, C5)</f>
        <v>0</v>
      </c>
      <c r="AF5" s="43">
        <f>SUMIFS('Thưởng CK'!$C:$C, 'Thưởng CK'!$A:$A, B5, 'Thưởng CK'!$B:$B, C5)</f>
        <v>579960</v>
      </c>
      <c r="AG5" s="42">
        <f>SUMIFS('Cận date'!$C:$C, 'Cận date'!$A:$A, B5, 'Cận date'!$B:$B, C5)</f>
        <v>7700</v>
      </c>
      <c r="AH5" s="42">
        <f>SUMIFS(Map!$D:$D, Map!$B:$B, B5, Map!$A:$A, C5)</f>
        <v>0</v>
      </c>
      <c r="AI5" s="42">
        <v>0</v>
      </c>
      <c r="AJ5" s="42">
        <f t="shared" si="6"/>
        <v>0</v>
      </c>
      <c r="AK5" s="42">
        <f>SUMIFS('KPI trừ'!$C:$C, 'KPI trừ'!$A:$A, B5, 'KPI trừ'!$B:$B, C5)</f>
        <v>0</v>
      </c>
      <c r="AL5" s="42">
        <f>SUMIFS('KPI trừ'!$D:$D, 'KPI trừ'!$A:$A, B5, 'KPI trừ'!$B:$B, C5)</f>
        <v>0</v>
      </c>
      <c r="AM5" s="42">
        <f>SUMIFS('KPI trừ'!$E:$E, 'KPI trừ'!$A:$A, B5, 'KPI trừ'!$B:$B, C5)</f>
        <v>0</v>
      </c>
      <c r="AN5" s="42">
        <f>SUMIFS('KPI trừ'!$F:$F, 'KPI trừ'!$A:$A, B5, 'KPI trừ'!$B:$B, C5)</f>
        <v>0</v>
      </c>
      <c r="AO5" s="42">
        <f>SUMIFS('KPI trừ'!$G:$G, 'KPI trừ'!$A:$A, B5, 'KPI trừ'!$B:$B, C5)</f>
        <v>0</v>
      </c>
      <c r="AP5" s="44" t="str">
        <f>IFERROR(INDEX('KPI trừ'!$H:$H, MATCH(1, ('KPI trừ'!$A:$A=B5)*('KPI trừ'!$B:$B=C5), 0)), "")</f>
        <v/>
      </c>
      <c r="AQ5" s="16"/>
      <c r="AR5" s="45"/>
      <c r="AS5" s="44"/>
      <c r="AT5" s="44"/>
      <c r="AU5" s="44"/>
      <c r="AV5" s="44"/>
      <c r="AW5" s="44"/>
      <c r="AX5" s="44"/>
      <c r="AY5" s="44"/>
      <c r="AZ5" s="44"/>
      <c r="BA5" s="44"/>
    </row>
    <row r="6" spans="1:53" ht="15.75" customHeight="1">
      <c r="A6" s="34">
        <v>4</v>
      </c>
      <c r="B6" s="35" t="s">
        <v>15</v>
      </c>
      <c r="C6" s="36" t="s">
        <v>78</v>
      </c>
      <c r="D6" s="34" t="s">
        <v>79</v>
      </c>
      <c r="E6" s="140">
        <f t="shared" si="0"/>
        <v>0.37999999999999545</v>
      </c>
      <c r="F6" s="140">
        <f t="shared" si="1"/>
        <v>164.21</v>
      </c>
      <c r="G6" s="39">
        <f>SUMIFS('Giờ công'!I:I, 'Giờ công'!G:G, B6, 'Giờ công'!H:H, C6)</f>
        <v>0.37999999999999545</v>
      </c>
      <c r="H6" s="39">
        <f>SUMIFS('Giờ công'!J:J, 'Giờ công'!G:G, B6, 'Giờ công'!H:H, C6)</f>
        <v>164.21</v>
      </c>
      <c r="I6" s="42" t="str">
        <f t="shared" si="2"/>
        <v/>
      </c>
      <c r="J6" s="193">
        <f t="shared" si="3"/>
        <v>0</v>
      </c>
      <c r="K6" s="42">
        <f>SUMIFS('Ngày công'!I:I, 'Ngày công'!A:A, B6, 'Ngày công'!B:B, C6)</f>
        <v>21</v>
      </c>
      <c r="L6" s="35"/>
      <c r="M6" s="35"/>
      <c r="N6" s="42">
        <f>SUMIFS('Tăng ca lễ'!M:M, 'Tăng ca lễ'!K:K, B6, 'Tăng ca lễ'!L:L, C6)</f>
        <v>0</v>
      </c>
      <c r="O6" s="35">
        <f>IF(OR(D6="PT", D6="DSHV"), SUMIFS('Tăng ca lễ'!O:O, 'Tăng ca lễ'!K:K, B6, 'Tăng ca lễ'!L:L, C6)*2, SUMIFS('Tăng ca lễ'!O:O, 'Tăng ca lễ'!K:K, B6, 'Tăng ca lễ'!L:L, C6)*3)</f>
        <v>0</v>
      </c>
      <c r="P6" s="35">
        <f>IF(OR(D6="PT", D6="DSHV"), SUMIFS('Tăng ca lễ'!P:P, 'Tăng ca lễ'!K:K, B6, 'Tăng ca lễ'!L:L, C6)*2, SUMIFS('Tăng ca lễ'!P:P, 'Tăng ca lễ'!K:K, B6, 'Tăng ca lễ'!L:L, C6)*3)</f>
        <v>0</v>
      </c>
      <c r="Q6" s="35"/>
      <c r="R6" s="42">
        <f>SUMIFS('Ngày công'!M:M, 'Ngày công'!K:K, B6, 'Ngày công'!L:L, C6)</f>
        <v>21</v>
      </c>
      <c r="S6" s="39">
        <f>SUMIFS('Công Đào tạo'!G:G, 'Công Đào tạo'!E:E, B6, 'Công Đào tạo'!F:F, C6)</f>
        <v>0</v>
      </c>
      <c r="T6" s="35">
        <v>0</v>
      </c>
      <c r="U6" s="41"/>
      <c r="V6" s="42">
        <f t="shared" si="4"/>
        <v>0</v>
      </c>
      <c r="W6" s="42"/>
      <c r="X6" s="42">
        <f t="shared" si="5"/>
        <v>0</v>
      </c>
      <c r="Y6" s="42"/>
      <c r="Z6" s="42"/>
      <c r="AA6" s="42">
        <f>IF(ROW()=MATCH(C6, $C$1:$C$72, 0), IFERROR(VLOOKUP(C6, 'MiniKat - HN'!$A:$L, 12, FALSE), 0) + IFERROR(VLOOKUP(C6, 'MiniKat - HCM'!$A:$J, 10, FALSE), 0), 0)</f>
        <v>0</v>
      </c>
      <c r="AB6" s="42">
        <f>IF(OR(TRIM(D6)="CHT", TRIM(D6)="Q.CHT"), SUMIFS('MiniKat - HN'!$Y:$Y, 'MiniKat - HN'!$N:$N, B6) + SUMIFS('MiniKat - HCM'!$U:$U, 'MiniKat - HCM'!$M:$M, B6), 0)</f>
        <v>0</v>
      </c>
      <c r="AC6" s="42">
        <f>IF(ROW()=MATCH(C6, $C$1:$C$72, 0), SUMIFS(whatsapp!$D:$D, whatsapp!$A:$A, C6), 0)</f>
        <v>0</v>
      </c>
      <c r="AD6" s="42">
        <f>SUMIFS('Dự án'!$C:$C, 'Dự án'!$A:$A, B6, 'Dự án'!$B:$B, C6)</f>
        <v>2200000</v>
      </c>
      <c r="AE6" s="42">
        <f>SUMIFS(KPI!$C:$C, KPI!$A:$A, B6, KPI!$B:$B, C6)</f>
        <v>0</v>
      </c>
      <c r="AF6" s="43">
        <f>SUMIFS('Thưởng CK'!$C:$C, 'Thưởng CK'!$A:$A, B6, 'Thưởng CK'!$B:$B, C6)</f>
        <v>3537750</v>
      </c>
      <c r="AG6" s="42">
        <f>SUMIFS('Cận date'!$C:$C, 'Cận date'!$A:$A, B6, 'Cận date'!$B:$B, C6)</f>
        <v>11205</v>
      </c>
      <c r="AH6" s="42">
        <f>SUMIFS(Map!$D:$D, Map!$B:$B, B6, Map!$A:$A, C6)</f>
        <v>0</v>
      </c>
      <c r="AI6" s="42">
        <v>0</v>
      </c>
      <c r="AJ6" s="42">
        <f t="shared" si="6"/>
        <v>0</v>
      </c>
      <c r="AK6" s="42">
        <f>SUMIFS('KPI trừ'!$C:$C, 'KPI trừ'!$A:$A, B6, 'KPI trừ'!$B:$B, C6)</f>
        <v>0</v>
      </c>
      <c r="AL6" s="42">
        <f>SUMIFS('KPI trừ'!$D:$D, 'KPI trừ'!$A:$A, B6, 'KPI trừ'!$B:$B, C6)</f>
        <v>0</v>
      </c>
      <c r="AM6" s="42">
        <f>SUMIFS('KPI trừ'!$E:$E, 'KPI trừ'!$A:$A, B6, 'KPI trừ'!$B:$B, C6)</f>
        <v>0</v>
      </c>
      <c r="AN6" s="42">
        <f>SUMIFS('KPI trừ'!$F:$F, 'KPI trừ'!$A:$A, B6, 'KPI trừ'!$B:$B, C6)</f>
        <v>0</v>
      </c>
      <c r="AO6" s="42">
        <f>SUMIFS('KPI trừ'!$G:$G, 'KPI trừ'!$A:$A, B6, 'KPI trừ'!$B:$B, C6)</f>
        <v>0</v>
      </c>
      <c r="AP6" s="44" t="str">
        <f>IFERROR(INDEX('KPI trừ'!$H:$H, MATCH(1, ('KPI trừ'!$A:$A=B6)*('KPI trừ'!$B:$B=C6), 0)), "")</f>
        <v/>
      </c>
      <c r="AQ6" s="16"/>
      <c r="AR6" s="44"/>
      <c r="AS6" s="44"/>
      <c r="AT6" s="44"/>
      <c r="AU6" s="44"/>
      <c r="AV6" s="44"/>
      <c r="AW6" s="44"/>
      <c r="AX6" s="44"/>
      <c r="AY6" s="44"/>
      <c r="AZ6" s="44"/>
      <c r="BA6" s="44"/>
    </row>
    <row r="7" spans="1:53" ht="15.75" customHeight="1">
      <c r="A7" s="34">
        <v>5</v>
      </c>
      <c r="B7" s="35" t="s">
        <v>15</v>
      </c>
      <c r="C7" s="36" t="s">
        <v>80</v>
      </c>
      <c r="D7" s="34" t="s">
        <v>81</v>
      </c>
      <c r="E7" s="140">
        <f t="shared" si="0"/>
        <v>66.260000000000005</v>
      </c>
      <c r="F7" s="140">
        <f t="shared" si="1"/>
        <v>23.12</v>
      </c>
      <c r="G7" s="39">
        <f>SUMIFS('Giờ công'!I:I, 'Giờ công'!G:G, B7, 'Giờ công'!H:H, C7)</f>
        <v>66.260000000000005</v>
      </c>
      <c r="H7" s="39">
        <f>SUMIFS('Giờ công'!J:J, 'Giờ công'!G:G, B7, 'Giờ công'!H:H, C7)</f>
        <v>23.12</v>
      </c>
      <c r="I7" s="42" t="str">
        <f t="shared" si="2"/>
        <v/>
      </c>
      <c r="J7" s="193">
        <f t="shared" si="3"/>
        <v>2.8</v>
      </c>
      <c r="K7" s="42">
        <f>SUMIFS('Ngày công'!I:I, 'Ngày công'!A:A, B7, 'Ngày công'!B:B, C7)</f>
        <v>3</v>
      </c>
      <c r="L7" s="35"/>
      <c r="M7" s="35"/>
      <c r="N7" s="42">
        <f>SUMIFS('Tăng ca lễ'!M:M, 'Tăng ca lễ'!K:K, B7, 'Tăng ca lễ'!L:L, C7)</f>
        <v>0</v>
      </c>
      <c r="O7" s="35">
        <f>IF(OR(D7="PT", D7="DSHV"), SUMIFS('Tăng ca lễ'!O:O, 'Tăng ca lễ'!K:K, B7, 'Tăng ca lễ'!L:L, C7)*2, SUMIFS('Tăng ca lễ'!O:O, 'Tăng ca lễ'!K:K, B7, 'Tăng ca lễ'!L:L, C7)*3)</f>
        <v>0</v>
      </c>
      <c r="P7" s="35">
        <f>IF(OR(D7="PT", D7="DSHV"), SUMIFS('Tăng ca lễ'!P:P, 'Tăng ca lễ'!K:K, B7, 'Tăng ca lễ'!L:L, C7)*2, SUMIFS('Tăng ca lễ'!P:P, 'Tăng ca lễ'!K:K, B7, 'Tăng ca lễ'!L:L, C7)*3)</f>
        <v>0</v>
      </c>
      <c r="Q7" s="35"/>
      <c r="R7" s="42">
        <f>SUMIFS('Ngày công'!M:M, 'Ngày công'!K:K, B7, 'Ngày công'!L:L, C7)</f>
        <v>11</v>
      </c>
      <c r="S7" s="39">
        <f>SUMIFS('Công Đào tạo'!G:G, 'Công Đào tạo'!E:E, B7, 'Công Đào tạo'!F:F, C7)</f>
        <v>0</v>
      </c>
      <c r="T7" s="35">
        <v>0</v>
      </c>
      <c r="U7" s="41"/>
      <c r="V7" s="46">
        <f t="shared" si="4"/>
        <v>0</v>
      </c>
      <c r="W7" s="42"/>
      <c r="X7" s="42">
        <f t="shared" si="5"/>
        <v>0</v>
      </c>
      <c r="Y7" s="42"/>
      <c r="Z7" s="42"/>
      <c r="AA7" s="42">
        <f>IF(ROW()=MATCH(C7, $C$1:$C$72, 0), IFERROR(VLOOKUP(C7, 'MiniKat - HN'!$A:$L, 12, FALSE), 0) + IFERROR(VLOOKUP(C7, 'MiniKat - HCM'!$A:$J, 10, FALSE), 0), 0)</f>
        <v>0</v>
      </c>
      <c r="AB7" s="42">
        <f>IF(OR(TRIM(D7)="CHT", TRIM(D7)="Q.CHT"), SUMIFS('MiniKat - HN'!$Y:$Y, 'MiniKat - HN'!$N:$N, B7) + SUMIFS('MiniKat - HCM'!$U:$U, 'MiniKat - HCM'!$M:$M, B7), 0)</f>
        <v>0</v>
      </c>
      <c r="AC7" s="42">
        <f>IF(ROW()=MATCH(C7, $C$1:$C$72, 0), SUMIFS(whatsapp!$D:$D, whatsapp!$A:$A, C7), 0)</f>
        <v>0</v>
      </c>
      <c r="AD7" s="42">
        <f>SUMIFS('Dự án'!$C:$C, 'Dự án'!$A:$A, B7, 'Dự án'!$B:$B, C7)</f>
        <v>0</v>
      </c>
      <c r="AE7" s="42">
        <f>SUMIFS(KPI!$C:$C, KPI!$A:$A, B7, KPI!$B:$B, C7)</f>
        <v>0</v>
      </c>
      <c r="AF7" s="43">
        <f>SUMIFS('Thưởng CK'!$C:$C, 'Thưởng CK'!$A:$A, B7, 'Thưởng CK'!$B:$B, C7)</f>
        <v>1011600</v>
      </c>
      <c r="AG7" s="42">
        <f>SUMIFS('Cận date'!$C:$C, 'Cận date'!$A:$A, B7, 'Cận date'!$B:$B, C7)</f>
        <v>0</v>
      </c>
      <c r="AH7" s="42">
        <f>SUMIFS(Map!$D:$D, Map!$B:$B, B7, Map!$A:$A, C7)</f>
        <v>0</v>
      </c>
      <c r="AI7" s="42">
        <v>0</v>
      </c>
      <c r="AJ7" s="42">
        <f t="shared" si="6"/>
        <v>0</v>
      </c>
      <c r="AK7" s="42">
        <f>SUMIFS('KPI trừ'!$C:$C, 'KPI trừ'!$A:$A, B7, 'KPI trừ'!$B:$B, C7)</f>
        <v>0</v>
      </c>
      <c r="AL7" s="42">
        <f>SUMIFS('KPI trừ'!$D:$D, 'KPI trừ'!$A:$A, B7, 'KPI trừ'!$B:$B, C7)</f>
        <v>0</v>
      </c>
      <c r="AM7" s="42">
        <f>SUMIFS('KPI trừ'!$E:$E, 'KPI trừ'!$A:$A, B7, 'KPI trừ'!$B:$B, C7)</f>
        <v>0</v>
      </c>
      <c r="AN7" s="42">
        <f>SUMIFS('KPI trừ'!$F:$F, 'KPI trừ'!$A:$A, B7, 'KPI trừ'!$B:$B, C7)</f>
        <v>0</v>
      </c>
      <c r="AO7" s="42">
        <f>SUMIFS('KPI trừ'!$G:$G, 'KPI trừ'!$A:$A, B7, 'KPI trừ'!$B:$B, C7)</f>
        <v>0</v>
      </c>
      <c r="AP7" s="44" t="str">
        <f>IFERROR(INDEX('KPI trừ'!$H:$H, MATCH(1, ('KPI trừ'!$A:$A=B7)*('KPI trừ'!$B:$B=C7), 0)), "")</f>
        <v/>
      </c>
      <c r="AQ7" s="16"/>
      <c r="AR7" s="44"/>
      <c r="AS7" s="44"/>
      <c r="AT7" s="44"/>
      <c r="AU7" s="44"/>
      <c r="AV7" s="44"/>
      <c r="AW7" s="44"/>
      <c r="AX7" s="44"/>
      <c r="AY7" s="44"/>
      <c r="AZ7" s="44"/>
      <c r="BA7" s="44"/>
    </row>
    <row r="8" spans="1:53" ht="15.75" customHeight="1">
      <c r="A8" s="34">
        <v>6</v>
      </c>
      <c r="B8" s="35" t="s">
        <v>15</v>
      </c>
      <c r="C8" s="36" t="s">
        <v>82</v>
      </c>
      <c r="D8" s="34" t="s">
        <v>81</v>
      </c>
      <c r="E8" s="140">
        <f t="shared" si="0"/>
        <v>164.32999999999996</v>
      </c>
      <c r="F8" s="140">
        <f t="shared" si="1"/>
        <v>24.07</v>
      </c>
      <c r="G8" s="39">
        <f>SUMIFS('Giờ công'!I:I, 'Giờ công'!G:G, B8, 'Giờ công'!H:H, C8)</f>
        <v>164.32999999999996</v>
      </c>
      <c r="H8" s="39">
        <f>SUMIFS('Giờ công'!J:J, 'Giờ công'!G:G, B8, 'Giờ công'!H:H, C8)</f>
        <v>24.07</v>
      </c>
      <c r="I8" s="42" t="str">
        <f t="shared" si="2"/>
        <v/>
      </c>
      <c r="J8" s="193">
        <f t="shared" si="3"/>
        <v>6.8</v>
      </c>
      <c r="K8" s="42">
        <f>SUMIFS('Ngày công'!I:I, 'Ngày công'!A:A, B8, 'Ngày công'!B:B, C8)</f>
        <v>3</v>
      </c>
      <c r="L8" s="35"/>
      <c r="M8" s="35"/>
      <c r="N8" s="42">
        <f>SUMIFS('Tăng ca lễ'!M:M, 'Tăng ca lễ'!K:K, B8, 'Tăng ca lễ'!L:L, C8)</f>
        <v>0</v>
      </c>
      <c r="O8" s="35">
        <f>IF(OR(D8="PT", D8="DSHV"), SUMIFS('Tăng ca lễ'!O:O, 'Tăng ca lễ'!K:K, B8, 'Tăng ca lễ'!L:L, C8)*2, SUMIFS('Tăng ca lễ'!O:O, 'Tăng ca lễ'!K:K, B8, 'Tăng ca lễ'!L:L, C8)*3)</f>
        <v>0</v>
      </c>
      <c r="P8" s="35">
        <f>IF(OR(D8="PT", D8="DSHV"), SUMIFS('Tăng ca lễ'!P:P, 'Tăng ca lễ'!K:K, B8, 'Tăng ca lễ'!L:L, C8)*2, SUMIFS('Tăng ca lễ'!P:P, 'Tăng ca lễ'!K:K, B8, 'Tăng ca lễ'!L:L, C8)*3)</f>
        <v>0</v>
      </c>
      <c r="Q8" s="35"/>
      <c r="R8" s="42">
        <f>SUMIFS('Ngày công'!M:M, 'Ngày công'!K:K, B8, 'Ngày công'!L:L, C8)</f>
        <v>23</v>
      </c>
      <c r="S8" s="39">
        <f>SUMIFS('Công Đào tạo'!G:G, 'Công Đào tạo'!E:E, B8, 'Công Đào tạo'!F:F, C8)</f>
        <v>0</v>
      </c>
      <c r="T8" s="35">
        <v>0</v>
      </c>
      <c r="U8" s="41"/>
      <c r="V8" s="46">
        <f t="shared" si="4"/>
        <v>0</v>
      </c>
      <c r="W8" s="42"/>
      <c r="X8" s="42">
        <f t="shared" si="5"/>
        <v>0</v>
      </c>
      <c r="Y8" s="42"/>
      <c r="Z8" s="42"/>
      <c r="AA8" s="42">
        <f>IF(ROW()=MATCH(C8, $C$1:$C$72, 0), IFERROR(VLOOKUP(C8, 'MiniKat - HN'!$A:$L, 12, FALSE), 0) + IFERROR(VLOOKUP(C8, 'MiniKat - HCM'!$A:$J, 10, FALSE), 0), 0)</f>
        <v>0</v>
      </c>
      <c r="AB8" s="42">
        <f>IF(OR(TRIM(D8)="CHT", TRIM(D8)="Q.CHT"), SUMIFS('MiniKat - HN'!$Y:$Y, 'MiniKat - HN'!$N:$N, B8) + SUMIFS('MiniKat - HCM'!$U:$U, 'MiniKat - HCM'!$M:$M, B8), 0)</f>
        <v>0</v>
      </c>
      <c r="AC8" s="42">
        <f>IF(ROW()=MATCH(C8, $C$1:$C$72, 0), SUMIFS(whatsapp!$D:$D, whatsapp!$A:$A, C8), 0)</f>
        <v>0</v>
      </c>
      <c r="AD8" s="42">
        <f>SUMIFS('Dự án'!$C:$C, 'Dự án'!$A:$A, B8, 'Dự án'!$B:$B, C8)</f>
        <v>0</v>
      </c>
      <c r="AE8" s="42">
        <f>SUMIFS(KPI!$C:$C, KPI!$A:$A, B8, KPI!$B:$B, C8)</f>
        <v>0</v>
      </c>
      <c r="AF8" s="43">
        <f>SUMIFS('Thưởng CK'!$C:$C, 'Thưởng CK'!$A:$A, B8, 'Thưởng CK'!$B:$B, C8)</f>
        <v>1686900</v>
      </c>
      <c r="AG8" s="42">
        <f>SUMIFS('Cận date'!$C:$C, 'Cận date'!$A:$A, B8, 'Cận date'!$B:$B, C8)</f>
        <v>18300</v>
      </c>
      <c r="AH8" s="42">
        <f>SUMIFS(Map!$D:$D, Map!$B:$B, B8, Map!$A:$A, C8)</f>
        <v>0</v>
      </c>
      <c r="AI8" s="42">
        <v>0</v>
      </c>
      <c r="AJ8" s="42">
        <f t="shared" si="6"/>
        <v>0</v>
      </c>
      <c r="AK8" s="42">
        <f>SUMIFS('KPI trừ'!$C:$C, 'KPI trừ'!$A:$A, B8, 'KPI trừ'!$B:$B, C8)</f>
        <v>0</v>
      </c>
      <c r="AL8" s="42">
        <f>SUMIFS('KPI trừ'!$D:$D, 'KPI trừ'!$A:$A, B8, 'KPI trừ'!$B:$B, C8)</f>
        <v>0</v>
      </c>
      <c r="AM8" s="42">
        <f>SUMIFS('KPI trừ'!$E:$E, 'KPI trừ'!$A:$A, B8, 'KPI trừ'!$B:$B, C8)</f>
        <v>0</v>
      </c>
      <c r="AN8" s="42">
        <f>SUMIFS('KPI trừ'!$F:$F, 'KPI trừ'!$A:$A, B8, 'KPI trừ'!$B:$B, C8)</f>
        <v>0</v>
      </c>
      <c r="AO8" s="42">
        <f>SUMIFS('KPI trừ'!$G:$G, 'KPI trừ'!$A:$A, B8, 'KPI trừ'!$B:$B, C8)</f>
        <v>0</v>
      </c>
      <c r="AP8" s="44" t="str">
        <f>IFERROR(INDEX('KPI trừ'!$H:$H, MATCH(1, ('KPI trừ'!$A:$A=B8)*('KPI trừ'!$B:$B=C8), 0)), "")</f>
        <v/>
      </c>
      <c r="AQ8" s="16"/>
      <c r="AR8" s="44"/>
      <c r="AS8" s="44"/>
      <c r="AT8" s="44"/>
      <c r="AU8" s="44"/>
      <c r="AV8" s="44"/>
      <c r="AW8" s="44"/>
      <c r="AX8" s="44"/>
      <c r="AY8" s="44"/>
      <c r="AZ8" s="44"/>
      <c r="BA8" s="44"/>
    </row>
    <row r="9" spans="1:53" ht="15.75" customHeight="1">
      <c r="A9" s="34">
        <v>7</v>
      </c>
      <c r="B9" s="35" t="s">
        <v>15</v>
      </c>
      <c r="C9" s="36" t="s">
        <v>83</v>
      </c>
      <c r="D9" s="34" t="s">
        <v>81</v>
      </c>
      <c r="E9" s="140">
        <f t="shared" si="0"/>
        <v>253.43</v>
      </c>
      <c r="F9" s="140">
        <f t="shared" si="1"/>
        <v>31.43</v>
      </c>
      <c r="G9" s="39">
        <f>SUMIFS('Giờ công'!I:I, 'Giờ công'!G:G, B9, 'Giờ công'!H:H, C9)</f>
        <v>245.43</v>
      </c>
      <c r="H9" s="39">
        <f>SUMIFS('Giờ công'!J:J, 'Giờ công'!G:G, B9, 'Giờ công'!H:H, C9)</f>
        <v>31.43</v>
      </c>
      <c r="I9" s="42">
        <f t="shared" si="2"/>
        <v>8</v>
      </c>
      <c r="J9" s="193">
        <f t="shared" si="3"/>
        <v>10.199999999999999</v>
      </c>
      <c r="K9" s="42">
        <f>SUMIFS('Ngày công'!I:I, 'Ngày công'!A:A, B9, 'Ngày công'!B:B, C9)</f>
        <v>4</v>
      </c>
      <c r="L9" s="35"/>
      <c r="M9" s="35"/>
      <c r="N9" s="42">
        <f>SUMIFS('Tăng ca lễ'!M:M, 'Tăng ca lễ'!K:K, B9, 'Tăng ca lễ'!L:L, C9)</f>
        <v>0</v>
      </c>
      <c r="O9" s="35">
        <f>IF(OR(D9="PT", D9="DSHV"), SUMIFS('Tăng ca lễ'!O:O, 'Tăng ca lễ'!K:K, B9, 'Tăng ca lễ'!L:L, C9)*2, SUMIFS('Tăng ca lễ'!O:O, 'Tăng ca lễ'!K:K, B9, 'Tăng ca lễ'!L:L, C9)*3)</f>
        <v>0</v>
      </c>
      <c r="P9" s="35">
        <f>IF(OR(D9="PT", D9="DSHV"), SUMIFS('Tăng ca lễ'!P:P, 'Tăng ca lễ'!K:K, B9, 'Tăng ca lễ'!L:L, C9)*2, SUMIFS('Tăng ca lễ'!P:P, 'Tăng ca lễ'!K:K, B9, 'Tăng ca lễ'!L:L, C9)*3)</f>
        <v>0</v>
      </c>
      <c r="Q9" s="35"/>
      <c r="R9" s="42">
        <f>SUMIFS('Ngày công'!M:M, 'Ngày công'!K:K, B9, 'Ngày công'!L:L, C9)</f>
        <v>29</v>
      </c>
      <c r="S9" s="39">
        <f>SUMIFS('Công Đào tạo'!G:G, 'Công Đào tạo'!E:E, B9, 'Công Đào tạo'!F:F, C9)</f>
        <v>0</v>
      </c>
      <c r="T9" s="35">
        <v>0</v>
      </c>
      <c r="U9" s="41"/>
      <c r="V9" s="46">
        <f t="shared" si="4"/>
        <v>0</v>
      </c>
      <c r="W9" s="42"/>
      <c r="X9" s="42">
        <f t="shared" si="5"/>
        <v>0</v>
      </c>
      <c r="Y9" s="42"/>
      <c r="Z9" s="42"/>
      <c r="AA9" s="42">
        <f>IF(ROW()=MATCH(C9, $C$1:$C$72, 0), IFERROR(VLOOKUP(C9, 'MiniKat - HN'!$A:$L, 12, FALSE), 0) + IFERROR(VLOOKUP(C9, 'MiniKat - HCM'!$A:$J, 10, FALSE), 0), 0)</f>
        <v>0</v>
      </c>
      <c r="AB9" s="42">
        <f>IF(OR(TRIM(D9)="CHT", TRIM(D9)="Q.CHT"), SUMIFS('MiniKat - HN'!$Y:$Y, 'MiniKat - HN'!$N:$N, B9) + SUMIFS('MiniKat - HCM'!$U:$U, 'MiniKat - HCM'!$M:$M, B9), 0)</f>
        <v>0</v>
      </c>
      <c r="AC9" s="42">
        <f>IF(ROW()=MATCH(C9, $C$1:$C$72, 0), SUMIFS(whatsapp!$D:$D, whatsapp!$A:$A, C9), 0)</f>
        <v>0</v>
      </c>
      <c r="AD9" s="42">
        <f>SUMIFS('Dự án'!$C:$C, 'Dự án'!$A:$A, B9, 'Dự án'!$B:$B, C9)</f>
        <v>2800000</v>
      </c>
      <c r="AE9" s="42">
        <f>SUMIFS(KPI!$C:$C, KPI!$A:$A, B9, KPI!$B:$B, C9)</f>
        <v>2472796</v>
      </c>
      <c r="AF9" s="43">
        <f>SUMIFS('Thưởng CK'!$C:$C, 'Thưởng CK'!$A:$A, B9, 'Thưởng CK'!$B:$B, C9)</f>
        <v>3808150</v>
      </c>
      <c r="AG9" s="42">
        <f>SUMIFS('Cận date'!$C:$C, 'Cận date'!$A:$A, B9, 'Cận date'!$B:$B, C9)</f>
        <v>46851</v>
      </c>
      <c r="AH9" s="42">
        <f>SUMIFS(Map!$D:$D, Map!$B:$B, B9, Map!$A:$A, C9)</f>
        <v>0</v>
      </c>
      <c r="AI9" s="42">
        <v>0</v>
      </c>
      <c r="AJ9" s="42">
        <f t="shared" si="6"/>
        <v>0</v>
      </c>
      <c r="AK9" s="42">
        <f>SUMIFS('KPI trừ'!$C:$C, 'KPI trừ'!$A:$A, B9, 'KPI trừ'!$B:$B, C9)</f>
        <v>0</v>
      </c>
      <c r="AL9" s="42">
        <f>SUMIFS('KPI trừ'!$D:$D, 'KPI trừ'!$A:$A, B9, 'KPI trừ'!$B:$B, C9)</f>
        <v>0</v>
      </c>
      <c r="AM9" s="42">
        <f>SUMIFS('KPI trừ'!$E:$E, 'KPI trừ'!$A:$A, B9, 'KPI trừ'!$B:$B, C9)</f>
        <v>0</v>
      </c>
      <c r="AN9" s="42">
        <f>SUMIFS('KPI trừ'!$F:$F, 'KPI trừ'!$A:$A, B9, 'KPI trừ'!$B:$B, C9)</f>
        <v>0</v>
      </c>
      <c r="AO9" s="42">
        <f>SUMIFS('KPI trừ'!$G:$G, 'KPI trừ'!$A:$A, B9, 'KPI trừ'!$B:$B, C9)</f>
        <v>0</v>
      </c>
      <c r="AP9" s="44" t="str">
        <f>IFERROR(INDEX('KPI trừ'!$H:$H, MATCH(1, ('KPI trừ'!$A:$A=B9)*('KPI trừ'!$B:$B=C9), 0)), "")</f>
        <v/>
      </c>
      <c r="AQ9" s="16"/>
      <c r="AR9" s="44"/>
      <c r="AS9" s="44"/>
      <c r="AT9" s="44"/>
      <c r="AU9" s="44"/>
      <c r="AV9" s="44"/>
      <c r="AW9" s="44"/>
      <c r="AX9" s="44"/>
      <c r="AY9" s="44"/>
      <c r="AZ9" s="44"/>
      <c r="BA9" s="44"/>
    </row>
    <row r="10" spans="1:53" ht="15.75" customHeight="1">
      <c r="A10" s="34">
        <v>8</v>
      </c>
      <c r="B10" s="35" t="s">
        <v>17</v>
      </c>
      <c r="C10" s="36" t="s">
        <v>84</v>
      </c>
      <c r="D10" s="34" t="s">
        <v>73</v>
      </c>
      <c r="E10" s="140">
        <f t="shared" si="0"/>
        <v>183.01</v>
      </c>
      <c r="F10" s="140">
        <f t="shared" si="1"/>
        <v>0</v>
      </c>
      <c r="G10" s="39">
        <f>SUMIFS('Giờ công'!I:I, 'Giờ công'!G:G, B10, 'Giờ công'!H:H, C10)</f>
        <v>183.01</v>
      </c>
      <c r="H10" s="39">
        <f>SUMIFS('Giờ công'!J:J, 'Giờ công'!G:G, B10, 'Giờ công'!H:H, C10)</f>
        <v>0</v>
      </c>
      <c r="I10" s="42" t="str">
        <f t="shared" si="2"/>
        <v/>
      </c>
      <c r="J10" s="193">
        <f t="shared" si="3"/>
        <v>7.6</v>
      </c>
      <c r="K10" s="42">
        <f>SUMIFS('Ngày công'!I:I, 'Ngày công'!A:A, B10, 'Ngày công'!B:B, C10)</f>
        <v>0</v>
      </c>
      <c r="L10" s="35"/>
      <c r="M10" s="35"/>
      <c r="N10" s="42">
        <f>SUMIFS('Tăng ca lễ'!M:M, 'Tăng ca lễ'!K:K, B10, 'Tăng ca lễ'!L:L, C10)</f>
        <v>0</v>
      </c>
      <c r="O10" s="35">
        <f>IF(OR(D10="PT", D10="DSHV"), SUMIFS('Tăng ca lễ'!O:O, 'Tăng ca lễ'!K:K, B10, 'Tăng ca lễ'!L:L, C10)*2, SUMIFS('Tăng ca lễ'!O:O, 'Tăng ca lễ'!K:K, B10, 'Tăng ca lễ'!L:L, C10)*3)</f>
        <v>0</v>
      </c>
      <c r="P10" s="35">
        <f>IF(OR(D10="PT", D10="DSHV"), SUMIFS('Tăng ca lễ'!P:P, 'Tăng ca lễ'!K:K, B10, 'Tăng ca lễ'!L:L, C10)*2, SUMIFS('Tăng ca lễ'!P:P, 'Tăng ca lễ'!K:K, B10, 'Tăng ca lễ'!L:L, C10)*3)</f>
        <v>0</v>
      </c>
      <c r="Q10" s="35"/>
      <c r="R10" s="42">
        <f>SUMIFS('Ngày công'!M:M, 'Ngày công'!K:K, B10, 'Ngày công'!L:L, C10)</f>
        <v>23</v>
      </c>
      <c r="S10" s="39">
        <f>SUMIFS('Công Đào tạo'!G:G, 'Công Đào tạo'!E:E, B10, 'Công Đào tạo'!F:F, C10)</f>
        <v>0</v>
      </c>
      <c r="T10" s="35">
        <v>0</v>
      </c>
      <c r="U10" s="41"/>
      <c r="V10" s="46">
        <f t="shared" si="4"/>
        <v>370967.74193548388</v>
      </c>
      <c r="W10" s="42"/>
      <c r="X10" s="42">
        <f t="shared" si="5"/>
        <v>0</v>
      </c>
      <c r="Y10" s="42"/>
      <c r="Z10" s="42"/>
      <c r="AA10" s="42">
        <f>IF(ROW()=MATCH(C10, $C$1:$C$72, 0), IFERROR(VLOOKUP(C10, 'MiniKat - HN'!$A:$L, 12, FALSE), 0) + IFERROR(VLOOKUP(C10, 'MiniKat - HCM'!$A:$J, 10, FALSE), 0), 0)</f>
        <v>0</v>
      </c>
      <c r="AB10" s="42">
        <f>IF(OR(TRIM(D10)="CHT", TRIM(D10)="Q.CHT"), SUMIFS('MiniKat - HN'!$Y:$Y, 'MiniKat - HN'!$N:$N, B10) + SUMIFS('MiniKat - HCM'!$U:$U, 'MiniKat - HCM'!$M:$M, B10), 0)</f>
        <v>0</v>
      </c>
      <c r="AC10" s="42">
        <f>IF(ROW()=MATCH(C10, $C$1:$C$72, 0), SUMIFS(whatsapp!$D:$D, whatsapp!$A:$A, C10), 0)</f>
        <v>2681852</v>
      </c>
      <c r="AD10" s="42">
        <f>SUMIFS('Dự án'!$C:$C, 'Dự án'!$A:$A, B10, 'Dự án'!$B:$B, C10)</f>
        <v>0</v>
      </c>
      <c r="AE10" s="42">
        <f>SUMIFS(KPI!$C:$C, KPI!$A:$A, B10, KPI!$B:$B, C10)</f>
        <v>0</v>
      </c>
      <c r="AF10" s="43">
        <f>SUMIFS('Thưởng CK'!$C:$C, 'Thưởng CK'!$A:$A, B10, 'Thưởng CK'!$B:$B, C10)</f>
        <v>688400</v>
      </c>
      <c r="AG10" s="42">
        <f>SUMIFS('Cận date'!$C:$C, 'Cận date'!$A:$A, B10, 'Cận date'!$B:$B, C10)</f>
        <v>14067</v>
      </c>
      <c r="AH10" s="42">
        <f>SUMIFS(Map!$D:$D, Map!$B:$B, B10, Map!$A:$A, C10)</f>
        <v>0</v>
      </c>
      <c r="AI10" s="42">
        <v>0</v>
      </c>
      <c r="AJ10" s="42">
        <f t="shared" si="6"/>
        <v>0</v>
      </c>
      <c r="AK10" s="42">
        <f>SUMIFS('KPI trừ'!$C:$C, 'KPI trừ'!$A:$A, B10, 'KPI trừ'!$B:$B, C10)</f>
        <v>0</v>
      </c>
      <c r="AL10" s="42">
        <f>SUMIFS('KPI trừ'!$D:$D, 'KPI trừ'!$A:$A, B10, 'KPI trừ'!$B:$B, C10)</f>
        <v>0</v>
      </c>
      <c r="AM10" s="42">
        <f>SUMIFS('KPI trừ'!$E:$E, 'KPI trừ'!$A:$A, B10, 'KPI trừ'!$B:$B, C10)</f>
        <v>0</v>
      </c>
      <c r="AN10" s="42">
        <f>SUMIFS('KPI trừ'!$F:$F, 'KPI trừ'!$A:$A, B10, 'KPI trừ'!$B:$B, C10)</f>
        <v>0</v>
      </c>
      <c r="AO10" s="42">
        <f>SUMIFS('KPI trừ'!$G:$G, 'KPI trừ'!$A:$A, B10, 'KPI trừ'!$B:$B, C10)</f>
        <v>0</v>
      </c>
      <c r="AP10" s="44" t="str">
        <f>IFERROR(INDEX('KPI trừ'!$H:$H, MATCH(1, ('KPI trừ'!$A:$A=B10)*('KPI trừ'!$B:$B=C10), 0)), "")</f>
        <v/>
      </c>
      <c r="AQ10" s="16"/>
      <c r="AR10" s="44"/>
      <c r="AS10" s="44"/>
      <c r="AT10" s="44"/>
      <c r="AU10" s="44"/>
      <c r="AV10" s="44"/>
      <c r="AW10" s="44"/>
      <c r="AX10" s="44"/>
      <c r="AY10" s="44"/>
      <c r="AZ10" s="44"/>
      <c r="BA10" s="44"/>
    </row>
    <row r="11" spans="1:53" ht="15.75" customHeight="1">
      <c r="A11" s="34">
        <v>9</v>
      </c>
      <c r="B11" s="35" t="s">
        <v>17</v>
      </c>
      <c r="C11" s="44" t="s">
        <v>85</v>
      </c>
      <c r="D11" s="34" t="s">
        <v>77</v>
      </c>
      <c r="E11" s="140">
        <f t="shared" si="0"/>
        <v>32.49</v>
      </c>
      <c r="F11" s="140">
        <f t="shared" si="1"/>
        <v>0</v>
      </c>
      <c r="G11" s="39">
        <f>SUMIFS('Giờ công'!I:I, 'Giờ công'!G:G, B11, 'Giờ công'!H:H, C11)</f>
        <v>32.49</v>
      </c>
      <c r="H11" s="39">
        <f>SUMIFS('Giờ công'!J:J, 'Giờ công'!G:G, B11, 'Giờ công'!H:H, C11)</f>
        <v>0</v>
      </c>
      <c r="I11" s="42" t="str">
        <f t="shared" si="2"/>
        <v/>
      </c>
      <c r="J11" s="193">
        <f t="shared" si="3"/>
        <v>1.4</v>
      </c>
      <c r="K11" s="42">
        <f>SUMIFS('Ngày công'!I:I, 'Ngày công'!A:A, B11, 'Ngày công'!B:B, C11)</f>
        <v>0</v>
      </c>
      <c r="L11" s="35"/>
      <c r="M11" s="35"/>
      <c r="N11" s="42">
        <f>SUMIFS('Tăng ca lễ'!M:M, 'Tăng ca lễ'!K:K, B11, 'Tăng ca lễ'!L:L, C11)</f>
        <v>0</v>
      </c>
      <c r="O11" s="35">
        <f>IF(OR(D11="PT", D11="DSHV"), SUMIFS('Tăng ca lễ'!O:O, 'Tăng ca lễ'!K:K, B11, 'Tăng ca lễ'!L:L, C11)*2, SUMIFS('Tăng ca lễ'!O:O, 'Tăng ca lễ'!K:K, B11, 'Tăng ca lễ'!L:L, C11)*3)</f>
        <v>0</v>
      </c>
      <c r="P11" s="35">
        <f>IF(OR(D11="PT", D11="DSHV"), SUMIFS('Tăng ca lễ'!P:P, 'Tăng ca lễ'!K:K, B11, 'Tăng ca lễ'!L:L, C11)*2, SUMIFS('Tăng ca lễ'!P:P, 'Tăng ca lễ'!K:K, B11, 'Tăng ca lễ'!L:L, C11)*3)</f>
        <v>0</v>
      </c>
      <c r="Q11" s="35"/>
      <c r="R11" s="42">
        <f>SUMIFS('Ngày công'!M:M, 'Ngày công'!K:K, B11, 'Ngày công'!L:L, C11)</f>
        <v>4</v>
      </c>
      <c r="S11" s="39">
        <f>SUMIFS('Công Đào tạo'!G:G, 'Công Đào tạo'!E:E, B11, 'Công Đào tạo'!F:F, C11)</f>
        <v>0</v>
      </c>
      <c r="T11" s="35">
        <v>0</v>
      </c>
      <c r="U11" s="41"/>
      <c r="V11" s="46">
        <f t="shared" si="4"/>
        <v>0</v>
      </c>
      <c r="W11" s="42"/>
      <c r="X11" s="42">
        <f t="shared" si="5"/>
        <v>0</v>
      </c>
      <c r="Y11" s="42"/>
      <c r="Z11" s="42"/>
      <c r="AA11" s="42">
        <f>IF(ROW()=MATCH(C11, $C$1:$C$72, 0), IFERROR(VLOOKUP(C11, 'MiniKat - HN'!$A:$L, 12, FALSE), 0) + IFERROR(VLOOKUP(C11, 'MiniKat - HCM'!$A:$J, 10, FALSE), 0), 0)</f>
        <v>0</v>
      </c>
      <c r="AB11" s="42">
        <f>IF(OR(TRIM(D11)="CHT", TRIM(D11)="Q.CHT"), SUMIFS('MiniKat - HN'!$Y:$Y, 'MiniKat - HN'!$N:$N, B11) + SUMIFS('MiniKat - HCM'!$U:$U, 'MiniKat - HCM'!$M:$M, B11), 0)</f>
        <v>0</v>
      </c>
      <c r="AC11" s="42">
        <f>IF(ROW()=MATCH(C11, $C$1:$C$72, 0), SUMIFS(whatsapp!$D:$D, whatsapp!$A:$A, C11), 0)</f>
        <v>0</v>
      </c>
      <c r="AD11" s="42">
        <f>SUMIFS('Dự án'!$C:$C, 'Dự án'!$A:$A, B11, 'Dự án'!$B:$B, C11)</f>
        <v>0</v>
      </c>
      <c r="AE11" s="42">
        <f>SUMIFS(KPI!$C:$C, KPI!$A:$A, B11, KPI!$B:$B, C11)</f>
        <v>0</v>
      </c>
      <c r="AF11" s="43">
        <f>SUMIFS('Thưởng CK'!$C:$C, 'Thưởng CK'!$A:$A, B11, 'Thưởng CK'!$B:$B, C11)</f>
        <v>0</v>
      </c>
      <c r="AG11" s="42">
        <f>SUMIFS('Cận date'!$C:$C, 'Cận date'!$A:$A, B11, 'Cận date'!$B:$B, C11)</f>
        <v>0</v>
      </c>
      <c r="AH11" s="42">
        <f>SUMIFS(Map!$D:$D, Map!$B:$B, B11, Map!$A:$A, C11)</f>
        <v>0</v>
      </c>
      <c r="AI11" s="42">
        <v>0</v>
      </c>
      <c r="AJ11" s="42">
        <f t="shared" si="6"/>
        <v>0</v>
      </c>
      <c r="AK11" s="42">
        <f>SUMIFS('KPI trừ'!$C:$C, 'KPI trừ'!$A:$A, B11, 'KPI trừ'!$B:$B, C11)</f>
        <v>0</v>
      </c>
      <c r="AL11" s="42">
        <f>SUMIFS('KPI trừ'!$D:$D, 'KPI trừ'!$A:$A, B11, 'KPI trừ'!$B:$B, C11)</f>
        <v>0</v>
      </c>
      <c r="AM11" s="42">
        <f>SUMIFS('KPI trừ'!$E:$E, 'KPI trừ'!$A:$A, B11, 'KPI trừ'!$B:$B, C11)</f>
        <v>0</v>
      </c>
      <c r="AN11" s="42">
        <f>SUMIFS('KPI trừ'!$F:$F, 'KPI trừ'!$A:$A, B11, 'KPI trừ'!$B:$B, C11)</f>
        <v>0</v>
      </c>
      <c r="AO11" s="42">
        <f>SUMIFS('KPI trừ'!$G:$G, 'KPI trừ'!$A:$A, B11, 'KPI trừ'!$B:$B, C11)</f>
        <v>0</v>
      </c>
      <c r="AP11" s="44" t="str">
        <f>IFERROR(INDEX('KPI trừ'!$H:$H, MATCH(1, ('KPI trừ'!$A:$A=B11)*('KPI trừ'!$B:$B=C11), 0)), "")</f>
        <v/>
      </c>
      <c r="AQ11" s="16"/>
      <c r="AR11" s="44"/>
      <c r="AS11" s="44"/>
      <c r="AT11" s="44"/>
      <c r="AU11" s="44"/>
      <c r="AV11" s="44"/>
      <c r="AW11" s="44"/>
      <c r="AX11" s="44"/>
      <c r="AY11" s="44"/>
      <c r="AZ11" s="44"/>
      <c r="BA11" s="44"/>
    </row>
    <row r="12" spans="1:53" ht="15.75" customHeight="1">
      <c r="A12" s="34">
        <v>10</v>
      </c>
      <c r="B12" s="35" t="s">
        <v>17</v>
      </c>
      <c r="C12" s="44" t="s">
        <v>86</v>
      </c>
      <c r="D12" s="34" t="s">
        <v>79</v>
      </c>
      <c r="E12" s="140">
        <f t="shared" si="0"/>
        <v>11.02000000000001</v>
      </c>
      <c r="F12" s="140">
        <f t="shared" si="1"/>
        <v>230.26</v>
      </c>
      <c r="G12" s="39">
        <f>SUMIFS('Giờ công'!I:I, 'Giờ công'!G:G, B12, 'Giờ công'!H:H, C12)</f>
        <v>3.0200000000000102</v>
      </c>
      <c r="H12" s="39">
        <f>SUMIFS('Giờ công'!J:J, 'Giờ công'!G:G, B12, 'Giờ công'!H:H, C12)</f>
        <v>230.26</v>
      </c>
      <c r="I12" s="42">
        <f t="shared" si="2"/>
        <v>8</v>
      </c>
      <c r="J12" s="193">
        <f t="shared" si="3"/>
        <v>0.1</v>
      </c>
      <c r="K12" s="42">
        <f>SUMIFS('Ngày công'!I:I, 'Ngày công'!A:A, B12, 'Ngày công'!B:B, C12)</f>
        <v>29</v>
      </c>
      <c r="L12" s="35"/>
      <c r="M12" s="35"/>
      <c r="N12" s="42">
        <f>SUMIFS('Tăng ca lễ'!M:M, 'Tăng ca lễ'!K:K, B12, 'Tăng ca lễ'!L:L, C12)</f>
        <v>0</v>
      </c>
      <c r="O12" s="35">
        <f>IF(OR(D12="PT", D12="DSHV"), SUMIFS('Tăng ca lễ'!O:O, 'Tăng ca lễ'!K:K, B12, 'Tăng ca lễ'!L:L, C12)*2, SUMIFS('Tăng ca lễ'!O:O, 'Tăng ca lễ'!K:K, B12, 'Tăng ca lễ'!L:L, C12)*3)</f>
        <v>0</v>
      </c>
      <c r="P12" s="35">
        <f>IF(OR(D12="PT", D12="DSHV"), SUMIFS('Tăng ca lễ'!P:P, 'Tăng ca lễ'!K:K, B12, 'Tăng ca lễ'!L:L, C12)*2, SUMIFS('Tăng ca lễ'!P:P, 'Tăng ca lễ'!K:K, B12, 'Tăng ca lễ'!L:L, C12)*3)</f>
        <v>0</v>
      </c>
      <c r="Q12" s="35"/>
      <c r="R12" s="42">
        <f>SUMIFS('Ngày công'!M:M, 'Ngày công'!K:K, B12, 'Ngày công'!L:L, C12)</f>
        <v>29</v>
      </c>
      <c r="S12" s="39">
        <f>SUMIFS('Công Đào tạo'!G:G, 'Công Đào tạo'!E:E, B12, 'Công Đào tạo'!F:F, C12)</f>
        <v>0</v>
      </c>
      <c r="T12" s="35">
        <v>0</v>
      </c>
      <c r="U12" s="41"/>
      <c r="V12" s="46">
        <f t="shared" si="4"/>
        <v>0</v>
      </c>
      <c r="W12" s="42"/>
      <c r="X12" s="42">
        <f t="shared" si="5"/>
        <v>5357</v>
      </c>
      <c r="Y12" s="42"/>
      <c r="Z12" s="46"/>
      <c r="AA12" s="42">
        <f>IF(ROW()=MATCH(C12, $C$1:$C$72, 0), IFERROR(VLOOKUP(C12, 'MiniKat - HN'!$A:$L, 12, FALSE), 0) + IFERROR(VLOOKUP(C12, 'MiniKat - HCM'!$A:$J, 10, FALSE), 0), 0)</f>
        <v>0</v>
      </c>
      <c r="AB12" s="42">
        <f>IF(OR(TRIM(D12)="CHT", TRIM(D12)="Q.CHT"), SUMIFS('MiniKat - HN'!$Y:$Y, 'MiniKat - HN'!$N:$N, B12) + SUMIFS('MiniKat - HCM'!$U:$U, 'MiniKat - HCM'!$M:$M, B12), 0)</f>
        <v>0</v>
      </c>
      <c r="AC12" s="42">
        <f>IF(ROW()=MATCH(C12, $C$1:$C$72, 0), SUMIFS(whatsapp!$D:$D, whatsapp!$A:$A, C12), 0)</f>
        <v>340044</v>
      </c>
      <c r="AD12" s="42">
        <f>SUMIFS('Dự án'!$C:$C, 'Dự án'!$A:$A, B12, 'Dự án'!$B:$B, C12)</f>
        <v>0</v>
      </c>
      <c r="AE12" s="42">
        <f>SUMIFS(KPI!$C:$C, KPI!$A:$A, B12, KPI!$B:$B, C12)</f>
        <v>0</v>
      </c>
      <c r="AF12" s="43">
        <f>SUMIFS('Thưởng CK'!$C:$C, 'Thưởng CK'!$A:$A, B12, 'Thưởng CK'!$B:$B, C12)</f>
        <v>629100</v>
      </c>
      <c r="AG12" s="42">
        <f>SUMIFS('Cận date'!$C:$C, 'Cận date'!$A:$A, B12, 'Cận date'!$B:$B, C12)</f>
        <v>7550</v>
      </c>
      <c r="AH12" s="42">
        <f>SUMIFS(Map!$D:$D, Map!$B:$B, B12, Map!$A:$A, C12)</f>
        <v>0</v>
      </c>
      <c r="AI12" s="42">
        <v>0</v>
      </c>
      <c r="AJ12" s="42">
        <f t="shared" si="6"/>
        <v>0</v>
      </c>
      <c r="AK12" s="42">
        <f>SUMIFS('KPI trừ'!$C:$C, 'KPI trừ'!$A:$A, B12, 'KPI trừ'!$B:$B, C12)</f>
        <v>0</v>
      </c>
      <c r="AL12" s="42">
        <f>SUMIFS('KPI trừ'!$D:$D, 'KPI trừ'!$A:$A, B12, 'KPI trừ'!$B:$B, C12)</f>
        <v>0</v>
      </c>
      <c r="AM12" s="42">
        <f>SUMIFS('KPI trừ'!$E:$E, 'KPI trừ'!$A:$A, B12, 'KPI trừ'!$B:$B, C12)</f>
        <v>0</v>
      </c>
      <c r="AN12" s="42">
        <f>SUMIFS('KPI trừ'!$F:$F, 'KPI trừ'!$A:$A, B12, 'KPI trừ'!$B:$B, C12)</f>
        <v>0</v>
      </c>
      <c r="AO12" s="42">
        <f>SUMIFS('KPI trừ'!$G:$G, 'KPI trừ'!$A:$A, B12, 'KPI trừ'!$B:$B, C12)</f>
        <v>0</v>
      </c>
      <c r="AP12" s="44" t="str">
        <f>IFERROR(INDEX('KPI trừ'!$H:$H, MATCH(1, ('KPI trừ'!$A:$A=B12)*('KPI trừ'!$B:$B=C12), 0)), "")</f>
        <v/>
      </c>
      <c r="AQ12" s="16"/>
      <c r="AR12" s="44"/>
      <c r="AS12" s="44"/>
      <c r="AT12" s="44"/>
      <c r="AU12" s="44"/>
      <c r="AV12" s="44"/>
      <c r="AW12" s="44"/>
      <c r="AX12" s="44"/>
      <c r="AY12" s="44"/>
      <c r="AZ12" s="44"/>
      <c r="BA12" s="44"/>
    </row>
    <row r="13" spans="1:53" ht="15.75" customHeight="1">
      <c r="A13" s="34">
        <v>11</v>
      </c>
      <c r="B13" s="35" t="s">
        <v>17</v>
      </c>
      <c r="C13" s="44" t="s">
        <v>87</v>
      </c>
      <c r="D13" s="34" t="s">
        <v>79</v>
      </c>
      <c r="E13" s="140">
        <f t="shared" si="0"/>
        <v>16</v>
      </c>
      <c r="F13" s="140">
        <f t="shared" si="1"/>
        <v>245.43999999999991</v>
      </c>
      <c r="G13" s="39">
        <f>SUMIFS('Giờ công'!I:I, 'Giờ công'!G:G, B13, 'Giờ công'!H:H, C13)</f>
        <v>0</v>
      </c>
      <c r="H13" s="39">
        <f>SUMIFS('Giờ công'!J:J, 'Giờ công'!G:G, B13, 'Giờ công'!H:H, C13)</f>
        <v>245.43999999999991</v>
      </c>
      <c r="I13" s="42">
        <f t="shared" si="2"/>
        <v>16</v>
      </c>
      <c r="J13" s="193">
        <f t="shared" si="3"/>
        <v>0</v>
      </c>
      <c r="K13" s="42">
        <f>SUMIFS('Ngày công'!I:I, 'Ngày công'!A:A, B13, 'Ngày công'!B:B, C13)</f>
        <v>31</v>
      </c>
      <c r="L13" s="35"/>
      <c r="M13" s="35"/>
      <c r="N13" s="42">
        <f>SUMIFS('Tăng ca lễ'!M:M, 'Tăng ca lễ'!K:K, B13, 'Tăng ca lễ'!L:L, C13)</f>
        <v>0</v>
      </c>
      <c r="O13" s="35">
        <f>IF(OR(D13="PT", D13="DSHV"), SUMIFS('Tăng ca lễ'!O:O, 'Tăng ca lễ'!K:K, B13, 'Tăng ca lễ'!L:L, C13)*2, SUMIFS('Tăng ca lễ'!O:O, 'Tăng ca lễ'!K:K, B13, 'Tăng ca lễ'!L:L, C13)*3)</f>
        <v>0</v>
      </c>
      <c r="P13" s="35">
        <f>IF(OR(D13="PT", D13="DSHV"), SUMIFS('Tăng ca lễ'!P:P, 'Tăng ca lễ'!K:K, B13, 'Tăng ca lễ'!L:L, C13)*2, SUMIFS('Tăng ca lễ'!P:P, 'Tăng ca lễ'!K:K, B13, 'Tăng ca lễ'!L:L, C13)*3)</f>
        <v>0</v>
      </c>
      <c r="Q13" s="35"/>
      <c r="R13" s="42">
        <f>SUMIFS('Ngày công'!M:M, 'Ngày công'!K:K, B13, 'Ngày công'!L:L, C13)</f>
        <v>31</v>
      </c>
      <c r="S13" s="39">
        <f>SUMIFS('Công Đào tạo'!G:G, 'Công Đào tạo'!E:E, B13, 'Công Đào tạo'!F:F, C13)</f>
        <v>0</v>
      </c>
      <c r="T13" s="35">
        <v>0</v>
      </c>
      <c r="U13" s="41"/>
      <c r="V13" s="46">
        <f t="shared" si="4"/>
        <v>0</v>
      </c>
      <c r="W13" s="42"/>
      <c r="X13" s="42">
        <f t="shared" si="5"/>
        <v>0</v>
      </c>
      <c r="Y13" s="42"/>
      <c r="Z13" s="46"/>
      <c r="AA13" s="42">
        <f>IF(ROW()=MATCH(C13, $C$1:$C$72, 0), IFERROR(VLOOKUP(C13, 'MiniKat - HN'!$A:$L, 12, FALSE), 0) + IFERROR(VLOOKUP(C13, 'MiniKat - HCM'!$A:$J, 10, FALSE), 0), 0)</f>
        <v>0</v>
      </c>
      <c r="AB13" s="42">
        <f>IF(OR(TRIM(D13)="CHT", TRIM(D13)="Q.CHT"), SUMIFS('MiniKat - HN'!$Y:$Y, 'MiniKat - HN'!$N:$N, B13) + SUMIFS('MiniKat - HCM'!$U:$U, 'MiniKat - HCM'!$M:$M, B13), 0)</f>
        <v>0</v>
      </c>
      <c r="AC13" s="42">
        <f>IF(ROW()=MATCH(C13, $C$1:$C$72, 0), SUMIFS(whatsapp!$D:$D, whatsapp!$A:$A, C13), 0)</f>
        <v>375112</v>
      </c>
      <c r="AD13" s="42">
        <f>SUMIFS('Dự án'!$C:$C, 'Dự án'!$A:$A, B13, 'Dự án'!$B:$B, C13)</f>
        <v>0</v>
      </c>
      <c r="AE13" s="42">
        <f>SUMIFS(KPI!$C:$C, KPI!$A:$A, B13, KPI!$B:$B, C13)</f>
        <v>0</v>
      </c>
      <c r="AF13" s="43">
        <f>SUMIFS('Thưởng CK'!$C:$C, 'Thưởng CK'!$A:$A, B13, 'Thưởng CK'!$B:$B, C13)</f>
        <v>867600</v>
      </c>
      <c r="AG13" s="42">
        <f>SUMIFS('Cận date'!$C:$C, 'Cận date'!$A:$A, B13, 'Cận date'!$B:$B, C13)</f>
        <v>4035</v>
      </c>
      <c r="AH13" s="42">
        <f>SUMIFS(Map!$D:$D, Map!$B:$B, B13, Map!$A:$A, C13)</f>
        <v>0</v>
      </c>
      <c r="AI13" s="42">
        <v>0</v>
      </c>
      <c r="AJ13" s="42">
        <f t="shared" si="6"/>
        <v>0</v>
      </c>
      <c r="AK13" s="42">
        <f>SUMIFS('KPI trừ'!$C:$C, 'KPI trừ'!$A:$A, B13, 'KPI trừ'!$B:$B, C13)</f>
        <v>0</v>
      </c>
      <c r="AL13" s="42">
        <f>SUMIFS('KPI trừ'!$D:$D, 'KPI trừ'!$A:$A, B13, 'KPI trừ'!$B:$B, C13)</f>
        <v>0</v>
      </c>
      <c r="AM13" s="42">
        <f>SUMIFS('KPI trừ'!$E:$E, 'KPI trừ'!$A:$A, B13, 'KPI trừ'!$B:$B, C13)</f>
        <v>0</v>
      </c>
      <c r="AN13" s="42">
        <f>SUMIFS('KPI trừ'!$F:$F, 'KPI trừ'!$A:$A, B13, 'KPI trừ'!$B:$B, C13)</f>
        <v>0</v>
      </c>
      <c r="AO13" s="42">
        <f>SUMIFS('KPI trừ'!$G:$G, 'KPI trừ'!$A:$A, B13, 'KPI trừ'!$B:$B, C13)</f>
        <v>0</v>
      </c>
      <c r="AP13" s="44" t="str">
        <f>IFERROR(INDEX('KPI trừ'!$H:$H, MATCH(1, ('KPI trừ'!$A:$A=B13)*('KPI trừ'!$B:$B=C13), 0)), "")</f>
        <v/>
      </c>
      <c r="AQ13" s="16"/>
      <c r="AR13" s="44"/>
      <c r="AS13" s="44"/>
      <c r="AT13" s="44"/>
      <c r="AU13" s="44"/>
      <c r="AV13" s="44"/>
      <c r="AW13" s="44"/>
      <c r="AX13" s="44"/>
      <c r="AY13" s="44"/>
      <c r="AZ13" s="44"/>
      <c r="BA13" s="44"/>
    </row>
    <row r="14" spans="1:53" ht="15.75" customHeight="1">
      <c r="A14" s="34">
        <v>12</v>
      </c>
      <c r="B14" s="35" t="s">
        <v>17</v>
      </c>
      <c r="C14" s="44" t="s">
        <v>88</v>
      </c>
      <c r="D14" s="34" t="s">
        <v>81</v>
      </c>
      <c r="E14" s="140">
        <f t="shared" si="0"/>
        <v>44.769999999999996</v>
      </c>
      <c r="F14" s="140">
        <f t="shared" si="1"/>
        <v>0.5</v>
      </c>
      <c r="G14" s="39">
        <f>SUMIFS('Giờ công'!I:I, 'Giờ công'!G:G, B14, 'Giờ công'!H:H, C14)</f>
        <v>28.77</v>
      </c>
      <c r="H14" s="39">
        <f>SUMIFS('Giờ công'!J:J, 'Giờ công'!G:G, B14, 'Giờ công'!H:H, C14)</f>
        <v>0.5</v>
      </c>
      <c r="I14" s="194">
        <f t="shared" si="2"/>
        <v>16</v>
      </c>
      <c r="J14" s="193">
        <f t="shared" si="3"/>
        <v>1.2</v>
      </c>
      <c r="K14" s="42">
        <f>SUMIFS('Ngày công'!I:I, 'Ngày công'!A:A, B14, 'Ngày công'!B:B, C14)</f>
        <v>0</v>
      </c>
      <c r="L14" s="35"/>
      <c r="M14" s="35"/>
      <c r="N14" s="42">
        <f>SUMIFS('Tăng ca lễ'!M:M, 'Tăng ca lễ'!K:K, B14, 'Tăng ca lễ'!L:L, C14)</f>
        <v>0</v>
      </c>
      <c r="O14" s="35">
        <f>IF(OR(D14="PT", D14="DSHV"), SUMIFS('Tăng ca lễ'!O:O, 'Tăng ca lễ'!K:K, B14, 'Tăng ca lễ'!L:L, C14)*2, SUMIFS('Tăng ca lễ'!O:O, 'Tăng ca lễ'!K:K, B14, 'Tăng ca lễ'!L:L, C14)*3)</f>
        <v>0</v>
      </c>
      <c r="P14" s="35">
        <f>IF(OR(D14="PT", D14="DSHV"), SUMIFS('Tăng ca lễ'!P:P, 'Tăng ca lễ'!K:K, B14, 'Tăng ca lễ'!L:L, C14)*2, SUMIFS('Tăng ca lễ'!P:P, 'Tăng ca lễ'!K:K, B14, 'Tăng ca lễ'!L:L, C14)*3)</f>
        <v>0</v>
      </c>
      <c r="Q14" s="35"/>
      <c r="R14" s="42">
        <f>SUMIFS('Ngày công'!M:M, 'Ngày công'!K:K, B14, 'Ngày công'!L:L, C14)</f>
        <v>4</v>
      </c>
      <c r="S14" s="39">
        <f>SUMIFS('Công Đào tạo'!G:G, 'Công Đào tạo'!E:E, B14, 'Công Đào tạo'!F:F, C14)</f>
        <v>0</v>
      </c>
      <c r="T14" s="35">
        <v>0</v>
      </c>
      <c r="U14" s="41"/>
      <c r="V14" s="46">
        <f t="shared" si="4"/>
        <v>0</v>
      </c>
      <c r="W14" s="42"/>
      <c r="X14" s="42">
        <f t="shared" si="5"/>
        <v>0</v>
      </c>
      <c r="Y14" s="42"/>
      <c r="Z14" s="46"/>
      <c r="AA14" s="42">
        <f>IF(ROW()=MATCH(C14, $C$1:$C$72, 0), IFERROR(VLOOKUP(C14, 'MiniKat - HN'!$A:$L, 12, FALSE), 0) + IFERROR(VLOOKUP(C14, 'MiniKat - HCM'!$A:$J, 10, FALSE), 0), 0)</f>
        <v>0</v>
      </c>
      <c r="AB14" s="42">
        <f>IF(OR(TRIM(D14)="CHT", TRIM(D14)="Q.CHT"), SUMIFS('MiniKat - HN'!$Y:$Y, 'MiniKat - HN'!$N:$N, B14) + SUMIFS('MiniKat - HCM'!$U:$U, 'MiniKat - HCM'!$M:$M, B14), 0)</f>
        <v>0</v>
      </c>
      <c r="AC14" s="42">
        <f>IF(ROW()=MATCH(C14, $C$1:$C$72, 0), SUMIFS(whatsapp!$D:$D, whatsapp!$A:$A, C14), 0)</f>
        <v>0</v>
      </c>
      <c r="AD14" s="42">
        <f>SUMIFS('Dự án'!$C:$C, 'Dự án'!$A:$A, B14, 'Dự án'!$B:$B, C14)</f>
        <v>0</v>
      </c>
      <c r="AE14" s="42">
        <f>SUMIFS(KPI!$C:$C, KPI!$A:$A, B14, KPI!$B:$B, C14)</f>
        <v>0</v>
      </c>
      <c r="AF14" s="43">
        <f>SUMIFS('Thưởng CK'!$C:$C, 'Thưởng CK'!$A:$A, B14, 'Thưởng CK'!$B:$B, C14)</f>
        <v>0</v>
      </c>
      <c r="AG14" s="42">
        <f>SUMIFS('Cận date'!$C:$C, 'Cận date'!$A:$A, B14, 'Cận date'!$B:$B, C14)</f>
        <v>0</v>
      </c>
      <c r="AH14" s="42">
        <f>SUMIFS(Map!$D:$D, Map!$B:$B, B14, Map!$A:$A, C14)</f>
        <v>0</v>
      </c>
      <c r="AI14" s="42">
        <v>0</v>
      </c>
      <c r="AJ14" s="42">
        <f t="shared" si="6"/>
        <v>0</v>
      </c>
      <c r="AK14" s="42">
        <f>SUMIFS('KPI trừ'!$C:$C, 'KPI trừ'!$A:$A, B14, 'KPI trừ'!$B:$B, C14)</f>
        <v>0</v>
      </c>
      <c r="AL14" s="42">
        <f>SUMIFS('KPI trừ'!$D:$D, 'KPI trừ'!$A:$A, B14, 'KPI trừ'!$B:$B, C14)</f>
        <v>0</v>
      </c>
      <c r="AM14" s="42">
        <f>SUMIFS('KPI trừ'!$E:$E, 'KPI trừ'!$A:$A, B14, 'KPI trừ'!$B:$B, C14)</f>
        <v>0</v>
      </c>
      <c r="AN14" s="42">
        <f>SUMIFS('KPI trừ'!$F:$F, 'KPI trừ'!$A:$A, B14, 'KPI trừ'!$B:$B, C14)</f>
        <v>0</v>
      </c>
      <c r="AO14" s="42">
        <f>SUMIFS('KPI trừ'!$G:$G, 'KPI trừ'!$A:$A, B14, 'KPI trừ'!$B:$B, C14)</f>
        <v>0</v>
      </c>
      <c r="AP14" s="44" t="str">
        <f>IFERROR(INDEX('KPI trừ'!$H:$H, MATCH(1, ('KPI trừ'!$A:$A=B14)*('KPI trừ'!$B:$B=C14), 0)), "")</f>
        <v/>
      </c>
      <c r="AQ14" s="16"/>
      <c r="AR14" s="44"/>
      <c r="AS14" s="44"/>
      <c r="AT14" s="44"/>
      <c r="AU14" s="44"/>
      <c r="AV14" s="44"/>
      <c r="AW14" s="44"/>
      <c r="AX14" s="44"/>
      <c r="AY14" s="44"/>
      <c r="AZ14" s="44"/>
      <c r="BA14" s="44"/>
    </row>
    <row r="15" spans="1:53" ht="15.75" customHeight="1">
      <c r="A15" s="34">
        <v>13</v>
      </c>
      <c r="B15" s="35" t="s">
        <v>17</v>
      </c>
      <c r="C15" s="36" t="s">
        <v>89</v>
      </c>
      <c r="D15" s="34" t="s">
        <v>81</v>
      </c>
      <c r="E15" s="140">
        <f t="shared" si="0"/>
        <v>262.37</v>
      </c>
      <c r="F15" s="140">
        <f t="shared" si="1"/>
        <v>1.1000000000000001</v>
      </c>
      <c r="G15" s="39">
        <f>SUMIFS('Giờ công'!I:I, 'Giờ công'!G:G, B15, 'Giờ công'!H:H, C15)</f>
        <v>246.37</v>
      </c>
      <c r="H15" s="39">
        <f>SUMIFS('Giờ công'!J:J, 'Giờ công'!G:G, B15, 'Giờ công'!H:H, C15)</f>
        <v>1.1000000000000001</v>
      </c>
      <c r="I15" s="42">
        <f t="shared" si="2"/>
        <v>16</v>
      </c>
      <c r="J15" s="193">
        <f t="shared" si="3"/>
        <v>10.3</v>
      </c>
      <c r="K15" s="42">
        <f>SUMIFS('Ngày công'!I:I, 'Ngày công'!A:A, B15, 'Ngày công'!B:B, C15)</f>
        <v>0</v>
      </c>
      <c r="L15" s="35"/>
      <c r="M15" s="35"/>
      <c r="N15" s="42">
        <f>SUMIFS('Tăng ca lễ'!M:M, 'Tăng ca lễ'!K:K, B15, 'Tăng ca lễ'!L:L, C15)</f>
        <v>0</v>
      </c>
      <c r="O15" s="35">
        <f>IF(OR(D15="PT", D15="DSHV"), SUMIFS('Tăng ca lễ'!O:O, 'Tăng ca lễ'!K:K, B15, 'Tăng ca lễ'!L:L, C15)*2, SUMIFS('Tăng ca lễ'!O:O, 'Tăng ca lễ'!K:K, B15, 'Tăng ca lễ'!L:L, C15)*3)</f>
        <v>0</v>
      </c>
      <c r="P15" s="35">
        <f>IF(OR(D15="PT", D15="DSHV"), SUMIFS('Tăng ca lễ'!P:P, 'Tăng ca lễ'!K:K, B15, 'Tăng ca lễ'!L:L, C15)*2, SUMIFS('Tăng ca lễ'!P:P, 'Tăng ca lễ'!K:K, B15, 'Tăng ca lễ'!L:L, C15)*3)</f>
        <v>0</v>
      </c>
      <c r="Q15" s="35"/>
      <c r="R15" s="42">
        <f>SUMIFS('Ngày công'!M:M, 'Ngày công'!K:K, B15, 'Ngày công'!L:L, C15)</f>
        <v>30</v>
      </c>
      <c r="S15" s="39">
        <f>SUMIFS('Công Đào tạo'!G:G, 'Công Đào tạo'!E:E, B15, 'Công Đào tạo'!F:F, C15)</f>
        <v>0</v>
      </c>
      <c r="T15" s="35">
        <v>0</v>
      </c>
      <c r="U15" s="41"/>
      <c r="V15" s="42">
        <f t="shared" si="4"/>
        <v>0</v>
      </c>
      <c r="W15" s="42"/>
      <c r="X15" s="42">
        <f t="shared" si="5"/>
        <v>0</v>
      </c>
      <c r="Y15" s="42"/>
      <c r="Z15" s="46"/>
      <c r="AA15" s="42">
        <f>IF(ROW()=MATCH(C15, $C$1:$C$72, 0), IFERROR(VLOOKUP(C15, 'MiniKat - HN'!$A:$L, 12, FALSE), 0) + IFERROR(VLOOKUP(C15, 'MiniKat - HCM'!$A:$J, 10, FALSE), 0), 0)</f>
        <v>0</v>
      </c>
      <c r="AB15" s="42">
        <f>IF(OR(TRIM(D15)="CHT", TRIM(D15)="Q.CHT"), SUMIFS('MiniKat - HN'!$Y:$Y, 'MiniKat - HN'!$N:$N, B15) + SUMIFS('MiniKat - HCM'!$U:$U, 'MiniKat - HCM'!$M:$M, B15), 0)</f>
        <v>0</v>
      </c>
      <c r="AC15" s="42">
        <f>IF(ROW()=MATCH(C15, $C$1:$C$72, 0), SUMIFS(whatsapp!$D:$D, whatsapp!$A:$A, C15), 0)</f>
        <v>3697588</v>
      </c>
      <c r="AD15" s="42">
        <f>SUMIFS('Dự án'!$C:$C, 'Dự án'!$A:$A, B15, 'Dự án'!$B:$B, C15)</f>
        <v>0</v>
      </c>
      <c r="AE15" s="42">
        <f>SUMIFS(KPI!$C:$C, KPI!$A:$A, B15, KPI!$B:$B, C15)</f>
        <v>4372855</v>
      </c>
      <c r="AF15" s="43">
        <f>SUMIFS('Thưởng CK'!$C:$C, 'Thưởng CK'!$A:$A, B15, 'Thưởng CK'!$B:$B, C15)</f>
        <v>1723400</v>
      </c>
      <c r="AG15" s="42">
        <f>SUMIFS('Cận date'!$C:$C, 'Cận date'!$A:$A, B15, 'Cận date'!$B:$B, C15)</f>
        <v>40230</v>
      </c>
      <c r="AH15" s="42">
        <f>SUMIFS(Map!$D:$D, Map!$B:$B, B15, Map!$A:$A, C15)</f>
        <v>0</v>
      </c>
      <c r="AI15" s="42">
        <v>0</v>
      </c>
      <c r="AJ15" s="42">
        <f t="shared" si="6"/>
        <v>0</v>
      </c>
      <c r="AK15" s="42">
        <f>SUMIFS('KPI trừ'!$C:$C, 'KPI trừ'!$A:$A, B15, 'KPI trừ'!$B:$B, C15)</f>
        <v>0</v>
      </c>
      <c r="AL15" s="42">
        <f>SUMIFS('KPI trừ'!$D:$D, 'KPI trừ'!$A:$A, B15, 'KPI trừ'!$B:$B, C15)</f>
        <v>0</v>
      </c>
      <c r="AM15" s="42">
        <f>SUMIFS('KPI trừ'!$E:$E, 'KPI trừ'!$A:$A, B15, 'KPI trừ'!$B:$B, C15)</f>
        <v>0</v>
      </c>
      <c r="AN15" s="42">
        <f>SUMIFS('KPI trừ'!$F:$F, 'KPI trừ'!$A:$A, B15, 'KPI trừ'!$B:$B, C15)</f>
        <v>0</v>
      </c>
      <c r="AO15" s="42">
        <f>SUMIFS('KPI trừ'!$G:$G, 'KPI trừ'!$A:$A, B15, 'KPI trừ'!$B:$B, C15)</f>
        <v>0</v>
      </c>
      <c r="AP15" s="44" t="str">
        <f>IFERROR(INDEX('KPI trừ'!$H:$H, MATCH(1, ('KPI trừ'!$A:$A=B15)*('KPI trừ'!$B:$B=C15), 0)), "")</f>
        <v/>
      </c>
      <c r="AQ15" s="16"/>
      <c r="AR15" s="44"/>
      <c r="AS15" s="44"/>
      <c r="AT15" s="44"/>
      <c r="AU15" s="44"/>
      <c r="AV15" s="44"/>
      <c r="AW15" s="44"/>
      <c r="AX15" s="44"/>
      <c r="AY15" s="44"/>
      <c r="AZ15" s="44"/>
      <c r="BA15" s="44"/>
    </row>
    <row r="16" spans="1:53" ht="15.75" customHeight="1">
      <c r="A16" s="34">
        <v>14</v>
      </c>
      <c r="B16" s="35" t="s">
        <v>17</v>
      </c>
      <c r="C16" s="36" t="s">
        <v>90</v>
      </c>
      <c r="D16" s="34" t="s">
        <v>81</v>
      </c>
      <c r="E16" s="140">
        <f t="shared" si="0"/>
        <v>252.16</v>
      </c>
      <c r="F16" s="140">
        <f t="shared" si="1"/>
        <v>8.08</v>
      </c>
      <c r="G16" s="39">
        <f>SUMIFS('Giờ công'!I:I, 'Giờ công'!G:G, B16, 'Giờ công'!H:H, C16)</f>
        <v>236.16</v>
      </c>
      <c r="H16" s="39">
        <f>SUMIFS('Giờ công'!J:J, 'Giờ công'!G:G, B16, 'Giờ công'!H:H, C16)</f>
        <v>8.08</v>
      </c>
      <c r="I16" s="42">
        <f t="shared" si="2"/>
        <v>16</v>
      </c>
      <c r="J16" s="193">
        <f t="shared" si="3"/>
        <v>9.8000000000000007</v>
      </c>
      <c r="K16" s="42">
        <f>SUMIFS('Ngày công'!I:I, 'Ngày công'!A:A, B16, 'Ngày công'!B:B, C16)</f>
        <v>1</v>
      </c>
      <c r="L16" s="35"/>
      <c r="M16" s="35"/>
      <c r="N16" s="42">
        <f>SUMIFS('Tăng ca lễ'!M:M, 'Tăng ca lễ'!K:K, B16, 'Tăng ca lễ'!L:L, C16)</f>
        <v>0</v>
      </c>
      <c r="O16" s="35">
        <f>IF(OR(D16="PT", D16="DSHV"), SUMIFS('Tăng ca lễ'!O:O, 'Tăng ca lễ'!K:K, B16, 'Tăng ca lễ'!L:L, C16)*2, SUMIFS('Tăng ca lễ'!O:O, 'Tăng ca lễ'!K:K, B16, 'Tăng ca lễ'!L:L, C16)*3)</f>
        <v>0</v>
      </c>
      <c r="P16" s="35">
        <f>IF(OR(D16="PT", D16="DSHV"), SUMIFS('Tăng ca lễ'!P:P, 'Tăng ca lễ'!K:K, B16, 'Tăng ca lễ'!L:L, C16)*2, SUMIFS('Tăng ca lễ'!P:P, 'Tăng ca lễ'!K:K, B16, 'Tăng ca lễ'!L:L, C16)*3)</f>
        <v>0</v>
      </c>
      <c r="Q16" s="35"/>
      <c r="R16" s="42">
        <f>SUMIFS('Ngày công'!M:M, 'Ngày công'!K:K, B16, 'Ngày công'!L:L, C16)</f>
        <v>30</v>
      </c>
      <c r="S16" s="39">
        <f>SUMIFS('Công Đào tạo'!G:G, 'Công Đào tạo'!E:E, B16, 'Công Đào tạo'!F:F, C16)</f>
        <v>0</v>
      </c>
      <c r="T16" s="35">
        <v>0</v>
      </c>
      <c r="U16" s="41"/>
      <c r="V16" s="46">
        <f t="shared" si="4"/>
        <v>0</v>
      </c>
      <c r="W16" s="42"/>
      <c r="X16" s="42">
        <f t="shared" si="5"/>
        <v>0</v>
      </c>
      <c r="Y16" s="42"/>
      <c r="Z16" s="46"/>
      <c r="AA16" s="42">
        <f>IF(ROW()=MATCH(C16, $C$1:$C$72, 0), IFERROR(VLOOKUP(C16, 'MiniKat - HN'!$A:$L, 12, FALSE), 0) + IFERROR(VLOOKUP(C16, 'MiniKat - HCM'!$A:$J, 10, FALSE), 0), 0)</f>
        <v>0</v>
      </c>
      <c r="AB16" s="42">
        <f>IF(OR(TRIM(D16)="CHT", TRIM(D16)="Q.CHT"), SUMIFS('MiniKat - HN'!$Y:$Y, 'MiniKat - HN'!$N:$N, B16) + SUMIFS('MiniKat - HCM'!$U:$U, 'MiniKat - HCM'!$M:$M, B16), 0)</f>
        <v>0</v>
      </c>
      <c r="AC16" s="42">
        <f>IF(ROW()=MATCH(C16, $C$1:$C$72, 0), SUMIFS(whatsapp!$D:$D, whatsapp!$A:$A, C16), 0)</f>
        <v>2352976</v>
      </c>
      <c r="AD16" s="42">
        <f>SUMIFS('Dự án'!$C:$C, 'Dự án'!$A:$A, B16, 'Dự án'!$B:$B, C16)</f>
        <v>0</v>
      </c>
      <c r="AE16" s="42">
        <f>SUMIFS(KPI!$C:$C, KPI!$A:$A, B16, KPI!$B:$B, C16)</f>
        <v>0</v>
      </c>
      <c r="AF16" s="43">
        <f>SUMIFS('Thưởng CK'!$C:$C, 'Thưởng CK'!$A:$A, B16, 'Thưởng CK'!$B:$B, C16)</f>
        <v>1139700</v>
      </c>
      <c r="AG16" s="42">
        <f>SUMIFS('Cận date'!$C:$C, 'Cận date'!$A:$A, B16, 'Cận date'!$B:$B, C16)</f>
        <v>37807</v>
      </c>
      <c r="AH16" s="42">
        <f>SUMIFS(Map!$D:$D, Map!$B:$B, B16, Map!$A:$A, C16)</f>
        <v>0</v>
      </c>
      <c r="AI16" s="42">
        <v>0</v>
      </c>
      <c r="AJ16" s="42">
        <f t="shared" si="6"/>
        <v>0</v>
      </c>
      <c r="AK16" s="42">
        <f>SUMIFS('KPI trừ'!$C:$C, 'KPI trừ'!$A:$A, B16, 'KPI trừ'!$B:$B, C16)</f>
        <v>0</v>
      </c>
      <c r="AL16" s="42">
        <f>SUMIFS('KPI trừ'!$D:$D, 'KPI trừ'!$A:$A, B16, 'KPI trừ'!$B:$B, C16)</f>
        <v>0</v>
      </c>
      <c r="AM16" s="42">
        <f>SUMIFS('KPI trừ'!$E:$E, 'KPI trừ'!$A:$A, B16, 'KPI trừ'!$B:$B, C16)</f>
        <v>0</v>
      </c>
      <c r="AN16" s="42">
        <f>SUMIFS('KPI trừ'!$F:$F, 'KPI trừ'!$A:$A, B16, 'KPI trừ'!$B:$B, C16)</f>
        <v>0</v>
      </c>
      <c r="AO16" s="42">
        <f>SUMIFS('KPI trừ'!$G:$G, 'KPI trừ'!$A:$A, B16, 'KPI trừ'!$B:$B, C16)</f>
        <v>0</v>
      </c>
      <c r="AP16" s="44" t="str">
        <f>IFERROR(INDEX('KPI trừ'!$H:$H, MATCH(1, ('KPI trừ'!$A:$A=B16)*('KPI trừ'!$B:$B=C16), 0)), "")</f>
        <v/>
      </c>
      <c r="AQ16" s="16"/>
      <c r="AR16" s="44"/>
      <c r="AS16" s="44"/>
      <c r="AT16" s="44"/>
      <c r="AU16" s="44"/>
      <c r="AV16" s="44"/>
      <c r="AW16" s="44"/>
      <c r="AX16" s="44"/>
      <c r="AY16" s="44"/>
      <c r="AZ16" s="44"/>
      <c r="BA16" s="44"/>
    </row>
    <row r="17" spans="1:53" ht="15.75" customHeight="1">
      <c r="A17" s="34">
        <v>15</v>
      </c>
      <c r="B17" s="35" t="s">
        <v>18</v>
      </c>
      <c r="C17" s="36" t="s">
        <v>91</v>
      </c>
      <c r="D17" s="34" t="s">
        <v>73</v>
      </c>
      <c r="E17" s="140">
        <f t="shared" si="0"/>
        <v>197.49</v>
      </c>
      <c r="F17" s="140">
        <f t="shared" si="1"/>
        <v>49.040000000000013</v>
      </c>
      <c r="G17" s="39">
        <f>SUMIFS('Giờ công'!I:I, 'Giờ công'!G:G, B17, 'Giờ công'!H:H, C17)</f>
        <v>197.49</v>
      </c>
      <c r="H17" s="39">
        <f>SUMIFS('Giờ công'!J:J, 'Giờ công'!G:G, B17, 'Giờ công'!H:H, C17)</f>
        <v>49.040000000000013</v>
      </c>
      <c r="I17" s="42" t="str">
        <f t="shared" si="2"/>
        <v/>
      </c>
      <c r="J17" s="193">
        <f t="shared" si="3"/>
        <v>8.1999999999999993</v>
      </c>
      <c r="K17" s="42">
        <f>SUMIFS('Ngày công'!I:I, 'Ngày công'!A:A, B17, 'Ngày công'!B:B, C17)</f>
        <v>6</v>
      </c>
      <c r="L17" s="35"/>
      <c r="M17" s="35"/>
      <c r="N17" s="42">
        <f>SUMIFS('Tăng ca lễ'!M:M, 'Tăng ca lễ'!K:K, B17, 'Tăng ca lễ'!L:L, C17)</f>
        <v>0</v>
      </c>
      <c r="O17" s="35">
        <f>IF(OR(D17="PT", D17="DSHV"), SUMIFS('Tăng ca lễ'!O:O, 'Tăng ca lễ'!K:K, B17, 'Tăng ca lễ'!L:L, C17)*2, SUMIFS('Tăng ca lễ'!O:O, 'Tăng ca lễ'!K:K, B17, 'Tăng ca lễ'!L:L, C17)*3)</f>
        <v>0</v>
      </c>
      <c r="P17" s="35">
        <f>IF(OR(D17="PT", D17="DSHV"), SUMIFS('Tăng ca lễ'!P:P, 'Tăng ca lễ'!K:K, B17, 'Tăng ca lễ'!L:L, C17)*2, SUMIFS('Tăng ca lễ'!P:P, 'Tăng ca lễ'!K:K, B17, 'Tăng ca lễ'!L:L, C17)*3)</f>
        <v>0</v>
      </c>
      <c r="Q17" s="35"/>
      <c r="R17" s="42">
        <f>SUMIFS('Ngày công'!M:M, 'Ngày công'!K:K, B17, 'Ngày công'!L:L, C17)</f>
        <v>27</v>
      </c>
      <c r="S17" s="39">
        <f>SUMIFS('Công Đào tạo'!G:G, 'Công Đào tạo'!E:E, B17, 'Công Đào tạo'!F:F, C17)</f>
        <v>0</v>
      </c>
      <c r="T17" s="35">
        <v>0</v>
      </c>
      <c r="U17" s="41"/>
      <c r="V17" s="46">
        <f t="shared" si="4"/>
        <v>435483.87096774194</v>
      </c>
      <c r="W17" s="42"/>
      <c r="X17" s="42">
        <f t="shared" si="5"/>
        <v>0</v>
      </c>
      <c r="Y17" s="42"/>
      <c r="Z17" s="42"/>
      <c r="AA17" s="42">
        <f>IF(ROW()=MATCH(C17, $C$1:$C$72, 0), IFERROR(VLOOKUP(C17, 'MiniKat - HN'!$A:$L, 12, FALSE), 0) + IFERROR(VLOOKUP(C17, 'MiniKat - HCM'!$A:$J, 10, FALSE), 0), 0)</f>
        <v>0</v>
      </c>
      <c r="AB17" s="42">
        <f>IF(OR(TRIM(D17)="CHT", TRIM(D17)="Q.CHT"), SUMIFS('MiniKat - HN'!$Y:$Y, 'MiniKat - HN'!$N:$N, B17) + SUMIFS('MiniKat - HCM'!$U:$U, 'MiniKat - HCM'!$M:$M, B17), 0)</f>
        <v>300000</v>
      </c>
      <c r="AC17" s="42">
        <f>IF(ROW()=MATCH(C17, $C$1:$C$72, 0), SUMIFS(whatsapp!$D:$D, whatsapp!$A:$A, C17), 0)</f>
        <v>0</v>
      </c>
      <c r="AD17" s="42">
        <f>SUMIFS('Dự án'!$C:$C, 'Dự án'!$A:$A, B17, 'Dự án'!$B:$B, C17)</f>
        <v>0</v>
      </c>
      <c r="AE17" s="42">
        <f>SUMIFS(KPI!$C:$C, KPI!$A:$A, B17, KPI!$B:$B, C17)</f>
        <v>0</v>
      </c>
      <c r="AF17" s="43">
        <f>SUMIFS('Thưởng CK'!$C:$C, 'Thưởng CK'!$A:$A, B17, 'Thưởng CK'!$B:$B, C17)</f>
        <v>1446150</v>
      </c>
      <c r="AG17" s="42">
        <f>SUMIFS('Cận date'!$C:$C, 'Cận date'!$A:$A, B17, 'Cận date'!$B:$B, C17)</f>
        <v>107427</v>
      </c>
      <c r="AH17" s="42">
        <f>SUMIFS(Map!$D:$D, Map!$B:$B, B17, Map!$A:$A, C17)</f>
        <v>0</v>
      </c>
      <c r="AI17" s="77">
        <v>0</v>
      </c>
      <c r="AJ17" s="42">
        <f t="shared" si="6"/>
        <v>0</v>
      </c>
      <c r="AK17" s="42">
        <f>SUMIFS('KPI trừ'!$C:$C, 'KPI trừ'!$A:$A, B17, 'KPI trừ'!$B:$B, C17)</f>
        <v>0</v>
      </c>
      <c r="AL17" s="42">
        <f>SUMIFS('KPI trừ'!$D:$D, 'KPI trừ'!$A:$A, B17, 'KPI trừ'!$B:$B, C17)</f>
        <v>0</v>
      </c>
      <c r="AM17" s="42">
        <f>SUMIFS('KPI trừ'!$E:$E, 'KPI trừ'!$A:$A, B17, 'KPI trừ'!$B:$B, C17)</f>
        <v>0</v>
      </c>
      <c r="AN17" s="42">
        <f>SUMIFS('KPI trừ'!$F:$F, 'KPI trừ'!$A:$A, B17, 'KPI trừ'!$B:$B, C17)</f>
        <v>0</v>
      </c>
      <c r="AO17" s="42">
        <f>SUMIFS('KPI trừ'!$G:$G, 'KPI trừ'!$A:$A, B17, 'KPI trừ'!$B:$B, C17)</f>
        <v>0</v>
      </c>
      <c r="AP17" s="44" t="str">
        <f>IFERROR(INDEX('KPI trừ'!$H:$H, MATCH(1, ('KPI trừ'!$A:$A=B17)*('KPI trừ'!$B:$B=C17), 0)), "")</f>
        <v/>
      </c>
      <c r="AQ17" s="16"/>
      <c r="AR17" s="44"/>
      <c r="AS17" s="44"/>
      <c r="AT17" s="44"/>
      <c r="AU17" s="44"/>
      <c r="AV17" s="44"/>
      <c r="AW17" s="44"/>
      <c r="AX17" s="44"/>
      <c r="AY17" s="44"/>
      <c r="AZ17" s="44"/>
      <c r="BA17" s="44"/>
    </row>
    <row r="18" spans="1:53" ht="15.75" customHeight="1">
      <c r="A18" s="34">
        <v>16</v>
      </c>
      <c r="B18" s="35" t="s">
        <v>18</v>
      </c>
      <c r="C18" s="36" t="s">
        <v>78</v>
      </c>
      <c r="D18" s="34" t="s">
        <v>79</v>
      </c>
      <c r="E18" s="140">
        <f t="shared" si="0"/>
        <v>0</v>
      </c>
      <c r="F18" s="140">
        <f t="shared" si="1"/>
        <v>46.45</v>
      </c>
      <c r="G18" s="39">
        <f>SUMIFS('Giờ công'!I:I, 'Giờ công'!G:G, B18, 'Giờ công'!H:H, C18)</f>
        <v>0</v>
      </c>
      <c r="H18" s="39">
        <f>SUMIFS('Giờ công'!J:J, 'Giờ công'!G:G, B18, 'Giờ công'!H:H, C18)</f>
        <v>46.45</v>
      </c>
      <c r="I18" s="42" t="str">
        <f t="shared" si="2"/>
        <v/>
      </c>
      <c r="J18" s="193">
        <f t="shared" si="3"/>
        <v>0</v>
      </c>
      <c r="K18" s="42">
        <f>SUMIFS('Ngày công'!I:I, 'Ngày công'!A:A, B18, 'Ngày công'!B:B, C18)</f>
        <v>6</v>
      </c>
      <c r="L18" s="35"/>
      <c r="M18" s="35"/>
      <c r="N18" s="42">
        <f>SUMIFS('Tăng ca lễ'!M:M, 'Tăng ca lễ'!K:K, B18, 'Tăng ca lễ'!L:L, C18)</f>
        <v>0</v>
      </c>
      <c r="O18" s="35">
        <f>IF(OR(D18="PT", D18="DSHV"), SUMIFS('Tăng ca lễ'!O:O, 'Tăng ca lễ'!K:K, B18, 'Tăng ca lễ'!L:L, C18)*2, SUMIFS('Tăng ca lễ'!O:O, 'Tăng ca lễ'!K:K, B18, 'Tăng ca lễ'!L:L, C18)*3)</f>
        <v>0</v>
      </c>
      <c r="P18" s="35">
        <f>IF(OR(D18="PT", D18="DSHV"), SUMIFS('Tăng ca lễ'!P:P, 'Tăng ca lễ'!K:K, B18, 'Tăng ca lễ'!L:L, C18)*2, SUMIFS('Tăng ca lễ'!P:P, 'Tăng ca lễ'!K:K, B18, 'Tăng ca lễ'!L:L, C18)*3)</f>
        <v>0</v>
      </c>
      <c r="Q18" s="35"/>
      <c r="R18" s="42">
        <f>SUMIFS('Ngày công'!M:M, 'Ngày công'!K:K, B18, 'Ngày công'!L:L, C18)</f>
        <v>6</v>
      </c>
      <c r="S18" s="39">
        <f>SUMIFS('Công Đào tạo'!G:G, 'Công Đào tạo'!E:E, B18, 'Công Đào tạo'!F:F, C18)</f>
        <v>0</v>
      </c>
      <c r="T18" s="35">
        <v>0</v>
      </c>
      <c r="U18" s="41"/>
      <c r="V18" s="46">
        <f t="shared" si="4"/>
        <v>0</v>
      </c>
      <c r="W18" s="42"/>
      <c r="X18" s="42">
        <f t="shared" si="5"/>
        <v>0</v>
      </c>
      <c r="Y18" s="42"/>
      <c r="Z18" s="42"/>
      <c r="AA18" s="42">
        <f>IF(ROW()=MATCH(C18, $C$1:$C$72, 0), IFERROR(VLOOKUP(C18, 'MiniKat - HN'!$A:$L, 12, FALSE), 0) + IFERROR(VLOOKUP(C18, 'MiniKat - HCM'!$A:$J, 10, FALSE), 0), 0)</f>
        <v>0</v>
      </c>
      <c r="AB18" s="42">
        <f>IF(OR(TRIM(D18)="CHT", TRIM(D18)="Q.CHT"), SUMIFS('MiniKat - HN'!$Y:$Y, 'MiniKat - HN'!$N:$N, B18) + SUMIFS('MiniKat - HCM'!$U:$U, 'MiniKat - HCM'!$M:$M, B18), 0)</f>
        <v>0</v>
      </c>
      <c r="AC18" s="42">
        <f>IF(ROW()=MATCH(C18, $C$1:$C$72, 0), SUMIFS(whatsapp!$D:$D, whatsapp!$A:$A, C18), 0)</f>
        <v>0</v>
      </c>
      <c r="AD18" s="42">
        <f>SUMIFS('Dự án'!$C:$C, 'Dự án'!$A:$A, B18, 'Dự án'!$B:$B, C18)</f>
        <v>0</v>
      </c>
      <c r="AE18" s="42">
        <f>SUMIFS(KPI!$C:$C, KPI!$A:$A, B18, KPI!$B:$B, C18)</f>
        <v>1409901</v>
      </c>
      <c r="AF18" s="43">
        <f>SUMIFS('Thưởng CK'!$C:$C, 'Thưởng CK'!$A:$A, B18, 'Thưởng CK'!$B:$B, C18)</f>
        <v>0</v>
      </c>
      <c r="AG18" s="42">
        <f>SUMIFS('Cận date'!$C:$C, 'Cận date'!$A:$A, B18, 'Cận date'!$B:$B, C18)</f>
        <v>11205</v>
      </c>
      <c r="AH18" s="42">
        <f>SUMIFS(Map!$D:$D, Map!$B:$B, B18, Map!$A:$A, C18)</f>
        <v>0</v>
      </c>
      <c r="AI18" s="37">
        <v>0</v>
      </c>
      <c r="AJ18" s="42">
        <f t="shared" si="6"/>
        <v>0</v>
      </c>
      <c r="AK18" s="42">
        <f>SUMIFS('KPI trừ'!$C:$C, 'KPI trừ'!$A:$A, B18, 'KPI trừ'!$B:$B, C18)</f>
        <v>0</v>
      </c>
      <c r="AL18" s="42">
        <f>SUMIFS('KPI trừ'!$D:$D, 'KPI trừ'!$A:$A, B18, 'KPI trừ'!$B:$B, C18)</f>
        <v>0</v>
      </c>
      <c r="AM18" s="42">
        <f>SUMIFS('KPI trừ'!$E:$E, 'KPI trừ'!$A:$A, B18, 'KPI trừ'!$B:$B, C18)</f>
        <v>0</v>
      </c>
      <c r="AN18" s="42">
        <f>SUMIFS('KPI trừ'!$F:$F, 'KPI trừ'!$A:$A, B18, 'KPI trừ'!$B:$B, C18)</f>
        <v>0</v>
      </c>
      <c r="AO18" s="42">
        <f>SUMIFS('KPI trừ'!$G:$G, 'KPI trừ'!$A:$A, B18, 'KPI trừ'!$B:$B, C18)</f>
        <v>0</v>
      </c>
      <c r="AP18" s="44" t="str">
        <f>IFERROR(INDEX('KPI trừ'!$H:$H, MATCH(1, ('KPI trừ'!$A:$A=B18)*('KPI trừ'!$B:$B=C18), 0)), "")</f>
        <v/>
      </c>
      <c r="AQ18" s="16"/>
      <c r="AR18" s="36"/>
      <c r="AS18" s="36"/>
      <c r="AT18" s="36"/>
      <c r="AU18" s="36"/>
      <c r="AV18" s="36"/>
      <c r="AW18" s="36"/>
      <c r="AX18" s="36"/>
      <c r="AY18" s="36"/>
      <c r="AZ18" s="36"/>
      <c r="BA18" s="36"/>
    </row>
    <row r="19" spans="1:53" ht="15.75" customHeight="1">
      <c r="A19" s="34">
        <v>17</v>
      </c>
      <c r="B19" s="35" t="s">
        <v>18</v>
      </c>
      <c r="C19" s="36" t="s">
        <v>92</v>
      </c>
      <c r="D19" s="34" t="s">
        <v>81</v>
      </c>
      <c r="E19" s="140">
        <f t="shared" si="0"/>
        <v>69.75</v>
      </c>
      <c r="F19" s="140">
        <f t="shared" si="1"/>
        <v>185.25</v>
      </c>
      <c r="G19" s="39">
        <f>SUMIFS('Giờ công'!I:I, 'Giờ công'!G:G, B19, 'Giờ công'!H:H, C19)</f>
        <v>53.75</v>
      </c>
      <c r="H19" s="39">
        <f>SUMIFS('Giờ công'!J:J, 'Giờ công'!G:G, B19, 'Giờ công'!H:H, C19)</f>
        <v>185.25</v>
      </c>
      <c r="I19" s="42">
        <f t="shared" si="2"/>
        <v>16</v>
      </c>
      <c r="J19" s="193">
        <f t="shared" si="3"/>
        <v>2.2000000000000002</v>
      </c>
      <c r="K19" s="42">
        <f>SUMIFS('Ngày công'!I:I, 'Ngày công'!A:A, B19, 'Ngày công'!B:B, C19)</f>
        <v>24</v>
      </c>
      <c r="L19" s="35"/>
      <c r="M19" s="35"/>
      <c r="N19" s="42">
        <f>SUMIFS('Tăng ca lễ'!M:M, 'Tăng ca lễ'!K:K, B19, 'Tăng ca lễ'!L:L, C19)</f>
        <v>0</v>
      </c>
      <c r="O19" s="35">
        <f>IF(OR(D19="PT", D19="DSHV"), SUMIFS('Tăng ca lễ'!O:O, 'Tăng ca lễ'!K:K, B19, 'Tăng ca lễ'!L:L, C19)*2, SUMIFS('Tăng ca lễ'!O:O, 'Tăng ca lễ'!K:K, B19, 'Tăng ca lễ'!L:L, C19)*3)</f>
        <v>0</v>
      </c>
      <c r="P19" s="35">
        <f>IF(OR(D19="PT", D19="DSHV"), SUMIFS('Tăng ca lễ'!P:P, 'Tăng ca lễ'!K:K, B19, 'Tăng ca lễ'!L:L, C19)*2, SUMIFS('Tăng ca lễ'!P:P, 'Tăng ca lễ'!K:K, B19, 'Tăng ca lễ'!L:L, C19)*3)</f>
        <v>0</v>
      </c>
      <c r="Q19" s="35"/>
      <c r="R19" s="42">
        <f>SUMIFS('Ngày công'!M:M, 'Ngày công'!K:K, B19, 'Ngày công'!L:L, C19)</f>
        <v>28</v>
      </c>
      <c r="S19" s="39">
        <f>SUMIFS('Công Đào tạo'!G:G, 'Công Đào tạo'!E:E, B19, 'Công Đào tạo'!F:F, C19)</f>
        <v>0</v>
      </c>
      <c r="T19" s="35">
        <v>0</v>
      </c>
      <c r="U19" s="41"/>
      <c r="V19" s="46">
        <f t="shared" si="4"/>
        <v>0</v>
      </c>
      <c r="W19" s="42"/>
      <c r="X19" s="42">
        <f t="shared" si="5"/>
        <v>1285714</v>
      </c>
      <c r="Y19" s="42"/>
      <c r="Z19" s="42"/>
      <c r="AA19" s="42">
        <f>IF(ROW()=MATCH(C19, $C$1:$C$72, 0), IFERROR(VLOOKUP(C19, 'MiniKat - HN'!$A:$L, 12, FALSE), 0) + IFERROR(VLOOKUP(C19, 'MiniKat - HCM'!$A:$J, 10, FALSE), 0), 0)</f>
        <v>0</v>
      </c>
      <c r="AB19" s="42">
        <f>IF(OR(TRIM(D19)="CHT", TRIM(D19)="Q.CHT"), SUMIFS('MiniKat - HN'!$Y:$Y, 'MiniKat - HN'!$N:$N, B19) + SUMIFS('MiniKat - HCM'!$U:$U, 'MiniKat - HCM'!$M:$M, B19), 0)</f>
        <v>0</v>
      </c>
      <c r="AC19" s="42">
        <f>IF(ROW()=MATCH(C19, $C$1:$C$72, 0), SUMIFS(whatsapp!$D:$D, whatsapp!$A:$A, C19), 0)</f>
        <v>0</v>
      </c>
      <c r="AD19" s="42">
        <f>SUMIFS('Dự án'!$C:$C, 'Dự án'!$A:$A, B19, 'Dự án'!$B:$B, C19)</f>
        <v>4000000</v>
      </c>
      <c r="AE19" s="42">
        <f>SUMIFS(KPI!$C:$C, KPI!$A:$A, B19, KPI!$B:$B, C19)</f>
        <v>2145059</v>
      </c>
      <c r="AF19" s="43">
        <f>SUMIFS('Thưởng CK'!$C:$C, 'Thưởng CK'!$A:$A, B19, 'Thưởng CK'!$B:$B, C19)</f>
        <v>4854450</v>
      </c>
      <c r="AG19" s="42">
        <f>SUMIFS('Cận date'!$C:$C, 'Cận date'!$A:$A, B19, 'Cận date'!$B:$B, C19)</f>
        <v>15362</v>
      </c>
      <c r="AH19" s="42">
        <f>SUMIFS(Map!$D:$D, Map!$B:$B, B19, Map!$A:$A, C19)</f>
        <v>0</v>
      </c>
      <c r="AI19" s="77">
        <v>0</v>
      </c>
      <c r="AJ19" s="42">
        <f t="shared" si="6"/>
        <v>0</v>
      </c>
      <c r="AK19" s="42">
        <f>SUMIFS('KPI trừ'!$C:$C, 'KPI trừ'!$A:$A, B19, 'KPI trừ'!$B:$B, C19)</f>
        <v>0</v>
      </c>
      <c r="AL19" s="42">
        <f>SUMIFS('KPI trừ'!$D:$D, 'KPI trừ'!$A:$A, B19, 'KPI trừ'!$B:$B, C19)</f>
        <v>0</v>
      </c>
      <c r="AM19" s="42">
        <f>SUMIFS('KPI trừ'!$E:$E, 'KPI trừ'!$A:$A, B19, 'KPI trừ'!$B:$B, C19)</f>
        <v>0</v>
      </c>
      <c r="AN19" s="42">
        <f>SUMIFS('KPI trừ'!$F:$F, 'KPI trừ'!$A:$A, B19, 'KPI trừ'!$B:$B, C19)</f>
        <v>0</v>
      </c>
      <c r="AO19" s="42">
        <f>SUMIFS('KPI trừ'!$G:$G, 'KPI trừ'!$A:$A, B19, 'KPI trừ'!$B:$B, C19)</f>
        <v>0</v>
      </c>
      <c r="AP19" s="44" t="str">
        <f>IFERROR(INDEX('KPI trừ'!$H:$H, MATCH(1, ('KPI trừ'!$A:$A=B19)*('KPI trừ'!$B:$B=C19), 0)), "")</f>
        <v/>
      </c>
      <c r="AQ19" s="1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3" ht="15.75" customHeight="1">
      <c r="A20" s="34">
        <v>18</v>
      </c>
      <c r="B20" s="35" t="s">
        <v>18</v>
      </c>
      <c r="C20" s="36" t="s">
        <v>93</v>
      </c>
      <c r="D20" s="34" t="s">
        <v>81</v>
      </c>
      <c r="E20" s="140">
        <f t="shared" si="0"/>
        <v>281.03999999999996</v>
      </c>
      <c r="F20" s="140">
        <f t="shared" si="1"/>
        <v>55.74</v>
      </c>
      <c r="G20" s="39">
        <f>SUMIFS('Giờ công'!I:I, 'Giờ công'!G:G, B20, 'Giờ công'!H:H, C20)</f>
        <v>265.03999999999996</v>
      </c>
      <c r="H20" s="39">
        <f>SUMIFS('Giờ công'!J:J, 'Giờ công'!G:G, B20, 'Giờ công'!H:H, C20)</f>
        <v>55.74</v>
      </c>
      <c r="I20" s="42">
        <f t="shared" si="2"/>
        <v>16</v>
      </c>
      <c r="J20" s="193">
        <f t="shared" si="3"/>
        <v>11</v>
      </c>
      <c r="K20" s="42">
        <f>SUMIFS('Ngày công'!I:I, 'Ngày công'!A:A, B20, 'Ngày công'!B:B, C20)</f>
        <v>7</v>
      </c>
      <c r="L20" s="35"/>
      <c r="M20" s="35"/>
      <c r="N20" s="42">
        <f>SUMIFS('Tăng ca lễ'!M:M, 'Tăng ca lễ'!K:K, B20, 'Tăng ca lễ'!L:L, C20)</f>
        <v>0</v>
      </c>
      <c r="O20" s="35">
        <f>IF(OR(D20="PT", D20="DSHV"), SUMIFS('Tăng ca lễ'!O:O, 'Tăng ca lễ'!K:K, B20, 'Tăng ca lễ'!L:L, C20)*2, SUMIFS('Tăng ca lễ'!O:O, 'Tăng ca lễ'!K:K, B20, 'Tăng ca lễ'!L:L, C20)*3)</f>
        <v>0</v>
      </c>
      <c r="P20" s="35">
        <f>IF(OR(D20="PT", D20="DSHV"), SUMIFS('Tăng ca lễ'!P:P, 'Tăng ca lễ'!K:K, B20, 'Tăng ca lễ'!L:L, C20)*2, SUMIFS('Tăng ca lễ'!P:P, 'Tăng ca lễ'!K:K, B20, 'Tăng ca lễ'!L:L, C20)*3)</f>
        <v>0</v>
      </c>
      <c r="Q20" s="35"/>
      <c r="R20" s="42">
        <f>SUMIFS('Ngày công'!M:M, 'Ngày công'!K:K, B20, 'Ngày công'!L:L, C20)</f>
        <v>30</v>
      </c>
      <c r="S20" s="39">
        <f>SUMIFS('Công Đào tạo'!G:G, 'Công Đào tạo'!E:E, B20, 'Công Đào tạo'!F:F, C20)</f>
        <v>0</v>
      </c>
      <c r="T20" s="35">
        <v>0</v>
      </c>
      <c r="U20" s="41"/>
      <c r="V20" s="46">
        <f t="shared" si="4"/>
        <v>0</v>
      </c>
      <c r="W20" s="42"/>
      <c r="X20" s="42">
        <f t="shared" si="5"/>
        <v>0</v>
      </c>
      <c r="Y20" s="42"/>
      <c r="Z20" s="42"/>
      <c r="AA20" s="42">
        <f>IF(ROW()=MATCH(C20, $C$1:$C$72, 0), IFERROR(VLOOKUP(C20, 'MiniKat - HN'!$A:$L, 12, FALSE), 0) + IFERROR(VLOOKUP(C20, 'MiniKat - HCM'!$A:$J, 10, FALSE), 0), 0)</f>
        <v>0</v>
      </c>
      <c r="AB20" s="42">
        <f>IF(OR(TRIM(D20)="CHT", TRIM(D20)="Q.CHT"), SUMIFS('MiniKat - HN'!$Y:$Y, 'MiniKat - HN'!$N:$N, B20) + SUMIFS('MiniKat - HCM'!$U:$U, 'MiniKat - HCM'!$M:$M, B20), 0)</f>
        <v>0</v>
      </c>
      <c r="AC20" s="42">
        <f>IF(ROW()=MATCH(C20, $C$1:$C$72, 0), SUMIFS(whatsapp!$D:$D, whatsapp!$A:$A, C20), 0)</f>
        <v>0</v>
      </c>
      <c r="AD20" s="42">
        <f>SUMIFS('Dự án'!$C:$C, 'Dự án'!$A:$A, B20, 'Dự án'!$B:$B, C20)</f>
        <v>1000000</v>
      </c>
      <c r="AE20" s="42">
        <f>SUMIFS(KPI!$C:$C, KPI!$A:$A, B20, KPI!$B:$B, C20)</f>
        <v>972090</v>
      </c>
      <c r="AF20" s="43">
        <f>SUMIFS('Thưởng CK'!$C:$C, 'Thưởng CK'!$A:$A, B20, 'Thưởng CK'!$B:$B, C20)</f>
        <v>3048900</v>
      </c>
      <c r="AG20" s="42">
        <f>SUMIFS('Cận date'!$C:$C, 'Cận date'!$A:$A, B20, 'Cận date'!$B:$B, C20)</f>
        <v>68625</v>
      </c>
      <c r="AH20" s="42">
        <f>SUMIFS(Map!$D:$D, Map!$B:$B, B20, Map!$A:$A, C20)</f>
        <v>0</v>
      </c>
      <c r="AI20" s="42">
        <v>0</v>
      </c>
      <c r="AJ20" s="42">
        <f t="shared" si="6"/>
        <v>0</v>
      </c>
      <c r="AK20" s="42">
        <f>SUMIFS('KPI trừ'!$C:$C, 'KPI trừ'!$A:$A, B20, 'KPI trừ'!$B:$B, C20)</f>
        <v>0</v>
      </c>
      <c r="AL20" s="42">
        <f>SUMIFS('KPI trừ'!$D:$D, 'KPI trừ'!$A:$A, B20, 'KPI trừ'!$B:$B, C20)</f>
        <v>0</v>
      </c>
      <c r="AM20" s="42">
        <f>SUMIFS('KPI trừ'!$E:$E, 'KPI trừ'!$A:$A, B20, 'KPI trừ'!$B:$B, C20)</f>
        <v>0</v>
      </c>
      <c r="AN20" s="42">
        <f>SUMIFS('KPI trừ'!$F:$F, 'KPI trừ'!$A:$A, B20, 'KPI trừ'!$B:$B, C20)</f>
        <v>0</v>
      </c>
      <c r="AO20" s="42">
        <f>SUMIFS('KPI trừ'!$G:$G, 'KPI trừ'!$A:$A, B20, 'KPI trừ'!$B:$B, C20)</f>
        <v>0</v>
      </c>
      <c r="AP20" s="44" t="str">
        <f>IFERROR(INDEX('KPI trừ'!$H:$H, MATCH(1, ('KPI trừ'!$A:$A=B20)*('KPI trừ'!$B:$B=C20), 0)), "")</f>
        <v/>
      </c>
      <c r="AQ20" s="16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spans="1:53" ht="15.75" customHeight="1">
      <c r="A21" s="34">
        <v>19</v>
      </c>
      <c r="B21" s="35" t="s">
        <v>18</v>
      </c>
      <c r="C21" s="36" t="s">
        <v>94</v>
      </c>
      <c r="D21" s="34" t="s">
        <v>95</v>
      </c>
      <c r="E21" s="140">
        <f t="shared" si="0"/>
        <v>198.93</v>
      </c>
      <c r="F21" s="140">
        <f t="shared" si="1"/>
        <v>32.22</v>
      </c>
      <c r="G21" s="39">
        <f>SUMIFS('Giờ công'!I:I, 'Giờ công'!G:G, B21, 'Giờ công'!H:H, C21)</f>
        <v>198.93</v>
      </c>
      <c r="H21" s="39">
        <f>SUMIFS('Giờ công'!J:J, 'Giờ công'!G:G, B21, 'Giờ công'!H:H, C21)</f>
        <v>32.22</v>
      </c>
      <c r="I21" s="42" t="str">
        <f t="shared" si="2"/>
        <v/>
      </c>
      <c r="J21" s="193">
        <f t="shared" si="3"/>
        <v>8.3000000000000007</v>
      </c>
      <c r="K21" s="42">
        <f>SUMIFS('Ngày công'!I:I, 'Ngày công'!A:A, B21, 'Ngày công'!B:B, C21)</f>
        <v>4</v>
      </c>
      <c r="L21" s="35"/>
      <c r="M21" s="35"/>
      <c r="N21" s="42">
        <f>SUMIFS('Tăng ca lễ'!M:M, 'Tăng ca lễ'!K:K, B21, 'Tăng ca lễ'!L:L, C21)</f>
        <v>0</v>
      </c>
      <c r="O21" s="35">
        <f>IF(OR(D21="PT", D21="DSHV"), SUMIFS('Tăng ca lễ'!O:O, 'Tăng ca lễ'!K:K, B21, 'Tăng ca lễ'!L:L, C21)*2, SUMIFS('Tăng ca lễ'!O:O, 'Tăng ca lễ'!K:K, B21, 'Tăng ca lễ'!L:L, C21)*3)</f>
        <v>0</v>
      </c>
      <c r="P21" s="35">
        <f>IF(OR(D21="PT", D21="DSHV"), SUMIFS('Tăng ca lễ'!P:P, 'Tăng ca lễ'!K:K, B21, 'Tăng ca lễ'!L:L, C21)*2, SUMIFS('Tăng ca lễ'!P:P, 'Tăng ca lễ'!K:K, B21, 'Tăng ca lễ'!L:L, C21)*3)</f>
        <v>0</v>
      </c>
      <c r="Q21" s="35"/>
      <c r="R21" s="42">
        <f>SUMIFS('Ngày công'!M:M, 'Ngày công'!K:K, B21, 'Ngày công'!L:L, C21)</f>
        <v>28</v>
      </c>
      <c r="S21" s="39">
        <f>SUMIFS('Công Đào tạo'!G:G, 'Công Đào tạo'!E:E, B21, 'Công Đào tạo'!F:F, C21)</f>
        <v>0</v>
      </c>
      <c r="T21" s="35">
        <v>0</v>
      </c>
      <c r="U21" s="41"/>
      <c r="V21" s="46">
        <f t="shared" si="4"/>
        <v>0</v>
      </c>
      <c r="W21" s="42"/>
      <c r="X21" s="42">
        <f t="shared" si="5"/>
        <v>0</v>
      </c>
      <c r="Y21" s="42"/>
      <c r="Z21" s="42"/>
      <c r="AA21" s="42">
        <f>IF(ROW()=MATCH(C21, $C$1:$C$72, 0), IFERROR(VLOOKUP(C21, 'MiniKat - HN'!$A:$L, 12, FALSE), 0) + IFERROR(VLOOKUP(C21, 'MiniKat - HCM'!$A:$J, 10, FALSE), 0), 0)</f>
        <v>0</v>
      </c>
      <c r="AB21" s="42">
        <f>IF(OR(TRIM(D21)="CHT", TRIM(D21)="Q.CHT"), SUMIFS('MiniKat - HN'!$Y:$Y, 'MiniKat - HN'!$N:$N, B21) + SUMIFS('MiniKat - HCM'!$U:$U, 'MiniKat - HCM'!$M:$M, B21), 0)</f>
        <v>0</v>
      </c>
      <c r="AC21" s="42">
        <f>IF(ROW()=MATCH(C21, $C$1:$C$72, 0), SUMIFS(whatsapp!$D:$D, whatsapp!$A:$A, C21), 0)</f>
        <v>0</v>
      </c>
      <c r="AD21" s="42">
        <f>SUMIFS('Dự án'!$C:$C, 'Dự án'!$A:$A, B21, 'Dự án'!$B:$B, C21)</f>
        <v>0</v>
      </c>
      <c r="AE21" s="42">
        <f>SUMIFS(KPI!$C:$C, KPI!$A:$A, B21, KPI!$B:$B, C21)</f>
        <v>0</v>
      </c>
      <c r="AF21" s="43">
        <f>SUMIFS('Thưởng CK'!$C:$C, 'Thưởng CK'!$A:$A, B21, 'Thưởng CK'!$B:$B, C21)</f>
        <v>380880</v>
      </c>
      <c r="AG21" s="42">
        <f>SUMIFS('Cận date'!$C:$C, 'Cận date'!$A:$A, B21, 'Cận date'!$B:$B, C21)</f>
        <v>0</v>
      </c>
      <c r="AH21" s="42">
        <f>SUMIFS(Map!$D:$D, Map!$B:$B, B21, Map!$A:$A, C21)</f>
        <v>0</v>
      </c>
      <c r="AI21" s="42">
        <v>0</v>
      </c>
      <c r="AJ21" s="42">
        <f t="shared" si="6"/>
        <v>0</v>
      </c>
      <c r="AK21" s="42">
        <f>SUMIFS('KPI trừ'!$C:$C, 'KPI trừ'!$A:$A, B21, 'KPI trừ'!$B:$B, C21)</f>
        <v>0</v>
      </c>
      <c r="AL21" s="42">
        <f>SUMIFS('KPI trừ'!$D:$D, 'KPI trừ'!$A:$A, B21, 'KPI trừ'!$B:$B, C21)</f>
        <v>0</v>
      </c>
      <c r="AM21" s="42">
        <f>SUMIFS('KPI trừ'!$E:$E, 'KPI trừ'!$A:$A, B21, 'KPI trừ'!$B:$B, C21)</f>
        <v>0</v>
      </c>
      <c r="AN21" s="42">
        <f>SUMIFS('KPI trừ'!$F:$F, 'KPI trừ'!$A:$A, B21, 'KPI trừ'!$B:$B, C21)</f>
        <v>0</v>
      </c>
      <c r="AO21" s="42">
        <f>SUMIFS('KPI trừ'!$G:$G, 'KPI trừ'!$A:$A, B21, 'KPI trừ'!$B:$B, C21)</f>
        <v>0</v>
      </c>
      <c r="AP21" s="44" t="str">
        <f>IFERROR(INDEX('KPI trừ'!$H:$H, MATCH(1, ('KPI trừ'!$A:$A=B21)*('KPI trừ'!$B:$B=C21), 0)), "")</f>
        <v/>
      </c>
      <c r="AQ21" s="16"/>
      <c r="AR21" s="36"/>
      <c r="AS21" s="36"/>
      <c r="AT21" s="36"/>
      <c r="AU21" s="36"/>
      <c r="AV21" s="36"/>
      <c r="AW21" s="36"/>
      <c r="AX21" s="36"/>
      <c r="AY21" s="36"/>
      <c r="AZ21" s="36"/>
      <c r="BA21" s="36"/>
    </row>
    <row r="22" spans="1:53" ht="15.75" customHeight="1">
      <c r="A22" s="34">
        <v>20</v>
      </c>
      <c r="B22" s="35" t="s">
        <v>19</v>
      </c>
      <c r="C22" s="36" t="s">
        <v>85</v>
      </c>
      <c r="D22" s="34" t="s">
        <v>77</v>
      </c>
      <c r="E22" s="140">
        <f t="shared" si="0"/>
        <v>0.91999999999998749</v>
      </c>
      <c r="F22" s="140">
        <f t="shared" si="1"/>
        <v>193.57</v>
      </c>
      <c r="G22" s="39">
        <f>SUMIFS('Giờ công'!I:I, 'Giờ công'!G:G, B22, 'Giờ công'!H:H, C22)</f>
        <v>0.91999999999998749</v>
      </c>
      <c r="H22" s="39">
        <f>SUMIFS('Giờ công'!J:J, 'Giờ công'!G:G, B22, 'Giờ công'!H:H, C22)</f>
        <v>193.57</v>
      </c>
      <c r="I22" s="42" t="str">
        <f t="shared" si="2"/>
        <v/>
      </c>
      <c r="J22" s="193">
        <f t="shared" si="3"/>
        <v>0</v>
      </c>
      <c r="K22" s="42">
        <f>SUMIFS('Ngày công'!I:I, 'Ngày công'!A:A, B22, 'Ngày công'!B:B, C22)</f>
        <v>24</v>
      </c>
      <c r="L22" s="35"/>
      <c r="M22" s="35"/>
      <c r="N22" s="42">
        <f>SUMIFS('Tăng ca lễ'!M:M, 'Tăng ca lễ'!K:K, B22, 'Tăng ca lễ'!L:L, C22)</f>
        <v>0</v>
      </c>
      <c r="O22" s="35">
        <f>IF(OR(D22="PT", D22="DSHV"), SUMIFS('Tăng ca lễ'!O:O, 'Tăng ca lễ'!K:K, B22, 'Tăng ca lễ'!L:L, C22)*2, SUMIFS('Tăng ca lễ'!O:O, 'Tăng ca lễ'!K:K, B22, 'Tăng ca lễ'!L:L, C22)*3)</f>
        <v>0</v>
      </c>
      <c r="P22" s="35">
        <f>IF(OR(D22="PT", D22="DSHV"), SUMIFS('Tăng ca lễ'!P:P, 'Tăng ca lễ'!K:K, B22, 'Tăng ca lễ'!L:L, C22)*2, SUMIFS('Tăng ca lễ'!P:P, 'Tăng ca lễ'!K:K, B22, 'Tăng ca lễ'!L:L, C22)*3)</f>
        <v>0</v>
      </c>
      <c r="Q22" s="35"/>
      <c r="R22" s="42">
        <f>SUMIFS('Ngày công'!M:M, 'Ngày công'!K:K, B22, 'Ngày công'!L:L, C22)</f>
        <v>24</v>
      </c>
      <c r="S22" s="39">
        <f>SUMIFS('Công Đào tạo'!G:G, 'Công Đào tạo'!E:E, B22, 'Công Đào tạo'!F:F, C22)</f>
        <v>0</v>
      </c>
      <c r="T22" s="35">
        <v>0</v>
      </c>
      <c r="U22" s="41"/>
      <c r="V22" s="46">
        <f t="shared" si="4"/>
        <v>0</v>
      </c>
      <c r="W22" s="42"/>
      <c r="X22" s="42">
        <f t="shared" si="5"/>
        <v>0</v>
      </c>
      <c r="Y22" s="42"/>
      <c r="Z22" s="42"/>
      <c r="AA22" s="42">
        <f>IF(ROW()=MATCH(C22, $C$1:$C$72, 0), IFERROR(VLOOKUP(C22, 'MiniKat - HN'!$A:$L, 12, FALSE), 0) + IFERROR(VLOOKUP(C22, 'MiniKat - HCM'!$A:$J, 10, FALSE), 0), 0)</f>
        <v>0</v>
      </c>
      <c r="AB22" s="42">
        <f>IF(OR(TRIM(D22)="CHT", TRIM(D22)="Q.CHT"), SUMIFS('MiniKat - HN'!$Y:$Y, 'MiniKat - HN'!$N:$N, B22) + SUMIFS('MiniKat - HCM'!$U:$U, 'MiniKat - HCM'!$M:$M, B22), 0)</f>
        <v>0</v>
      </c>
      <c r="AC22" s="42">
        <f>IF(ROW()=MATCH(C22, $C$1:$C$72, 0), SUMIFS(whatsapp!$D:$D, whatsapp!$A:$A, C22), 0)</f>
        <v>0</v>
      </c>
      <c r="AD22" s="42">
        <f>SUMIFS('Dự án'!$C:$C, 'Dự án'!$A:$A, B22, 'Dự án'!$B:$B, C22)</f>
        <v>0</v>
      </c>
      <c r="AE22" s="42">
        <f>SUMIFS(KPI!$C:$C, KPI!$A:$A, B22, KPI!$B:$B, C22)</f>
        <v>0</v>
      </c>
      <c r="AF22" s="43">
        <f>SUMIFS('Thưởng CK'!$C:$C, 'Thưởng CK'!$A:$A, B22, 'Thưởng CK'!$B:$B, C22)</f>
        <v>221850</v>
      </c>
      <c r="AG22" s="42">
        <f>SUMIFS('Cận date'!$C:$C, 'Cận date'!$A:$A, B22, 'Cận date'!$B:$B, C22)</f>
        <v>0</v>
      </c>
      <c r="AH22" s="42">
        <f>SUMIFS(Map!$D:$D, Map!$B:$B, B22, Map!$A:$A, C22)</f>
        <v>0</v>
      </c>
      <c r="AI22" s="42">
        <v>0</v>
      </c>
      <c r="AJ22" s="42">
        <f t="shared" si="6"/>
        <v>0</v>
      </c>
      <c r="AK22" s="42">
        <f>SUMIFS('KPI trừ'!$C:$C, 'KPI trừ'!$A:$A, B22, 'KPI trừ'!$B:$B, C22)</f>
        <v>0</v>
      </c>
      <c r="AL22" s="42">
        <f>SUMIFS('KPI trừ'!$D:$D, 'KPI trừ'!$A:$A, B22, 'KPI trừ'!$B:$B, C22)</f>
        <v>0</v>
      </c>
      <c r="AM22" s="42">
        <f>SUMIFS('KPI trừ'!$E:$E, 'KPI trừ'!$A:$A, B22, 'KPI trừ'!$B:$B, C22)</f>
        <v>0</v>
      </c>
      <c r="AN22" s="42">
        <f>SUMIFS('KPI trừ'!$F:$F, 'KPI trừ'!$A:$A, B22, 'KPI trừ'!$B:$B, C22)</f>
        <v>0</v>
      </c>
      <c r="AO22" s="42">
        <f>SUMIFS('KPI trừ'!$G:$G, 'KPI trừ'!$A:$A, B22, 'KPI trừ'!$B:$B, C22)</f>
        <v>0</v>
      </c>
      <c r="AP22" s="44" t="str">
        <f>IFERROR(INDEX('KPI trừ'!$H:$H, MATCH(1, ('KPI trừ'!$A:$A=B22)*('KPI trừ'!$B:$B=C22), 0)), "")</f>
        <v/>
      </c>
      <c r="AQ22" s="1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spans="1:53" ht="15.75" customHeight="1">
      <c r="A23" s="34">
        <v>21</v>
      </c>
      <c r="B23" s="35" t="s">
        <v>19</v>
      </c>
      <c r="C23" s="36" t="s">
        <v>96</v>
      </c>
      <c r="D23" s="34" t="s">
        <v>79</v>
      </c>
      <c r="E23" s="140">
        <f t="shared" si="0"/>
        <v>18.210000000000008</v>
      </c>
      <c r="F23" s="140">
        <f t="shared" si="1"/>
        <v>234.97000000000011</v>
      </c>
      <c r="G23" s="39">
        <f>SUMIFS('Giờ công'!I:I, 'Giờ công'!G:G, B23, 'Giờ công'!H:H, C23)</f>
        <v>10.210000000000008</v>
      </c>
      <c r="H23" s="39">
        <f>SUMIFS('Giờ công'!J:J, 'Giờ công'!G:G, B23, 'Giờ công'!H:H, C23)</f>
        <v>234.97000000000011</v>
      </c>
      <c r="I23" s="42">
        <f t="shared" si="2"/>
        <v>8</v>
      </c>
      <c r="J23" s="193">
        <f t="shared" si="3"/>
        <v>0.4</v>
      </c>
      <c r="K23" s="42">
        <f>SUMIFS('Ngày công'!I:I, 'Ngày công'!A:A, B23, 'Ngày công'!B:B, C23)</f>
        <v>29</v>
      </c>
      <c r="L23" s="35"/>
      <c r="M23" s="35"/>
      <c r="N23" s="42">
        <f>SUMIFS('Tăng ca lễ'!M:M, 'Tăng ca lễ'!K:K, B23, 'Tăng ca lễ'!L:L, C23)</f>
        <v>0</v>
      </c>
      <c r="O23" s="35">
        <f>IF(OR(D23="PT", D23="DSHV"), SUMIFS('Tăng ca lễ'!O:O, 'Tăng ca lễ'!K:K, B23, 'Tăng ca lễ'!L:L, C23)*2, SUMIFS('Tăng ca lễ'!O:O, 'Tăng ca lễ'!K:K, B23, 'Tăng ca lễ'!L:L, C23)*3)</f>
        <v>0</v>
      </c>
      <c r="P23" s="35">
        <f>IF(OR(D23="PT", D23="DSHV"), SUMIFS('Tăng ca lễ'!P:P, 'Tăng ca lễ'!K:K, B23, 'Tăng ca lễ'!L:L, C23)*2, SUMIFS('Tăng ca lễ'!P:P, 'Tăng ca lễ'!K:K, B23, 'Tăng ca lễ'!L:L, C23)*3)</f>
        <v>0</v>
      </c>
      <c r="Q23" s="35"/>
      <c r="R23" s="42">
        <f>SUMIFS('Ngày công'!M:M, 'Ngày công'!K:K, B23, 'Ngày công'!L:L, C23)</f>
        <v>29</v>
      </c>
      <c r="S23" s="39">
        <f>SUMIFS('Công Đào tạo'!G:G, 'Công Đào tạo'!E:E, B23, 'Công Đào tạo'!F:F, C23)</f>
        <v>0</v>
      </c>
      <c r="T23" s="35">
        <v>0</v>
      </c>
      <c r="U23" s="41"/>
      <c r="V23" s="46">
        <f t="shared" si="4"/>
        <v>0</v>
      </c>
      <c r="W23" s="42"/>
      <c r="X23" s="42">
        <f t="shared" si="5"/>
        <v>21429</v>
      </c>
      <c r="Y23" s="42"/>
      <c r="Z23" s="42"/>
      <c r="AA23" s="42">
        <f>IF(ROW()=MATCH(C23, $C$1:$C$72, 0), IFERROR(VLOOKUP(C23, 'MiniKat - HN'!$A:$L, 12, FALSE), 0) + IFERROR(VLOOKUP(C23, 'MiniKat - HCM'!$A:$J, 10, FALSE), 0), 0)</f>
        <v>0</v>
      </c>
      <c r="AB23" s="42">
        <f>IF(OR(TRIM(D23)="CHT", TRIM(D23)="Q.CHT"), SUMIFS('MiniKat - HN'!$Y:$Y, 'MiniKat - HN'!$N:$N, B23) + SUMIFS('MiniKat - HCM'!$U:$U, 'MiniKat - HCM'!$M:$M, B23), 0)</f>
        <v>0</v>
      </c>
      <c r="AC23" s="42">
        <f>IF(ROW()=MATCH(C23, $C$1:$C$72, 0), SUMIFS(whatsapp!$D:$D, whatsapp!$A:$A, C23), 0)</f>
        <v>0</v>
      </c>
      <c r="AD23" s="42">
        <f>SUMIFS('Dự án'!$C:$C, 'Dự án'!$A:$A, B23, 'Dự án'!$B:$B, C23)</f>
        <v>1600000</v>
      </c>
      <c r="AE23" s="42">
        <f>SUMIFS(KPI!$C:$C, KPI!$A:$A, B23, KPI!$B:$B, C23)</f>
        <v>875349</v>
      </c>
      <c r="AF23" s="43">
        <f>SUMIFS('Thưởng CK'!$C:$C, 'Thưởng CK'!$A:$A, B23, 'Thưởng CK'!$B:$B, C23)</f>
        <v>2444050</v>
      </c>
      <c r="AG23" s="42">
        <f>SUMIFS('Cận date'!$C:$C, 'Cận date'!$A:$A, B23, 'Cận date'!$B:$B, C23)</f>
        <v>28709</v>
      </c>
      <c r="AH23" s="42">
        <f>SUMIFS(Map!$D:$D, Map!$B:$B, B23, Map!$A:$A, C23)</f>
        <v>0</v>
      </c>
      <c r="AI23" s="32">
        <v>0</v>
      </c>
      <c r="AJ23" s="42">
        <f t="shared" si="6"/>
        <v>0</v>
      </c>
      <c r="AK23" s="42">
        <f>SUMIFS('KPI trừ'!$C:$C, 'KPI trừ'!$A:$A, B23, 'KPI trừ'!$B:$B, C23)</f>
        <v>0</v>
      </c>
      <c r="AL23" s="42">
        <f>SUMIFS('KPI trừ'!$D:$D, 'KPI trừ'!$A:$A, B23, 'KPI trừ'!$B:$B, C23)</f>
        <v>0</v>
      </c>
      <c r="AM23" s="42">
        <f>SUMIFS('KPI trừ'!$E:$E, 'KPI trừ'!$A:$A, B23, 'KPI trừ'!$B:$B, C23)</f>
        <v>0</v>
      </c>
      <c r="AN23" s="42">
        <f>SUMIFS('KPI trừ'!$F:$F, 'KPI trừ'!$A:$A, B23, 'KPI trừ'!$B:$B, C23)</f>
        <v>0</v>
      </c>
      <c r="AO23" s="42">
        <f>SUMIFS('KPI trừ'!$G:$G, 'KPI trừ'!$A:$A, B23, 'KPI trừ'!$B:$B, C23)</f>
        <v>0</v>
      </c>
      <c r="AP23" s="44" t="str">
        <f>IFERROR(INDEX('KPI trừ'!$H:$H, MATCH(1, ('KPI trừ'!$A:$A=B23)*('KPI trừ'!$B:$B=C23), 0)), "")</f>
        <v/>
      </c>
      <c r="AQ23" s="16"/>
      <c r="AR23" s="36"/>
      <c r="AS23" s="36"/>
      <c r="AT23" s="36"/>
      <c r="AU23" s="36"/>
      <c r="AV23" s="36"/>
      <c r="AW23" s="36"/>
      <c r="AX23" s="36"/>
      <c r="AY23" s="36"/>
      <c r="AZ23" s="36"/>
      <c r="BA23" s="36"/>
    </row>
    <row r="24" spans="1:53" ht="15.75" customHeight="1">
      <c r="A24" s="34">
        <v>22</v>
      </c>
      <c r="B24" s="35" t="s">
        <v>19</v>
      </c>
      <c r="C24" s="36" t="s">
        <v>97</v>
      </c>
      <c r="D24" s="34" t="s">
        <v>77</v>
      </c>
      <c r="E24" s="140">
        <f t="shared" si="0"/>
        <v>20.11</v>
      </c>
      <c r="F24" s="140">
        <f t="shared" si="1"/>
        <v>40.069999999999993</v>
      </c>
      <c r="G24" s="39">
        <f>SUMIFS('Giờ công'!I:I, 'Giờ công'!G:G, B24, 'Giờ công'!H:H, C24)</f>
        <v>20.11</v>
      </c>
      <c r="H24" s="39">
        <f>SUMIFS('Giờ công'!J:J, 'Giờ công'!G:G, B24, 'Giờ công'!H:H, C24)</f>
        <v>40.069999999999993</v>
      </c>
      <c r="I24" s="42" t="str">
        <f t="shared" si="2"/>
        <v/>
      </c>
      <c r="J24" s="193">
        <f t="shared" si="3"/>
        <v>0.8</v>
      </c>
      <c r="K24" s="42">
        <f>SUMIFS('Ngày công'!I:I, 'Ngày công'!A:A, B24, 'Ngày công'!B:B, C24)</f>
        <v>5</v>
      </c>
      <c r="L24" s="35"/>
      <c r="M24" s="35"/>
      <c r="N24" s="42">
        <f>SUMIFS('Tăng ca lễ'!M:M, 'Tăng ca lễ'!K:K, B24, 'Tăng ca lễ'!L:L, C24)</f>
        <v>0</v>
      </c>
      <c r="O24" s="35">
        <f>IF(OR(D24="PT", D24="DSHV"), SUMIFS('Tăng ca lễ'!O:O, 'Tăng ca lễ'!K:K, B24, 'Tăng ca lễ'!L:L, C24)*2, SUMIFS('Tăng ca lễ'!O:O, 'Tăng ca lễ'!K:K, B24, 'Tăng ca lễ'!L:L, C24)*3)</f>
        <v>0</v>
      </c>
      <c r="P24" s="35">
        <f>IF(OR(D24="PT", D24="DSHV"), SUMIFS('Tăng ca lễ'!P:P, 'Tăng ca lễ'!K:K, B24, 'Tăng ca lễ'!L:L, C24)*2, SUMIFS('Tăng ca lễ'!P:P, 'Tăng ca lễ'!K:K, B24, 'Tăng ca lễ'!L:L, C24)*3)</f>
        <v>0</v>
      </c>
      <c r="Q24" s="35"/>
      <c r="R24" s="42">
        <f>SUMIFS('Ngày công'!M:M, 'Ngày công'!K:K, B24, 'Ngày công'!L:L, C24)</f>
        <v>5</v>
      </c>
      <c r="S24" s="39">
        <f>SUMIFS('Công Đào tạo'!G:G, 'Công Đào tạo'!E:E, B24, 'Công Đào tạo'!F:F, C24)</f>
        <v>0</v>
      </c>
      <c r="T24" s="35">
        <v>0</v>
      </c>
      <c r="U24" s="41"/>
      <c r="V24" s="46">
        <f t="shared" si="4"/>
        <v>0</v>
      </c>
      <c r="W24" s="42"/>
      <c r="X24" s="42">
        <f t="shared" si="5"/>
        <v>0</v>
      </c>
      <c r="Y24" s="42"/>
      <c r="Z24" s="42"/>
      <c r="AA24" s="42">
        <f>IF(ROW()=MATCH(C24, $C$1:$C$72, 0), IFERROR(VLOOKUP(C24, 'MiniKat - HN'!$A:$L, 12, FALSE), 0) + IFERROR(VLOOKUP(C24, 'MiniKat - HCM'!$A:$J, 10, FALSE), 0), 0)</f>
        <v>0</v>
      </c>
      <c r="AB24" s="42">
        <f>IF(OR(TRIM(D24)="CHT", TRIM(D24)="Q.CHT"), SUMIFS('MiniKat - HN'!$Y:$Y, 'MiniKat - HN'!$N:$N, B24) + SUMIFS('MiniKat - HCM'!$U:$U, 'MiniKat - HCM'!$M:$M, B24), 0)</f>
        <v>0</v>
      </c>
      <c r="AC24" s="42">
        <f>IF(ROW()=MATCH(C24, $C$1:$C$72, 0), SUMIFS(whatsapp!$D:$D, whatsapp!$A:$A, C24), 0)</f>
        <v>0</v>
      </c>
      <c r="AD24" s="42">
        <f>SUMIFS('Dự án'!$C:$C, 'Dự án'!$A:$A, B24, 'Dự án'!$B:$B, C24)</f>
        <v>0</v>
      </c>
      <c r="AE24" s="42">
        <f>SUMIFS(KPI!$C:$C, KPI!$A:$A, B24, KPI!$B:$B, C24)</f>
        <v>0</v>
      </c>
      <c r="AF24" s="43">
        <f>SUMIFS('Thưởng CK'!$C:$C, 'Thưởng CK'!$A:$A, B24, 'Thưởng CK'!$B:$B, C24)</f>
        <v>354690</v>
      </c>
      <c r="AG24" s="42">
        <f>SUMIFS('Cận date'!$C:$C, 'Cận date'!$A:$A, B24, 'Cận date'!$B:$B, C24)</f>
        <v>1690</v>
      </c>
      <c r="AH24" s="42">
        <f>SUMIFS(Map!$D:$D, Map!$B:$B, B24, Map!$A:$A, C24)</f>
        <v>0</v>
      </c>
      <c r="AI24" s="42">
        <v>0</v>
      </c>
      <c r="AJ24" s="42">
        <f t="shared" si="6"/>
        <v>0</v>
      </c>
      <c r="AK24" s="42">
        <f>SUMIFS('KPI trừ'!$C:$C, 'KPI trừ'!$A:$A, B24, 'KPI trừ'!$B:$B, C24)</f>
        <v>0</v>
      </c>
      <c r="AL24" s="42">
        <f>SUMIFS('KPI trừ'!$D:$D, 'KPI trừ'!$A:$A, B24, 'KPI trừ'!$B:$B, C24)</f>
        <v>0</v>
      </c>
      <c r="AM24" s="42">
        <f>SUMIFS('KPI trừ'!$E:$E, 'KPI trừ'!$A:$A, B24, 'KPI trừ'!$B:$B, C24)</f>
        <v>0</v>
      </c>
      <c r="AN24" s="42">
        <f>SUMIFS('KPI trừ'!$F:$F, 'KPI trừ'!$A:$A, B24, 'KPI trừ'!$B:$B, C24)</f>
        <v>0</v>
      </c>
      <c r="AO24" s="42">
        <f>SUMIFS('KPI trừ'!$G:$G, 'KPI trừ'!$A:$A, B24, 'KPI trừ'!$B:$B, C24)</f>
        <v>0</v>
      </c>
      <c r="AP24" s="44" t="str">
        <f>IFERROR(INDEX('KPI trừ'!$H:$H, MATCH(1, ('KPI trừ'!$A:$A=B24)*('KPI trừ'!$B:$B=C24), 0)), "")</f>
        <v/>
      </c>
      <c r="AQ24" s="16"/>
      <c r="AR24" s="36"/>
      <c r="AS24" s="36"/>
      <c r="AT24" s="36"/>
      <c r="AU24" s="36"/>
      <c r="AV24" s="36"/>
      <c r="AW24" s="36"/>
      <c r="AX24" s="36"/>
      <c r="AY24" s="36"/>
      <c r="AZ24" s="36"/>
      <c r="BA24" s="36"/>
    </row>
    <row r="25" spans="1:53" ht="15.75" customHeight="1">
      <c r="A25" s="34">
        <v>23</v>
      </c>
      <c r="B25" s="35" t="s">
        <v>19</v>
      </c>
      <c r="C25" s="36" t="s">
        <v>98</v>
      </c>
      <c r="D25" s="34" t="s">
        <v>99</v>
      </c>
      <c r="E25" s="140">
        <f t="shared" si="0"/>
        <v>306.98</v>
      </c>
      <c r="F25" s="140">
        <f t="shared" si="1"/>
        <v>0</v>
      </c>
      <c r="G25" s="39">
        <f>SUMIFS('Giờ công'!I:I, 'Giờ công'!G:G, B25, 'Giờ công'!H:H, C25)</f>
        <v>290.98</v>
      </c>
      <c r="H25" s="39">
        <f>SUMIFS('Giờ công'!J:J, 'Giờ công'!G:G, B25, 'Giờ công'!H:H, C25)</f>
        <v>0</v>
      </c>
      <c r="I25" s="42">
        <f t="shared" si="2"/>
        <v>16</v>
      </c>
      <c r="J25" s="193">
        <f t="shared" si="3"/>
        <v>12.1</v>
      </c>
      <c r="K25" s="42">
        <f>SUMIFS('Ngày công'!I:I, 'Ngày công'!A:A, B25, 'Ngày công'!B:B, C25)</f>
        <v>0</v>
      </c>
      <c r="L25" s="35"/>
      <c r="M25" s="35"/>
      <c r="N25" s="42">
        <f>SUMIFS('Tăng ca lễ'!M:M, 'Tăng ca lễ'!K:K, B25, 'Tăng ca lễ'!L:L, C25)</f>
        <v>0</v>
      </c>
      <c r="O25" s="35">
        <f>IF(OR(D25="PT", D25="DSHV"), SUMIFS('Tăng ca lễ'!O:O, 'Tăng ca lễ'!K:K, B25, 'Tăng ca lễ'!L:L, C25)*2, SUMIFS('Tăng ca lễ'!O:O, 'Tăng ca lễ'!K:K, B25, 'Tăng ca lễ'!L:L, C25)*3)</f>
        <v>0</v>
      </c>
      <c r="P25" s="35">
        <f>IF(OR(D25="PT", D25="DSHV"), SUMIFS('Tăng ca lễ'!P:P, 'Tăng ca lễ'!K:K, B25, 'Tăng ca lễ'!L:L, C25)*2, SUMIFS('Tăng ca lễ'!P:P, 'Tăng ca lễ'!K:K, B25, 'Tăng ca lễ'!L:L, C25)*3)</f>
        <v>0</v>
      </c>
      <c r="Q25" s="35"/>
      <c r="R25" s="42">
        <f>SUMIFS('Ngày công'!M:M, 'Ngày công'!K:K, B25, 'Ngày công'!L:L, C25)</f>
        <v>30</v>
      </c>
      <c r="S25" s="39">
        <f>SUMIFS('Công Đào tạo'!G:G, 'Công Đào tạo'!E:E, B25, 'Công Đào tạo'!F:F, C25)</f>
        <v>0</v>
      </c>
      <c r="T25" s="35">
        <v>0</v>
      </c>
      <c r="U25" s="41"/>
      <c r="V25" s="46">
        <f t="shared" si="4"/>
        <v>0</v>
      </c>
      <c r="W25" s="42"/>
      <c r="X25" s="42">
        <f t="shared" si="5"/>
        <v>0</v>
      </c>
      <c r="Y25" s="42"/>
      <c r="Z25" s="42"/>
      <c r="AA25" s="42">
        <f>IF(ROW()=MATCH(C25, $C$1:$C$72, 0), IFERROR(VLOOKUP(C25, 'MiniKat - HN'!$A:$L, 12, FALSE), 0) + IFERROR(VLOOKUP(C25, 'MiniKat - HCM'!$A:$J, 10, FALSE), 0), 0)</f>
        <v>0</v>
      </c>
      <c r="AB25" s="42">
        <f>IF(OR(TRIM(D25)="CHT", TRIM(D25)="Q.CHT"), SUMIFS('MiniKat - HN'!$Y:$Y, 'MiniKat - HN'!$N:$N, B25) + SUMIFS('MiniKat - HCM'!$U:$U, 'MiniKat - HCM'!$M:$M, B25), 0)</f>
        <v>0</v>
      </c>
      <c r="AC25" s="42">
        <f>IF(ROW()=MATCH(C25, $C$1:$C$72, 0), SUMIFS(whatsapp!$D:$D, whatsapp!$A:$A, C25), 0)</f>
        <v>0</v>
      </c>
      <c r="AD25" s="42">
        <f>SUMIFS('Dự án'!$C:$C, 'Dự án'!$A:$A, B25, 'Dự án'!$B:$B, C25)</f>
        <v>0</v>
      </c>
      <c r="AE25" s="42">
        <f>SUMIFS(KPI!$C:$C, KPI!$A:$A, B25, KPI!$B:$B, C25)</f>
        <v>0</v>
      </c>
      <c r="AF25" s="43">
        <f>SUMIFS('Thưởng CK'!$C:$C, 'Thưởng CK'!$A:$A, B25, 'Thưởng CK'!$B:$B, C25)</f>
        <v>857800</v>
      </c>
      <c r="AG25" s="42">
        <f>SUMIFS('Cận date'!$C:$C, 'Cận date'!$A:$A, B25, 'Cận date'!$B:$B, C25)</f>
        <v>46354</v>
      </c>
      <c r="AH25" s="42">
        <f>SUMIFS(Map!$D:$D, Map!$B:$B, B25, Map!$A:$A, C25)</f>
        <v>0</v>
      </c>
      <c r="AI25" s="42">
        <v>0</v>
      </c>
      <c r="AJ25" s="42">
        <f t="shared" si="6"/>
        <v>0</v>
      </c>
      <c r="AK25" s="42">
        <f>SUMIFS('KPI trừ'!$C:$C, 'KPI trừ'!$A:$A, B25, 'KPI trừ'!$B:$B, C25)</f>
        <v>0</v>
      </c>
      <c r="AL25" s="42">
        <f>SUMIFS('KPI trừ'!$D:$D, 'KPI trừ'!$A:$A, B25, 'KPI trừ'!$B:$B, C25)</f>
        <v>0</v>
      </c>
      <c r="AM25" s="42">
        <f>SUMIFS('KPI trừ'!$E:$E, 'KPI trừ'!$A:$A, B25, 'KPI trừ'!$B:$B, C25)</f>
        <v>0</v>
      </c>
      <c r="AN25" s="42">
        <f>SUMIFS('KPI trừ'!$F:$F, 'KPI trừ'!$A:$A, B25, 'KPI trừ'!$B:$B, C25)</f>
        <v>0</v>
      </c>
      <c r="AO25" s="42">
        <f>SUMIFS('KPI trừ'!$G:$G, 'KPI trừ'!$A:$A, B25, 'KPI trừ'!$B:$B, C25)</f>
        <v>0</v>
      </c>
      <c r="AP25" s="44" t="str">
        <f>IFERROR(INDEX('KPI trừ'!$H:$H, MATCH(1, ('KPI trừ'!$A:$A=B25)*('KPI trừ'!$B:$B=C25), 0)), "")</f>
        <v/>
      </c>
      <c r="AQ25" s="16"/>
      <c r="AR25" s="44"/>
      <c r="AS25" s="44"/>
      <c r="AT25" s="44"/>
      <c r="AU25" s="44"/>
      <c r="AV25" s="44"/>
      <c r="AW25" s="44"/>
      <c r="AX25" s="44"/>
      <c r="AY25" s="44"/>
      <c r="AZ25" s="44"/>
      <c r="BA25" s="44"/>
    </row>
    <row r="26" spans="1:53" ht="15.75" customHeight="1">
      <c r="A26" s="34">
        <v>24</v>
      </c>
      <c r="B26" s="35" t="s">
        <v>19</v>
      </c>
      <c r="C26" s="36" t="s">
        <v>88</v>
      </c>
      <c r="D26" s="34" t="s">
        <v>81</v>
      </c>
      <c r="E26" s="140">
        <f t="shared" si="0"/>
        <v>0</v>
      </c>
      <c r="F26" s="140">
        <f t="shared" si="1"/>
        <v>0</v>
      </c>
      <c r="G26" s="39">
        <f>SUMIFS('Giờ công'!I:I, 'Giờ công'!G:G, B26, 'Giờ công'!H:H, C26)</f>
        <v>0</v>
      </c>
      <c r="H26" s="39">
        <f>SUMIFS('Giờ công'!J:J, 'Giờ công'!G:G, B26, 'Giờ công'!H:H, C26)</f>
        <v>0</v>
      </c>
      <c r="I26" s="42" t="str">
        <f t="shared" si="2"/>
        <v/>
      </c>
      <c r="J26" s="193">
        <f t="shared" si="3"/>
        <v>0</v>
      </c>
      <c r="K26" s="42">
        <f>SUMIFS('Ngày công'!I:I, 'Ngày công'!A:A, B26, 'Ngày công'!B:B, C26)</f>
        <v>0</v>
      </c>
      <c r="L26" s="35"/>
      <c r="M26" s="35"/>
      <c r="N26" s="42">
        <f>SUMIFS('Tăng ca lễ'!M:M, 'Tăng ca lễ'!K:K, B26, 'Tăng ca lễ'!L:L, C26)</f>
        <v>0</v>
      </c>
      <c r="O26" s="35">
        <f>IF(OR(D26="PT", D26="DSHV"), SUMIFS('Tăng ca lễ'!O:O, 'Tăng ca lễ'!K:K, B26, 'Tăng ca lễ'!L:L, C26)*2, SUMIFS('Tăng ca lễ'!O:O, 'Tăng ca lễ'!K:K, B26, 'Tăng ca lễ'!L:L, C26)*3)</f>
        <v>0</v>
      </c>
      <c r="P26" s="35">
        <f>IF(OR(D26="PT", D26="DSHV"), SUMIFS('Tăng ca lễ'!P:P, 'Tăng ca lễ'!K:K, B26, 'Tăng ca lễ'!L:L, C26)*2, SUMIFS('Tăng ca lễ'!P:P, 'Tăng ca lễ'!K:K, B26, 'Tăng ca lễ'!L:L, C26)*3)</f>
        <v>0</v>
      </c>
      <c r="Q26" s="35"/>
      <c r="R26" s="42">
        <f>SUMIFS('Ngày công'!M:M, 'Ngày công'!K:K, B26, 'Ngày công'!L:L, C26)</f>
        <v>0</v>
      </c>
      <c r="S26" s="39">
        <f>SUMIFS('Công Đào tạo'!G:G, 'Công Đào tạo'!E:E, B26, 'Công Đào tạo'!F:F, C26)</f>
        <v>0</v>
      </c>
      <c r="T26" s="35">
        <v>0</v>
      </c>
      <c r="U26" s="41"/>
      <c r="V26" s="46">
        <f t="shared" si="4"/>
        <v>0</v>
      </c>
      <c r="W26" s="42"/>
      <c r="X26" s="42">
        <f t="shared" si="5"/>
        <v>0</v>
      </c>
      <c r="Y26" s="42"/>
      <c r="Z26" s="42"/>
      <c r="AA26" s="42">
        <f>IF(ROW()=MATCH(C26, $C$1:$C$72, 0), IFERROR(VLOOKUP(C26, 'MiniKat - HN'!$A:$L, 12, FALSE), 0) + IFERROR(VLOOKUP(C26, 'MiniKat - HCM'!$A:$J, 10, FALSE), 0), 0)</f>
        <v>0</v>
      </c>
      <c r="AB26" s="42">
        <f>IF(OR(TRIM(D26)="CHT", TRIM(D26)="Q.CHT"), SUMIFS('MiniKat - HN'!$Y:$Y, 'MiniKat - HN'!$N:$N, B26) + SUMIFS('MiniKat - HCM'!$U:$U, 'MiniKat - HCM'!$M:$M, B26), 0)</f>
        <v>0</v>
      </c>
      <c r="AC26" s="42">
        <f>IF(ROW()=MATCH(C26, $C$1:$C$72, 0), SUMIFS(whatsapp!$D:$D, whatsapp!$A:$A, C26), 0)</f>
        <v>0</v>
      </c>
      <c r="AD26" s="42">
        <f>SUMIFS('Dự án'!$C:$C, 'Dự án'!$A:$A, B26, 'Dự án'!$B:$B, C26)</f>
        <v>0</v>
      </c>
      <c r="AE26" s="42">
        <f>SUMIFS(KPI!$C:$C, KPI!$A:$A, B26, KPI!$B:$B, C26)</f>
        <v>0</v>
      </c>
      <c r="AF26" s="43">
        <f>SUMIFS('Thưởng CK'!$C:$C, 'Thưởng CK'!$A:$A, B26, 'Thưởng CK'!$B:$B, C26)</f>
        <v>0</v>
      </c>
      <c r="AG26" s="42">
        <f>SUMIFS('Cận date'!$C:$C, 'Cận date'!$A:$A, B26, 'Cận date'!$B:$B, C26)</f>
        <v>0</v>
      </c>
      <c r="AH26" s="42">
        <f>SUMIFS(Map!$D:$D, Map!$B:$B, B26, Map!$A:$A, C26)</f>
        <v>0</v>
      </c>
      <c r="AI26" s="42">
        <v>0</v>
      </c>
      <c r="AJ26" s="42">
        <f t="shared" si="6"/>
        <v>0</v>
      </c>
      <c r="AK26" s="42">
        <f>SUMIFS('KPI trừ'!$C:$C, 'KPI trừ'!$A:$A, B26, 'KPI trừ'!$B:$B, C26)</f>
        <v>0</v>
      </c>
      <c r="AL26" s="42">
        <f>SUMIFS('KPI trừ'!$D:$D, 'KPI trừ'!$A:$A, B26, 'KPI trừ'!$B:$B, C26)</f>
        <v>0</v>
      </c>
      <c r="AM26" s="42">
        <f>SUMIFS('KPI trừ'!$E:$E, 'KPI trừ'!$A:$A, B26, 'KPI trừ'!$B:$B, C26)</f>
        <v>0</v>
      </c>
      <c r="AN26" s="42">
        <f>SUMIFS('KPI trừ'!$F:$F, 'KPI trừ'!$A:$A, B26, 'KPI trừ'!$B:$B, C26)</f>
        <v>0</v>
      </c>
      <c r="AO26" s="42">
        <f>SUMIFS('KPI trừ'!$G:$G, 'KPI trừ'!$A:$A, B26, 'KPI trừ'!$B:$B, C26)</f>
        <v>0</v>
      </c>
      <c r="AP26" s="44" t="str">
        <f>IFERROR(INDEX('KPI trừ'!$H:$H, MATCH(1, ('KPI trừ'!$A:$A=B26)*('KPI trừ'!$B:$B=C26), 0)), "")</f>
        <v/>
      </c>
      <c r="AQ26" s="16"/>
      <c r="AR26" s="44"/>
      <c r="AS26" s="44"/>
      <c r="AT26" s="44"/>
      <c r="AU26" s="44"/>
      <c r="AV26" s="44"/>
      <c r="AW26" s="44"/>
      <c r="AX26" s="44"/>
      <c r="AY26" s="44"/>
      <c r="AZ26" s="44"/>
      <c r="BA26" s="44"/>
    </row>
    <row r="27" spans="1:53" ht="15.75" customHeight="1">
      <c r="A27" s="34">
        <v>25</v>
      </c>
      <c r="B27" s="35" t="s">
        <v>19</v>
      </c>
      <c r="C27" s="36" t="s">
        <v>100</v>
      </c>
      <c r="D27" s="34" t="s">
        <v>99</v>
      </c>
      <c r="E27" s="140">
        <f t="shared" si="0"/>
        <v>295.09999999999997</v>
      </c>
      <c r="F27" s="140">
        <f t="shared" si="1"/>
        <v>7.75</v>
      </c>
      <c r="G27" s="39">
        <f>SUMIFS('Giờ công'!I:I, 'Giờ công'!G:G, B27, 'Giờ công'!H:H, C27)</f>
        <v>279.09999999999997</v>
      </c>
      <c r="H27" s="39">
        <f>SUMIFS('Giờ công'!J:J, 'Giờ công'!G:G, B27, 'Giờ công'!H:H, C27)</f>
        <v>7.75</v>
      </c>
      <c r="I27" s="42">
        <f t="shared" si="2"/>
        <v>16</v>
      </c>
      <c r="J27" s="193">
        <f t="shared" si="3"/>
        <v>11.6</v>
      </c>
      <c r="K27" s="42">
        <f>SUMIFS('Ngày công'!I:I, 'Ngày công'!A:A, B27, 'Ngày công'!B:B, C27)</f>
        <v>1</v>
      </c>
      <c r="L27" s="35"/>
      <c r="M27" s="35"/>
      <c r="N27" s="42">
        <f>SUMIFS('Tăng ca lễ'!M:M, 'Tăng ca lễ'!K:K, B27, 'Tăng ca lễ'!L:L, C27)</f>
        <v>0</v>
      </c>
      <c r="O27" s="35">
        <f>IF(OR(D27="PT", D27="DSHV"), SUMIFS('Tăng ca lễ'!O:O, 'Tăng ca lễ'!K:K, B27, 'Tăng ca lễ'!L:L, C27)*2, SUMIFS('Tăng ca lễ'!O:O, 'Tăng ca lễ'!K:K, B27, 'Tăng ca lễ'!L:L, C27)*3)</f>
        <v>0</v>
      </c>
      <c r="P27" s="35">
        <f>IF(OR(D27="PT", D27="DSHV"), SUMIFS('Tăng ca lễ'!P:P, 'Tăng ca lễ'!K:K, B27, 'Tăng ca lễ'!L:L, C27)*2, SUMIFS('Tăng ca lễ'!P:P, 'Tăng ca lễ'!K:K, B27, 'Tăng ca lễ'!L:L, C27)*3)</f>
        <v>0</v>
      </c>
      <c r="Q27" s="35"/>
      <c r="R27" s="42">
        <f>SUMIFS('Ngày công'!M:M, 'Ngày công'!K:K, B27, 'Ngày công'!L:L, C27)</f>
        <v>30</v>
      </c>
      <c r="S27" s="39">
        <f>SUMIFS('Công Đào tạo'!G:G, 'Công Đào tạo'!E:E, B27, 'Công Đào tạo'!F:F, C27)</f>
        <v>0</v>
      </c>
      <c r="T27" s="35">
        <v>0</v>
      </c>
      <c r="U27" s="41"/>
      <c r="V27" s="46">
        <f t="shared" si="4"/>
        <v>0</v>
      </c>
      <c r="W27" s="42"/>
      <c r="X27" s="42">
        <f t="shared" si="5"/>
        <v>0</v>
      </c>
      <c r="Y27" s="42"/>
      <c r="Z27" s="42"/>
      <c r="AA27" s="42">
        <f>IF(ROW()=MATCH(C27, $C$1:$C$72, 0), IFERROR(VLOOKUP(C27, 'MiniKat - HN'!$A:$L, 12, FALSE), 0) + IFERROR(VLOOKUP(C27, 'MiniKat - HCM'!$A:$J, 10, FALSE), 0), 0)</f>
        <v>0</v>
      </c>
      <c r="AB27" s="42">
        <f>IF(OR(TRIM(D27)="CHT", TRIM(D27)="Q.CHT"), SUMIFS('MiniKat - HN'!$Y:$Y, 'MiniKat - HN'!$N:$N, B27) + SUMIFS('MiniKat - HCM'!$U:$U, 'MiniKat - HCM'!$M:$M, B27), 0)</f>
        <v>0</v>
      </c>
      <c r="AC27" s="42">
        <f>IF(ROW()=MATCH(C27, $C$1:$C$72, 0), SUMIFS(whatsapp!$D:$D, whatsapp!$A:$A, C27), 0)</f>
        <v>0</v>
      </c>
      <c r="AD27" s="42">
        <f>SUMIFS('Dự án'!$C:$C, 'Dự án'!$A:$A, B27, 'Dự án'!$B:$B, C27)</f>
        <v>0</v>
      </c>
      <c r="AE27" s="42">
        <f>SUMIFS(KPI!$C:$C, KPI!$A:$A, B27, KPI!$B:$B, C27)</f>
        <v>0</v>
      </c>
      <c r="AF27" s="43">
        <f>SUMIFS('Thưởng CK'!$C:$C, 'Thưởng CK'!$A:$A, B27, 'Thưởng CK'!$B:$B, C27)</f>
        <v>751700</v>
      </c>
      <c r="AG27" s="42">
        <f>SUMIFS('Cận date'!$C:$C, 'Cận date'!$A:$A, B27, 'Cận date'!$B:$B, C27)</f>
        <v>35008</v>
      </c>
      <c r="AH27" s="42">
        <f>SUMIFS(Map!$D:$D, Map!$B:$B, B27, Map!$A:$A, C27)</f>
        <v>0</v>
      </c>
      <c r="AI27" s="42">
        <v>0</v>
      </c>
      <c r="AJ27" s="42">
        <f t="shared" si="6"/>
        <v>0</v>
      </c>
      <c r="AK27" s="42">
        <f>SUMIFS('KPI trừ'!$C:$C, 'KPI trừ'!$A:$A, B27, 'KPI trừ'!$B:$B, C27)</f>
        <v>0</v>
      </c>
      <c r="AL27" s="42">
        <f>SUMIFS('KPI trừ'!$D:$D, 'KPI trừ'!$A:$A, B27, 'KPI trừ'!$B:$B, C27)</f>
        <v>0</v>
      </c>
      <c r="AM27" s="42">
        <f>SUMIFS('KPI trừ'!$E:$E, 'KPI trừ'!$A:$A, B27, 'KPI trừ'!$B:$B, C27)</f>
        <v>0</v>
      </c>
      <c r="AN27" s="42">
        <f>SUMIFS('KPI trừ'!$F:$F, 'KPI trừ'!$A:$A, B27, 'KPI trừ'!$B:$B, C27)</f>
        <v>0</v>
      </c>
      <c r="AO27" s="42">
        <f>SUMIFS('KPI trừ'!$G:$G, 'KPI trừ'!$A:$A, B27, 'KPI trừ'!$B:$B, C27)</f>
        <v>0</v>
      </c>
      <c r="AP27" s="44" t="str">
        <f>IFERROR(INDEX('KPI trừ'!$H:$H, MATCH(1, ('KPI trừ'!$A:$A=B27)*('KPI trừ'!$B:$B=C27), 0)), "")</f>
        <v/>
      </c>
      <c r="AQ27" s="16"/>
      <c r="AR27" s="44"/>
      <c r="AS27" s="44"/>
      <c r="AT27" s="44"/>
      <c r="AU27" s="44"/>
      <c r="AV27" s="44"/>
      <c r="AW27" s="44"/>
      <c r="AX27" s="44"/>
      <c r="AY27" s="44"/>
      <c r="AZ27" s="44"/>
      <c r="BA27" s="44"/>
    </row>
    <row r="28" spans="1:53" ht="15.75" customHeight="1">
      <c r="A28" s="34">
        <v>26</v>
      </c>
      <c r="B28" s="35" t="s">
        <v>19</v>
      </c>
      <c r="C28" s="36" t="s">
        <v>92</v>
      </c>
      <c r="D28" s="34" t="s">
        <v>81</v>
      </c>
      <c r="E28" s="140">
        <f t="shared" si="0"/>
        <v>108.24000000000001</v>
      </c>
      <c r="F28" s="140">
        <f t="shared" si="1"/>
        <v>7.08</v>
      </c>
      <c r="G28" s="39">
        <f>SUMIFS('Giờ công'!I:I, 'Giờ công'!G:G, B28, 'Giờ công'!H:H, C28)</f>
        <v>108.24000000000001</v>
      </c>
      <c r="H28" s="39">
        <f>SUMIFS('Giờ công'!J:J, 'Giờ công'!G:G, B28, 'Giờ công'!H:H, C28)</f>
        <v>7.08</v>
      </c>
      <c r="I28" s="42" t="str">
        <f t="shared" si="2"/>
        <v/>
      </c>
      <c r="J28" s="193">
        <f t="shared" si="3"/>
        <v>4.5</v>
      </c>
      <c r="K28" s="42">
        <f>SUMIFS('Ngày công'!I:I, 'Ngày công'!A:A, B28, 'Ngày công'!B:B, C28)</f>
        <v>1</v>
      </c>
      <c r="L28" s="35"/>
      <c r="M28" s="35"/>
      <c r="N28" s="42">
        <f>SUMIFS('Tăng ca lễ'!M:M, 'Tăng ca lễ'!K:K, B28, 'Tăng ca lễ'!L:L, C28)</f>
        <v>0</v>
      </c>
      <c r="O28" s="35">
        <f>IF(OR(D28="PT", D28="DSHV"), SUMIFS('Tăng ca lễ'!O:O, 'Tăng ca lễ'!K:K, B28, 'Tăng ca lễ'!L:L, C28)*2, SUMIFS('Tăng ca lễ'!O:O, 'Tăng ca lễ'!K:K, B28, 'Tăng ca lễ'!L:L, C28)*3)</f>
        <v>0</v>
      </c>
      <c r="P28" s="35">
        <f>IF(OR(D28="PT", D28="DSHV"), SUMIFS('Tăng ca lễ'!P:P, 'Tăng ca lễ'!K:K, B28, 'Tăng ca lễ'!L:L, C28)*2, SUMIFS('Tăng ca lễ'!P:P, 'Tăng ca lễ'!K:K, B28, 'Tăng ca lễ'!L:L, C28)*3)</f>
        <v>0</v>
      </c>
      <c r="Q28" s="35"/>
      <c r="R28" s="42">
        <f>SUMIFS('Ngày công'!M:M, 'Ngày công'!K:K, B28, 'Ngày công'!L:L, C28)</f>
        <v>16</v>
      </c>
      <c r="S28" s="39">
        <f>SUMIFS('Công Đào tạo'!G:G, 'Công Đào tạo'!E:E, B28, 'Công Đào tạo'!F:F, C28)</f>
        <v>0</v>
      </c>
      <c r="T28" s="35">
        <v>0</v>
      </c>
      <c r="U28" s="41"/>
      <c r="V28" s="46">
        <f t="shared" si="4"/>
        <v>0</v>
      </c>
      <c r="W28" s="42"/>
      <c r="X28" s="42">
        <f t="shared" si="5"/>
        <v>0</v>
      </c>
      <c r="Y28" s="42"/>
      <c r="Z28" s="42"/>
      <c r="AA28" s="42">
        <f>IF(ROW()=MATCH(C28, $C$1:$C$72, 0), IFERROR(VLOOKUP(C28, 'MiniKat - HN'!$A:$L, 12, FALSE), 0) + IFERROR(VLOOKUP(C28, 'MiniKat - HCM'!$A:$J, 10, FALSE), 0), 0)</f>
        <v>0</v>
      </c>
      <c r="AB28" s="42">
        <f>IF(OR(TRIM(D28)="CHT", TRIM(D28)="Q.CHT"), SUMIFS('MiniKat - HN'!$Y:$Y, 'MiniKat - HN'!$N:$N, B28) + SUMIFS('MiniKat - HCM'!$U:$U, 'MiniKat - HCM'!$M:$M, B28), 0)</f>
        <v>0</v>
      </c>
      <c r="AC28" s="42">
        <f>IF(ROW()=MATCH(C28, $C$1:$C$72, 0), SUMIFS(whatsapp!$D:$D, whatsapp!$A:$A, C28), 0)</f>
        <v>0</v>
      </c>
      <c r="AD28" s="42">
        <f>SUMIFS('Dự án'!$C:$C, 'Dự án'!$A:$A, B28, 'Dự án'!$B:$B, C28)</f>
        <v>0</v>
      </c>
      <c r="AE28" s="42">
        <f>SUMIFS(KPI!$C:$C, KPI!$A:$A, B28, KPI!$B:$B, C28)</f>
        <v>0</v>
      </c>
      <c r="AF28" s="43">
        <f>SUMIFS('Thưởng CK'!$C:$C, 'Thưởng CK'!$A:$A, B28, 'Thưởng CK'!$B:$B, C28)</f>
        <v>0</v>
      </c>
      <c r="AG28" s="42">
        <f>SUMIFS('Cận date'!$C:$C, 'Cận date'!$A:$A, B28, 'Cận date'!$B:$B, C28)</f>
        <v>15362</v>
      </c>
      <c r="AH28" s="42">
        <f>SUMIFS(Map!$D:$D, Map!$B:$B, B28, Map!$A:$A, C28)</f>
        <v>0</v>
      </c>
      <c r="AI28" s="42">
        <v>0</v>
      </c>
      <c r="AJ28" s="42">
        <f t="shared" si="6"/>
        <v>0</v>
      </c>
      <c r="AK28" s="42">
        <f>SUMIFS('KPI trừ'!$C:$C, 'KPI trừ'!$A:$A, B28, 'KPI trừ'!$B:$B, C28)</f>
        <v>0</v>
      </c>
      <c r="AL28" s="42">
        <f>SUMIFS('KPI trừ'!$D:$D, 'KPI trừ'!$A:$A, B28, 'KPI trừ'!$B:$B, C28)</f>
        <v>0</v>
      </c>
      <c r="AM28" s="42">
        <f>SUMIFS('KPI trừ'!$E:$E, 'KPI trừ'!$A:$A, B28, 'KPI trừ'!$B:$B, C28)</f>
        <v>0</v>
      </c>
      <c r="AN28" s="42">
        <f>SUMIFS('KPI trừ'!$F:$F, 'KPI trừ'!$A:$A, B28, 'KPI trừ'!$B:$B, C28)</f>
        <v>0</v>
      </c>
      <c r="AO28" s="42">
        <f>SUMIFS('KPI trừ'!$G:$G, 'KPI trừ'!$A:$A, B28, 'KPI trừ'!$B:$B, C28)</f>
        <v>0</v>
      </c>
      <c r="AP28" s="44" t="str">
        <f>IFERROR(INDEX('KPI trừ'!$H:$H, MATCH(1, ('KPI trừ'!$A:$A=B28)*('KPI trừ'!$B:$B=C28), 0)), "")</f>
        <v/>
      </c>
      <c r="AQ28" s="16"/>
      <c r="AR28" s="44"/>
      <c r="AS28" s="44"/>
      <c r="AT28" s="44"/>
      <c r="AU28" s="44"/>
      <c r="AV28" s="44"/>
      <c r="AW28" s="44"/>
      <c r="AX28" s="44"/>
      <c r="AY28" s="44"/>
      <c r="AZ28" s="44"/>
      <c r="BA28" s="44"/>
    </row>
    <row r="29" spans="1:53" ht="15.75" customHeight="1">
      <c r="A29" s="34">
        <v>27</v>
      </c>
      <c r="B29" s="35" t="s">
        <v>19</v>
      </c>
      <c r="C29" s="36" t="s">
        <v>101</v>
      </c>
      <c r="D29" s="34" t="s">
        <v>102</v>
      </c>
      <c r="E29" s="140">
        <f t="shared" si="0"/>
        <v>8.25</v>
      </c>
      <c r="F29" s="140">
        <f t="shared" si="1"/>
        <v>0</v>
      </c>
      <c r="G29" s="39">
        <f>SUMIFS('Giờ công'!I:I, 'Giờ công'!G:G, B29, 'Giờ công'!H:H, C29)</f>
        <v>8.25</v>
      </c>
      <c r="H29" s="39">
        <f>SUMIFS('Giờ công'!J:J, 'Giờ công'!G:G, B29, 'Giờ công'!H:H, C29)</f>
        <v>0</v>
      </c>
      <c r="I29" s="42" t="str">
        <f t="shared" si="2"/>
        <v/>
      </c>
      <c r="J29" s="193">
        <f t="shared" si="3"/>
        <v>0.3</v>
      </c>
      <c r="K29" s="42">
        <f>SUMIFS('Ngày công'!I:I, 'Ngày công'!A:A, B29, 'Ngày công'!B:B, C29)</f>
        <v>0</v>
      </c>
      <c r="L29" s="35"/>
      <c r="M29" s="35"/>
      <c r="N29" s="42">
        <f>SUMIFS('Tăng ca lễ'!M:M, 'Tăng ca lễ'!K:K, B29, 'Tăng ca lễ'!L:L, C29)</f>
        <v>0</v>
      </c>
      <c r="O29" s="35">
        <f>IF(OR(D29="PT", D29="DSHV"), SUMIFS('Tăng ca lễ'!O:O, 'Tăng ca lễ'!K:K, B29, 'Tăng ca lễ'!L:L, C29)*2, SUMIFS('Tăng ca lễ'!O:O, 'Tăng ca lễ'!K:K, B29, 'Tăng ca lễ'!L:L, C29)*3)</f>
        <v>0</v>
      </c>
      <c r="P29" s="35">
        <f>IF(OR(D29="PT", D29="DSHV"), SUMIFS('Tăng ca lễ'!P:P, 'Tăng ca lễ'!K:K, B29, 'Tăng ca lễ'!L:L, C29)*2, SUMIFS('Tăng ca lễ'!P:P, 'Tăng ca lễ'!K:K, B29, 'Tăng ca lễ'!L:L, C29)*3)</f>
        <v>0</v>
      </c>
      <c r="Q29" s="35"/>
      <c r="R29" s="42">
        <f>SUMIFS('Ngày công'!M:M, 'Ngày công'!K:K, B29, 'Ngày công'!L:L, C29)</f>
        <v>1</v>
      </c>
      <c r="S29" s="39">
        <f>SUMIFS('Công Đào tạo'!G:G, 'Công Đào tạo'!E:E, B29, 'Công Đào tạo'!F:F, C29)</f>
        <v>0</v>
      </c>
      <c r="T29" s="35">
        <v>0</v>
      </c>
      <c r="U29" s="41"/>
      <c r="V29" s="46">
        <f t="shared" si="4"/>
        <v>0</v>
      </c>
      <c r="W29" s="42"/>
      <c r="X29" s="42">
        <f t="shared" si="5"/>
        <v>0</v>
      </c>
      <c r="Y29" s="42"/>
      <c r="Z29" s="42"/>
      <c r="AA29" s="42">
        <f>IF(ROW()=MATCH(C29, $C$1:$C$72, 0), IFERROR(VLOOKUP(C29, 'MiniKat - HN'!$A:$L, 12, FALSE), 0) + IFERROR(VLOOKUP(C29, 'MiniKat - HCM'!$A:$J, 10, FALSE), 0), 0)</f>
        <v>0</v>
      </c>
      <c r="AB29" s="42">
        <f>IF(OR(TRIM(D29)="CHT", TRIM(D29)="Q.CHT"), SUMIFS('MiniKat - HN'!$Y:$Y, 'MiniKat - HN'!$N:$N, B29) + SUMIFS('MiniKat - HCM'!$U:$U, 'MiniKat - HCM'!$M:$M, B29), 0)</f>
        <v>0</v>
      </c>
      <c r="AC29" s="42">
        <f>IF(ROW()=MATCH(C29, $C$1:$C$72, 0), SUMIFS(whatsapp!$D:$D, whatsapp!$A:$A, C29), 0)</f>
        <v>0</v>
      </c>
      <c r="AD29" s="42">
        <f>SUMIFS('Dự án'!$C:$C, 'Dự án'!$A:$A, B29, 'Dự án'!$B:$B, C29)</f>
        <v>0</v>
      </c>
      <c r="AE29" s="42">
        <f>SUMIFS(KPI!$C:$C, KPI!$A:$A, B29, KPI!$B:$B, C29)</f>
        <v>0</v>
      </c>
      <c r="AF29" s="43">
        <f>SUMIFS('Thưởng CK'!$C:$C, 'Thưởng CK'!$A:$A, B29, 'Thưởng CK'!$B:$B, C29)</f>
        <v>0</v>
      </c>
      <c r="AG29" s="42">
        <f>SUMIFS('Cận date'!$C:$C, 'Cận date'!$A:$A, B29, 'Cận date'!$B:$B, C29)</f>
        <v>0</v>
      </c>
      <c r="AH29" s="42">
        <f>SUMIFS(Map!$D:$D, Map!$B:$B, B29, Map!$A:$A, C29)</f>
        <v>0</v>
      </c>
      <c r="AI29" s="42">
        <v>0</v>
      </c>
      <c r="AJ29" s="42">
        <f t="shared" si="6"/>
        <v>0</v>
      </c>
      <c r="AK29" s="42">
        <f>SUMIFS('KPI trừ'!$C:$C, 'KPI trừ'!$A:$A, B29, 'KPI trừ'!$B:$B, C29)</f>
        <v>0</v>
      </c>
      <c r="AL29" s="42">
        <f>SUMIFS('KPI trừ'!$D:$D, 'KPI trừ'!$A:$A, B29, 'KPI trừ'!$B:$B, C29)</f>
        <v>0</v>
      </c>
      <c r="AM29" s="42">
        <f>SUMIFS('KPI trừ'!$E:$E, 'KPI trừ'!$A:$A, B29, 'KPI trừ'!$B:$B, C29)</f>
        <v>0</v>
      </c>
      <c r="AN29" s="42">
        <f>SUMIFS('KPI trừ'!$F:$F, 'KPI trừ'!$A:$A, B29, 'KPI trừ'!$B:$B, C29)</f>
        <v>0</v>
      </c>
      <c r="AO29" s="42">
        <f>SUMIFS('KPI trừ'!$G:$G, 'KPI trừ'!$A:$A, B29, 'KPI trừ'!$B:$B, C29)</f>
        <v>0</v>
      </c>
      <c r="AP29" s="44" t="str">
        <f>IFERROR(INDEX('KPI trừ'!$H:$H, MATCH(1, ('KPI trừ'!$A:$A=B29)*('KPI trừ'!$B:$B=C29), 0)), "")</f>
        <v/>
      </c>
      <c r="AQ29" s="16"/>
      <c r="AR29" s="44"/>
      <c r="AS29" s="44"/>
      <c r="AT29" s="44"/>
      <c r="AU29" s="44"/>
      <c r="AV29" s="44"/>
      <c r="AW29" s="44"/>
      <c r="AX29" s="44"/>
      <c r="AY29" s="44"/>
      <c r="AZ29" s="44"/>
      <c r="BA29" s="44"/>
    </row>
    <row r="30" spans="1:53" ht="15.75" customHeight="1">
      <c r="A30" s="34">
        <v>28</v>
      </c>
      <c r="B30" s="35" t="s">
        <v>20</v>
      </c>
      <c r="C30" s="36" t="s">
        <v>103</v>
      </c>
      <c r="D30" s="34" t="s">
        <v>73</v>
      </c>
      <c r="E30" s="140">
        <f t="shared" si="0"/>
        <v>242.4</v>
      </c>
      <c r="F30" s="140">
        <f t="shared" si="1"/>
        <v>0</v>
      </c>
      <c r="G30" s="39">
        <f>SUMIFS('Giờ công'!I:I, 'Giờ công'!G:G, B30, 'Giờ công'!H:H, C30)</f>
        <v>242.4</v>
      </c>
      <c r="H30" s="39">
        <f>SUMIFS('Giờ công'!J:J, 'Giờ công'!G:G, B30, 'Giờ công'!H:H, C30)</f>
        <v>0</v>
      </c>
      <c r="I30" s="42" t="str">
        <f t="shared" si="2"/>
        <v/>
      </c>
      <c r="J30" s="193">
        <f t="shared" si="3"/>
        <v>10.1</v>
      </c>
      <c r="K30" s="42">
        <f>SUMIFS('Ngày công'!I:I, 'Ngày công'!A:A, B30, 'Ngày công'!B:B, C30)</f>
        <v>0</v>
      </c>
      <c r="L30" s="35"/>
      <c r="M30" s="35"/>
      <c r="N30" s="42">
        <f>SUMIFS('Tăng ca lễ'!M:M, 'Tăng ca lễ'!K:K, B30, 'Tăng ca lễ'!L:L, C30)</f>
        <v>0</v>
      </c>
      <c r="O30" s="35">
        <f>IF(OR(D30="PT", D30="DSHV"), SUMIFS('Tăng ca lễ'!O:O, 'Tăng ca lễ'!K:K, B30, 'Tăng ca lễ'!L:L, C30)*2, SUMIFS('Tăng ca lễ'!O:O, 'Tăng ca lễ'!K:K, B30, 'Tăng ca lễ'!L:L, C30)*3)</f>
        <v>0</v>
      </c>
      <c r="P30" s="35">
        <f>IF(OR(D30="PT", D30="DSHV"), SUMIFS('Tăng ca lễ'!P:P, 'Tăng ca lễ'!K:K, B30, 'Tăng ca lễ'!L:L, C30)*2, SUMIFS('Tăng ca lễ'!P:P, 'Tăng ca lễ'!K:K, B30, 'Tăng ca lễ'!L:L, C30)*3)</f>
        <v>0</v>
      </c>
      <c r="Q30" s="35"/>
      <c r="R30" s="42">
        <f>SUMIFS('Ngày công'!M:M, 'Ngày công'!K:K, B30, 'Ngày công'!L:L, C30)</f>
        <v>28</v>
      </c>
      <c r="S30" s="39">
        <f>SUMIFS('Công Đào tạo'!G:G, 'Công Đào tạo'!E:E, B30, 'Công Đào tạo'!F:F, C30)</f>
        <v>0</v>
      </c>
      <c r="T30" s="35">
        <v>0</v>
      </c>
      <c r="U30" s="41"/>
      <c r="V30" s="46">
        <f t="shared" si="4"/>
        <v>451612.90322580648</v>
      </c>
      <c r="W30" s="42"/>
      <c r="X30" s="42">
        <f t="shared" si="5"/>
        <v>0</v>
      </c>
      <c r="Y30" s="42"/>
      <c r="Z30" s="42"/>
      <c r="AA30" s="42">
        <f>IF(ROW()=MATCH(C30, $C$1:$C$72, 0), IFERROR(VLOOKUP(C30, 'MiniKat - HN'!$A:$L, 12, FALSE), 0) + IFERROR(VLOOKUP(C30, 'MiniKat - HCM'!$A:$J, 10, FALSE), 0), 0)</f>
        <v>0</v>
      </c>
      <c r="AB30" s="42">
        <f>IF(OR(TRIM(D30)="CHT", TRIM(D30)="Q.CHT"), SUMIFS('MiniKat - HN'!$Y:$Y, 'MiniKat - HN'!$N:$N, B30) + SUMIFS('MiniKat - HCM'!$U:$U, 'MiniKat - HCM'!$M:$M, B30), 0)</f>
        <v>0</v>
      </c>
      <c r="AC30" s="42">
        <f>IF(ROW()=MATCH(C30, $C$1:$C$72, 0), SUMIFS(whatsapp!$D:$D, whatsapp!$A:$A, C30), 0)</f>
        <v>0</v>
      </c>
      <c r="AD30" s="42">
        <f>SUMIFS('Dự án'!$C:$C, 'Dự án'!$A:$A, B30, 'Dự án'!$B:$B, C30)</f>
        <v>0</v>
      </c>
      <c r="AE30" s="42">
        <f>SUMIFS(KPI!$C:$C, KPI!$A:$A, B30, KPI!$B:$B, C30)</f>
        <v>0</v>
      </c>
      <c r="AF30" s="43">
        <f>SUMIFS('Thưởng CK'!$C:$C, 'Thưởng CK'!$A:$A, B30, 'Thưởng CK'!$B:$B, C30)</f>
        <v>629300</v>
      </c>
      <c r="AG30" s="42">
        <f>SUMIFS('Cận date'!$C:$C, 'Cận date'!$A:$A, B30, 'Cận date'!$B:$B, C30)</f>
        <v>12626</v>
      </c>
      <c r="AH30" s="42">
        <f>SUMIFS(Map!$D:$D, Map!$B:$B, B30, Map!$A:$A, C30)</f>
        <v>0</v>
      </c>
      <c r="AI30" s="42">
        <v>0</v>
      </c>
      <c r="AJ30" s="42">
        <f t="shared" si="6"/>
        <v>0</v>
      </c>
      <c r="AK30" s="42">
        <f>SUMIFS('KPI trừ'!$C:$C, 'KPI trừ'!$A:$A, B30, 'KPI trừ'!$B:$B, C30)</f>
        <v>0</v>
      </c>
      <c r="AL30" s="42">
        <f>SUMIFS('KPI trừ'!$D:$D, 'KPI trừ'!$A:$A, B30, 'KPI trừ'!$B:$B, C30)</f>
        <v>0</v>
      </c>
      <c r="AM30" s="42">
        <f>SUMIFS('KPI trừ'!$E:$E, 'KPI trừ'!$A:$A, B30, 'KPI trừ'!$B:$B, C30)</f>
        <v>0</v>
      </c>
      <c r="AN30" s="42">
        <f>SUMIFS('KPI trừ'!$F:$F, 'KPI trừ'!$A:$A, B30, 'KPI trừ'!$B:$B, C30)</f>
        <v>0</v>
      </c>
      <c r="AO30" s="42">
        <f>SUMIFS('KPI trừ'!$G:$G, 'KPI trừ'!$A:$A, B30, 'KPI trừ'!$B:$B, C30)</f>
        <v>0</v>
      </c>
      <c r="AP30" s="44" t="str">
        <f>IFERROR(INDEX('KPI trừ'!$H:$H, MATCH(1, ('KPI trừ'!$A:$A=B30)*('KPI trừ'!$B:$B=C30), 0)), "")</f>
        <v/>
      </c>
      <c r="AQ30" s="16"/>
      <c r="AR30" s="44"/>
      <c r="AS30" s="44"/>
      <c r="AT30" s="44"/>
      <c r="AU30" s="44"/>
      <c r="AV30" s="44"/>
      <c r="AW30" s="44"/>
      <c r="AX30" s="44"/>
      <c r="AY30" s="44"/>
      <c r="AZ30" s="44"/>
      <c r="BA30" s="44"/>
    </row>
    <row r="31" spans="1:53" ht="15.75" customHeight="1">
      <c r="A31" s="34">
        <v>29</v>
      </c>
      <c r="B31" s="35" t="s">
        <v>20</v>
      </c>
      <c r="C31" s="36" t="s">
        <v>104</v>
      </c>
      <c r="D31" s="34" t="s">
        <v>79</v>
      </c>
      <c r="E31" s="140">
        <f t="shared" si="0"/>
        <v>0</v>
      </c>
      <c r="F31" s="140">
        <f t="shared" si="1"/>
        <v>219.36</v>
      </c>
      <c r="G31" s="39">
        <f>SUMIFS('Giờ công'!I:I, 'Giờ công'!G:G, B31, 'Giờ công'!H:H, C31)</f>
        <v>0</v>
      </c>
      <c r="H31" s="39">
        <f>SUMIFS('Giờ công'!J:J, 'Giờ công'!G:G, B31, 'Giờ công'!H:H, C31)</f>
        <v>219.36</v>
      </c>
      <c r="I31" s="42" t="str">
        <f t="shared" si="2"/>
        <v/>
      </c>
      <c r="J31" s="193">
        <f t="shared" si="3"/>
        <v>0</v>
      </c>
      <c r="K31" s="42">
        <f>SUMIFS('Ngày công'!I:I, 'Ngày công'!A:A, B31, 'Ngày công'!B:B, C31)</f>
        <v>28</v>
      </c>
      <c r="L31" s="35"/>
      <c r="M31" s="35"/>
      <c r="N31" s="42">
        <f>SUMIFS('Tăng ca lễ'!M:M, 'Tăng ca lễ'!K:K, B31, 'Tăng ca lễ'!L:L, C31)</f>
        <v>0</v>
      </c>
      <c r="O31" s="35">
        <f>IF(OR(D31="PT", D31="DSHV"), SUMIFS('Tăng ca lễ'!O:O, 'Tăng ca lễ'!K:K, B31, 'Tăng ca lễ'!L:L, C31)*2, SUMIFS('Tăng ca lễ'!O:O, 'Tăng ca lễ'!K:K, B31, 'Tăng ca lễ'!L:L, C31)*3)</f>
        <v>0</v>
      </c>
      <c r="P31" s="35">
        <f>IF(OR(D31="PT", D31="DSHV"), SUMIFS('Tăng ca lễ'!P:P, 'Tăng ca lễ'!K:K, B31, 'Tăng ca lễ'!L:L, C31)*2, SUMIFS('Tăng ca lễ'!P:P, 'Tăng ca lễ'!K:K, B31, 'Tăng ca lễ'!L:L, C31)*3)</f>
        <v>0</v>
      </c>
      <c r="Q31" s="35"/>
      <c r="R31" s="42">
        <f>SUMIFS('Ngày công'!M:M, 'Ngày công'!K:K, B31, 'Ngày công'!L:L, C31)</f>
        <v>28</v>
      </c>
      <c r="S31" s="39">
        <f>SUMIFS('Công Đào tạo'!G:G, 'Công Đào tạo'!E:E, B31, 'Công Đào tạo'!F:F, C31)</f>
        <v>0</v>
      </c>
      <c r="T31" s="35">
        <v>0</v>
      </c>
      <c r="U31" s="41"/>
      <c r="V31" s="46">
        <f t="shared" si="4"/>
        <v>0</v>
      </c>
      <c r="W31" s="42"/>
      <c r="X31" s="42">
        <f t="shared" si="5"/>
        <v>0</v>
      </c>
      <c r="Y31" s="42"/>
      <c r="Z31" s="42"/>
      <c r="AA31" s="42">
        <f>IF(ROW()=MATCH(C31, $C$1:$C$72, 0), IFERROR(VLOOKUP(C31, 'MiniKat - HN'!$A:$L, 12, FALSE), 0) + IFERROR(VLOOKUP(C31, 'MiniKat - HCM'!$A:$J, 10, FALSE), 0), 0)</f>
        <v>0</v>
      </c>
      <c r="AB31" s="42">
        <f>IF(OR(TRIM(D31)="CHT", TRIM(D31)="Q.CHT"), SUMIFS('MiniKat - HN'!$Y:$Y, 'MiniKat - HN'!$N:$N, B31) + SUMIFS('MiniKat - HCM'!$U:$U, 'MiniKat - HCM'!$M:$M, B31), 0)</f>
        <v>0</v>
      </c>
      <c r="AC31" s="42">
        <f>IF(ROW()=MATCH(C31, $C$1:$C$72, 0), SUMIFS(whatsapp!$D:$D, whatsapp!$A:$A, C31), 0)</f>
        <v>0</v>
      </c>
      <c r="AD31" s="42">
        <f>SUMIFS('Dự án'!$C:$C, 'Dự án'!$A:$A, B31, 'Dự án'!$B:$B, C31)</f>
        <v>0</v>
      </c>
      <c r="AE31" s="42">
        <f>SUMIFS(KPI!$C:$C, KPI!$A:$A, B31, KPI!$B:$B, C31)</f>
        <v>0</v>
      </c>
      <c r="AF31" s="43">
        <f>SUMIFS('Thưởng CK'!$C:$C, 'Thưởng CK'!$A:$A, B31, 'Thưởng CK'!$B:$B, C31)</f>
        <v>1651900</v>
      </c>
      <c r="AG31" s="42">
        <f>SUMIFS('Cận date'!$C:$C, 'Cận date'!$A:$A, B31, 'Cận date'!$B:$B, C31)</f>
        <v>9105</v>
      </c>
      <c r="AH31" s="42">
        <f>SUMIFS(Map!$D:$D, Map!$B:$B, B31, Map!$A:$A, C31)</f>
        <v>0</v>
      </c>
      <c r="AI31" s="42">
        <v>0</v>
      </c>
      <c r="AJ31" s="42">
        <f t="shared" si="6"/>
        <v>0</v>
      </c>
      <c r="AK31" s="42">
        <f>SUMIFS('KPI trừ'!$C:$C, 'KPI trừ'!$A:$A, B31, 'KPI trừ'!$B:$B, C31)</f>
        <v>0</v>
      </c>
      <c r="AL31" s="42">
        <f>SUMIFS('KPI trừ'!$D:$D, 'KPI trừ'!$A:$A, B31, 'KPI trừ'!$B:$B, C31)</f>
        <v>0</v>
      </c>
      <c r="AM31" s="42">
        <f>SUMIFS('KPI trừ'!$E:$E, 'KPI trừ'!$A:$A, B31, 'KPI trừ'!$B:$B, C31)</f>
        <v>0</v>
      </c>
      <c r="AN31" s="42">
        <f>SUMIFS('KPI trừ'!$F:$F, 'KPI trừ'!$A:$A, B31, 'KPI trừ'!$B:$B, C31)</f>
        <v>0</v>
      </c>
      <c r="AO31" s="42">
        <f>SUMIFS('KPI trừ'!$G:$G, 'KPI trừ'!$A:$A, B31, 'KPI trừ'!$B:$B, C31)</f>
        <v>0</v>
      </c>
      <c r="AP31" s="44" t="str">
        <f>IFERROR(INDEX('KPI trừ'!$H:$H, MATCH(1, ('KPI trừ'!$A:$A=B31)*('KPI trừ'!$B:$B=C31), 0)), "")</f>
        <v/>
      </c>
      <c r="AQ31" s="16"/>
      <c r="AR31" s="44"/>
      <c r="AS31" s="44"/>
      <c r="AT31" s="44"/>
      <c r="AU31" s="44"/>
      <c r="AV31" s="44"/>
      <c r="AW31" s="44"/>
      <c r="AX31" s="44"/>
      <c r="AY31" s="44"/>
      <c r="AZ31" s="44"/>
      <c r="BA31" s="44"/>
    </row>
    <row r="32" spans="1:53" ht="15.75" customHeight="1">
      <c r="A32" s="34">
        <v>30</v>
      </c>
      <c r="B32" s="35" t="s">
        <v>20</v>
      </c>
      <c r="C32" s="36" t="s">
        <v>105</v>
      </c>
      <c r="D32" s="34" t="s">
        <v>79</v>
      </c>
      <c r="E32" s="140">
        <f t="shared" si="0"/>
        <v>23.830000000000013</v>
      </c>
      <c r="F32" s="140">
        <f t="shared" si="1"/>
        <v>235.5</v>
      </c>
      <c r="G32" s="39">
        <f>SUMIFS('Giờ công'!I:I, 'Giờ công'!G:G, B32, 'Giờ công'!H:H, C32)</f>
        <v>7.8300000000000125</v>
      </c>
      <c r="H32" s="39">
        <f>SUMIFS('Giờ công'!J:J, 'Giờ công'!G:G, B32, 'Giờ công'!H:H, C32)</f>
        <v>235.5</v>
      </c>
      <c r="I32" s="42">
        <f t="shared" si="2"/>
        <v>16</v>
      </c>
      <c r="J32" s="193">
        <f t="shared" si="3"/>
        <v>0.3</v>
      </c>
      <c r="K32" s="42">
        <f>SUMIFS('Ngày công'!I:I, 'Ngày công'!A:A, B32, 'Ngày công'!B:B, C32)</f>
        <v>30</v>
      </c>
      <c r="L32" s="35"/>
      <c r="M32" s="35"/>
      <c r="N32" s="42">
        <f>SUMIFS('Tăng ca lễ'!M:M, 'Tăng ca lễ'!K:K, B32, 'Tăng ca lễ'!L:L, C32)</f>
        <v>0</v>
      </c>
      <c r="O32" s="35">
        <f>IF(OR(D32="PT", D32="DSHV"), SUMIFS('Tăng ca lễ'!O:O, 'Tăng ca lễ'!K:K, B32, 'Tăng ca lễ'!L:L, C32)*2, SUMIFS('Tăng ca lễ'!O:O, 'Tăng ca lễ'!K:K, B32, 'Tăng ca lễ'!L:L, C32)*3)</f>
        <v>0</v>
      </c>
      <c r="P32" s="35">
        <f>IF(OR(D32="PT", D32="DSHV"), SUMIFS('Tăng ca lễ'!P:P, 'Tăng ca lễ'!K:K, B32, 'Tăng ca lễ'!L:L, C32)*2, SUMIFS('Tăng ca lễ'!P:P, 'Tăng ca lễ'!K:K, B32, 'Tăng ca lễ'!L:L, C32)*3)</f>
        <v>0</v>
      </c>
      <c r="Q32" s="35"/>
      <c r="R32" s="42">
        <f>SUMIFS('Ngày công'!M:M, 'Ngày công'!K:K, B32, 'Ngày công'!L:L, C32)</f>
        <v>30</v>
      </c>
      <c r="S32" s="39">
        <f>SUMIFS('Công Đào tạo'!G:G, 'Công Đào tạo'!E:E, B32, 'Công Đào tạo'!F:F, C32)</f>
        <v>0</v>
      </c>
      <c r="T32" s="35">
        <v>0</v>
      </c>
      <c r="U32" s="41"/>
      <c r="V32" s="46">
        <f t="shared" si="4"/>
        <v>0</v>
      </c>
      <c r="W32" s="42"/>
      <c r="X32" s="42">
        <f t="shared" si="5"/>
        <v>16071</v>
      </c>
      <c r="Y32" s="42"/>
      <c r="Z32" s="42"/>
      <c r="AA32" s="42">
        <f>IF(ROW()=MATCH(C32, $C$1:$C$72, 0), IFERROR(VLOOKUP(C32, 'MiniKat - HN'!$A:$L, 12, FALSE), 0) + IFERROR(VLOOKUP(C32, 'MiniKat - HCM'!$A:$J, 10, FALSE), 0), 0)</f>
        <v>0</v>
      </c>
      <c r="AB32" s="42">
        <f>IF(OR(TRIM(D32)="CHT", TRIM(D32)="Q.CHT"), SUMIFS('MiniKat - HN'!$Y:$Y, 'MiniKat - HN'!$N:$N, B32) + SUMIFS('MiniKat - HCM'!$U:$U, 'MiniKat - HCM'!$M:$M, B32), 0)</f>
        <v>0</v>
      </c>
      <c r="AC32" s="42">
        <f>IF(ROW()=MATCH(C32, $C$1:$C$72, 0), SUMIFS(whatsapp!$D:$D, whatsapp!$A:$A, C32), 0)</f>
        <v>0</v>
      </c>
      <c r="AD32" s="42">
        <f>SUMIFS('Dự án'!$C:$C, 'Dự án'!$A:$A, B32, 'Dự án'!$B:$B, C32)</f>
        <v>500000</v>
      </c>
      <c r="AE32" s="42">
        <f>SUMIFS(KPI!$C:$C, KPI!$A:$A, B32, KPI!$B:$B, C32)</f>
        <v>0</v>
      </c>
      <c r="AF32" s="43">
        <f>SUMIFS('Thưởng CK'!$C:$C, 'Thưởng CK'!$A:$A, B32, 'Thưởng CK'!$B:$B, C32)</f>
        <v>2122400</v>
      </c>
      <c r="AG32" s="42">
        <f>SUMIFS('Cận date'!$C:$C, 'Cận date'!$A:$A, B32, 'Cận date'!$B:$B, C32)</f>
        <v>2500</v>
      </c>
      <c r="AH32" s="42">
        <f>SUMIFS(Map!$D:$D, Map!$B:$B, B32, Map!$A:$A, C32)</f>
        <v>0</v>
      </c>
      <c r="AI32" s="42">
        <v>0</v>
      </c>
      <c r="AJ32" s="42">
        <f t="shared" si="6"/>
        <v>0</v>
      </c>
      <c r="AK32" s="42">
        <f>SUMIFS('KPI trừ'!$C:$C, 'KPI trừ'!$A:$A, B32, 'KPI trừ'!$B:$B, C32)</f>
        <v>0</v>
      </c>
      <c r="AL32" s="42">
        <f>SUMIFS('KPI trừ'!$D:$D, 'KPI trừ'!$A:$A, B32, 'KPI trừ'!$B:$B, C32)</f>
        <v>0</v>
      </c>
      <c r="AM32" s="42">
        <f>SUMIFS('KPI trừ'!$E:$E, 'KPI trừ'!$A:$A, B32, 'KPI trừ'!$B:$B, C32)</f>
        <v>0</v>
      </c>
      <c r="AN32" s="42">
        <f>SUMIFS('KPI trừ'!$F:$F, 'KPI trừ'!$A:$A, B32, 'KPI trừ'!$B:$B, C32)</f>
        <v>0</v>
      </c>
      <c r="AO32" s="42">
        <f>SUMIFS('KPI trừ'!$G:$G, 'KPI trừ'!$A:$A, B32, 'KPI trừ'!$B:$B, C32)</f>
        <v>0</v>
      </c>
      <c r="AP32" s="44" t="str">
        <f>IFERROR(INDEX('KPI trừ'!$H:$H, MATCH(1, ('KPI trừ'!$A:$A=B32)*('KPI trừ'!$B:$B=C32), 0)), "")</f>
        <v/>
      </c>
      <c r="AQ32" s="16"/>
      <c r="AR32" s="44"/>
      <c r="AS32" s="44"/>
      <c r="AT32" s="44"/>
      <c r="AU32" s="44"/>
      <c r="AV32" s="44"/>
      <c r="AW32" s="44"/>
      <c r="AX32" s="44"/>
      <c r="AY32" s="44"/>
      <c r="AZ32" s="44"/>
      <c r="BA32" s="44"/>
    </row>
    <row r="33" spans="1:53" ht="15.75" customHeight="1">
      <c r="A33" s="34">
        <v>31</v>
      </c>
      <c r="B33" s="35" t="s">
        <v>20</v>
      </c>
      <c r="C33" s="36" t="s">
        <v>106</v>
      </c>
      <c r="D33" s="34" t="s">
        <v>99</v>
      </c>
      <c r="E33" s="140">
        <f t="shared" si="0"/>
        <v>264.12</v>
      </c>
      <c r="F33" s="140">
        <f t="shared" si="1"/>
        <v>0</v>
      </c>
      <c r="G33" s="39">
        <f>SUMIFS('Giờ công'!I:I, 'Giờ công'!G:G, B33, 'Giờ công'!H:H, C33)</f>
        <v>248.12</v>
      </c>
      <c r="H33" s="39">
        <f>SUMIFS('Giờ công'!J:J, 'Giờ công'!G:G, B33, 'Giờ công'!H:H, C33)</f>
        <v>0</v>
      </c>
      <c r="I33" s="42">
        <f t="shared" si="2"/>
        <v>16</v>
      </c>
      <c r="J33" s="193">
        <f t="shared" si="3"/>
        <v>10.3</v>
      </c>
      <c r="K33" s="42">
        <f>SUMIFS('Ngày công'!I:I, 'Ngày công'!A:A, B33, 'Ngày công'!B:B, C33)</f>
        <v>0</v>
      </c>
      <c r="L33" s="35"/>
      <c r="M33" s="35"/>
      <c r="N33" s="42">
        <f>SUMIFS('Tăng ca lễ'!M:M, 'Tăng ca lễ'!K:K, B33, 'Tăng ca lễ'!L:L, C33)</f>
        <v>0</v>
      </c>
      <c r="O33" s="35">
        <f>IF(OR(D33="PT", D33="DSHV"), SUMIFS('Tăng ca lễ'!O:O, 'Tăng ca lễ'!K:K, B33, 'Tăng ca lễ'!L:L, C33)*2, SUMIFS('Tăng ca lễ'!O:O, 'Tăng ca lễ'!K:K, B33, 'Tăng ca lễ'!L:L, C33)*3)</f>
        <v>0</v>
      </c>
      <c r="P33" s="35">
        <f>IF(OR(D33="PT", D33="DSHV"), SUMIFS('Tăng ca lễ'!P:P, 'Tăng ca lễ'!K:K, B33, 'Tăng ca lễ'!L:L, C33)*2, SUMIFS('Tăng ca lễ'!P:P, 'Tăng ca lễ'!K:K, B33, 'Tăng ca lễ'!L:L, C33)*3)</f>
        <v>0</v>
      </c>
      <c r="Q33" s="35"/>
      <c r="R33" s="42">
        <f>SUMIFS('Ngày công'!M:M, 'Ngày công'!K:K, B33, 'Ngày công'!L:L, C33)</f>
        <v>30</v>
      </c>
      <c r="S33" s="39">
        <f>SUMIFS('Công Đào tạo'!G:G, 'Công Đào tạo'!E:E, B33, 'Công Đào tạo'!F:F, C33)</f>
        <v>0</v>
      </c>
      <c r="T33" s="35">
        <v>0</v>
      </c>
      <c r="U33" s="41"/>
      <c r="V33" s="46">
        <f t="shared" si="4"/>
        <v>0</v>
      </c>
      <c r="W33" s="42"/>
      <c r="X33" s="42">
        <f t="shared" si="5"/>
        <v>0</v>
      </c>
      <c r="Y33" s="42"/>
      <c r="Z33" s="42"/>
      <c r="AA33" s="42">
        <f>IF(ROW()=MATCH(C33, $C$1:$C$72, 0), IFERROR(VLOOKUP(C33, 'MiniKat - HN'!$A:$L, 12, FALSE), 0) + IFERROR(VLOOKUP(C33, 'MiniKat - HCM'!$A:$J, 10, FALSE), 0), 0)</f>
        <v>0</v>
      </c>
      <c r="AB33" s="42">
        <f>IF(OR(TRIM(D33)="CHT", TRIM(D33)="Q.CHT"), SUMIFS('MiniKat - HN'!$Y:$Y, 'MiniKat - HN'!$N:$N, B33) + SUMIFS('MiniKat - HCM'!$U:$U, 'MiniKat - HCM'!$M:$M, B33), 0)</f>
        <v>0</v>
      </c>
      <c r="AC33" s="42">
        <f>IF(ROW()=MATCH(C33, $C$1:$C$72, 0), SUMIFS(whatsapp!$D:$D, whatsapp!$A:$A, C33), 0)</f>
        <v>0</v>
      </c>
      <c r="AD33" s="42">
        <f>SUMIFS('Dự án'!$C:$C, 'Dự án'!$A:$A, B33, 'Dự án'!$B:$B, C33)</f>
        <v>0</v>
      </c>
      <c r="AE33" s="42">
        <f>SUMIFS(KPI!$C:$C, KPI!$A:$A, B33, KPI!$B:$B, C33)</f>
        <v>0</v>
      </c>
      <c r="AF33" s="43">
        <f>SUMIFS('Thưởng CK'!$C:$C, 'Thưởng CK'!$A:$A, B33, 'Thưởng CK'!$B:$B, C33)</f>
        <v>0</v>
      </c>
      <c r="AG33" s="42">
        <f>SUMIFS('Cận date'!$C:$C, 'Cận date'!$A:$A, B33, 'Cận date'!$B:$B, C33)</f>
        <v>0</v>
      </c>
      <c r="AH33" s="42">
        <f>SUMIFS(Map!$D:$D, Map!$B:$B, B33, Map!$A:$A, C33)</f>
        <v>0</v>
      </c>
      <c r="AI33" s="42">
        <v>0</v>
      </c>
      <c r="AJ33" s="42">
        <f t="shared" si="6"/>
        <v>0</v>
      </c>
      <c r="AK33" s="42">
        <f>SUMIFS('KPI trừ'!$C:$C, 'KPI trừ'!$A:$A, B33, 'KPI trừ'!$B:$B, C33)</f>
        <v>0</v>
      </c>
      <c r="AL33" s="42">
        <f>SUMIFS('KPI trừ'!$D:$D, 'KPI trừ'!$A:$A, B33, 'KPI trừ'!$B:$B, C33)</f>
        <v>0</v>
      </c>
      <c r="AM33" s="42">
        <f>SUMIFS('KPI trừ'!$E:$E, 'KPI trừ'!$A:$A, B33, 'KPI trừ'!$B:$B, C33)</f>
        <v>0</v>
      </c>
      <c r="AN33" s="42">
        <f>SUMIFS('KPI trừ'!$F:$F, 'KPI trừ'!$A:$A, B33, 'KPI trừ'!$B:$B, C33)</f>
        <v>0</v>
      </c>
      <c r="AO33" s="42">
        <f>SUMIFS('KPI trừ'!$G:$G, 'KPI trừ'!$A:$A, B33, 'KPI trừ'!$B:$B, C33)</f>
        <v>0</v>
      </c>
      <c r="AP33" s="44" t="str">
        <f>IFERROR(INDEX('KPI trừ'!$H:$H, MATCH(1, ('KPI trừ'!$A:$A=B33)*('KPI trừ'!$B:$B=C33), 0)), "")</f>
        <v/>
      </c>
      <c r="AQ33" s="16"/>
      <c r="AR33" s="44"/>
      <c r="AS33" s="44"/>
      <c r="AT33" s="44"/>
      <c r="AU33" s="44"/>
      <c r="AV33" s="44"/>
      <c r="AW33" s="44"/>
      <c r="AX33" s="44"/>
      <c r="AY33" s="44"/>
      <c r="AZ33" s="44"/>
      <c r="BA33" s="44"/>
    </row>
    <row r="34" spans="1:53" ht="15.75" customHeight="1">
      <c r="A34" s="34">
        <v>32</v>
      </c>
      <c r="B34" s="35" t="s">
        <v>20</v>
      </c>
      <c r="C34" s="36" t="s">
        <v>107</v>
      </c>
      <c r="D34" s="34" t="s">
        <v>99</v>
      </c>
      <c r="E34" s="140">
        <f t="shared" si="0"/>
        <v>8</v>
      </c>
      <c r="F34" s="140">
        <f t="shared" si="1"/>
        <v>0</v>
      </c>
      <c r="G34" s="39">
        <f>SUMIFS('Giờ công'!I:I, 'Giờ công'!G:G, B34, 'Giờ công'!H:H, C34)</f>
        <v>8</v>
      </c>
      <c r="H34" s="39">
        <f>SUMIFS('Giờ công'!J:J, 'Giờ công'!G:G, B34, 'Giờ công'!H:H, C34)</f>
        <v>0</v>
      </c>
      <c r="I34" s="42" t="str">
        <f t="shared" si="2"/>
        <v/>
      </c>
      <c r="J34" s="193">
        <f t="shared" si="3"/>
        <v>0.3</v>
      </c>
      <c r="K34" s="42">
        <f>SUMIFS('Ngày công'!I:I, 'Ngày công'!A:A, B34, 'Ngày công'!B:B, C34)</f>
        <v>0</v>
      </c>
      <c r="L34" s="35"/>
      <c r="M34" s="35"/>
      <c r="N34" s="42">
        <f>SUMIFS('Tăng ca lễ'!M:M, 'Tăng ca lễ'!K:K, B34, 'Tăng ca lễ'!L:L, C34)</f>
        <v>0</v>
      </c>
      <c r="O34" s="35">
        <f>IF(OR(D34="PT", D34="DSHV"), SUMIFS('Tăng ca lễ'!O:O, 'Tăng ca lễ'!K:K, B34, 'Tăng ca lễ'!L:L, C34)*2, SUMIFS('Tăng ca lễ'!O:O, 'Tăng ca lễ'!K:K, B34, 'Tăng ca lễ'!L:L, C34)*3)</f>
        <v>0</v>
      </c>
      <c r="P34" s="35">
        <f>IF(OR(D34="PT", D34="DSHV"), SUMIFS('Tăng ca lễ'!P:P, 'Tăng ca lễ'!K:K, B34, 'Tăng ca lễ'!L:L, C34)*2, SUMIFS('Tăng ca lễ'!P:P, 'Tăng ca lễ'!K:K, B34, 'Tăng ca lễ'!L:L, C34)*3)</f>
        <v>0</v>
      </c>
      <c r="Q34" s="35"/>
      <c r="R34" s="42">
        <f>SUMIFS('Ngày công'!M:M, 'Ngày công'!K:K, B34, 'Ngày công'!L:L, C34)</f>
        <v>1</v>
      </c>
      <c r="S34" s="39">
        <f>SUMIFS('Công Đào tạo'!G:G, 'Công Đào tạo'!E:E, B34, 'Công Đào tạo'!F:F, C34)</f>
        <v>0</v>
      </c>
      <c r="T34" s="35">
        <v>0</v>
      </c>
      <c r="U34" s="41"/>
      <c r="V34" s="46">
        <f t="shared" si="4"/>
        <v>0</v>
      </c>
      <c r="W34" s="42"/>
      <c r="X34" s="42">
        <f t="shared" si="5"/>
        <v>0</v>
      </c>
      <c r="Y34" s="42"/>
      <c r="Z34" s="42"/>
      <c r="AA34" s="42">
        <f>IF(ROW()=MATCH(C34, $C$1:$C$72, 0), IFERROR(VLOOKUP(C34, 'MiniKat - HN'!$A:$L, 12, FALSE), 0) + IFERROR(VLOOKUP(C34, 'MiniKat - HCM'!$A:$J, 10, FALSE), 0), 0)</f>
        <v>0</v>
      </c>
      <c r="AB34" s="42">
        <f>IF(OR(TRIM(D34)="CHT", TRIM(D34)="Q.CHT"), SUMIFS('MiniKat - HN'!$Y:$Y, 'MiniKat - HN'!$N:$N, B34) + SUMIFS('MiniKat - HCM'!$U:$U, 'MiniKat - HCM'!$M:$M, B34), 0)</f>
        <v>0</v>
      </c>
      <c r="AC34" s="42">
        <f>IF(ROW()=MATCH(C34, $C$1:$C$72, 0), SUMIFS(whatsapp!$D:$D, whatsapp!$A:$A, C34), 0)</f>
        <v>0</v>
      </c>
      <c r="AD34" s="42">
        <f>SUMIFS('Dự án'!$C:$C, 'Dự án'!$A:$A, B34, 'Dự án'!$B:$B, C34)</f>
        <v>0</v>
      </c>
      <c r="AE34" s="42">
        <f>SUMIFS(KPI!$C:$C, KPI!$A:$A, B34, KPI!$B:$B, C34)</f>
        <v>0</v>
      </c>
      <c r="AF34" s="43">
        <f>SUMIFS('Thưởng CK'!$C:$C, 'Thưởng CK'!$A:$A, B34, 'Thưởng CK'!$B:$B, C34)</f>
        <v>0</v>
      </c>
      <c r="AG34" s="42">
        <f>SUMIFS('Cận date'!$C:$C, 'Cận date'!$A:$A, B34, 'Cận date'!$B:$B, C34)</f>
        <v>0</v>
      </c>
      <c r="AH34" s="42">
        <f>SUMIFS(Map!$D:$D, Map!$B:$B, B34, Map!$A:$A, C34)</f>
        <v>0</v>
      </c>
      <c r="AI34" s="42">
        <v>0</v>
      </c>
      <c r="AJ34" s="42">
        <f t="shared" si="6"/>
        <v>0</v>
      </c>
      <c r="AK34" s="42">
        <f>SUMIFS('KPI trừ'!$C:$C, 'KPI trừ'!$A:$A, B34, 'KPI trừ'!$B:$B, C34)</f>
        <v>0</v>
      </c>
      <c r="AL34" s="42">
        <f>SUMIFS('KPI trừ'!$D:$D, 'KPI trừ'!$A:$A, B34, 'KPI trừ'!$B:$B, C34)</f>
        <v>0</v>
      </c>
      <c r="AM34" s="42">
        <f>SUMIFS('KPI trừ'!$E:$E, 'KPI trừ'!$A:$A, B34, 'KPI trừ'!$B:$B, C34)</f>
        <v>0</v>
      </c>
      <c r="AN34" s="42">
        <f>SUMIFS('KPI trừ'!$F:$F, 'KPI trừ'!$A:$A, B34, 'KPI trừ'!$B:$B, C34)</f>
        <v>0</v>
      </c>
      <c r="AO34" s="42">
        <f>SUMIFS('KPI trừ'!$G:$G, 'KPI trừ'!$A:$A, B34, 'KPI trừ'!$B:$B, C34)</f>
        <v>0</v>
      </c>
      <c r="AP34" s="44" t="str">
        <f>IFERROR(INDEX('KPI trừ'!$H:$H, MATCH(1, ('KPI trừ'!$A:$A=B34)*('KPI trừ'!$B:$B=C34), 0)), "")</f>
        <v/>
      </c>
      <c r="AQ34" s="16"/>
      <c r="AR34" s="44"/>
      <c r="AS34" s="44"/>
      <c r="AT34" s="44"/>
      <c r="AU34" s="44"/>
      <c r="AV34" s="44"/>
      <c r="AW34" s="44"/>
      <c r="AX34" s="44"/>
      <c r="AY34" s="44"/>
      <c r="AZ34" s="44"/>
      <c r="BA34" s="44"/>
    </row>
    <row r="35" spans="1:53" ht="15.75" customHeight="1">
      <c r="A35" s="34">
        <v>33</v>
      </c>
      <c r="B35" s="35" t="s">
        <v>20</v>
      </c>
      <c r="C35" s="36" t="s">
        <v>108</v>
      </c>
      <c r="D35" s="34" t="s">
        <v>81</v>
      </c>
      <c r="E35" s="140">
        <f t="shared" ref="E35:E66" si="7">SUM(G35, I35, L35, O35, S35, T35)</f>
        <v>265.36</v>
      </c>
      <c r="F35" s="140">
        <f t="shared" ref="F35:F66" si="8">SUM(H35, P35)</f>
        <v>8.58</v>
      </c>
      <c r="G35" s="39">
        <f>SUMIFS('Giờ công'!I:I, 'Giờ công'!G:G, B35, 'Giờ công'!H:H, C35)</f>
        <v>249.35999999999999</v>
      </c>
      <c r="H35" s="39">
        <f>SUMIFS('Giờ công'!J:J, 'Giờ công'!G:G, B35, 'Giờ công'!H:H, C35)</f>
        <v>8.58</v>
      </c>
      <c r="I35" s="42">
        <f t="shared" ref="I35:I66" si="9">IF(ROW()=MATCH(C35, $C$1:$C$72, 0), IF(SUMIF($C$3:$C$72, C35, $R$3:$R$72)&gt;=30, 16, IF(SUMIF($C$3:$C$72, C35, $R$3:$R$72)&gt;=29, 8, "")), "")</f>
        <v>16</v>
      </c>
      <c r="J35" s="193">
        <f t="shared" ref="J35:J66" si="10">ROUND(G35/24, 1)</f>
        <v>10.4</v>
      </c>
      <c r="K35" s="42">
        <f>SUMIFS('Ngày công'!I:I, 'Ngày công'!A:A, B35, 'Ngày công'!B:B, C35)</f>
        <v>1</v>
      </c>
      <c r="L35" s="35"/>
      <c r="M35" s="35"/>
      <c r="N35" s="42">
        <f>SUMIFS('Tăng ca lễ'!M:M, 'Tăng ca lễ'!K:K, B35, 'Tăng ca lễ'!L:L, C35)</f>
        <v>0</v>
      </c>
      <c r="O35" s="35">
        <f>IF(OR(D35="PT", D35="DSHV"), SUMIFS('Tăng ca lễ'!O:O, 'Tăng ca lễ'!K:K, B35, 'Tăng ca lễ'!L:L, C35)*2, SUMIFS('Tăng ca lễ'!O:O, 'Tăng ca lễ'!K:K, B35, 'Tăng ca lễ'!L:L, C35)*3)</f>
        <v>0</v>
      </c>
      <c r="P35" s="35">
        <f>IF(OR(D35="PT", D35="DSHV"), SUMIFS('Tăng ca lễ'!P:P, 'Tăng ca lễ'!K:K, B35, 'Tăng ca lễ'!L:L, C35)*2, SUMIFS('Tăng ca lễ'!P:P, 'Tăng ca lễ'!K:K, B35, 'Tăng ca lễ'!L:L, C35)*3)</f>
        <v>0</v>
      </c>
      <c r="Q35" s="35"/>
      <c r="R35" s="42">
        <f>SUMIFS('Ngày công'!M:M, 'Ngày công'!K:K, B35, 'Ngày công'!L:L, C35)</f>
        <v>31</v>
      </c>
      <c r="S35" s="39">
        <f>SUMIFS('Công Đào tạo'!G:G, 'Công Đào tạo'!E:E, B35, 'Công Đào tạo'!F:F, C35)</f>
        <v>0</v>
      </c>
      <c r="T35" s="35">
        <v>0</v>
      </c>
      <c r="U35" s="41"/>
      <c r="V35" s="42">
        <f t="shared" ref="V35:V66" si="11">IF(AND(ROW()=MATCH(C35, $C$1:$C$72, 0), OR(TRIM(D35)="CHT", TRIM(D35)="Q.CHT")), 500000/31*SUMIF($C$3:$C$72, C35, $R$3:$R$72), 0)</f>
        <v>0</v>
      </c>
      <c r="W35" s="42"/>
      <c r="X35" s="42">
        <f t="shared" ref="X35:X66" si="12">IF(C35="","", IF(TRIM(D35)="DSCD", MIN(1500000, ROUND(1500000/28*MIN(N(J35),28),0)), IF(AND(OR(TRIM(D35)="DSXC", TRIM(D35)="DSBC", TRIM(D35)="CHT", TRIM(D35)="DSTV", TRIM(D35)="Q.CHT"), N(H35)&gt;=160), MIN(1500000, ROUND(1500000/28*MIN(N(K35),28),0)), 0)))</f>
        <v>0</v>
      </c>
      <c r="Y35" s="42"/>
      <c r="Z35" s="42"/>
      <c r="AA35" s="42">
        <f>IF(ROW()=MATCH(C35, $C$1:$C$72, 0), IFERROR(VLOOKUP(C35, 'MiniKat - HN'!$A:$L, 12, FALSE), 0) + IFERROR(VLOOKUP(C35, 'MiniKat - HCM'!$A:$J, 10, FALSE), 0), 0)</f>
        <v>0</v>
      </c>
      <c r="AB35" s="42">
        <f>IF(OR(TRIM(D35)="CHT", TRIM(D35)="Q.CHT"), SUMIFS('MiniKat - HN'!$Y:$Y, 'MiniKat - HN'!$N:$N, B35) + SUMIFS('MiniKat - HCM'!$U:$U, 'MiniKat - HCM'!$M:$M, B35), 0)</f>
        <v>0</v>
      </c>
      <c r="AC35" s="42">
        <f>IF(ROW()=MATCH(C35, $C$1:$C$72, 0), SUMIFS(whatsapp!$D:$D, whatsapp!$A:$A, C35), 0)</f>
        <v>0</v>
      </c>
      <c r="AD35" s="42">
        <f>SUMIFS('Dự án'!$C:$C, 'Dự án'!$A:$A, B35, 'Dự án'!$B:$B, C35)</f>
        <v>0</v>
      </c>
      <c r="AE35" s="42">
        <f>SUMIFS(KPI!$C:$C, KPI!$A:$A, B35, KPI!$B:$B, C35)</f>
        <v>963433</v>
      </c>
      <c r="AF35" s="43">
        <f>SUMIFS('Thưởng CK'!$C:$C, 'Thưởng CK'!$A:$A, B35, 'Thưởng CK'!$B:$B, C35)</f>
        <v>1511400</v>
      </c>
      <c r="AG35" s="42">
        <f>SUMIFS('Cận date'!$C:$C, 'Cận date'!$A:$A, B35, 'Cận date'!$B:$B, C35)</f>
        <v>150484</v>
      </c>
      <c r="AH35" s="42">
        <f>SUMIFS(Map!$D:$D, Map!$B:$B, B35, Map!$A:$A, C35)</f>
        <v>0</v>
      </c>
      <c r="AI35" s="42">
        <v>0</v>
      </c>
      <c r="AJ35" s="42">
        <f t="shared" ref="AJ35:AJ66" si="13">SUM(AK35:AO35)</f>
        <v>0</v>
      </c>
      <c r="AK35" s="42">
        <f>SUMIFS('KPI trừ'!$C:$C, 'KPI trừ'!$A:$A, B35, 'KPI trừ'!$B:$B, C35)</f>
        <v>0</v>
      </c>
      <c r="AL35" s="42">
        <f>SUMIFS('KPI trừ'!$D:$D, 'KPI trừ'!$A:$A, B35, 'KPI trừ'!$B:$B, C35)</f>
        <v>0</v>
      </c>
      <c r="AM35" s="42">
        <f>SUMIFS('KPI trừ'!$E:$E, 'KPI trừ'!$A:$A, B35, 'KPI trừ'!$B:$B, C35)</f>
        <v>0</v>
      </c>
      <c r="AN35" s="42">
        <f>SUMIFS('KPI trừ'!$F:$F, 'KPI trừ'!$A:$A, B35, 'KPI trừ'!$B:$B, C35)</f>
        <v>0</v>
      </c>
      <c r="AO35" s="42">
        <f>SUMIFS('KPI trừ'!$G:$G, 'KPI trừ'!$A:$A, B35, 'KPI trừ'!$B:$B, C35)</f>
        <v>0</v>
      </c>
      <c r="AP35" s="44" t="str">
        <f>IFERROR(INDEX('KPI trừ'!$H:$H, MATCH(1, ('KPI trừ'!$A:$A=B35)*('KPI trừ'!$B:$B=C35), 0)), "")</f>
        <v/>
      </c>
      <c r="AQ35" s="16"/>
      <c r="AR35" s="44"/>
      <c r="AS35" s="44"/>
      <c r="AT35" s="44"/>
      <c r="AU35" s="44"/>
      <c r="AV35" s="44"/>
      <c r="AW35" s="44"/>
      <c r="AX35" s="44"/>
      <c r="AY35" s="44"/>
      <c r="AZ35" s="44"/>
      <c r="BA35" s="44"/>
    </row>
    <row r="36" spans="1:53" ht="15.75" customHeight="1">
      <c r="A36" s="34">
        <v>34</v>
      </c>
      <c r="B36" s="35" t="s">
        <v>21</v>
      </c>
      <c r="C36" s="36" t="s">
        <v>109</v>
      </c>
      <c r="D36" s="34" t="s">
        <v>73</v>
      </c>
      <c r="E36" s="140">
        <f t="shared" si="7"/>
        <v>15.68</v>
      </c>
      <c r="F36" s="140">
        <f t="shared" si="8"/>
        <v>0</v>
      </c>
      <c r="G36" s="39">
        <f>SUMIFS('Giờ công'!I:I, 'Giờ công'!G:G, B36, 'Giờ công'!H:H, C36)</f>
        <v>15.68</v>
      </c>
      <c r="H36" s="39">
        <f>SUMIFS('Giờ công'!J:J, 'Giờ công'!G:G, B36, 'Giờ công'!H:H, C36)</f>
        <v>0</v>
      </c>
      <c r="I36" s="42" t="str">
        <f t="shared" si="9"/>
        <v/>
      </c>
      <c r="J36" s="193">
        <f t="shared" si="10"/>
        <v>0.7</v>
      </c>
      <c r="K36" s="42">
        <f>SUMIFS('Ngày công'!I:I, 'Ngày công'!A:A, B36, 'Ngày công'!B:B, C36)</f>
        <v>0</v>
      </c>
      <c r="L36" s="35"/>
      <c r="M36" s="35"/>
      <c r="N36" s="42">
        <f>SUMIFS('Tăng ca lễ'!M:M, 'Tăng ca lễ'!K:K, B36, 'Tăng ca lễ'!L:L, C36)</f>
        <v>0</v>
      </c>
      <c r="O36" s="35">
        <f>IF(OR(D36="PT", D36="DSHV"), SUMIFS('Tăng ca lễ'!O:O, 'Tăng ca lễ'!K:K, B36, 'Tăng ca lễ'!L:L, C36)*2, SUMIFS('Tăng ca lễ'!O:O, 'Tăng ca lễ'!K:K, B36, 'Tăng ca lễ'!L:L, C36)*3)</f>
        <v>0</v>
      </c>
      <c r="P36" s="35">
        <f>IF(OR(D36="PT", D36="DSHV"), SUMIFS('Tăng ca lễ'!P:P, 'Tăng ca lễ'!K:K, B36, 'Tăng ca lễ'!L:L, C36)*2, SUMIFS('Tăng ca lễ'!P:P, 'Tăng ca lễ'!K:K, B36, 'Tăng ca lễ'!L:L, C36)*3)</f>
        <v>0</v>
      </c>
      <c r="Q36" s="35"/>
      <c r="R36" s="42">
        <f>SUMIFS('Ngày công'!M:M, 'Ngày công'!K:K, B36, 'Ngày công'!L:L, C36)</f>
        <v>1</v>
      </c>
      <c r="S36" s="39">
        <f>SUMIFS('Công Đào tạo'!G:G, 'Công Đào tạo'!E:E, B36, 'Công Đào tạo'!F:F, C36)</f>
        <v>0</v>
      </c>
      <c r="T36" s="35">
        <v>0</v>
      </c>
      <c r="U36" s="41"/>
      <c r="V36" s="46">
        <f t="shared" si="11"/>
        <v>387096.77419354842</v>
      </c>
      <c r="W36" s="42"/>
      <c r="X36" s="42">
        <f t="shared" si="12"/>
        <v>0</v>
      </c>
      <c r="Y36" s="42"/>
      <c r="Z36" s="42"/>
      <c r="AA36" s="42">
        <f>IF(ROW()=MATCH(C36, $C$1:$C$72, 0), IFERROR(VLOOKUP(C36, 'MiniKat - HN'!$A:$L, 12, FALSE), 0) + IFERROR(VLOOKUP(C36, 'MiniKat - HCM'!$A:$J, 10, FALSE), 0), 0)</f>
        <v>0</v>
      </c>
      <c r="AB36" s="42">
        <f>IF(OR(TRIM(D36)="CHT", TRIM(D36)="Q.CHT"), SUMIFS('MiniKat - HN'!$Y:$Y, 'MiniKat - HN'!$N:$N, B36) + SUMIFS('MiniKat - HCM'!$U:$U, 'MiniKat - HCM'!$M:$M, B36), 0)</f>
        <v>300000</v>
      </c>
      <c r="AC36" s="42">
        <f>IF(ROW()=MATCH(C36, $C$1:$C$72, 0), SUMIFS(whatsapp!$D:$D, whatsapp!$A:$A, C36), 0)</f>
        <v>0</v>
      </c>
      <c r="AD36" s="42">
        <f>SUMIFS('Dự án'!$C:$C, 'Dự án'!$A:$A, B36, 'Dự án'!$B:$B, C36)</f>
        <v>0</v>
      </c>
      <c r="AE36" s="42">
        <f>SUMIFS(KPI!$C:$C, KPI!$A:$A, B36, KPI!$B:$B, C36)</f>
        <v>0</v>
      </c>
      <c r="AF36" s="43">
        <f>SUMIFS('Thưởng CK'!$C:$C, 'Thưởng CK'!$A:$A, B36, 'Thưởng CK'!$B:$B, C36)</f>
        <v>0</v>
      </c>
      <c r="AG36" s="42">
        <f>SUMIFS('Cận date'!$C:$C, 'Cận date'!$A:$A, B36, 'Cận date'!$B:$B, C36)</f>
        <v>0</v>
      </c>
      <c r="AH36" s="42">
        <f>SUMIFS(Map!$D:$D, Map!$B:$B, B36, Map!$A:$A, C36)</f>
        <v>0</v>
      </c>
      <c r="AI36" s="42">
        <v>0</v>
      </c>
      <c r="AJ36" s="42">
        <f t="shared" si="13"/>
        <v>0</v>
      </c>
      <c r="AK36" s="42">
        <f>SUMIFS('KPI trừ'!$C:$C, 'KPI trừ'!$A:$A, B36, 'KPI trừ'!$B:$B, C36)</f>
        <v>0</v>
      </c>
      <c r="AL36" s="42">
        <f>SUMIFS('KPI trừ'!$D:$D, 'KPI trừ'!$A:$A, B36, 'KPI trừ'!$B:$B, C36)</f>
        <v>0</v>
      </c>
      <c r="AM36" s="42">
        <f>SUMIFS('KPI trừ'!$E:$E, 'KPI trừ'!$A:$A, B36, 'KPI trừ'!$B:$B, C36)</f>
        <v>0</v>
      </c>
      <c r="AN36" s="42">
        <f>SUMIFS('KPI trừ'!$F:$F, 'KPI trừ'!$A:$A, B36, 'KPI trừ'!$B:$B, C36)</f>
        <v>0</v>
      </c>
      <c r="AO36" s="42">
        <f>SUMIFS('KPI trừ'!$G:$G, 'KPI trừ'!$A:$A, B36, 'KPI trừ'!$B:$B, C36)</f>
        <v>0</v>
      </c>
      <c r="AP36" s="44" t="str">
        <f>IFERROR(INDEX('KPI trừ'!$H:$H, MATCH(1, ('KPI trừ'!$A:$A=B36)*('KPI trừ'!$B:$B=C36), 0)), "")</f>
        <v/>
      </c>
      <c r="AQ36" s="16"/>
      <c r="AR36" s="44"/>
      <c r="AS36" s="44"/>
      <c r="AT36" s="44"/>
      <c r="AU36" s="44"/>
      <c r="AV36" s="44"/>
      <c r="AW36" s="44"/>
      <c r="AX36" s="44"/>
      <c r="AY36" s="44"/>
      <c r="AZ36" s="44"/>
      <c r="BA36" s="44"/>
    </row>
    <row r="37" spans="1:53" ht="15.75" customHeight="1">
      <c r="A37" s="34">
        <v>35</v>
      </c>
      <c r="B37" s="35" t="s">
        <v>21</v>
      </c>
      <c r="C37" s="36" t="s">
        <v>110</v>
      </c>
      <c r="D37" s="34" t="s">
        <v>73</v>
      </c>
      <c r="E37" s="140">
        <f t="shared" si="7"/>
        <v>355.66000000000008</v>
      </c>
      <c r="F37" s="140">
        <f t="shared" si="8"/>
        <v>42.22</v>
      </c>
      <c r="G37" s="39">
        <f>SUMIFS('Giờ công'!I:I, 'Giờ công'!G:G, B37, 'Giờ công'!H:H, C37)</f>
        <v>339.66000000000008</v>
      </c>
      <c r="H37" s="39">
        <f>SUMIFS('Giờ công'!J:J, 'Giờ công'!G:G, B37, 'Giờ công'!H:H, C37)</f>
        <v>42.22</v>
      </c>
      <c r="I37" s="42">
        <f t="shared" si="9"/>
        <v>16</v>
      </c>
      <c r="J37" s="193">
        <f t="shared" si="10"/>
        <v>14.2</v>
      </c>
      <c r="K37" s="42">
        <f>SUMIFS('Ngày công'!I:I, 'Ngày công'!A:A, B37, 'Ngày công'!B:B, C37)</f>
        <v>5</v>
      </c>
      <c r="L37" s="35"/>
      <c r="M37" s="35"/>
      <c r="N37" s="42">
        <f>SUMIFS('Tăng ca lễ'!M:M, 'Tăng ca lễ'!K:K, B37, 'Tăng ca lễ'!L:L, C37)</f>
        <v>0</v>
      </c>
      <c r="O37" s="35">
        <f>IF(OR(D37="PT", D37="DSHV"), SUMIFS('Tăng ca lễ'!O:O, 'Tăng ca lễ'!K:K, B37, 'Tăng ca lễ'!L:L, C37)*2, SUMIFS('Tăng ca lễ'!O:O, 'Tăng ca lễ'!K:K, B37, 'Tăng ca lễ'!L:L, C37)*3)</f>
        <v>0</v>
      </c>
      <c r="P37" s="35">
        <f>IF(OR(D37="PT", D37="DSHV"), SUMIFS('Tăng ca lễ'!P:P, 'Tăng ca lễ'!K:K, B37, 'Tăng ca lễ'!L:L, C37)*2, SUMIFS('Tăng ca lễ'!P:P, 'Tăng ca lễ'!K:K, B37, 'Tăng ca lễ'!L:L, C37)*3)</f>
        <v>0</v>
      </c>
      <c r="Q37" s="35"/>
      <c r="R37" s="42">
        <f>SUMIFS('Ngày công'!M:M, 'Ngày công'!K:K, B37, 'Ngày công'!L:L, C37)</f>
        <v>31</v>
      </c>
      <c r="S37" s="39">
        <f>SUMIFS('Công Đào tạo'!G:G, 'Công Đào tạo'!E:E, B37, 'Công Đào tạo'!F:F, C37)</f>
        <v>0</v>
      </c>
      <c r="T37" s="35">
        <v>0</v>
      </c>
      <c r="U37" s="41"/>
      <c r="V37" s="42">
        <f t="shared" si="11"/>
        <v>500000</v>
      </c>
      <c r="W37" s="42"/>
      <c r="X37" s="42">
        <f t="shared" si="12"/>
        <v>0</v>
      </c>
      <c r="Y37" s="42"/>
      <c r="Z37" s="42"/>
      <c r="AA37" s="42">
        <f>IF(ROW()=MATCH(C37, $C$1:$C$72, 0), IFERROR(VLOOKUP(C37, 'MiniKat - HN'!$A:$L, 12, FALSE), 0) + IFERROR(VLOOKUP(C37, 'MiniKat - HCM'!$A:$J, 10, FALSE), 0), 0)</f>
        <v>510000</v>
      </c>
      <c r="AB37" s="42">
        <f>IF(OR(TRIM(D37)="CHT", TRIM(D37)="Q.CHT"), SUMIFS('MiniKat - HN'!$Y:$Y, 'MiniKat - HN'!$N:$N, B37) + SUMIFS('MiniKat - HCM'!$U:$U, 'MiniKat - HCM'!$M:$M, B37), 0)</f>
        <v>300000</v>
      </c>
      <c r="AC37" s="42">
        <f>IF(ROW()=MATCH(C37, $C$1:$C$72, 0), SUMIFS(whatsapp!$D:$D, whatsapp!$A:$A, C37), 0)</f>
        <v>0</v>
      </c>
      <c r="AD37" s="42">
        <f>SUMIFS('Dự án'!$C:$C, 'Dự án'!$A:$A, B37, 'Dự án'!$B:$B, C37)</f>
        <v>0</v>
      </c>
      <c r="AE37" s="42">
        <f>SUMIFS(KPI!$C:$C, KPI!$A:$A, B37, KPI!$B:$B, C37)</f>
        <v>0</v>
      </c>
      <c r="AF37" s="43">
        <f>SUMIFS('Thưởng CK'!$C:$C, 'Thưởng CK'!$A:$A, B37, 'Thưởng CK'!$B:$B, C37)</f>
        <v>1574500</v>
      </c>
      <c r="AG37" s="42">
        <f>SUMIFS('Cận date'!$C:$C, 'Cận date'!$A:$A, B37, 'Cận date'!$B:$B, C37)</f>
        <v>31259</v>
      </c>
      <c r="AH37" s="42">
        <f>SUMIFS(Map!$D:$D, Map!$B:$B, B37, Map!$A:$A, C37)</f>
        <v>0</v>
      </c>
      <c r="AI37" s="42">
        <v>0</v>
      </c>
      <c r="AJ37" s="42">
        <f t="shared" si="13"/>
        <v>0</v>
      </c>
      <c r="AK37" s="42">
        <f>SUMIFS('KPI trừ'!$C:$C, 'KPI trừ'!$A:$A, B37, 'KPI trừ'!$B:$B, C37)</f>
        <v>0</v>
      </c>
      <c r="AL37" s="42">
        <f>SUMIFS('KPI trừ'!$D:$D, 'KPI trừ'!$A:$A, B37, 'KPI trừ'!$B:$B, C37)</f>
        <v>0</v>
      </c>
      <c r="AM37" s="42">
        <f>SUMIFS('KPI trừ'!$E:$E, 'KPI trừ'!$A:$A, B37, 'KPI trừ'!$B:$B, C37)</f>
        <v>0</v>
      </c>
      <c r="AN37" s="42">
        <f>SUMIFS('KPI trừ'!$F:$F, 'KPI trừ'!$A:$A, B37, 'KPI trừ'!$B:$B, C37)</f>
        <v>0</v>
      </c>
      <c r="AO37" s="42">
        <f>SUMIFS('KPI trừ'!$G:$G, 'KPI trừ'!$A:$A, B37, 'KPI trừ'!$B:$B, C37)</f>
        <v>0</v>
      </c>
      <c r="AP37" s="44" t="str">
        <f>IFERROR(INDEX('KPI trừ'!$H:$H, MATCH(1, ('KPI trừ'!$A:$A=B37)*('KPI trừ'!$B:$B=C37), 0)), "")</f>
        <v/>
      </c>
      <c r="AQ37" s="16"/>
      <c r="AR37" s="44"/>
      <c r="AS37" s="44"/>
      <c r="AT37" s="44"/>
      <c r="AU37" s="44"/>
      <c r="AV37" s="44"/>
      <c r="AW37" s="44"/>
      <c r="AX37" s="44"/>
      <c r="AY37" s="44"/>
      <c r="AZ37" s="44"/>
      <c r="BA37" s="44"/>
    </row>
    <row r="38" spans="1:53" ht="15.75" customHeight="1">
      <c r="A38" s="34">
        <v>36</v>
      </c>
      <c r="B38" s="35" t="s">
        <v>21</v>
      </c>
      <c r="C38" s="36" t="s">
        <v>111</v>
      </c>
      <c r="D38" s="34" t="s">
        <v>79</v>
      </c>
      <c r="E38" s="140">
        <f t="shared" si="7"/>
        <v>40.729999999999961</v>
      </c>
      <c r="F38" s="140">
        <f t="shared" si="8"/>
        <v>228.5</v>
      </c>
      <c r="G38" s="39">
        <f>SUMIFS('Giờ công'!I:I, 'Giờ công'!G:G, B38, 'Giờ công'!H:H, C38)</f>
        <v>40.729999999999961</v>
      </c>
      <c r="H38" s="39">
        <f>SUMIFS('Giờ công'!J:J, 'Giờ công'!G:G, B38, 'Giờ công'!H:H, C38)</f>
        <v>228.5</v>
      </c>
      <c r="I38" s="42" t="str">
        <f t="shared" si="9"/>
        <v/>
      </c>
      <c r="J38" s="193">
        <f t="shared" si="10"/>
        <v>1.7</v>
      </c>
      <c r="K38" s="42">
        <f>SUMIFS('Ngày công'!I:I, 'Ngày công'!A:A, B38, 'Ngày công'!B:B, C38)</f>
        <v>28</v>
      </c>
      <c r="L38" s="35"/>
      <c r="M38" s="35"/>
      <c r="N38" s="42">
        <f>SUMIFS('Tăng ca lễ'!M:M, 'Tăng ca lễ'!K:K, B38, 'Tăng ca lễ'!L:L, C38)</f>
        <v>0</v>
      </c>
      <c r="O38" s="35">
        <f>IF(OR(D38="PT", D38="DSHV"), SUMIFS('Tăng ca lễ'!O:O, 'Tăng ca lễ'!K:K, B38, 'Tăng ca lễ'!L:L, C38)*2, SUMIFS('Tăng ca lễ'!O:O, 'Tăng ca lễ'!K:K, B38, 'Tăng ca lễ'!L:L, C38)*3)</f>
        <v>0</v>
      </c>
      <c r="P38" s="35">
        <f>IF(OR(D38="PT", D38="DSHV"), SUMIFS('Tăng ca lễ'!P:P, 'Tăng ca lễ'!K:K, B38, 'Tăng ca lễ'!L:L, C38)*2, SUMIFS('Tăng ca lễ'!P:P, 'Tăng ca lễ'!K:K, B38, 'Tăng ca lễ'!L:L, C38)*3)</f>
        <v>0</v>
      </c>
      <c r="Q38" s="35"/>
      <c r="R38" s="42">
        <f>SUMIFS('Ngày công'!M:M, 'Ngày công'!K:K, B38, 'Ngày công'!L:L, C38)</f>
        <v>28</v>
      </c>
      <c r="S38" s="39">
        <f>SUMIFS('Công Đào tạo'!G:G, 'Công Đào tạo'!E:E, B38, 'Công Đào tạo'!F:F, C38)</f>
        <v>0</v>
      </c>
      <c r="T38" s="35">
        <v>0</v>
      </c>
      <c r="U38" s="41"/>
      <c r="V38" s="46">
        <f t="shared" si="11"/>
        <v>0</v>
      </c>
      <c r="W38" s="42"/>
      <c r="X38" s="42">
        <f t="shared" si="12"/>
        <v>91071</v>
      </c>
      <c r="Y38" s="42"/>
      <c r="Z38" s="42"/>
      <c r="AA38" s="42">
        <f>IF(ROW()=MATCH(C38, $C$1:$C$72, 0), IFERROR(VLOOKUP(C38, 'MiniKat - HN'!$A:$L, 12, FALSE), 0) + IFERROR(VLOOKUP(C38, 'MiniKat - HCM'!$A:$J, 10, FALSE), 0), 0)</f>
        <v>0</v>
      </c>
      <c r="AB38" s="42">
        <f>IF(OR(TRIM(D38)="CHT", TRIM(D38)="Q.CHT"), SUMIFS('MiniKat - HN'!$Y:$Y, 'MiniKat - HN'!$N:$N, B38) + SUMIFS('MiniKat - HCM'!$U:$U, 'MiniKat - HCM'!$M:$M, B38), 0)</f>
        <v>0</v>
      </c>
      <c r="AC38" s="42">
        <f>IF(ROW()=MATCH(C38, $C$1:$C$72, 0), SUMIFS(whatsapp!$D:$D, whatsapp!$A:$A, C38), 0)</f>
        <v>0</v>
      </c>
      <c r="AD38" s="42">
        <f>SUMIFS('Dự án'!$C:$C, 'Dự án'!$A:$A, B38, 'Dự án'!$B:$B, C38)</f>
        <v>500000</v>
      </c>
      <c r="AE38" s="42">
        <f>SUMIFS(KPI!$C:$C, KPI!$A:$A, B38, KPI!$B:$B, C38)</f>
        <v>1347392</v>
      </c>
      <c r="AF38" s="43">
        <f>SUMIFS('Thưởng CK'!$C:$C, 'Thưởng CK'!$A:$A, B38, 'Thưởng CK'!$B:$B, C38)</f>
        <v>2214100</v>
      </c>
      <c r="AG38" s="42">
        <f>SUMIFS('Cận date'!$C:$C, 'Cận date'!$A:$A, B38, 'Cận date'!$B:$B, C38)</f>
        <v>130696</v>
      </c>
      <c r="AH38" s="42">
        <f>SUMIFS(Map!$D:$D, Map!$B:$B, B38, Map!$A:$A, C38)</f>
        <v>0</v>
      </c>
      <c r="AI38" s="42">
        <v>0</v>
      </c>
      <c r="AJ38" s="42">
        <f t="shared" si="13"/>
        <v>0</v>
      </c>
      <c r="AK38" s="42">
        <f>SUMIFS('KPI trừ'!$C:$C, 'KPI trừ'!$A:$A, B38, 'KPI trừ'!$B:$B, C38)</f>
        <v>0</v>
      </c>
      <c r="AL38" s="42">
        <f>SUMIFS('KPI trừ'!$D:$D, 'KPI trừ'!$A:$A, B38, 'KPI trừ'!$B:$B, C38)</f>
        <v>0</v>
      </c>
      <c r="AM38" s="42">
        <f>SUMIFS('KPI trừ'!$E:$E, 'KPI trừ'!$A:$A, B38, 'KPI trừ'!$B:$B, C38)</f>
        <v>0</v>
      </c>
      <c r="AN38" s="42">
        <f>SUMIFS('KPI trừ'!$F:$F, 'KPI trừ'!$A:$A, B38, 'KPI trừ'!$B:$B, C38)</f>
        <v>0</v>
      </c>
      <c r="AO38" s="42">
        <f>SUMIFS('KPI trừ'!$G:$G, 'KPI trừ'!$A:$A, B38, 'KPI trừ'!$B:$B, C38)</f>
        <v>0</v>
      </c>
      <c r="AP38" s="44" t="str">
        <f>IFERROR(INDEX('KPI trừ'!$H:$H, MATCH(1, ('KPI trừ'!$A:$A=B38)*('KPI trừ'!$B:$B=C38), 0)), "")</f>
        <v/>
      </c>
      <c r="AQ38" s="16"/>
      <c r="AR38" s="44"/>
      <c r="AS38" s="44"/>
      <c r="AT38" s="44"/>
      <c r="AU38" s="44"/>
      <c r="AV38" s="44"/>
      <c r="AW38" s="44"/>
      <c r="AX38" s="44"/>
      <c r="AY38" s="44"/>
      <c r="AZ38" s="44"/>
      <c r="BA38" s="44"/>
    </row>
    <row r="39" spans="1:53" ht="15.75" customHeight="1">
      <c r="A39" s="34">
        <v>37</v>
      </c>
      <c r="B39" s="35" t="s">
        <v>21</v>
      </c>
      <c r="C39" s="44" t="s">
        <v>112</v>
      </c>
      <c r="D39" s="34" t="s">
        <v>79</v>
      </c>
      <c r="E39" s="140">
        <f t="shared" si="7"/>
        <v>12.589999999999975</v>
      </c>
      <c r="F39" s="140">
        <f t="shared" si="8"/>
        <v>258.7</v>
      </c>
      <c r="G39" s="39">
        <f>SUMIFS('Giờ công'!I:I, 'Giờ công'!G:G, B39, 'Giờ công'!H:H, C39)</f>
        <v>12.589999999999975</v>
      </c>
      <c r="H39" s="39">
        <f>SUMIFS('Giờ công'!J:J, 'Giờ công'!G:G, B39, 'Giờ công'!H:H, C39)</f>
        <v>258.7</v>
      </c>
      <c r="I39" s="42" t="str">
        <f t="shared" si="9"/>
        <v/>
      </c>
      <c r="J39" s="193">
        <f t="shared" si="10"/>
        <v>0.5</v>
      </c>
      <c r="K39" s="42">
        <f>SUMIFS('Ngày công'!I:I, 'Ngày công'!A:A, B39, 'Ngày công'!B:B, C39)</f>
        <v>28</v>
      </c>
      <c r="L39" s="35"/>
      <c r="M39" s="35"/>
      <c r="N39" s="42">
        <f>SUMIFS('Tăng ca lễ'!M:M, 'Tăng ca lễ'!K:K, B39, 'Tăng ca lễ'!L:L, C39)</f>
        <v>0</v>
      </c>
      <c r="O39" s="35">
        <f>IF(OR(D39="PT", D39="DSHV"), SUMIFS('Tăng ca lễ'!O:O, 'Tăng ca lễ'!K:K, B39, 'Tăng ca lễ'!L:L, C39)*2, SUMIFS('Tăng ca lễ'!O:O, 'Tăng ca lễ'!K:K, B39, 'Tăng ca lễ'!L:L, C39)*3)</f>
        <v>0</v>
      </c>
      <c r="P39" s="35">
        <f>IF(OR(D39="PT", D39="DSHV"), SUMIFS('Tăng ca lễ'!P:P, 'Tăng ca lễ'!K:K, B39, 'Tăng ca lễ'!L:L, C39)*2, SUMIFS('Tăng ca lễ'!P:P, 'Tăng ca lễ'!K:K, B39, 'Tăng ca lễ'!L:L, C39)*3)</f>
        <v>0</v>
      </c>
      <c r="Q39" s="35"/>
      <c r="R39" s="42">
        <f>SUMIFS('Ngày công'!M:M, 'Ngày công'!K:K, B39, 'Ngày công'!L:L, C39)</f>
        <v>28</v>
      </c>
      <c r="S39" s="39">
        <f>SUMIFS('Công Đào tạo'!G:G, 'Công Đào tạo'!E:E, B39, 'Công Đào tạo'!F:F, C39)</f>
        <v>0</v>
      </c>
      <c r="T39" s="35">
        <v>0</v>
      </c>
      <c r="U39" s="41"/>
      <c r="V39" s="46">
        <f t="shared" si="11"/>
        <v>0</v>
      </c>
      <c r="W39" s="42"/>
      <c r="X39" s="42">
        <f t="shared" si="12"/>
        <v>26786</v>
      </c>
      <c r="Y39" s="42"/>
      <c r="Z39" s="42"/>
      <c r="AA39" s="42">
        <f>IF(ROW()=MATCH(C39, $C$1:$C$72, 0), IFERROR(VLOOKUP(C39, 'MiniKat - HN'!$A:$L, 12, FALSE), 0) + IFERROR(VLOOKUP(C39, 'MiniKat - HCM'!$A:$J, 10, FALSE), 0), 0)</f>
        <v>0</v>
      </c>
      <c r="AB39" s="42">
        <f>IF(OR(TRIM(D39)="CHT", TRIM(D39)="Q.CHT"), SUMIFS('MiniKat - HN'!$Y:$Y, 'MiniKat - HN'!$N:$N, B39) + SUMIFS('MiniKat - HCM'!$U:$U, 'MiniKat - HCM'!$M:$M, B39), 0)</f>
        <v>0</v>
      </c>
      <c r="AC39" s="42">
        <f>IF(ROW()=MATCH(C39, $C$1:$C$72, 0), SUMIFS(whatsapp!$D:$D, whatsapp!$A:$A, C39), 0)</f>
        <v>0</v>
      </c>
      <c r="AD39" s="42">
        <f>SUMIFS('Dự án'!$C:$C, 'Dự án'!$A:$A, B39, 'Dự án'!$B:$B, C39)</f>
        <v>0</v>
      </c>
      <c r="AE39" s="42">
        <f>SUMIFS(KPI!$C:$C, KPI!$A:$A, B39, KPI!$B:$B, C39)</f>
        <v>0</v>
      </c>
      <c r="AF39" s="43">
        <f>SUMIFS('Thưởng CK'!$C:$C, 'Thưởng CK'!$A:$A, B39, 'Thưởng CK'!$B:$B, C39)</f>
        <v>1922350</v>
      </c>
      <c r="AG39" s="42">
        <f>SUMIFS('Cận date'!$C:$C, 'Cận date'!$A:$A, B39, 'Cận date'!$B:$B, C39)</f>
        <v>29087</v>
      </c>
      <c r="AH39" s="42">
        <f>SUMIFS(Map!$D:$D, Map!$B:$B, B39, Map!$A:$A, C39)</f>
        <v>0</v>
      </c>
      <c r="AI39" s="42">
        <v>0</v>
      </c>
      <c r="AJ39" s="42">
        <f t="shared" si="13"/>
        <v>0</v>
      </c>
      <c r="AK39" s="42">
        <f>SUMIFS('KPI trừ'!$C:$C, 'KPI trừ'!$A:$A, B39, 'KPI trừ'!$B:$B, C39)</f>
        <v>0</v>
      </c>
      <c r="AL39" s="42">
        <f>SUMIFS('KPI trừ'!$D:$D, 'KPI trừ'!$A:$A, B39, 'KPI trừ'!$B:$B, C39)</f>
        <v>0</v>
      </c>
      <c r="AM39" s="42">
        <f>SUMIFS('KPI trừ'!$E:$E, 'KPI trừ'!$A:$A, B39, 'KPI trừ'!$B:$B, C39)</f>
        <v>0</v>
      </c>
      <c r="AN39" s="42">
        <f>SUMIFS('KPI trừ'!$F:$F, 'KPI trừ'!$A:$A, B39, 'KPI trừ'!$B:$B, C39)</f>
        <v>0</v>
      </c>
      <c r="AO39" s="42">
        <f>SUMIFS('KPI trừ'!$G:$G, 'KPI trừ'!$A:$A, B39, 'KPI trừ'!$B:$B, C39)</f>
        <v>0</v>
      </c>
      <c r="AP39" s="44" t="str">
        <f>IFERROR(INDEX('KPI trừ'!$H:$H, MATCH(1, ('KPI trừ'!$A:$A=B39)*('KPI trừ'!$B:$B=C39), 0)), "")</f>
        <v/>
      </c>
      <c r="AQ39" s="16"/>
      <c r="AR39" s="44"/>
      <c r="AS39" s="44"/>
      <c r="AT39" s="44"/>
      <c r="AU39" s="44"/>
      <c r="AV39" s="44"/>
      <c r="AW39" s="44"/>
      <c r="AX39" s="44"/>
      <c r="AY39" s="44"/>
      <c r="AZ39" s="44"/>
      <c r="BA39" s="44"/>
    </row>
    <row r="40" spans="1:53" ht="15.75" customHeight="1">
      <c r="A40" s="34">
        <v>38</v>
      </c>
      <c r="B40" s="35" t="s">
        <v>21</v>
      </c>
      <c r="C40" s="44" t="s">
        <v>88</v>
      </c>
      <c r="D40" s="34" t="s">
        <v>81</v>
      </c>
      <c r="E40" s="140">
        <f t="shared" si="7"/>
        <v>42.37</v>
      </c>
      <c r="F40" s="140">
        <f t="shared" si="8"/>
        <v>0</v>
      </c>
      <c r="G40" s="39">
        <f>SUMIFS('Giờ công'!I:I, 'Giờ công'!G:G, B40, 'Giờ công'!H:H, C40)</f>
        <v>42.37</v>
      </c>
      <c r="H40" s="39">
        <f>SUMIFS('Giờ công'!J:J, 'Giờ công'!G:G, B40, 'Giờ công'!H:H, C40)</f>
        <v>0</v>
      </c>
      <c r="I40" s="42" t="str">
        <f t="shared" si="9"/>
        <v/>
      </c>
      <c r="J40" s="193">
        <f t="shared" si="10"/>
        <v>1.8</v>
      </c>
      <c r="K40" s="42">
        <f>SUMIFS('Ngày công'!I:I, 'Ngày công'!A:A, B40, 'Ngày công'!B:B, C40)</f>
        <v>0</v>
      </c>
      <c r="L40" s="35"/>
      <c r="M40" s="35"/>
      <c r="N40" s="42">
        <f>SUMIFS('Tăng ca lễ'!M:M, 'Tăng ca lễ'!K:K, B40, 'Tăng ca lễ'!L:L, C40)</f>
        <v>0</v>
      </c>
      <c r="O40" s="35">
        <f>IF(OR(D40="PT", D40="DSHV"), SUMIFS('Tăng ca lễ'!O:O, 'Tăng ca lễ'!K:K, B40, 'Tăng ca lễ'!L:L, C40)*2, SUMIFS('Tăng ca lễ'!O:O, 'Tăng ca lễ'!K:K, B40, 'Tăng ca lễ'!L:L, C40)*3)</f>
        <v>0</v>
      </c>
      <c r="P40" s="35">
        <f>IF(OR(D40="PT", D40="DSHV"), SUMIFS('Tăng ca lễ'!P:P, 'Tăng ca lễ'!K:K, B40, 'Tăng ca lễ'!L:L, C40)*2, SUMIFS('Tăng ca lễ'!P:P, 'Tăng ca lễ'!K:K, B40, 'Tăng ca lễ'!L:L, C40)*3)</f>
        <v>0</v>
      </c>
      <c r="Q40" s="35"/>
      <c r="R40" s="42">
        <f>SUMIFS('Ngày công'!M:M, 'Ngày công'!K:K, B40, 'Ngày công'!L:L, C40)</f>
        <v>7</v>
      </c>
      <c r="S40" s="39">
        <f>SUMIFS('Công Đào tạo'!G:G, 'Công Đào tạo'!E:E, B40, 'Công Đào tạo'!F:F, C40)</f>
        <v>0</v>
      </c>
      <c r="T40" s="35">
        <v>0</v>
      </c>
      <c r="U40" s="41"/>
      <c r="V40" s="46">
        <f t="shared" si="11"/>
        <v>0</v>
      </c>
      <c r="W40" s="42"/>
      <c r="X40" s="42">
        <f t="shared" si="12"/>
        <v>0</v>
      </c>
      <c r="Y40" s="42"/>
      <c r="Z40" s="42"/>
      <c r="AA40" s="42">
        <f>IF(ROW()=MATCH(C40, $C$1:$C$72, 0), IFERROR(VLOOKUP(C40, 'MiniKat - HN'!$A:$L, 12, FALSE), 0) + IFERROR(VLOOKUP(C40, 'MiniKat - HCM'!$A:$J, 10, FALSE), 0), 0)</f>
        <v>0</v>
      </c>
      <c r="AB40" s="42">
        <f>IF(OR(TRIM(D40)="CHT", TRIM(D40)="Q.CHT"), SUMIFS('MiniKat - HN'!$Y:$Y, 'MiniKat - HN'!$N:$N, B40) + SUMIFS('MiniKat - HCM'!$U:$U, 'MiniKat - HCM'!$M:$M, B40), 0)</f>
        <v>0</v>
      </c>
      <c r="AC40" s="42">
        <f>IF(ROW()=MATCH(C40, $C$1:$C$72, 0), SUMIFS(whatsapp!$D:$D, whatsapp!$A:$A, C40), 0)</f>
        <v>0</v>
      </c>
      <c r="AD40" s="42">
        <f>SUMIFS('Dự án'!$C:$C, 'Dự án'!$A:$A, B40, 'Dự án'!$B:$B, C40)</f>
        <v>0</v>
      </c>
      <c r="AE40" s="42">
        <f>SUMIFS(KPI!$C:$C, KPI!$A:$A, B40, KPI!$B:$B, C40)</f>
        <v>0</v>
      </c>
      <c r="AF40" s="43">
        <f>SUMIFS('Thưởng CK'!$C:$C, 'Thưởng CK'!$A:$A, B40, 'Thưởng CK'!$B:$B, C40)</f>
        <v>0</v>
      </c>
      <c r="AG40" s="42">
        <f>SUMIFS('Cận date'!$C:$C, 'Cận date'!$A:$A, B40, 'Cận date'!$B:$B, C40)</f>
        <v>0</v>
      </c>
      <c r="AH40" s="42">
        <f>SUMIFS(Map!$D:$D, Map!$B:$B, B40, Map!$A:$A, C40)</f>
        <v>0</v>
      </c>
      <c r="AI40" s="42">
        <v>0</v>
      </c>
      <c r="AJ40" s="42">
        <f t="shared" si="13"/>
        <v>0</v>
      </c>
      <c r="AK40" s="42">
        <f>SUMIFS('KPI trừ'!$C:$C, 'KPI trừ'!$A:$A, B40, 'KPI trừ'!$B:$B, C40)</f>
        <v>0</v>
      </c>
      <c r="AL40" s="42">
        <f>SUMIFS('KPI trừ'!$D:$D, 'KPI trừ'!$A:$A, B40, 'KPI trừ'!$B:$B, C40)</f>
        <v>0</v>
      </c>
      <c r="AM40" s="42">
        <f>SUMIFS('KPI trừ'!$E:$E, 'KPI trừ'!$A:$A, B40, 'KPI trừ'!$B:$B, C40)</f>
        <v>0</v>
      </c>
      <c r="AN40" s="42">
        <f>SUMIFS('KPI trừ'!$F:$F, 'KPI trừ'!$A:$A, B40, 'KPI trừ'!$B:$B, C40)</f>
        <v>0</v>
      </c>
      <c r="AO40" s="42">
        <f>SUMIFS('KPI trừ'!$G:$G, 'KPI trừ'!$A:$A, B40, 'KPI trừ'!$B:$B, C40)</f>
        <v>0</v>
      </c>
      <c r="AP40" s="44" t="str">
        <f>IFERROR(INDEX('KPI trừ'!$H:$H, MATCH(1, ('KPI trừ'!$A:$A=B40)*('KPI trừ'!$B:$B=C40), 0)), "")</f>
        <v/>
      </c>
      <c r="AQ40" s="16"/>
      <c r="AR40" s="44"/>
      <c r="AS40" s="44"/>
      <c r="AT40" s="44"/>
      <c r="AU40" s="44"/>
      <c r="AV40" s="44"/>
      <c r="AW40" s="44"/>
      <c r="AX40" s="44"/>
      <c r="AY40" s="44"/>
      <c r="AZ40" s="44"/>
      <c r="BA40" s="44"/>
    </row>
    <row r="41" spans="1:53" ht="15.75" customHeight="1">
      <c r="A41" s="34">
        <v>39</v>
      </c>
      <c r="B41" s="35" t="s">
        <v>21</v>
      </c>
      <c r="C41" s="44" t="s">
        <v>113</v>
      </c>
      <c r="D41" s="34" t="s">
        <v>81</v>
      </c>
      <c r="E41" s="140">
        <f t="shared" si="7"/>
        <v>100.03</v>
      </c>
      <c r="F41" s="140">
        <f t="shared" si="8"/>
        <v>15.9</v>
      </c>
      <c r="G41" s="39">
        <f>SUMIFS('Giờ công'!I:I, 'Giờ công'!G:G, B41, 'Giờ công'!H:H, C41)</f>
        <v>100.03</v>
      </c>
      <c r="H41" s="39">
        <f>SUMIFS('Giờ công'!J:J, 'Giờ công'!G:G, B41, 'Giờ công'!H:H, C41)</f>
        <v>15.9</v>
      </c>
      <c r="I41" s="42" t="str">
        <f t="shared" si="9"/>
        <v/>
      </c>
      <c r="J41" s="193">
        <f t="shared" si="10"/>
        <v>4.2</v>
      </c>
      <c r="K41" s="42">
        <f>SUMIFS('Ngày công'!I:I, 'Ngày công'!A:A, B41, 'Ngày công'!B:B, C41)</f>
        <v>2</v>
      </c>
      <c r="L41" s="35"/>
      <c r="M41" s="35"/>
      <c r="N41" s="42">
        <f>SUMIFS('Tăng ca lễ'!M:M, 'Tăng ca lễ'!K:K, B41, 'Tăng ca lễ'!L:L, C41)</f>
        <v>0</v>
      </c>
      <c r="O41" s="35">
        <f>IF(OR(D41="PT", D41="DSHV"), SUMIFS('Tăng ca lễ'!O:O, 'Tăng ca lễ'!K:K, B41, 'Tăng ca lễ'!L:L, C41)*2, SUMIFS('Tăng ca lễ'!O:O, 'Tăng ca lễ'!K:K, B41, 'Tăng ca lễ'!L:L, C41)*3)</f>
        <v>0</v>
      </c>
      <c r="P41" s="35">
        <f>IF(OR(D41="PT", D41="DSHV"), SUMIFS('Tăng ca lễ'!P:P, 'Tăng ca lễ'!K:K, B41, 'Tăng ca lễ'!L:L, C41)*2, SUMIFS('Tăng ca lễ'!P:P, 'Tăng ca lễ'!K:K, B41, 'Tăng ca lễ'!L:L, C41)*3)</f>
        <v>0</v>
      </c>
      <c r="Q41" s="35"/>
      <c r="R41" s="42">
        <f>SUMIFS('Ngày công'!M:M, 'Ngày công'!K:K, B41, 'Ngày công'!L:L, C41)</f>
        <v>15</v>
      </c>
      <c r="S41" s="39">
        <f>SUMIFS('Công Đào tạo'!G:G, 'Công Đào tạo'!E:E, B41, 'Công Đào tạo'!F:F, C41)</f>
        <v>0</v>
      </c>
      <c r="T41" s="35">
        <v>0</v>
      </c>
      <c r="U41" s="41"/>
      <c r="V41" s="46">
        <f t="shared" si="11"/>
        <v>0</v>
      </c>
      <c r="W41" s="42"/>
      <c r="X41" s="42">
        <f t="shared" si="12"/>
        <v>0</v>
      </c>
      <c r="Y41" s="42"/>
      <c r="Z41" s="42"/>
      <c r="AA41" s="42">
        <f>IF(ROW()=MATCH(C41, $C$1:$C$72, 0), IFERROR(VLOOKUP(C41, 'MiniKat - HN'!$A:$L, 12, FALSE), 0) + IFERROR(VLOOKUP(C41, 'MiniKat - HCM'!$A:$J, 10, FALSE), 0), 0)</f>
        <v>0</v>
      </c>
      <c r="AB41" s="42">
        <f>IF(OR(TRIM(D41)="CHT", TRIM(D41)="Q.CHT"), SUMIFS('MiniKat - HN'!$Y:$Y, 'MiniKat - HN'!$N:$N, B41) + SUMIFS('MiniKat - HCM'!$U:$U, 'MiniKat - HCM'!$M:$M, B41), 0)</f>
        <v>0</v>
      </c>
      <c r="AC41" s="42">
        <f>IF(ROW()=MATCH(C41, $C$1:$C$72, 0), SUMIFS(whatsapp!$D:$D, whatsapp!$A:$A, C41), 0)</f>
        <v>0</v>
      </c>
      <c r="AD41" s="42">
        <f>SUMIFS('Dự án'!$C:$C, 'Dự án'!$A:$A, B41, 'Dự án'!$B:$B, C41)</f>
        <v>0</v>
      </c>
      <c r="AE41" s="42">
        <f>SUMIFS(KPI!$C:$C, KPI!$A:$A, B41, KPI!$B:$B, C41)</f>
        <v>0</v>
      </c>
      <c r="AF41" s="43">
        <f>SUMIFS('Thưởng CK'!$C:$C, 'Thưởng CK'!$A:$A, B41, 'Thưởng CK'!$B:$B, C41)</f>
        <v>609435</v>
      </c>
      <c r="AG41" s="42">
        <f>SUMIFS('Cận date'!$C:$C, 'Cận date'!$A:$A, B41, 'Cận date'!$B:$B, C41)</f>
        <v>13341</v>
      </c>
      <c r="AH41" s="42">
        <f>SUMIFS(Map!$D:$D, Map!$B:$B, B41, Map!$A:$A, C41)</f>
        <v>0</v>
      </c>
      <c r="AI41" s="42">
        <v>0</v>
      </c>
      <c r="AJ41" s="42">
        <f t="shared" si="13"/>
        <v>0</v>
      </c>
      <c r="AK41" s="42">
        <f>SUMIFS('KPI trừ'!$C:$C, 'KPI trừ'!$A:$A, B41, 'KPI trừ'!$B:$B, C41)</f>
        <v>0</v>
      </c>
      <c r="AL41" s="42">
        <f>SUMIFS('KPI trừ'!$D:$D, 'KPI trừ'!$A:$A, B41, 'KPI trừ'!$B:$B, C41)</f>
        <v>0</v>
      </c>
      <c r="AM41" s="42">
        <f>SUMIFS('KPI trừ'!$E:$E, 'KPI trừ'!$A:$A, B41, 'KPI trừ'!$B:$B, C41)</f>
        <v>0</v>
      </c>
      <c r="AN41" s="42">
        <f>SUMIFS('KPI trừ'!$F:$F, 'KPI trừ'!$A:$A, B41, 'KPI trừ'!$B:$B, C41)</f>
        <v>0</v>
      </c>
      <c r="AO41" s="42">
        <f>SUMIFS('KPI trừ'!$G:$G, 'KPI trừ'!$A:$A, B41, 'KPI trừ'!$B:$B, C41)</f>
        <v>0</v>
      </c>
      <c r="AP41" s="44" t="str">
        <f>IFERROR(INDEX('KPI trừ'!$H:$H, MATCH(1, ('KPI trừ'!$A:$A=B41)*('KPI trừ'!$B:$B=C41), 0)), "")</f>
        <v/>
      </c>
      <c r="AQ41" s="16"/>
      <c r="AR41" s="44"/>
      <c r="AS41" s="44"/>
      <c r="AT41" s="44"/>
      <c r="AU41" s="44"/>
      <c r="AV41" s="44"/>
      <c r="AW41" s="44"/>
      <c r="AX41" s="44"/>
      <c r="AY41" s="44"/>
      <c r="AZ41" s="44"/>
      <c r="BA41" s="44"/>
    </row>
    <row r="42" spans="1:53" ht="15.75" customHeight="1">
      <c r="A42" s="34">
        <v>40</v>
      </c>
      <c r="B42" s="35" t="s">
        <v>21</v>
      </c>
      <c r="C42" s="36" t="s">
        <v>92</v>
      </c>
      <c r="D42" s="34" t="s">
        <v>81</v>
      </c>
      <c r="E42" s="140">
        <f t="shared" si="7"/>
        <v>11.42</v>
      </c>
      <c r="F42" s="140">
        <f t="shared" si="8"/>
        <v>0</v>
      </c>
      <c r="G42" s="39">
        <f>SUMIFS('Giờ công'!I:I, 'Giờ công'!G:G, B42, 'Giờ công'!H:H, C42)</f>
        <v>11.42</v>
      </c>
      <c r="H42" s="39">
        <f>SUMIFS('Giờ công'!J:J, 'Giờ công'!G:G, B42, 'Giờ công'!H:H, C42)</f>
        <v>0</v>
      </c>
      <c r="I42" s="42" t="str">
        <f t="shared" si="9"/>
        <v/>
      </c>
      <c r="J42" s="193">
        <f t="shared" si="10"/>
        <v>0.5</v>
      </c>
      <c r="K42" s="42">
        <f>SUMIFS('Ngày công'!I:I, 'Ngày công'!A:A, B42, 'Ngày công'!B:B, C42)</f>
        <v>0</v>
      </c>
      <c r="L42" s="35"/>
      <c r="M42" s="35"/>
      <c r="N42" s="42">
        <f>SUMIFS('Tăng ca lễ'!M:M, 'Tăng ca lễ'!K:K, B42, 'Tăng ca lễ'!L:L, C42)</f>
        <v>0</v>
      </c>
      <c r="O42" s="35">
        <f>IF(OR(D42="PT", D42="DSHV"), SUMIFS('Tăng ca lễ'!O:O, 'Tăng ca lễ'!K:K, B42, 'Tăng ca lễ'!L:L, C42)*2, SUMIFS('Tăng ca lễ'!O:O, 'Tăng ca lễ'!K:K, B42, 'Tăng ca lễ'!L:L, C42)*3)</f>
        <v>0</v>
      </c>
      <c r="P42" s="35">
        <f>IF(OR(D42="PT", D42="DSHV"), SUMIFS('Tăng ca lễ'!P:P, 'Tăng ca lễ'!K:K, B42, 'Tăng ca lễ'!L:L, C42)*2, SUMIFS('Tăng ca lễ'!P:P, 'Tăng ca lễ'!K:K, B42, 'Tăng ca lễ'!L:L, C42)*3)</f>
        <v>0</v>
      </c>
      <c r="Q42" s="35"/>
      <c r="R42" s="42">
        <f>SUMIFS('Ngày công'!M:M, 'Ngày công'!K:K, B42, 'Ngày công'!L:L, C42)</f>
        <v>2</v>
      </c>
      <c r="S42" s="39">
        <f>SUMIFS('Công Đào tạo'!G:G, 'Công Đào tạo'!E:E, B42, 'Công Đào tạo'!F:F, C42)</f>
        <v>0</v>
      </c>
      <c r="T42" s="35">
        <v>0</v>
      </c>
      <c r="U42" s="41"/>
      <c r="V42" s="46">
        <f t="shared" si="11"/>
        <v>0</v>
      </c>
      <c r="W42" s="42"/>
      <c r="X42" s="42">
        <f t="shared" si="12"/>
        <v>0</v>
      </c>
      <c r="Y42" s="42"/>
      <c r="Z42" s="42"/>
      <c r="AA42" s="42">
        <f>IF(ROW()=MATCH(C42, $C$1:$C$72, 0), IFERROR(VLOOKUP(C42, 'MiniKat - HN'!$A:$L, 12, FALSE), 0) + IFERROR(VLOOKUP(C42, 'MiniKat - HCM'!$A:$J, 10, FALSE), 0), 0)</f>
        <v>0</v>
      </c>
      <c r="AB42" s="42">
        <f>IF(OR(TRIM(D42)="CHT", TRIM(D42)="Q.CHT"), SUMIFS('MiniKat - HN'!$Y:$Y, 'MiniKat - HN'!$N:$N, B42) + SUMIFS('MiniKat - HCM'!$U:$U, 'MiniKat - HCM'!$M:$M, B42), 0)</f>
        <v>0</v>
      </c>
      <c r="AC42" s="42">
        <f>IF(ROW()=MATCH(C42, $C$1:$C$72, 0), SUMIFS(whatsapp!$D:$D, whatsapp!$A:$A, C42), 0)</f>
        <v>0</v>
      </c>
      <c r="AD42" s="42">
        <f>SUMIFS('Dự án'!$C:$C, 'Dự án'!$A:$A, B42, 'Dự án'!$B:$B, C42)</f>
        <v>0</v>
      </c>
      <c r="AE42" s="42">
        <f>SUMIFS(KPI!$C:$C, KPI!$A:$A, B42, KPI!$B:$B, C42)</f>
        <v>0</v>
      </c>
      <c r="AF42" s="43">
        <f>SUMIFS('Thưởng CK'!$C:$C, 'Thưởng CK'!$A:$A, B42, 'Thưởng CK'!$B:$B, C42)</f>
        <v>0</v>
      </c>
      <c r="AG42" s="42">
        <f>SUMIFS('Cận date'!$C:$C, 'Cận date'!$A:$A, B42, 'Cận date'!$B:$B, C42)</f>
        <v>15362</v>
      </c>
      <c r="AH42" s="42">
        <f>SUMIFS(Map!$D:$D, Map!$B:$B, B42, Map!$A:$A, C42)</f>
        <v>0</v>
      </c>
      <c r="AI42" s="42">
        <v>0</v>
      </c>
      <c r="AJ42" s="42">
        <f t="shared" si="13"/>
        <v>0</v>
      </c>
      <c r="AK42" s="42">
        <f>SUMIFS('KPI trừ'!$C:$C, 'KPI trừ'!$A:$A, B42, 'KPI trừ'!$B:$B, C42)</f>
        <v>0</v>
      </c>
      <c r="AL42" s="42">
        <f>SUMIFS('KPI trừ'!$D:$D, 'KPI trừ'!$A:$A, B42, 'KPI trừ'!$B:$B, C42)</f>
        <v>0</v>
      </c>
      <c r="AM42" s="42">
        <f>SUMIFS('KPI trừ'!$E:$E, 'KPI trừ'!$A:$A, B42, 'KPI trừ'!$B:$B, C42)</f>
        <v>0</v>
      </c>
      <c r="AN42" s="42">
        <f>SUMIFS('KPI trừ'!$F:$F, 'KPI trừ'!$A:$A, B42, 'KPI trừ'!$B:$B, C42)</f>
        <v>0</v>
      </c>
      <c r="AO42" s="42">
        <f>SUMIFS('KPI trừ'!$G:$G, 'KPI trừ'!$A:$A, B42, 'KPI trừ'!$B:$B, C42)</f>
        <v>0</v>
      </c>
      <c r="AP42" s="44" t="str">
        <f>IFERROR(INDEX('KPI trừ'!$H:$H, MATCH(1, ('KPI trừ'!$A:$A=B42)*('KPI trừ'!$B:$B=C42), 0)), "")</f>
        <v/>
      </c>
      <c r="AQ42" s="16"/>
      <c r="AR42" s="44"/>
      <c r="AS42" s="44"/>
      <c r="AT42" s="44"/>
      <c r="AU42" s="44"/>
      <c r="AV42" s="44"/>
      <c r="AW42" s="44"/>
      <c r="AX42" s="44"/>
      <c r="AY42" s="44"/>
      <c r="AZ42" s="44"/>
      <c r="BA42" s="44"/>
    </row>
    <row r="43" spans="1:53" ht="15.75" customHeight="1">
      <c r="A43" s="34">
        <v>41</v>
      </c>
      <c r="B43" s="35" t="s">
        <v>21</v>
      </c>
      <c r="C43" s="36" t="s">
        <v>114</v>
      </c>
      <c r="D43" s="34" t="s">
        <v>102</v>
      </c>
      <c r="E43" s="140">
        <f t="shared" si="7"/>
        <v>56.78</v>
      </c>
      <c r="F43" s="140">
        <f t="shared" si="8"/>
        <v>0</v>
      </c>
      <c r="G43" s="39">
        <f>SUMIFS('Giờ công'!I:I, 'Giờ công'!G:G, B43, 'Giờ công'!H:H, C43)</f>
        <v>56.78</v>
      </c>
      <c r="H43" s="39">
        <f>SUMIFS('Giờ công'!J:J, 'Giờ công'!G:G, B43, 'Giờ công'!H:H, C43)</f>
        <v>0</v>
      </c>
      <c r="I43" s="42" t="str">
        <f t="shared" si="9"/>
        <v/>
      </c>
      <c r="J43" s="193">
        <f t="shared" si="10"/>
        <v>2.4</v>
      </c>
      <c r="K43" s="42">
        <f>SUMIFS('Ngày công'!I:I, 'Ngày công'!A:A, B43, 'Ngày công'!B:B, C43)</f>
        <v>0</v>
      </c>
      <c r="L43" s="35"/>
      <c r="M43" s="35"/>
      <c r="N43" s="42">
        <f>SUMIFS('Tăng ca lễ'!M:M, 'Tăng ca lễ'!K:K, B43, 'Tăng ca lễ'!L:L, C43)</f>
        <v>0</v>
      </c>
      <c r="O43" s="35">
        <f>IF(OR(D43="PT", D43="DSHV"), SUMIFS('Tăng ca lễ'!O:O, 'Tăng ca lễ'!K:K, B43, 'Tăng ca lễ'!L:L, C43)*2, SUMIFS('Tăng ca lễ'!O:O, 'Tăng ca lễ'!K:K, B43, 'Tăng ca lễ'!L:L, C43)*3)</f>
        <v>0</v>
      </c>
      <c r="P43" s="35">
        <f>IF(OR(D43="PT", D43="DSHV"), SUMIFS('Tăng ca lễ'!P:P, 'Tăng ca lễ'!K:K, B43, 'Tăng ca lễ'!L:L, C43)*2, SUMIFS('Tăng ca lễ'!P:P, 'Tăng ca lễ'!K:K, B43, 'Tăng ca lễ'!L:L, C43)*3)</f>
        <v>0</v>
      </c>
      <c r="Q43" s="35"/>
      <c r="R43" s="42">
        <f>SUMIFS('Ngày công'!M:M, 'Ngày công'!K:K, B43, 'Ngày công'!L:L, C43)</f>
        <v>7</v>
      </c>
      <c r="S43" s="39">
        <f>SUMIFS('Công Đào tạo'!G:G, 'Công Đào tạo'!E:E, B43, 'Công Đào tạo'!F:F, C43)</f>
        <v>0</v>
      </c>
      <c r="T43" s="35">
        <v>0</v>
      </c>
      <c r="U43" s="41"/>
      <c r="V43" s="46">
        <f t="shared" si="11"/>
        <v>0</v>
      </c>
      <c r="W43" s="42"/>
      <c r="X43" s="42">
        <f t="shared" si="12"/>
        <v>0</v>
      </c>
      <c r="Y43" s="42"/>
      <c r="Z43" s="42"/>
      <c r="AA43" s="42">
        <f>IF(ROW()=MATCH(C43, $C$1:$C$72, 0), IFERROR(VLOOKUP(C43, 'MiniKat - HN'!$A:$L, 12, FALSE), 0) + IFERROR(VLOOKUP(C43, 'MiniKat - HCM'!$A:$J, 10, FALSE), 0), 0)</f>
        <v>0</v>
      </c>
      <c r="AB43" s="42">
        <f>IF(OR(TRIM(D43)="CHT", TRIM(D43)="Q.CHT"), SUMIFS('MiniKat - HN'!$Y:$Y, 'MiniKat - HN'!$N:$N, B43) + SUMIFS('MiniKat - HCM'!$U:$U, 'MiniKat - HCM'!$M:$M, B43), 0)</f>
        <v>0</v>
      </c>
      <c r="AC43" s="42">
        <f>IF(ROW()=MATCH(C43, $C$1:$C$72, 0), SUMIFS(whatsapp!$D:$D, whatsapp!$A:$A, C43), 0)</f>
        <v>0</v>
      </c>
      <c r="AD43" s="42">
        <f>SUMIFS('Dự án'!$C:$C, 'Dự án'!$A:$A, B43, 'Dự án'!$B:$B, C43)</f>
        <v>0</v>
      </c>
      <c r="AE43" s="42">
        <f>SUMIFS(KPI!$C:$C, KPI!$A:$A, B43, KPI!$B:$B, C43)</f>
        <v>0</v>
      </c>
      <c r="AF43" s="43">
        <f>SUMIFS('Thưởng CK'!$C:$C, 'Thưởng CK'!$A:$A, B43, 'Thưởng CK'!$B:$B, C43)</f>
        <v>0</v>
      </c>
      <c r="AG43" s="42">
        <f>SUMIFS('Cận date'!$C:$C, 'Cận date'!$A:$A, B43, 'Cận date'!$B:$B, C43)</f>
        <v>0</v>
      </c>
      <c r="AH43" s="42">
        <f>SUMIFS(Map!$D:$D, Map!$B:$B, B43, Map!$A:$A, C43)</f>
        <v>0</v>
      </c>
      <c r="AI43" s="42">
        <v>0</v>
      </c>
      <c r="AJ43" s="42">
        <f t="shared" si="13"/>
        <v>0</v>
      </c>
      <c r="AK43" s="42">
        <f>SUMIFS('KPI trừ'!$C:$C, 'KPI trừ'!$A:$A, B43, 'KPI trừ'!$B:$B, C43)</f>
        <v>0</v>
      </c>
      <c r="AL43" s="42">
        <f>SUMIFS('KPI trừ'!$D:$D, 'KPI trừ'!$A:$A, B43, 'KPI trừ'!$B:$B, C43)</f>
        <v>0</v>
      </c>
      <c r="AM43" s="42">
        <f>SUMIFS('KPI trừ'!$E:$E, 'KPI trừ'!$A:$A, B43, 'KPI trừ'!$B:$B, C43)</f>
        <v>0</v>
      </c>
      <c r="AN43" s="42">
        <f>SUMIFS('KPI trừ'!$F:$F, 'KPI trừ'!$A:$A, B43, 'KPI trừ'!$B:$B, C43)</f>
        <v>0</v>
      </c>
      <c r="AO43" s="42">
        <f>SUMIFS('KPI trừ'!$G:$G, 'KPI trừ'!$A:$A, B43, 'KPI trừ'!$B:$B, C43)</f>
        <v>0</v>
      </c>
      <c r="AP43" s="44" t="str">
        <f>IFERROR(INDEX('KPI trừ'!$H:$H, MATCH(1, ('KPI trừ'!$A:$A=B43)*('KPI trừ'!$B:$B=C43), 0)), "")</f>
        <v/>
      </c>
      <c r="AQ43" s="16"/>
      <c r="AR43" s="44"/>
      <c r="AS43" s="44"/>
      <c r="AT43" s="44"/>
      <c r="AU43" s="44"/>
      <c r="AV43" s="44"/>
      <c r="AW43" s="44"/>
      <c r="AX43" s="44"/>
      <c r="AY43" s="44"/>
      <c r="AZ43" s="44"/>
      <c r="BA43" s="44"/>
    </row>
    <row r="44" spans="1:53" ht="15.75" customHeight="1">
      <c r="A44" s="34">
        <v>42</v>
      </c>
      <c r="B44" s="35" t="s">
        <v>21</v>
      </c>
      <c r="C44" s="36" t="s">
        <v>115</v>
      </c>
      <c r="D44" s="34" t="s">
        <v>95</v>
      </c>
      <c r="E44" s="140">
        <f t="shared" si="7"/>
        <v>121.39</v>
      </c>
      <c r="F44" s="140">
        <f t="shared" si="8"/>
        <v>0</v>
      </c>
      <c r="G44" s="39">
        <f>SUMIFS('Giờ công'!I:I, 'Giờ công'!G:G, B44, 'Giờ công'!H:H, C44)</f>
        <v>121.39</v>
      </c>
      <c r="H44" s="39">
        <f>SUMIFS('Giờ công'!J:J, 'Giờ công'!G:G, B44, 'Giờ công'!H:H, C44)</f>
        <v>0</v>
      </c>
      <c r="I44" s="42" t="str">
        <f t="shared" si="9"/>
        <v/>
      </c>
      <c r="J44" s="193">
        <f t="shared" si="10"/>
        <v>5.0999999999999996</v>
      </c>
      <c r="K44" s="42">
        <f>SUMIFS('Ngày công'!I:I, 'Ngày công'!A:A, B44, 'Ngày công'!B:B, C44)</f>
        <v>0</v>
      </c>
      <c r="L44" s="35"/>
      <c r="M44" s="35"/>
      <c r="N44" s="42">
        <f>SUMIFS('Tăng ca lễ'!M:M, 'Tăng ca lễ'!K:K, B44, 'Tăng ca lễ'!L:L, C44)</f>
        <v>0</v>
      </c>
      <c r="O44" s="35">
        <f>IF(OR(D44="PT", D44="DSHV"), SUMIFS('Tăng ca lễ'!O:O, 'Tăng ca lễ'!K:K, B44, 'Tăng ca lễ'!L:L, C44)*2, SUMIFS('Tăng ca lễ'!O:O, 'Tăng ca lễ'!K:K, B44, 'Tăng ca lễ'!L:L, C44)*3)</f>
        <v>0</v>
      </c>
      <c r="P44" s="35">
        <f>IF(OR(D44="PT", D44="DSHV"), SUMIFS('Tăng ca lễ'!P:P, 'Tăng ca lễ'!K:K, B44, 'Tăng ca lễ'!L:L, C44)*2, SUMIFS('Tăng ca lễ'!P:P, 'Tăng ca lễ'!K:K, B44, 'Tăng ca lễ'!L:L, C44)*3)</f>
        <v>0</v>
      </c>
      <c r="Q44" s="35"/>
      <c r="R44" s="42">
        <f>SUMIFS('Ngày công'!M:M, 'Ngày công'!K:K, B44, 'Ngày công'!L:L, C44)</f>
        <v>15</v>
      </c>
      <c r="S44" s="39">
        <f>SUMIFS('Công Đào tạo'!G:G, 'Công Đào tạo'!E:E, B44, 'Công Đào tạo'!F:F, C44)</f>
        <v>0</v>
      </c>
      <c r="T44" s="35">
        <v>0</v>
      </c>
      <c r="U44" s="41"/>
      <c r="V44" s="42">
        <f t="shared" si="11"/>
        <v>0</v>
      </c>
      <c r="W44" s="42"/>
      <c r="X44" s="42">
        <f t="shared" si="12"/>
        <v>0</v>
      </c>
      <c r="Y44" s="42"/>
      <c r="Z44" s="42"/>
      <c r="AA44" s="42">
        <f>IF(ROW()=MATCH(C44, $C$1:$C$72, 0), IFERROR(VLOOKUP(C44, 'MiniKat - HN'!$A:$L, 12, FALSE), 0) + IFERROR(VLOOKUP(C44, 'MiniKat - HCM'!$A:$J, 10, FALSE), 0), 0)</f>
        <v>0</v>
      </c>
      <c r="AB44" s="42">
        <f>IF(OR(TRIM(D44)="CHT", TRIM(D44)="Q.CHT"), SUMIFS('MiniKat - HN'!$Y:$Y, 'MiniKat - HN'!$N:$N, B44) + SUMIFS('MiniKat - HCM'!$U:$U, 'MiniKat - HCM'!$M:$M, B44), 0)</f>
        <v>0</v>
      </c>
      <c r="AC44" s="42">
        <f>IF(ROW()=MATCH(C44, $C$1:$C$72, 0), SUMIFS(whatsapp!$D:$D, whatsapp!$A:$A, C44), 0)</f>
        <v>0</v>
      </c>
      <c r="AD44" s="42">
        <f>SUMIFS('Dự án'!$C:$C, 'Dự án'!$A:$A, B44, 'Dự án'!$B:$B, C44)</f>
        <v>0</v>
      </c>
      <c r="AE44" s="42">
        <f>SUMIFS(KPI!$C:$C, KPI!$A:$A, B44, KPI!$B:$B, C44)</f>
        <v>0</v>
      </c>
      <c r="AF44" s="43">
        <f>SUMIFS('Thưởng CK'!$C:$C, 'Thưởng CK'!$A:$A, B44, 'Thưởng CK'!$B:$B, C44)</f>
        <v>0</v>
      </c>
      <c r="AG44" s="42">
        <f>SUMIFS('Cận date'!$C:$C, 'Cận date'!$A:$A, B44, 'Cận date'!$B:$B, C44)</f>
        <v>0</v>
      </c>
      <c r="AH44" s="42">
        <f>SUMIFS(Map!$D:$D, Map!$B:$B, B44, Map!$A:$A, C44)</f>
        <v>0</v>
      </c>
      <c r="AI44" s="42">
        <v>0</v>
      </c>
      <c r="AJ44" s="42">
        <f t="shared" si="13"/>
        <v>0</v>
      </c>
      <c r="AK44" s="42">
        <f>SUMIFS('KPI trừ'!$C:$C, 'KPI trừ'!$A:$A, B44, 'KPI trừ'!$B:$B, C44)</f>
        <v>0</v>
      </c>
      <c r="AL44" s="42">
        <f>SUMIFS('KPI trừ'!$D:$D, 'KPI trừ'!$A:$A, B44, 'KPI trừ'!$B:$B, C44)</f>
        <v>0</v>
      </c>
      <c r="AM44" s="42">
        <f>SUMIFS('KPI trừ'!$E:$E, 'KPI trừ'!$A:$A, B44, 'KPI trừ'!$B:$B, C44)</f>
        <v>0</v>
      </c>
      <c r="AN44" s="42">
        <f>SUMIFS('KPI trừ'!$F:$F, 'KPI trừ'!$A:$A, B44, 'KPI trừ'!$B:$B, C44)</f>
        <v>0</v>
      </c>
      <c r="AO44" s="42">
        <f>SUMIFS('KPI trừ'!$G:$G, 'KPI trừ'!$A:$A, B44, 'KPI trừ'!$B:$B, C44)</f>
        <v>0</v>
      </c>
      <c r="AP44" s="44" t="str">
        <f>IFERROR(INDEX('KPI trừ'!$H:$H, MATCH(1, ('KPI trừ'!$A:$A=B44)*('KPI trừ'!$B:$B=C44), 0)), "")</f>
        <v/>
      </c>
      <c r="AQ44" s="16"/>
      <c r="AR44" s="44"/>
      <c r="AS44" s="44"/>
      <c r="AT44" s="44"/>
      <c r="AU44" s="44"/>
      <c r="AV44" s="44"/>
      <c r="AW44" s="44"/>
      <c r="AX44" s="44"/>
      <c r="AY44" s="44"/>
      <c r="AZ44" s="44"/>
      <c r="BA44" s="44"/>
    </row>
    <row r="45" spans="1:53" ht="15.75" customHeight="1">
      <c r="A45" s="34">
        <v>43</v>
      </c>
      <c r="B45" s="35" t="s">
        <v>22</v>
      </c>
      <c r="C45" s="36" t="s">
        <v>116</v>
      </c>
      <c r="D45" s="34" t="s">
        <v>73</v>
      </c>
      <c r="E45" s="140">
        <f t="shared" si="7"/>
        <v>187.86</v>
      </c>
      <c r="F45" s="140">
        <f t="shared" si="8"/>
        <v>0</v>
      </c>
      <c r="G45" s="39">
        <f>SUMIFS('Giờ công'!I:I, 'Giờ công'!G:G, B45, 'Giờ công'!H:H, C45)</f>
        <v>187.86</v>
      </c>
      <c r="H45" s="39">
        <f>SUMIFS('Giờ công'!J:J, 'Giờ công'!G:G, B45, 'Giờ công'!H:H, C45)</f>
        <v>0</v>
      </c>
      <c r="I45" s="42" t="str">
        <f t="shared" si="9"/>
        <v/>
      </c>
      <c r="J45" s="193">
        <f t="shared" si="10"/>
        <v>7.8</v>
      </c>
      <c r="K45" s="42">
        <f>SUMIFS('Ngày công'!I:I, 'Ngày công'!A:A, B45, 'Ngày công'!B:B, C45)</f>
        <v>0</v>
      </c>
      <c r="L45" s="35"/>
      <c r="M45" s="35"/>
      <c r="N45" s="42">
        <f>SUMIFS('Tăng ca lễ'!M:M, 'Tăng ca lễ'!K:K, B45, 'Tăng ca lễ'!L:L, C45)</f>
        <v>0</v>
      </c>
      <c r="O45" s="35">
        <f>IF(OR(D45="PT", D45="DSHV"), SUMIFS('Tăng ca lễ'!O:O, 'Tăng ca lễ'!K:K, B45, 'Tăng ca lễ'!L:L, C45)*2, SUMIFS('Tăng ca lễ'!O:O, 'Tăng ca lễ'!K:K, B45, 'Tăng ca lễ'!L:L, C45)*3)</f>
        <v>0</v>
      </c>
      <c r="P45" s="35">
        <f>IF(OR(D45="PT", D45="DSHV"), SUMIFS('Tăng ca lễ'!P:P, 'Tăng ca lễ'!K:K, B45, 'Tăng ca lễ'!L:L, C45)*2, SUMIFS('Tăng ca lễ'!P:P, 'Tăng ca lễ'!K:K, B45, 'Tăng ca lễ'!L:L, C45)*3)</f>
        <v>0</v>
      </c>
      <c r="Q45" s="35"/>
      <c r="R45" s="42">
        <f>SUMIFS('Ngày công'!M:M, 'Ngày công'!K:K, B45, 'Ngày công'!L:L, C45)</f>
        <v>24</v>
      </c>
      <c r="S45" s="39">
        <f>SUMIFS('Công Đào tạo'!G:G, 'Công Đào tạo'!E:E, B45, 'Công Đào tạo'!F:F, C45)</f>
        <v>0</v>
      </c>
      <c r="T45" s="35">
        <v>0</v>
      </c>
      <c r="U45" s="41"/>
      <c r="V45" s="46">
        <f t="shared" si="11"/>
        <v>387096.77419354842</v>
      </c>
      <c r="W45" s="42"/>
      <c r="X45" s="42">
        <f t="shared" si="12"/>
        <v>0</v>
      </c>
      <c r="Y45" s="42"/>
      <c r="Z45" s="42"/>
      <c r="AA45" s="42">
        <f>IF(ROW()=MATCH(C45, $C$1:$C$72, 0), IFERROR(VLOOKUP(C45, 'MiniKat - HN'!$A:$L, 12, FALSE), 0) + IFERROR(VLOOKUP(C45, 'MiniKat - HCM'!$A:$J, 10, FALSE), 0), 0)</f>
        <v>0</v>
      </c>
      <c r="AB45" s="42">
        <f>IF(OR(TRIM(D45)="CHT", TRIM(D45)="Q.CHT"), SUMIFS('MiniKat - HN'!$Y:$Y, 'MiniKat - HN'!$N:$N, B45) + SUMIFS('MiniKat - HCM'!$U:$U, 'MiniKat - HCM'!$M:$M, B45), 0)</f>
        <v>0</v>
      </c>
      <c r="AC45" s="42">
        <f>IF(ROW()=MATCH(C45, $C$1:$C$72, 0), SUMIFS(whatsapp!$D:$D, whatsapp!$A:$A, C45), 0)</f>
        <v>0</v>
      </c>
      <c r="AD45" s="42">
        <f>SUMIFS('Dự án'!$C:$C, 'Dự án'!$A:$A, B45, 'Dự án'!$B:$B, C45)</f>
        <v>0</v>
      </c>
      <c r="AE45" s="42">
        <f>SUMIFS(KPI!$C:$C, KPI!$A:$A, B45, KPI!$B:$B, C45)</f>
        <v>0</v>
      </c>
      <c r="AF45" s="43">
        <f>SUMIFS('Thưởng CK'!$C:$C, 'Thưởng CK'!$A:$A, B45, 'Thưởng CK'!$B:$B, C45)</f>
        <v>1313900</v>
      </c>
      <c r="AG45" s="42">
        <f>SUMIFS('Cận date'!$C:$C, 'Cận date'!$A:$A, B45, 'Cận date'!$B:$B, C45)</f>
        <v>7827</v>
      </c>
      <c r="AH45" s="42">
        <f>SUMIFS(Map!$D:$D, Map!$B:$B, B45, Map!$A:$A, C45)</f>
        <v>0</v>
      </c>
      <c r="AI45" s="42">
        <v>0</v>
      </c>
      <c r="AJ45" s="42">
        <f t="shared" si="13"/>
        <v>0</v>
      </c>
      <c r="AK45" s="42">
        <f>SUMIFS('KPI trừ'!$C:$C, 'KPI trừ'!$A:$A, B45, 'KPI trừ'!$B:$B, C45)</f>
        <v>0</v>
      </c>
      <c r="AL45" s="42">
        <f>SUMIFS('KPI trừ'!$D:$D, 'KPI trừ'!$A:$A, B45, 'KPI trừ'!$B:$B, C45)</f>
        <v>0</v>
      </c>
      <c r="AM45" s="42">
        <f>SUMIFS('KPI trừ'!$E:$E, 'KPI trừ'!$A:$A, B45, 'KPI trừ'!$B:$B, C45)</f>
        <v>0</v>
      </c>
      <c r="AN45" s="42">
        <f>SUMIFS('KPI trừ'!$F:$F, 'KPI trừ'!$A:$A, B45, 'KPI trừ'!$B:$B, C45)</f>
        <v>0</v>
      </c>
      <c r="AO45" s="42">
        <f>SUMIFS('KPI trừ'!$G:$G, 'KPI trừ'!$A:$A, B45, 'KPI trừ'!$B:$B, C45)</f>
        <v>0</v>
      </c>
      <c r="AP45" s="44" t="str">
        <f>IFERROR(INDEX('KPI trừ'!$H:$H, MATCH(1, ('KPI trừ'!$A:$A=B45)*('KPI trừ'!$B:$B=C45), 0)), "")</f>
        <v/>
      </c>
      <c r="AQ45" s="16"/>
      <c r="AR45" s="44"/>
      <c r="AS45" s="44"/>
      <c r="AT45" s="44"/>
      <c r="AU45" s="44"/>
      <c r="AV45" s="44"/>
      <c r="AW45" s="44"/>
      <c r="AX45" s="44"/>
      <c r="AY45" s="44"/>
      <c r="AZ45" s="44"/>
      <c r="BA45" s="44"/>
    </row>
    <row r="46" spans="1:53" ht="15.75" customHeight="1">
      <c r="A46" s="34">
        <v>44</v>
      </c>
      <c r="B46" s="35" t="s">
        <v>22</v>
      </c>
      <c r="C46" s="36" t="s">
        <v>117</v>
      </c>
      <c r="D46" s="34" t="s">
        <v>79</v>
      </c>
      <c r="E46" s="140">
        <f t="shared" si="7"/>
        <v>8.9300000000000068</v>
      </c>
      <c r="F46" s="140">
        <f t="shared" si="8"/>
        <v>205.99</v>
      </c>
      <c r="G46" s="39">
        <f>SUMIFS('Giờ công'!I:I, 'Giờ công'!G:G, B46, 'Giờ công'!H:H, C46)</f>
        <v>8.9300000000000068</v>
      </c>
      <c r="H46" s="39">
        <f>SUMIFS('Giờ công'!J:J, 'Giờ công'!G:G, B46, 'Giờ công'!H:H, C46)</f>
        <v>205.99</v>
      </c>
      <c r="I46" s="42" t="str">
        <f t="shared" si="9"/>
        <v/>
      </c>
      <c r="J46" s="193">
        <f t="shared" si="10"/>
        <v>0.4</v>
      </c>
      <c r="K46" s="42">
        <f>SUMIFS('Ngày công'!I:I, 'Ngày công'!A:A, B46, 'Ngày công'!B:B, C46)</f>
        <v>26</v>
      </c>
      <c r="L46" s="35"/>
      <c r="M46" s="35"/>
      <c r="N46" s="42">
        <f>SUMIFS('Tăng ca lễ'!M:M, 'Tăng ca lễ'!K:K, B46, 'Tăng ca lễ'!L:L, C46)</f>
        <v>0</v>
      </c>
      <c r="O46" s="35">
        <f>IF(OR(D46="PT", D46="DSHV"), SUMIFS('Tăng ca lễ'!O:O, 'Tăng ca lễ'!K:K, B46, 'Tăng ca lễ'!L:L, C46)*2, SUMIFS('Tăng ca lễ'!O:O, 'Tăng ca lễ'!K:K, B46, 'Tăng ca lễ'!L:L, C46)*3)</f>
        <v>0</v>
      </c>
      <c r="P46" s="35">
        <f>IF(OR(D46="PT", D46="DSHV"), SUMIFS('Tăng ca lễ'!P:P, 'Tăng ca lễ'!K:K, B46, 'Tăng ca lễ'!L:L, C46)*2, SUMIFS('Tăng ca lễ'!P:P, 'Tăng ca lễ'!K:K, B46, 'Tăng ca lễ'!L:L, C46)*3)</f>
        <v>0</v>
      </c>
      <c r="Q46" s="35"/>
      <c r="R46" s="42">
        <f>SUMIFS('Ngày công'!M:M, 'Ngày công'!K:K, B46, 'Ngày công'!L:L, C46)</f>
        <v>27</v>
      </c>
      <c r="S46" s="39">
        <f>SUMIFS('Công Đào tạo'!G:G, 'Công Đào tạo'!E:E, B46, 'Công Đào tạo'!F:F, C46)</f>
        <v>0</v>
      </c>
      <c r="T46" s="35">
        <v>0</v>
      </c>
      <c r="U46" s="41"/>
      <c r="V46" s="46">
        <f t="shared" si="11"/>
        <v>0</v>
      </c>
      <c r="W46" s="42"/>
      <c r="X46" s="42">
        <f t="shared" si="12"/>
        <v>21429</v>
      </c>
      <c r="Y46" s="42"/>
      <c r="Z46" s="42"/>
      <c r="AA46" s="42">
        <f>IF(ROW()=MATCH(C46, $C$1:$C$72, 0), IFERROR(VLOOKUP(C46, 'MiniKat - HN'!$A:$L, 12, FALSE), 0) + IFERROR(VLOOKUP(C46, 'MiniKat - HCM'!$A:$J, 10, FALSE), 0), 0)</f>
        <v>0</v>
      </c>
      <c r="AB46" s="42">
        <f>IF(OR(TRIM(D46)="CHT", TRIM(D46)="Q.CHT"), SUMIFS('MiniKat - HN'!$Y:$Y, 'MiniKat - HN'!$N:$N, B46) + SUMIFS('MiniKat - HCM'!$U:$U, 'MiniKat - HCM'!$M:$M, B46), 0)</f>
        <v>0</v>
      </c>
      <c r="AC46" s="42">
        <f>IF(ROW()=MATCH(C46, $C$1:$C$72, 0), SUMIFS(whatsapp!$D:$D, whatsapp!$A:$A, C46), 0)</f>
        <v>0</v>
      </c>
      <c r="AD46" s="42">
        <f>SUMIFS('Dự án'!$C:$C, 'Dự án'!$A:$A, B46, 'Dự án'!$B:$B, C46)</f>
        <v>1000000</v>
      </c>
      <c r="AE46" s="42">
        <f>SUMIFS(KPI!$C:$C, KPI!$A:$A, B46, KPI!$B:$B, C46)</f>
        <v>0</v>
      </c>
      <c r="AF46" s="43">
        <f>SUMIFS('Thưởng CK'!$C:$C, 'Thưởng CK'!$A:$A, B46, 'Thưởng CK'!$B:$B, C46)</f>
        <v>2337900</v>
      </c>
      <c r="AG46" s="42">
        <f>SUMIFS('Cận date'!$C:$C, 'Cận date'!$A:$A, B46, 'Cận date'!$B:$B, C46)</f>
        <v>6740</v>
      </c>
      <c r="AH46" s="42">
        <f>SUMIFS(Map!$D:$D, Map!$B:$B, B46, Map!$A:$A, C46)</f>
        <v>0</v>
      </c>
      <c r="AI46" s="42">
        <v>0</v>
      </c>
      <c r="AJ46" s="42">
        <f t="shared" si="13"/>
        <v>0</v>
      </c>
      <c r="AK46" s="42">
        <f>SUMIFS('KPI trừ'!$C:$C, 'KPI trừ'!$A:$A, B46, 'KPI trừ'!$B:$B, C46)</f>
        <v>0</v>
      </c>
      <c r="AL46" s="42">
        <f>SUMIFS('KPI trừ'!$D:$D, 'KPI trừ'!$A:$A, B46, 'KPI trừ'!$B:$B, C46)</f>
        <v>0</v>
      </c>
      <c r="AM46" s="42">
        <f>SUMIFS('KPI trừ'!$E:$E, 'KPI trừ'!$A:$A, B46, 'KPI trừ'!$B:$B, C46)</f>
        <v>0</v>
      </c>
      <c r="AN46" s="42">
        <f>SUMIFS('KPI trừ'!$F:$F, 'KPI trừ'!$A:$A, B46, 'KPI trừ'!$B:$B, C46)</f>
        <v>0</v>
      </c>
      <c r="AO46" s="42">
        <f>SUMIFS('KPI trừ'!$G:$G, 'KPI trừ'!$A:$A, B46, 'KPI trừ'!$B:$B, C46)</f>
        <v>0</v>
      </c>
      <c r="AP46" s="44" t="str">
        <f>IFERROR(INDEX('KPI trừ'!$H:$H, MATCH(1, ('KPI trừ'!$A:$A=B46)*('KPI trừ'!$B:$B=C46), 0)), "")</f>
        <v/>
      </c>
      <c r="AQ46" s="16"/>
      <c r="AR46" s="44"/>
      <c r="AS46" s="44"/>
      <c r="AT46" s="44"/>
      <c r="AU46" s="44"/>
      <c r="AV46" s="44"/>
      <c r="AW46" s="44"/>
      <c r="AX46" s="44"/>
      <c r="AY46" s="44"/>
      <c r="AZ46" s="44"/>
      <c r="BA46" s="44"/>
    </row>
    <row r="47" spans="1:53" ht="15.75" customHeight="1">
      <c r="A47" s="34">
        <v>45</v>
      </c>
      <c r="B47" s="35" t="s">
        <v>22</v>
      </c>
      <c r="C47" s="36" t="s">
        <v>118</v>
      </c>
      <c r="D47" s="34" t="s">
        <v>79</v>
      </c>
      <c r="E47" s="140">
        <f t="shared" si="7"/>
        <v>76.739999999999981</v>
      </c>
      <c r="F47" s="140">
        <f t="shared" si="8"/>
        <v>214.29</v>
      </c>
      <c r="G47" s="39">
        <f>SUMIFS('Giờ công'!I:I, 'Giờ công'!G:G, B47, 'Giờ công'!H:H, C47)</f>
        <v>76.739999999999981</v>
      </c>
      <c r="H47" s="39">
        <f>SUMIFS('Giờ công'!J:J, 'Giờ công'!G:G, B47, 'Giờ công'!H:H, C47)</f>
        <v>214.29</v>
      </c>
      <c r="I47" s="42" t="str">
        <f t="shared" si="9"/>
        <v/>
      </c>
      <c r="J47" s="193">
        <f t="shared" si="10"/>
        <v>3.2</v>
      </c>
      <c r="K47" s="42">
        <f>SUMIFS('Ngày công'!I:I, 'Ngày công'!A:A, B47, 'Ngày công'!B:B, C47)</f>
        <v>28</v>
      </c>
      <c r="L47" s="35"/>
      <c r="M47" s="35"/>
      <c r="N47" s="42">
        <f>SUMIFS('Tăng ca lễ'!M:M, 'Tăng ca lễ'!K:K, B47, 'Tăng ca lễ'!L:L, C47)</f>
        <v>0</v>
      </c>
      <c r="O47" s="35">
        <f>IF(OR(D47="PT", D47="DSHV"), SUMIFS('Tăng ca lễ'!O:O, 'Tăng ca lễ'!K:K, B47, 'Tăng ca lễ'!L:L, C47)*2, SUMIFS('Tăng ca lễ'!O:O, 'Tăng ca lễ'!K:K, B47, 'Tăng ca lễ'!L:L, C47)*3)</f>
        <v>0</v>
      </c>
      <c r="P47" s="35">
        <f>IF(OR(D47="PT", D47="DSHV"), SUMIFS('Tăng ca lễ'!P:P, 'Tăng ca lễ'!K:K, B47, 'Tăng ca lễ'!L:L, C47)*2, SUMIFS('Tăng ca lễ'!P:P, 'Tăng ca lễ'!K:K, B47, 'Tăng ca lễ'!L:L, C47)*3)</f>
        <v>0</v>
      </c>
      <c r="Q47" s="35"/>
      <c r="R47" s="42">
        <f>SUMIFS('Ngày công'!M:M, 'Ngày công'!K:K, B47, 'Ngày công'!L:L, C47)</f>
        <v>27</v>
      </c>
      <c r="S47" s="39">
        <f>SUMIFS('Công Đào tạo'!G:G, 'Công Đào tạo'!E:E, B47, 'Công Đào tạo'!F:F, C47)</f>
        <v>0</v>
      </c>
      <c r="T47" s="35">
        <v>0</v>
      </c>
      <c r="U47" s="41"/>
      <c r="V47" s="46">
        <f t="shared" si="11"/>
        <v>0</v>
      </c>
      <c r="W47" s="42"/>
      <c r="X47" s="42">
        <f t="shared" si="12"/>
        <v>171429</v>
      </c>
      <c r="Y47" s="42"/>
      <c r="Z47" s="42"/>
      <c r="AA47" s="42">
        <f>IF(ROW()=MATCH(C47, $C$1:$C$72, 0), IFERROR(VLOOKUP(C47, 'MiniKat - HN'!$A:$L, 12, FALSE), 0) + IFERROR(VLOOKUP(C47, 'MiniKat - HCM'!$A:$J, 10, FALSE), 0), 0)</f>
        <v>0</v>
      </c>
      <c r="AB47" s="42">
        <f>IF(OR(TRIM(D47)="CHT", TRIM(D47)="Q.CHT"), SUMIFS('MiniKat - HN'!$Y:$Y, 'MiniKat - HN'!$N:$N, B47) + SUMIFS('MiniKat - HCM'!$U:$U, 'MiniKat - HCM'!$M:$M, B47), 0)</f>
        <v>0</v>
      </c>
      <c r="AC47" s="42">
        <f>IF(ROW()=MATCH(C47, $C$1:$C$72, 0), SUMIFS(whatsapp!$D:$D, whatsapp!$A:$A, C47), 0)</f>
        <v>0</v>
      </c>
      <c r="AD47" s="42">
        <f>SUMIFS('Dự án'!$C:$C, 'Dự án'!$A:$A, B47, 'Dự án'!$B:$B, C47)</f>
        <v>1000000</v>
      </c>
      <c r="AE47" s="42">
        <f>SUMIFS(KPI!$C:$C, KPI!$A:$A, B47, KPI!$B:$B, C47)</f>
        <v>876951</v>
      </c>
      <c r="AF47" s="43">
        <f>SUMIFS('Thưởng CK'!$C:$C, 'Thưởng CK'!$A:$A, B47, 'Thưởng CK'!$B:$B, C47)</f>
        <v>2493200</v>
      </c>
      <c r="AG47" s="42">
        <f>SUMIFS('Cận date'!$C:$C, 'Cận date'!$A:$A, B47, 'Cận date'!$B:$B, C47)</f>
        <v>7545</v>
      </c>
      <c r="AH47" s="42">
        <f>SUMIFS(Map!$D:$D, Map!$B:$B, B47, Map!$A:$A, C47)</f>
        <v>0</v>
      </c>
      <c r="AI47" s="42">
        <v>0</v>
      </c>
      <c r="AJ47" s="42">
        <f t="shared" si="13"/>
        <v>0</v>
      </c>
      <c r="AK47" s="42">
        <f>SUMIFS('KPI trừ'!$C:$C, 'KPI trừ'!$A:$A, B47, 'KPI trừ'!$B:$B, C47)</f>
        <v>0</v>
      </c>
      <c r="AL47" s="42">
        <f>SUMIFS('KPI trừ'!$D:$D, 'KPI trừ'!$A:$A, B47, 'KPI trừ'!$B:$B, C47)</f>
        <v>0</v>
      </c>
      <c r="AM47" s="42">
        <f>SUMIFS('KPI trừ'!$E:$E, 'KPI trừ'!$A:$A, B47, 'KPI trừ'!$B:$B, C47)</f>
        <v>0</v>
      </c>
      <c r="AN47" s="42">
        <f>SUMIFS('KPI trừ'!$F:$F, 'KPI trừ'!$A:$A, B47, 'KPI trừ'!$B:$B, C47)</f>
        <v>0</v>
      </c>
      <c r="AO47" s="42">
        <f>SUMIFS('KPI trừ'!$G:$G, 'KPI trừ'!$A:$A, B47, 'KPI trừ'!$B:$B, C47)</f>
        <v>0</v>
      </c>
      <c r="AP47" s="44" t="str">
        <f>IFERROR(INDEX('KPI trừ'!$H:$H, MATCH(1, ('KPI trừ'!$A:$A=B47)*('KPI trừ'!$B:$B=C47), 0)), "")</f>
        <v/>
      </c>
      <c r="AQ47" s="16"/>
      <c r="AR47" s="44"/>
      <c r="AS47" s="44"/>
      <c r="AT47" s="44"/>
      <c r="AU47" s="44"/>
      <c r="AV47" s="44"/>
      <c r="AW47" s="44"/>
      <c r="AX47" s="44"/>
      <c r="AY47" s="44"/>
      <c r="AZ47" s="44"/>
      <c r="BA47" s="44"/>
    </row>
    <row r="48" spans="1:53" ht="15.75" customHeight="1">
      <c r="A48" s="34">
        <v>46</v>
      </c>
      <c r="B48" s="35" t="s">
        <v>22</v>
      </c>
      <c r="C48" s="36" t="s">
        <v>119</v>
      </c>
      <c r="D48" s="34" t="s">
        <v>81</v>
      </c>
      <c r="E48" s="140">
        <f t="shared" si="7"/>
        <v>216.52</v>
      </c>
      <c r="F48" s="140">
        <f t="shared" si="8"/>
        <v>0</v>
      </c>
      <c r="G48" s="39">
        <f>SUMIFS('Giờ công'!I:I, 'Giờ công'!G:G, B48, 'Giờ công'!H:H, C48)</f>
        <v>216.52</v>
      </c>
      <c r="H48" s="39">
        <f>SUMIFS('Giờ công'!J:J, 'Giờ công'!G:G, B48, 'Giờ công'!H:H, C48)</f>
        <v>0</v>
      </c>
      <c r="I48" s="42" t="str">
        <f t="shared" si="9"/>
        <v/>
      </c>
      <c r="J48" s="193">
        <f t="shared" si="10"/>
        <v>9</v>
      </c>
      <c r="K48" s="42">
        <f>SUMIFS('Ngày công'!I:I, 'Ngày công'!A:A, B48, 'Ngày công'!B:B, C48)</f>
        <v>0</v>
      </c>
      <c r="L48" s="35"/>
      <c r="M48" s="35"/>
      <c r="N48" s="42">
        <f>SUMIFS('Tăng ca lễ'!M:M, 'Tăng ca lễ'!K:K, B48, 'Tăng ca lễ'!L:L, C48)</f>
        <v>0</v>
      </c>
      <c r="O48" s="35">
        <f>IF(OR(D48="PT", D48="DSHV"), SUMIFS('Tăng ca lễ'!O:O, 'Tăng ca lễ'!K:K, B48, 'Tăng ca lễ'!L:L, C48)*2, SUMIFS('Tăng ca lễ'!O:O, 'Tăng ca lễ'!K:K, B48, 'Tăng ca lễ'!L:L, C48)*3)</f>
        <v>0</v>
      </c>
      <c r="P48" s="35">
        <f>IF(OR(D48="PT", D48="DSHV"), SUMIFS('Tăng ca lễ'!P:P, 'Tăng ca lễ'!K:K, B48, 'Tăng ca lễ'!L:L, C48)*2, SUMIFS('Tăng ca lễ'!P:P, 'Tăng ca lễ'!K:K, B48, 'Tăng ca lễ'!L:L, C48)*3)</f>
        <v>0</v>
      </c>
      <c r="Q48" s="35"/>
      <c r="R48" s="42">
        <f>SUMIFS('Ngày công'!M:M, 'Ngày công'!K:K, B48, 'Ngày công'!L:L, C48)</f>
        <v>28</v>
      </c>
      <c r="S48" s="39">
        <f>SUMIFS('Công Đào tạo'!G:G, 'Công Đào tạo'!E:E, B48, 'Công Đào tạo'!F:F, C48)</f>
        <v>0</v>
      </c>
      <c r="T48" s="35">
        <v>0</v>
      </c>
      <c r="U48" s="41"/>
      <c r="V48" s="46">
        <f t="shared" si="11"/>
        <v>0</v>
      </c>
      <c r="W48" s="42"/>
      <c r="X48" s="42">
        <f t="shared" si="12"/>
        <v>0</v>
      </c>
      <c r="Y48" s="42"/>
      <c r="Z48" s="42"/>
      <c r="AA48" s="42">
        <f>IF(ROW()=MATCH(C48, $C$1:$C$72, 0), IFERROR(VLOOKUP(C48, 'MiniKat - HN'!$A:$L, 12, FALSE), 0) + IFERROR(VLOOKUP(C48, 'MiniKat - HCM'!$A:$J, 10, FALSE), 0), 0)</f>
        <v>0</v>
      </c>
      <c r="AB48" s="42">
        <f>IF(OR(TRIM(D48)="CHT", TRIM(D48)="Q.CHT"), SUMIFS('MiniKat - HN'!$Y:$Y, 'MiniKat - HN'!$N:$N, B48) + SUMIFS('MiniKat - HCM'!$U:$U, 'MiniKat - HCM'!$M:$M, B48), 0)</f>
        <v>0</v>
      </c>
      <c r="AC48" s="42">
        <f>IF(ROW()=MATCH(C48, $C$1:$C$72, 0), SUMIFS(whatsapp!$D:$D, whatsapp!$A:$A, C48), 0)</f>
        <v>0</v>
      </c>
      <c r="AD48" s="42">
        <f>SUMIFS('Dự án'!$C:$C, 'Dự án'!$A:$A, B48, 'Dự án'!$B:$B, C48)</f>
        <v>500000</v>
      </c>
      <c r="AE48" s="42">
        <f>SUMIFS(KPI!$C:$C, KPI!$A:$A, B48, KPI!$B:$B, C48)</f>
        <v>0</v>
      </c>
      <c r="AF48" s="43">
        <f>SUMIFS('Thưởng CK'!$C:$C, 'Thưởng CK'!$A:$A, B48, 'Thưởng CK'!$B:$B, C48)</f>
        <v>1875900</v>
      </c>
      <c r="AG48" s="42">
        <f>SUMIFS('Cận date'!$C:$C, 'Cận date'!$A:$A, B48, 'Cận date'!$B:$B, C48)</f>
        <v>24405</v>
      </c>
      <c r="AH48" s="42">
        <f>SUMIFS(Map!$D:$D, Map!$B:$B, B48, Map!$A:$A, C48)</f>
        <v>0</v>
      </c>
      <c r="AI48" s="42">
        <v>0</v>
      </c>
      <c r="AJ48" s="42">
        <f t="shared" si="13"/>
        <v>0</v>
      </c>
      <c r="AK48" s="42">
        <f>SUMIFS('KPI trừ'!$C:$C, 'KPI trừ'!$A:$A, B48, 'KPI trừ'!$B:$B, C48)</f>
        <v>0</v>
      </c>
      <c r="AL48" s="42">
        <f>SUMIFS('KPI trừ'!$D:$D, 'KPI trừ'!$A:$A, B48, 'KPI trừ'!$B:$B, C48)</f>
        <v>0</v>
      </c>
      <c r="AM48" s="42">
        <f>SUMIFS('KPI trừ'!$E:$E, 'KPI trừ'!$A:$A, B48, 'KPI trừ'!$B:$B, C48)</f>
        <v>0</v>
      </c>
      <c r="AN48" s="42">
        <f>SUMIFS('KPI trừ'!$F:$F, 'KPI trừ'!$A:$A, B48, 'KPI trừ'!$B:$B, C48)</f>
        <v>0</v>
      </c>
      <c r="AO48" s="42">
        <f>SUMIFS('KPI trừ'!$G:$G, 'KPI trừ'!$A:$A, B48, 'KPI trừ'!$B:$B, C48)</f>
        <v>0</v>
      </c>
      <c r="AP48" s="44" t="str">
        <f>IFERROR(INDEX('KPI trừ'!$H:$H, MATCH(1, ('KPI trừ'!$A:$A=B48)*('KPI trừ'!$B:$B=C48), 0)), "")</f>
        <v/>
      </c>
      <c r="AQ48" s="16"/>
      <c r="AR48" s="44"/>
      <c r="AS48" s="44"/>
      <c r="AT48" s="44"/>
      <c r="AU48" s="44"/>
      <c r="AV48" s="44"/>
      <c r="AW48" s="44"/>
      <c r="AX48" s="44"/>
      <c r="AY48" s="44"/>
      <c r="AZ48" s="44"/>
      <c r="BA48" s="44"/>
    </row>
    <row r="49" spans="1:53" ht="15.75" customHeight="1">
      <c r="A49" s="34">
        <v>47</v>
      </c>
      <c r="B49" s="35" t="s">
        <v>23</v>
      </c>
      <c r="C49" s="36" t="s">
        <v>109</v>
      </c>
      <c r="D49" s="34" t="s">
        <v>73</v>
      </c>
      <c r="E49" s="140">
        <f t="shared" si="7"/>
        <v>258.01</v>
      </c>
      <c r="F49" s="140">
        <f t="shared" si="8"/>
        <v>4.3099999999999996</v>
      </c>
      <c r="G49" s="39">
        <f>SUMIFS('Giờ công'!I:I, 'Giờ công'!G:G, B49, 'Giờ công'!H:H, C49)</f>
        <v>258.01</v>
      </c>
      <c r="H49" s="39">
        <f>SUMIFS('Giờ công'!J:J, 'Giờ công'!G:G, B49, 'Giờ công'!H:H, C49)</f>
        <v>4.3099999999999996</v>
      </c>
      <c r="I49" s="42" t="str">
        <f t="shared" si="9"/>
        <v/>
      </c>
      <c r="J49" s="193">
        <f t="shared" si="10"/>
        <v>10.8</v>
      </c>
      <c r="K49" s="42">
        <f>SUMIFS('Ngày công'!I:I, 'Ngày công'!A:A, B49, 'Ngày công'!B:B, C49)</f>
        <v>0</v>
      </c>
      <c r="L49" s="35"/>
      <c r="M49" s="35"/>
      <c r="N49" s="42">
        <f>SUMIFS('Tăng ca lễ'!M:M, 'Tăng ca lễ'!K:K, B49, 'Tăng ca lễ'!L:L, C49)</f>
        <v>0</v>
      </c>
      <c r="O49" s="35">
        <f>IF(OR(D49="PT", D49="DSHV"), SUMIFS('Tăng ca lễ'!O:O, 'Tăng ca lễ'!K:K, B49, 'Tăng ca lễ'!L:L, C49)*2, SUMIFS('Tăng ca lễ'!O:O, 'Tăng ca lễ'!K:K, B49, 'Tăng ca lễ'!L:L, C49)*3)</f>
        <v>0</v>
      </c>
      <c r="P49" s="35">
        <f>IF(OR(D49="PT", D49="DSHV"), SUMIFS('Tăng ca lễ'!P:P, 'Tăng ca lễ'!K:K, B49, 'Tăng ca lễ'!L:L, C49)*2, SUMIFS('Tăng ca lễ'!P:P, 'Tăng ca lễ'!K:K, B49, 'Tăng ca lễ'!L:L, C49)*3)</f>
        <v>0</v>
      </c>
      <c r="Q49" s="35"/>
      <c r="R49" s="42">
        <f>SUMIFS('Ngày công'!M:M, 'Ngày công'!K:K, B49, 'Ngày công'!L:L, C49)</f>
        <v>23</v>
      </c>
      <c r="S49" s="39">
        <f>SUMIFS('Công Đào tạo'!G:G, 'Công Đào tạo'!E:E, B49, 'Công Đào tạo'!F:F, C49)</f>
        <v>0</v>
      </c>
      <c r="T49" s="35">
        <v>0</v>
      </c>
      <c r="U49" s="41"/>
      <c r="V49" s="46">
        <f t="shared" si="11"/>
        <v>0</v>
      </c>
      <c r="W49" s="42"/>
      <c r="X49" s="42">
        <f t="shared" si="12"/>
        <v>0</v>
      </c>
      <c r="Y49" s="42"/>
      <c r="Z49" s="42"/>
      <c r="AA49" s="42">
        <f>IF(ROW()=MATCH(C49, $C$1:$C$72, 0), IFERROR(VLOOKUP(C49, 'MiniKat - HN'!$A:$L, 12, FALSE), 0) + IFERROR(VLOOKUP(C49, 'MiniKat - HCM'!$A:$J, 10, FALSE), 0), 0)</f>
        <v>0</v>
      </c>
      <c r="AB49" s="42">
        <f>IF(OR(TRIM(D49)="CHT", TRIM(D49)="Q.CHT"), SUMIFS('MiniKat - HN'!$Y:$Y, 'MiniKat - HN'!$N:$N, B49) + SUMIFS('MiniKat - HCM'!$U:$U, 'MiniKat - HCM'!$M:$M, B49), 0)</f>
        <v>150000</v>
      </c>
      <c r="AC49" s="42">
        <f>IF(ROW()=MATCH(C49, $C$1:$C$72, 0), SUMIFS(whatsapp!$D:$D, whatsapp!$A:$A, C49), 0)</f>
        <v>0</v>
      </c>
      <c r="AD49" s="42">
        <f>SUMIFS('Dự án'!$C:$C, 'Dự án'!$A:$A, B49, 'Dự án'!$B:$B, C49)</f>
        <v>0</v>
      </c>
      <c r="AE49" s="42">
        <f>SUMIFS(KPI!$C:$C, KPI!$A:$A, B49, KPI!$B:$B, C49)</f>
        <v>1686872</v>
      </c>
      <c r="AF49" s="43">
        <f>SUMIFS('Thưởng CK'!$C:$C, 'Thưởng CK'!$A:$A, B49, 'Thưởng CK'!$B:$B, C49)</f>
        <v>1776600</v>
      </c>
      <c r="AG49" s="42">
        <f>SUMIFS('Cận date'!$C:$C, 'Cận date'!$A:$A, B49, 'Cận date'!$B:$B, C49)</f>
        <v>0</v>
      </c>
      <c r="AH49" s="42">
        <f>SUMIFS(Map!$D:$D, Map!$B:$B, B49, Map!$A:$A, C49)</f>
        <v>0</v>
      </c>
      <c r="AI49" s="42">
        <v>0</v>
      </c>
      <c r="AJ49" s="42">
        <f t="shared" si="13"/>
        <v>0</v>
      </c>
      <c r="AK49" s="42">
        <f>SUMIFS('KPI trừ'!$C:$C, 'KPI trừ'!$A:$A, B49, 'KPI trừ'!$B:$B, C49)</f>
        <v>0</v>
      </c>
      <c r="AL49" s="42">
        <f>SUMIFS('KPI trừ'!$D:$D, 'KPI trừ'!$A:$A, B49, 'KPI trừ'!$B:$B, C49)</f>
        <v>0</v>
      </c>
      <c r="AM49" s="42">
        <f>SUMIFS('KPI trừ'!$E:$E, 'KPI trừ'!$A:$A, B49, 'KPI trừ'!$B:$B, C49)</f>
        <v>0</v>
      </c>
      <c r="AN49" s="42">
        <f>SUMIFS('KPI trừ'!$F:$F, 'KPI trừ'!$A:$A, B49, 'KPI trừ'!$B:$B, C49)</f>
        <v>0</v>
      </c>
      <c r="AO49" s="42">
        <f>SUMIFS('KPI trừ'!$G:$G, 'KPI trừ'!$A:$A, B49, 'KPI trừ'!$B:$B, C49)</f>
        <v>0</v>
      </c>
      <c r="AP49" s="44" t="str">
        <f>IFERROR(INDEX('KPI trừ'!$H:$H, MATCH(1, ('KPI trừ'!$A:$A=B49)*('KPI trừ'!$B:$B=C49), 0)), "")</f>
        <v/>
      </c>
      <c r="AQ49" s="16"/>
      <c r="AR49" s="44"/>
      <c r="AS49" s="44"/>
      <c r="AT49" s="44"/>
      <c r="AU49" s="44"/>
      <c r="AV49" s="44"/>
      <c r="AW49" s="44"/>
      <c r="AX49" s="44"/>
      <c r="AY49" s="44"/>
      <c r="AZ49" s="44"/>
      <c r="BA49" s="44"/>
    </row>
    <row r="50" spans="1:53" ht="15.75" customHeight="1">
      <c r="A50" s="34">
        <v>48</v>
      </c>
      <c r="B50" s="35" t="s">
        <v>23</v>
      </c>
      <c r="C50" s="36" t="s">
        <v>120</v>
      </c>
      <c r="D50" s="34" t="s">
        <v>79</v>
      </c>
      <c r="E50" s="140">
        <f t="shared" si="7"/>
        <v>8.960000000000008</v>
      </c>
      <c r="F50" s="140">
        <f t="shared" si="8"/>
        <v>206.47</v>
      </c>
      <c r="G50" s="39">
        <f>SUMIFS('Giờ công'!I:I, 'Giờ công'!G:G, B50, 'Giờ công'!H:H, C50)</f>
        <v>8.960000000000008</v>
      </c>
      <c r="H50" s="39">
        <f>SUMIFS('Giờ công'!J:J, 'Giờ công'!G:G, B50, 'Giờ công'!H:H, C50)</f>
        <v>206.47</v>
      </c>
      <c r="I50" s="42" t="str">
        <f t="shared" si="9"/>
        <v/>
      </c>
      <c r="J50" s="193">
        <f t="shared" si="10"/>
        <v>0.4</v>
      </c>
      <c r="K50" s="42">
        <f>SUMIFS('Ngày công'!I:I, 'Ngày công'!A:A, B50, 'Ngày công'!B:B, C50)</f>
        <v>26</v>
      </c>
      <c r="L50" s="35"/>
      <c r="M50" s="35"/>
      <c r="N50" s="42">
        <f>SUMIFS('Tăng ca lễ'!M:M, 'Tăng ca lễ'!K:K, B50, 'Tăng ca lễ'!L:L, C50)</f>
        <v>0</v>
      </c>
      <c r="O50" s="35">
        <f>IF(OR(D50="PT", D50="DSHV"), SUMIFS('Tăng ca lễ'!O:O, 'Tăng ca lễ'!K:K, B50, 'Tăng ca lễ'!L:L, C50)*2, SUMIFS('Tăng ca lễ'!O:O, 'Tăng ca lễ'!K:K, B50, 'Tăng ca lễ'!L:L, C50)*3)</f>
        <v>0</v>
      </c>
      <c r="P50" s="35">
        <f>IF(OR(D50="PT", D50="DSHV"), SUMIFS('Tăng ca lễ'!P:P, 'Tăng ca lễ'!K:K, B50, 'Tăng ca lễ'!L:L, C50)*2, SUMIFS('Tăng ca lễ'!P:P, 'Tăng ca lễ'!K:K, B50, 'Tăng ca lễ'!L:L, C50)*3)</f>
        <v>0</v>
      </c>
      <c r="Q50" s="35"/>
      <c r="R50" s="42">
        <f>SUMIFS('Ngày công'!M:M, 'Ngày công'!K:K, B50, 'Ngày công'!L:L, C50)</f>
        <v>26</v>
      </c>
      <c r="S50" s="39">
        <f>SUMIFS('Công Đào tạo'!G:G, 'Công Đào tạo'!E:E, B50, 'Công Đào tạo'!F:F, C50)</f>
        <v>0</v>
      </c>
      <c r="T50" s="35">
        <v>0</v>
      </c>
      <c r="U50" s="41"/>
      <c r="V50" s="46">
        <f t="shared" si="11"/>
        <v>0</v>
      </c>
      <c r="W50" s="42"/>
      <c r="X50" s="42">
        <f t="shared" si="12"/>
        <v>21429</v>
      </c>
      <c r="Y50" s="42"/>
      <c r="Z50" s="42"/>
      <c r="AA50" s="42">
        <f>IF(ROW()=MATCH(C50, $C$1:$C$72, 0), IFERROR(VLOOKUP(C50, 'MiniKat - HN'!$A:$L, 12, FALSE), 0) + IFERROR(VLOOKUP(C50, 'MiniKat - HCM'!$A:$J, 10, FALSE), 0), 0)</f>
        <v>0</v>
      </c>
      <c r="AB50" s="42">
        <f>IF(OR(TRIM(D50)="CHT", TRIM(D50)="Q.CHT"), SUMIFS('MiniKat - HN'!$Y:$Y, 'MiniKat - HN'!$N:$N, B50) + SUMIFS('MiniKat - HCM'!$U:$U, 'MiniKat - HCM'!$M:$M, B50), 0)</f>
        <v>0</v>
      </c>
      <c r="AC50" s="42">
        <f>IF(ROW()=MATCH(C50, $C$1:$C$72, 0), SUMIFS(whatsapp!$D:$D, whatsapp!$A:$A, C50), 0)</f>
        <v>0</v>
      </c>
      <c r="AD50" s="42">
        <f>SUMIFS('Dự án'!$C:$C, 'Dự án'!$A:$A, B50, 'Dự án'!$B:$B, C50)</f>
        <v>500000</v>
      </c>
      <c r="AE50" s="42">
        <f>SUMIFS(KPI!$C:$C, KPI!$A:$A, B50, KPI!$B:$B, C50)</f>
        <v>0</v>
      </c>
      <c r="AF50" s="43">
        <f>SUMIFS('Thưởng CK'!$C:$C, 'Thưởng CK'!$A:$A, B50, 'Thưởng CK'!$B:$B, C50)</f>
        <v>2191150</v>
      </c>
      <c r="AG50" s="42">
        <f>SUMIFS('Cận date'!$C:$C, 'Cận date'!$A:$A, B50, 'Cận date'!$B:$B, C50)</f>
        <v>9675</v>
      </c>
      <c r="AH50" s="42">
        <f>SUMIFS(Map!$D:$D, Map!$B:$B, B50, Map!$A:$A, C50)</f>
        <v>0</v>
      </c>
      <c r="AI50" s="42">
        <v>0</v>
      </c>
      <c r="AJ50" s="42">
        <f t="shared" si="13"/>
        <v>0</v>
      </c>
      <c r="AK50" s="42">
        <f>SUMIFS('KPI trừ'!$C:$C, 'KPI trừ'!$A:$A, B50, 'KPI trừ'!$B:$B, C50)</f>
        <v>0</v>
      </c>
      <c r="AL50" s="42">
        <f>SUMIFS('KPI trừ'!$D:$D, 'KPI trừ'!$A:$A, B50, 'KPI trừ'!$B:$B, C50)</f>
        <v>0</v>
      </c>
      <c r="AM50" s="42">
        <f>SUMIFS('KPI trừ'!$E:$E, 'KPI trừ'!$A:$A, B50, 'KPI trừ'!$B:$B, C50)</f>
        <v>0</v>
      </c>
      <c r="AN50" s="42">
        <f>SUMIFS('KPI trừ'!$F:$F, 'KPI trừ'!$A:$A, B50, 'KPI trừ'!$B:$B, C50)</f>
        <v>0</v>
      </c>
      <c r="AO50" s="42">
        <f>SUMIFS('KPI trừ'!$G:$G, 'KPI trừ'!$A:$A, B50, 'KPI trừ'!$B:$B, C50)</f>
        <v>0</v>
      </c>
      <c r="AP50" s="44" t="str">
        <f>IFERROR(INDEX('KPI trừ'!$H:$H, MATCH(1, ('KPI trừ'!$A:$A=B50)*('KPI trừ'!$B:$B=C50), 0)), "")</f>
        <v/>
      </c>
      <c r="AQ50" s="16"/>
      <c r="AR50" s="44"/>
      <c r="AS50" s="44"/>
      <c r="AT50" s="44"/>
      <c r="AU50" s="44"/>
      <c r="AV50" s="44"/>
      <c r="AW50" s="44"/>
      <c r="AX50" s="44"/>
      <c r="AY50" s="44"/>
      <c r="AZ50" s="44"/>
      <c r="BA50" s="44"/>
    </row>
    <row r="51" spans="1:53" ht="15.75" customHeight="1">
      <c r="A51" s="75">
        <v>49</v>
      </c>
      <c r="B51" s="35" t="s">
        <v>23</v>
      </c>
      <c r="C51" s="36" t="s">
        <v>121</v>
      </c>
      <c r="D51" s="34" t="s">
        <v>77</v>
      </c>
      <c r="E51" s="140">
        <f t="shared" si="7"/>
        <v>1.9000000000000057</v>
      </c>
      <c r="F51" s="140">
        <f t="shared" si="8"/>
        <v>202.37</v>
      </c>
      <c r="G51" s="141">
        <f>SUMIFS('Giờ công'!I:I, 'Giờ công'!G:G, B51, 'Giờ công'!H:H, C51)</f>
        <v>1.9000000000000057</v>
      </c>
      <c r="H51" s="141">
        <f>SUMIFS('Giờ công'!J:J, 'Giờ công'!G:G, B51, 'Giờ công'!H:H, C51)</f>
        <v>202.37</v>
      </c>
      <c r="I51" s="65" t="str">
        <f t="shared" si="9"/>
        <v/>
      </c>
      <c r="J51" s="195">
        <f t="shared" si="10"/>
        <v>0.1</v>
      </c>
      <c r="K51" s="65">
        <f>SUMIFS('Ngày công'!I:I, 'Ngày công'!A:A, B51, 'Ngày công'!B:B, C51)</f>
        <v>25</v>
      </c>
      <c r="L51" s="65"/>
      <c r="M51" s="65"/>
      <c r="N51" s="65">
        <f>SUMIFS('Tăng ca lễ'!M:M, 'Tăng ca lễ'!K:K, B51, 'Tăng ca lễ'!L:L, C51)</f>
        <v>0</v>
      </c>
      <c r="O51" s="65">
        <f>IF(OR(D51="PT", D51="DSHV"), SUMIFS('Tăng ca lễ'!O:O, 'Tăng ca lễ'!K:K, B51, 'Tăng ca lễ'!L:L, C51)*2, SUMIFS('Tăng ca lễ'!O:O, 'Tăng ca lễ'!K:K, B51, 'Tăng ca lễ'!L:L, C51)*3)</f>
        <v>0</v>
      </c>
      <c r="P51" s="65">
        <f>IF(OR(D51="PT", D51="DSHV"), SUMIFS('Tăng ca lễ'!P:P, 'Tăng ca lễ'!K:K, B51, 'Tăng ca lễ'!L:L, C51)*2, SUMIFS('Tăng ca lễ'!P:P, 'Tăng ca lễ'!K:K, B51, 'Tăng ca lễ'!L:L, C51)*3)</f>
        <v>0</v>
      </c>
      <c r="Q51" s="65"/>
      <c r="R51" s="65">
        <f>SUMIFS('Ngày công'!M:M, 'Ngày công'!K:K, B51, 'Ngày công'!L:L, C51)</f>
        <v>25</v>
      </c>
      <c r="S51" s="65">
        <f>SUMIFS('Công Đào tạo'!G:G, 'Công Đào tạo'!E:E, B51, 'Công Đào tạo'!F:F, C51)</f>
        <v>0</v>
      </c>
      <c r="T51" s="65">
        <v>0</v>
      </c>
      <c r="U51" s="65"/>
      <c r="V51" s="65">
        <f t="shared" si="11"/>
        <v>0</v>
      </c>
      <c r="W51" s="65"/>
      <c r="X51" s="65">
        <f t="shared" si="12"/>
        <v>0</v>
      </c>
      <c r="Y51" s="65"/>
      <c r="Z51" s="65"/>
      <c r="AA51" s="65">
        <f>IF(ROW()=MATCH(C51, $C$1:$C$72, 0), IFERROR(VLOOKUP(C51, 'MiniKat - HN'!$A:$L, 12, FALSE), 0) + IFERROR(VLOOKUP(C51, 'MiniKat - HCM'!$A:$J, 10, FALSE), 0), 0)</f>
        <v>0</v>
      </c>
      <c r="AB51" s="65">
        <f>IF(OR(TRIM(D51)="CHT", TRIM(D51)="Q.CHT"), SUMIFS('MiniKat - HN'!$Y:$Y, 'MiniKat - HN'!$N:$N, B51) + SUMIFS('MiniKat - HCM'!$U:$U, 'MiniKat - HCM'!$M:$M, B51), 0)</f>
        <v>0</v>
      </c>
      <c r="AC51" s="65">
        <f>IF(ROW()=MATCH(C51, $C$1:$C$72, 0), SUMIFS(whatsapp!$D:$D, whatsapp!$A:$A, C51), 0)</f>
        <v>0</v>
      </c>
      <c r="AD51" s="65">
        <f>SUMIFS('Dự án'!$C:$C, 'Dự án'!$A:$A, B51, 'Dự án'!$B:$B, C51)</f>
        <v>0</v>
      </c>
      <c r="AE51" s="65">
        <f>SUMIFS(KPI!$C:$C, KPI!$A:$A, B51, KPI!$B:$B, C51)</f>
        <v>0</v>
      </c>
      <c r="AF51" s="65">
        <f>SUMIFS('Thưởng CK'!$C:$C, 'Thưởng CK'!$A:$A, B51, 'Thưởng CK'!$B:$B, C51)</f>
        <v>123570</v>
      </c>
      <c r="AG51" s="65">
        <f>SUMIFS('Cận date'!$C:$C, 'Cận date'!$A:$A, B51, 'Cận date'!$B:$B, C51)</f>
        <v>0</v>
      </c>
      <c r="AH51" s="65">
        <f>SUMIFS(Map!$D:$D, Map!$B:$B, B51, Map!$A:$A, C51)</f>
        <v>0</v>
      </c>
      <c r="AI51" s="65">
        <v>0</v>
      </c>
      <c r="AJ51" s="65">
        <f t="shared" si="13"/>
        <v>0</v>
      </c>
      <c r="AK51" s="65">
        <f>SUMIFS('KPI trừ'!$C:$C, 'KPI trừ'!$A:$A, B51, 'KPI trừ'!$B:$B, C51)</f>
        <v>0</v>
      </c>
      <c r="AL51" s="65">
        <f>SUMIFS('KPI trừ'!$D:$D, 'KPI trừ'!$A:$A, B51, 'KPI trừ'!$B:$B, C51)</f>
        <v>0</v>
      </c>
      <c r="AM51" s="65">
        <f>SUMIFS('KPI trừ'!$E:$E, 'KPI trừ'!$A:$A, B51, 'KPI trừ'!$B:$B, C51)</f>
        <v>0</v>
      </c>
      <c r="AN51" s="65">
        <f>SUMIFS('KPI trừ'!$F:$F, 'KPI trừ'!$A:$A, B51, 'KPI trừ'!$B:$B, C51)</f>
        <v>0</v>
      </c>
      <c r="AO51" s="65">
        <f>SUMIFS('KPI trừ'!$G:$G, 'KPI trừ'!$A:$A, B51, 'KPI trừ'!$B:$B, C51)</f>
        <v>0</v>
      </c>
      <c r="AP51" s="44" t="str">
        <f>IFERROR(INDEX('KPI trừ'!$H:$H, MATCH(1, ('KPI trừ'!$A:$A=B51)*('KPI trừ'!$B:$B=C51), 0)), "")</f>
        <v/>
      </c>
      <c r="AQ51" s="16"/>
      <c r="AR51" s="44"/>
      <c r="AS51" s="44"/>
      <c r="AT51" s="44"/>
      <c r="AU51" s="44"/>
      <c r="AV51" s="44"/>
      <c r="AW51" s="44"/>
      <c r="AX51" s="44"/>
      <c r="AY51" s="44"/>
      <c r="AZ51" s="44"/>
      <c r="BA51" s="44"/>
    </row>
    <row r="52" spans="1:53" ht="15.75" customHeight="1">
      <c r="A52" s="34">
        <v>50</v>
      </c>
      <c r="B52" s="35" t="s">
        <v>23</v>
      </c>
      <c r="C52" s="36" t="s">
        <v>107</v>
      </c>
      <c r="D52" s="34" t="s">
        <v>99</v>
      </c>
      <c r="E52" s="140">
        <f t="shared" si="7"/>
        <v>169.60999999999996</v>
      </c>
      <c r="F52" s="140">
        <f t="shared" si="8"/>
        <v>56.179999999999993</v>
      </c>
      <c r="G52" s="39">
        <f>SUMIFS('Giờ công'!I:I, 'Giờ công'!G:G, B52, 'Giờ công'!H:H, C52)</f>
        <v>169.60999999999996</v>
      </c>
      <c r="H52" s="39">
        <f>SUMIFS('Giờ công'!J:J, 'Giờ công'!G:G, B52, 'Giờ công'!H:H, C52)</f>
        <v>56.179999999999993</v>
      </c>
      <c r="I52" s="42" t="str">
        <f t="shared" si="9"/>
        <v/>
      </c>
      <c r="J52" s="193">
        <f t="shared" si="10"/>
        <v>7.1</v>
      </c>
      <c r="K52" s="42">
        <f>SUMIFS('Ngày công'!I:I, 'Ngày công'!A:A, B52, 'Ngày công'!B:B, C52)</f>
        <v>7</v>
      </c>
      <c r="L52" s="35"/>
      <c r="M52" s="35"/>
      <c r="N52" s="42">
        <f>SUMIFS('Tăng ca lễ'!M:M, 'Tăng ca lễ'!K:K, B52, 'Tăng ca lễ'!L:L, C52)</f>
        <v>0</v>
      </c>
      <c r="O52" s="35">
        <f>IF(OR(D52="PT", D52="DSHV"), SUMIFS('Tăng ca lễ'!O:O, 'Tăng ca lễ'!K:K, B52, 'Tăng ca lễ'!L:L, C52)*2, SUMIFS('Tăng ca lễ'!O:O, 'Tăng ca lễ'!K:K, B52, 'Tăng ca lễ'!L:L, C52)*3)</f>
        <v>0</v>
      </c>
      <c r="P52" s="35">
        <f>IF(OR(D52="PT", D52="DSHV"), SUMIFS('Tăng ca lễ'!P:P, 'Tăng ca lễ'!K:K, B52, 'Tăng ca lễ'!L:L, C52)*2, SUMIFS('Tăng ca lễ'!P:P, 'Tăng ca lễ'!K:K, B52, 'Tăng ca lễ'!L:L, C52)*3)</f>
        <v>0</v>
      </c>
      <c r="Q52" s="35"/>
      <c r="R52" s="42">
        <f>SUMIFS('Ngày công'!M:M, 'Ngày công'!K:K, B52, 'Ngày công'!L:L, C52)</f>
        <v>27</v>
      </c>
      <c r="S52" s="39">
        <f>SUMIFS('Công Đào tạo'!G:G, 'Công Đào tạo'!E:E, B52, 'Công Đào tạo'!F:F, C52)</f>
        <v>0</v>
      </c>
      <c r="T52" s="35">
        <v>0</v>
      </c>
      <c r="U52" s="41"/>
      <c r="V52" s="46">
        <f t="shared" si="11"/>
        <v>0</v>
      </c>
      <c r="W52" s="42"/>
      <c r="X52" s="42">
        <f t="shared" si="12"/>
        <v>0</v>
      </c>
      <c r="Y52" s="42"/>
      <c r="Z52" s="42"/>
      <c r="AA52" s="42">
        <f>IF(ROW()=MATCH(C52, $C$1:$C$72, 0), IFERROR(VLOOKUP(C52, 'MiniKat - HN'!$A:$L, 12, FALSE), 0) + IFERROR(VLOOKUP(C52, 'MiniKat - HCM'!$A:$J, 10, FALSE), 0), 0)</f>
        <v>0</v>
      </c>
      <c r="AB52" s="42">
        <f>IF(OR(TRIM(D52)="CHT", TRIM(D52)="Q.CHT"), SUMIFS('MiniKat - HN'!$Y:$Y, 'MiniKat - HN'!$N:$N, B52) + SUMIFS('MiniKat - HCM'!$U:$U, 'MiniKat - HCM'!$M:$M, B52), 0)</f>
        <v>0</v>
      </c>
      <c r="AC52" s="42">
        <f>IF(ROW()=MATCH(C52, $C$1:$C$72, 0), SUMIFS(whatsapp!$D:$D, whatsapp!$A:$A, C52), 0)</f>
        <v>0</v>
      </c>
      <c r="AD52" s="42">
        <f>SUMIFS('Dự án'!$C:$C, 'Dự án'!$A:$A, B52, 'Dự án'!$B:$B, C52)</f>
        <v>0</v>
      </c>
      <c r="AE52" s="42">
        <f>SUMIFS(KPI!$C:$C, KPI!$A:$A, B52, KPI!$B:$B, C52)</f>
        <v>0</v>
      </c>
      <c r="AF52" s="43">
        <f>SUMIFS('Thưởng CK'!$C:$C, 'Thưởng CK'!$A:$A, B52, 'Thưởng CK'!$B:$B, C52)</f>
        <v>1590500</v>
      </c>
      <c r="AG52" s="42">
        <f>SUMIFS('Cận date'!$C:$C, 'Cận date'!$A:$A, B52, 'Cận date'!$B:$B, C52)</f>
        <v>0</v>
      </c>
      <c r="AH52" s="42">
        <f>SUMIFS(Map!$D:$D, Map!$B:$B, B52, Map!$A:$A, C52)</f>
        <v>0</v>
      </c>
      <c r="AI52" s="42">
        <v>0</v>
      </c>
      <c r="AJ52" s="42">
        <f t="shared" si="13"/>
        <v>0</v>
      </c>
      <c r="AK52" s="42">
        <f>SUMIFS('KPI trừ'!$C:$C, 'KPI trừ'!$A:$A, B52, 'KPI trừ'!$B:$B, C52)</f>
        <v>0</v>
      </c>
      <c r="AL52" s="42">
        <f>SUMIFS('KPI trừ'!$D:$D, 'KPI trừ'!$A:$A, B52, 'KPI trừ'!$B:$B, C52)</f>
        <v>0</v>
      </c>
      <c r="AM52" s="42">
        <f>SUMIFS('KPI trừ'!$E:$E, 'KPI trừ'!$A:$A, B52, 'KPI trừ'!$B:$B, C52)</f>
        <v>0</v>
      </c>
      <c r="AN52" s="42">
        <f>SUMIFS('KPI trừ'!$F:$F, 'KPI trừ'!$A:$A, B52, 'KPI trừ'!$B:$B, C52)</f>
        <v>0</v>
      </c>
      <c r="AO52" s="42">
        <f>SUMIFS('KPI trừ'!$G:$G, 'KPI trừ'!$A:$A, B52, 'KPI trừ'!$B:$B, C52)</f>
        <v>0</v>
      </c>
      <c r="AP52" s="44" t="str">
        <f>IFERROR(INDEX('KPI trừ'!$H:$H, MATCH(1, ('KPI trừ'!$A:$A=B52)*('KPI trừ'!$B:$B=C52), 0)), "")</f>
        <v/>
      </c>
      <c r="AQ52" s="16"/>
      <c r="AR52" s="44"/>
      <c r="AS52" s="44"/>
      <c r="AT52" s="44"/>
      <c r="AU52" s="44"/>
      <c r="AV52" s="44"/>
      <c r="AW52" s="44"/>
      <c r="AX52" s="44"/>
      <c r="AY52" s="44"/>
      <c r="AZ52" s="44"/>
      <c r="BA52" s="44"/>
    </row>
    <row r="53" spans="1:53" ht="15.75" customHeight="1">
      <c r="A53" s="34">
        <v>51</v>
      </c>
      <c r="B53" s="35" t="s">
        <v>23</v>
      </c>
      <c r="C53" s="36" t="s">
        <v>92</v>
      </c>
      <c r="D53" s="34" t="s">
        <v>81</v>
      </c>
      <c r="E53" s="140">
        <f t="shared" si="7"/>
        <v>32.700000000000003</v>
      </c>
      <c r="F53" s="140">
        <f t="shared" si="8"/>
        <v>0</v>
      </c>
      <c r="G53" s="39">
        <f>SUMIFS('Giờ công'!I:I, 'Giờ công'!G:G, B53, 'Giờ công'!H:H, C53)</f>
        <v>32.700000000000003</v>
      </c>
      <c r="H53" s="39">
        <f>SUMIFS('Giờ công'!J:J, 'Giờ công'!G:G, B53, 'Giờ công'!H:H, C53)</f>
        <v>0</v>
      </c>
      <c r="I53" s="42" t="str">
        <f t="shared" si="9"/>
        <v/>
      </c>
      <c r="J53" s="193">
        <f t="shared" si="10"/>
        <v>1.4</v>
      </c>
      <c r="K53" s="42">
        <f>SUMIFS('Ngày công'!I:I, 'Ngày công'!A:A, B53, 'Ngày công'!B:B, C53)</f>
        <v>0</v>
      </c>
      <c r="L53" s="35"/>
      <c r="M53" s="35"/>
      <c r="N53" s="42">
        <f>SUMIFS('Tăng ca lễ'!M:M, 'Tăng ca lễ'!K:K, B53, 'Tăng ca lễ'!L:L, C53)</f>
        <v>0</v>
      </c>
      <c r="O53" s="35">
        <f>IF(OR(D53="PT", D53="DSHV"), SUMIFS('Tăng ca lễ'!O:O, 'Tăng ca lễ'!K:K, B53, 'Tăng ca lễ'!L:L, C53)*2, SUMIFS('Tăng ca lễ'!O:O, 'Tăng ca lễ'!K:K, B53, 'Tăng ca lễ'!L:L, C53)*3)</f>
        <v>0</v>
      </c>
      <c r="P53" s="35">
        <f>IF(OR(D53="PT", D53="DSHV"), SUMIFS('Tăng ca lễ'!P:P, 'Tăng ca lễ'!K:K, B53, 'Tăng ca lễ'!L:L, C53)*2, SUMIFS('Tăng ca lễ'!P:P, 'Tăng ca lễ'!K:K, B53, 'Tăng ca lễ'!L:L, C53)*3)</f>
        <v>0</v>
      </c>
      <c r="Q53" s="35"/>
      <c r="R53" s="42">
        <f>SUMIFS('Ngày công'!M:M, 'Ngày công'!K:K, B53, 'Ngày công'!L:L, C53)</f>
        <v>4</v>
      </c>
      <c r="S53" s="39">
        <f>SUMIFS('Công Đào tạo'!G:G, 'Công Đào tạo'!E:E, B53, 'Công Đào tạo'!F:F, C53)</f>
        <v>0</v>
      </c>
      <c r="T53" s="35">
        <v>0</v>
      </c>
      <c r="U53" s="41"/>
      <c r="V53" s="46">
        <f t="shared" si="11"/>
        <v>0</v>
      </c>
      <c r="W53" s="42"/>
      <c r="X53" s="42">
        <f t="shared" si="12"/>
        <v>0</v>
      </c>
      <c r="Y53" s="42"/>
      <c r="Z53" s="42"/>
      <c r="AA53" s="42">
        <f>IF(ROW()=MATCH(C53, $C$1:$C$72, 0), IFERROR(VLOOKUP(C53, 'MiniKat - HN'!$A:$L, 12, FALSE), 0) + IFERROR(VLOOKUP(C53, 'MiniKat - HCM'!$A:$J, 10, FALSE), 0), 0)</f>
        <v>0</v>
      </c>
      <c r="AB53" s="42">
        <f>IF(OR(TRIM(D53)="CHT", TRIM(D53)="Q.CHT"), SUMIFS('MiniKat - HN'!$Y:$Y, 'MiniKat - HN'!$N:$N, B53) + SUMIFS('MiniKat - HCM'!$U:$U, 'MiniKat - HCM'!$M:$M, B53), 0)</f>
        <v>0</v>
      </c>
      <c r="AC53" s="42">
        <f>IF(ROW()=MATCH(C53, $C$1:$C$72, 0), SUMIFS(whatsapp!$D:$D, whatsapp!$A:$A, C53), 0)</f>
        <v>0</v>
      </c>
      <c r="AD53" s="42">
        <f>SUMIFS('Dự án'!$C:$C, 'Dự án'!$A:$A, B53, 'Dự án'!$B:$B, C53)</f>
        <v>0</v>
      </c>
      <c r="AE53" s="42">
        <f>SUMIFS(KPI!$C:$C, KPI!$A:$A, B53, KPI!$B:$B, C53)</f>
        <v>0</v>
      </c>
      <c r="AF53" s="43">
        <f>SUMIFS('Thưởng CK'!$C:$C, 'Thưởng CK'!$A:$A, B53, 'Thưởng CK'!$B:$B, C53)</f>
        <v>0</v>
      </c>
      <c r="AG53" s="42">
        <f>SUMIFS('Cận date'!$C:$C, 'Cận date'!$A:$A, B53, 'Cận date'!$B:$B, C53)</f>
        <v>15362</v>
      </c>
      <c r="AH53" s="42">
        <f>SUMIFS(Map!$D:$D, Map!$B:$B, B53, Map!$A:$A, C53)</f>
        <v>0</v>
      </c>
      <c r="AI53" s="42">
        <v>0</v>
      </c>
      <c r="AJ53" s="42">
        <f t="shared" si="13"/>
        <v>0</v>
      </c>
      <c r="AK53" s="42">
        <f>SUMIFS('KPI trừ'!$C:$C, 'KPI trừ'!$A:$A, B53, 'KPI trừ'!$B:$B, C53)</f>
        <v>0</v>
      </c>
      <c r="AL53" s="42">
        <f>SUMIFS('KPI trừ'!$D:$D, 'KPI trừ'!$A:$A, B53, 'KPI trừ'!$B:$B, C53)</f>
        <v>0</v>
      </c>
      <c r="AM53" s="42">
        <f>SUMIFS('KPI trừ'!$E:$E, 'KPI trừ'!$A:$A, B53, 'KPI trừ'!$B:$B, C53)</f>
        <v>0</v>
      </c>
      <c r="AN53" s="42">
        <f>SUMIFS('KPI trừ'!$F:$F, 'KPI trừ'!$A:$A, B53, 'KPI trừ'!$B:$B, C53)</f>
        <v>0</v>
      </c>
      <c r="AO53" s="42">
        <f>SUMIFS('KPI trừ'!$G:$G, 'KPI trừ'!$A:$A, B53, 'KPI trừ'!$B:$B, C53)</f>
        <v>0</v>
      </c>
      <c r="AP53" s="44" t="str">
        <f>IFERROR(INDEX('KPI trừ'!$H:$H, MATCH(1, ('KPI trừ'!$A:$A=B53)*('KPI trừ'!$B:$B=C53), 0)), "")</f>
        <v/>
      </c>
      <c r="AQ53" s="16"/>
      <c r="AR53" s="44"/>
      <c r="AS53" s="44"/>
      <c r="AT53" s="44"/>
      <c r="AU53" s="44"/>
      <c r="AV53" s="44"/>
      <c r="AW53" s="44"/>
      <c r="AX53" s="44"/>
      <c r="AY53" s="44"/>
      <c r="AZ53" s="44"/>
      <c r="BA53" s="44"/>
    </row>
    <row r="54" spans="1:53" ht="15.75" customHeight="1">
      <c r="A54" s="34">
        <v>52</v>
      </c>
      <c r="B54" s="35" t="s">
        <v>23</v>
      </c>
      <c r="C54" s="36" t="s">
        <v>122</v>
      </c>
      <c r="D54" s="34" t="s">
        <v>81</v>
      </c>
      <c r="E54" s="140">
        <f t="shared" si="7"/>
        <v>251.72</v>
      </c>
      <c r="F54" s="140">
        <f t="shared" si="8"/>
        <v>10.23</v>
      </c>
      <c r="G54" s="39">
        <f>SUMIFS('Giờ công'!I:I, 'Giờ công'!G:G, B54, 'Giờ công'!H:H, C54)</f>
        <v>251.72</v>
      </c>
      <c r="H54" s="39">
        <f>SUMIFS('Giờ công'!J:J, 'Giờ công'!G:G, B54, 'Giờ công'!H:H, C54)</f>
        <v>10.23</v>
      </c>
      <c r="I54" s="42" t="str">
        <f t="shared" si="9"/>
        <v/>
      </c>
      <c r="J54" s="193">
        <f t="shared" si="10"/>
        <v>10.5</v>
      </c>
      <c r="K54" s="42">
        <f>SUMIFS('Ngày công'!I:I, 'Ngày công'!A:A, B54, 'Ngày công'!B:B, C54)</f>
        <v>1</v>
      </c>
      <c r="L54" s="35"/>
      <c r="M54" s="35"/>
      <c r="N54" s="42">
        <f>SUMIFS('Tăng ca lễ'!M:M, 'Tăng ca lễ'!K:K, B54, 'Tăng ca lễ'!L:L, C54)</f>
        <v>0</v>
      </c>
      <c r="O54" s="35">
        <f>IF(OR(D54="PT", D54="DSHV"), SUMIFS('Tăng ca lễ'!O:O, 'Tăng ca lễ'!K:K, B54, 'Tăng ca lễ'!L:L, C54)*2, SUMIFS('Tăng ca lễ'!O:O, 'Tăng ca lễ'!K:K, B54, 'Tăng ca lễ'!L:L, C54)*3)</f>
        <v>0</v>
      </c>
      <c r="P54" s="35">
        <f>IF(OR(D54="PT", D54="DSHV"), SUMIFS('Tăng ca lễ'!P:P, 'Tăng ca lễ'!K:K, B54, 'Tăng ca lễ'!L:L, C54)*2, SUMIFS('Tăng ca lễ'!P:P, 'Tăng ca lễ'!K:K, B54, 'Tăng ca lễ'!L:L, C54)*3)</f>
        <v>0</v>
      </c>
      <c r="Q54" s="35"/>
      <c r="R54" s="42">
        <f>SUMIFS('Ngày công'!M:M, 'Ngày công'!K:K, B54, 'Ngày công'!L:L, C54)</f>
        <v>27</v>
      </c>
      <c r="S54" s="39">
        <f>SUMIFS('Công Đào tạo'!G:G, 'Công Đào tạo'!E:E, B54, 'Công Đào tạo'!F:F, C54)</f>
        <v>0</v>
      </c>
      <c r="T54" s="35">
        <v>0</v>
      </c>
      <c r="U54" s="41"/>
      <c r="V54" s="46">
        <f t="shared" si="11"/>
        <v>0</v>
      </c>
      <c r="W54" s="42"/>
      <c r="X54" s="42">
        <f t="shared" si="12"/>
        <v>0</v>
      </c>
      <c r="Y54" s="42"/>
      <c r="Z54" s="42"/>
      <c r="AA54" s="42">
        <f>IF(ROW()=MATCH(C54, $C$1:$C$72, 0), IFERROR(VLOOKUP(C54, 'MiniKat - HN'!$A:$L, 12, FALSE), 0) + IFERROR(VLOOKUP(C54, 'MiniKat - HCM'!$A:$J, 10, FALSE), 0), 0)</f>
        <v>0</v>
      </c>
      <c r="AB54" s="42">
        <f>IF(OR(TRIM(D54)="CHT", TRIM(D54)="Q.CHT"), SUMIFS('MiniKat - HN'!$Y:$Y, 'MiniKat - HN'!$N:$N, B54) + SUMIFS('MiniKat - HCM'!$U:$U, 'MiniKat - HCM'!$M:$M, B54), 0)</f>
        <v>0</v>
      </c>
      <c r="AC54" s="42">
        <f>IF(ROW()=MATCH(C54, $C$1:$C$72, 0), SUMIFS(whatsapp!$D:$D, whatsapp!$A:$A, C54), 0)</f>
        <v>0</v>
      </c>
      <c r="AD54" s="42">
        <f>SUMIFS('Dự án'!$C:$C, 'Dự án'!$A:$A, B54, 'Dự án'!$B:$B, C54)</f>
        <v>0</v>
      </c>
      <c r="AE54" s="42">
        <f>SUMIFS(KPI!$C:$C, KPI!$A:$A, B54, KPI!$B:$B, C54)</f>
        <v>1284424</v>
      </c>
      <c r="AF54" s="43">
        <f>SUMIFS('Thưởng CK'!$C:$C, 'Thưởng CK'!$A:$A, B54, 'Thưởng CK'!$B:$B, C54)</f>
        <v>1392300</v>
      </c>
      <c r="AG54" s="42">
        <f>SUMIFS('Cận date'!$C:$C, 'Cận date'!$A:$A, B54, 'Cận date'!$B:$B, C54)</f>
        <v>223268</v>
      </c>
      <c r="AH54" s="42">
        <f>SUMIFS(Map!$D:$D, Map!$B:$B, B54, Map!$A:$A, C54)</f>
        <v>0</v>
      </c>
      <c r="AI54" s="42">
        <v>0</v>
      </c>
      <c r="AJ54" s="42">
        <f t="shared" si="13"/>
        <v>0</v>
      </c>
      <c r="AK54" s="42">
        <f>SUMIFS('KPI trừ'!$C:$C, 'KPI trừ'!$A:$A, B54, 'KPI trừ'!$B:$B, C54)</f>
        <v>0</v>
      </c>
      <c r="AL54" s="42">
        <f>SUMIFS('KPI trừ'!$D:$D, 'KPI trừ'!$A:$A, B54, 'KPI trừ'!$B:$B, C54)</f>
        <v>0</v>
      </c>
      <c r="AM54" s="42">
        <f>SUMIFS('KPI trừ'!$E:$E, 'KPI trừ'!$A:$A, B54, 'KPI trừ'!$B:$B, C54)</f>
        <v>0</v>
      </c>
      <c r="AN54" s="42">
        <f>SUMIFS('KPI trừ'!$F:$F, 'KPI trừ'!$A:$A, B54, 'KPI trừ'!$B:$B, C54)</f>
        <v>0</v>
      </c>
      <c r="AO54" s="42">
        <f>SUMIFS('KPI trừ'!$G:$G, 'KPI trừ'!$A:$A, B54, 'KPI trừ'!$B:$B, C54)</f>
        <v>0</v>
      </c>
      <c r="AP54" s="44" t="str">
        <f>IFERROR(INDEX('KPI trừ'!$H:$H, MATCH(1, ('KPI trừ'!$A:$A=B54)*('KPI trừ'!$B:$B=C54), 0)), "")</f>
        <v/>
      </c>
      <c r="AQ54" s="16"/>
      <c r="AR54" s="44"/>
      <c r="AS54" s="44"/>
      <c r="AT54" s="44"/>
      <c r="AU54" s="44"/>
      <c r="AV54" s="44"/>
      <c r="AW54" s="44"/>
      <c r="AX54" s="44"/>
      <c r="AY54" s="44"/>
      <c r="AZ54" s="44"/>
      <c r="BA54" s="44"/>
    </row>
    <row r="55" spans="1:53" ht="15.75" customHeight="1">
      <c r="A55" s="34">
        <v>53</v>
      </c>
      <c r="B55" s="35" t="s">
        <v>24</v>
      </c>
      <c r="C55" s="36" t="s">
        <v>72</v>
      </c>
      <c r="D55" s="34" t="s">
        <v>73</v>
      </c>
      <c r="E55" s="140">
        <f t="shared" si="7"/>
        <v>272.06</v>
      </c>
      <c r="F55" s="140">
        <f t="shared" si="8"/>
        <v>6.88</v>
      </c>
      <c r="G55" s="39">
        <f>SUMIFS('Giờ công'!I:I, 'Giờ công'!G:G, B55, 'Giờ công'!H:H, C55)</f>
        <v>272.06</v>
      </c>
      <c r="H55" s="39">
        <f>SUMIFS('Giờ công'!J:J, 'Giờ công'!G:G, B55, 'Giờ công'!H:H, C55)</f>
        <v>6.88</v>
      </c>
      <c r="I55" s="42" t="str">
        <f t="shared" si="9"/>
        <v/>
      </c>
      <c r="J55" s="193">
        <f t="shared" si="10"/>
        <v>11.3</v>
      </c>
      <c r="K55" s="42">
        <f>SUMIFS('Ngày công'!I:I, 'Ngày công'!A:A, B55, 'Ngày công'!B:B, C55)</f>
        <v>1</v>
      </c>
      <c r="L55" s="35"/>
      <c r="M55" s="35"/>
      <c r="N55" s="42">
        <f>SUMIFS('Tăng ca lễ'!M:M, 'Tăng ca lễ'!K:K, B55, 'Tăng ca lễ'!L:L, C55)</f>
        <v>0</v>
      </c>
      <c r="O55" s="35">
        <f>IF(OR(D55="PT", D55="DSHV"), SUMIFS('Tăng ca lễ'!O:O, 'Tăng ca lễ'!K:K, B55, 'Tăng ca lễ'!L:L, C55)*2, SUMIFS('Tăng ca lễ'!O:O, 'Tăng ca lễ'!K:K, B55, 'Tăng ca lễ'!L:L, C55)*3)</f>
        <v>0</v>
      </c>
      <c r="P55" s="35">
        <f>IF(OR(D55="PT", D55="DSHV"), SUMIFS('Tăng ca lễ'!P:P, 'Tăng ca lễ'!K:K, B55, 'Tăng ca lễ'!L:L, C55)*2, SUMIFS('Tăng ca lễ'!P:P, 'Tăng ca lễ'!K:K, B55, 'Tăng ca lễ'!L:L, C55)*3)</f>
        <v>0</v>
      </c>
      <c r="Q55" s="35"/>
      <c r="R55" s="42">
        <f>SUMIFS('Ngày công'!M:M, 'Ngày công'!K:K, B55, 'Ngày công'!L:L, C55)</f>
        <v>28</v>
      </c>
      <c r="S55" s="39">
        <f>SUMIFS('Công Đào tạo'!G:G, 'Công Đào tạo'!E:E, B55, 'Công Đào tạo'!F:F, C55)</f>
        <v>0</v>
      </c>
      <c r="T55" s="35">
        <v>0</v>
      </c>
      <c r="U55" s="41"/>
      <c r="V55" s="42">
        <f t="shared" si="11"/>
        <v>0</v>
      </c>
      <c r="W55" s="42"/>
      <c r="X55" s="42">
        <f t="shared" si="12"/>
        <v>0</v>
      </c>
      <c r="Y55" s="42"/>
      <c r="Z55" s="42"/>
      <c r="AA55" s="42">
        <f>IF(ROW()=MATCH(C55, $C$1:$C$72, 0), IFERROR(VLOOKUP(C55, 'MiniKat - HN'!$A:$L, 12, FALSE), 0) + IFERROR(VLOOKUP(C55, 'MiniKat - HCM'!$A:$J, 10, FALSE), 0), 0)</f>
        <v>0</v>
      </c>
      <c r="AB55" s="42">
        <f>IF(OR(TRIM(D55)="CHT", TRIM(D55)="Q.CHT"), SUMIFS('MiniKat - HN'!$Y:$Y, 'MiniKat - HN'!$N:$N, B55) + SUMIFS('MiniKat - HCM'!$U:$U, 'MiniKat - HCM'!$M:$M, B55), 0)</f>
        <v>0</v>
      </c>
      <c r="AC55" s="42">
        <f>IF(ROW()=MATCH(C55, $C$1:$C$72, 0), SUMIFS(whatsapp!$D:$D, whatsapp!$A:$A, C55), 0)</f>
        <v>0</v>
      </c>
      <c r="AD55" s="42">
        <f>SUMIFS('Dự án'!$C:$C, 'Dự án'!$A:$A, B55, 'Dự án'!$B:$B, C55)</f>
        <v>0</v>
      </c>
      <c r="AE55" s="42">
        <f>SUMIFS(KPI!$C:$C, KPI!$A:$A, B55, KPI!$B:$B, C55)</f>
        <v>0</v>
      </c>
      <c r="AF55" s="43">
        <f>SUMIFS('Thưởng CK'!$C:$C, 'Thưởng CK'!$A:$A, B55, 'Thưởng CK'!$B:$B, C55)</f>
        <v>1265850</v>
      </c>
      <c r="AG55" s="42">
        <f>SUMIFS('Cận date'!$C:$C, 'Cận date'!$A:$A, B55, 'Cận date'!$B:$B, C55)</f>
        <v>0</v>
      </c>
      <c r="AH55" s="42">
        <f>SUMIFS(Map!$D:$D, Map!$B:$B, B55, Map!$A:$A, C55)</f>
        <v>0</v>
      </c>
      <c r="AI55" s="42">
        <v>0</v>
      </c>
      <c r="AJ55" s="42">
        <f t="shared" si="13"/>
        <v>0</v>
      </c>
      <c r="AK55" s="42">
        <f>SUMIFS('KPI trừ'!$C:$C, 'KPI trừ'!$A:$A, B55, 'KPI trừ'!$B:$B, C55)</f>
        <v>0</v>
      </c>
      <c r="AL55" s="42">
        <f>SUMIFS('KPI trừ'!$D:$D, 'KPI trừ'!$A:$A, B55, 'KPI trừ'!$B:$B, C55)</f>
        <v>0</v>
      </c>
      <c r="AM55" s="42">
        <f>SUMIFS('KPI trừ'!$E:$E, 'KPI trừ'!$A:$A, B55, 'KPI trừ'!$B:$B, C55)</f>
        <v>0</v>
      </c>
      <c r="AN55" s="42">
        <f>SUMIFS('KPI trừ'!$F:$F, 'KPI trừ'!$A:$A, B55, 'KPI trừ'!$B:$B, C55)</f>
        <v>0</v>
      </c>
      <c r="AO55" s="42">
        <f>SUMIFS('KPI trừ'!$G:$G, 'KPI trừ'!$A:$A, B55, 'KPI trừ'!$B:$B, C55)</f>
        <v>0</v>
      </c>
      <c r="AP55" s="44" t="str">
        <f>IFERROR(INDEX('KPI trừ'!$H:$H, MATCH(1, ('KPI trừ'!$A:$A=B55)*('KPI trừ'!$B:$B=C55), 0)), "")</f>
        <v/>
      </c>
      <c r="AQ55" s="16"/>
      <c r="AR55" s="44"/>
      <c r="AS55" s="44"/>
      <c r="AT55" s="44"/>
      <c r="AU55" s="44"/>
      <c r="AV55" s="44"/>
      <c r="AW55" s="44"/>
      <c r="AX55" s="44"/>
      <c r="AY55" s="44"/>
      <c r="AZ55" s="44"/>
      <c r="BA55" s="44"/>
    </row>
    <row r="56" spans="1:53" ht="15.75" customHeight="1">
      <c r="A56" s="34">
        <v>54</v>
      </c>
      <c r="B56" s="35" t="s">
        <v>24</v>
      </c>
      <c r="C56" s="36" t="s">
        <v>74</v>
      </c>
      <c r="D56" s="34" t="s">
        <v>75</v>
      </c>
      <c r="E56" s="140">
        <f t="shared" si="7"/>
        <v>10</v>
      </c>
      <c r="F56" s="140">
        <f t="shared" si="8"/>
        <v>0</v>
      </c>
      <c r="G56" s="39">
        <f>SUMIFS('Giờ công'!I:I, 'Giờ công'!G:G, B56, 'Giờ công'!H:H, C56)</f>
        <v>10</v>
      </c>
      <c r="H56" s="39">
        <f>SUMIFS('Giờ công'!J:J, 'Giờ công'!G:G, B56, 'Giờ công'!H:H, C56)</f>
        <v>0</v>
      </c>
      <c r="I56" s="42" t="str">
        <f t="shared" si="9"/>
        <v/>
      </c>
      <c r="J56" s="193">
        <f t="shared" si="10"/>
        <v>0.4</v>
      </c>
      <c r="K56" s="42">
        <f>SUMIFS('Ngày công'!I:I, 'Ngày công'!A:A, B56, 'Ngày công'!B:B, C56)</f>
        <v>0</v>
      </c>
      <c r="L56" s="35"/>
      <c r="M56" s="35"/>
      <c r="N56" s="42">
        <f>SUMIFS('Tăng ca lễ'!M:M, 'Tăng ca lễ'!K:K, B56, 'Tăng ca lễ'!L:L, C56)</f>
        <v>0</v>
      </c>
      <c r="O56" s="35">
        <f>IF(OR(D56="PT", D56="DSHV"), SUMIFS('Tăng ca lễ'!O:O, 'Tăng ca lễ'!K:K, B56, 'Tăng ca lễ'!L:L, C56)*2, SUMIFS('Tăng ca lễ'!O:O, 'Tăng ca lễ'!K:K, B56, 'Tăng ca lễ'!L:L, C56)*3)</f>
        <v>0</v>
      </c>
      <c r="P56" s="35">
        <f>IF(OR(D56="PT", D56="DSHV"), SUMIFS('Tăng ca lễ'!P:P, 'Tăng ca lễ'!K:K, B56, 'Tăng ca lễ'!L:L, C56)*2, SUMIFS('Tăng ca lễ'!P:P, 'Tăng ca lễ'!K:K, B56, 'Tăng ca lễ'!L:L, C56)*3)</f>
        <v>0</v>
      </c>
      <c r="Q56" s="35"/>
      <c r="R56" s="42">
        <f>SUMIFS('Ngày công'!M:M, 'Ngày công'!K:K, B56, 'Ngày công'!L:L, C56)</f>
        <v>1</v>
      </c>
      <c r="S56" s="39">
        <f>SUMIFS('Công Đào tạo'!G:G, 'Công Đào tạo'!E:E, B56, 'Công Đào tạo'!F:F, C56)</f>
        <v>0</v>
      </c>
      <c r="T56" s="35">
        <v>0</v>
      </c>
      <c r="U56" s="41"/>
      <c r="V56" s="46">
        <f t="shared" si="11"/>
        <v>0</v>
      </c>
      <c r="W56" s="42"/>
      <c r="X56" s="42">
        <f t="shared" si="12"/>
        <v>0</v>
      </c>
      <c r="Y56" s="42"/>
      <c r="Z56" s="42"/>
      <c r="AA56" s="42">
        <f>IF(ROW()=MATCH(C56, $C$1:$C$72, 0), IFERROR(VLOOKUP(C56, 'MiniKat - HN'!$A:$L, 12, FALSE), 0) + IFERROR(VLOOKUP(C56, 'MiniKat - HCM'!$A:$J, 10, FALSE), 0), 0)</f>
        <v>0</v>
      </c>
      <c r="AB56" s="42">
        <f>IF(OR(TRIM(D56)="CHT", TRIM(D56)="Q.CHT"), SUMIFS('MiniKat - HN'!$Y:$Y, 'MiniKat - HN'!$N:$N, B56) + SUMIFS('MiniKat - HCM'!$U:$U, 'MiniKat - HCM'!$M:$M, B56), 0)</f>
        <v>0</v>
      </c>
      <c r="AC56" s="42">
        <f>IF(ROW()=MATCH(C56, $C$1:$C$72, 0), SUMIFS(whatsapp!$D:$D, whatsapp!$A:$A, C56), 0)</f>
        <v>0</v>
      </c>
      <c r="AD56" s="42">
        <f>SUMIFS('Dự án'!$C:$C, 'Dự án'!$A:$A, B56, 'Dự án'!$B:$B, C56)</f>
        <v>0</v>
      </c>
      <c r="AE56" s="42">
        <f>SUMIFS(KPI!$C:$C, KPI!$A:$A, B56, KPI!$B:$B, C56)</f>
        <v>0</v>
      </c>
      <c r="AF56" s="43">
        <f>SUMIFS('Thưởng CK'!$C:$C, 'Thưởng CK'!$A:$A, B56, 'Thưởng CK'!$B:$B, C56)</f>
        <v>0</v>
      </c>
      <c r="AG56" s="42">
        <f>SUMIFS('Cận date'!$C:$C, 'Cận date'!$A:$A, B56, 'Cận date'!$B:$B, C56)</f>
        <v>6601</v>
      </c>
      <c r="AH56" s="42">
        <f>SUMIFS(Map!$D:$D, Map!$B:$B, B56, Map!$A:$A, C56)</f>
        <v>0</v>
      </c>
      <c r="AI56" s="42">
        <v>0</v>
      </c>
      <c r="AJ56" s="42">
        <f t="shared" si="13"/>
        <v>500000</v>
      </c>
      <c r="AK56" s="42">
        <f>SUMIFS('KPI trừ'!$C:$C, 'KPI trừ'!$A:$A, B56, 'KPI trừ'!$B:$B, C56)</f>
        <v>0</v>
      </c>
      <c r="AL56" s="42">
        <f>SUMIFS('KPI trừ'!$D:$D, 'KPI trừ'!$A:$A, B56, 'KPI trừ'!$B:$B, C56)</f>
        <v>0</v>
      </c>
      <c r="AM56" s="42">
        <f>SUMIFS('KPI trừ'!$E:$E, 'KPI trừ'!$A:$A, B56, 'KPI trừ'!$B:$B, C56)</f>
        <v>0</v>
      </c>
      <c r="AN56" s="42">
        <f>SUMIFS('KPI trừ'!$F:$F, 'KPI trừ'!$A:$A, B56, 'KPI trừ'!$B:$B, C56)</f>
        <v>0</v>
      </c>
      <c r="AO56" s="42">
        <f>SUMIFS('KPI trừ'!$G:$G, 'KPI trừ'!$A:$A, B56, 'KPI trừ'!$B:$B, C56)</f>
        <v>500000</v>
      </c>
      <c r="AP56" s="44" t="str">
        <f>IFERROR(INDEX('KPI trừ'!$H:$H, MATCH(1, ('KPI trừ'!$A:$A=B56)*('KPI trừ'!$B:$B=C56), 0)), "")</f>
        <v/>
      </c>
      <c r="AQ56" s="16"/>
      <c r="AR56" s="36"/>
      <c r="AS56" s="36"/>
      <c r="AT56" s="36"/>
      <c r="AU56" s="36"/>
      <c r="AV56" s="36"/>
      <c r="AW56" s="36"/>
      <c r="AX56" s="36"/>
      <c r="AY56" s="36"/>
      <c r="AZ56" s="36"/>
      <c r="BA56" s="36"/>
    </row>
    <row r="57" spans="1:53" ht="15.75" customHeight="1">
      <c r="A57" s="34">
        <v>55</v>
      </c>
      <c r="B57" s="35" t="s">
        <v>24</v>
      </c>
      <c r="C57" s="36" t="s">
        <v>123</v>
      </c>
      <c r="D57" s="34" t="s">
        <v>77</v>
      </c>
      <c r="E57" s="140">
        <f t="shared" si="7"/>
        <v>32.390000000000015</v>
      </c>
      <c r="F57" s="140">
        <f t="shared" si="8"/>
        <v>243.48</v>
      </c>
      <c r="G57" s="39">
        <f>SUMIFS('Giờ công'!I:I, 'Giờ công'!G:G, B57, 'Giờ công'!H:H, C57)</f>
        <v>16.390000000000015</v>
      </c>
      <c r="H57" s="39">
        <f>SUMIFS('Giờ công'!J:J, 'Giờ công'!G:G, B57, 'Giờ công'!H:H, C57)</f>
        <v>243.48</v>
      </c>
      <c r="I57" s="42">
        <f t="shared" si="9"/>
        <v>16</v>
      </c>
      <c r="J57" s="193">
        <f t="shared" si="10"/>
        <v>0.7</v>
      </c>
      <c r="K57" s="42">
        <f>SUMIFS('Ngày công'!I:I, 'Ngày công'!A:A, B57, 'Ngày công'!B:B, C57)</f>
        <v>30</v>
      </c>
      <c r="L57" s="35"/>
      <c r="M57" s="35"/>
      <c r="N57" s="42">
        <f>SUMIFS('Tăng ca lễ'!M:M, 'Tăng ca lễ'!K:K, B57, 'Tăng ca lễ'!L:L, C57)</f>
        <v>0</v>
      </c>
      <c r="O57" s="35">
        <f>IF(OR(D57="PT", D57="DSHV"), SUMIFS('Tăng ca lễ'!O:O, 'Tăng ca lễ'!K:K, B57, 'Tăng ca lễ'!L:L, C57)*2, SUMIFS('Tăng ca lễ'!O:O, 'Tăng ca lễ'!K:K, B57, 'Tăng ca lễ'!L:L, C57)*3)</f>
        <v>0</v>
      </c>
      <c r="P57" s="35">
        <f>IF(OR(D57="PT", D57="DSHV"), SUMIFS('Tăng ca lễ'!P:P, 'Tăng ca lễ'!K:K, B57, 'Tăng ca lễ'!L:L, C57)*2, SUMIFS('Tăng ca lễ'!P:P, 'Tăng ca lễ'!K:K, B57, 'Tăng ca lễ'!L:L, C57)*3)</f>
        <v>0</v>
      </c>
      <c r="Q57" s="35"/>
      <c r="R57" s="42">
        <f>SUMIFS('Ngày công'!M:M, 'Ngày công'!K:K, B57, 'Ngày công'!L:L, C57)</f>
        <v>30</v>
      </c>
      <c r="S57" s="39">
        <f>SUMIFS('Công Đào tạo'!G:G, 'Công Đào tạo'!E:E, B57, 'Công Đào tạo'!F:F, C57)</f>
        <v>0</v>
      </c>
      <c r="T57" s="35">
        <v>0</v>
      </c>
      <c r="U57" s="41"/>
      <c r="V57" s="46">
        <f t="shared" si="11"/>
        <v>0</v>
      </c>
      <c r="W57" s="42"/>
      <c r="X57" s="42">
        <f t="shared" si="12"/>
        <v>0</v>
      </c>
      <c r="Y57" s="42"/>
      <c r="Z57" s="42"/>
      <c r="AA57" s="42">
        <f>IF(ROW()=MATCH(C57, $C$1:$C$72, 0), IFERROR(VLOOKUP(C57, 'MiniKat - HN'!$A:$L, 12, FALSE), 0) + IFERROR(VLOOKUP(C57, 'MiniKat - HCM'!$A:$J, 10, FALSE), 0), 0)</f>
        <v>0</v>
      </c>
      <c r="AB57" s="42">
        <f>IF(OR(TRIM(D57)="CHT", TRIM(D57)="Q.CHT"), SUMIFS('MiniKat - HN'!$Y:$Y, 'MiniKat - HN'!$N:$N, B57) + SUMIFS('MiniKat - HCM'!$U:$U, 'MiniKat - HCM'!$M:$M, B57), 0)</f>
        <v>0</v>
      </c>
      <c r="AC57" s="42">
        <f>IF(ROW()=MATCH(C57, $C$1:$C$72, 0), SUMIFS(whatsapp!$D:$D, whatsapp!$A:$A, C57), 0)</f>
        <v>0</v>
      </c>
      <c r="AD57" s="42">
        <f>SUMIFS('Dự án'!$C:$C, 'Dự án'!$A:$A, B57, 'Dự án'!$B:$B, C57)</f>
        <v>0</v>
      </c>
      <c r="AE57" s="42">
        <f>SUMIFS(KPI!$C:$C, KPI!$A:$A, B57, KPI!$B:$B, C57)</f>
        <v>0</v>
      </c>
      <c r="AF57" s="43">
        <f>SUMIFS('Thưởng CK'!$C:$C, 'Thưởng CK'!$A:$A, B57, 'Thưởng CK'!$B:$B, C57)</f>
        <v>846900</v>
      </c>
      <c r="AG57" s="42">
        <f>SUMIFS('Cận date'!$C:$C, 'Cận date'!$A:$A, B57, 'Cận date'!$B:$B, C57)</f>
        <v>955</v>
      </c>
      <c r="AH57" s="42">
        <f>SUMIFS(Map!$D:$D, Map!$B:$B, B57, Map!$A:$A, C57)</f>
        <v>0</v>
      </c>
      <c r="AI57" s="42">
        <v>0</v>
      </c>
      <c r="AJ57" s="42">
        <f t="shared" si="13"/>
        <v>0</v>
      </c>
      <c r="AK57" s="42">
        <f>SUMIFS('KPI trừ'!$C:$C, 'KPI trừ'!$A:$A, B57, 'KPI trừ'!$B:$B, C57)</f>
        <v>0</v>
      </c>
      <c r="AL57" s="42">
        <f>SUMIFS('KPI trừ'!$D:$D, 'KPI trừ'!$A:$A, B57, 'KPI trừ'!$B:$B, C57)</f>
        <v>0</v>
      </c>
      <c r="AM57" s="42">
        <f>SUMIFS('KPI trừ'!$E:$E, 'KPI trừ'!$A:$A, B57, 'KPI trừ'!$B:$B, C57)</f>
        <v>0</v>
      </c>
      <c r="AN57" s="42">
        <f>SUMIFS('KPI trừ'!$F:$F, 'KPI trừ'!$A:$A, B57, 'KPI trừ'!$B:$B, C57)</f>
        <v>0</v>
      </c>
      <c r="AO57" s="42">
        <f>SUMIFS('KPI trừ'!$G:$G, 'KPI trừ'!$A:$A, B57, 'KPI trừ'!$B:$B, C57)</f>
        <v>0</v>
      </c>
      <c r="AP57" s="44" t="str">
        <f>IFERROR(INDEX('KPI trừ'!$H:$H, MATCH(1, ('KPI trừ'!$A:$A=B57)*('KPI trừ'!$B:$B=C57), 0)), "")</f>
        <v/>
      </c>
      <c r="AQ57" s="16"/>
      <c r="AR57" s="36"/>
      <c r="AS57" s="36"/>
      <c r="AT57" s="36"/>
      <c r="AU57" s="36"/>
      <c r="AV57" s="36"/>
      <c r="AW57" s="36"/>
      <c r="AX57" s="36"/>
      <c r="AY57" s="36"/>
      <c r="AZ57" s="36"/>
      <c r="BA57" s="36"/>
    </row>
    <row r="58" spans="1:53" ht="15.75" customHeight="1">
      <c r="A58" s="34">
        <v>56</v>
      </c>
      <c r="B58" s="35" t="s">
        <v>24</v>
      </c>
      <c r="C58" s="36" t="s">
        <v>124</v>
      </c>
      <c r="D58" s="34" t="s">
        <v>77</v>
      </c>
      <c r="E58" s="140">
        <f t="shared" si="7"/>
        <v>4.1699999999999875</v>
      </c>
      <c r="F58" s="140">
        <f t="shared" si="8"/>
        <v>217.89</v>
      </c>
      <c r="G58" s="39">
        <f>SUMIFS('Giờ công'!I:I, 'Giờ công'!G:G, B58, 'Giờ công'!H:H, C58)</f>
        <v>4.1699999999999875</v>
      </c>
      <c r="H58" s="39">
        <f>SUMIFS('Giờ công'!J:J, 'Giờ công'!G:G, B58, 'Giờ công'!H:H, C58)</f>
        <v>217.89</v>
      </c>
      <c r="I58" s="42" t="str">
        <f t="shared" si="9"/>
        <v/>
      </c>
      <c r="J58" s="193">
        <f t="shared" si="10"/>
        <v>0.2</v>
      </c>
      <c r="K58" s="42">
        <f>SUMIFS('Ngày công'!I:I, 'Ngày công'!A:A, B58, 'Ngày công'!B:B, C58)</f>
        <v>27</v>
      </c>
      <c r="L58" s="35"/>
      <c r="M58" s="35"/>
      <c r="N58" s="42">
        <f>SUMIFS('Tăng ca lễ'!M:M, 'Tăng ca lễ'!K:K, B58, 'Tăng ca lễ'!L:L, C58)</f>
        <v>0</v>
      </c>
      <c r="O58" s="35">
        <f>IF(OR(D58="PT", D58="DSHV"), SUMIFS('Tăng ca lễ'!O:O, 'Tăng ca lễ'!K:K, B58, 'Tăng ca lễ'!L:L, C58)*2, SUMIFS('Tăng ca lễ'!O:O, 'Tăng ca lễ'!K:K, B58, 'Tăng ca lễ'!L:L, C58)*3)</f>
        <v>0</v>
      </c>
      <c r="P58" s="35">
        <f>IF(OR(D58="PT", D58="DSHV"), SUMIFS('Tăng ca lễ'!P:P, 'Tăng ca lễ'!K:K, B58, 'Tăng ca lễ'!L:L, C58)*2, SUMIFS('Tăng ca lễ'!P:P, 'Tăng ca lễ'!K:K, B58, 'Tăng ca lễ'!L:L, C58)*3)</f>
        <v>0</v>
      </c>
      <c r="Q58" s="35"/>
      <c r="R58" s="42">
        <f>SUMIFS('Ngày công'!M:M, 'Ngày công'!K:K, B58, 'Ngày công'!L:L, C58)</f>
        <v>27</v>
      </c>
      <c r="S58" s="39">
        <f>SUMIFS('Công Đào tạo'!G:G, 'Công Đào tạo'!E:E, B58, 'Công Đào tạo'!F:F, C58)</f>
        <v>0</v>
      </c>
      <c r="T58" s="35">
        <v>0</v>
      </c>
      <c r="U58" s="41"/>
      <c r="V58" s="46">
        <f t="shared" si="11"/>
        <v>0</v>
      </c>
      <c r="W58" s="42"/>
      <c r="X58" s="42">
        <f t="shared" si="12"/>
        <v>0</v>
      </c>
      <c r="Y58" s="42"/>
      <c r="Z58" s="42"/>
      <c r="AA58" s="42">
        <f>IF(ROW()=MATCH(C58, $C$1:$C$72, 0), IFERROR(VLOOKUP(C58, 'MiniKat - HN'!$A:$L, 12, FALSE), 0) + IFERROR(VLOOKUP(C58, 'MiniKat - HCM'!$A:$J, 10, FALSE), 0), 0)</f>
        <v>0</v>
      </c>
      <c r="AB58" s="42">
        <f>IF(OR(TRIM(D58)="CHT", TRIM(D58)="Q.CHT"), SUMIFS('MiniKat - HN'!$Y:$Y, 'MiniKat - HN'!$N:$N, B58) + SUMIFS('MiniKat - HCM'!$U:$U, 'MiniKat - HCM'!$M:$M, B58), 0)</f>
        <v>0</v>
      </c>
      <c r="AC58" s="42">
        <f>IF(ROW()=MATCH(C58, $C$1:$C$72, 0), SUMIFS(whatsapp!$D:$D, whatsapp!$A:$A, C58), 0)</f>
        <v>0</v>
      </c>
      <c r="AD58" s="42">
        <f>SUMIFS('Dự án'!$C:$C, 'Dự án'!$A:$A, B58, 'Dự án'!$B:$B, C58)</f>
        <v>0</v>
      </c>
      <c r="AE58" s="42">
        <f>SUMIFS(KPI!$C:$C, KPI!$A:$A, B58, KPI!$B:$B, C58)</f>
        <v>0</v>
      </c>
      <c r="AF58" s="43">
        <f>SUMIFS('Thưởng CK'!$C:$C, 'Thưởng CK'!$A:$A, B58, 'Thưởng CK'!$B:$B, C58)</f>
        <v>1106640</v>
      </c>
      <c r="AG58" s="42">
        <f>SUMIFS('Cận date'!$C:$C, 'Cận date'!$A:$A, B58, 'Cận date'!$B:$B, C58)</f>
        <v>0</v>
      </c>
      <c r="AH58" s="42">
        <f>SUMIFS(Map!$D:$D, Map!$B:$B, B58, Map!$A:$A, C58)</f>
        <v>0</v>
      </c>
      <c r="AI58" s="42">
        <v>0</v>
      </c>
      <c r="AJ58" s="42">
        <f t="shared" si="13"/>
        <v>0</v>
      </c>
      <c r="AK58" s="42">
        <f>SUMIFS('KPI trừ'!$C:$C, 'KPI trừ'!$A:$A, B58, 'KPI trừ'!$B:$B, C58)</f>
        <v>0</v>
      </c>
      <c r="AL58" s="42">
        <f>SUMIFS('KPI trừ'!$D:$D, 'KPI trừ'!$A:$A, B58, 'KPI trừ'!$B:$B, C58)</f>
        <v>0</v>
      </c>
      <c r="AM58" s="42">
        <f>SUMIFS('KPI trừ'!$E:$E, 'KPI trừ'!$A:$A, B58, 'KPI trừ'!$B:$B, C58)</f>
        <v>0</v>
      </c>
      <c r="AN58" s="42">
        <f>SUMIFS('KPI trừ'!$F:$F, 'KPI trừ'!$A:$A, B58, 'KPI trừ'!$B:$B, C58)</f>
        <v>0</v>
      </c>
      <c r="AO58" s="42">
        <f>SUMIFS('KPI trừ'!$G:$G, 'KPI trừ'!$A:$A, B58, 'KPI trừ'!$B:$B, C58)</f>
        <v>0</v>
      </c>
      <c r="AP58" s="44" t="str">
        <f>IFERROR(INDEX('KPI trừ'!$H:$H, MATCH(1, ('KPI trừ'!$A:$A=B58)*('KPI trừ'!$B:$B=C58), 0)), "")</f>
        <v/>
      </c>
      <c r="AQ58" s="16"/>
      <c r="AR58" s="44"/>
      <c r="AS58" s="44"/>
      <c r="AT58" s="44"/>
      <c r="AU58" s="44"/>
      <c r="AV58" s="44"/>
      <c r="AW58" s="44"/>
      <c r="AX58" s="44"/>
      <c r="AY58" s="44"/>
      <c r="AZ58" s="44"/>
      <c r="BA58" s="44"/>
    </row>
    <row r="59" spans="1:53" ht="15.75" customHeight="1">
      <c r="A59" s="34">
        <v>57</v>
      </c>
      <c r="B59" s="35" t="s">
        <v>24</v>
      </c>
      <c r="C59" s="44" t="s">
        <v>88</v>
      </c>
      <c r="D59" s="34" t="s">
        <v>81</v>
      </c>
      <c r="E59" s="140">
        <f t="shared" si="7"/>
        <v>179.62</v>
      </c>
      <c r="F59" s="140">
        <f t="shared" si="8"/>
        <v>1.35</v>
      </c>
      <c r="G59" s="39">
        <f>SUMIFS('Giờ công'!I:I, 'Giờ công'!G:G, B59, 'Giờ công'!H:H, C59)</f>
        <v>179.62</v>
      </c>
      <c r="H59" s="39">
        <f>SUMIFS('Giờ công'!J:J, 'Giờ công'!G:G, B59, 'Giờ công'!H:H, C59)</f>
        <v>1.35</v>
      </c>
      <c r="I59" s="42" t="str">
        <f t="shared" si="9"/>
        <v/>
      </c>
      <c r="J59" s="193">
        <f t="shared" si="10"/>
        <v>7.5</v>
      </c>
      <c r="K59" s="42">
        <f>SUMIFS('Ngày công'!I:I, 'Ngày công'!A:A, B59, 'Ngày công'!B:B, C59)</f>
        <v>0</v>
      </c>
      <c r="L59" s="35"/>
      <c r="M59" s="35"/>
      <c r="N59" s="42">
        <f>SUMIFS('Tăng ca lễ'!M:M, 'Tăng ca lễ'!K:K, B59, 'Tăng ca lễ'!L:L, C59)</f>
        <v>0</v>
      </c>
      <c r="O59" s="35">
        <f>IF(OR(D59="PT", D59="DSHV"), SUMIFS('Tăng ca lễ'!O:O, 'Tăng ca lễ'!K:K, B59, 'Tăng ca lễ'!L:L, C59)*2, SUMIFS('Tăng ca lễ'!O:O, 'Tăng ca lễ'!K:K, B59, 'Tăng ca lễ'!L:L, C59)*3)</f>
        <v>0</v>
      </c>
      <c r="P59" s="35">
        <f>IF(OR(D59="PT", D59="DSHV"), SUMIFS('Tăng ca lễ'!P:P, 'Tăng ca lễ'!K:K, B59, 'Tăng ca lễ'!L:L, C59)*2, SUMIFS('Tăng ca lễ'!P:P, 'Tăng ca lễ'!K:K, B59, 'Tăng ca lễ'!L:L, C59)*3)</f>
        <v>0</v>
      </c>
      <c r="Q59" s="35"/>
      <c r="R59" s="42">
        <f>SUMIFS('Ngày công'!M:M, 'Ngày công'!K:K, B59, 'Ngày công'!L:L, C59)</f>
        <v>20</v>
      </c>
      <c r="S59" s="39">
        <f>SUMIFS('Công Đào tạo'!G:G, 'Công Đào tạo'!E:E, B59, 'Công Đào tạo'!F:F, C59)</f>
        <v>0</v>
      </c>
      <c r="T59" s="35">
        <v>0</v>
      </c>
      <c r="U59" s="41"/>
      <c r="V59" s="46">
        <f t="shared" si="11"/>
        <v>0</v>
      </c>
      <c r="W59" s="42"/>
      <c r="X59" s="42">
        <f t="shared" si="12"/>
        <v>0</v>
      </c>
      <c r="Y59" s="42"/>
      <c r="Z59" s="42"/>
      <c r="AA59" s="42">
        <f>IF(ROW()=MATCH(C59, $C$1:$C$72, 0), IFERROR(VLOOKUP(C59, 'MiniKat - HN'!$A:$L, 12, FALSE), 0) + IFERROR(VLOOKUP(C59, 'MiniKat - HCM'!$A:$J, 10, FALSE), 0), 0)</f>
        <v>0</v>
      </c>
      <c r="AB59" s="42">
        <f>IF(OR(TRIM(D59)="CHT", TRIM(D59)="Q.CHT"), SUMIFS('MiniKat - HN'!$Y:$Y, 'MiniKat - HN'!$N:$N, B59) + SUMIFS('MiniKat - HCM'!$U:$U, 'MiniKat - HCM'!$M:$M, B59), 0)</f>
        <v>0</v>
      </c>
      <c r="AC59" s="42">
        <f>IF(ROW()=MATCH(C59, $C$1:$C$72, 0), SUMIFS(whatsapp!$D:$D, whatsapp!$A:$A, C59), 0)</f>
        <v>0</v>
      </c>
      <c r="AD59" s="42">
        <f>SUMIFS('Dự án'!$C:$C, 'Dự án'!$A:$A, B59, 'Dự án'!$B:$B, C59)</f>
        <v>0</v>
      </c>
      <c r="AE59" s="42">
        <f>SUMIFS(KPI!$C:$C, KPI!$A:$A, B59, KPI!$B:$B, C59)</f>
        <v>1035323</v>
      </c>
      <c r="AF59" s="43">
        <f>SUMIFS('Thưởng CK'!$C:$C, 'Thưởng CK'!$A:$A, B59, 'Thưởng CK'!$B:$B, C59)</f>
        <v>1187050</v>
      </c>
      <c r="AG59" s="42">
        <f>SUMIFS('Cận date'!$C:$C, 'Cận date'!$A:$A, B59, 'Cận date'!$B:$B, C59)</f>
        <v>0</v>
      </c>
      <c r="AH59" s="42">
        <f>SUMIFS(Map!$D:$D, Map!$B:$B, B59, Map!$A:$A, C59)</f>
        <v>0</v>
      </c>
      <c r="AI59" s="42">
        <v>0</v>
      </c>
      <c r="AJ59" s="42">
        <f t="shared" si="13"/>
        <v>0</v>
      </c>
      <c r="AK59" s="42">
        <f>SUMIFS('KPI trừ'!$C:$C, 'KPI trừ'!$A:$A, B59, 'KPI trừ'!$B:$B, C59)</f>
        <v>0</v>
      </c>
      <c r="AL59" s="42">
        <f>SUMIFS('KPI trừ'!$D:$D, 'KPI trừ'!$A:$A, B59, 'KPI trừ'!$B:$B, C59)</f>
        <v>0</v>
      </c>
      <c r="AM59" s="42">
        <f>SUMIFS('KPI trừ'!$E:$E, 'KPI trừ'!$A:$A, B59, 'KPI trừ'!$B:$B, C59)</f>
        <v>0</v>
      </c>
      <c r="AN59" s="42">
        <f>SUMIFS('KPI trừ'!$F:$F, 'KPI trừ'!$A:$A, B59, 'KPI trừ'!$B:$B, C59)</f>
        <v>0</v>
      </c>
      <c r="AO59" s="42">
        <f>SUMIFS('KPI trừ'!$G:$G, 'KPI trừ'!$A:$A, B59, 'KPI trừ'!$B:$B, C59)</f>
        <v>0</v>
      </c>
      <c r="AP59" s="44" t="str">
        <f>IFERROR(INDEX('KPI trừ'!$H:$H, MATCH(1, ('KPI trừ'!$A:$A=B59)*('KPI trừ'!$B:$B=C59), 0)), "")</f>
        <v/>
      </c>
      <c r="AQ59" s="16"/>
      <c r="AR59" s="44"/>
      <c r="AS59" s="44"/>
      <c r="AT59" s="44"/>
      <c r="AU59" s="44"/>
      <c r="AV59" s="44"/>
      <c r="AW59" s="44"/>
      <c r="AX59" s="44"/>
      <c r="AY59" s="44"/>
      <c r="AZ59" s="44"/>
      <c r="BA59" s="44"/>
    </row>
    <row r="60" spans="1:53" ht="15.75" customHeight="1">
      <c r="A60" s="34">
        <v>58</v>
      </c>
      <c r="B60" s="35" t="s">
        <v>24</v>
      </c>
      <c r="C60" s="44" t="s">
        <v>100</v>
      </c>
      <c r="D60" s="34" t="s">
        <v>99</v>
      </c>
      <c r="E60" s="140">
        <f t="shared" si="7"/>
        <v>11.25</v>
      </c>
      <c r="F60" s="140">
        <f t="shared" si="8"/>
        <v>0</v>
      </c>
      <c r="G60" s="39">
        <f>SUMIFS('Giờ công'!I:I, 'Giờ công'!G:G, B60, 'Giờ công'!H:H, C60)</f>
        <v>11.25</v>
      </c>
      <c r="H60" s="39">
        <f>SUMIFS('Giờ công'!J:J, 'Giờ công'!G:G, B60, 'Giờ công'!H:H, C60)</f>
        <v>0</v>
      </c>
      <c r="I60" s="42" t="str">
        <f t="shared" si="9"/>
        <v/>
      </c>
      <c r="J60" s="193">
        <f t="shared" si="10"/>
        <v>0.5</v>
      </c>
      <c r="K60" s="42">
        <f>SUMIFS('Ngày công'!I:I, 'Ngày công'!A:A, B60, 'Ngày công'!B:B, C60)</f>
        <v>0</v>
      </c>
      <c r="L60" s="35"/>
      <c r="M60" s="35"/>
      <c r="N60" s="42">
        <f>SUMIFS('Tăng ca lễ'!M:M, 'Tăng ca lễ'!K:K, B60, 'Tăng ca lễ'!L:L, C60)</f>
        <v>0</v>
      </c>
      <c r="O60" s="35">
        <f>IF(OR(D60="PT", D60="DSHV"), SUMIFS('Tăng ca lễ'!O:O, 'Tăng ca lễ'!K:K, B60, 'Tăng ca lễ'!L:L, C60)*2, SUMIFS('Tăng ca lễ'!O:O, 'Tăng ca lễ'!K:K, B60, 'Tăng ca lễ'!L:L, C60)*3)</f>
        <v>0</v>
      </c>
      <c r="P60" s="35">
        <f>IF(OR(D60="PT", D60="DSHV"), SUMIFS('Tăng ca lễ'!P:P, 'Tăng ca lễ'!K:K, B60, 'Tăng ca lễ'!L:L, C60)*2, SUMIFS('Tăng ca lễ'!P:P, 'Tăng ca lễ'!K:K, B60, 'Tăng ca lễ'!L:L, C60)*3)</f>
        <v>0</v>
      </c>
      <c r="Q60" s="35"/>
      <c r="R60" s="42">
        <f>SUMIFS('Ngày công'!M:M, 'Ngày công'!K:K, B60, 'Ngày công'!L:L, C60)</f>
        <v>1</v>
      </c>
      <c r="S60" s="39">
        <f>SUMIFS('Công Đào tạo'!G:G, 'Công Đào tạo'!E:E, B60, 'Công Đào tạo'!F:F, C60)</f>
        <v>0</v>
      </c>
      <c r="T60" s="35">
        <v>0</v>
      </c>
      <c r="U60" s="41"/>
      <c r="V60" s="46">
        <f t="shared" si="11"/>
        <v>0</v>
      </c>
      <c r="W60" s="42"/>
      <c r="X60" s="42">
        <f t="shared" si="12"/>
        <v>0</v>
      </c>
      <c r="Y60" s="42"/>
      <c r="Z60" s="42"/>
      <c r="AA60" s="42">
        <f>IF(ROW()=MATCH(C60, $C$1:$C$72, 0), IFERROR(VLOOKUP(C60, 'MiniKat - HN'!$A:$L, 12, FALSE), 0) + IFERROR(VLOOKUP(C60, 'MiniKat - HCM'!$A:$J, 10, FALSE), 0), 0)</f>
        <v>0</v>
      </c>
      <c r="AB60" s="42">
        <f>IF(OR(TRIM(D60)="CHT", TRIM(D60)="Q.CHT"), SUMIFS('MiniKat - HN'!$Y:$Y, 'MiniKat - HN'!$N:$N, B60) + SUMIFS('MiniKat - HCM'!$U:$U, 'MiniKat - HCM'!$M:$M, B60), 0)</f>
        <v>0</v>
      </c>
      <c r="AC60" s="42">
        <f>IF(ROW()=MATCH(C60, $C$1:$C$72, 0), SUMIFS(whatsapp!$D:$D, whatsapp!$A:$A, C60), 0)</f>
        <v>0</v>
      </c>
      <c r="AD60" s="42">
        <f>SUMIFS('Dự án'!$C:$C, 'Dự án'!$A:$A, B60, 'Dự án'!$B:$B, C60)</f>
        <v>0</v>
      </c>
      <c r="AE60" s="42">
        <f>SUMIFS(KPI!$C:$C, KPI!$A:$A, B60, KPI!$B:$B, C60)</f>
        <v>0</v>
      </c>
      <c r="AF60" s="43">
        <f>SUMIFS('Thưởng CK'!$C:$C, 'Thưởng CK'!$A:$A, B60, 'Thưởng CK'!$B:$B, C60)</f>
        <v>0</v>
      </c>
      <c r="AG60" s="42">
        <f>SUMIFS('Cận date'!$C:$C, 'Cận date'!$A:$A, B60, 'Cận date'!$B:$B, C60)</f>
        <v>35008</v>
      </c>
      <c r="AH60" s="42">
        <f>SUMIFS(Map!$D:$D, Map!$B:$B, B60, Map!$A:$A, C60)</f>
        <v>0</v>
      </c>
      <c r="AI60" s="42">
        <v>0</v>
      </c>
      <c r="AJ60" s="42">
        <f t="shared" si="13"/>
        <v>0</v>
      </c>
      <c r="AK60" s="42">
        <f>SUMIFS('KPI trừ'!$C:$C, 'KPI trừ'!$A:$A, B60, 'KPI trừ'!$B:$B, C60)</f>
        <v>0</v>
      </c>
      <c r="AL60" s="42">
        <f>SUMIFS('KPI trừ'!$D:$D, 'KPI trừ'!$A:$A, B60, 'KPI trừ'!$B:$B, C60)</f>
        <v>0</v>
      </c>
      <c r="AM60" s="42">
        <f>SUMIFS('KPI trừ'!$E:$E, 'KPI trừ'!$A:$A, B60, 'KPI trừ'!$B:$B, C60)</f>
        <v>0</v>
      </c>
      <c r="AN60" s="42">
        <f>SUMIFS('KPI trừ'!$F:$F, 'KPI trừ'!$A:$A, B60, 'KPI trừ'!$B:$B, C60)</f>
        <v>0</v>
      </c>
      <c r="AO60" s="42">
        <f>SUMIFS('KPI trừ'!$G:$G, 'KPI trừ'!$A:$A, B60, 'KPI trừ'!$B:$B, C60)</f>
        <v>0</v>
      </c>
      <c r="AP60" s="44" t="str">
        <f>IFERROR(INDEX('KPI trừ'!$H:$H, MATCH(1, ('KPI trừ'!$A:$A=B60)*('KPI trừ'!$B:$B=C60), 0)), "")</f>
        <v/>
      </c>
      <c r="AQ60" s="16"/>
      <c r="AR60" s="44"/>
      <c r="AS60" s="44"/>
      <c r="AT60" s="44"/>
      <c r="AU60" s="44"/>
      <c r="AV60" s="44"/>
      <c r="AW60" s="44"/>
      <c r="AX60" s="44"/>
      <c r="AY60" s="44"/>
      <c r="AZ60" s="44"/>
      <c r="BA60" s="44"/>
    </row>
    <row r="61" spans="1:53" ht="15.75" customHeight="1">
      <c r="A61" s="34">
        <v>59</v>
      </c>
      <c r="B61" s="35" t="s">
        <v>24</v>
      </c>
      <c r="C61" s="36" t="s">
        <v>82</v>
      </c>
      <c r="D61" s="34" t="s">
        <v>81</v>
      </c>
      <c r="E61" s="140">
        <f t="shared" si="7"/>
        <v>8.6199999999999992</v>
      </c>
      <c r="F61" s="140">
        <f t="shared" si="8"/>
        <v>0</v>
      </c>
      <c r="G61" s="39">
        <f>SUMIFS('Giờ công'!I:I, 'Giờ công'!G:G, B61, 'Giờ công'!H:H, C61)</f>
        <v>8.6199999999999992</v>
      </c>
      <c r="H61" s="39">
        <f>SUMIFS('Giờ công'!J:J, 'Giờ công'!G:G, B61, 'Giờ công'!H:H, C61)</f>
        <v>0</v>
      </c>
      <c r="I61" s="42" t="str">
        <f t="shared" si="9"/>
        <v/>
      </c>
      <c r="J61" s="193">
        <f t="shared" si="10"/>
        <v>0.4</v>
      </c>
      <c r="K61" s="42">
        <f>SUMIFS('Ngày công'!I:I, 'Ngày công'!A:A, B61, 'Ngày công'!B:B, C61)</f>
        <v>0</v>
      </c>
      <c r="L61" s="35"/>
      <c r="M61" s="35"/>
      <c r="N61" s="42">
        <f>SUMIFS('Tăng ca lễ'!M:M, 'Tăng ca lễ'!K:K, B61, 'Tăng ca lễ'!L:L, C61)</f>
        <v>0</v>
      </c>
      <c r="O61" s="35">
        <f>IF(OR(D61="PT", D61="DSHV"), SUMIFS('Tăng ca lễ'!O:O, 'Tăng ca lễ'!K:K, B61, 'Tăng ca lễ'!L:L, C61)*2, SUMIFS('Tăng ca lễ'!O:O, 'Tăng ca lễ'!K:K, B61, 'Tăng ca lễ'!L:L, C61)*3)</f>
        <v>0</v>
      </c>
      <c r="P61" s="35">
        <f>IF(OR(D61="PT", D61="DSHV"), SUMIFS('Tăng ca lễ'!P:P, 'Tăng ca lễ'!K:K, B61, 'Tăng ca lễ'!L:L, C61)*2, SUMIFS('Tăng ca lễ'!P:P, 'Tăng ca lễ'!K:K, B61, 'Tăng ca lễ'!L:L, C61)*3)</f>
        <v>0</v>
      </c>
      <c r="Q61" s="35"/>
      <c r="R61" s="42">
        <f>SUMIFS('Ngày công'!M:M, 'Ngày công'!K:K, B61, 'Ngày công'!L:L, C61)</f>
        <v>1</v>
      </c>
      <c r="S61" s="39">
        <f>SUMIFS('Công Đào tạo'!G:G, 'Công Đào tạo'!E:E, B61, 'Công Đào tạo'!F:F, C61)</f>
        <v>0</v>
      </c>
      <c r="T61" s="35">
        <v>0</v>
      </c>
      <c r="U61" s="41"/>
      <c r="V61" s="42">
        <f t="shared" si="11"/>
        <v>0</v>
      </c>
      <c r="W61" s="42"/>
      <c r="X61" s="42">
        <f t="shared" si="12"/>
        <v>0</v>
      </c>
      <c r="Y61" s="42"/>
      <c r="Z61" s="42"/>
      <c r="AA61" s="42">
        <f>IF(ROW()=MATCH(C61, $C$1:$C$72, 0), IFERROR(VLOOKUP(C61, 'MiniKat - HN'!$A:$L, 12, FALSE), 0) + IFERROR(VLOOKUP(C61, 'MiniKat - HCM'!$A:$J, 10, FALSE), 0), 0)</f>
        <v>0</v>
      </c>
      <c r="AB61" s="42">
        <f>IF(OR(TRIM(D61)="CHT", TRIM(D61)="Q.CHT"), SUMIFS('MiniKat - HN'!$Y:$Y, 'MiniKat - HN'!$N:$N, B61) + SUMIFS('MiniKat - HCM'!$U:$U, 'MiniKat - HCM'!$M:$M, B61), 0)</f>
        <v>0</v>
      </c>
      <c r="AC61" s="42">
        <f>IF(ROW()=MATCH(C61, $C$1:$C$72, 0), SUMIFS(whatsapp!$D:$D, whatsapp!$A:$A, C61), 0)</f>
        <v>0</v>
      </c>
      <c r="AD61" s="42">
        <f>SUMIFS('Dự án'!$C:$C, 'Dự án'!$A:$A, B61, 'Dự án'!$B:$B, C61)</f>
        <v>0</v>
      </c>
      <c r="AE61" s="42">
        <f>SUMIFS(KPI!$C:$C, KPI!$A:$A, B61, KPI!$B:$B, C61)</f>
        <v>0</v>
      </c>
      <c r="AF61" s="43">
        <f>SUMIFS('Thưởng CK'!$C:$C, 'Thưởng CK'!$A:$A, B61, 'Thưởng CK'!$B:$B, C61)</f>
        <v>0</v>
      </c>
      <c r="AG61" s="42">
        <f>SUMIFS('Cận date'!$C:$C, 'Cận date'!$A:$A, B61, 'Cận date'!$B:$B, C61)</f>
        <v>18300</v>
      </c>
      <c r="AH61" s="42">
        <f>SUMIFS(Map!$D:$D, Map!$B:$B, B61, Map!$A:$A, C61)</f>
        <v>0</v>
      </c>
      <c r="AI61" s="42">
        <v>0</v>
      </c>
      <c r="AJ61" s="42">
        <f t="shared" si="13"/>
        <v>0</v>
      </c>
      <c r="AK61" s="42">
        <f>SUMIFS('KPI trừ'!$C:$C, 'KPI trừ'!$A:$A, B61, 'KPI trừ'!$B:$B, C61)</f>
        <v>0</v>
      </c>
      <c r="AL61" s="42">
        <f>SUMIFS('KPI trừ'!$D:$D, 'KPI trừ'!$A:$A, B61, 'KPI trừ'!$B:$B, C61)</f>
        <v>0</v>
      </c>
      <c r="AM61" s="42">
        <f>SUMIFS('KPI trừ'!$E:$E, 'KPI trừ'!$A:$A, B61, 'KPI trừ'!$B:$B, C61)</f>
        <v>0</v>
      </c>
      <c r="AN61" s="42">
        <f>SUMIFS('KPI trừ'!$F:$F, 'KPI trừ'!$A:$A, B61, 'KPI trừ'!$B:$B, C61)</f>
        <v>0</v>
      </c>
      <c r="AO61" s="42">
        <f>SUMIFS('KPI trừ'!$G:$G, 'KPI trừ'!$A:$A, B61, 'KPI trừ'!$B:$B, C61)</f>
        <v>0</v>
      </c>
      <c r="AP61" s="44" t="str">
        <f>IFERROR(INDEX('KPI trừ'!$H:$H, MATCH(1, ('KPI trừ'!$A:$A=B61)*('KPI trừ'!$B:$B=C61), 0)), "")</f>
        <v/>
      </c>
      <c r="AQ61" s="16"/>
      <c r="AR61" s="44"/>
      <c r="AS61" s="44"/>
      <c r="AT61" s="44"/>
      <c r="AU61" s="44"/>
      <c r="AV61" s="44"/>
      <c r="AW61" s="44"/>
      <c r="AX61" s="44"/>
      <c r="AY61" s="44"/>
      <c r="AZ61" s="44"/>
      <c r="BA61" s="44"/>
    </row>
    <row r="62" spans="1:53" ht="15.75" customHeight="1">
      <c r="A62" s="34">
        <v>60</v>
      </c>
      <c r="B62" s="35" t="s">
        <v>24</v>
      </c>
      <c r="C62" s="36" t="s">
        <v>125</v>
      </c>
      <c r="D62" s="34" t="s">
        <v>95</v>
      </c>
      <c r="E62" s="140">
        <f t="shared" si="7"/>
        <v>231.6</v>
      </c>
      <c r="F62" s="140">
        <f t="shared" si="8"/>
        <v>16.95</v>
      </c>
      <c r="G62" s="39">
        <f>SUMIFS('Giờ công'!I:I, 'Giờ công'!G:G, B62, 'Giờ công'!H:H, C62)</f>
        <v>223.6</v>
      </c>
      <c r="H62" s="39">
        <f>SUMIFS('Giờ công'!J:J, 'Giờ công'!G:G, B62, 'Giờ công'!H:H, C62)</f>
        <v>16.95</v>
      </c>
      <c r="I62" s="42">
        <f t="shared" si="9"/>
        <v>8</v>
      </c>
      <c r="J62" s="193">
        <f t="shared" si="10"/>
        <v>9.3000000000000007</v>
      </c>
      <c r="K62" s="42">
        <f>SUMIFS('Ngày công'!I:I, 'Ngày công'!A:A, B62, 'Ngày công'!B:B, C62)</f>
        <v>2</v>
      </c>
      <c r="L62" s="35"/>
      <c r="M62" s="35"/>
      <c r="N62" s="42">
        <f>SUMIFS('Tăng ca lễ'!M:M, 'Tăng ca lễ'!K:K, B62, 'Tăng ca lễ'!L:L, C62)</f>
        <v>0</v>
      </c>
      <c r="O62" s="35">
        <f>IF(OR(D62="PT", D62="DSHV"), SUMIFS('Tăng ca lễ'!O:O, 'Tăng ca lễ'!K:K, B62, 'Tăng ca lễ'!L:L, C62)*2, SUMIFS('Tăng ca lễ'!O:O, 'Tăng ca lễ'!K:K, B62, 'Tăng ca lễ'!L:L, C62)*3)</f>
        <v>0</v>
      </c>
      <c r="P62" s="35">
        <f>IF(OR(D62="PT", D62="DSHV"), SUMIFS('Tăng ca lễ'!P:P, 'Tăng ca lễ'!K:K, B62, 'Tăng ca lễ'!L:L, C62)*2, SUMIFS('Tăng ca lễ'!P:P, 'Tăng ca lễ'!K:K, B62, 'Tăng ca lễ'!L:L, C62)*3)</f>
        <v>0</v>
      </c>
      <c r="Q62" s="35"/>
      <c r="R62" s="42">
        <f>SUMIFS('Ngày công'!M:M, 'Ngày công'!K:K, B62, 'Ngày công'!L:L, C62)</f>
        <v>29</v>
      </c>
      <c r="S62" s="39">
        <f>SUMIFS('Công Đào tạo'!G:G, 'Công Đào tạo'!E:E, B62, 'Công Đào tạo'!F:F, C62)</f>
        <v>0</v>
      </c>
      <c r="T62" s="35">
        <v>0</v>
      </c>
      <c r="U62" s="41"/>
      <c r="V62" s="42">
        <f t="shared" si="11"/>
        <v>0</v>
      </c>
      <c r="W62" s="42"/>
      <c r="X62" s="42">
        <f t="shared" si="12"/>
        <v>0</v>
      </c>
      <c r="Y62" s="42"/>
      <c r="Z62" s="42"/>
      <c r="AA62" s="42">
        <f>IF(ROW()=MATCH(C62, $C$1:$C$72, 0), IFERROR(VLOOKUP(C62, 'MiniKat - HN'!$A:$L, 12, FALSE), 0) + IFERROR(VLOOKUP(C62, 'MiniKat - HCM'!$A:$J, 10, FALSE), 0), 0)</f>
        <v>0</v>
      </c>
      <c r="AB62" s="42">
        <f>IF(OR(TRIM(D62)="CHT", TRIM(D62)="Q.CHT"), SUMIFS('MiniKat - HN'!$Y:$Y, 'MiniKat - HN'!$N:$N, B62) + SUMIFS('MiniKat - HCM'!$U:$U, 'MiniKat - HCM'!$M:$M, B62), 0)</f>
        <v>0</v>
      </c>
      <c r="AC62" s="42">
        <f>IF(ROW()=MATCH(C62, $C$1:$C$72, 0), SUMIFS(whatsapp!$D:$D, whatsapp!$A:$A, C62), 0)</f>
        <v>0</v>
      </c>
      <c r="AD62" s="42">
        <f>SUMIFS('Dự án'!$C:$C, 'Dự án'!$A:$A, B62, 'Dự án'!$B:$B, C62)</f>
        <v>0</v>
      </c>
      <c r="AE62" s="42">
        <f>SUMIFS(KPI!$C:$C, KPI!$A:$A, B62, KPI!$B:$B, C62)</f>
        <v>0</v>
      </c>
      <c r="AF62" s="43">
        <f>SUMIFS('Thưởng CK'!$C:$C, 'Thưởng CK'!$A:$A, B62, 'Thưởng CK'!$B:$B, C62)</f>
        <v>0</v>
      </c>
      <c r="AG62" s="42">
        <f>SUMIFS('Cận date'!$C:$C, 'Cận date'!$A:$A, B62, 'Cận date'!$B:$B, C62)</f>
        <v>0</v>
      </c>
      <c r="AH62" s="42">
        <f>SUMIFS(Map!$D:$D, Map!$B:$B, B62, Map!$A:$A, C62)</f>
        <v>0</v>
      </c>
      <c r="AI62" s="42">
        <v>0</v>
      </c>
      <c r="AJ62" s="42">
        <f t="shared" si="13"/>
        <v>0</v>
      </c>
      <c r="AK62" s="42">
        <f>SUMIFS('KPI trừ'!$C:$C, 'KPI trừ'!$A:$A, B62, 'KPI trừ'!$B:$B, C62)</f>
        <v>0</v>
      </c>
      <c r="AL62" s="42">
        <f>SUMIFS('KPI trừ'!$D:$D, 'KPI trừ'!$A:$A, B62, 'KPI trừ'!$B:$B, C62)</f>
        <v>0</v>
      </c>
      <c r="AM62" s="42">
        <f>SUMIFS('KPI trừ'!$E:$E, 'KPI trừ'!$A:$A, B62, 'KPI trừ'!$B:$B, C62)</f>
        <v>0</v>
      </c>
      <c r="AN62" s="42">
        <f>SUMIFS('KPI trừ'!$F:$F, 'KPI trừ'!$A:$A, B62, 'KPI trừ'!$B:$B, C62)</f>
        <v>0</v>
      </c>
      <c r="AO62" s="42">
        <f>SUMIFS('KPI trừ'!$G:$G, 'KPI trừ'!$A:$A, B62, 'KPI trừ'!$B:$B, C62)</f>
        <v>0</v>
      </c>
      <c r="AP62" s="44" t="str">
        <f>IFERROR(INDEX('KPI trừ'!$H:$H, MATCH(1, ('KPI trừ'!$A:$A=B62)*('KPI trừ'!$B:$B=C62), 0)), "")</f>
        <v/>
      </c>
      <c r="AQ62" s="16"/>
      <c r="AR62" s="44"/>
      <c r="AS62" s="44"/>
      <c r="AT62" s="44"/>
      <c r="AU62" s="44"/>
      <c r="AV62" s="44"/>
      <c r="AW62" s="44"/>
      <c r="AX62" s="44"/>
      <c r="AY62" s="44"/>
      <c r="AZ62" s="44"/>
      <c r="BA62" s="44"/>
    </row>
    <row r="63" spans="1:53" ht="15.75" customHeight="1">
      <c r="A63" s="34">
        <v>61</v>
      </c>
      <c r="B63" s="35" t="s">
        <v>25</v>
      </c>
      <c r="C63" s="36" t="s">
        <v>126</v>
      </c>
      <c r="D63" s="34" t="s">
        <v>73</v>
      </c>
      <c r="E63" s="140">
        <f t="shared" si="7"/>
        <v>165.92000000000002</v>
      </c>
      <c r="F63" s="140">
        <f t="shared" si="8"/>
        <v>47.16</v>
      </c>
      <c r="G63" s="39">
        <f>SUMIFS('Giờ công'!I:I, 'Giờ công'!G:G, B63, 'Giờ công'!H:H, C63)</f>
        <v>165.92000000000002</v>
      </c>
      <c r="H63" s="39">
        <f>SUMIFS('Giờ công'!J:J, 'Giờ công'!G:G, B63, 'Giờ công'!H:H, C63)</f>
        <v>47.16</v>
      </c>
      <c r="I63" s="42" t="str">
        <f t="shared" si="9"/>
        <v/>
      </c>
      <c r="J63" s="193">
        <f t="shared" si="10"/>
        <v>6.9</v>
      </c>
      <c r="K63" s="42">
        <f>SUMIFS('Ngày công'!I:I, 'Ngày công'!A:A, B63, 'Ngày công'!B:B, C63)</f>
        <v>6</v>
      </c>
      <c r="L63" s="35"/>
      <c r="M63" s="35"/>
      <c r="N63" s="42">
        <f>SUMIFS('Tăng ca lễ'!M:M, 'Tăng ca lễ'!K:K, B63, 'Tăng ca lễ'!L:L, C63)</f>
        <v>0</v>
      </c>
      <c r="O63" s="35">
        <f>IF(OR(D63="PT", D63="DSHV"), SUMIFS('Tăng ca lễ'!O:O, 'Tăng ca lễ'!K:K, B63, 'Tăng ca lễ'!L:L, C63)*2, SUMIFS('Tăng ca lễ'!O:O, 'Tăng ca lễ'!K:K, B63, 'Tăng ca lễ'!L:L, C63)*3)</f>
        <v>0</v>
      </c>
      <c r="P63" s="35">
        <f>IF(OR(D63="PT", D63="DSHV"), SUMIFS('Tăng ca lễ'!P:P, 'Tăng ca lễ'!K:K, B63, 'Tăng ca lễ'!L:L, C63)*2, SUMIFS('Tăng ca lễ'!P:P, 'Tăng ca lễ'!K:K, B63, 'Tăng ca lễ'!L:L, C63)*3)</f>
        <v>0</v>
      </c>
      <c r="Q63" s="35"/>
      <c r="R63" s="42">
        <f>SUMIFS('Ngày công'!M:M, 'Ngày công'!K:K, B63, 'Ngày công'!L:L, C63)</f>
        <v>23</v>
      </c>
      <c r="S63" s="39">
        <f>SUMIFS('Công Đào tạo'!G:G, 'Công Đào tạo'!E:E, B63, 'Công Đào tạo'!F:F, C63)</f>
        <v>0</v>
      </c>
      <c r="T63" s="35">
        <v>0</v>
      </c>
      <c r="U63" s="41"/>
      <c r="V63" s="46">
        <f t="shared" si="11"/>
        <v>370967.74193548388</v>
      </c>
      <c r="W63" s="42"/>
      <c r="X63" s="42">
        <f t="shared" si="12"/>
        <v>0</v>
      </c>
      <c r="Y63" s="42"/>
      <c r="Z63" s="42"/>
      <c r="AA63" s="42">
        <f>IF(ROW()=MATCH(C63, $C$1:$C$72, 0), IFERROR(VLOOKUP(C63, 'MiniKat - HN'!$A:$L, 12, FALSE), 0) + IFERROR(VLOOKUP(C63, 'MiniKat - HCM'!$A:$J, 10, FALSE), 0), 0)</f>
        <v>0</v>
      </c>
      <c r="AB63" s="42">
        <f>IF(OR(TRIM(D63)="CHT", TRIM(D63)="Q.CHT"), SUMIFS('MiniKat - HN'!$Y:$Y, 'MiniKat - HN'!$N:$N, B63) + SUMIFS('MiniKat - HCM'!$U:$U, 'MiniKat - HCM'!$M:$M, B63), 0)</f>
        <v>0</v>
      </c>
      <c r="AC63" s="42">
        <f>IF(ROW()=MATCH(C63, $C$1:$C$72, 0), SUMIFS(whatsapp!$D:$D, whatsapp!$A:$A, C63), 0)</f>
        <v>0</v>
      </c>
      <c r="AD63" s="42">
        <f>SUMIFS('Dự án'!$C:$C, 'Dự án'!$A:$A, B63, 'Dự án'!$B:$B, C63)</f>
        <v>0</v>
      </c>
      <c r="AE63" s="42">
        <f>SUMIFS(KPI!$C:$C, KPI!$A:$A, B63, KPI!$B:$B, C63)</f>
        <v>3251929</v>
      </c>
      <c r="AF63" s="43">
        <f>SUMIFS('Thưởng CK'!$C:$C, 'Thưởng CK'!$A:$A, B63, 'Thưởng CK'!$B:$B, C63)</f>
        <v>472750</v>
      </c>
      <c r="AG63" s="42">
        <f>SUMIFS('Cận date'!$C:$C, 'Cận date'!$A:$A, B63, 'Cận date'!$B:$B, C63)</f>
        <v>14636</v>
      </c>
      <c r="AH63" s="42">
        <f>SUMIFS(Map!$D:$D, Map!$B:$B, B63, Map!$A:$A, C63)</f>
        <v>0</v>
      </c>
      <c r="AI63" s="42">
        <v>0</v>
      </c>
      <c r="AJ63" s="42">
        <f t="shared" si="13"/>
        <v>0</v>
      </c>
      <c r="AK63" s="42">
        <f>SUMIFS('KPI trừ'!$C:$C, 'KPI trừ'!$A:$A, B63, 'KPI trừ'!$B:$B, C63)</f>
        <v>0</v>
      </c>
      <c r="AL63" s="42">
        <f>SUMIFS('KPI trừ'!$D:$D, 'KPI trừ'!$A:$A, B63, 'KPI trừ'!$B:$B, C63)</f>
        <v>0</v>
      </c>
      <c r="AM63" s="42">
        <f>SUMIFS('KPI trừ'!$E:$E, 'KPI trừ'!$A:$A, B63, 'KPI trừ'!$B:$B, C63)</f>
        <v>0</v>
      </c>
      <c r="AN63" s="42">
        <f>SUMIFS('KPI trừ'!$F:$F, 'KPI trừ'!$A:$A, B63, 'KPI trừ'!$B:$B, C63)</f>
        <v>0</v>
      </c>
      <c r="AO63" s="42">
        <f>SUMIFS('KPI trừ'!$G:$G, 'KPI trừ'!$A:$A, B63, 'KPI trừ'!$B:$B, C63)</f>
        <v>0</v>
      </c>
      <c r="AP63" s="44" t="str">
        <f>IFERROR(INDEX('KPI trừ'!$H:$H, MATCH(1, ('KPI trừ'!$A:$A=B63)*('KPI trừ'!$B:$B=C63), 0)), "")</f>
        <v/>
      </c>
      <c r="AQ63" s="16"/>
      <c r="AR63" s="44"/>
      <c r="AS63" s="44"/>
      <c r="AT63" s="44"/>
      <c r="AU63" s="44"/>
      <c r="AV63" s="44"/>
      <c r="AW63" s="44"/>
      <c r="AX63" s="44"/>
      <c r="AY63" s="44"/>
      <c r="AZ63" s="44"/>
      <c r="BA63" s="44"/>
    </row>
    <row r="64" spans="1:53" ht="15.75" customHeight="1">
      <c r="A64" s="34">
        <v>62</v>
      </c>
      <c r="B64" s="35" t="s">
        <v>25</v>
      </c>
      <c r="C64" s="36" t="s">
        <v>127</v>
      </c>
      <c r="D64" s="34" t="s">
        <v>79</v>
      </c>
      <c r="E64" s="140">
        <f t="shared" si="7"/>
        <v>16</v>
      </c>
      <c r="F64" s="140">
        <f t="shared" si="8"/>
        <v>247.77</v>
      </c>
      <c r="G64" s="39">
        <f>SUMIFS('Giờ công'!I:I, 'Giờ công'!G:G, B64, 'Giờ công'!H:H, C64)</f>
        <v>0</v>
      </c>
      <c r="H64" s="39">
        <f>SUMIFS('Giờ công'!J:J, 'Giờ công'!G:G, B64, 'Giờ công'!H:H, C64)</f>
        <v>247.77</v>
      </c>
      <c r="I64" s="42">
        <f t="shared" si="9"/>
        <v>16</v>
      </c>
      <c r="J64" s="193">
        <f t="shared" si="10"/>
        <v>0</v>
      </c>
      <c r="K64" s="42">
        <f>SUMIFS('Ngày công'!I:I, 'Ngày công'!A:A, B64, 'Ngày công'!B:B, C64)</f>
        <v>31</v>
      </c>
      <c r="L64" s="35"/>
      <c r="M64" s="35"/>
      <c r="N64" s="42">
        <f>SUMIFS('Tăng ca lễ'!M:M, 'Tăng ca lễ'!K:K, B64, 'Tăng ca lễ'!L:L, C64)</f>
        <v>0</v>
      </c>
      <c r="O64" s="35">
        <f>IF(OR(D64="PT", D64="DSHV"), SUMIFS('Tăng ca lễ'!O:O, 'Tăng ca lễ'!K:K, B64, 'Tăng ca lễ'!L:L, C64)*2, SUMIFS('Tăng ca lễ'!O:O, 'Tăng ca lễ'!K:K, B64, 'Tăng ca lễ'!L:L, C64)*3)</f>
        <v>0</v>
      </c>
      <c r="P64" s="35">
        <f>IF(OR(D64="PT", D64="DSHV"), SUMIFS('Tăng ca lễ'!P:P, 'Tăng ca lễ'!K:K, B64, 'Tăng ca lễ'!L:L, C64)*2, SUMIFS('Tăng ca lễ'!P:P, 'Tăng ca lễ'!K:K, B64, 'Tăng ca lễ'!L:L, C64)*3)</f>
        <v>0</v>
      </c>
      <c r="Q64" s="35"/>
      <c r="R64" s="42">
        <f>SUMIFS('Ngày công'!M:M, 'Ngày công'!K:K, B64, 'Ngày công'!L:L, C64)</f>
        <v>31</v>
      </c>
      <c r="S64" s="39">
        <f>SUMIFS('Công Đào tạo'!G:G, 'Công Đào tạo'!E:E, B64, 'Công Đào tạo'!F:F, C64)</f>
        <v>0</v>
      </c>
      <c r="T64" s="35">
        <v>0</v>
      </c>
      <c r="U64" s="41"/>
      <c r="V64" s="46">
        <f t="shared" si="11"/>
        <v>0</v>
      </c>
      <c r="W64" s="42"/>
      <c r="X64" s="42">
        <f t="shared" si="12"/>
        <v>0</v>
      </c>
      <c r="Y64" s="42"/>
      <c r="Z64" s="42"/>
      <c r="AA64" s="42">
        <f>IF(ROW()=MATCH(C64, $C$1:$C$72, 0), IFERROR(VLOOKUP(C64, 'MiniKat - HN'!$A:$L, 12, FALSE), 0) + IFERROR(VLOOKUP(C64, 'MiniKat - HCM'!$A:$J, 10, FALSE), 0), 0)</f>
        <v>324000</v>
      </c>
      <c r="AB64" s="42">
        <f>IF(OR(TRIM(D64)="CHT", TRIM(D64)="Q.CHT"), SUMIFS('MiniKat - HN'!$Y:$Y, 'MiniKat - HN'!$N:$N, B64) + SUMIFS('MiniKat - HCM'!$U:$U, 'MiniKat - HCM'!$M:$M, B64), 0)</f>
        <v>0</v>
      </c>
      <c r="AC64" s="42">
        <f>IF(ROW()=MATCH(C64, $C$1:$C$72, 0), SUMIFS(whatsapp!$D:$D, whatsapp!$A:$A, C64), 0)</f>
        <v>0</v>
      </c>
      <c r="AD64" s="42">
        <f>SUMIFS('Dự án'!$C:$C, 'Dự án'!$A:$A, B64, 'Dự án'!$B:$B, C64)</f>
        <v>1650000</v>
      </c>
      <c r="AE64" s="42">
        <f>SUMIFS(KPI!$C:$C, KPI!$A:$A, B64, KPI!$B:$B, C64)</f>
        <v>1926300</v>
      </c>
      <c r="AF64" s="43">
        <f>SUMIFS('Thưởng CK'!$C:$C, 'Thưởng CK'!$A:$A, B64, 'Thưởng CK'!$B:$B, C64)</f>
        <v>6729100</v>
      </c>
      <c r="AG64" s="42">
        <f>SUMIFS('Cận date'!$C:$C, 'Cận date'!$A:$A, B64, 'Cận date'!$B:$B, C64)</f>
        <v>36876</v>
      </c>
      <c r="AH64" s="42">
        <f>SUMIFS(Map!$D:$D, Map!$B:$B, B64, Map!$A:$A, C64)</f>
        <v>0</v>
      </c>
      <c r="AI64" s="42">
        <v>0</v>
      </c>
      <c r="AJ64" s="42">
        <f t="shared" si="13"/>
        <v>0</v>
      </c>
      <c r="AK64" s="42">
        <f>SUMIFS('KPI trừ'!$C:$C, 'KPI trừ'!$A:$A, B64, 'KPI trừ'!$B:$B, C64)</f>
        <v>0</v>
      </c>
      <c r="AL64" s="42">
        <f>SUMIFS('KPI trừ'!$D:$D, 'KPI trừ'!$A:$A, B64, 'KPI trừ'!$B:$B, C64)</f>
        <v>0</v>
      </c>
      <c r="AM64" s="42">
        <f>SUMIFS('KPI trừ'!$E:$E, 'KPI trừ'!$A:$A, B64, 'KPI trừ'!$B:$B, C64)</f>
        <v>0</v>
      </c>
      <c r="AN64" s="42">
        <f>SUMIFS('KPI trừ'!$F:$F, 'KPI trừ'!$A:$A, B64, 'KPI trừ'!$B:$B, C64)</f>
        <v>0</v>
      </c>
      <c r="AO64" s="42">
        <f>SUMIFS('KPI trừ'!$G:$G, 'KPI trừ'!$A:$A, B64, 'KPI trừ'!$B:$B, C64)</f>
        <v>0</v>
      </c>
      <c r="AP64" s="44" t="str">
        <f>IFERROR(INDEX('KPI trừ'!$H:$H, MATCH(1, ('KPI trừ'!$A:$A=B64)*('KPI trừ'!$B:$B=C64), 0)), "")</f>
        <v/>
      </c>
      <c r="AQ64" s="16"/>
      <c r="AR64" s="44"/>
      <c r="AS64" s="44"/>
      <c r="AT64" s="44"/>
      <c r="AU64" s="44"/>
      <c r="AV64" s="44"/>
      <c r="AW64" s="44"/>
      <c r="AX64" s="44"/>
      <c r="AY64" s="44"/>
      <c r="AZ64" s="44"/>
      <c r="BA64" s="44"/>
    </row>
    <row r="65" spans="1:53" ht="15.75" customHeight="1">
      <c r="A65" s="34">
        <v>63</v>
      </c>
      <c r="B65" s="35" t="s">
        <v>25</v>
      </c>
      <c r="C65" s="36" t="s">
        <v>128</v>
      </c>
      <c r="D65" s="34" t="s">
        <v>81</v>
      </c>
      <c r="E65" s="140">
        <f t="shared" si="7"/>
        <v>211.41000000000011</v>
      </c>
      <c r="F65" s="140">
        <f t="shared" si="8"/>
        <v>77.34</v>
      </c>
      <c r="G65" s="39">
        <f>SUMIFS('Giờ công'!I:I, 'Giờ công'!G:G, B65, 'Giờ công'!H:H, C65)</f>
        <v>211.41000000000011</v>
      </c>
      <c r="H65" s="39">
        <f>SUMIFS('Giờ công'!J:J, 'Giờ công'!G:G, B65, 'Giờ công'!H:H, C65)</f>
        <v>77.34</v>
      </c>
      <c r="I65" s="42" t="str">
        <f t="shared" si="9"/>
        <v/>
      </c>
      <c r="J65" s="193">
        <f t="shared" si="10"/>
        <v>8.8000000000000007</v>
      </c>
      <c r="K65" s="42">
        <f>SUMIFS('Ngày công'!I:I, 'Ngày công'!A:A, B65, 'Ngày công'!B:B, C65)</f>
        <v>6</v>
      </c>
      <c r="L65" s="35"/>
      <c r="M65" s="35"/>
      <c r="N65" s="42">
        <f>SUMIFS('Tăng ca lễ'!M:M, 'Tăng ca lễ'!K:K, B65, 'Tăng ca lễ'!L:L, C65)</f>
        <v>0</v>
      </c>
      <c r="O65" s="35">
        <f>IF(OR(D65="PT", D65="DSHV"), SUMIFS('Tăng ca lễ'!O:O, 'Tăng ca lễ'!K:K, B65, 'Tăng ca lễ'!L:L, C65)*2, SUMIFS('Tăng ca lễ'!O:O, 'Tăng ca lễ'!K:K, B65, 'Tăng ca lễ'!L:L, C65)*3)</f>
        <v>0</v>
      </c>
      <c r="P65" s="35">
        <f>IF(OR(D65="PT", D65="DSHV"), SUMIFS('Tăng ca lễ'!P:P, 'Tăng ca lễ'!K:K, B65, 'Tăng ca lễ'!L:L, C65)*2, SUMIFS('Tăng ca lễ'!P:P, 'Tăng ca lễ'!K:K, B65, 'Tăng ca lễ'!L:L, C65)*3)</f>
        <v>0</v>
      </c>
      <c r="Q65" s="35"/>
      <c r="R65" s="42">
        <f>SUMIFS('Ngày công'!M:M, 'Ngày công'!K:K, B65, 'Ngày công'!L:L, C65)</f>
        <v>28</v>
      </c>
      <c r="S65" s="39">
        <f>SUMIFS('Công Đào tạo'!G:G, 'Công Đào tạo'!E:E, B65, 'Công Đào tạo'!F:F, C65)</f>
        <v>0</v>
      </c>
      <c r="T65" s="35">
        <v>0</v>
      </c>
      <c r="U65" s="41"/>
      <c r="V65" s="46">
        <f t="shared" si="11"/>
        <v>0</v>
      </c>
      <c r="W65" s="42"/>
      <c r="X65" s="42">
        <f t="shared" si="12"/>
        <v>0</v>
      </c>
      <c r="Y65" s="42"/>
      <c r="Z65" s="42"/>
      <c r="AA65" s="42">
        <f>IF(ROW()=MATCH(C65, $C$1:$C$72, 0), IFERROR(VLOOKUP(C65, 'MiniKat - HN'!$A:$L, 12, FALSE), 0) + IFERROR(VLOOKUP(C65, 'MiniKat - HCM'!$A:$J, 10, FALSE), 0), 0)</f>
        <v>0</v>
      </c>
      <c r="AB65" s="42">
        <f>IF(OR(TRIM(D65)="CHT", TRIM(D65)="Q.CHT"), SUMIFS('MiniKat - HN'!$Y:$Y, 'MiniKat - HN'!$N:$N, B65) + SUMIFS('MiniKat - HCM'!$U:$U, 'MiniKat - HCM'!$M:$M, B65), 0)</f>
        <v>0</v>
      </c>
      <c r="AC65" s="42">
        <f>IF(ROW()=MATCH(C65, $C$1:$C$72, 0), SUMIFS(whatsapp!$D:$D, whatsapp!$A:$A, C65), 0)</f>
        <v>0</v>
      </c>
      <c r="AD65" s="42">
        <f>SUMIFS('Dự án'!$C:$C, 'Dự án'!$A:$A, B65, 'Dự án'!$B:$B, C65)</f>
        <v>1550000</v>
      </c>
      <c r="AE65" s="42">
        <f>SUMIFS(KPI!$C:$C, KPI!$A:$A, B65, KPI!$B:$B, C65)</f>
        <v>2293837</v>
      </c>
      <c r="AF65" s="43">
        <f>SUMIFS('Thưởng CK'!$C:$C, 'Thưởng CK'!$A:$A, B65, 'Thưởng CK'!$B:$B, C65)</f>
        <v>4555900</v>
      </c>
      <c r="AG65" s="42">
        <f>SUMIFS('Cận date'!$C:$C, 'Cận date'!$A:$A, B65, 'Cận date'!$B:$B, C65)</f>
        <v>124767</v>
      </c>
      <c r="AH65" s="42">
        <f>SUMIFS(Map!$D:$D, Map!$B:$B, B65, Map!$A:$A, C65)</f>
        <v>0</v>
      </c>
      <c r="AI65" s="42">
        <v>0</v>
      </c>
      <c r="AJ65" s="42">
        <f t="shared" si="13"/>
        <v>0</v>
      </c>
      <c r="AK65" s="42">
        <f>SUMIFS('KPI trừ'!$C:$C, 'KPI trừ'!$A:$A, B65, 'KPI trừ'!$B:$B, C65)</f>
        <v>0</v>
      </c>
      <c r="AL65" s="42">
        <f>SUMIFS('KPI trừ'!$D:$D, 'KPI trừ'!$A:$A, B65, 'KPI trừ'!$B:$B, C65)</f>
        <v>0</v>
      </c>
      <c r="AM65" s="42">
        <f>SUMIFS('KPI trừ'!$E:$E, 'KPI trừ'!$A:$A, B65, 'KPI trừ'!$B:$B, C65)</f>
        <v>0</v>
      </c>
      <c r="AN65" s="42">
        <f>SUMIFS('KPI trừ'!$F:$F, 'KPI trừ'!$A:$A, B65, 'KPI trừ'!$B:$B, C65)</f>
        <v>0</v>
      </c>
      <c r="AO65" s="42">
        <f>SUMIFS('KPI trừ'!$G:$G, 'KPI trừ'!$A:$A, B65, 'KPI trừ'!$B:$B, C65)</f>
        <v>0</v>
      </c>
      <c r="AP65" s="44" t="str">
        <f>IFERROR(INDEX('KPI trừ'!$H:$H, MATCH(1, ('KPI trừ'!$A:$A=B65)*('KPI trừ'!$B:$B=C65), 0)), "")</f>
        <v/>
      </c>
      <c r="AQ65" s="16"/>
      <c r="AR65" s="44"/>
      <c r="AS65" s="44"/>
      <c r="AT65" s="44"/>
      <c r="AU65" s="44"/>
      <c r="AV65" s="44"/>
      <c r="AW65" s="44"/>
      <c r="AX65" s="44"/>
      <c r="AY65" s="44"/>
      <c r="AZ65" s="44"/>
      <c r="BA65" s="44"/>
    </row>
    <row r="66" spans="1:53" ht="15.75" customHeight="1">
      <c r="A66" s="34">
        <v>64</v>
      </c>
      <c r="B66" s="35" t="s">
        <v>25</v>
      </c>
      <c r="C66" s="36" t="s">
        <v>129</v>
      </c>
      <c r="D66" s="34" t="s">
        <v>81</v>
      </c>
      <c r="E66" s="140">
        <f t="shared" si="7"/>
        <v>112.18</v>
      </c>
      <c r="F66" s="140">
        <f t="shared" si="8"/>
        <v>176.26</v>
      </c>
      <c r="G66" s="39">
        <f>SUMIFS('Giờ công'!I:I, 'Giờ công'!G:G, B66, 'Giờ công'!H:H, C66)</f>
        <v>112.18</v>
      </c>
      <c r="H66" s="39">
        <f>SUMIFS('Giờ công'!J:J, 'Giờ công'!G:G, B66, 'Giờ công'!H:H, C66)</f>
        <v>176.26</v>
      </c>
      <c r="I66" s="42" t="str">
        <f t="shared" si="9"/>
        <v/>
      </c>
      <c r="J66" s="193">
        <f t="shared" si="10"/>
        <v>4.7</v>
      </c>
      <c r="K66" s="42">
        <f>SUMIFS('Ngày công'!I:I, 'Ngày công'!A:A, B66, 'Ngày công'!B:B, C66)</f>
        <v>22</v>
      </c>
      <c r="L66" s="35"/>
      <c r="M66" s="35"/>
      <c r="N66" s="42">
        <f>SUMIFS('Tăng ca lễ'!M:M, 'Tăng ca lễ'!K:K, B66, 'Tăng ca lễ'!L:L, C66)</f>
        <v>0</v>
      </c>
      <c r="O66" s="35">
        <f>IF(OR(D66="PT", D66="DSHV"), SUMIFS('Tăng ca lễ'!O:O, 'Tăng ca lễ'!K:K, B66, 'Tăng ca lễ'!L:L, C66)*2, SUMIFS('Tăng ca lễ'!O:O, 'Tăng ca lễ'!K:K, B66, 'Tăng ca lễ'!L:L, C66)*3)</f>
        <v>0</v>
      </c>
      <c r="P66" s="35">
        <f>IF(OR(D66="PT", D66="DSHV"), SUMIFS('Tăng ca lễ'!P:P, 'Tăng ca lễ'!K:K, B66, 'Tăng ca lễ'!L:L, C66)*2, SUMIFS('Tăng ca lễ'!P:P, 'Tăng ca lễ'!K:K, B66, 'Tăng ca lễ'!L:L, C66)*3)</f>
        <v>0</v>
      </c>
      <c r="Q66" s="35"/>
      <c r="R66" s="42">
        <f>SUMIFS('Ngày công'!M:M, 'Ngày công'!K:K, B66, 'Ngày công'!L:L, C66)</f>
        <v>28</v>
      </c>
      <c r="S66" s="39">
        <f>SUMIFS('Công Đào tạo'!G:G, 'Công Đào tạo'!E:E, B66, 'Công Đào tạo'!F:F, C66)</f>
        <v>0</v>
      </c>
      <c r="T66" s="35">
        <v>0</v>
      </c>
      <c r="U66" s="41"/>
      <c r="V66" s="46">
        <f t="shared" si="11"/>
        <v>0</v>
      </c>
      <c r="W66" s="42"/>
      <c r="X66" s="42">
        <f t="shared" si="12"/>
        <v>1178571</v>
      </c>
      <c r="Y66" s="42"/>
      <c r="Z66" s="42"/>
      <c r="AA66" s="42">
        <f>IF(ROW()=MATCH(C66, $C$1:$C$72, 0), IFERROR(VLOOKUP(C66, 'MiniKat - HN'!$A:$L, 12, FALSE), 0) + IFERROR(VLOOKUP(C66, 'MiniKat - HCM'!$A:$J, 10, FALSE), 0), 0)</f>
        <v>184000</v>
      </c>
      <c r="AB66" s="42">
        <f>IF(OR(TRIM(D66)="CHT", TRIM(D66)="Q.CHT"), SUMIFS('MiniKat - HN'!$Y:$Y, 'MiniKat - HN'!$N:$N, B66) + SUMIFS('MiniKat - HCM'!$U:$U, 'MiniKat - HCM'!$M:$M, B66), 0)</f>
        <v>0</v>
      </c>
      <c r="AC66" s="42">
        <f>IF(ROW()=MATCH(C66, $C$1:$C$72, 0), SUMIFS(whatsapp!$D:$D, whatsapp!$A:$A, C66), 0)</f>
        <v>0</v>
      </c>
      <c r="AD66" s="42">
        <f>SUMIFS('Dự án'!$C:$C, 'Dự án'!$A:$A, B66, 'Dự án'!$B:$B, C66)</f>
        <v>1150000</v>
      </c>
      <c r="AE66" s="42">
        <f>SUMIFS(KPI!$C:$C, KPI!$A:$A, B66, KPI!$B:$B, C66)</f>
        <v>2079796</v>
      </c>
      <c r="AF66" s="43">
        <f>SUMIFS('Thưởng CK'!$C:$C, 'Thưởng CK'!$A:$A, B66, 'Thưởng CK'!$B:$B, C66)</f>
        <v>5186750</v>
      </c>
      <c r="AG66" s="42">
        <f>SUMIFS('Cận date'!$C:$C, 'Cận date'!$A:$A, B66, 'Cận date'!$B:$B, C66)</f>
        <v>23664</v>
      </c>
      <c r="AH66" s="42">
        <f>SUMIFS(Map!$D:$D, Map!$B:$B, B66, Map!$A:$A, C66)</f>
        <v>0</v>
      </c>
      <c r="AI66" s="42">
        <v>0</v>
      </c>
      <c r="AJ66" s="42">
        <f t="shared" si="13"/>
        <v>0</v>
      </c>
      <c r="AK66" s="42">
        <f>SUMIFS('KPI trừ'!$C:$C, 'KPI trừ'!$A:$A, B66, 'KPI trừ'!$B:$B, C66)</f>
        <v>0</v>
      </c>
      <c r="AL66" s="42">
        <f>SUMIFS('KPI trừ'!$D:$D, 'KPI trừ'!$A:$A, B66, 'KPI trừ'!$B:$B, C66)</f>
        <v>0</v>
      </c>
      <c r="AM66" s="42">
        <f>SUMIFS('KPI trừ'!$E:$E, 'KPI trừ'!$A:$A, B66, 'KPI trừ'!$B:$B, C66)</f>
        <v>0</v>
      </c>
      <c r="AN66" s="42">
        <f>SUMIFS('KPI trừ'!$F:$F, 'KPI trừ'!$A:$A, B66, 'KPI trừ'!$B:$B, C66)</f>
        <v>0</v>
      </c>
      <c r="AO66" s="42">
        <f>SUMIFS('KPI trừ'!$G:$G, 'KPI trừ'!$A:$A, B66, 'KPI trừ'!$B:$B, C66)</f>
        <v>0</v>
      </c>
      <c r="AP66" s="44" t="str">
        <f>IFERROR(INDEX('KPI trừ'!$H:$H, MATCH(1, ('KPI trừ'!$A:$A=B66)*('KPI trừ'!$B:$B=C66), 0)), "")</f>
        <v/>
      </c>
      <c r="AQ66" s="16"/>
      <c r="AR66" s="44"/>
      <c r="AS66" s="44"/>
      <c r="AT66" s="44"/>
      <c r="AU66" s="44"/>
      <c r="AV66" s="44"/>
      <c r="AW66" s="44"/>
      <c r="AX66" s="44"/>
      <c r="AY66" s="44"/>
      <c r="AZ66" s="44"/>
      <c r="BA66" s="44"/>
    </row>
    <row r="67" spans="1:53" ht="15.75" customHeight="1">
      <c r="A67" s="34">
        <v>65</v>
      </c>
      <c r="B67" s="35" t="s">
        <v>25</v>
      </c>
      <c r="C67" s="36" t="s">
        <v>130</v>
      </c>
      <c r="D67" s="34" t="s">
        <v>81</v>
      </c>
      <c r="E67" s="140">
        <f t="shared" ref="E67:E72" si="14">SUM(G67, I67, L67, O67, S67, T67)</f>
        <v>211.68</v>
      </c>
      <c r="F67" s="140">
        <f t="shared" ref="F67:F72" si="15">SUM(H67, P67)</f>
        <v>41.129999999999995</v>
      </c>
      <c r="G67" s="39">
        <f>SUMIFS('Giờ công'!I:I, 'Giờ công'!G:G, B67, 'Giờ công'!H:H, C67)</f>
        <v>211.68</v>
      </c>
      <c r="H67" s="39">
        <f>SUMIFS('Giờ công'!J:J, 'Giờ công'!G:G, B67, 'Giờ công'!H:H, C67)</f>
        <v>41.129999999999995</v>
      </c>
      <c r="I67" s="42" t="str">
        <f t="shared" ref="I67:I72" si="16">IF(ROW()=MATCH(C67, $C$1:$C$72, 0), IF(SUMIF($C$3:$C$72, C67, $R$3:$R$72)&gt;=30, 16, IF(SUMIF($C$3:$C$72, C67, $R$3:$R$72)&gt;=29, 8, "")), "")</f>
        <v/>
      </c>
      <c r="J67" s="193">
        <f t="shared" ref="J67:J72" si="17">ROUND(G67/24, 1)</f>
        <v>8.8000000000000007</v>
      </c>
      <c r="K67" s="42">
        <f>SUMIFS('Ngày công'!I:I, 'Ngày công'!A:A, B67, 'Ngày công'!B:B, C67)</f>
        <v>4</v>
      </c>
      <c r="L67" s="35"/>
      <c r="M67" s="35"/>
      <c r="N67" s="42">
        <f>SUMIFS('Tăng ca lễ'!M:M, 'Tăng ca lễ'!K:K, B67, 'Tăng ca lễ'!L:L, C67)</f>
        <v>0</v>
      </c>
      <c r="O67" s="35">
        <f>IF(OR(D67="PT", D67="DSHV"), SUMIFS('Tăng ca lễ'!O:O, 'Tăng ca lễ'!K:K, B67, 'Tăng ca lễ'!L:L, C67)*2, SUMIFS('Tăng ca lễ'!O:O, 'Tăng ca lễ'!K:K, B67, 'Tăng ca lễ'!L:L, C67)*3)</f>
        <v>0</v>
      </c>
      <c r="P67" s="35">
        <f>IF(OR(D67="PT", D67="DSHV"), SUMIFS('Tăng ca lễ'!P:P, 'Tăng ca lễ'!K:K, B67, 'Tăng ca lễ'!L:L, C67)*2, SUMIFS('Tăng ca lễ'!P:P, 'Tăng ca lễ'!K:K, B67, 'Tăng ca lễ'!L:L, C67)*3)</f>
        <v>0</v>
      </c>
      <c r="Q67" s="35"/>
      <c r="R67" s="42">
        <f>SUMIFS('Ngày công'!M:M, 'Ngày công'!K:K, B67, 'Ngày công'!L:L, C67)</f>
        <v>26</v>
      </c>
      <c r="S67" s="39">
        <f>SUMIFS('Công Đào tạo'!G:G, 'Công Đào tạo'!E:E, B67, 'Công Đào tạo'!F:F, C67)</f>
        <v>0</v>
      </c>
      <c r="T67" s="35">
        <v>0</v>
      </c>
      <c r="U67" s="41"/>
      <c r="V67" s="46">
        <f t="shared" ref="V67:V72" si="18">IF(AND(ROW()=MATCH(C67, $C$1:$C$72, 0), OR(TRIM(D67)="CHT", TRIM(D67)="Q.CHT")), 500000/31*SUMIF($C$3:$C$72, C67, $R$3:$R$72), 0)</f>
        <v>0</v>
      </c>
      <c r="W67" s="42"/>
      <c r="X67" s="42">
        <f t="shared" ref="X67:X72" si="19">IF(C67="","", IF(TRIM(D67)="DSCD", MIN(1500000, ROUND(1500000/28*MIN(N(J67),28),0)), IF(AND(OR(TRIM(D67)="DSXC", TRIM(D67)="DSBC", TRIM(D67)="CHT", TRIM(D67)="DSTV", TRIM(D67)="Q.CHT"), N(H67)&gt;=160), MIN(1500000, ROUND(1500000/28*MIN(N(K67),28),0)), 0)))</f>
        <v>0</v>
      </c>
      <c r="Y67" s="42"/>
      <c r="Z67" s="42"/>
      <c r="AA67" s="42">
        <f>IF(ROW()=MATCH(C67, $C$1:$C$72, 0), IFERROR(VLOOKUP(C67, 'MiniKat - HN'!$A:$L, 12, FALSE), 0) + IFERROR(VLOOKUP(C67, 'MiniKat - HCM'!$A:$J, 10, FALSE), 0), 0)</f>
        <v>0</v>
      </c>
      <c r="AB67" s="42">
        <f>IF(OR(TRIM(D67)="CHT", TRIM(D67)="Q.CHT"), SUMIFS('MiniKat - HN'!$Y:$Y, 'MiniKat - HN'!$N:$N, B67) + SUMIFS('MiniKat - HCM'!$U:$U, 'MiniKat - HCM'!$M:$M, B67), 0)</f>
        <v>0</v>
      </c>
      <c r="AC67" s="42">
        <f>IF(ROW()=MATCH(C67, $C$1:$C$72, 0), SUMIFS(whatsapp!$D:$D, whatsapp!$A:$A, C67), 0)</f>
        <v>0</v>
      </c>
      <c r="AD67" s="42">
        <f>SUMIFS('Dự án'!$C:$C, 'Dự án'!$A:$A, B67, 'Dự án'!$B:$B, C67)</f>
        <v>0</v>
      </c>
      <c r="AE67" s="42">
        <f>SUMIFS(KPI!$C:$C, KPI!$A:$A, B67, KPI!$B:$B, C67)</f>
        <v>1979598</v>
      </c>
      <c r="AF67" s="43">
        <f>SUMIFS('Thưởng CK'!$C:$C, 'Thưởng CK'!$A:$A, B67, 'Thưởng CK'!$B:$B, C67)</f>
        <v>1520650</v>
      </c>
      <c r="AG67" s="42">
        <f>SUMIFS('Cận date'!$C:$C, 'Cận date'!$A:$A, B67, 'Cận date'!$B:$B, C67)</f>
        <v>170114</v>
      </c>
      <c r="AH67" s="42">
        <f>SUMIFS(Map!$D:$D, Map!$B:$B, B67, Map!$A:$A, C67)</f>
        <v>0</v>
      </c>
      <c r="AI67" s="42">
        <v>0</v>
      </c>
      <c r="AJ67" s="42">
        <f t="shared" ref="AJ67:AJ98" si="20">SUM(AK67:AO67)</f>
        <v>0</v>
      </c>
      <c r="AK67" s="42">
        <f>SUMIFS('KPI trừ'!$C:$C, 'KPI trừ'!$A:$A, B67, 'KPI trừ'!$B:$B, C67)</f>
        <v>0</v>
      </c>
      <c r="AL67" s="42">
        <f>SUMIFS('KPI trừ'!$D:$D, 'KPI trừ'!$A:$A, B67, 'KPI trừ'!$B:$B, C67)</f>
        <v>0</v>
      </c>
      <c r="AM67" s="42">
        <f>SUMIFS('KPI trừ'!$E:$E, 'KPI trừ'!$A:$A, B67, 'KPI trừ'!$B:$B, C67)</f>
        <v>0</v>
      </c>
      <c r="AN67" s="42">
        <f>SUMIFS('KPI trừ'!$F:$F, 'KPI trừ'!$A:$A, B67, 'KPI trừ'!$B:$B, C67)</f>
        <v>0</v>
      </c>
      <c r="AO67" s="42">
        <f>SUMIFS('KPI trừ'!$G:$G, 'KPI trừ'!$A:$A, B67, 'KPI trừ'!$B:$B, C67)</f>
        <v>0</v>
      </c>
      <c r="AP67" s="44" t="str">
        <f>IFERROR(INDEX('KPI trừ'!$H:$H, MATCH(1, ('KPI trừ'!$A:$A=B67)*('KPI trừ'!$B:$B=C67), 0)), "")</f>
        <v/>
      </c>
      <c r="AQ67" s="16"/>
      <c r="AR67" s="44"/>
      <c r="AS67" s="44"/>
      <c r="AT67" s="44"/>
      <c r="AU67" s="44"/>
      <c r="AV67" s="44"/>
      <c r="AW67" s="44"/>
      <c r="AX67" s="44"/>
      <c r="AY67" s="44"/>
      <c r="AZ67" s="44"/>
      <c r="BA67" s="44"/>
    </row>
    <row r="68" spans="1:53" ht="15.75" customHeight="1">
      <c r="A68" s="34">
        <v>66</v>
      </c>
      <c r="B68" s="35" t="s">
        <v>26</v>
      </c>
      <c r="C68" s="36" t="s">
        <v>131</v>
      </c>
      <c r="D68" s="34" t="s">
        <v>73</v>
      </c>
      <c r="E68" s="140">
        <f t="shared" si="14"/>
        <v>257.85000000000002</v>
      </c>
      <c r="F68" s="140">
        <f t="shared" si="15"/>
        <v>12.98</v>
      </c>
      <c r="G68" s="39">
        <f>SUMIFS('Giờ công'!I:I, 'Giờ công'!G:G, B68, 'Giờ công'!H:H, C68)</f>
        <v>241.85000000000005</v>
      </c>
      <c r="H68" s="39">
        <f>SUMIFS('Giờ công'!J:J, 'Giờ công'!G:G, B68, 'Giờ công'!H:H, C68)</f>
        <v>12.98</v>
      </c>
      <c r="I68" s="42">
        <f t="shared" si="16"/>
        <v>16</v>
      </c>
      <c r="J68" s="193">
        <f t="shared" si="17"/>
        <v>10.1</v>
      </c>
      <c r="K68" s="42">
        <f>SUMIFS('Ngày công'!I:I, 'Ngày công'!A:A, B68, 'Ngày công'!B:B, C68)</f>
        <v>1</v>
      </c>
      <c r="L68" s="35"/>
      <c r="M68" s="35"/>
      <c r="N68" s="42">
        <f>SUMIFS('Tăng ca lễ'!M:M, 'Tăng ca lễ'!K:K, B68, 'Tăng ca lễ'!L:L, C68)</f>
        <v>0</v>
      </c>
      <c r="O68" s="35">
        <f>IF(OR(D68="PT", D68="DSHV"), SUMIFS('Tăng ca lễ'!O:O, 'Tăng ca lễ'!K:K, B68, 'Tăng ca lễ'!L:L, C68)*2, SUMIFS('Tăng ca lễ'!O:O, 'Tăng ca lễ'!K:K, B68, 'Tăng ca lễ'!L:L, C68)*3)</f>
        <v>0</v>
      </c>
      <c r="P68" s="35">
        <f>IF(OR(D68="PT", D68="DSHV"), SUMIFS('Tăng ca lễ'!P:P, 'Tăng ca lễ'!K:K, B68, 'Tăng ca lễ'!L:L, C68)*2, SUMIFS('Tăng ca lễ'!P:P, 'Tăng ca lễ'!K:K, B68, 'Tăng ca lễ'!L:L, C68)*3)</f>
        <v>0</v>
      </c>
      <c r="Q68" s="35"/>
      <c r="R68" s="42">
        <f>SUMIFS('Ngày công'!M:M, 'Ngày công'!K:K, B68, 'Ngày công'!L:L, C68)</f>
        <v>30</v>
      </c>
      <c r="S68" s="39">
        <f>SUMIFS('Công Đào tạo'!G:G, 'Công Đào tạo'!E:E, B68, 'Công Đào tạo'!F:F, C68)</f>
        <v>0</v>
      </c>
      <c r="T68" s="35">
        <v>0</v>
      </c>
      <c r="U68" s="41"/>
      <c r="V68" s="46">
        <f t="shared" si="18"/>
        <v>483870.96774193551</v>
      </c>
      <c r="W68" s="42"/>
      <c r="X68" s="42">
        <f t="shared" si="19"/>
        <v>0</v>
      </c>
      <c r="Y68" s="42"/>
      <c r="Z68" s="42"/>
      <c r="AA68" s="42">
        <f>IF(ROW()=MATCH(C68, $C$1:$C$72, 0), IFERROR(VLOOKUP(C68, 'MiniKat - HN'!$A:$L, 12, FALSE), 0) + IFERROR(VLOOKUP(C68, 'MiniKat - HCM'!$A:$J, 10, FALSE), 0), 0)</f>
        <v>0</v>
      </c>
      <c r="AB68" s="42">
        <f>IF(OR(TRIM(D68)="CHT", TRIM(D68)="Q.CHT"), SUMIFS('MiniKat - HN'!$Y:$Y, 'MiniKat - HN'!$N:$N, B68) + SUMIFS('MiniKat - HCM'!$U:$U, 'MiniKat - HCM'!$M:$M, B68), 0)</f>
        <v>0</v>
      </c>
      <c r="AC68" s="42">
        <f>IF(ROW()=MATCH(C68, $C$1:$C$72, 0), SUMIFS(whatsapp!$D:$D, whatsapp!$A:$A, C68), 0)</f>
        <v>0</v>
      </c>
      <c r="AD68" s="42">
        <f>SUMIFS('Dự án'!$C:$C, 'Dự án'!$A:$A, B68, 'Dự án'!$B:$B, C68)</f>
        <v>650000</v>
      </c>
      <c r="AE68" s="42">
        <f>SUMIFS(KPI!$C:$C, KPI!$A:$A, B68, KPI!$B:$B, C68)</f>
        <v>4056950</v>
      </c>
      <c r="AF68" s="43">
        <f>SUMIFS('Thưởng CK'!$C:$C, 'Thưởng CK'!$A:$A, B68, 'Thưởng CK'!$B:$B, C68)</f>
        <v>5423800</v>
      </c>
      <c r="AG68" s="42">
        <f>SUMIFS('Cận date'!$C:$C, 'Cận date'!$A:$A, B68, 'Cận date'!$B:$B, C68)</f>
        <v>23983</v>
      </c>
      <c r="AH68" s="42">
        <f>SUMIFS(Map!$D:$D, Map!$B:$B, B68, Map!$A:$A, C68)</f>
        <v>0</v>
      </c>
      <c r="AI68" s="42">
        <v>0</v>
      </c>
      <c r="AJ68" s="42">
        <f t="shared" si="20"/>
        <v>0</v>
      </c>
      <c r="AK68" s="42">
        <f>SUMIFS('KPI trừ'!$C:$C, 'KPI trừ'!$A:$A, B68, 'KPI trừ'!$B:$B, C68)</f>
        <v>0</v>
      </c>
      <c r="AL68" s="42">
        <f>SUMIFS('KPI trừ'!$D:$D, 'KPI trừ'!$A:$A, B68, 'KPI trừ'!$B:$B, C68)</f>
        <v>0</v>
      </c>
      <c r="AM68" s="42">
        <f>SUMIFS('KPI trừ'!$E:$E, 'KPI trừ'!$A:$A, B68, 'KPI trừ'!$B:$B, C68)</f>
        <v>0</v>
      </c>
      <c r="AN68" s="42">
        <f>SUMIFS('KPI trừ'!$F:$F, 'KPI trừ'!$A:$A, B68, 'KPI trừ'!$B:$B, C68)</f>
        <v>0</v>
      </c>
      <c r="AO68" s="42">
        <f>SUMIFS('KPI trừ'!$G:$G, 'KPI trừ'!$A:$A, B68, 'KPI trừ'!$B:$B, C68)</f>
        <v>0</v>
      </c>
      <c r="AP68" s="44" t="str">
        <f>IFERROR(INDEX('KPI trừ'!$H:$H, MATCH(1, ('KPI trừ'!$A:$A=B68)*('KPI trừ'!$B:$B=C68), 0)), "")</f>
        <v/>
      </c>
      <c r="AQ68" s="16"/>
      <c r="AR68" s="44"/>
      <c r="AS68" s="44"/>
      <c r="AT68" s="44"/>
      <c r="AU68" s="44"/>
      <c r="AV68" s="44"/>
      <c r="AW68" s="44"/>
      <c r="AX68" s="44"/>
      <c r="AY68" s="44"/>
      <c r="AZ68" s="44"/>
      <c r="BA68" s="44"/>
    </row>
    <row r="69" spans="1:53" ht="15.75" customHeight="1">
      <c r="A69" s="34">
        <v>67</v>
      </c>
      <c r="B69" s="35" t="s">
        <v>26</v>
      </c>
      <c r="C69" s="36" t="s">
        <v>132</v>
      </c>
      <c r="D69" s="34" t="s">
        <v>79</v>
      </c>
      <c r="E69" s="140">
        <f t="shared" si="14"/>
        <v>24.449999999999989</v>
      </c>
      <c r="F69" s="140">
        <f t="shared" si="15"/>
        <v>195.06</v>
      </c>
      <c r="G69" s="39">
        <f>SUMIFS('Giờ công'!I:I, 'Giờ công'!G:G, B69, 'Giờ công'!H:H, C69)</f>
        <v>24.449999999999989</v>
      </c>
      <c r="H69" s="39">
        <f>SUMIFS('Giờ công'!J:J, 'Giờ công'!G:G, B69, 'Giờ công'!H:H, C69)</f>
        <v>195.06</v>
      </c>
      <c r="I69" s="42" t="str">
        <f t="shared" si="16"/>
        <v/>
      </c>
      <c r="J69" s="193">
        <f t="shared" si="17"/>
        <v>1</v>
      </c>
      <c r="K69" s="42">
        <f>SUMIFS('Ngày công'!I:I, 'Ngày công'!A:A, B69, 'Ngày công'!B:B, C69)</f>
        <v>24</v>
      </c>
      <c r="L69" s="35"/>
      <c r="M69" s="35"/>
      <c r="N69" s="42">
        <f>SUMIFS('Tăng ca lễ'!M:M, 'Tăng ca lễ'!K:K, B69, 'Tăng ca lễ'!L:L, C69)</f>
        <v>0</v>
      </c>
      <c r="O69" s="35">
        <f>IF(OR(D69="PT", D69="DSHV"), SUMIFS('Tăng ca lễ'!O:O, 'Tăng ca lễ'!K:K, B69, 'Tăng ca lễ'!L:L, C69)*2, SUMIFS('Tăng ca lễ'!O:O, 'Tăng ca lễ'!K:K, B69, 'Tăng ca lễ'!L:L, C69)*3)</f>
        <v>0</v>
      </c>
      <c r="P69" s="35">
        <f>IF(OR(D69="PT", D69="DSHV"), SUMIFS('Tăng ca lễ'!P:P, 'Tăng ca lễ'!K:K, B69, 'Tăng ca lễ'!L:L, C69)*2, SUMIFS('Tăng ca lễ'!P:P, 'Tăng ca lễ'!K:K, B69, 'Tăng ca lễ'!L:L, C69)*3)</f>
        <v>0</v>
      </c>
      <c r="Q69" s="35"/>
      <c r="R69" s="42">
        <f>SUMIFS('Ngày công'!M:M, 'Ngày công'!K:K, B69, 'Ngày công'!L:L, C69)</f>
        <v>26</v>
      </c>
      <c r="S69" s="39">
        <f>SUMIFS('Công Đào tạo'!G:G, 'Công Đào tạo'!E:E, B69, 'Công Đào tạo'!F:F, C69)</f>
        <v>0</v>
      </c>
      <c r="T69" s="35">
        <v>0</v>
      </c>
      <c r="U69" s="41"/>
      <c r="V69" s="46">
        <f t="shared" si="18"/>
        <v>0</v>
      </c>
      <c r="W69" s="42"/>
      <c r="X69" s="42">
        <f t="shared" si="19"/>
        <v>53571</v>
      </c>
      <c r="Y69" s="42"/>
      <c r="Z69" s="42"/>
      <c r="AA69" s="42">
        <f>IF(ROW()=MATCH(C69, $C$1:$C$72, 0), IFERROR(VLOOKUP(C69, 'MiniKat - HN'!$A:$L, 12, FALSE), 0) + IFERROR(VLOOKUP(C69, 'MiniKat - HCM'!$A:$J, 10, FALSE), 0), 0)</f>
        <v>0</v>
      </c>
      <c r="AB69" s="42">
        <f>IF(OR(TRIM(D69)="CHT", TRIM(D69)="Q.CHT"), SUMIFS('MiniKat - HN'!$Y:$Y, 'MiniKat - HN'!$N:$N, B69) + SUMIFS('MiniKat - HCM'!$U:$U, 'MiniKat - HCM'!$M:$M, B69), 0)</f>
        <v>0</v>
      </c>
      <c r="AC69" s="42">
        <f>IF(ROW()=MATCH(C69, $C$1:$C$72, 0), SUMIFS(whatsapp!$D:$D, whatsapp!$A:$A, C69), 0)</f>
        <v>0</v>
      </c>
      <c r="AD69" s="42">
        <f>SUMIFS('Dự án'!$C:$C, 'Dự án'!$A:$A, B69, 'Dự án'!$B:$B, C69)</f>
        <v>100000</v>
      </c>
      <c r="AE69" s="42">
        <f>SUMIFS(KPI!$C:$C, KPI!$A:$A, B69, KPI!$B:$B, C69)</f>
        <v>0</v>
      </c>
      <c r="AF69" s="43">
        <f>SUMIFS('Thưởng CK'!$C:$C, 'Thưởng CK'!$A:$A, B69, 'Thưởng CK'!$B:$B, C69)</f>
        <v>4697300</v>
      </c>
      <c r="AG69" s="42">
        <f>SUMIFS('Cận date'!$C:$C, 'Cận date'!$A:$A, B69, 'Cận date'!$B:$B, C69)</f>
        <v>78869</v>
      </c>
      <c r="AH69" s="42">
        <f>SUMIFS(Map!$D:$D, Map!$B:$B, B69, Map!$A:$A, C69)</f>
        <v>0</v>
      </c>
      <c r="AI69" s="42">
        <v>0</v>
      </c>
      <c r="AJ69" s="42">
        <f t="shared" si="20"/>
        <v>0</v>
      </c>
      <c r="AK69" s="42">
        <f>SUMIFS('KPI trừ'!$C:$C, 'KPI trừ'!$A:$A, B69, 'KPI trừ'!$B:$B, C69)</f>
        <v>0</v>
      </c>
      <c r="AL69" s="42">
        <f>SUMIFS('KPI trừ'!$D:$D, 'KPI trừ'!$A:$A, B69, 'KPI trừ'!$B:$B, C69)</f>
        <v>0</v>
      </c>
      <c r="AM69" s="42">
        <f>SUMIFS('KPI trừ'!$E:$E, 'KPI trừ'!$A:$A, B69, 'KPI trừ'!$B:$B, C69)</f>
        <v>0</v>
      </c>
      <c r="AN69" s="42">
        <f>SUMIFS('KPI trừ'!$F:$F, 'KPI trừ'!$A:$A, B69, 'KPI trừ'!$B:$B, C69)</f>
        <v>0</v>
      </c>
      <c r="AO69" s="42">
        <f>SUMIFS('KPI trừ'!$G:$G, 'KPI trừ'!$A:$A, B69, 'KPI trừ'!$B:$B, C69)</f>
        <v>0</v>
      </c>
      <c r="AP69" s="44" t="str">
        <f>IFERROR(INDEX('KPI trừ'!$H:$H, MATCH(1, ('KPI trừ'!$A:$A=B69)*('KPI trừ'!$B:$B=C69), 0)), "")</f>
        <v/>
      </c>
      <c r="AQ69" s="16"/>
      <c r="AR69" s="44"/>
      <c r="AS69" s="44"/>
      <c r="AT69" s="44"/>
      <c r="AU69" s="44"/>
      <c r="AV69" s="44"/>
      <c r="AW69" s="44"/>
      <c r="AX69" s="44"/>
      <c r="AY69" s="44"/>
      <c r="AZ69" s="44"/>
      <c r="BA69" s="44"/>
    </row>
    <row r="70" spans="1:53" ht="15.75" customHeight="1">
      <c r="A70" s="34">
        <v>68</v>
      </c>
      <c r="B70" s="35" t="s">
        <v>26</v>
      </c>
      <c r="C70" s="36" t="s">
        <v>133</v>
      </c>
      <c r="D70" s="34" t="s">
        <v>81</v>
      </c>
      <c r="E70" s="140">
        <f t="shared" si="14"/>
        <v>202.66999999999996</v>
      </c>
      <c r="F70" s="140">
        <f t="shared" si="15"/>
        <v>29.92</v>
      </c>
      <c r="G70" s="39">
        <f>SUMIFS('Giờ công'!I:I, 'Giờ công'!G:G, B70, 'Giờ công'!H:H, C70)</f>
        <v>202.66999999999996</v>
      </c>
      <c r="H70" s="39">
        <f>SUMIFS('Giờ công'!J:J, 'Giờ công'!G:G, B70, 'Giờ công'!H:H, C70)</f>
        <v>29.92</v>
      </c>
      <c r="I70" s="42" t="str">
        <f t="shared" si="16"/>
        <v/>
      </c>
      <c r="J70" s="193">
        <f t="shared" si="17"/>
        <v>8.4</v>
      </c>
      <c r="K70" s="42">
        <f>SUMIFS('Ngày công'!I:I, 'Ngày công'!A:A, B70, 'Ngày công'!B:B, C70)</f>
        <v>1</v>
      </c>
      <c r="L70" s="35"/>
      <c r="M70" s="35"/>
      <c r="N70" s="42">
        <f>SUMIFS('Tăng ca lễ'!M:M, 'Tăng ca lễ'!K:K, B70, 'Tăng ca lễ'!L:L, C70)</f>
        <v>0</v>
      </c>
      <c r="O70" s="35">
        <f>IF(OR(D70="PT", D70="DSHV"), SUMIFS('Tăng ca lễ'!O:O, 'Tăng ca lễ'!K:K, B70, 'Tăng ca lễ'!L:L, C70)*2, SUMIFS('Tăng ca lễ'!O:O, 'Tăng ca lễ'!K:K, B70, 'Tăng ca lễ'!L:L, C70)*3)</f>
        <v>0</v>
      </c>
      <c r="P70" s="35">
        <f>IF(OR(D70="PT", D70="DSHV"), SUMIFS('Tăng ca lễ'!P:P, 'Tăng ca lễ'!K:K, B70, 'Tăng ca lễ'!L:L, C70)*2, SUMIFS('Tăng ca lễ'!P:P, 'Tăng ca lễ'!K:K, B70, 'Tăng ca lễ'!L:L, C70)*3)</f>
        <v>0</v>
      </c>
      <c r="Q70" s="35"/>
      <c r="R70" s="42">
        <f>SUMIFS('Ngày công'!M:M, 'Ngày công'!K:K, B70, 'Ngày công'!L:L, C70)</f>
        <v>28</v>
      </c>
      <c r="S70" s="39">
        <f>SUMIFS('Công Đào tạo'!G:G, 'Công Đào tạo'!E:E, B70, 'Công Đào tạo'!F:F, C70)</f>
        <v>0</v>
      </c>
      <c r="T70" s="35">
        <v>0</v>
      </c>
      <c r="U70" s="41"/>
      <c r="V70" s="46">
        <f t="shared" si="18"/>
        <v>0</v>
      </c>
      <c r="W70" s="42"/>
      <c r="X70" s="42">
        <f t="shared" si="19"/>
        <v>0</v>
      </c>
      <c r="Y70" s="42"/>
      <c r="Z70" s="42"/>
      <c r="AA70" s="42">
        <f>IF(ROW()=MATCH(C70, $C$1:$C$72, 0), IFERROR(VLOOKUP(C70, 'MiniKat - HN'!$A:$L, 12, FALSE), 0) + IFERROR(VLOOKUP(C70, 'MiniKat - HCM'!$A:$J, 10, FALSE), 0), 0)</f>
        <v>0</v>
      </c>
      <c r="AB70" s="42">
        <f>IF(OR(TRIM(D70)="CHT", TRIM(D70)="Q.CHT"), SUMIFS('MiniKat - HN'!$Y:$Y, 'MiniKat - HN'!$N:$N, B70) + SUMIFS('MiniKat - HCM'!$U:$U, 'MiniKat - HCM'!$M:$M, B70), 0)</f>
        <v>0</v>
      </c>
      <c r="AC70" s="42">
        <f>IF(ROW()=MATCH(C70, $C$1:$C$72, 0), SUMIFS(whatsapp!$D:$D, whatsapp!$A:$A, C70), 0)</f>
        <v>0</v>
      </c>
      <c r="AD70" s="42">
        <f>SUMIFS('Dự án'!$C:$C, 'Dự án'!$A:$A, B70, 'Dự án'!$B:$B, C70)</f>
        <v>2150000</v>
      </c>
      <c r="AE70" s="42">
        <f>SUMIFS(KPI!$C:$C, KPI!$A:$A, B70, KPI!$B:$B, C70)</f>
        <v>4463159</v>
      </c>
      <c r="AF70" s="43">
        <f>SUMIFS('Thưởng CK'!$C:$C, 'Thưởng CK'!$A:$A, B70, 'Thưởng CK'!$B:$B, C70)</f>
        <v>6838500</v>
      </c>
      <c r="AG70" s="42">
        <f>SUMIFS('Cận date'!$C:$C, 'Cận date'!$A:$A, B70, 'Cận date'!$B:$B, C70)</f>
        <v>27571</v>
      </c>
      <c r="AH70" s="42">
        <f>SUMIFS(Map!$D:$D, Map!$B:$B, B70, Map!$A:$A, C70)</f>
        <v>0</v>
      </c>
      <c r="AI70" s="42">
        <v>0</v>
      </c>
      <c r="AJ70" s="42">
        <f t="shared" si="20"/>
        <v>0</v>
      </c>
      <c r="AK70" s="42">
        <f>SUMIFS('KPI trừ'!$C:$C, 'KPI trừ'!$A:$A, B70, 'KPI trừ'!$B:$B, C70)</f>
        <v>0</v>
      </c>
      <c r="AL70" s="42">
        <f>SUMIFS('KPI trừ'!$D:$D, 'KPI trừ'!$A:$A, B70, 'KPI trừ'!$B:$B, C70)</f>
        <v>0</v>
      </c>
      <c r="AM70" s="42">
        <f>SUMIFS('KPI trừ'!$E:$E, 'KPI trừ'!$A:$A, B70, 'KPI trừ'!$B:$B, C70)</f>
        <v>0</v>
      </c>
      <c r="AN70" s="42">
        <f>SUMIFS('KPI trừ'!$F:$F, 'KPI trừ'!$A:$A, B70, 'KPI trừ'!$B:$B, C70)</f>
        <v>0</v>
      </c>
      <c r="AO70" s="42">
        <f>SUMIFS('KPI trừ'!$G:$G, 'KPI trừ'!$A:$A, B70, 'KPI trừ'!$B:$B, C70)</f>
        <v>0</v>
      </c>
      <c r="AP70" s="44" t="str">
        <f>IFERROR(INDEX('KPI trừ'!$H:$H, MATCH(1, ('KPI trừ'!$A:$A=B70)*('KPI trừ'!$B:$B=C70), 0)), "")</f>
        <v/>
      </c>
      <c r="AQ70" s="16"/>
      <c r="AR70" s="44"/>
      <c r="AS70" s="44"/>
      <c r="AT70" s="44"/>
      <c r="AU70" s="44"/>
      <c r="AV70" s="44"/>
      <c r="AW70" s="44"/>
      <c r="AX70" s="44"/>
      <c r="AY70" s="44"/>
      <c r="AZ70" s="44"/>
      <c r="BA70" s="44"/>
    </row>
    <row r="71" spans="1:53" ht="15.75" customHeight="1">
      <c r="A71" s="34">
        <v>69</v>
      </c>
      <c r="B71" s="35" t="s">
        <v>26</v>
      </c>
      <c r="C71" s="44" t="s">
        <v>134</v>
      </c>
      <c r="D71" s="34" t="s">
        <v>81</v>
      </c>
      <c r="E71" s="140">
        <f t="shared" si="14"/>
        <v>167.93</v>
      </c>
      <c r="F71" s="140">
        <f t="shared" si="15"/>
        <v>72.39</v>
      </c>
      <c r="G71" s="39">
        <f>SUMIFS('Giờ công'!I:I, 'Giờ công'!G:G, B71, 'Giờ công'!H:H, C71)</f>
        <v>167.93</v>
      </c>
      <c r="H71" s="39">
        <f>SUMIFS('Giờ công'!J:J, 'Giờ công'!G:G, B71, 'Giờ công'!H:H, C71)</f>
        <v>72.39</v>
      </c>
      <c r="I71" s="42" t="str">
        <f t="shared" si="16"/>
        <v/>
      </c>
      <c r="J71" s="193">
        <f t="shared" si="17"/>
        <v>7</v>
      </c>
      <c r="K71" s="42">
        <f>SUMIFS('Ngày công'!I:I, 'Ngày công'!A:A, B71, 'Ngày công'!B:B, C71)</f>
        <v>9</v>
      </c>
      <c r="L71" s="35"/>
      <c r="M71" s="35"/>
      <c r="N71" s="42">
        <f>SUMIFS('Tăng ca lễ'!M:M, 'Tăng ca lễ'!K:K, B71, 'Tăng ca lễ'!L:L, C71)</f>
        <v>0</v>
      </c>
      <c r="O71" s="35">
        <f>IF(OR(D71="PT", D71="DSHV"), SUMIFS('Tăng ca lễ'!O:O, 'Tăng ca lễ'!K:K, B71, 'Tăng ca lễ'!L:L, C71)*2, SUMIFS('Tăng ca lễ'!O:O, 'Tăng ca lễ'!K:K, B71, 'Tăng ca lễ'!L:L, C71)*3)</f>
        <v>0</v>
      </c>
      <c r="P71" s="35">
        <f>IF(OR(D71="PT", D71="DSHV"), SUMIFS('Tăng ca lễ'!P:P, 'Tăng ca lễ'!K:K, B71, 'Tăng ca lễ'!L:L, C71)*2, SUMIFS('Tăng ca lễ'!P:P, 'Tăng ca lễ'!K:K, B71, 'Tăng ca lễ'!L:L, C71)*3)</f>
        <v>0</v>
      </c>
      <c r="Q71" s="35"/>
      <c r="R71" s="42">
        <f>SUMIFS('Ngày công'!M:M, 'Ngày công'!K:K, B71, 'Ngày công'!L:L, C71)</f>
        <v>27</v>
      </c>
      <c r="S71" s="39">
        <f>SUMIFS('Công Đào tạo'!G:G, 'Công Đào tạo'!E:E, B71, 'Công Đào tạo'!F:F, C71)</f>
        <v>0</v>
      </c>
      <c r="T71" s="35">
        <v>0</v>
      </c>
      <c r="U71" s="41"/>
      <c r="V71" s="42">
        <f t="shared" si="18"/>
        <v>0</v>
      </c>
      <c r="W71" s="42"/>
      <c r="X71" s="42">
        <f t="shared" si="19"/>
        <v>0</v>
      </c>
      <c r="Y71" s="42"/>
      <c r="Z71" s="42"/>
      <c r="AA71" s="42">
        <f>IF(ROW()=MATCH(C71, $C$1:$C$72, 0), IFERROR(VLOOKUP(C71, 'MiniKat - HN'!$A:$L, 12, FALSE), 0) + IFERROR(VLOOKUP(C71, 'MiniKat - HCM'!$A:$J, 10, FALSE), 0), 0)</f>
        <v>0</v>
      </c>
      <c r="AB71" s="42">
        <f>IF(OR(TRIM(D71)="CHT", TRIM(D71)="Q.CHT"), SUMIFS('MiniKat - HN'!$Y:$Y, 'MiniKat - HN'!$N:$N, B71) + SUMIFS('MiniKat - HCM'!$U:$U, 'MiniKat - HCM'!$M:$M, B71), 0)</f>
        <v>0</v>
      </c>
      <c r="AC71" s="42">
        <f>IF(ROW()=MATCH(C71, $C$1:$C$72, 0), SUMIFS(whatsapp!$D:$D, whatsapp!$A:$A, C71), 0)</f>
        <v>292335</v>
      </c>
      <c r="AD71" s="42">
        <f>SUMIFS('Dự án'!$C:$C, 'Dự án'!$A:$A, B71, 'Dự án'!$B:$B, C71)</f>
        <v>950000</v>
      </c>
      <c r="AE71" s="42">
        <f>SUMIFS(KPI!$C:$C, KPI!$A:$A, B71, KPI!$B:$B, C71)</f>
        <v>4243442</v>
      </c>
      <c r="AF71" s="43">
        <f>SUMIFS('Thưởng CK'!$C:$C, 'Thưởng CK'!$A:$A, B71, 'Thưởng CK'!$B:$B, C71)</f>
        <v>7370500</v>
      </c>
      <c r="AG71" s="42">
        <f>SUMIFS('Cận date'!$C:$C, 'Cận date'!$A:$A, B71, 'Cận date'!$B:$B, C71)</f>
        <v>104556</v>
      </c>
      <c r="AH71" s="42">
        <f>SUMIFS(Map!$D:$D, Map!$B:$B, B71, Map!$A:$A, C71)</f>
        <v>0</v>
      </c>
      <c r="AI71" s="42">
        <v>0</v>
      </c>
      <c r="AJ71" s="42">
        <f t="shared" si="20"/>
        <v>0</v>
      </c>
      <c r="AK71" s="42">
        <f>SUMIFS('KPI trừ'!$C:$C, 'KPI trừ'!$A:$A, B71, 'KPI trừ'!$B:$B, C71)</f>
        <v>0</v>
      </c>
      <c r="AL71" s="42">
        <f>SUMIFS('KPI trừ'!$D:$D, 'KPI trừ'!$A:$A, B71, 'KPI trừ'!$B:$B, C71)</f>
        <v>0</v>
      </c>
      <c r="AM71" s="42">
        <f>SUMIFS('KPI trừ'!$E:$E, 'KPI trừ'!$A:$A, B71, 'KPI trừ'!$B:$B, C71)</f>
        <v>0</v>
      </c>
      <c r="AN71" s="42">
        <f>SUMIFS('KPI trừ'!$F:$F, 'KPI trừ'!$A:$A, B71, 'KPI trừ'!$B:$B, C71)</f>
        <v>0</v>
      </c>
      <c r="AO71" s="42">
        <f>SUMIFS('KPI trừ'!$G:$G, 'KPI trừ'!$A:$A, B71, 'KPI trừ'!$B:$B, C71)</f>
        <v>0</v>
      </c>
      <c r="AP71" s="44" t="str">
        <f>IFERROR(INDEX('KPI trừ'!$H:$H, MATCH(1, ('KPI trừ'!$A:$A=B71)*('KPI trừ'!$B:$B=C71), 0)), "")</f>
        <v/>
      </c>
      <c r="AQ71" s="16"/>
      <c r="AR71" s="44"/>
      <c r="AS71" s="44"/>
      <c r="AT71" s="44"/>
      <c r="AU71" s="44"/>
      <c r="AV71" s="44"/>
      <c r="AW71" s="44"/>
      <c r="AX71" s="44"/>
      <c r="AY71" s="44"/>
      <c r="AZ71" s="44"/>
      <c r="BA71" s="44"/>
    </row>
    <row r="72" spans="1:53" ht="15.75" customHeight="1">
      <c r="A72" s="34">
        <v>70</v>
      </c>
      <c r="B72" s="35" t="s">
        <v>26</v>
      </c>
      <c r="C72" s="36" t="s">
        <v>135</v>
      </c>
      <c r="D72" s="34" t="s">
        <v>102</v>
      </c>
      <c r="E72" s="140">
        <f t="shared" si="14"/>
        <v>112.03</v>
      </c>
      <c r="F72" s="140">
        <f t="shared" si="15"/>
        <v>0</v>
      </c>
      <c r="G72" s="39">
        <f>SUMIFS('Giờ công'!I:I, 'Giờ công'!G:G, B72, 'Giờ công'!H:H, C72)</f>
        <v>112.03</v>
      </c>
      <c r="H72" s="39">
        <f>SUMIFS('Giờ công'!J:J, 'Giờ công'!G:G, B72, 'Giờ công'!H:H, C72)</f>
        <v>0</v>
      </c>
      <c r="I72" s="42" t="str">
        <f t="shared" si="16"/>
        <v/>
      </c>
      <c r="J72" s="193">
        <f t="shared" si="17"/>
        <v>4.7</v>
      </c>
      <c r="K72" s="42">
        <f>SUMIFS('Ngày công'!I:I, 'Ngày công'!A:A, B72, 'Ngày công'!B:B, C72)</f>
        <v>0</v>
      </c>
      <c r="L72" s="35"/>
      <c r="M72" s="35"/>
      <c r="N72" s="42">
        <f>SUMIFS('Tăng ca lễ'!M:M, 'Tăng ca lễ'!K:K, B72, 'Tăng ca lễ'!L:L, C72)</f>
        <v>0</v>
      </c>
      <c r="O72" s="35">
        <f>IF(OR(D72="PT", D72="DSHV"), SUMIFS('Tăng ca lễ'!O:O, 'Tăng ca lễ'!K:K, B72, 'Tăng ca lễ'!L:L, C72)*2, SUMIFS('Tăng ca lễ'!O:O, 'Tăng ca lễ'!K:K, B72, 'Tăng ca lễ'!L:L, C72)*3)</f>
        <v>0</v>
      </c>
      <c r="P72" s="35">
        <f>IF(OR(D72="PT", D72="DSHV"), SUMIFS('Tăng ca lễ'!P:P, 'Tăng ca lễ'!K:K, B72, 'Tăng ca lễ'!L:L, C72)*2, SUMIFS('Tăng ca lễ'!P:P, 'Tăng ca lễ'!K:K, B72, 'Tăng ca lễ'!L:L, C72)*3)</f>
        <v>0</v>
      </c>
      <c r="Q72" s="35"/>
      <c r="R72" s="42">
        <f>SUMIFS('Ngày công'!M:M, 'Ngày công'!K:K, B72, 'Ngày công'!L:L, C72)</f>
        <v>14</v>
      </c>
      <c r="S72" s="39">
        <f>SUMIFS('Công Đào tạo'!G:G, 'Công Đào tạo'!E:E, B72, 'Công Đào tạo'!F:F, C72)</f>
        <v>0</v>
      </c>
      <c r="T72" s="35">
        <v>0</v>
      </c>
      <c r="U72" s="41"/>
      <c r="V72" s="46">
        <f t="shared" si="18"/>
        <v>0</v>
      </c>
      <c r="W72" s="42"/>
      <c r="X72" s="42">
        <f t="shared" si="19"/>
        <v>0</v>
      </c>
      <c r="Y72" s="42"/>
      <c r="Z72" s="42"/>
      <c r="AA72" s="42">
        <f>IF(ROW()=MATCH(C72, $C$1:$C$72, 0), IFERROR(VLOOKUP(C72, 'MiniKat - HN'!$A:$L, 12, FALSE), 0) + IFERROR(VLOOKUP(C72, 'MiniKat - HCM'!$A:$J, 10, FALSE), 0), 0)</f>
        <v>0</v>
      </c>
      <c r="AB72" s="42">
        <f>IF(OR(TRIM(D72)="CHT", TRIM(D72)="Q.CHT"), SUMIFS('MiniKat - HN'!$Y:$Y, 'MiniKat - HN'!$N:$N, B72) + SUMIFS('MiniKat - HCM'!$U:$U, 'MiniKat - HCM'!$M:$M, B72), 0)</f>
        <v>0</v>
      </c>
      <c r="AC72" s="42">
        <f>IF(ROW()=MATCH(C72, $C$1:$C$72, 0), SUMIFS(whatsapp!$D:$D, whatsapp!$A:$A, C72), 0)</f>
        <v>0</v>
      </c>
      <c r="AD72" s="42">
        <f>SUMIFS('Dự án'!$C:$C, 'Dự án'!$A:$A, B72, 'Dự án'!$B:$B, C72)</f>
        <v>0</v>
      </c>
      <c r="AE72" s="42">
        <f>SUMIFS(KPI!$C:$C, KPI!$A:$A, B72, KPI!$B:$B, C72)</f>
        <v>0</v>
      </c>
      <c r="AF72" s="43">
        <f>SUMIFS('Thưởng CK'!$C:$C, 'Thưởng CK'!$A:$A, B72, 'Thưởng CK'!$B:$B, C72)</f>
        <v>0</v>
      </c>
      <c r="AG72" s="42">
        <f>SUMIFS('Cận date'!$C:$C, 'Cận date'!$A:$A, B72, 'Cận date'!$B:$B, C72)</f>
        <v>0</v>
      </c>
      <c r="AH72" s="42">
        <f>SUMIFS(Map!$D:$D, Map!$B:$B, B72, Map!$A:$A, C72)</f>
        <v>0</v>
      </c>
      <c r="AI72" s="42">
        <v>0</v>
      </c>
      <c r="AJ72" s="42">
        <f t="shared" si="20"/>
        <v>0</v>
      </c>
      <c r="AK72" s="42">
        <f>SUMIFS('KPI trừ'!$C:$C, 'KPI trừ'!$A:$A, B72, 'KPI trừ'!$B:$B, C72)</f>
        <v>0</v>
      </c>
      <c r="AL72" s="42">
        <f>SUMIFS('KPI trừ'!$D:$D, 'KPI trừ'!$A:$A, B72, 'KPI trừ'!$B:$B, C72)</f>
        <v>0</v>
      </c>
      <c r="AM72" s="42">
        <f>SUMIFS('KPI trừ'!$E:$E, 'KPI trừ'!$A:$A, B72, 'KPI trừ'!$B:$B, C72)</f>
        <v>0</v>
      </c>
      <c r="AN72" s="42">
        <f>SUMIFS('KPI trừ'!$F:$F, 'KPI trừ'!$A:$A, B72, 'KPI trừ'!$B:$B, C72)</f>
        <v>0</v>
      </c>
      <c r="AO72" s="42">
        <f>SUMIFS('KPI trừ'!$G:$G, 'KPI trừ'!$A:$A, B72, 'KPI trừ'!$B:$B, C72)</f>
        <v>0</v>
      </c>
      <c r="AP72" s="44" t="str">
        <f>IFERROR(INDEX('KPI trừ'!$H:$H, MATCH(1, ('KPI trừ'!$A:$A=B72)*('KPI trừ'!$B:$B=C72), 0)), "")</f>
        <v/>
      </c>
      <c r="AQ72" s="16"/>
      <c r="AR72" s="44"/>
      <c r="AS72" s="44"/>
      <c r="AT72" s="44"/>
      <c r="AU72" s="44"/>
      <c r="AV72" s="44"/>
      <c r="AW72" s="44"/>
      <c r="AX72" s="44"/>
      <c r="AY72" s="44"/>
      <c r="AZ72" s="44"/>
      <c r="BA72" s="44"/>
    </row>
    <row r="73" spans="1:53" ht="15.75" customHeight="1">
      <c r="A73" s="34"/>
      <c r="B73" s="35"/>
      <c r="C73" s="36"/>
      <c r="D73" s="34"/>
      <c r="E73" s="38"/>
      <c r="F73" s="38"/>
      <c r="G73" s="39"/>
      <c r="H73" s="39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9"/>
      <c r="T73" s="35"/>
      <c r="U73" s="44"/>
      <c r="V73" s="46"/>
      <c r="W73" s="42"/>
      <c r="X73" s="42"/>
      <c r="Y73" s="42"/>
      <c r="Z73" s="42"/>
      <c r="AA73" s="42"/>
      <c r="AB73" s="42"/>
      <c r="AC73" s="42"/>
      <c r="AD73" s="42"/>
      <c r="AE73" s="42"/>
      <c r="AF73" s="43"/>
      <c r="AG73" s="42"/>
      <c r="AH73" s="42"/>
      <c r="AI73" s="42"/>
      <c r="AJ73" s="42"/>
      <c r="AK73" s="42"/>
      <c r="AL73" s="42"/>
      <c r="AM73" s="42"/>
      <c r="AN73" s="42"/>
      <c r="AO73" s="42"/>
      <c r="AP73" s="44"/>
      <c r="AQ73" s="16"/>
      <c r="AR73" s="44"/>
      <c r="AS73" s="44"/>
      <c r="AT73" s="44"/>
      <c r="AU73" s="44"/>
      <c r="AV73" s="44"/>
      <c r="AW73" s="44"/>
      <c r="AX73" s="44"/>
      <c r="AY73" s="44"/>
      <c r="AZ73" s="44"/>
      <c r="BA73" s="44"/>
    </row>
    <row r="74" spans="1:53" ht="15.75" customHeight="1">
      <c r="A74" s="34"/>
      <c r="B74" s="35"/>
      <c r="C74" s="36"/>
      <c r="D74" s="14" t="s">
        <v>136</v>
      </c>
      <c r="E74" s="196">
        <f t="shared" ref="E74:AO74" si="21">SUM(E3:E72)</f>
        <v>8041.6900000000014</v>
      </c>
      <c r="F74" s="196">
        <f t="shared" si="21"/>
        <v>5123.3900000000003</v>
      </c>
      <c r="G74" s="197">
        <f t="shared" si="21"/>
        <v>7745.6900000000023</v>
      </c>
      <c r="H74" s="197">
        <f t="shared" si="21"/>
        <v>5123.3900000000003</v>
      </c>
      <c r="I74" s="149">
        <f t="shared" si="21"/>
        <v>296</v>
      </c>
      <c r="J74" s="198">
        <f t="shared" si="21"/>
        <v>322.8</v>
      </c>
      <c r="K74" s="149">
        <f t="shared" si="21"/>
        <v>628</v>
      </c>
      <c r="L74" s="149">
        <f t="shared" si="21"/>
        <v>0</v>
      </c>
      <c r="M74" s="149">
        <f t="shared" si="21"/>
        <v>0</v>
      </c>
      <c r="N74" s="149">
        <f t="shared" si="21"/>
        <v>0</v>
      </c>
      <c r="O74" s="149">
        <f t="shared" si="21"/>
        <v>0</v>
      </c>
      <c r="P74" s="149">
        <f t="shared" si="21"/>
        <v>0</v>
      </c>
      <c r="Q74" s="149">
        <f t="shared" si="21"/>
        <v>0</v>
      </c>
      <c r="R74" s="149">
        <f t="shared" si="21"/>
        <v>1464</v>
      </c>
      <c r="S74" s="149">
        <f t="shared" si="21"/>
        <v>0</v>
      </c>
      <c r="T74" s="149">
        <f t="shared" si="21"/>
        <v>0</v>
      </c>
      <c r="U74" s="150">
        <f t="shared" si="21"/>
        <v>0</v>
      </c>
      <c r="V74" s="149">
        <f t="shared" si="21"/>
        <v>4306451.6129032262</v>
      </c>
      <c r="W74" s="149">
        <f t="shared" si="21"/>
        <v>0</v>
      </c>
      <c r="X74" s="149">
        <f t="shared" si="21"/>
        <v>2892857</v>
      </c>
      <c r="Y74" s="149">
        <f t="shared" si="21"/>
        <v>0</v>
      </c>
      <c r="Z74" s="149">
        <f t="shared" si="21"/>
        <v>0</v>
      </c>
      <c r="AA74" s="149">
        <f t="shared" si="21"/>
        <v>1243000</v>
      </c>
      <c r="AB74" s="149">
        <f t="shared" si="21"/>
        <v>1650000</v>
      </c>
      <c r="AC74" s="149">
        <f t="shared" si="21"/>
        <v>9739907</v>
      </c>
      <c r="AD74" s="149">
        <f t="shared" si="21"/>
        <v>23800000</v>
      </c>
      <c r="AE74" s="149">
        <f t="shared" si="21"/>
        <v>43737456</v>
      </c>
      <c r="AF74" s="149">
        <f t="shared" si="21"/>
        <v>105845325</v>
      </c>
      <c r="AG74" s="149">
        <f t="shared" si="21"/>
        <v>1879270</v>
      </c>
      <c r="AH74" s="149">
        <f t="shared" si="21"/>
        <v>0</v>
      </c>
      <c r="AI74" s="149">
        <f t="shared" si="21"/>
        <v>0</v>
      </c>
      <c r="AJ74" s="149">
        <f t="shared" si="21"/>
        <v>1000000</v>
      </c>
      <c r="AK74" s="149">
        <f t="shared" si="21"/>
        <v>0</v>
      </c>
      <c r="AL74" s="149">
        <f t="shared" si="21"/>
        <v>0</v>
      </c>
      <c r="AM74" s="149">
        <f t="shared" si="21"/>
        <v>0</v>
      </c>
      <c r="AN74" s="149">
        <f t="shared" si="21"/>
        <v>0</v>
      </c>
      <c r="AO74" s="149">
        <f t="shared" si="21"/>
        <v>1000000</v>
      </c>
      <c r="AP74" s="44"/>
      <c r="AQ74" s="16"/>
      <c r="AR74" s="44"/>
      <c r="AS74" s="44"/>
      <c r="AT74" s="44"/>
      <c r="AU74" s="44"/>
      <c r="AV74" s="44"/>
      <c r="AW74" s="44"/>
      <c r="AX74" s="44"/>
      <c r="AY74" s="44"/>
      <c r="AZ74" s="44"/>
      <c r="BA74" s="44"/>
    </row>
    <row r="75" spans="1:53" ht="15.75" customHeight="1">
      <c r="A75" s="34"/>
      <c r="B75" s="35"/>
      <c r="C75" s="36"/>
      <c r="D75" s="34"/>
      <c r="E75" s="38"/>
      <c r="F75" s="38"/>
      <c r="G75" s="39"/>
      <c r="H75" s="39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9"/>
      <c r="T75" s="35"/>
      <c r="U75" s="44"/>
      <c r="V75" s="46"/>
      <c r="W75" s="42"/>
      <c r="X75" s="42"/>
      <c r="Y75" s="42"/>
      <c r="Z75" s="42"/>
      <c r="AA75" s="42"/>
      <c r="AB75" s="42"/>
      <c r="AC75" s="42"/>
      <c r="AD75" s="42"/>
      <c r="AE75" s="42"/>
      <c r="AF75" s="43"/>
      <c r="AG75" s="42"/>
      <c r="AH75" s="42"/>
      <c r="AI75" s="42"/>
      <c r="AJ75" s="42"/>
      <c r="AK75" s="42"/>
      <c r="AL75" s="42"/>
      <c r="AM75" s="42"/>
      <c r="AN75" s="42"/>
      <c r="AO75" s="42"/>
      <c r="AP75" s="44"/>
      <c r="AQ75" s="16"/>
      <c r="AR75" s="44"/>
      <c r="AS75" s="44"/>
      <c r="AT75" s="44"/>
      <c r="AU75" s="44"/>
      <c r="AV75" s="44"/>
      <c r="AW75" s="44"/>
      <c r="AX75" s="44"/>
      <c r="AY75" s="44"/>
      <c r="AZ75" s="44"/>
      <c r="BA75" s="44"/>
    </row>
    <row r="76" spans="1:53" ht="15.75" customHeight="1">
      <c r="A76" s="34"/>
      <c r="B76" s="35"/>
      <c r="C76" s="36"/>
      <c r="D76" s="34"/>
      <c r="E76" s="38" t="s">
        <v>0</v>
      </c>
      <c r="F76" s="38"/>
      <c r="G76" s="151" t="s">
        <v>34</v>
      </c>
      <c r="H76" s="151" t="s">
        <v>137</v>
      </c>
      <c r="I76" s="14" t="s">
        <v>138</v>
      </c>
      <c r="J76" s="35"/>
      <c r="K76" s="35"/>
      <c r="L76" s="35"/>
      <c r="M76" s="35"/>
      <c r="N76" s="35"/>
      <c r="O76" s="35"/>
      <c r="P76" s="35"/>
      <c r="Q76" s="35"/>
      <c r="R76" s="35"/>
      <c r="S76" s="39"/>
      <c r="T76" s="35"/>
      <c r="U76" s="44"/>
      <c r="V76" s="46"/>
      <c r="W76" s="42"/>
      <c r="X76" s="42"/>
      <c r="Y76" s="42"/>
      <c r="Z76" s="42"/>
      <c r="AA76" s="42"/>
      <c r="AB76" s="42"/>
      <c r="AC76" s="42"/>
      <c r="AD76" s="42"/>
      <c r="AE76" s="42"/>
      <c r="AF76" s="43"/>
      <c r="AG76" s="42"/>
      <c r="AH76" s="42"/>
      <c r="AI76" s="42"/>
      <c r="AJ76" s="42"/>
      <c r="AK76" s="42"/>
      <c r="AL76" s="42"/>
      <c r="AM76" s="42"/>
      <c r="AN76" s="42"/>
      <c r="AO76" s="42"/>
      <c r="AP76" s="44"/>
      <c r="AQ76" s="16"/>
      <c r="AR76" s="44"/>
      <c r="AS76" s="44"/>
      <c r="AT76" s="44"/>
      <c r="AU76" s="44"/>
      <c r="AV76" s="44"/>
      <c r="AW76" s="44"/>
      <c r="AX76" s="44"/>
      <c r="AY76" s="44"/>
      <c r="AZ76" s="44"/>
      <c r="BA76" s="44"/>
    </row>
    <row r="77" spans="1:53" ht="15.75" customHeight="1">
      <c r="A77" s="34"/>
      <c r="B77" s="35"/>
      <c r="C77" s="36"/>
      <c r="D77" s="34"/>
      <c r="E77" s="152" t="s">
        <v>15</v>
      </c>
      <c r="F77" s="38"/>
      <c r="G77" s="39">
        <f t="shared" ref="G77:G87" si="22">SUMIF(B:B, E77, G:G)</f>
        <v>697.71</v>
      </c>
      <c r="H77" s="199">
        <f t="shared" ref="H77:H87" si="23">SUMIF(B:B, E77, H:H)</f>
        <v>490.71000000000004</v>
      </c>
      <c r="I77" s="39">
        <f t="shared" ref="I77:I87" si="24">SUM(G77:H77)</f>
        <v>1188.42</v>
      </c>
      <c r="J77" s="35"/>
      <c r="K77" s="35"/>
      <c r="L77" s="35"/>
      <c r="M77" s="35"/>
      <c r="N77" s="35"/>
      <c r="O77" s="35"/>
      <c r="P77" s="35"/>
      <c r="Q77" s="35"/>
      <c r="R77" s="35"/>
      <c r="S77" s="39"/>
      <c r="T77" s="35"/>
      <c r="U77" s="44"/>
      <c r="V77" s="46"/>
      <c r="W77" s="42"/>
      <c r="X77" s="42"/>
      <c r="Y77" s="42"/>
      <c r="Z77" s="42"/>
      <c r="AA77" s="42"/>
      <c r="AB77" s="42"/>
      <c r="AC77" s="42"/>
      <c r="AD77" s="42"/>
      <c r="AE77" s="42"/>
      <c r="AF77" s="43"/>
      <c r="AG77" s="42"/>
      <c r="AH77" s="42"/>
      <c r="AI77" s="42"/>
      <c r="AJ77" s="42"/>
      <c r="AK77" s="42"/>
      <c r="AL77" s="42"/>
      <c r="AM77" s="42"/>
      <c r="AN77" s="42"/>
      <c r="AO77" s="42"/>
      <c r="AP77" s="44"/>
      <c r="AQ77" s="16"/>
      <c r="AR77" s="44"/>
      <c r="AS77" s="44"/>
      <c r="AT77" s="44"/>
      <c r="AU77" s="44"/>
      <c r="AV77" s="44"/>
      <c r="AW77" s="44"/>
      <c r="AX77" s="44"/>
      <c r="AY77" s="44"/>
      <c r="AZ77" s="44"/>
      <c r="BA77" s="44"/>
    </row>
    <row r="78" spans="1:53" ht="15.75" customHeight="1">
      <c r="A78" s="34"/>
      <c r="B78" s="35"/>
      <c r="C78" s="36"/>
      <c r="D78" s="34"/>
      <c r="E78" s="152" t="s">
        <v>17</v>
      </c>
      <c r="F78" s="38"/>
      <c r="G78" s="39">
        <f t="shared" si="22"/>
        <v>729.82</v>
      </c>
      <c r="H78" s="39">
        <f t="shared" si="23"/>
        <v>485.37999999999994</v>
      </c>
      <c r="I78" s="39">
        <f t="shared" si="24"/>
        <v>1215.2</v>
      </c>
      <c r="J78" s="35"/>
      <c r="K78" s="35"/>
      <c r="L78" s="35"/>
      <c r="M78" s="35"/>
      <c r="N78" s="35"/>
      <c r="O78" s="35"/>
      <c r="P78" s="35"/>
      <c r="Q78" s="35"/>
      <c r="R78" s="35"/>
      <c r="S78" s="39"/>
      <c r="T78" s="35"/>
      <c r="U78" s="44"/>
      <c r="V78" s="46"/>
      <c r="W78" s="42"/>
      <c r="X78" s="42"/>
      <c r="Y78" s="42"/>
      <c r="Z78" s="42"/>
      <c r="AA78" s="42"/>
      <c r="AB78" s="42"/>
      <c r="AC78" s="42"/>
      <c r="AD78" s="42"/>
      <c r="AE78" s="42"/>
      <c r="AF78" s="43"/>
      <c r="AG78" s="42"/>
      <c r="AH78" s="42"/>
      <c r="AI78" s="42"/>
      <c r="AJ78" s="42"/>
      <c r="AK78" s="42"/>
      <c r="AL78" s="42"/>
      <c r="AM78" s="42"/>
      <c r="AN78" s="42"/>
      <c r="AO78" s="42"/>
      <c r="AP78" s="44"/>
      <c r="AQ78" s="16"/>
      <c r="AR78" s="44"/>
      <c r="AS78" s="44"/>
      <c r="AT78" s="44"/>
      <c r="AU78" s="44"/>
      <c r="AV78" s="44"/>
      <c r="AW78" s="44"/>
      <c r="AX78" s="44"/>
      <c r="AY78" s="44"/>
      <c r="AZ78" s="44"/>
      <c r="BA78" s="44"/>
    </row>
    <row r="79" spans="1:53" ht="15.75" customHeight="1">
      <c r="A79" s="34"/>
      <c r="B79" s="35"/>
      <c r="C79" s="36"/>
      <c r="D79" s="34"/>
      <c r="E79" s="152" t="s">
        <v>19</v>
      </c>
      <c r="F79" s="38"/>
      <c r="G79" s="39">
        <f t="shared" si="22"/>
        <v>717.81</v>
      </c>
      <c r="H79" s="39">
        <f t="shared" si="23"/>
        <v>483.44000000000005</v>
      </c>
      <c r="I79" s="39">
        <f t="shared" si="24"/>
        <v>1201.25</v>
      </c>
      <c r="J79" s="35"/>
      <c r="K79" s="35"/>
      <c r="L79" s="35"/>
      <c r="M79" s="35"/>
      <c r="N79" s="35"/>
      <c r="O79" s="35"/>
      <c r="P79" s="35"/>
      <c r="Q79" s="35"/>
      <c r="R79" s="35"/>
      <c r="S79" s="39"/>
      <c r="T79" s="35"/>
      <c r="U79" s="44"/>
      <c r="V79" s="46"/>
      <c r="W79" s="42"/>
      <c r="X79" s="42"/>
      <c r="Y79" s="42"/>
      <c r="Z79" s="42"/>
      <c r="AA79" s="42"/>
      <c r="AB79" s="42"/>
      <c r="AC79" s="42"/>
      <c r="AD79" s="42"/>
      <c r="AE79" s="42"/>
      <c r="AF79" s="43"/>
      <c r="AG79" s="42"/>
      <c r="AH79" s="42"/>
      <c r="AI79" s="42"/>
      <c r="AJ79" s="42"/>
      <c r="AK79" s="42"/>
      <c r="AL79" s="42"/>
      <c r="AM79" s="42"/>
      <c r="AN79" s="42"/>
      <c r="AO79" s="42"/>
      <c r="AP79" s="44"/>
      <c r="AQ79" s="16"/>
      <c r="AR79" s="44"/>
      <c r="AS79" s="44"/>
      <c r="AT79" s="44"/>
      <c r="AU79" s="44"/>
      <c r="AV79" s="44"/>
      <c r="AW79" s="44"/>
      <c r="AX79" s="44"/>
      <c r="AY79" s="44"/>
      <c r="AZ79" s="44"/>
      <c r="BA79" s="44"/>
    </row>
    <row r="80" spans="1:53" ht="15.75" customHeight="1">
      <c r="A80" s="34"/>
      <c r="B80" s="35"/>
      <c r="C80" s="36"/>
      <c r="D80" s="34"/>
      <c r="E80" s="152" t="s">
        <v>18</v>
      </c>
      <c r="F80" s="38"/>
      <c r="G80" s="39">
        <f t="shared" si="22"/>
        <v>715.21</v>
      </c>
      <c r="H80" s="39">
        <f t="shared" si="23"/>
        <v>368.70000000000005</v>
      </c>
      <c r="I80" s="39">
        <f t="shared" si="24"/>
        <v>1083.9100000000001</v>
      </c>
      <c r="J80" s="35"/>
      <c r="K80" s="35"/>
      <c r="L80" s="35"/>
      <c r="M80" s="35"/>
      <c r="N80" s="35"/>
      <c r="O80" s="35"/>
      <c r="P80" s="35"/>
      <c r="Q80" s="35"/>
      <c r="R80" s="35"/>
      <c r="S80" s="39"/>
      <c r="T80" s="35"/>
      <c r="U80" s="44"/>
      <c r="V80" s="46"/>
      <c r="W80" s="42"/>
      <c r="X80" s="42"/>
      <c r="Y80" s="42"/>
      <c r="Z80" s="42"/>
      <c r="AA80" s="42"/>
      <c r="AB80" s="42"/>
      <c r="AC80" s="42"/>
      <c r="AD80" s="42"/>
      <c r="AE80" s="42"/>
      <c r="AF80" s="43"/>
      <c r="AG80" s="42"/>
      <c r="AH80" s="42"/>
      <c r="AI80" s="42"/>
      <c r="AJ80" s="42"/>
      <c r="AK80" s="42"/>
      <c r="AL80" s="42"/>
      <c r="AM80" s="42"/>
      <c r="AN80" s="42"/>
      <c r="AO80" s="42"/>
      <c r="AP80" s="44"/>
      <c r="AQ80" s="16"/>
      <c r="AR80" s="44"/>
      <c r="AS80" s="44"/>
      <c r="AT80" s="44"/>
      <c r="AU80" s="44"/>
      <c r="AV80" s="44"/>
      <c r="AW80" s="44"/>
      <c r="AX80" s="44"/>
      <c r="AY80" s="44"/>
      <c r="AZ80" s="44"/>
      <c r="BA80" s="44"/>
    </row>
    <row r="81" spans="1:53" ht="15.75" customHeight="1">
      <c r="A81" s="34"/>
      <c r="B81" s="35"/>
      <c r="C81" s="36"/>
      <c r="D81" s="34"/>
      <c r="E81" s="152" t="s">
        <v>24</v>
      </c>
      <c r="F81" s="38"/>
      <c r="G81" s="39">
        <f t="shared" si="22"/>
        <v>725.71</v>
      </c>
      <c r="H81" s="39">
        <f t="shared" si="23"/>
        <v>486.55</v>
      </c>
      <c r="I81" s="39">
        <f t="shared" si="24"/>
        <v>1212.26</v>
      </c>
      <c r="J81" s="35"/>
      <c r="K81" s="35"/>
      <c r="L81" s="35"/>
      <c r="M81" s="35"/>
      <c r="N81" s="35"/>
      <c r="O81" s="35"/>
      <c r="P81" s="35"/>
      <c r="Q81" s="39"/>
      <c r="R81" s="35"/>
      <c r="S81" s="39"/>
      <c r="T81" s="35"/>
      <c r="U81" s="35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3"/>
      <c r="AG81" s="42"/>
      <c r="AH81" s="42"/>
      <c r="AI81" s="35"/>
      <c r="AJ81" s="42"/>
      <c r="AK81" s="42"/>
      <c r="AL81" s="42"/>
      <c r="AM81" s="42"/>
      <c r="AN81" s="42"/>
      <c r="AO81" s="42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</row>
    <row r="82" spans="1:53" ht="15.75" customHeight="1">
      <c r="A82" s="36"/>
      <c r="B82" s="35"/>
      <c r="D82" s="79"/>
      <c r="E82" s="200" t="s">
        <v>20</v>
      </c>
      <c r="F82" s="148"/>
      <c r="G82" s="201">
        <f t="shared" si="22"/>
        <v>755.71</v>
      </c>
      <c r="H82" s="201">
        <f t="shared" si="23"/>
        <v>463.44</v>
      </c>
      <c r="I82" s="201">
        <f t="shared" si="24"/>
        <v>1219.1500000000001</v>
      </c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</row>
    <row r="83" spans="1:53" ht="15.75" customHeight="1">
      <c r="A83" s="34"/>
      <c r="B83" s="35"/>
      <c r="C83" s="36"/>
      <c r="D83" s="34"/>
      <c r="E83" s="154" t="s">
        <v>21</v>
      </c>
      <c r="F83" s="155"/>
      <c r="G83" s="39">
        <f t="shared" si="22"/>
        <v>740.65</v>
      </c>
      <c r="H83" s="199">
        <f t="shared" si="23"/>
        <v>545.32000000000005</v>
      </c>
      <c r="I83" s="39">
        <f t="shared" si="24"/>
        <v>1285.97</v>
      </c>
      <c r="J83" s="35"/>
      <c r="K83" s="35"/>
      <c r="L83" s="35"/>
      <c r="M83" s="35"/>
      <c r="N83" s="42"/>
      <c r="O83" s="42"/>
      <c r="P83" s="42"/>
      <c r="Q83" s="35"/>
      <c r="R83" s="35"/>
      <c r="S83" s="39"/>
      <c r="T83" s="35"/>
      <c r="U83" s="35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3"/>
      <c r="AG83" s="42"/>
      <c r="AH83" s="42"/>
      <c r="AI83" s="35"/>
      <c r="AJ83" s="42"/>
      <c r="AK83" s="42"/>
      <c r="AL83" s="42"/>
      <c r="AM83" s="42"/>
      <c r="AN83" s="42"/>
      <c r="AO83" s="42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</row>
    <row r="84" spans="1:53" ht="15.75" customHeight="1">
      <c r="A84" s="34"/>
      <c r="B84" s="35"/>
      <c r="C84" s="36"/>
      <c r="D84" s="34"/>
      <c r="E84" s="154" t="s">
        <v>22</v>
      </c>
      <c r="F84" s="155"/>
      <c r="G84" s="39">
        <f t="shared" si="22"/>
        <v>490.04999999999995</v>
      </c>
      <c r="H84" s="39">
        <f t="shared" si="23"/>
        <v>420.28</v>
      </c>
      <c r="I84" s="39">
        <f t="shared" si="24"/>
        <v>910.32999999999993</v>
      </c>
      <c r="J84" s="35"/>
      <c r="K84" s="35"/>
      <c r="L84" s="35"/>
      <c r="M84" s="35"/>
      <c r="N84" s="35"/>
      <c r="O84" s="35"/>
      <c r="P84" s="35"/>
      <c r="Q84" s="35"/>
      <c r="R84" s="35"/>
      <c r="S84" s="39"/>
      <c r="T84" s="35"/>
      <c r="U84" s="35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3"/>
      <c r="AG84" s="42"/>
      <c r="AH84" s="42"/>
      <c r="AI84" s="35"/>
      <c r="AJ84" s="42"/>
      <c r="AK84" s="42"/>
      <c r="AL84" s="42"/>
      <c r="AM84" s="42"/>
      <c r="AN84" s="42"/>
      <c r="AO84" s="42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</row>
    <row r="85" spans="1:53" ht="15.75" customHeight="1">
      <c r="A85" s="34"/>
      <c r="B85" s="35"/>
      <c r="C85" s="36"/>
      <c r="D85" s="34"/>
      <c r="E85" s="154" t="s">
        <v>23</v>
      </c>
      <c r="F85" s="156"/>
      <c r="G85" s="39">
        <f t="shared" si="22"/>
        <v>722.9</v>
      </c>
      <c r="H85" s="202">
        <f t="shared" si="23"/>
        <v>479.56</v>
      </c>
      <c r="I85" s="39">
        <f t="shared" si="24"/>
        <v>1202.46</v>
      </c>
      <c r="J85" s="35"/>
      <c r="K85" s="35"/>
      <c r="L85" s="35"/>
      <c r="M85" s="35"/>
      <c r="N85" s="35"/>
      <c r="O85" s="35"/>
      <c r="P85" s="35"/>
      <c r="Q85" s="35"/>
      <c r="R85" s="35"/>
      <c r="S85" s="39"/>
      <c r="T85" s="35"/>
      <c r="U85" s="35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3"/>
      <c r="AG85" s="42"/>
      <c r="AH85" s="42"/>
      <c r="AI85" s="35"/>
      <c r="AJ85" s="42"/>
      <c r="AK85" s="42"/>
      <c r="AL85" s="42"/>
      <c r="AM85" s="42"/>
      <c r="AN85" s="42"/>
      <c r="AO85" s="42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</row>
    <row r="86" spans="1:53" ht="15.75" customHeight="1">
      <c r="A86" s="34"/>
      <c r="B86" s="35"/>
      <c r="C86" s="36"/>
      <c r="D86" s="34"/>
      <c r="E86" s="41" t="s">
        <v>25</v>
      </c>
      <c r="F86" s="156"/>
      <c r="G86" s="39">
        <f t="shared" si="22"/>
        <v>701.19000000000017</v>
      </c>
      <c r="H86" s="199">
        <f t="shared" si="23"/>
        <v>589.66</v>
      </c>
      <c r="I86" s="39">
        <f t="shared" si="24"/>
        <v>1290.8500000000001</v>
      </c>
      <c r="J86" s="35"/>
      <c r="K86" s="35"/>
      <c r="L86" s="35"/>
      <c r="M86" s="35"/>
      <c r="N86" s="35"/>
      <c r="O86" s="35"/>
      <c r="P86" s="35"/>
      <c r="Q86" s="35"/>
      <c r="R86" s="35"/>
      <c r="S86" s="39"/>
      <c r="T86" s="35"/>
      <c r="U86" s="35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3"/>
      <c r="AG86" s="42"/>
      <c r="AH86" s="42"/>
      <c r="AI86" s="35"/>
      <c r="AJ86" s="42"/>
      <c r="AK86" s="42"/>
      <c r="AL86" s="42"/>
      <c r="AM86" s="42"/>
      <c r="AN86" s="42"/>
      <c r="AO86" s="42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</row>
    <row r="87" spans="1:53" ht="15.75" customHeight="1">
      <c r="A87" s="34"/>
      <c r="B87" s="35"/>
      <c r="C87" s="36"/>
      <c r="D87" s="34"/>
      <c r="E87" s="154" t="s">
        <v>26</v>
      </c>
      <c r="F87" s="156"/>
      <c r="G87" s="39">
        <f t="shared" si="22"/>
        <v>748.93000000000006</v>
      </c>
      <c r="H87" s="39">
        <f t="shared" si="23"/>
        <v>310.34999999999997</v>
      </c>
      <c r="I87" s="39">
        <f t="shared" si="24"/>
        <v>1059.28</v>
      </c>
      <c r="J87" s="35"/>
      <c r="K87" s="35"/>
      <c r="L87" s="35"/>
      <c r="M87" s="35"/>
      <c r="N87" s="35"/>
      <c r="O87" s="35"/>
      <c r="P87" s="35"/>
      <c r="Q87" s="35"/>
      <c r="R87" s="35"/>
      <c r="S87" s="39"/>
      <c r="T87" s="35"/>
      <c r="U87" s="35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3"/>
      <c r="AG87" s="42"/>
      <c r="AH87" s="42"/>
      <c r="AI87" s="35"/>
      <c r="AJ87" s="42"/>
      <c r="AK87" s="42"/>
      <c r="AL87" s="42"/>
      <c r="AM87" s="42"/>
      <c r="AN87" s="42"/>
      <c r="AO87" s="42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</row>
    <row r="88" spans="1:53" ht="15.75" customHeight="1">
      <c r="A88" s="34"/>
      <c r="B88" s="35"/>
      <c r="C88" s="36"/>
      <c r="D88" s="34"/>
      <c r="E88" s="154" t="s">
        <v>139</v>
      </c>
      <c r="F88" s="156"/>
      <c r="G88" s="39">
        <f>SUM(G77:G87)</f>
        <v>7745.6900000000005</v>
      </c>
      <c r="H88" s="39">
        <f>SUM(H77:H87)</f>
        <v>5123.3900000000012</v>
      </c>
      <c r="I88" s="39">
        <f>SUM(I77:I87)</f>
        <v>12869.080000000002</v>
      </c>
      <c r="J88" s="35"/>
      <c r="K88" s="35"/>
      <c r="L88" s="35"/>
      <c r="M88" s="35"/>
      <c r="N88" s="35"/>
      <c r="O88" s="35"/>
      <c r="P88" s="35"/>
      <c r="Q88" s="35"/>
      <c r="R88" s="35"/>
      <c r="S88" s="39"/>
      <c r="T88" s="35"/>
      <c r="U88" s="35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3"/>
      <c r="AG88" s="42"/>
      <c r="AH88" s="42"/>
      <c r="AI88" s="35"/>
      <c r="AJ88" s="42"/>
      <c r="AK88" s="42"/>
      <c r="AL88" s="42"/>
      <c r="AM88" s="42"/>
      <c r="AN88" s="42"/>
      <c r="AO88" s="42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</row>
    <row r="89" spans="1:53" ht="15.75" customHeight="1">
      <c r="A89" s="34"/>
      <c r="B89" s="35"/>
      <c r="C89" s="36"/>
      <c r="D89" s="34"/>
      <c r="E89" s="154"/>
      <c r="F89" s="156"/>
      <c r="G89" s="39"/>
      <c r="H89" s="39"/>
      <c r="I89" s="39"/>
      <c r="J89" s="35"/>
      <c r="K89" s="35"/>
      <c r="L89" s="35"/>
      <c r="M89" s="35"/>
      <c r="N89" s="35"/>
      <c r="O89" s="35"/>
      <c r="P89" s="35"/>
      <c r="Q89" s="35"/>
      <c r="R89" s="35"/>
      <c r="S89" s="39"/>
      <c r="T89" s="35"/>
      <c r="U89" s="35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3"/>
      <c r="AG89" s="42"/>
      <c r="AH89" s="42"/>
      <c r="AI89" s="35"/>
      <c r="AJ89" s="42"/>
      <c r="AK89" s="42"/>
      <c r="AL89" s="42"/>
      <c r="AM89" s="42"/>
      <c r="AN89" s="42"/>
      <c r="AO89" s="42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</row>
    <row r="90" spans="1:53" ht="15.75" customHeight="1">
      <c r="A90" s="34"/>
      <c r="B90" s="35"/>
      <c r="C90" s="36"/>
      <c r="D90" s="34"/>
      <c r="E90" s="154"/>
      <c r="F90" s="156"/>
      <c r="G90" s="39"/>
      <c r="H90" s="39"/>
      <c r="I90" s="39"/>
      <c r="J90" s="35"/>
      <c r="K90" s="35"/>
      <c r="L90" s="35"/>
      <c r="M90" s="35"/>
      <c r="N90" s="35"/>
      <c r="O90" s="35"/>
      <c r="P90" s="35"/>
      <c r="Q90" s="35"/>
      <c r="R90" s="35"/>
      <c r="S90" s="39"/>
      <c r="T90" s="35"/>
      <c r="U90" s="35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3"/>
      <c r="AG90" s="42"/>
      <c r="AH90" s="42"/>
      <c r="AI90" s="35"/>
      <c r="AJ90" s="42"/>
      <c r="AK90" s="42"/>
      <c r="AL90" s="42"/>
      <c r="AM90" s="42"/>
      <c r="AN90" s="42"/>
      <c r="AO90" s="42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</row>
    <row r="91" spans="1:53" ht="15.75" customHeight="1">
      <c r="A91" s="34"/>
      <c r="B91" s="35"/>
      <c r="C91" s="44"/>
      <c r="D91" s="34"/>
      <c r="E91" s="154"/>
      <c r="F91" s="156"/>
      <c r="G91" s="39"/>
      <c r="H91" s="157"/>
      <c r="I91" s="39"/>
      <c r="J91" s="35"/>
      <c r="K91" s="35"/>
      <c r="L91" s="35"/>
      <c r="M91" s="35"/>
      <c r="N91" s="35"/>
      <c r="O91" s="35"/>
      <c r="P91" s="35"/>
      <c r="Q91" s="35"/>
      <c r="R91" s="35"/>
      <c r="S91" s="39"/>
      <c r="T91" s="35"/>
      <c r="U91" s="35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3"/>
      <c r="AG91" s="42"/>
      <c r="AH91" s="42"/>
      <c r="AI91" s="35"/>
      <c r="AJ91" s="42"/>
      <c r="AK91" s="42"/>
      <c r="AL91" s="42"/>
      <c r="AM91" s="42"/>
      <c r="AN91" s="42"/>
      <c r="AO91" s="42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</row>
    <row r="92" spans="1:53" ht="15.75" customHeight="1">
      <c r="A92" s="34"/>
      <c r="B92" s="35"/>
      <c r="C92" s="36"/>
      <c r="D92" s="34"/>
      <c r="E92" s="154"/>
      <c r="F92" s="156"/>
      <c r="G92" s="39"/>
      <c r="H92" s="39"/>
      <c r="I92" s="39"/>
      <c r="J92" s="35"/>
      <c r="K92" s="35"/>
      <c r="L92" s="35"/>
      <c r="M92" s="35"/>
      <c r="N92" s="35"/>
      <c r="O92" s="35"/>
      <c r="P92" s="35"/>
      <c r="Q92" s="35"/>
      <c r="R92" s="35"/>
      <c r="S92" s="39"/>
      <c r="T92" s="35"/>
      <c r="U92" s="35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3"/>
      <c r="AG92" s="42"/>
      <c r="AH92" s="42"/>
      <c r="AI92" s="35"/>
      <c r="AJ92" s="42"/>
      <c r="AK92" s="42"/>
      <c r="AL92" s="42"/>
      <c r="AM92" s="42"/>
      <c r="AN92" s="42"/>
      <c r="AO92" s="42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</row>
    <row r="93" spans="1:53" ht="15.75" customHeight="1">
      <c r="A93" s="34"/>
      <c r="B93" s="35"/>
      <c r="C93" s="36"/>
      <c r="D93" s="34"/>
      <c r="E93" s="154"/>
      <c r="F93" s="156"/>
      <c r="G93" s="39"/>
      <c r="H93" s="39"/>
      <c r="I93" s="39"/>
      <c r="J93" s="35"/>
      <c r="K93" s="35"/>
      <c r="L93" s="35"/>
      <c r="M93" s="35"/>
      <c r="N93" s="35"/>
      <c r="O93" s="35"/>
      <c r="P93" s="35"/>
      <c r="Q93" s="35"/>
      <c r="R93" s="35"/>
      <c r="S93" s="39"/>
      <c r="T93" s="35"/>
      <c r="U93" s="35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3"/>
      <c r="AG93" s="42"/>
      <c r="AH93" s="42"/>
      <c r="AI93" s="35"/>
      <c r="AJ93" s="42"/>
      <c r="AK93" s="42"/>
      <c r="AL93" s="42"/>
      <c r="AM93" s="42"/>
      <c r="AN93" s="42"/>
      <c r="AO93" s="42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</row>
    <row r="94" spans="1:53" ht="15.75" customHeight="1">
      <c r="A94" s="34"/>
      <c r="B94" s="35"/>
      <c r="C94" s="36"/>
      <c r="D94" s="34"/>
      <c r="E94" s="154"/>
      <c r="F94" s="156"/>
      <c r="G94" s="39"/>
      <c r="H94" s="157"/>
      <c r="I94" s="39"/>
      <c r="J94" s="39"/>
      <c r="K94" s="35"/>
      <c r="L94" s="35"/>
      <c r="M94" s="35"/>
      <c r="N94" s="35"/>
      <c r="O94" s="35"/>
      <c r="P94" s="35"/>
      <c r="Q94" s="35"/>
      <c r="R94" s="35"/>
      <c r="S94" s="39"/>
      <c r="T94" s="35"/>
      <c r="U94" s="35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3"/>
      <c r="AG94" s="42"/>
      <c r="AH94" s="42"/>
      <c r="AI94" s="35"/>
      <c r="AJ94" s="42"/>
      <c r="AK94" s="42"/>
      <c r="AL94" s="42"/>
      <c r="AM94" s="42"/>
      <c r="AN94" s="42"/>
      <c r="AO94" s="42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</row>
    <row r="95" spans="1:53" ht="15.75" customHeight="1">
      <c r="A95" s="34"/>
      <c r="B95" s="35"/>
      <c r="C95" s="36"/>
      <c r="D95" s="34"/>
      <c r="E95" s="158"/>
      <c r="F95" s="38"/>
      <c r="G95" s="39"/>
      <c r="H95" s="39"/>
      <c r="I95" s="39"/>
      <c r="J95" s="35"/>
      <c r="K95" s="35"/>
      <c r="L95" s="35"/>
      <c r="M95" s="35"/>
      <c r="N95" s="35"/>
      <c r="O95" s="35"/>
      <c r="P95" s="35"/>
      <c r="Q95" s="35"/>
      <c r="R95" s="35"/>
      <c r="S95" s="39"/>
      <c r="T95" s="35"/>
      <c r="U95" s="35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3"/>
      <c r="AG95" s="42"/>
      <c r="AH95" s="42"/>
      <c r="AI95" s="35"/>
      <c r="AJ95" s="42"/>
      <c r="AK95" s="42"/>
      <c r="AL95" s="42"/>
      <c r="AM95" s="42"/>
      <c r="AN95" s="42"/>
      <c r="AO95" s="42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</row>
    <row r="96" spans="1:53" ht="15.75" customHeight="1">
      <c r="A96" s="34"/>
      <c r="B96" s="35"/>
      <c r="C96" s="36"/>
      <c r="D96" s="34"/>
      <c r="E96" s="38"/>
      <c r="F96" s="38"/>
      <c r="G96" s="39"/>
      <c r="H96" s="39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9"/>
      <c r="T96" s="35"/>
      <c r="U96" s="35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3"/>
      <c r="AG96" s="42"/>
      <c r="AH96" s="42"/>
      <c r="AI96" s="35"/>
      <c r="AJ96" s="42"/>
      <c r="AK96" s="42"/>
      <c r="AL96" s="42"/>
      <c r="AM96" s="42"/>
      <c r="AN96" s="42"/>
      <c r="AO96" s="42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</row>
    <row r="97" spans="1:53" ht="15.75" customHeight="1">
      <c r="A97" s="34"/>
      <c r="B97" s="35"/>
      <c r="C97" s="36"/>
      <c r="D97" s="34"/>
      <c r="E97" s="38"/>
      <c r="F97" s="38"/>
      <c r="G97" s="39"/>
      <c r="H97" s="39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9"/>
      <c r="T97" s="35"/>
      <c r="U97" s="35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3"/>
      <c r="AG97" s="42"/>
      <c r="AH97" s="42"/>
      <c r="AI97" s="35"/>
      <c r="AJ97" s="42"/>
      <c r="AK97" s="42"/>
      <c r="AL97" s="42"/>
      <c r="AM97" s="42"/>
      <c r="AN97" s="42"/>
      <c r="AO97" s="42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</row>
    <row r="98" spans="1:53" ht="15.75" customHeight="1">
      <c r="A98" s="34"/>
      <c r="B98" s="35"/>
      <c r="C98" s="36"/>
      <c r="D98" s="34"/>
      <c r="E98" s="38"/>
      <c r="F98" s="38"/>
      <c r="G98" s="39"/>
      <c r="H98" s="39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9"/>
      <c r="T98" s="35"/>
      <c r="U98" s="35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3"/>
      <c r="AG98" s="42"/>
      <c r="AH98" s="42"/>
      <c r="AI98" s="35"/>
      <c r="AJ98" s="42"/>
      <c r="AK98" s="42"/>
      <c r="AL98" s="42"/>
      <c r="AM98" s="42"/>
      <c r="AN98" s="42"/>
      <c r="AO98" s="42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</row>
    <row r="99" spans="1:53" ht="15.75" customHeight="1">
      <c r="A99" s="34"/>
      <c r="B99" s="35"/>
      <c r="C99" s="36"/>
      <c r="D99" s="34"/>
      <c r="E99" s="38"/>
      <c r="F99" s="38"/>
      <c r="G99" s="39"/>
      <c r="H99" s="39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9"/>
      <c r="T99" s="35"/>
      <c r="U99" s="35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3"/>
      <c r="AG99" s="42"/>
      <c r="AH99" s="42"/>
      <c r="AI99" s="35"/>
      <c r="AJ99" s="42"/>
      <c r="AK99" s="42"/>
      <c r="AL99" s="42"/>
      <c r="AM99" s="42"/>
      <c r="AN99" s="42"/>
      <c r="AO99" s="42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</row>
    <row r="100" spans="1:53" ht="15.75" customHeight="1">
      <c r="A100" s="34"/>
      <c r="B100" s="35"/>
      <c r="C100" s="36"/>
      <c r="D100" s="34"/>
      <c r="E100" s="38"/>
      <c r="F100" s="38"/>
      <c r="G100" s="39"/>
      <c r="H100" s="39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9"/>
      <c r="T100" s="35"/>
      <c r="U100" s="35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3"/>
      <c r="AG100" s="42"/>
      <c r="AH100" s="42"/>
      <c r="AI100" s="35"/>
      <c r="AJ100" s="42"/>
      <c r="AK100" s="42"/>
      <c r="AL100" s="42"/>
      <c r="AM100" s="42"/>
      <c r="AN100" s="42"/>
      <c r="AO100" s="42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</row>
    <row r="101" spans="1:53" ht="15.75" customHeight="1">
      <c r="A101" s="34"/>
      <c r="B101" s="35"/>
      <c r="C101" s="36"/>
      <c r="D101" s="34"/>
      <c r="E101" s="38"/>
      <c r="F101" s="38"/>
      <c r="G101" s="39"/>
      <c r="H101" s="39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9"/>
      <c r="T101" s="35"/>
      <c r="U101" s="35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3"/>
      <c r="AG101" s="42"/>
      <c r="AH101" s="42"/>
      <c r="AI101" s="35"/>
      <c r="AJ101" s="42"/>
      <c r="AK101" s="42"/>
      <c r="AL101" s="42"/>
      <c r="AM101" s="42"/>
      <c r="AN101" s="42"/>
      <c r="AO101" s="42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</row>
    <row r="102" spans="1:53" ht="15.75" customHeight="1">
      <c r="A102" s="34"/>
      <c r="B102" s="35"/>
      <c r="C102" s="36"/>
      <c r="D102" s="34"/>
      <c r="E102" s="38"/>
      <c r="F102" s="38"/>
      <c r="G102" s="39"/>
      <c r="H102" s="39"/>
      <c r="I102" s="42"/>
      <c r="J102" s="39"/>
      <c r="K102" s="35"/>
      <c r="L102" s="35"/>
      <c r="M102" s="35"/>
      <c r="N102" s="35"/>
      <c r="O102" s="35"/>
      <c r="P102" s="35"/>
      <c r="Q102" s="35"/>
      <c r="R102" s="35"/>
      <c r="S102" s="39"/>
      <c r="T102" s="35"/>
      <c r="U102" s="35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3"/>
      <c r="AG102" s="42"/>
      <c r="AH102" s="42"/>
      <c r="AI102" s="35"/>
      <c r="AJ102" s="42"/>
      <c r="AK102" s="42"/>
      <c r="AL102" s="42"/>
      <c r="AM102" s="42"/>
      <c r="AN102" s="42"/>
      <c r="AO102" s="42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</row>
    <row r="103" spans="1:53" ht="15.75" customHeight="1">
      <c r="A103" s="34"/>
      <c r="B103" s="35"/>
      <c r="C103" s="36"/>
      <c r="D103" s="34"/>
      <c r="E103" s="38"/>
      <c r="F103" s="38"/>
      <c r="G103" s="39"/>
      <c r="H103" s="39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9"/>
      <c r="T103" s="35"/>
      <c r="U103" s="35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3"/>
      <c r="AG103" s="42"/>
      <c r="AH103" s="42"/>
      <c r="AI103" s="35"/>
      <c r="AJ103" s="42"/>
      <c r="AK103" s="42"/>
      <c r="AL103" s="42"/>
      <c r="AM103" s="42"/>
      <c r="AN103" s="42"/>
      <c r="AO103" s="42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</row>
    <row r="104" spans="1:53" ht="15.75" customHeight="1">
      <c r="A104" s="34"/>
      <c r="B104" s="35"/>
      <c r="C104" s="44"/>
      <c r="D104" s="34"/>
      <c r="E104" s="38"/>
      <c r="F104" s="38"/>
      <c r="G104" s="39"/>
      <c r="H104" s="39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9"/>
      <c r="T104" s="35"/>
      <c r="U104" s="35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3"/>
      <c r="AG104" s="42"/>
      <c r="AH104" s="42"/>
      <c r="AI104" s="35"/>
      <c r="AJ104" s="42"/>
      <c r="AK104" s="42"/>
      <c r="AL104" s="42"/>
      <c r="AM104" s="42"/>
      <c r="AN104" s="42"/>
      <c r="AO104" s="42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</row>
    <row r="105" spans="1:53" ht="15.75" customHeight="1">
      <c r="A105" s="34"/>
      <c r="B105" s="35"/>
      <c r="C105" s="44"/>
      <c r="D105" s="34"/>
      <c r="E105" s="38"/>
      <c r="F105" s="38"/>
      <c r="G105" s="39"/>
      <c r="H105" s="39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9"/>
      <c r="T105" s="35"/>
      <c r="U105" s="35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3"/>
      <c r="AG105" s="42"/>
      <c r="AH105" s="42"/>
      <c r="AI105" s="35"/>
      <c r="AJ105" s="42"/>
      <c r="AK105" s="42"/>
      <c r="AL105" s="42"/>
      <c r="AM105" s="42"/>
      <c r="AN105" s="42"/>
      <c r="AO105" s="42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</row>
    <row r="106" spans="1:53" ht="15.75" customHeight="1">
      <c r="A106" s="34"/>
      <c r="B106" s="35"/>
      <c r="C106" s="44"/>
      <c r="D106" s="34"/>
      <c r="E106" s="38"/>
      <c r="F106" s="38"/>
      <c r="G106" s="39"/>
      <c r="H106" s="39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9"/>
      <c r="T106" s="35"/>
      <c r="U106" s="35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3"/>
      <c r="AG106" s="42"/>
      <c r="AH106" s="42"/>
      <c r="AI106" s="35"/>
      <c r="AJ106" s="42"/>
      <c r="AK106" s="42"/>
      <c r="AL106" s="42"/>
      <c r="AM106" s="42"/>
      <c r="AN106" s="42"/>
      <c r="AO106" s="42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</row>
    <row r="107" spans="1:53" ht="15.75" customHeight="1">
      <c r="A107" s="34"/>
      <c r="B107" s="35"/>
      <c r="C107" s="44"/>
      <c r="D107" s="34"/>
      <c r="E107" s="38"/>
      <c r="F107" s="38"/>
      <c r="G107" s="39"/>
      <c r="H107" s="39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9"/>
      <c r="T107" s="35"/>
      <c r="U107" s="35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3"/>
      <c r="AG107" s="42"/>
      <c r="AH107" s="42"/>
      <c r="AI107" s="35"/>
      <c r="AJ107" s="42"/>
      <c r="AK107" s="42"/>
      <c r="AL107" s="42"/>
      <c r="AM107" s="42"/>
      <c r="AN107" s="42"/>
      <c r="AO107" s="42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</row>
    <row r="108" spans="1:53" ht="15.75" customHeight="1">
      <c r="A108" s="34"/>
      <c r="B108" s="35"/>
      <c r="C108" s="36"/>
      <c r="D108" s="34"/>
      <c r="E108" s="38"/>
      <c r="F108" s="38"/>
      <c r="G108" s="39"/>
      <c r="H108" s="39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9"/>
      <c r="T108" s="35"/>
      <c r="U108" s="35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3"/>
      <c r="AG108" s="42"/>
      <c r="AH108" s="42"/>
      <c r="AI108" s="35"/>
      <c r="AJ108" s="42"/>
      <c r="AK108" s="42"/>
      <c r="AL108" s="42"/>
      <c r="AM108" s="42"/>
      <c r="AN108" s="42"/>
      <c r="AO108" s="42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</row>
    <row r="109" spans="1:53" ht="15.75" customHeight="1">
      <c r="A109" s="34"/>
      <c r="B109" s="35"/>
      <c r="C109" s="36"/>
      <c r="D109" s="34"/>
      <c r="E109" s="38"/>
      <c r="F109" s="38"/>
      <c r="G109" s="39"/>
      <c r="H109" s="39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9"/>
      <c r="T109" s="35"/>
      <c r="U109" s="35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3"/>
      <c r="AG109" s="42"/>
      <c r="AH109" s="42"/>
      <c r="AI109" s="35"/>
      <c r="AJ109" s="42"/>
      <c r="AK109" s="42"/>
      <c r="AL109" s="42"/>
      <c r="AM109" s="42"/>
      <c r="AN109" s="42"/>
      <c r="AO109" s="42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</row>
    <row r="110" spans="1:53" ht="15.75" customHeight="1">
      <c r="A110" s="34"/>
      <c r="B110" s="35"/>
      <c r="C110" s="36"/>
      <c r="D110" s="34"/>
      <c r="E110" s="38"/>
      <c r="F110" s="38"/>
      <c r="G110" s="39"/>
      <c r="H110" s="39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9"/>
      <c r="T110" s="35"/>
      <c r="U110" s="35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3"/>
      <c r="AG110" s="42"/>
      <c r="AH110" s="42"/>
      <c r="AI110" s="35"/>
      <c r="AJ110" s="42"/>
      <c r="AK110" s="42"/>
      <c r="AL110" s="42"/>
      <c r="AM110" s="42"/>
      <c r="AN110" s="42"/>
      <c r="AO110" s="42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</row>
    <row r="111" spans="1:53" ht="15.75" customHeight="1">
      <c r="A111" s="34"/>
      <c r="B111" s="35"/>
      <c r="C111" s="36"/>
      <c r="D111" s="34"/>
      <c r="E111" s="38"/>
      <c r="F111" s="38"/>
      <c r="G111" s="39"/>
      <c r="H111" s="39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9"/>
      <c r="T111" s="35"/>
      <c r="U111" s="35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3"/>
      <c r="AG111" s="42"/>
      <c r="AH111" s="42"/>
      <c r="AI111" s="35"/>
      <c r="AJ111" s="42"/>
      <c r="AK111" s="42"/>
      <c r="AL111" s="42"/>
      <c r="AM111" s="42"/>
      <c r="AN111" s="42"/>
      <c r="AO111" s="42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</row>
    <row r="112" spans="1:53" ht="15.75" customHeight="1">
      <c r="A112" s="34"/>
      <c r="B112" s="35"/>
      <c r="C112" s="36"/>
      <c r="D112" s="34"/>
      <c r="E112" s="38"/>
      <c r="F112" s="38"/>
      <c r="G112" s="39"/>
      <c r="H112" s="39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9"/>
      <c r="T112" s="35"/>
      <c r="U112" s="35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3"/>
      <c r="AG112" s="42"/>
      <c r="AH112" s="42"/>
      <c r="AI112" s="35"/>
      <c r="AJ112" s="42"/>
      <c r="AK112" s="42"/>
      <c r="AL112" s="42"/>
      <c r="AM112" s="42"/>
      <c r="AN112" s="42"/>
      <c r="AO112" s="42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</row>
    <row r="113" spans="1:53" ht="15.75" customHeight="1">
      <c r="A113" s="34"/>
      <c r="B113" s="35"/>
      <c r="C113" s="36"/>
      <c r="D113" s="34"/>
      <c r="E113" s="38"/>
      <c r="F113" s="38"/>
      <c r="G113" s="39"/>
      <c r="H113" s="39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9"/>
      <c r="T113" s="35"/>
      <c r="U113" s="35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3"/>
      <c r="AG113" s="42"/>
      <c r="AH113" s="42"/>
      <c r="AI113" s="35"/>
      <c r="AJ113" s="42"/>
      <c r="AK113" s="42"/>
      <c r="AL113" s="42"/>
      <c r="AM113" s="42"/>
      <c r="AN113" s="42"/>
      <c r="AO113" s="42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</row>
    <row r="114" spans="1:53" ht="15.75" customHeight="1">
      <c r="A114" s="34"/>
      <c r="B114" s="35"/>
      <c r="C114" s="36"/>
      <c r="D114" s="34"/>
      <c r="E114" s="38"/>
      <c r="F114" s="38"/>
      <c r="G114" s="39"/>
      <c r="H114" s="39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9"/>
      <c r="T114" s="35"/>
      <c r="U114" s="35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3"/>
      <c r="AG114" s="42"/>
      <c r="AH114" s="42"/>
      <c r="AI114" s="35"/>
      <c r="AJ114" s="42"/>
      <c r="AK114" s="42"/>
      <c r="AL114" s="42"/>
      <c r="AM114" s="42"/>
      <c r="AN114" s="42"/>
      <c r="AO114" s="42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</row>
    <row r="115" spans="1:53" ht="15.75" customHeight="1">
      <c r="A115" s="34"/>
      <c r="B115" s="35"/>
      <c r="C115" s="36"/>
      <c r="D115" s="34"/>
      <c r="E115" s="38"/>
      <c r="F115" s="38"/>
      <c r="G115" s="39"/>
      <c r="H115" s="39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9"/>
      <c r="T115" s="35"/>
      <c r="U115" s="35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3"/>
      <c r="AG115" s="42"/>
      <c r="AH115" s="42"/>
      <c r="AI115" s="35"/>
      <c r="AJ115" s="42"/>
      <c r="AK115" s="42"/>
      <c r="AL115" s="42"/>
      <c r="AM115" s="42"/>
      <c r="AN115" s="42"/>
      <c r="AO115" s="42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</row>
    <row r="116" spans="1:53" ht="15.75" customHeight="1">
      <c r="A116" s="34"/>
      <c r="B116" s="35"/>
      <c r="C116" s="36"/>
      <c r="D116" s="34"/>
      <c r="E116" s="38"/>
      <c r="F116" s="38"/>
      <c r="G116" s="39"/>
      <c r="H116" s="39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9"/>
      <c r="T116" s="35"/>
      <c r="U116" s="35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3"/>
      <c r="AG116" s="42"/>
      <c r="AH116" s="42"/>
      <c r="AI116" s="35"/>
      <c r="AJ116" s="42"/>
      <c r="AK116" s="42"/>
      <c r="AL116" s="42"/>
      <c r="AM116" s="42"/>
      <c r="AN116" s="42"/>
      <c r="AO116" s="42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</row>
    <row r="117" spans="1:53" ht="15.75" customHeight="1">
      <c r="A117" s="34"/>
      <c r="B117" s="35"/>
      <c r="C117" s="36"/>
      <c r="D117" s="34"/>
      <c r="E117" s="38"/>
      <c r="F117" s="38"/>
      <c r="G117" s="39"/>
      <c r="H117" s="39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9"/>
      <c r="T117" s="35"/>
      <c r="U117" s="35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3"/>
      <c r="AG117" s="42"/>
      <c r="AH117" s="42"/>
      <c r="AI117" s="35"/>
      <c r="AJ117" s="42"/>
      <c r="AK117" s="42"/>
      <c r="AL117" s="42"/>
      <c r="AM117" s="42"/>
      <c r="AN117" s="42"/>
      <c r="AO117" s="42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</row>
    <row r="118" spans="1:53" ht="15.75" customHeight="1">
      <c r="A118" s="34"/>
      <c r="B118" s="35"/>
      <c r="C118" s="36"/>
      <c r="D118" s="34"/>
      <c r="E118" s="38"/>
      <c r="F118" s="38"/>
      <c r="G118" s="39"/>
      <c r="H118" s="39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9"/>
      <c r="T118" s="35"/>
      <c r="U118" s="35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3"/>
      <c r="AG118" s="42"/>
      <c r="AH118" s="42"/>
      <c r="AI118" s="35"/>
      <c r="AJ118" s="42"/>
      <c r="AK118" s="42"/>
      <c r="AL118" s="42"/>
      <c r="AM118" s="42"/>
      <c r="AN118" s="42"/>
      <c r="AO118" s="42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</row>
    <row r="119" spans="1:53" ht="15.75" customHeight="1">
      <c r="A119" s="34"/>
      <c r="B119" s="35"/>
      <c r="C119" s="44"/>
      <c r="D119" s="34"/>
      <c r="E119" s="38"/>
      <c r="F119" s="38"/>
      <c r="G119" s="39"/>
      <c r="H119" s="39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9"/>
      <c r="T119" s="35"/>
      <c r="U119" s="35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3"/>
      <c r="AG119" s="42"/>
      <c r="AH119" s="42"/>
      <c r="AI119" s="35"/>
      <c r="AJ119" s="42"/>
      <c r="AK119" s="42"/>
      <c r="AL119" s="42"/>
      <c r="AM119" s="42"/>
      <c r="AN119" s="42"/>
      <c r="AO119" s="42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</row>
    <row r="120" spans="1:53" ht="15.75" customHeight="1">
      <c r="A120" s="34"/>
      <c r="B120" s="35"/>
      <c r="C120" s="44"/>
      <c r="D120" s="34"/>
      <c r="E120" s="38"/>
      <c r="F120" s="38"/>
      <c r="G120" s="39"/>
      <c r="H120" s="39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9"/>
      <c r="T120" s="35"/>
      <c r="U120" s="35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3"/>
      <c r="AG120" s="42"/>
      <c r="AH120" s="42"/>
      <c r="AI120" s="35"/>
      <c r="AJ120" s="42"/>
      <c r="AK120" s="42"/>
      <c r="AL120" s="42"/>
      <c r="AM120" s="42"/>
      <c r="AN120" s="42"/>
      <c r="AO120" s="42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</row>
    <row r="121" spans="1:53" ht="15.75" customHeight="1">
      <c r="A121" s="34"/>
      <c r="B121" s="35"/>
      <c r="C121" s="44"/>
      <c r="D121" s="34"/>
      <c r="E121" s="38"/>
      <c r="F121" s="38"/>
      <c r="G121" s="39"/>
      <c r="H121" s="39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9"/>
      <c r="T121" s="35"/>
      <c r="U121" s="35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3"/>
      <c r="AG121" s="42"/>
      <c r="AH121" s="42"/>
      <c r="AI121" s="35"/>
      <c r="AJ121" s="42"/>
      <c r="AK121" s="42"/>
      <c r="AL121" s="42"/>
      <c r="AM121" s="42"/>
      <c r="AN121" s="42"/>
      <c r="AO121" s="42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</row>
    <row r="122" spans="1:53" ht="15.75" customHeight="1">
      <c r="A122" s="34"/>
      <c r="B122" s="35"/>
      <c r="C122" s="44"/>
      <c r="D122" s="34"/>
      <c r="E122" s="38"/>
      <c r="F122" s="38"/>
      <c r="G122" s="39"/>
      <c r="H122" s="39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9"/>
      <c r="T122" s="35"/>
      <c r="U122" s="35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3"/>
      <c r="AG122" s="42"/>
      <c r="AH122" s="42"/>
      <c r="AI122" s="35"/>
      <c r="AJ122" s="42"/>
      <c r="AK122" s="42"/>
      <c r="AL122" s="42"/>
      <c r="AM122" s="42"/>
      <c r="AN122" s="42"/>
      <c r="AO122" s="42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</row>
    <row r="123" spans="1:53" ht="15.75" customHeight="1">
      <c r="A123" s="34"/>
      <c r="B123" s="35"/>
      <c r="C123" s="44"/>
      <c r="D123" s="34"/>
      <c r="E123" s="38"/>
      <c r="F123" s="38"/>
      <c r="G123" s="39"/>
      <c r="H123" s="39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9"/>
      <c r="T123" s="35"/>
      <c r="U123" s="35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3"/>
      <c r="AG123" s="42"/>
      <c r="AH123" s="42"/>
      <c r="AI123" s="35"/>
      <c r="AJ123" s="42"/>
      <c r="AK123" s="42"/>
      <c r="AL123" s="42"/>
      <c r="AM123" s="42"/>
      <c r="AN123" s="42"/>
      <c r="AO123" s="42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</row>
    <row r="124" spans="1:53" ht="15.75" customHeight="1">
      <c r="A124" s="34"/>
      <c r="B124" s="35"/>
      <c r="C124" s="36"/>
      <c r="D124" s="34"/>
      <c r="E124" s="38"/>
      <c r="F124" s="38"/>
      <c r="G124" s="39"/>
      <c r="H124" s="39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9"/>
      <c r="T124" s="35"/>
      <c r="U124" s="35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3"/>
      <c r="AG124" s="42"/>
      <c r="AH124" s="42"/>
      <c r="AI124" s="35"/>
      <c r="AJ124" s="42"/>
      <c r="AK124" s="42"/>
      <c r="AL124" s="42"/>
      <c r="AM124" s="42"/>
      <c r="AN124" s="42"/>
      <c r="AO124" s="42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</row>
    <row r="125" spans="1:53" ht="15.75" customHeight="1">
      <c r="A125" s="34"/>
      <c r="B125" s="35"/>
      <c r="C125" s="36"/>
      <c r="D125" s="34"/>
      <c r="E125" s="38"/>
      <c r="F125" s="38"/>
      <c r="G125" s="39"/>
      <c r="H125" s="39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9"/>
      <c r="T125" s="35"/>
      <c r="U125" s="35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3"/>
      <c r="AG125" s="42"/>
      <c r="AH125" s="42"/>
      <c r="AI125" s="35"/>
      <c r="AJ125" s="42"/>
      <c r="AK125" s="42"/>
      <c r="AL125" s="42"/>
      <c r="AM125" s="42"/>
      <c r="AN125" s="42"/>
      <c r="AO125" s="42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</row>
    <row r="126" spans="1:53" ht="15.75" customHeight="1">
      <c r="A126" s="34"/>
      <c r="B126" s="35"/>
      <c r="C126" s="36"/>
      <c r="D126" s="34"/>
      <c r="E126" s="38"/>
      <c r="F126" s="38"/>
      <c r="G126" s="39"/>
      <c r="H126" s="39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9"/>
      <c r="T126" s="35"/>
      <c r="U126" s="35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3"/>
      <c r="AG126" s="42"/>
      <c r="AH126" s="42"/>
      <c r="AI126" s="35"/>
      <c r="AJ126" s="42"/>
      <c r="AK126" s="42"/>
      <c r="AL126" s="42"/>
      <c r="AM126" s="42"/>
      <c r="AN126" s="42"/>
      <c r="AO126" s="42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</row>
    <row r="127" spans="1:53" ht="15.75" customHeight="1">
      <c r="A127" s="34"/>
      <c r="B127" s="35"/>
      <c r="C127" s="36"/>
      <c r="D127" s="34"/>
      <c r="E127" s="38"/>
      <c r="F127" s="38"/>
      <c r="G127" s="39"/>
      <c r="H127" s="39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9"/>
      <c r="T127" s="35"/>
      <c r="U127" s="35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3"/>
      <c r="AG127" s="42"/>
      <c r="AH127" s="42"/>
      <c r="AI127" s="35"/>
      <c r="AJ127" s="42"/>
      <c r="AK127" s="42"/>
      <c r="AL127" s="42"/>
      <c r="AM127" s="42"/>
      <c r="AN127" s="42"/>
      <c r="AO127" s="42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</row>
    <row r="128" spans="1:53" ht="15.75" customHeight="1">
      <c r="A128" s="34"/>
      <c r="B128" s="35"/>
      <c r="C128" s="36"/>
      <c r="D128" s="34"/>
      <c r="E128" s="38"/>
      <c r="F128" s="38"/>
      <c r="G128" s="39"/>
      <c r="H128" s="39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9"/>
      <c r="T128" s="35"/>
      <c r="U128" s="35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3"/>
      <c r="AG128" s="42"/>
      <c r="AH128" s="42"/>
      <c r="AI128" s="35"/>
      <c r="AJ128" s="42"/>
      <c r="AK128" s="42"/>
      <c r="AL128" s="42"/>
      <c r="AM128" s="42"/>
      <c r="AN128" s="42"/>
      <c r="AO128" s="42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</row>
    <row r="129" spans="1:53" ht="15.75" customHeight="1">
      <c r="A129" s="34"/>
      <c r="B129" s="35"/>
      <c r="C129" s="36"/>
      <c r="D129" s="34"/>
      <c r="E129" s="38"/>
      <c r="F129" s="38"/>
      <c r="G129" s="39"/>
      <c r="H129" s="39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9"/>
      <c r="T129" s="35"/>
      <c r="U129" s="35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3"/>
      <c r="AG129" s="42"/>
      <c r="AH129" s="42"/>
      <c r="AI129" s="35"/>
      <c r="AJ129" s="42"/>
      <c r="AK129" s="42"/>
      <c r="AL129" s="42"/>
      <c r="AM129" s="42"/>
      <c r="AN129" s="42"/>
      <c r="AO129" s="42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</row>
    <row r="130" spans="1:53" ht="15.75" customHeight="1">
      <c r="A130" s="34"/>
      <c r="B130" s="35"/>
      <c r="C130" s="36"/>
      <c r="D130" s="34"/>
      <c r="E130" s="38"/>
      <c r="F130" s="38"/>
      <c r="G130" s="39"/>
      <c r="H130" s="39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9"/>
      <c r="T130" s="35"/>
      <c r="U130" s="35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3"/>
      <c r="AG130" s="42"/>
      <c r="AH130" s="42"/>
      <c r="AI130" s="35"/>
      <c r="AJ130" s="42"/>
      <c r="AK130" s="42"/>
      <c r="AL130" s="42"/>
      <c r="AM130" s="42"/>
      <c r="AN130" s="42"/>
      <c r="AO130" s="42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</row>
    <row r="131" spans="1:53" ht="15.75" customHeight="1">
      <c r="A131" s="34"/>
      <c r="B131" s="35"/>
      <c r="C131" s="36"/>
      <c r="D131" s="34"/>
      <c r="E131" s="38"/>
      <c r="F131" s="38"/>
      <c r="G131" s="39"/>
      <c r="H131" s="39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9"/>
      <c r="T131" s="35"/>
      <c r="U131" s="35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3"/>
      <c r="AG131" s="42"/>
      <c r="AH131" s="42"/>
      <c r="AI131" s="35"/>
      <c r="AJ131" s="42"/>
      <c r="AK131" s="42"/>
      <c r="AL131" s="42"/>
      <c r="AM131" s="42"/>
      <c r="AN131" s="42"/>
      <c r="AO131" s="42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</row>
    <row r="132" spans="1:53" ht="15.75" customHeight="1">
      <c r="A132" s="34"/>
      <c r="B132" s="35"/>
      <c r="C132" s="36"/>
      <c r="D132" s="34"/>
      <c r="E132" s="38"/>
      <c r="F132" s="38"/>
      <c r="G132" s="39"/>
      <c r="H132" s="39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9"/>
      <c r="T132" s="35"/>
      <c r="U132" s="35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3"/>
      <c r="AG132" s="42"/>
      <c r="AH132" s="42"/>
      <c r="AI132" s="35"/>
      <c r="AJ132" s="42"/>
      <c r="AK132" s="42"/>
      <c r="AL132" s="42"/>
      <c r="AM132" s="42"/>
      <c r="AN132" s="42"/>
      <c r="AO132" s="42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</row>
    <row r="133" spans="1:53" ht="15.75" customHeight="1">
      <c r="A133" s="34"/>
      <c r="B133" s="35"/>
      <c r="C133" s="36"/>
      <c r="D133" s="34"/>
      <c r="E133" s="38"/>
      <c r="F133" s="38"/>
      <c r="G133" s="39"/>
      <c r="H133" s="39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9"/>
      <c r="T133" s="35"/>
      <c r="U133" s="35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3"/>
      <c r="AG133" s="42"/>
      <c r="AH133" s="42"/>
      <c r="AI133" s="35"/>
      <c r="AJ133" s="42"/>
      <c r="AK133" s="42"/>
      <c r="AL133" s="42"/>
      <c r="AM133" s="42"/>
      <c r="AN133" s="42"/>
      <c r="AO133" s="42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</row>
    <row r="134" spans="1:53" ht="15.75" customHeight="1">
      <c r="A134" s="34"/>
      <c r="B134" s="35"/>
      <c r="C134" s="44"/>
      <c r="D134" s="34"/>
      <c r="E134" s="38"/>
      <c r="F134" s="38"/>
      <c r="G134" s="39"/>
      <c r="H134" s="39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9"/>
      <c r="T134" s="35"/>
      <c r="U134" s="35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3"/>
      <c r="AG134" s="42"/>
      <c r="AH134" s="42"/>
      <c r="AI134" s="35"/>
      <c r="AJ134" s="42"/>
      <c r="AK134" s="42"/>
      <c r="AL134" s="42"/>
      <c r="AM134" s="42"/>
      <c r="AN134" s="42"/>
      <c r="AO134" s="42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</row>
    <row r="135" spans="1:53" ht="15.75" customHeight="1">
      <c r="A135" s="34"/>
      <c r="B135" s="35"/>
      <c r="C135" s="44"/>
      <c r="D135" s="34"/>
      <c r="E135" s="38"/>
      <c r="F135" s="38"/>
      <c r="G135" s="39"/>
      <c r="H135" s="39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9"/>
      <c r="T135" s="35"/>
      <c r="U135" s="35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3"/>
      <c r="AG135" s="42"/>
      <c r="AH135" s="42"/>
      <c r="AI135" s="35"/>
      <c r="AJ135" s="42"/>
      <c r="AK135" s="42"/>
      <c r="AL135" s="42"/>
      <c r="AM135" s="42"/>
      <c r="AN135" s="42"/>
      <c r="AO135" s="42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</row>
    <row r="136" spans="1:53" ht="15.75" customHeight="1">
      <c r="A136" s="34"/>
      <c r="B136" s="35"/>
      <c r="C136" s="44"/>
      <c r="D136" s="34"/>
      <c r="E136" s="38"/>
      <c r="F136" s="38"/>
      <c r="G136" s="39"/>
      <c r="H136" s="39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9"/>
      <c r="T136" s="35"/>
      <c r="U136" s="35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3"/>
      <c r="AG136" s="42"/>
      <c r="AH136" s="42"/>
      <c r="AI136" s="35"/>
      <c r="AJ136" s="42"/>
      <c r="AK136" s="42"/>
      <c r="AL136" s="42"/>
      <c r="AM136" s="42"/>
      <c r="AN136" s="42"/>
      <c r="AO136" s="42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</row>
    <row r="137" spans="1:53" ht="15.75" customHeight="1">
      <c r="A137" s="34"/>
      <c r="B137" s="35"/>
      <c r="C137" s="44"/>
      <c r="D137" s="34"/>
      <c r="E137" s="38"/>
      <c r="F137" s="38"/>
      <c r="G137" s="39"/>
      <c r="H137" s="39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9"/>
      <c r="T137" s="35"/>
      <c r="U137" s="35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3"/>
      <c r="AG137" s="42"/>
      <c r="AH137" s="42"/>
      <c r="AI137" s="35"/>
      <c r="AJ137" s="42"/>
      <c r="AK137" s="42"/>
      <c r="AL137" s="42"/>
      <c r="AM137" s="42"/>
      <c r="AN137" s="42"/>
      <c r="AO137" s="42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</row>
    <row r="138" spans="1:53" ht="15.75" customHeight="1">
      <c r="A138" s="34"/>
      <c r="B138" s="35"/>
      <c r="C138" s="36"/>
      <c r="D138" s="34"/>
      <c r="E138" s="38"/>
      <c r="F138" s="38"/>
      <c r="G138" s="39"/>
      <c r="H138" s="39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9"/>
      <c r="T138" s="35"/>
      <c r="U138" s="35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3"/>
      <c r="AG138" s="42"/>
      <c r="AH138" s="42"/>
      <c r="AI138" s="35"/>
      <c r="AJ138" s="42"/>
      <c r="AK138" s="42"/>
      <c r="AL138" s="42"/>
      <c r="AM138" s="42"/>
      <c r="AN138" s="42"/>
      <c r="AO138" s="42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</row>
    <row r="139" spans="1:53" ht="15.75" customHeight="1">
      <c r="A139" s="34"/>
      <c r="B139" s="35"/>
      <c r="C139" s="36"/>
      <c r="D139" s="34"/>
      <c r="E139" s="38"/>
      <c r="F139" s="38"/>
      <c r="G139" s="39"/>
      <c r="H139" s="39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9"/>
      <c r="T139" s="35"/>
      <c r="U139" s="35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3"/>
      <c r="AG139" s="42"/>
      <c r="AH139" s="42"/>
      <c r="AI139" s="35"/>
      <c r="AJ139" s="42"/>
      <c r="AK139" s="42"/>
      <c r="AL139" s="42"/>
      <c r="AM139" s="42"/>
      <c r="AN139" s="42"/>
      <c r="AO139" s="42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</row>
    <row r="140" spans="1:53" ht="15.75" customHeight="1">
      <c r="A140" s="34"/>
      <c r="B140" s="35"/>
      <c r="C140" s="36"/>
      <c r="D140" s="34"/>
      <c r="E140" s="38"/>
      <c r="F140" s="38"/>
      <c r="G140" s="39"/>
      <c r="H140" s="39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9"/>
      <c r="T140" s="35"/>
      <c r="U140" s="35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3"/>
      <c r="AG140" s="42"/>
      <c r="AH140" s="42"/>
      <c r="AI140" s="35"/>
      <c r="AJ140" s="42"/>
      <c r="AK140" s="42"/>
      <c r="AL140" s="42"/>
      <c r="AM140" s="42"/>
      <c r="AN140" s="42"/>
      <c r="AO140" s="42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</row>
    <row r="141" spans="1:53" ht="15.75" customHeight="1">
      <c r="A141" s="34"/>
      <c r="B141" s="35"/>
      <c r="C141" s="36"/>
      <c r="D141" s="34"/>
      <c r="E141" s="38"/>
      <c r="F141" s="38"/>
      <c r="G141" s="39"/>
      <c r="H141" s="39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9"/>
      <c r="T141" s="35"/>
      <c r="U141" s="35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3"/>
      <c r="AG141" s="42"/>
      <c r="AH141" s="42"/>
      <c r="AI141" s="35"/>
      <c r="AJ141" s="42"/>
      <c r="AK141" s="42"/>
      <c r="AL141" s="42"/>
      <c r="AM141" s="42"/>
      <c r="AN141" s="42"/>
      <c r="AO141" s="42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</row>
    <row r="142" spans="1:53" ht="15.75" customHeight="1">
      <c r="A142" s="34"/>
      <c r="B142" s="35"/>
      <c r="C142" s="36"/>
      <c r="D142" s="34"/>
      <c r="E142" s="38"/>
      <c r="F142" s="38"/>
      <c r="G142" s="39"/>
      <c r="H142" s="39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9"/>
      <c r="T142" s="35"/>
      <c r="U142" s="35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3"/>
      <c r="AG142" s="42"/>
      <c r="AH142" s="42"/>
      <c r="AI142" s="35"/>
      <c r="AJ142" s="42"/>
      <c r="AK142" s="42"/>
      <c r="AL142" s="42"/>
      <c r="AM142" s="42"/>
      <c r="AN142" s="42"/>
      <c r="AO142" s="42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</row>
    <row r="143" spans="1:53" ht="15.75" customHeight="1">
      <c r="A143" s="34"/>
      <c r="B143" s="35"/>
      <c r="C143" s="36"/>
      <c r="D143" s="34"/>
      <c r="E143" s="38"/>
      <c r="F143" s="38"/>
      <c r="G143" s="39"/>
      <c r="H143" s="39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9"/>
      <c r="T143" s="35"/>
      <c r="U143" s="35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3"/>
      <c r="AG143" s="42"/>
      <c r="AH143" s="42"/>
      <c r="AI143" s="35"/>
      <c r="AJ143" s="42"/>
      <c r="AK143" s="42"/>
      <c r="AL143" s="42"/>
      <c r="AM143" s="42"/>
      <c r="AN143" s="42"/>
      <c r="AO143" s="42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</row>
    <row r="144" spans="1:53" ht="15.75" customHeight="1">
      <c r="A144" s="34"/>
      <c r="B144" s="35"/>
      <c r="C144" s="36"/>
      <c r="D144" s="34"/>
      <c r="E144" s="38"/>
      <c r="F144" s="38"/>
      <c r="G144" s="39"/>
      <c r="H144" s="39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9"/>
      <c r="T144" s="35"/>
      <c r="U144" s="35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3"/>
      <c r="AG144" s="42"/>
      <c r="AH144" s="42"/>
      <c r="AI144" s="35"/>
      <c r="AJ144" s="42"/>
      <c r="AK144" s="42"/>
      <c r="AL144" s="42"/>
      <c r="AM144" s="42"/>
      <c r="AN144" s="42"/>
      <c r="AO144" s="42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</row>
    <row r="145" spans="1:53" ht="15.75" customHeight="1">
      <c r="A145" s="34"/>
      <c r="B145" s="35"/>
      <c r="C145" s="36"/>
      <c r="D145" s="34"/>
      <c r="E145" s="38"/>
      <c r="F145" s="38"/>
      <c r="G145" s="39"/>
      <c r="H145" s="39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9"/>
      <c r="T145" s="35"/>
      <c r="U145" s="35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3"/>
      <c r="AG145" s="42"/>
      <c r="AH145" s="42"/>
      <c r="AI145" s="35"/>
      <c r="AJ145" s="42"/>
      <c r="AK145" s="42"/>
      <c r="AL145" s="42"/>
      <c r="AM145" s="42"/>
      <c r="AN145" s="42"/>
      <c r="AO145" s="42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</row>
    <row r="146" spans="1:53" ht="15.75" customHeight="1">
      <c r="A146" s="34"/>
      <c r="B146" s="35"/>
      <c r="C146" s="36"/>
      <c r="D146" s="34"/>
      <c r="E146" s="38"/>
      <c r="F146" s="38"/>
      <c r="G146" s="39"/>
      <c r="H146" s="39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9"/>
      <c r="T146" s="35"/>
      <c r="U146" s="35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3"/>
      <c r="AG146" s="42"/>
      <c r="AH146" s="42"/>
      <c r="AI146" s="35"/>
      <c r="AJ146" s="42"/>
      <c r="AK146" s="42"/>
      <c r="AL146" s="42"/>
      <c r="AM146" s="42"/>
      <c r="AN146" s="42"/>
      <c r="AO146" s="42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</row>
    <row r="147" spans="1:53" ht="15.75" customHeight="1">
      <c r="A147" s="34"/>
      <c r="B147" s="35"/>
      <c r="C147" s="36"/>
      <c r="D147" s="34"/>
      <c r="E147" s="38"/>
      <c r="F147" s="38"/>
      <c r="G147" s="39"/>
      <c r="H147" s="39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9"/>
      <c r="T147" s="35"/>
      <c r="U147" s="35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3"/>
      <c r="AG147" s="42"/>
      <c r="AH147" s="42"/>
      <c r="AI147" s="35"/>
      <c r="AJ147" s="42"/>
      <c r="AK147" s="42"/>
      <c r="AL147" s="42"/>
      <c r="AM147" s="42"/>
      <c r="AN147" s="42"/>
      <c r="AO147" s="42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</row>
    <row r="148" spans="1:53" ht="15.75" customHeight="1">
      <c r="A148" s="34"/>
      <c r="B148" s="35"/>
      <c r="C148" s="36"/>
      <c r="D148" s="34"/>
      <c r="E148" s="38"/>
      <c r="F148" s="38"/>
      <c r="G148" s="39"/>
      <c r="H148" s="39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9"/>
      <c r="T148" s="35"/>
      <c r="U148" s="35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3"/>
      <c r="AG148" s="42"/>
      <c r="AH148" s="42"/>
      <c r="AI148" s="35"/>
      <c r="AJ148" s="42"/>
      <c r="AK148" s="42"/>
      <c r="AL148" s="42"/>
      <c r="AM148" s="42"/>
      <c r="AN148" s="42"/>
      <c r="AO148" s="42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</row>
    <row r="149" spans="1:53" ht="15.75" customHeight="1">
      <c r="A149" s="34"/>
      <c r="B149" s="35"/>
      <c r="C149" s="44"/>
      <c r="D149" s="34"/>
      <c r="E149" s="38"/>
      <c r="F149" s="38"/>
      <c r="G149" s="39"/>
      <c r="H149" s="39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9"/>
      <c r="T149" s="35"/>
      <c r="U149" s="35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3"/>
      <c r="AG149" s="42"/>
      <c r="AH149" s="42"/>
      <c r="AI149" s="35"/>
      <c r="AJ149" s="42"/>
      <c r="AK149" s="42"/>
      <c r="AL149" s="42"/>
      <c r="AM149" s="42"/>
      <c r="AN149" s="42"/>
      <c r="AO149" s="42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</row>
    <row r="150" spans="1:53" ht="15.75" customHeight="1">
      <c r="A150" s="34"/>
      <c r="B150" s="35"/>
      <c r="C150" s="44"/>
      <c r="D150" s="34"/>
      <c r="E150" s="38"/>
      <c r="F150" s="38"/>
      <c r="G150" s="39"/>
      <c r="H150" s="39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9"/>
      <c r="T150" s="35"/>
      <c r="U150" s="35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3"/>
      <c r="AG150" s="42"/>
      <c r="AH150" s="42"/>
      <c r="AI150" s="35"/>
      <c r="AJ150" s="42"/>
      <c r="AK150" s="42"/>
      <c r="AL150" s="42"/>
      <c r="AM150" s="42"/>
      <c r="AN150" s="42"/>
      <c r="AO150" s="42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</row>
    <row r="151" spans="1:53" ht="15.75" customHeight="1">
      <c r="A151" s="34"/>
      <c r="B151" s="35"/>
      <c r="C151" s="44"/>
      <c r="D151" s="34"/>
      <c r="E151" s="38"/>
      <c r="F151" s="38"/>
      <c r="G151" s="39"/>
      <c r="H151" s="39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9"/>
      <c r="T151" s="35"/>
      <c r="U151" s="35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3"/>
      <c r="AG151" s="42"/>
      <c r="AH151" s="42"/>
      <c r="AI151" s="35"/>
      <c r="AJ151" s="42"/>
      <c r="AK151" s="42"/>
      <c r="AL151" s="42"/>
      <c r="AM151" s="42"/>
      <c r="AN151" s="42"/>
      <c r="AO151" s="42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</row>
    <row r="152" spans="1:53" ht="15.75" customHeight="1">
      <c r="A152" s="34"/>
      <c r="B152" s="35"/>
      <c r="C152" s="44"/>
      <c r="D152" s="34"/>
      <c r="E152" s="38"/>
      <c r="F152" s="38"/>
      <c r="G152" s="39"/>
      <c r="H152" s="39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9"/>
      <c r="T152" s="35"/>
      <c r="U152" s="35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3"/>
      <c r="AG152" s="42"/>
      <c r="AH152" s="42"/>
      <c r="AI152" s="35"/>
      <c r="AJ152" s="42"/>
      <c r="AK152" s="42"/>
      <c r="AL152" s="42"/>
      <c r="AM152" s="42"/>
      <c r="AN152" s="42"/>
      <c r="AO152" s="42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</row>
    <row r="153" spans="1:53" ht="15.75" customHeight="1">
      <c r="A153" s="34"/>
      <c r="B153" s="35"/>
      <c r="C153" s="36"/>
      <c r="D153" s="34"/>
      <c r="E153" s="38"/>
      <c r="F153" s="38"/>
      <c r="G153" s="39"/>
      <c r="H153" s="39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9"/>
      <c r="T153" s="35"/>
      <c r="U153" s="35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3"/>
      <c r="AG153" s="42"/>
      <c r="AH153" s="42"/>
      <c r="AI153" s="35"/>
      <c r="AJ153" s="42"/>
      <c r="AK153" s="42"/>
      <c r="AL153" s="42"/>
      <c r="AM153" s="42"/>
      <c r="AN153" s="42"/>
      <c r="AO153" s="42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</row>
    <row r="154" spans="1:53" ht="15.75" customHeight="1">
      <c r="A154" s="34"/>
      <c r="B154" s="35"/>
      <c r="C154" s="36"/>
      <c r="D154" s="34"/>
      <c r="E154" s="38"/>
      <c r="F154" s="38"/>
      <c r="G154" s="39"/>
      <c r="H154" s="39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9"/>
      <c r="T154" s="35"/>
      <c r="U154" s="35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3"/>
      <c r="AG154" s="42"/>
      <c r="AH154" s="42"/>
      <c r="AI154" s="35"/>
      <c r="AJ154" s="42"/>
      <c r="AK154" s="42"/>
      <c r="AL154" s="42"/>
      <c r="AM154" s="42"/>
      <c r="AN154" s="42"/>
      <c r="AO154" s="42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</row>
    <row r="155" spans="1:53" ht="15.75" customHeight="1">
      <c r="A155" s="34"/>
      <c r="B155" s="35"/>
      <c r="C155" s="36"/>
      <c r="D155" s="34"/>
      <c r="E155" s="38"/>
      <c r="F155" s="38"/>
      <c r="G155" s="39"/>
      <c r="H155" s="39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9"/>
      <c r="T155" s="35"/>
      <c r="U155" s="35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3"/>
      <c r="AG155" s="42"/>
      <c r="AH155" s="42"/>
      <c r="AI155" s="35"/>
      <c r="AJ155" s="42"/>
      <c r="AK155" s="42"/>
      <c r="AL155" s="42"/>
      <c r="AM155" s="42"/>
      <c r="AN155" s="42"/>
      <c r="AO155" s="42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</row>
    <row r="156" spans="1:53" ht="15.75" customHeight="1">
      <c r="A156" s="34"/>
      <c r="B156" s="35"/>
      <c r="C156" s="36"/>
      <c r="D156" s="34"/>
      <c r="E156" s="38"/>
      <c r="F156" s="38"/>
      <c r="G156" s="39"/>
      <c r="H156" s="39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9"/>
      <c r="T156" s="35"/>
      <c r="U156" s="35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3"/>
      <c r="AG156" s="42"/>
      <c r="AH156" s="42"/>
      <c r="AI156" s="35"/>
      <c r="AJ156" s="42"/>
      <c r="AK156" s="42"/>
      <c r="AL156" s="42"/>
      <c r="AM156" s="42"/>
      <c r="AN156" s="42"/>
      <c r="AO156" s="42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</row>
    <row r="157" spans="1:53" ht="15.75" customHeight="1">
      <c r="A157" s="34"/>
      <c r="B157" s="35"/>
      <c r="C157" s="36"/>
      <c r="D157" s="34"/>
      <c r="E157" s="38"/>
      <c r="F157" s="38"/>
      <c r="G157" s="39"/>
      <c r="H157" s="39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9"/>
      <c r="T157" s="35"/>
      <c r="U157" s="35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3"/>
      <c r="AG157" s="42"/>
      <c r="AH157" s="42"/>
      <c r="AI157" s="35"/>
      <c r="AJ157" s="42"/>
      <c r="AK157" s="42"/>
      <c r="AL157" s="42"/>
      <c r="AM157" s="42"/>
      <c r="AN157" s="42"/>
      <c r="AO157" s="42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</row>
    <row r="158" spans="1:53" ht="15.75" customHeight="1">
      <c r="A158" s="34"/>
      <c r="B158" s="35"/>
      <c r="C158" s="36"/>
      <c r="D158" s="34"/>
      <c r="E158" s="38"/>
      <c r="F158" s="38"/>
      <c r="G158" s="39"/>
      <c r="H158" s="39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9"/>
      <c r="T158" s="35"/>
      <c r="U158" s="35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3"/>
      <c r="AG158" s="42"/>
      <c r="AH158" s="42"/>
      <c r="AI158" s="35"/>
      <c r="AJ158" s="42"/>
      <c r="AK158" s="42"/>
      <c r="AL158" s="42"/>
      <c r="AM158" s="42"/>
      <c r="AN158" s="42"/>
      <c r="AO158" s="42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</row>
    <row r="159" spans="1:53" ht="15.75" customHeight="1">
      <c r="A159" s="34"/>
      <c r="B159" s="35"/>
      <c r="C159" s="36"/>
      <c r="D159" s="34"/>
      <c r="E159" s="38"/>
      <c r="F159" s="38"/>
      <c r="G159" s="39"/>
      <c r="H159" s="39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9"/>
      <c r="T159" s="35"/>
      <c r="U159" s="35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3"/>
      <c r="AG159" s="42"/>
      <c r="AH159" s="42"/>
      <c r="AI159" s="35"/>
      <c r="AJ159" s="42"/>
      <c r="AK159" s="42"/>
      <c r="AL159" s="42"/>
      <c r="AM159" s="42"/>
      <c r="AN159" s="42"/>
      <c r="AO159" s="42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</row>
    <row r="160" spans="1:53" ht="15.75" customHeight="1">
      <c r="A160" s="34"/>
      <c r="B160" s="35"/>
      <c r="C160" s="36"/>
      <c r="D160" s="34"/>
      <c r="E160" s="38"/>
      <c r="F160" s="38"/>
      <c r="G160" s="39"/>
      <c r="H160" s="39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9"/>
      <c r="T160" s="35"/>
      <c r="U160" s="35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3"/>
      <c r="AG160" s="42"/>
      <c r="AH160" s="42"/>
      <c r="AI160" s="35"/>
      <c r="AJ160" s="42"/>
      <c r="AK160" s="42"/>
      <c r="AL160" s="42"/>
      <c r="AM160" s="42"/>
      <c r="AN160" s="42"/>
      <c r="AO160" s="42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</row>
    <row r="161" spans="1:53" ht="15.75" customHeight="1">
      <c r="A161" s="34"/>
      <c r="B161" s="35"/>
      <c r="C161" s="44"/>
      <c r="D161" s="34"/>
      <c r="E161" s="38"/>
      <c r="F161" s="38"/>
      <c r="G161" s="39"/>
      <c r="H161" s="39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9"/>
      <c r="T161" s="35"/>
      <c r="U161" s="35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3"/>
      <c r="AG161" s="42"/>
      <c r="AH161" s="42"/>
      <c r="AI161" s="35"/>
      <c r="AJ161" s="42"/>
      <c r="AK161" s="42"/>
      <c r="AL161" s="42"/>
      <c r="AM161" s="42"/>
      <c r="AN161" s="42"/>
      <c r="AO161" s="42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</row>
    <row r="162" spans="1:53" ht="15.75" customHeight="1">
      <c r="A162" s="34"/>
      <c r="B162" s="35"/>
      <c r="C162" s="44"/>
      <c r="D162" s="34"/>
      <c r="E162" s="38"/>
      <c r="F162" s="38"/>
      <c r="G162" s="39"/>
      <c r="H162" s="39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9"/>
      <c r="T162" s="35"/>
      <c r="U162" s="35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3"/>
      <c r="AG162" s="42"/>
      <c r="AH162" s="42"/>
      <c r="AI162" s="35"/>
      <c r="AJ162" s="42"/>
      <c r="AK162" s="42"/>
      <c r="AL162" s="42"/>
      <c r="AM162" s="42"/>
      <c r="AN162" s="42"/>
      <c r="AO162" s="42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</row>
    <row r="163" spans="1:53" ht="15.75" customHeight="1">
      <c r="A163" s="34"/>
      <c r="B163" s="35"/>
      <c r="C163" s="44"/>
      <c r="D163" s="34"/>
      <c r="E163" s="38"/>
      <c r="F163" s="38"/>
      <c r="G163" s="39"/>
      <c r="H163" s="39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9"/>
      <c r="T163" s="35"/>
      <c r="U163" s="35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3"/>
      <c r="AG163" s="42"/>
      <c r="AH163" s="42"/>
      <c r="AI163" s="35"/>
      <c r="AJ163" s="42"/>
      <c r="AK163" s="42"/>
      <c r="AL163" s="42"/>
      <c r="AM163" s="42"/>
      <c r="AN163" s="42"/>
      <c r="AO163" s="42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</row>
    <row r="164" spans="1:53" ht="15.75" customHeight="1">
      <c r="A164" s="34"/>
      <c r="B164" s="35"/>
      <c r="C164" s="44"/>
      <c r="D164" s="34"/>
      <c r="E164" s="38"/>
      <c r="F164" s="38"/>
      <c r="G164" s="39"/>
      <c r="H164" s="39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9"/>
      <c r="T164" s="35"/>
      <c r="U164" s="35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2"/>
      <c r="AH164" s="42"/>
      <c r="AI164" s="35"/>
      <c r="AJ164" s="42"/>
      <c r="AK164" s="42"/>
      <c r="AL164" s="42"/>
      <c r="AM164" s="42"/>
      <c r="AN164" s="42"/>
      <c r="AO164" s="42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</row>
    <row r="165" spans="1:53" ht="15.75" customHeight="1">
      <c r="A165" s="34"/>
      <c r="B165" s="35"/>
      <c r="C165" s="44"/>
      <c r="D165" s="34"/>
      <c r="E165" s="38"/>
      <c r="F165" s="38"/>
      <c r="G165" s="39"/>
      <c r="H165" s="39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9"/>
      <c r="T165" s="35"/>
      <c r="U165" s="35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3"/>
      <c r="AG165" s="42"/>
      <c r="AH165" s="42"/>
      <c r="AI165" s="35"/>
      <c r="AJ165" s="42"/>
      <c r="AK165" s="42"/>
      <c r="AL165" s="42"/>
      <c r="AM165" s="42"/>
      <c r="AN165" s="42"/>
      <c r="AO165" s="42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</row>
    <row r="166" spans="1:53" ht="15.75" customHeight="1">
      <c r="A166" s="34"/>
      <c r="B166" s="35"/>
      <c r="C166" s="44"/>
      <c r="D166" s="34"/>
      <c r="E166" s="38"/>
      <c r="F166" s="38"/>
      <c r="G166" s="39"/>
      <c r="H166" s="39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9"/>
      <c r="T166" s="35"/>
      <c r="U166" s="35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3"/>
      <c r="AG166" s="42"/>
      <c r="AH166" s="42"/>
      <c r="AI166" s="35"/>
      <c r="AJ166" s="42"/>
      <c r="AK166" s="42"/>
      <c r="AL166" s="42"/>
      <c r="AM166" s="42"/>
      <c r="AN166" s="42"/>
      <c r="AO166" s="42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</row>
    <row r="167" spans="1:53" ht="15.75" customHeight="1">
      <c r="A167" s="34"/>
      <c r="B167" s="35"/>
      <c r="C167" s="44"/>
      <c r="D167" s="34"/>
      <c r="E167" s="38"/>
      <c r="F167" s="38"/>
      <c r="G167" s="39"/>
      <c r="H167" s="39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9"/>
      <c r="T167" s="35"/>
      <c r="U167" s="35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3"/>
      <c r="AG167" s="42"/>
      <c r="AH167" s="42"/>
      <c r="AI167" s="35"/>
      <c r="AJ167" s="42"/>
      <c r="AK167" s="42"/>
      <c r="AL167" s="42"/>
      <c r="AM167" s="42"/>
      <c r="AN167" s="42"/>
      <c r="AO167" s="42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</row>
    <row r="168" spans="1:53" ht="15.75" customHeight="1">
      <c r="A168" s="34"/>
      <c r="B168" s="35"/>
      <c r="C168" s="36"/>
      <c r="D168" s="34"/>
      <c r="E168" s="38"/>
      <c r="F168" s="38"/>
      <c r="G168" s="39"/>
      <c r="H168" s="39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9"/>
      <c r="T168" s="35"/>
      <c r="U168" s="35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3"/>
      <c r="AG168" s="42"/>
      <c r="AH168" s="42"/>
      <c r="AI168" s="35"/>
      <c r="AJ168" s="42"/>
      <c r="AK168" s="42"/>
      <c r="AL168" s="42"/>
      <c r="AM168" s="42"/>
      <c r="AN168" s="42"/>
      <c r="AO168" s="42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</row>
    <row r="169" spans="1:53" ht="15.75" customHeight="1">
      <c r="A169" s="34"/>
      <c r="B169" s="35"/>
      <c r="C169" s="36"/>
      <c r="D169" s="34"/>
      <c r="E169" s="38"/>
      <c r="F169" s="38"/>
      <c r="G169" s="39"/>
      <c r="H169" s="39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9"/>
      <c r="T169" s="35"/>
      <c r="U169" s="35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3"/>
      <c r="AG169" s="42"/>
      <c r="AH169" s="42"/>
      <c r="AI169" s="35"/>
      <c r="AJ169" s="42"/>
      <c r="AK169" s="42"/>
      <c r="AL169" s="42"/>
      <c r="AM169" s="42"/>
      <c r="AN169" s="42"/>
      <c r="AO169" s="42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</row>
    <row r="170" spans="1:53" ht="15.75" customHeight="1">
      <c r="A170" s="34"/>
      <c r="B170" s="35"/>
      <c r="C170" s="36"/>
      <c r="D170" s="34"/>
      <c r="E170" s="38"/>
      <c r="F170" s="38"/>
      <c r="G170" s="39"/>
      <c r="H170" s="39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9"/>
      <c r="T170" s="35"/>
      <c r="U170" s="35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3"/>
      <c r="AG170" s="42"/>
      <c r="AH170" s="42"/>
      <c r="AI170" s="35"/>
      <c r="AJ170" s="42"/>
      <c r="AK170" s="42"/>
      <c r="AL170" s="42"/>
      <c r="AM170" s="42"/>
      <c r="AN170" s="42"/>
      <c r="AO170" s="42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</row>
    <row r="171" spans="1:53" ht="15.75" customHeight="1">
      <c r="A171" s="34"/>
      <c r="B171" s="35"/>
      <c r="C171" s="36"/>
      <c r="D171" s="34"/>
      <c r="E171" s="38"/>
      <c r="F171" s="38"/>
      <c r="G171" s="39"/>
      <c r="H171" s="39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9"/>
      <c r="T171" s="35"/>
      <c r="U171" s="35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3"/>
      <c r="AG171" s="42"/>
      <c r="AH171" s="42"/>
      <c r="AI171" s="35"/>
      <c r="AJ171" s="42"/>
      <c r="AK171" s="42"/>
      <c r="AL171" s="42"/>
      <c r="AM171" s="42"/>
      <c r="AN171" s="42"/>
      <c r="AO171" s="42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</row>
    <row r="172" spans="1:53" ht="15.75" customHeight="1">
      <c r="A172" s="34"/>
      <c r="B172" s="35"/>
      <c r="C172" s="44"/>
      <c r="D172" s="34"/>
      <c r="E172" s="38"/>
      <c r="F172" s="38"/>
      <c r="G172" s="39"/>
      <c r="H172" s="39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9"/>
      <c r="T172" s="35"/>
      <c r="U172" s="35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3"/>
      <c r="AG172" s="42"/>
      <c r="AH172" s="42"/>
      <c r="AI172" s="35"/>
      <c r="AJ172" s="42"/>
      <c r="AK172" s="42"/>
      <c r="AL172" s="42"/>
      <c r="AM172" s="42"/>
      <c r="AN172" s="42"/>
      <c r="AO172" s="42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</row>
    <row r="173" spans="1:53" ht="15.75" customHeight="1">
      <c r="A173" s="34"/>
      <c r="B173" s="35"/>
      <c r="C173" s="44"/>
      <c r="D173" s="34"/>
      <c r="E173" s="38"/>
      <c r="F173" s="38"/>
      <c r="G173" s="39"/>
      <c r="H173" s="39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9"/>
      <c r="T173" s="35"/>
      <c r="U173" s="35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3"/>
      <c r="AG173" s="42"/>
      <c r="AH173" s="42"/>
      <c r="AI173" s="35"/>
      <c r="AJ173" s="42"/>
      <c r="AK173" s="42"/>
      <c r="AL173" s="42"/>
      <c r="AM173" s="42"/>
      <c r="AN173" s="42"/>
      <c r="AO173" s="42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</row>
    <row r="174" spans="1:53" ht="15.75" customHeight="1">
      <c r="A174" s="34"/>
      <c r="B174" s="35"/>
      <c r="C174" s="44"/>
      <c r="D174" s="34"/>
      <c r="E174" s="38"/>
      <c r="F174" s="38"/>
      <c r="G174" s="39"/>
      <c r="H174" s="39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9"/>
      <c r="T174" s="35"/>
      <c r="U174" s="35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3"/>
      <c r="AG174" s="42"/>
      <c r="AH174" s="42"/>
      <c r="AI174" s="35"/>
      <c r="AJ174" s="42"/>
      <c r="AK174" s="42"/>
      <c r="AL174" s="42"/>
      <c r="AM174" s="42"/>
      <c r="AN174" s="42"/>
      <c r="AO174" s="42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</row>
    <row r="175" spans="1:53" ht="15.75" customHeight="1">
      <c r="A175" s="34"/>
      <c r="B175" s="35"/>
      <c r="C175" s="44"/>
      <c r="D175" s="34"/>
      <c r="E175" s="38"/>
      <c r="F175" s="38"/>
      <c r="G175" s="39"/>
      <c r="H175" s="39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9"/>
      <c r="T175" s="35"/>
      <c r="U175" s="35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3"/>
      <c r="AG175" s="42"/>
      <c r="AH175" s="42"/>
      <c r="AI175" s="35"/>
      <c r="AJ175" s="42"/>
      <c r="AK175" s="42"/>
      <c r="AL175" s="42"/>
      <c r="AM175" s="42"/>
      <c r="AN175" s="42"/>
      <c r="AO175" s="42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</row>
    <row r="176" spans="1:53" ht="15.75" customHeight="1">
      <c r="A176" s="34"/>
      <c r="B176" s="35"/>
      <c r="C176" s="44"/>
      <c r="D176" s="34"/>
      <c r="E176" s="38"/>
      <c r="F176" s="38"/>
      <c r="G176" s="39"/>
      <c r="H176" s="39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9"/>
      <c r="T176" s="35"/>
      <c r="U176" s="35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3"/>
      <c r="AG176" s="42"/>
      <c r="AH176" s="42"/>
      <c r="AI176" s="35"/>
      <c r="AJ176" s="42"/>
      <c r="AK176" s="42"/>
      <c r="AL176" s="42"/>
      <c r="AM176" s="42"/>
      <c r="AN176" s="42"/>
      <c r="AO176" s="42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</row>
    <row r="177" spans="1:53" ht="15.75" customHeight="1">
      <c r="A177" s="34"/>
      <c r="B177" s="35"/>
      <c r="C177" s="44"/>
      <c r="D177" s="34"/>
      <c r="E177" s="38"/>
      <c r="F177" s="38"/>
      <c r="G177" s="39"/>
      <c r="H177" s="39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9"/>
      <c r="T177" s="35"/>
      <c r="U177" s="35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3"/>
      <c r="AG177" s="42"/>
      <c r="AH177" s="42"/>
      <c r="AI177" s="35"/>
      <c r="AJ177" s="42"/>
      <c r="AK177" s="42"/>
      <c r="AL177" s="42"/>
      <c r="AM177" s="42"/>
      <c r="AN177" s="42"/>
      <c r="AO177" s="42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</row>
    <row r="178" spans="1:53" ht="15.75" customHeight="1">
      <c r="A178" s="34"/>
      <c r="B178" s="35"/>
      <c r="C178" s="44"/>
      <c r="D178" s="34"/>
      <c r="E178" s="38"/>
      <c r="F178" s="38"/>
      <c r="G178" s="39"/>
      <c r="H178" s="39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9"/>
      <c r="T178" s="35"/>
      <c r="U178" s="35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3"/>
      <c r="AG178" s="42"/>
      <c r="AH178" s="42"/>
      <c r="AI178" s="35"/>
      <c r="AJ178" s="42"/>
      <c r="AK178" s="42"/>
      <c r="AL178" s="42"/>
      <c r="AM178" s="42"/>
      <c r="AN178" s="42"/>
      <c r="AO178" s="42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</row>
    <row r="179" spans="1:53" ht="15.75" customHeight="1">
      <c r="A179" s="34"/>
      <c r="B179" s="35"/>
      <c r="C179" s="44"/>
      <c r="D179" s="34"/>
      <c r="E179" s="38"/>
      <c r="F179" s="38"/>
      <c r="G179" s="39"/>
      <c r="H179" s="39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9"/>
      <c r="T179" s="35"/>
      <c r="U179" s="35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3"/>
      <c r="AG179" s="42"/>
      <c r="AH179" s="42"/>
      <c r="AI179" s="35"/>
      <c r="AJ179" s="42"/>
      <c r="AK179" s="42"/>
      <c r="AL179" s="42"/>
      <c r="AM179" s="42"/>
      <c r="AN179" s="42"/>
      <c r="AO179" s="42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</row>
    <row r="180" spans="1:53" ht="15.75" customHeight="1">
      <c r="A180" s="34"/>
      <c r="B180" s="35"/>
      <c r="C180" s="44"/>
      <c r="D180" s="34"/>
      <c r="E180" s="38"/>
      <c r="F180" s="38"/>
      <c r="G180" s="39"/>
      <c r="H180" s="39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9"/>
      <c r="T180" s="35"/>
      <c r="U180" s="35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3"/>
      <c r="AG180" s="42"/>
      <c r="AH180" s="42"/>
      <c r="AI180" s="35"/>
      <c r="AJ180" s="42"/>
      <c r="AK180" s="42"/>
      <c r="AL180" s="42"/>
      <c r="AM180" s="42"/>
      <c r="AN180" s="42"/>
      <c r="AO180" s="42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</row>
    <row r="181" spans="1:53" ht="15.75" customHeight="1">
      <c r="A181" s="34"/>
      <c r="B181" s="35"/>
      <c r="C181" s="44"/>
      <c r="D181" s="34"/>
      <c r="E181" s="38"/>
      <c r="F181" s="38"/>
      <c r="G181" s="39"/>
      <c r="H181" s="39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9"/>
      <c r="T181" s="35"/>
      <c r="U181" s="35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3"/>
      <c r="AG181" s="42"/>
      <c r="AH181" s="42"/>
      <c r="AI181" s="35"/>
      <c r="AJ181" s="42"/>
      <c r="AK181" s="42"/>
      <c r="AL181" s="42"/>
      <c r="AM181" s="42"/>
      <c r="AN181" s="42"/>
      <c r="AO181" s="42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</row>
    <row r="182" spans="1:53" ht="15.75" customHeight="1">
      <c r="A182" s="34"/>
      <c r="B182" s="35"/>
      <c r="C182" s="44"/>
      <c r="D182" s="34"/>
      <c r="E182" s="38"/>
      <c r="F182" s="38"/>
      <c r="G182" s="39"/>
      <c r="H182" s="39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9"/>
      <c r="T182" s="35"/>
      <c r="U182" s="35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3"/>
      <c r="AG182" s="42"/>
      <c r="AH182" s="42"/>
      <c r="AI182" s="35"/>
      <c r="AJ182" s="42"/>
      <c r="AK182" s="42"/>
      <c r="AL182" s="42"/>
      <c r="AM182" s="42"/>
      <c r="AN182" s="42"/>
      <c r="AO182" s="42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</row>
    <row r="183" spans="1:53" ht="15.75" customHeight="1">
      <c r="A183" s="34"/>
      <c r="B183" s="35"/>
      <c r="C183" s="44"/>
      <c r="D183" s="34"/>
      <c r="E183" s="38"/>
      <c r="F183" s="38"/>
      <c r="G183" s="39"/>
      <c r="H183" s="39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9"/>
      <c r="T183" s="35"/>
      <c r="U183" s="35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3"/>
      <c r="AG183" s="42"/>
      <c r="AH183" s="42"/>
      <c r="AI183" s="35"/>
      <c r="AJ183" s="42"/>
      <c r="AK183" s="42"/>
      <c r="AL183" s="42"/>
      <c r="AM183" s="42"/>
      <c r="AN183" s="42"/>
      <c r="AO183" s="42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</row>
    <row r="184" spans="1:53" ht="15.75" customHeight="1">
      <c r="A184" s="34"/>
      <c r="B184" s="35"/>
      <c r="C184" s="44"/>
      <c r="D184" s="34"/>
      <c r="E184" s="38"/>
      <c r="F184" s="38"/>
      <c r="G184" s="39"/>
      <c r="H184" s="39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9"/>
      <c r="T184" s="35"/>
      <c r="U184" s="35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3"/>
      <c r="AG184" s="42"/>
      <c r="AH184" s="42"/>
      <c r="AI184" s="35"/>
      <c r="AJ184" s="42"/>
      <c r="AK184" s="42"/>
      <c r="AL184" s="42"/>
      <c r="AM184" s="42"/>
      <c r="AN184" s="42"/>
      <c r="AO184" s="42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</row>
    <row r="185" spans="1:53" ht="15.75" customHeight="1">
      <c r="A185" s="34"/>
      <c r="B185" s="35"/>
      <c r="C185" s="44"/>
      <c r="D185" s="34"/>
      <c r="E185" s="38"/>
      <c r="F185" s="38"/>
      <c r="G185" s="39"/>
      <c r="H185" s="39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9"/>
      <c r="T185" s="35"/>
      <c r="U185" s="35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3"/>
      <c r="AG185" s="42"/>
      <c r="AH185" s="42"/>
      <c r="AI185" s="35"/>
      <c r="AJ185" s="42"/>
      <c r="AK185" s="42"/>
      <c r="AL185" s="42"/>
      <c r="AM185" s="42"/>
      <c r="AN185" s="42"/>
      <c r="AO185" s="42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</row>
    <row r="186" spans="1:53" ht="15.75" customHeight="1">
      <c r="A186" s="34"/>
      <c r="B186" s="35"/>
      <c r="C186" s="44"/>
      <c r="D186" s="34"/>
      <c r="E186" s="38"/>
      <c r="F186" s="38"/>
      <c r="G186" s="39"/>
      <c r="H186" s="39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9"/>
      <c r="T186" s="35"/>
      <c r="U186" s="35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3"/>
      <c r="AG186" s="42"/>
      <c r="AH186" s="42"/>
      <c r="AI186" s="35"/>
      <c r="AJ186" s="42"/>
      <c r="AK186" s="42"/>
      <c r="AL186" s="42"/>
      <c r="AM186" s="42"/>
      <c r="AN186" s="42"/>
      <c r="AO186" s="42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</row>
    <row r="187" spans="1:53" ht="15.75" customHeight="1">
      <c r="A187" s="34"/>
      <c r="B187" s="35"/>
      <c r="C187" s="44"/>
      <c r="D187" s="34"/>
      <c r="E187" s="38"/>
      <c r="F187" s="38"/>
      <c r="G187" s="39"/>
      <c r="H187" s="39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9"/>
      <c r="T187" s="35"/>
      <c r="U187" s="35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3"/>
      <c r="AG187" s="42"/>
      <c r="AH187" s="42"/>
      <c r="AI187" s="35"/>
      <c r="AJ187" s="42"/>
      <c r="AK187" s="42"/>
      <c r="AL187" s="42"/>
      <c r="AM187" s="42"/>
      <c r="AN187" s="42"/>
      <c r="AO187" s="42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</row>
    <row r="188" spans="1:53" ht="15.75" customHeight="1">
      <c r="A188" s="34"/>
      <c r="B188" s="35"/>
      <c r="C188" s="44"/>
      <c r="D188" s="34"/>
      <c r="E188" s="38"/>
      <c r="F188" s="38"/>
      <c r="G188" s="39"/>
      <c r="H188" s="39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9"/>
      <c r="T188" s="35"/>
      <c r="U188" s="35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3"/>
      <c r="AG188" s="42"/>
      <c r="AH188" s="42"/>
      <c r="AI188" s="35"/>
      <c r="AJ188" s="42"/>
      <c r="AK188" s="42"/>
      <c r="AL188" s="42"/>
      <c r="AM188" s="42"/>
      <c r="AN188" s="42"/>
      <c r="AO188" s="42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</row>
    <row r="189" spans="1:53" ht="15.75" customHeight="1">
      <c r="A189" s="34"/>
      <c r="B189" s="35"/>
      <c r="C189" s="44"/>
      <c r="D189" s="34"/>
      <c r="E189" s="38"/>
      <c r="F189" s="38"/>
      <c r="G189" s="39"/>
      <c r="H189" s="39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9"/>
      <c r="T189" s="35"/>
      <c r="U189" s="35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3"/>
      <c r="AG189" s="42"/>
      <c r="AH189" s="42"/>
      <c r="AI189" s="35"/>
      <c r="AJ189" s="42"/>
      <c r="AK189" s="42"/>
      <c r="AL189" s="42"/>
      <c r="AM189" s="42"/>
      <c r="AN189" s="42"/>
      <c r="AO189" s="42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</row>
    <row r="190" spans="1:53" ht="15.75" customHeight="1">
      <c r="A190" s="34"/>
      <c r="B190" s="35"/>
      <c r="C190" s="44"/>
      <c r="D190" s="34"/>
      <c r="E190" s="38"/>
      <c r="F190" s="38"/>
      <c r="G190" s="39"/>
      <c r="H190" s="39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9"/>
      <c r="T190" s="35"/>
      <c r="U190" s="35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3"/>
      <c r="AG190" s="42"/>
      <c r="AH190" s="42"/>
      <c r="AI190" s="35"/>
      <c r="AJ190" s="42"/>
      <c r="AK190" s="42"/>
      <c r="AL190" s="42"/>
      <c r="AM190" s="42"/>
      <c r="AN190" s="42"/>
      <c r="AO190" s="42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</row>
    <row r="191" spans="1:53" ht="15.75" customHeight="1">
      <c r="A191" s="34"/>
      <c r="B191" s="35"/>
      <c r="C191" s="44"/>
      <c r="D191" s="34"/>
      <c r="E191" s="38"/>
      <c r="F191" s="38"/>
      <c r="G191" s="39"/>
      <c r="H191" s="39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9"/>
      <c r="T191" s="35"/>
      <c r="U191" s="35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3"/>
      <c r="AG191" s="42"/>
      <c r="AH191" s="42"/>
      <c r="AI191" s="35"/>
      <c r="AJ191" s="42"/>
      <c r="AK191" s="42"/>
      <c r="AL191" s="42"/>
      <c r="AM191" s="42"/>
      <c r="AN191" s="42"/>
      <c r="AO191" s="42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</row>
    <row r="192" spans="1:53" ht="15.75" customHeight="1">
      <c r="A192" s="34"/>
      <c r="B192" s="35"/>
      <c r="C192" s="44"/>
      <c r="D192" s="34"/>
      <c r="E192" s="38"/>
      <c r="F192" s="38"/>
      <c r="G192" s="39"/>
      <c r="H192" s="39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9"/>
      <c r="T192" s="35"/>
      <c r="U192" s="35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3"/>
      <c r="AG192" s="42"/>
      <c r="AH192" s="42"/>
      <c r="AI192" s="35"/>
      <c r="AJ192" s="42"/>
      <c r="AK192" s="42"/>
      <c r="AL192" s="42"/>
      <c r="AM192" s="42"/>
      <c r="AN192" s="42"/>
      <c r="AO192" s="42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</row>
    <row r="193" spans="1:53" ht="15.75" customHeight="1">
      <c r="A193" s="34"/>
      <c r="B193" s="35"/>
      <c r="C193" s="44"/>
      <c r="D193" s="34"/>
      <c r="E193" s="38"/>
      <c r="F193" s="38"/>
      <c r="G193" s="39"/>
      <c r="H193" s="39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9"/>
      <c r="T193" s="35"/>
      <c r="U193" s="35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3"/>
      <c r="AG193" s="42"/>
      <c r="AH193" s="42"/>
      <c r="AI193" s="35"/>
      <c r="AJ193" s="42"/>
      <c r="AK193" s="42"/>
      <c r="AL193" s="42"/>
      <c r="AM193" s="42"/>
      <c r="AN193" s="42"/>
      <c r="AO193" s="42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</row>
    <row r="194" spans="1:53" ht="15.75" customHeight="1">
      <c r="A194" s="34"/>
      <c r="B194" s="44"/>
      <c r="C194" s="44"/>
      <c r="D194" s="34"/>
      <c r="E194" s="38"/>
      <c r="F194" s="38"/>
      <c r="G194" s="39"/>
      <c r="H194" s="39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9"/>
      <c r="T194" s="35"/>
      <c r="U194" s="35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3"/>
      <c r="AG194" s="42"/>
      <c r="AH194" s="42"/>
      <c r="AI194" s="35"/>
      <c r="AJ194" s="42"/>
      <c r="AK194" s="42"/>
      <c r="AL194" s="42"/>
      <c r="AM194" s="42"/>
      <c r="AN194" s="42"/>
      <c r="AO194" s="42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</row>
    <row r="195" spans="1:53" ht="15.75" customHeight="1">
      <c r="A195" s="34"/>
      <c r="B195" s="44"/>
      <c r="C195" s="44"/>
      <c r="D195" s="34"/>
      <c r="E195" s="38"/>
      <c r="F195" s="38"/>
      <c r="G195" s="39"/>
      <c r="H195" s="39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9"/>
      <c r="T195" s="35"/>
      <c r="U195" s="35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3"/>
      <c r="AG195" s="42"/>
      <c r="AH195" s="42"/>
      <c r="AI195" s="35"/>
      <c r="AJ195" s="42"/>
      <c r="AK195" s="42"/>
      <c r="AL195" s="42"/>
      <c r="AM195" s="42"/>
      <c r="AN195" s="42"/>
      <c r="AO195" s="42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</row>
    <row r="196" spans="1:53" ht="15.75" customHeight="1">
      <c r="A196" s="34"/>
      <c r="B196" s="44"/>
      <c r="C196" s="44"/>
      <c r="D196" s="34"/>
      <c r="E196" s="38"/>
      <c r="F196" s="38"/>
      <c r="G196" s="39"/>
      <c r="H196" s="39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3"/>
      <c r="AG196" s="42"/>
      <c r="AH196" s="42"/>
      <c r="AI196" s="35"/>
      <c r="AJ196" s="42"/>
      <c r="AK196" s="42"/>
      <c r="AL196" s="42"/>
      <c r="AM196" s="42"/>
      <c r="AN196" s="42"/>
      <c r="AO196" s="42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</row>
    <row r="197" spans="1:53" ht="15.75" customHeight="1">
      <c r="A197" s="34"/>
      <c r="B197" s="44"/>
      <c r="C197" s="44"/>
      <c r="D197" s="34"/>
      <c r="E197" s="38"/>
      <c r="F197" s="38"/>
      <c r="G197" s="39"/>
      <c r="H197" s="39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3"/>
      <c r="AG197" s="42"/>
      <c r="AH197" s="42"/>
      <c r="AI197" s="35"/>
      <c r="AJ197" s="42"/>
      <c r="AK197" s="42"/>
      <c r="AL197" s="42"/>
      <c r="AM197" s="42"/>
      <c r="AN197" s="42"/>
      <c r="AO197" s="42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</row>
    <row r="198" spans="1:53" ht="15.75" customHeight="1">
      <c r="A198" s="34"/>
      <c r="B198" s="44"/>
      <c r="C198" s="44"/>
      <c r="D198" s="34"/>
      <c r="E198" s="38"/>
      <c r="F198" s="38"/>
      <c r="G198" s="39"/>
      <c r="H198" s="39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3"/>
      <c r="AG198" s="42"/>
      <c r="AH198" s="42"/>
      <c r="AI198" s="35"/>
      <c r="AJ198" s="42"/>
      <c r="AK198" s="42"/>
      <c r="AL198" s="42"/>
      <c r="AM198" s="42"/>
      <c r="AN198" s="42"/>
      <c r="AO198" s="42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</row>
    <row r="199" spans="1:53" ht="15.75" customHeight="1">
      <c r="A199" s="34"/>
      <c r="B199" s="44"/>
      <c r="C199" s="44"/>
      <c r="D199" s="34"/>
      <c r="E199" s="38"/>
      <c r="F199" s="38"/>
      <c r="G199" s="39"/>
      <c r="H199" s="39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3"/>
      <c r="AG199" s="42"/>
      <c r="AH199" s="42"/>
      <c r="AI199" s="35"/>
      <c r="AJ199" s="42"/>
      <c r="AK199" s="42"/>
      <c r="AL199" s="42"/>
      <c r="AM199" s="42"/>
      <c r="AN199" s="42"/>
      <c r="AO199" s="42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</row>
    <row r="200" spans="1:53" ht="15.75" customHeight="1">
      <c r="A200" s="34"/>
      <c r="B200" s="44"/>
      <c r="C200" s="44"/>
      <c r="D200" s="34"/>
      <c r="E200" s="38"/>
      <c r="F200" s="38"/>
      <c r="G200" s="39"/>
      <c r="H200" s="39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3"/>
      <c r="AG200" s="42"/>
      <c r="AH200" s="42"/>
      <c r="AI200" s="35"/>
      <c r="AJ200" s="42"/>
      <c r="AK200" s="42"/>
      <c r="AL200" s="42"/>
      <c r="AM200" s="42"/>
      <c r="AN200" s="42"/>
      <c r="AO200" s="42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</row>
    <row r="201" spans="1:53" ht="15.75" customHeight="1">
      <c r="A201" s="34"/>
      <c r="B201" s="44"/>
      <c r="C201" s="44"/>
      <c r="D201" s="34"/>
      <c r="E201" s="38"/>
      <c r="F201" s="38"/>
      <c r="G201" s="39"/>
      <c r="H201" s="39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3"/>
      <c r="AG201" s="42"/>
      <c r="AH201" s="42"/>
      <c r="AI201" s="35"/>
      <c r="AJ201" s="42"/>
      <c r="AK201" s="42"/>
      <c r="AL201" s="42"/>
      <c r="AM201" s="42"/>
      <c r="AN201" s="42"/>
      <c r="AO201" s="42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</row>
    <row r="202" spans="1:53" ht="15.75" customHeight="1">
      <c r="A202" s="34"/>
      <c r="B202" s="44"/>
      <c r="C202" s="44"/>
      <c r="D202" s="34"/>
      <c r="E202" s="38"/>
      <c r="F202" s="38"/>
      <c r="G202" s="39"/>
      <c r="H202" s="39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3"/>
      <c r="AG202" s="42"/>
      <c r="AH202" s="42"/>
      <c r="AI202" s="35"/>
      <c r="AJ202" s="42"/>
      <c r="AK202" s="42"/>
      <c r="AL202" s="42"/>
      <c r="AM202" s="42"/>
      <c r="AN202" s="42"/>
      <c r="AO202" s="42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</row>
    <row r="203" spans="1:53" ht="15.75" customHeight="1">
      <c r="A203" s="34"/>
      <c r="B203" s="44"/>
      <c r="C203" s="44"/>
      <c r="D203" s="34"/>
      <c r="E203" s="38"/>
      <c r="F203" s="38"/>
      <c r="G203" s="39"/>
      <c r="H203" s="39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3"/>
      <c r="AG203" s="42"/>
      <c r="AH203" s="42"/>
      <c r="AI203" s="35"/>
      <c r="AJ203" s="42"/>
      <c r="AK203" s="42"/>
      <c r="AL203" s="42"/>
      <c r="AM203" s="42"/>
      <c r="AN203" s="42"/>
      <c r="AO203" s="42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</row>
    <row r="204" spans="1:53" ht="15.75" customHeight="1">
      <c r="A204" s="34"/>
      <c r="B204" s="44"/>
      <c r="C204" s="44"/>
      <c r="D204" s="34"/>
      <c r="E204" s="38"/>
      <c r="F204" s="38"/>
      <c r="G204" s="39"/>
      <c r="H204" s="39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3"/>
      <c r="AG204" s="42"/>
      <c r="AH204" s="42"/>
      <c r="AI204" s="35"/>
      <c r="AJ204" s="42"/>
      <c r="AK204" s="42"/>
      <c r="AL204" s="42"/>
      <c r="AM204" s="42"/>
      <c r="AN204" s="42"/>
      <c r="AO204" s="42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</row>
    <row r="205" spans="1:53" ht="15.75" customHeight="1">
      <c r="A205" s="34"/>
      <c r="B205" s="44"/>
      <c r="C205" s="44"/>
      <c r="D205" s="34"/>
      <c r="E205" s="38"/>
      <c r="F205" s="38"/>
      <c r="G205" s="39"/>
      <c r="H205" s="39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3"/>
      <c r="AG205" s="42"/>
      <c r="AH205" s="42"/>
      <c r="AI205" s="35"/>
      <c r="AJ205" s="42"/>
      <c r="AK205" s="42"/>
      <c r="AL205" s="42"/>
      <c r="AM205" s="42"/>
      <c r="AN205" s="42"/>
      <c r="AO205" s="42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</row>
    <row r="206" spans="1:53" ht="15.75" customHeight="1">
      <c r="A206" s="34"/>
      <c r="B206" s="44"/>
      <c r="C206" s="44"/>
      <c r="D206" s="34"/>
      <c r="E206" s="38"/>
      <c r="F206" s="38"/>
      <c r="G206" s="39"/>
      <c r="H206" s="39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3"/>
      <c r="AG206" s="42"/>
      <c r="AH206" s="42"/>
      <c r="AI206" s="35"/>
      <c r="AJ206" s="42"/>
      <c r="AK206" s="42"/>
      <c r="AL206" s="42"/>
      <c r="AM206" s="42"/>
      <c r="AN206" s="42"/>
      <c r="AO206" s="42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</row>
    <row r="207" spans="1:53" ht="15.75" customHeight="1">
      <c r="A207" s="34"/>
      <c r="B207" s="44"/>
      <c r="C207" s="44"/>
      <c r="D207" s="34"/>
      <c r="E207" s="38"/>
      <c r="F207" s="38"/>
      <c r="G207" s="39"/>
      <c r="H207" s="39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3"/>
      <c r="AG207" s="42"/>
      <c r="AH207" s="42"/>
      <c r="AI207" s="35"/>
      <c r="AJ207" s="42"/>
      <c r="AK207" s="42"/>
      <c r="AL207" s="42"/>
      <c r="AM207" s="42"/>
      <c r="AN207" s="42"/>
      <c r="AO207" s="42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</row>
    <row r="208" spans="1:53" ht="15.75" customHeight="1">
      <c r="A208" s="34"/>
      <c r="B208" s="44"/>
      <c r="C208" s="44"/>
      <c r="D208" s="34"/>
      <c r="E208" s="38"/>
      <c r="F208" s="38"/>
      <c r="G208" s="39"/>
      <c r="H208" s="39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3"/>
      <c r="AG208" s="42"/>
      <c r="AH208" s="42"/>
      <c r="AI208" s="35"/>
      <c r="AJ208" s="42"/>
      <c r="AK208" s="42"/>
      <c r="AL208" s="42"/>
      <c r="AM208" s="42"/>
      <c r="AN208" s="42"/>
      <c r="AO208" s="42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</row>
    <row r="209" spans="1:53" ht="15.75" customHeight="1">
      <c r="A209" s="34"/>
      <c r="B209" s="44"/>
      <c r="C209" s="44"/>
      <c r="D209" s="34"/>
      <c r="E209" s="38"/>
      <c r="F209" s="38"/>
      <c r="G209" s="39"/>
      <c r="H209" s="39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3"/>
      <c r="AG209" s="42"/>
      <c r="AH209" s="42"/>
      <c r="AI209" s="35"/>
      <c r="AJ209" s="42"/>
      <c r="AK209" s="42"/>
      <c r="AL209" s="42"/>
      <c r="AM209" s="42"/>
      <c r="AN209" s="42"/>
      <c r="AO209" s="42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</row>
    <row r="210" spans="1:53" ht="15.75" customHeight="1">
      <c r="A210" s="34"/>
      <c r="B210" s="44"/>
      <c r="C210" s="44"/>
      <c r="D210" s="34"/>
      <c r="E210" s="38"/>
      <c r="F210" s="38"/>
      <c r="G210" s="39"/>
      <c r="H210" s="39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3"/>
      <c r="AG210" s="42"/>
      <c r="AH210" s="42"/>
      <c r="AI210" s="35"/>
      <c r="AJ210" s="42"/>
      <c r="AK210" s="42"/>
      <c r="AL210" s="42"/>
      <c r="AM210" s="42"/>
      <c r="AN210" s="42"/>
      <c r="AO210" s="42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</row>
    <row r="211" spans="1:53" ht="15.75" customHeight="1">
      <c r="A211" s="34"/>
      <c r="B211" s="44"/>
      <c r="C211" s="44"/>
      <c r="D211" s="34"/>
      <c r="E211" s="38"/>
      <c r="F211" s="38"/>
      <c r="G211" s="39"/>
      <c r="H211" s="39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3"/>
      <c r="AG211" s="42"/>
      <c r="AH211" s="42"/>
      <c r="AI211" s="35"/>
      <c r="AJ211" s="42"/>
      <c r="AK211" s="42"/>
      <c r="AL211" s="42"/>
      <c r="AM211" s="42"/>
      <c r="AN211" s="42"/>
      <c r="AO211" s="42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</row>
    <row r="212" spans="1:53" ht="15.75" customHeight="1">
      <c r="A212" s="34"/>
      <c r="B212" s="44"/>
      <c r="C212" s="44"/>
      <c r="D212" s="34"/>
      <c r="E212" s="38"/>
      <c r="F212" s="38"/>
      <c r="G212" s="39"/>
      <c r="H212" s="39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3"/>
      <c r="AG212" s="42"/>
      <c r="AH212" s="42"/>
      <c r="AI212" s="35"/>
      <c r="AJ212" s="42"/>
      <c r="AK212" s="42"/>
      <c r="AL212" s="42"/>
      <c r="AM212" s="42"/>
      <c r="AN212" s="42"/>
      <c r="AO212" s="42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</row>
    <row r="213" spans="1:53" ht="15.75" customHeight="1">
      <c r="A213" s="34"/>
      <c r="B213" s="44"/>
      <c r="C213" s="44"/>
      <c r="D213" s="34"/>
      <c r="E213" s="38"/>
      <c r="F213" s="38"/>
      <c r="G213" s="39"/>
      <c r="H213" s="39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3"/>
      <c r="AG213" s="42"/>
      <c r="AH213" s="42"/>
      <c r="AI213" s="35"/>
      <c r="AJ213" s="42"/>
      <c r="AK213" s="42"/>
      <c r="AL213" s="42"/>
      <c r="AM213" s="42"/>
      <c r="AN213" s="42"/>
      <c r="AO213" s="42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</row>
    <row r="214" spans="1:53" ht="15.75" customHeight="1">
      <c r="A214" s="34"/>
      <c r="B214" s="44"/>
      <c r="C214" s="44"/>
      <c r="D214" s="34"/>
      <c r="E214" s="38"/>
      <c r="F214" s="38"/>
      <c r="G214" s="39"/>
      <c r="H214" s="39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3"/>
      <c r="AG214" s="42"/>
      <c r="AH214" s="42"/>
      <c r="AI214" s="35"/>
      <c r="AJ214" s="42"/>
      <c r="AK214" s="42"/>
      <c r="AL214" s="42"/>
      <c r="AM214" s="42"/>
      <c r="AN214" s="42"/>
      <c r="AO214" s="42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</row>
    <row r="215" spans="1:53" ht="15.75" customHeight="1">
      <c r="A215" s="34"/>
      <c r="B215" s="44"/>
      <c r="C215" s="44"/>
      <c r="D215" s="34"/>
      <c r="E215" s="38"/>
      <c r="F215" s="38"/>
      <c r="G215" s="39"/>
      <c r="H215" s="39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3"/>
      <c r="AG215" s="42"/>
      <c r="AH215" s="42"/>
      <c r="AI215" s="35"/>
      <c r="AJ215" s="42"/>
      <c r="AK215" s="42"/>
      <c r="AL215" s="42"/>
      <c r="AM215" s="42"/>
      <c r="AN215" s="42"/>
      <c r="AO215" s="42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</row>
    <row r="216" spans="1:53" ht="15.75" customHeight="1">
      <c r="A216" s="34"/>
      <c r="B216" s="44"/>
      <c r="C216" s="44"/>
      <c r="D216" s="34"/>
      <c r="E216" s="38"/>
      <c r="F216" s="38"/>
      <c r="G216" s="39"/>
      <c r="H216" s="39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3"/>
      <c r="AG216" s="42"/>
      <c r="AH216" s="42"/>
      <c r="AI216" s="35"/>
      <c r="AJ216" s="42"/>
      <c r="AK216" s="42"/>
      <c r="AL216" s="42"/>
      <c r="AM216" s="42"/>
      <c r="AN216" s="42"/>
      <c r="AO216" s="42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</row>
    <row r="217" spans="1:53" ht="15.75" customHeight="1">
      <c r="A217" s="34"/>
      <c r="B217" s="44"/>
      <c r="C217" s="44"/>
      <c r="D217" s="34"/>
      <c r="E217" s="38"/>
      <c r="F217" s="38"/>
      <c r="G217" s="39"/>
      <c r="H217" s="39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3"/>
      <c r="AG217" s="42"/>
      <c r="AH217" s="42"/>
      <c r="AI217" s="35"/>
      <c r="AJ217" s="42"/>
      <c r="AK217" s="42"/>
      <c r="AL217" s="42"/>
      <c r="AM217" s="42"/>
      <c r="AN217" s="42"/>
      <c r="AO217" s="42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</row>
    <row r="218" spans="1:53" ht="15.75" customHeight="1">
      <c r="A218" s="34"/>
      <c r="B218" s="44"/>
      <c r="C218" s="44"/>
      <c r="D218" s="34"/>
      <c r="E218" s="38"/>
      <c r="F218" s="38"/>
      <c r="G218" s="39"/>
      <c r="H218" s="39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3"/>
      <c r="AG218" s="42"/>
      <c r="AH218" s="42"/>
      <c r="AI218" s="35"/>
      <c r="AJ218" s="42"/>
      <c r="AK218" s="42"/>
      <c r="AL218" s="42"/>
      <c r="AM218" s="42"/>
      <c r="AN218" s="42"/>
      <c r="AO218" s="42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</row>
    <row r="219" spans="1:53" ht="15.75" customHeight="1">
      <c r="A219" s="34"/>
      <c r="B219" s="44"/>
      <c r="C219" s="44"/>
      <c r="D219" s="34"/>
      <c r="E219" s="38"/>
      <c r="F219" s="38"/>
      <c r="G219" s="39"/>
      <c r="H219" s="39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3"/>
      <c r="AG219" s="42"/>
      <c r="AH219" s="42"/>
      <c r="AI219" s="35"/>
      <c r="AJ219" s="42"/>
      <c r="AK219" s="42"/>
      <c r="AL219" s="42"/>
      <c r="AM219" s="42"/>
      <c r="AN219" s="42"/>
      <c r="AO219" s="42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</row>
    <row r="220" spans="1:53" ht="15.75" customHeight="1">
      <c r="A220" s="34"/>
      <c r="B220" s="44"/>
      <c r="C220" s="44"/>
      <c r="D220" s="34"/>
      <c r="E220" s="38"/>
      <c r="F220" s="38"/>
      <c r="G220" s="39"/>
      <c r="H220" s="39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3"/>
      <c r="AG220" s="42"/>
      <c r="AH220" s="42"/>
      <c r="AI220" s="35"/>
      <c r="AJ220" s="42"/>
      <c r="AK220" s="42"/>
      <c r="AL220" s="42"/>
      <c r="AM220" s="42"/>
      <c r="AN220" s="42"/>
      <c r="AO220" s="42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</row>
    <row r="221" spans="1:53" ht="15.75" customHeight="1">
      <c r="A221" s="34"/>
      <c r="B221" s="44"/>
      <c r="C221" s="44"/>
      <c r="D221" s="34"/>
      <c r="E221" s="38"/>
      <c r="F221" s="38"/>
      <c r="G221" s="39"/>
      <c r="H221" s="39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3"/>
      <c r="AG221" s="42"/>
      <c r="AH221" s="42"/>
      <c r="AI221" s="35"/>
      <c r="AJ221" s="42"/>
      <c r="AK221" s="42"/>
      <c r="AL221" s="42"/>
      <c r="AM221" s="42"/>
      <c r="AN221" s="42"/>
      <c r="AO221" s="42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</row>
    <row r="222" spans="1:53" ht="15.75" customHeight="1">
      <c r="A222" s="34"/>
      <c r="B222" s="44"/>
      <c r="C222" s="44"/>
      <c r="D222" s="34"/>
      <c r="E222" s="38"/>
      <c r="F222" s="38"/>
      <c r="G222" s="39"/>
      <c r="H222" s="39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3"/>
      <c r="AG222" s="42"/>
      <c r="AH222" s="42"/>
      <c r="AI222" s="35"/>
      <c r="AJ222" s="42"/>
      <c r="AK222" s="42"/>
      <c r="AL222" s="42"/>
      <c r="AM222" s="42"/>
      <c r="AN222" s="42"/>
      <c r="AO222" s="42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</row>
    <row r="223" spans="1:53" ht="15.75" customHeight="1">
      <c r="A223" s="34"/>
      <c r="B223" s="44"/>
      <c r="C223" s="44"/>
      <c r="D223" s="34"/>
      <c r="E223" s="38"/>
      <c r="F223" s="38"/>
      <c r="G223" s="39"/>
      <c r="H223" s="39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3"/>
      <c r="AG223" s="42"/>
      <c r="AH223" s="42"/>
      <c r="AI223" s="35"/>
      <c r="AJ223" s="42"/>
      <c r="AK223" s="42"/>
      <c r="AL223" s="42"/>
      <c r="AM223" s="42"/>
      <c r="AN223" s="42"/>
      <c r="AO223" s="42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</row>
    <row r="224" spans="1:53" ht="15.75" customHeight="1">
      <c r="A224" s="34"/>
      <c r="B224" s="44"/>
      <c r="C224" s="44"/>
      <c r="D224" s="34"/>
      <c r="E224" s="38"/>
      <c r="F224" s="38"/>
      <c r="G224" s="39"/>
      <c r="H224" s="39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3"/>
      <c r="AG224" s="42"/>
      <c r="AH224" s="42"/>
      <c r="AI224" s="35"/>
      <c r="AJ224" s="42"/>
      <c r="AK224" s="42"/>
      <c r="AL224" s="42"/>
      <c r="AM224" s="42"/>
      <c r="AN224" s="42"/>
      <c r="AO224" s="42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</row>
    <row r="225" spans="1:53" ht="15.75" customHeight="1">
      <c r="A225" s="34"/>
      <c r="B225" s="44"/>
      <c r="C225" s="44"/>
      <c r="D225" s="34"/>
      <c r="E225" s="38"/>
      <c r="F225" s="38"/>
      <c r="G225" s="39"/>
      <c r="H225" s="39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3"/>
      <c r="AG225" s="42"/>
      <c r="AH225" s="42"/>
      <c r="AI225" s="35"/>
      <c r="AJ225" s="42"/>
      <c r="AK225" s="42"/>
      <c r="AL225" s="42"/>
      <c r="AM225" s="42"/>
      <c r="AN225" s="42"/>
      <c r="AO225" s="42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</row>
    <row r="226" spans="1:53" ht="15.75" customHeight="1">
      <c r="A226" s="34"/>
      <c r="B226" s="44"/>
      <c r="C226" s="44"/>
      <c r="D226" s="34"/>
      <c r="E226" s="38"/>
      <c r="F226" s="38"/>
      <c r="G226" s="39"/>
      <c r="H226" s="39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3"/>
      <c r="AG226" s="42"/>
      <c r="AH226" s="42"/>
      <c r="AI226" s="35"/>
      <c r="AJ226" s="42"/>
      <c r="AK226" s="42"/>
      <c r="AL226" s="42"/>
      <c r="AM226" s="42"/>
      <c r="AN226" s="42"/>
      <c r="AO226" s="42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</row>
    <row r="227" spans="1:53" ht="15.75" customHeight="1">
      <c r="A227" s="34"/>
      <c r="B227" s="44"/>
      <c r="C227" s="44"/>
      <c r="D227" s="34"/>
      <c r="E227" s="38"/>
      <c r="F227" s="38"/>
      <c r="G227" s="39"/>
      <c r="H227" s="39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3"/>
      <c r="AG227" s="42"/>
      <c r="AH227" s="42"/>
      <c r="AI227" s="35"/>
      <c r="AJ227" s="42"/>
      <c r="AK227" s="42"/>
      <c r="AL227" s="42"/>
      <c r="AM227" s="42"/>
      <c r="AN227" s="42"/>
      <c r="AO227" s="42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</row>
    <row r="228" spans="1:53" ht="15.75" customHeight="1">
      <c r="A228" s="34"/>
      <c r="B228" s="44"/>
      <c r="C228" s="44"/>
      <c r="D228" s="34"/>
      <c r="E228" s="38"/>
      <c r="F228" s="38"/>
      <c r="G228" s="39"/>
      <c r="H228" s="39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3"/>
      <c r="AG228" s="42"/>
      <c r="AH228" s="42"/>
      <c r="AI228" s="35"/>
      <c r="AJ228" s="42"/>
      <c r="AK228" s="42"/>
      <c r="AL228" s="42"/>
      <c r="AM228" s="42"/>
      <c r="AN228" s="42"/>
      <c r="AO228" s="42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</row>
    <row r="229" spans="1:53" ht="15.75" customHeight="1">
      <c r="A229" s="34"/>
      <c r="B229" s="44"/>
      <c r="C229" s="44"/>
      <c r="D229" s="34"/>
      <c r="E229" s="38"/>
      <c r="F229" s="38"/>
      <c r="G229" s="39"/>
      <c r="H229" s="39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3"/>
      <c r="AG229" s="42"/>
      <c r="AH229" s="42"/>
      <c r="AI229" s="35"/>
      <c r="AJ229" s="42"/>
      <c r="AK229" s="42"/>
      <c r="AL229" s="42"/>
      <c r="AM229" s="42"/>
      <c r="AN229" s="42"/>
      <c r="AO229" s="42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</row>
    <row r="230" spans="1:53" ht="15.75" customHeight="1">
      <c r="A230" s="34"/>
      <c r="B230" s="44"/>
      <c r="C230" s="44"/>
      <c r="D230" s="34"/>
      <c r="E230" s="38"/>
      <c r="F230" s="38"/>
      <c r="G230" s="39"/>
      <c r="H230" s="39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3"/>
      <c r="AG230" s="42"/>
      <c r="AH230" s="42"/>
      <c r="AI230" s="35"/>
      <c r="AJ230" s="42"/>
      <c r="AK230" s="42"/>
      <c r="AL230" s="42"/>
      <c r="AM230" s="42"/>
      <c r="AN230" s="42"/>
      <c r="AO230" s="42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</row>
    <row r="231" spans="1:53" ht="15.75" customHeight="1">
      <c r="A231" s="34"/>
      <c r="B231" s="44"/>
      <c r="C231" s="44"/>
      <c r="D231" s="34"/>
      <c r="E231" s="38"/>
      <c r="F231" s="38"/>
      <c r="G231" s="39"/>
      <c r="H231" s="39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3"/>
      <c r="AG231" s="42"/>
      <c r="AH231" s="42"/>
      <c r="AI231" s="35"/>
      <c r="AJ231" s="42"/>
      <c r="AK231" s="42"/>
      <c r="AL231" s="42"/>
      <c r="AM231" s="42"/>
      <c r="AN231" s="42"/>
      <c r="AO231" s="42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</row>
    <row r="232" spans="1:53" ht="15.75" customHeight="1">
      <c r="A232" s="34"/>
      <c r="B232" s="44"/>
      <c r="C232" s="44"/>
      <c r="D232" s="34"/>
      <c r="E232" s="38"/>
      <c r="F232" s="38"/>
      <c r="G232" s="39"/>
      <c r="H232" s="39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3"/>
      <c r="AG232" s="42"/>
      <c r="AH232" s="42"/>
      <c r="AI232" s="35"/>
      <c r="AJ232" s="42"/>
      <c r="AK232" s="42"/>
      <c r="AL232" s="42"/>
      <c r="AM232" s="42"/>
      <c r="AN232" s="42"/>
      <c r="AO232" s="42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</row>
    <row r="233" spans="1:53" ht="15.75" customHeight="1">
      <c r="A233" s="34"/>
      <c r="B233" s="44"/>
      <c r="C233" s="44"/>
      <c r="D233" s="34"/>
      <c r="E233" s="38"/>
      <c r="F233" s="38"/>
      <c r="G233" s="39"/>
      <c r="H233" s="39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3"/>
      <c r="AG233" s="42"/>
      <c r="AH233" s="42"/>
      <c r="AI233" s="35"/>
      <c r="AJ233" s="42"/>
      <c r="AK233" s="42"/>
      <c r="AL233" s="42"/>
      <c r="AM233" s="42"/>
      <c r="AN233" s="42"/>
      <c r="AO233" s="42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</row>
    <row r="234" spans="1:53" ht="15.75" customHeight="1">
      <c r="A234" s="34"/>
      <c r="B234" s="44"/>
      <c r="C234" s="44"/>
      <c r="D234" s="34"/>
      <c r="E234" s="38"/>
      <c r="F234" s="38"/>
      <c r="G234" s="39"/>
      <c r="H234" s="39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3"/>
      <c r="AG234" s="42"/>
      <c r="AH234" s="42"/>
      <c r="AI234" s="35"/>
      <c r="AJ234" s="42"/>
      <c r="AK234" s="42"/>
      <c r="AL234" s="42"/>
      <c r="AM234" s="42"/>
      <c r="AN234" s="42"/>
      <c r="AO234" s="42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</row>
    <row r="235" spans="1:53" ht="15.75" customHeight="1">
      <c r="A235" s="34"/>
      <c r="B235" s="44"/>
      <c r="C235" s="44"/>
      <c r="D235" s="34"/>
      <c r="E235" s="38"/>
      <c r="F235" s="38"/>
      <c r="G235" s="39"/>
      <c r="H235" s="39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3"/>
      <c r="AG235" s="42"/>
      <c r="AH235" s="42"/>
      <c r="AI235" s="35"/>
      <c r="AJ235" s="42"/>
      <c r="AK235" s="42"/>
      <c r="AL235" s="42"/>
      <c r="AM235" s="42"/>
      <c r="AN235" s="42"/>
      <c r="AO235" s="42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</row>
    <row r="236" spans="1:53" ht="15.75" customHeight="1">
      <c r="A236" s="34"/>
      <c r="B236" s="44"/>
      <c r="C236" s="44"/>
      <c r="D236" s="34"/>
      <c r="E236" s="38"/>
      <c r="F236" s="38"/>
      <c r="G236" s="39"/>
      <c r="H236" s="39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3"/>
      <c r="AG236" s="42"/>
      <c r="AH236" s="42"/>
      <c r="AI236" s="35"/>
      <c r="AJ236" s="42"/>
      <c r="AK236" s="42"/>
      <c r="AL236" s="42"/>
      <c r="AM236" s="42"/>
      <c r="AN236" s="42"/>
      <c r="AO236" s="42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</row>
    <row r="237" spans="1:53" ht="15.75" customHeight="1">
      <c r="A237" s="34"/>
      <c r="B237" s="44"/>
      <c r="C237" s="44"/>
      <c r="D237" s="34"/>
      <c r="E237" s="38"/>
      <c r="F237" s="38"/>
      <c r="G237" s="39"/>
      <c r="H237" s="39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3"/>
      <c r="AG237" s="42"/>
      <c r="AH237" s="42"/>
      <c r="AI237" s="35"/>
      <c r="AJ237" s="42"/>
      <c r="AK237" s="42"/>
      <c r="AL237" s="42"/>
      <c r="AM237" s="42"/>
      <c r="AN237" s="42"/>
      <c r="AO237" s="42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</row>
    <row r="238" spans="1:53" ht="15.75" customHeight="1">
      <c r="A238" s="34"/>
      <c r="B238" s="44"/>
      <c r="C238" s="44"/>
      <c r="D238" s="34"/>
      <c r="E238" s="38"/>
      <c r="F238" s="38"/>
      <c r="G238" s="39"/>
      <c r="H238" s="39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3"/>
      <c r="AG238" s="42"/>
      <c r="AH238" s="42"/>
      <c r="AI238" s="35"/>
      <c r="AJ238" s="42"/>
      <c r="AK238" s="42"/>
      <c r="AL238" s="42"/>
      <c r="AM238" s="42"/>
      <c r="AN238" s="42"/>
      <c r="AO238" s="42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</row>
    <row r="239" spans="1:53" ht="15.75" customHeight="1">
      <c r="A239" s="34"/>
      <c r="B239" s="44"/>
      <c r="C239" s="44"/>
      <c r="D239" s="34"/>
      <c r="E239" s="38"/>
      <c r="F239" s="38"/>
      <c r="G239" s="39"/>
      <c r="H239" s="39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3"/>
      <c r="AG239" s="42"/>
      <c r="AH239" s="42"/>
      <c r="AI239" s="35"/>
      <c r="AJ239" s="42"/>
      <c r="AK239" s="42"/>
      <c r="AL239" s="42"/>
      <c r="AM239" s="42"/>
      <c r="AN239" s="42"/>
      <c r="AO239" s="42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</row>
    <row r="240" spans="1:53" ht="15.75" customHeight="1">
      <c r="A240" s="34"/>
      <c r="B240" s="44"/>
      <c r="C240" s="44"/>
      <c r="D240" s="34"/>
      <c r="E240" s="38"/>
      <c r="F240" s="38"/>
      <c r="G240" s="39"/>
      <c r="H240" s="39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3"/>
      <c r="AG240" s="42"/>
      <c r="AH240" s="42"/>
      <c r="AI240" s="35"/>
      <c r="AJ240" s="42"/>
      <c r="AK240" s="42"/>
      <c r="AL240" s="42"/>
      <c r="AM240" s="42"/>
      <c r="AN240" s="42"/>
      <c r="AO240" s="42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</row>
    <row r="241" spans="1:53" ht="15.75" customHeight="1">
      <c r="A241" s="34"/>
      <c r="B241" s="44"/>
      <c r="C241" s="44"/>
      <c r="D241" s="34"/>
      <c r="E241" s="38"/>
      <c r="F241" s="38"/>
      <c r="G241" s="39"/>
      <c r="H241" s="39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3"/>
      <c r="AG241" s="42"/>
      <c r="AH241" s="42"/>
      <c r="AI241" s="35"/>
      <c r="AJ241" s="42"/>
      <c r="AK241" s="42"/>
      <c r="AL241" s="42"/>
      <c r="AM241" s="42"/>
      <c r="AN241" s="42"/>
      <c r="AO241" s="42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</row>
    <row r="242" spans="1:53" ht="15.75" customHeight="1">
      <c r="A242" s="34"/>
      <c r="B242" s="44"/>
      <c r="C242" s="44"/>
      <c r="D242" s="34"/>
      <c r="E242" s="38"/>
      <c r="F242" s="38"/>
      <c r="G242" s="39"/>
      <c r="H242" s="39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3"/>
      <c r="AG242" s="42"/>
      <c r="AH242" s="42"/>
      <c r="AI242" s="35"/>
      <c r="AJ242" s="42"/>
      <c r="AK242" s="42"/>
      <c r="AL242" s="42"/>
      <c r="AM242" s="42"/>
      <c r="AN242" s="42"/>
      <c r="AO242" s="42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</row>
    <row r="243" spans="1:53" ht="15.75" customHeight="1">
      <c r="A243" s="34"/>
      <c r="B243" s="44"/>
      <c r="C243" s="44"/>
      <c r="D243" s="34"/>
      <c r="E243" s="38"/>
      <c r="F243" s="38"/>
      <c r="G243" s="39"/>
      <c r="H243" s="39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3"/>
      <c r="AG243" s="42"/>
      <c r="AH243" s="42"/>
      <c r="AI243" s="35"/>
      <c r="AJ243" s="42"/>
      <c r="AK243" s="42"/>
      <c r="AL243" s="42"/>
      <c r="AM243" s="42"/>
      <c r="AN243" s="42"/>
      <c r="AO243" s="42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</row>
    <row r="244" spans="1:53" ht="15.75" customHeight="1">
      <c r="A244" s="34"/>
      <c r="B244" s="44"/>
      <c r="C244" s="44"/>
      <c r="D244" s="34"/>
      <c r="E244" s="38"/>
      <c r="F244" s="38"/>
      <c r="G244" s="39"/>
      <c r="H244" s="39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3"/>
      <c r="AG244" s="42"/>
      <c r="AH244" s="42"/>
      <c r="AI244" s="35"/>
      <c r="AJ244" s="42"/>
      <c r="AK244" s="42"/>
      <c r="AL244" s="42"/>
      <c r="AM244" s="42"/>
      <c r="AN244" s="42"/>
      <c r="AO244" s="42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</row>
    <row r="245" spans="1:53" ht="15.75" customHeight="1">
      <c r="A245" s="34"/>
      <c r="B245" s="44"/>
      <c r="C245" s="44"/>
      <c r="D245" s="34"/>
      <c r="E245" s="38"/>
      <c r="F245" s="38"/>
      <c r="G245" s="39"/>
      <c r="H245" s="39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3"/>
      <c r="AG245" s="42"/>
      <c r="AH245" s="42"/>
      <c r="AI245" s="35"/>
      <c r="AJ245" s="42"/>
      <c r="AK245" s="42"/>
      <c r="AL245" s="42"/>
      <c r="AM245" s="42"/>
      <c r="AN245" s="42"/>
      <c r="AO245" s="42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</row>
    <row r="246" spans="1:53" ht="15.75" customHeight="1">
      <c r="A246" s="34"/>
      <c r="B246" s="44"/>
      <c r="C246" s="44"/>
      <c r="D246" s="34"/>
      <c r="E246" s="38"/>
      <c r="F246" s="38"/>
      <c r="G246" s="39"/>
      <c r="H246" s="39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3"/>
      <c r="AG246" s="42"/>
      <c r="AH246" s="42"/>
      <c r="AI246" s="35"/>
      <c r="AJ246" s="42"/>
      <c r="AK246" s="42"/>
      <c r="AL246" s="42"/>
      <c r="AM246" s="42"/>
      <c r="AN246" s="42"/>
      <c r="AO246" s="42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</row>
    <row r="247" spans="1:53" ht="15.75" customHeight="1">
      <c r="A247" s="34"/>
      <c r="B247" s="44"/>
      <c r="C247" s="44"/>
      <c r="D247" s="34"/>
      <c r="E247" s="38"/>
      <c r="F247" s="38"/>
      <c r="G247" s="39"/>
      <c r="H247" s="39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3"/>
      <c r="AG247" s="42"/>
      <c r="AH247" s="42"/>
      <c r="AI247" s="35"/>
      <c r="AJ247" s="42"/>
      <c r="AK247" s="42"/>
      <c r="AL247" s="42"/>
      <c r="AM247" s="42"/>
      <c r="AN247" s="42"/>
      <c r="AO247" s="42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</row>
    <row r="248" spans="1:53" ht="15.75" customHeight="1">
      <c r="A248" s="34"/>
      <c r="B248" s="44"/>
      <c r="C248" s="44"/>
      <c r="D248" s="34"/>
      <c r="E248" s="38"/>
      <c r="F248" s="38"/>
      <c r="G248" s="39"/>
      <c r="H248" s="39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3"/>
      <c r="AG248" s="42"/>
      <c r="AH248" s="42"/>
      <c r="AI248" s="35"/>
      <c r="AJ248" s="42"/>
      <c r="AK248" s="42"/>
      <c r="AL248" s="42"/>
      <c r="AM248" s="42"/>
      <c r="AN248" s="42"/>
      <c r="AO248" s="42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</row>
    <row r="249" spans="1:53" ht="15.75" customHeight="1">
      <c r="A249" s="34"/>
      <c r="B249" s="44"/>
      <c r="C249" s="44"/>
      <c r="D249" s="34"/>
      <c r="E249" s="38"/>
      <c r="F249" s="38"/>
      <c r="G249" s="39"/>
      <c r="H249" s="39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3"/>
      <c r="AG249" s="42"/>
      <c r="AH249" s="42"/>
      <c r="AI249" s="35"/>
      <c r="AJ249" s="42"/>
      <c r="AK249" s="42"/>
      <c r="AL249" s="42"/>
      <c r="AM249" s="42"/>
      <c r="AN249" s="42"/>
      <c r="AO249" s="42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</row>
    <row r="250" spans="1:53" ht="15.75" customHeight="1">
      <c r="A250" s="34"/>
      <c r="B250" s="44"/>
      <c r="C250" s="44"/>
      <c r="D250" s="34"/>
      <c r="E250" s="38"/>
      <c r="F250" s="38"/>
      <c r="G250" s="39"/>
      <c r="H250" s="39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3"/>
      <c r="AG250" s="42"/>
      <c r="AH250" s="42"/>
      <c r="AI250" s="35"/>
      <c r="AJ250" s="42"/>
      <c r="AK250" s="42"/>
      <c r="AL250" s="42"/>
      <c r="AM250" s="42"/>
      <c r="AN250" s="42"/>
      <c r="AO250" s="42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</row>
    <row r="251" spans="1:53" ht="15.75" customHeight="1">
      <c r="A251" s="34"/>
      <c r="B251" s="44"/>
      <c r="C251" s="44"/>
      <c r="D251" s="34"/>
      <c r="E251" s="38"/>
      <c r="F251" s="38"/>
      <c r="G251" s="39"/>
      <c r="H251" s="39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3"/>
      <c r="AG251" s="42"/>
      <c r="AH251" s="42"/>
      <c r="AI251" s="35"/>
      <c r="AJ251" s="42"/>
      <c r="AK251" s="42"/>
      <c r="AL251" s="42"/>
      <c r="AM251" s="42"/>
      <c r="AN251" s="42"/>
      <c r="AO251" s="42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</row>
    <row r="252" spans="1:53" ht="15.75" customHeight="1">
      <c r="A252" s="34"/>
      <c r="B252" s="44"/>
      <c r="C252" s="44"/>
      <c r="D252" s="34"/>
      <c r="E252" s="38"/>
      <c r="F252" s="38"/>
      <c r="G252" s="39"/>
      <c r="H252" s="39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3"/>
      <c r="AG252" s="42"/>
      <c r="AH252" s="42"/>
      <c r="AI252" s="35"/>
      <c r="AJ252" s="42"/>
      <c r="AK252" s="42"/>
      <c r="AL252" s="42"/>
      <c r="AM252" s="42"/>
      <c r="AN252" s="42"/>
      <c r="AO252" s="42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</row>
    <row r="253" spans="1:53" ht="15.75" customHeight="1">
      <c r="A253" s="34"/>
      <c r="B253" s="44"/>
      <c r="C253" s="44"/>
      <c r="D253" s="34"/>
      <c r="E253" s="38"/>
      <c r="F253" s="38"/>
      <c r="G253" s="39"/>
      <c r="H253" s="39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3"/>
      <c r="AG253" s="42"/>
      <c r="AH253" s="42"/>
      <c r="AI253" s="35"/>
      <c r="AJ253" s="42"/>
      <c r="AK253" s="42"/>
      <c r="AL253" s="42"/>
      <c r="AM253" s="42"/>
      <c r="AN253" s="42"/>
      <c r="AO253" s="42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</row>
    <row r="254" spans="1:53" ht="15.75" customHeight="1">
      <c r="A254" s="34"/>
      <c r="B254" s="44"/>
      <c r="C254" s="44"/>
      <c r="D254" s="34"/>
      <c r="E254" s="38"/>
      <c r="F254" s="38"/>
      <c r="G254" s="39"/>
      <c r="H254" s="39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3"/>
      <c r="AG254" s="42"/>
      <c r="AH254" s="42"/>
      <c r="AI254" s="35"/>
      <c r="AJ254" s="42"/>
      <c r="AK254" s="42"/>
      <c r="AL254" s="42"/>
      <c r="AM254" s="42"/>
      <c r="AN254" s="42"/>
      <c r="AO254" s="42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</row>
    <row r="255" spans="1:53" ht="15.75" customHeight="1">
      <c r="A255" s="34"/>
      <c r="B255" s="44"/>
      <c r="C255" s="44"/>
      <c r="D255" s="34"/>
      <c r="E255" s="38"/>
      <c r="F255" s="38"/>
      <c r="G255" s="39"/>
      <c r="H255" s="39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3"/>
      <c r="AG255" s="42"/>
      <c r="AH255" s="42"/>
      <c r="AI255" s="35"/>
      <c r="AJ255" s="42"/>
      <c r="AK255" s="42"/>
      <c r="AL255" s="42"/>
      <c r="AM255" s="42"/>
      <c r="AN255" s="42"/>
      <c r="AO255" s="42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</row>
    <row r="256" spans="1:53" ht="15.75" customHeight="1">
      <c r="A256" s="34"/>
      <c r="B256" s="44"/>
      <c r="C256" s="44"/>
      <c r="D256" s="34"/>
      <c r="E256" s="38"/>
      <c r="F256" s="38"/>
      <c r="G256" s="39"/>
      <c r="H256" s="39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3"/>
      <c r="AG256" s="42"/>
      <c r="AH256" s="42"/>
      <c r="AI256" s="35"/>
      <c r="AJ256" s="42"/>
      <c r="AK256" s="42"/>
      <c r="AL256" s="42"/>
      <c r="AM256" s="42"/>
      <c r="AN256" s="42"/>
      <c r="AO256" s="42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</row>
    <row r="257" spans="1:53" ht="15.75" customHeight="1">
      <c r="A257" s="34"/>
      <c r="B257" s="44"/>
      <c r="C257" s="44"/>
      <c r="D257" s="34"/>
      <c r="E257" s="38"/>
      <c r="F257" s="38"/>
      <c r="G257" s="39"/>
      <c r="H257" s="39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3"/>
      <c r="AG257" s="42"/>
      <c r="AH257" s="42"/>
      <c r="AI257" s="35"/>
      <c r="AJ257" s="42"/>
      <c r="AK257" s="42"/>
      <c r="AL257" s="42"/>
      <c r="AM257" s="42"/>
      <c r="AN257" s="42"/>
      <c r="AO257" s="42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</row>
    <row r="258" spans="1:53" ht="15.75" customHeight="1">
      <c r="A258" s="34"/>
      <c r="B258" s="44"/>
      <c r="C258" s="44"/>
      <c r="D258" s="34"/>
      <c r="E258" s="38"/>
      <c r="F258" s="38"/>
      <c r="G258" s="39"/>
      <c r="H258" s="39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3"/>
      <c r="AG258" s="42"/>
      <c r="AH258" s="42"/>
      <c r="AI258" s="35"/>
      <c r="AJ258" s="42"/>
      <c r="AK258" s="42"/>
      <c r="AL258" s="42"/>
      <c r="AM258" s="42"/>
      <c r="AN258" s="42"/>
      <c r="AO258" s="42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</row>
    <row r="259" spans="1:53" ht="15.75" customHeight="1">
      <c r="A259" s="34"/>
      <c r="B259" s="44"/>
      <c r="C259" s="44"/>
      <c r="D259" s="34"/>
      <c r="E259" s="38"/>
      <c r="F259" s="38"/>
      <c r="G259" s="39"/>
      <c r="H259" s="39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3"/>
      <c r="AG259" s="42"/>
      <c r="AH259" s="42"/>
      <c r="AI259" s="35"/>
      <c r="AJ259" s="42"/>
      <c r="AK259" s="42"/>
      <c r="AL259" s="42"/>
      <c r="AM259" s="42"/>
      <c r="AN259" s="42"/>
      <c r="AO259" s="42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</row>
    <row r="260" spans="1:53" ht="15.75" customHeight="1">
      <c r="A260" s="34"/>
      <c r="B260" s="44"/>
      <c r="C260" s="44"/>
      <c r="D260" s="34"/>
      <c r="E260" s="38"/>
      <c r="F260" s="38"/>
      <c r="G260" s="39"/>
      <c r="H260" s="39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3"/>
      <c r="AG260" s="42"/>
      <c r="AH260" s="42"/>
      <c r="AI260" s="35"/>
      <c r="AJ260" s="42"/>
      <c r="AK260" s="42"/>
      <c r="AL260" s="42"/>
      <c r="AM260" s="42"/>
      <c r="AN260" s="42"/>
      <c r="AO260" s="42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</row>
    <row r="261" spans="1:53" ht="15.75" customHeight="1">
      <c r="A261" s="34"/>
      <c r="B261" s="44"/>
      <c r="C261" s="44"/>
      <c r="D261" s="34"/>
      <c r="E261" s="38"/>
      <c r="F261" s="38"/>
      <c r="G261" s="39"/>
      <c r="H261" s="39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3"/>
      <c r="AG261" s="42"/>
      <c r="AH261" s="42"/>
      <c r="AI261" s="35"/>
      <c r="AJ261" s="42"/>
      <c r="AK261" s="42"/>
      <c r="AL261" s="42"/>
      <c r="AM261" s="42"/>
      <c r="AN261" s="42"/>
      <c r="AO261" s="42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</row>
    <row r="262" spans="1:53" ht="15.75" customHeight="1">
      <c r="A262" s="34"/>
      <c r="B262" s="44"/>
      <c r="C262" s="44"/>
      <c r="D262" s="34"/>
      <c r="E262" s="38"/>
      <c r="F262" s="38"/>
      <c r="G262" s="39"/>
      <c r="H262" s="39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3"/>
      <c r="AG262" s="42"/>
      <c r="AH262" s="42"/>
      <c r="AI262" s="35"/>
      <c r="AJ262" s="42"/>
      <c r="AK262" s="42"/>
      <c r="AL262" s="42"/>
      <c r="AM262" s="42"/>
      <c r="AN262" s="42"/>
      <c r="AO262" s="42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</row>
    <row r="263" spans="1:53" ht="15.75" customHeight="1">
      <c r="A263" s="34"/>
      <c r="B263" s="44"/>
      <c r="C263" s="44"/>
      <c r="D263" s="34"/>
      <c r="E263" s="38"/>
      <c r="F263" s="38"/>
      <c r="G263" s="39"/>
      <c r="H263" s="39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3"/>
      <c r="AG263" s="42"/>
      <c r="AH263" s="42"/>
      <c r="AI263" s="35"/>
      <c r="AJ263" s="42"/>
      <c r="AK263" s="42"/>
      <c r="AL263" s="42"/>
      <c r="AM263" s="42"/>
      <c r="AN263" s="42"/>
      <c r="AO263" s="42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</row>
    <row r="264" spans="1:53" ht="15.75" customHeight="1">
      <c r="A264" s="34"/>
      <c r="B264" s="44"/>
      <c r="C264" s="44"/>
      <c r="D264" s="34"/>
      <c r="E264" s="38"/>
      <c r="F264" s="38"/>
      <c r="G264" s="39"/>
      <c r="H264" s="39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3"/>
      <c r="AG264" s="42"/>
      <c r="AH264" s="42"/>
      <c r="AI264" s="35"/>
      <c r="AJ264" s="42"/>
      <c r="AK264" s="42"/>
      <c r="AL264" s="42"/>
      <c r="AM264" s="42"/>
      <c r="AN264" s="42"/>
      <c r="AO264" s="42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</row>
    <row r="265" spans="1:53" ht="15.75" customHeight="1">
      <c r="A265" s="34"/>
      <c r="B265" s="44"/>
      <c r="C265" s="44"/>
      <c r="D265" s="34"/>
      <c r="E265" s="38"/>
      <c r="F265" s="38"/>
      <c r="G265" s="39"/>
      <c r="H265" s="39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3"/>
      <c r="AG265" s="42"/>
      <c r="AH265" s="42"/>
      <c r="AI265" s="35"/>
      <c r="AJ265" s="42"/>
      <c r="AK265" s="42"/>
      <c r="AL265" s="42"/>
      <c r="AM265" s="42"/>
      <c r="AN265" s="42"/>
      <c r="AO265" s="42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</row>
    <row r="266" spans="1:53" ht="15.75" customHeight="1">
      <c r="A266" s="34"/>
      <c r="B266" s="44"/>
      <c r="C266" s="44"/>
      <c r="D266" s="34"/>
      <c r="E266" s="38"/>
      <c r="F266" s="38"/>
      <c r="G266" s="39"/>
      <c r="H266" s="39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3"/>
      <c r="AG266" s="42"/>
      <c r="AH266" s="42"/>
      <c r="AI266" s="35"/>
      <c r="AJ266" s="42"/>
      <c r="AK266" s="42"/>
      <c r="AL266" s="42"/>
      <c r="AM266" s="42"/>
      <c r="AN266" s="42"/>
      <c r="AO266" s="42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</row>
    <row r="267" spans="1:53" ht="15.75" customHeight="1">
      <c r="A267" s="34"/>
      <c r="B267" s="44"/>
      <c r="C267" s="44"/>
      <c r="D267" s="34"/>
      <c r="E267" s="38"/>
      <c r="F267" s="38"/>
      <c r="G267" s="39"/>
      <c r="H267" s="39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3"/>
      <c r="AG267" s="42"/>
      <c r="AH267" s="42"/>
      <c r="AI267" s="35"/>
      <c r="AJ267" s="42"/>
      <c r="AK267" s="42"/>
      <c r="AL267" s="42"/>
      <c r="AM267" s="42"/>
      <c r="AN267" s="42"/>
      <c r="AO267" s="42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</row>
    <row r="268" spans="1:53" ht="15.75" customHeight="1">
      <c r="A268" s="34"/>
      <c r="B268" s="44"/>
      <c r="C268" s="44"/>
      <c r="D268" s="34"/>
      <c r="E268" s="38"/>
      <c r="F268" s="38"/>
      <c r="G268" s="39"/>
      <c r="H268" s="39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3"/>
      <c r="AG268" s="42"/>
      <c r="AH268" s="42"/>
      <c r="AI268" s="35"/>
      <c r="AJ268" s="42"/>
      <c r="AK268" s="42"/>
      <c r="AL268" s="42"/>
      <c r="AM268" s="42"/>
      <c r="AN268" s="42"/>
      <c r="AO268" s="42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</row>
    <row r="269" spans="1:53" ht="15.75" customHeight="1">
      <c r="A269" s="34"/>
      <c r="B269" s="36"/>
      <c r="C269" s="36"/>
      <c r="D269" s="34"/>
      <c r="E269" s="38"/>
      <c r="F269" s="38"/>
      <c r="G269" s="39"/>
      <c r="H269" s="39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3"/>
      <c r="AG269" s="42"/>
      <c r="AH269" s="42"/>
      <c r="AI269" s="35"/>
      <c r="AJ269" s="42"/>
      <c r="AK269" s="42"/>
      <c r="AL269" s="42"/>
      <c r="AM269" s="42"/>
      <c r="AN269" s="42"/>
      <c r="AO269" s="42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</row>
    <row r="270" spans="1:53" ht="15.75" customHeight="1">
      <c r="A270" s="34"/>
      <c r="B270" s="36"/>
      <c r="C270" s="36"/>
      <c r="D270" s="34"/>
      <c r="E270" s="38"/>
      <c r="F270" s="38"/>
      <c r="G270" s="39"/>
      <c r="H270" s="39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3"/>
      <c r="AG270" s="42"/>
      <c r="AH270" s="42"/>
      <c r="AI270" s="35"/>
      <c r="AJ270" s="42"/>
      <c r="AK270" s="42"/>
      <c r="AL270" s="42"/>
      <c r="AM270" s="42"/>
      <c r="AN270" s="42"/>
      <c r="AO270" s="42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</row>
    <row r="271" spans="1:53" ht="15.75" customHeight="1">
      <c r="A271" s="34"/>
      <c r="B271" s="36"/>
      <c r="C271" s="36"/>
      <c r="D271" s="34"/>
      <c r="E271" s="38"/>
      <c r="F271" s="38"/>
      <c r="G271" s="39"/>
      <c r="H271" s="39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3"/>
      <c r="AG271" s="42"/>
      <c r="AH271" s="42"/>
      <c r="AI271" s="35"/>
      <c r="AJ271" s="42"/>
      <c r="AK271" s="42"/>
      <c r="AL271" s="42"/>
      <c r="AM271" s="42"/>
      <c r="AN271" s="42"/>
      <c r="AO271" s="42"/>
      <c r="AP271" s="44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</row>
    <row r="272" spans="1:53" ht="15.75" customHeight="1">
      <c r="A272" s="34"/>
      <c r="B272" s="36"/>
      <c r="C272" s="36"/>
      <c r="D272" s="34"/>
      <c r="E272" s="38"/>
      <c r="F272" s="38"/>
      <c r="G272" s="39"/>
      <c r="H272" s="39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3"/>
      <c r="AG272" s="42"/>
      <c r="AH272" s="42"/>
      <c r="AI272" s="35"/>
      <c r="AJ272" s="42"/>
      <c r="AK272" s="42"/>
      <c r="AL272" s="42"/>
      <c r="AM272" s="42"/>
      <c r="AN272" s="42"/>
      <c r="AO272" s="42"/>
      <c r="AP272" s="44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</row>
    <row r="273" spans="1:53" ht="15.75" customHeight="1">
      <c r="A273" s="34"/>
      <c r="B273" s="36"/>
      <c r="C273" s="36"/>
      <c r="D273" s="34"/>
      <c r="E273" s="38"/>
      <c r="F273" s="38"/>
      <c r="G273" s="39"/>
      <c r="H273" s="39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3"/>
      <c r="AG273" s="42"/>
      <c r="AH273" s="42"/>
      <c r="AI273" s="35"/>
      <c r="AJ273" s="42"/>
      <c r="AK273" s="42"/>
      <c r="AL273" s="42"/>
      <c r="AM273" s="42"/>
      <c r="AN273" s="42"/>
      <c r="AO273" s="42"/>
      <c r="AP273" s="44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</row>
    <row r="274" spans="1:53" ht="15.75" customHeight="1">
      <c r="A274" s="34"/>
      <c r="B274" s="36"/>
      <c r="C274" s="36"/>
      <c r="D274" s="34"/>
      <c r="E274" s="38"/>
      <c r="F274" s="38"/>
      <c r="G274" s="39"/>
      <c r="H274" s="39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3"/>
      <c r="AG274" s="42"/>
      <c r="AH274" s="42"/>
      <c r="AI274" s="35"/>
      <c r="AJ274" s="42"/>
      <c r="AK274" s="42"/>
      <c r="AL274" s="42"/>
      <c r="AM274" s="42"/>
      <c r="AN274" s="42"/>
      <c r="AO274" s="42"/>
      <c r="AP274" s="44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</row>
    <row r="275" spans="1:53" ht="15.75" customHeight="1">
      <c r="A275" s="34"/>
      <c r="B275" s="36"/>
      <c r="C275" s="36"/>
      <c r="D275" s="34"/>
      <c r="E275" s="38"/>
      <c r="F275" s="38"/>
      <c r="G275" s="39"/>
      <c r="H275" s="39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3"/>
      <c r="AG275" s="42"/>
      <c r="AH275" s="42"/>
      <c r="AI275" s="35"/>
      <c r="AJ275" s="42"/>
      <c r="AK275" s="42"/>
      <c r="AL275" s="42"/>
      <c r="AM275" s="42"/>
      <c r="AN275" s="42"/>
      <c r="AO275" s="42"/>
      <c r="AP275" s="44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</row>
    <row r="276" spans="1:53" ht="15.75" customHeight="1">
      <c r="A276" s="34"/>
      <c r="B276" s="36"/>
      <c r="C276" s="36"/>
      <c r="D276" s="34"/>
      <c r="E276" s="38"/>
      <c r="F276" s="38"/>
      <c r="G276" s="39"/>
      <c r="H276" s="39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3"/>
      <c r="AG276" s="42"/>
      <c r="AH276" s="42"/>
      <c r="AI276" s="35"/>
      <c r="AJ276" s="42"/>
      <c r="AK276" s="42"/>
      <c r="AL276" s="42"/>
      <c r="AM276" s="42"/>
      <c r="AN276" s="42"/>
      <c r="AO276" s="42"/>
      <c r="AP276" s="44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</row>
    <row r="277" spans="1:53" ht="15.75" customHeight="1">
      <c r="A277" s="34"/>
      <c r="B277" s="36"/>
      <c r="C277" s="36"/>
      <c r="D277" s="34"/>
      <c r="E277" s="38"/>
      <c r="F277" s="38"/>
      <c r="G277" s="39"/>
      <c r="H277" s="39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3"/>
      <c r="AG277" s="42"/>
      <c r="AH277" s="42"/>
      <c r="AI277" s="35"/>
      <c r="AJ277" s="42"/>
      <c r="AK277" s="42"/>
      <c r="AL277" s="42"/>
      <c r="AM277" s="42"/>
      <c r="AN277" s="42"/>
      <c r="AO277" s="42"/>
      <c r="AP277" s="44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</row>
    <row r="278" spans="1:53" ht="15.75" customHeight="1">
      <c r="A278" s="34"/>
      <c r="B278" s="36"/>
      <c r="C278" s="36"/>
      <c r="D278" s="34"/>
      <c r="E278" s="38"/>
      <c r="F278" s="38"/>
      <c r="G278" s="39"/>
      <c r="H278" s="39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3"/>
      <c r="AG278" s="42"/>
      <c r="AH278" s="42"/>
      <c r="AI278" s="35"/>
      <c r="AJ278" s="42"/>
      <c r="AK278" s="42"/>
      <c r="AL278" s="42"/>
      <c r="AM278" s="42"/>
      <c r="AN278" s="42"/>
      <c r="AO278" s="42"/>
      <c r="AP278" s="44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</row>
    <row r="279" spans="1:53" ht="15.75" customHeight="1">
      <c r="A279" s="34"/>
      <c r="B279" s="36"/>
      <c r="C279" s="36"/>
      <c r="D279" s="34"/>
      <c r="E279" s="38"/>
      <c r="F279" s="38"/>
      <c r="G279" s="39"/>
      <c r="H279" s="39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3"/>
      <c r="AG279" s="42"/>
      <c r="AH279" s="42"/>
      <c r="AI279" s="35"/>
      <c r="AJ279" s="42"/>
      <c r="AK279" s="42"/>
      <c r="AL279" s="42"/>
      <c r="AM279" s="42"/>
      <c r="AN279" s="42"/>
      <c r="AO279" s="42"/>
      <c r="AP279" s="44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</row>
    <row r="280" spans="1:53" ht="15.75" customHeight="1">
      <c r="A280" s="34"/>
      <c r="B280" s="36"/>
      <c r="C280" s="36"/>
      <c r="D280" s="34"/>
      <c r="E280" s="38"/>
      <c r="F280" s="38"/>
      <c r="G280" s="39"/>
      <c r="H280" s="39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3"/>
      <c r="AG280" s="42"/>
      <c r="AH280" s="42"/>
      <c r="AI280" s="35"/>
      <c r="AJ280" s="42"/>
      <c r="AK280" s="42"/>
      <c r="AL280" s="42"/>
      <c r="AM280" s="42"/>
      <c r="AN280" s="42"/>
      <c r="AO280" s="42"/>
      <c r="AP280" s="44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</row>
    <row r="281" spans="1:53" ht="15.75" customHeight="1">
      <c r="A281" s="34"/>
      <c r="B281" s="36"/>
      <c r="C281" s="36"/>
      <c r="D281" s="34"/>
      <c r="E281" s="38"/>
      <c r="F281" s="38"/>
      <c r="G281" s="39"/>
      <c r="H281" s="39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3"/>
      <c r="AG281" s="42"/>
      <c r="AH281" s="42"/>
      <c r="AI281" s="35"/>
      <c r="AJ281" s="42"/>
      <c r="AK281" s="42"/>
      <c r="AL281" s="42"/>
      <c r="AM281" s="42"/>
      <c r="AN281" s="42"/>
      <c r="AO281" s="42"/>
      <c r="AP281" s="44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</row>
    <row r="282" spans="1:53" ht="15.75" customHeight="1">
      <c r="A282" s="34"/>
      <c r="B282" s="36"/>
      <c r="C282" s="36"/>
      <c r="D282" s="34"/>
      <c r="E282" s="38"/>
      <c r="F282" s="38"/>
      <c r="G282" s="39"/>
      <c r="H282" s="39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3"/>
      <c r="AG282" s="42"/>
      <c r="AH282" s="42"/>
      <c r="AI282" s="35"/>
      <c r="AJ282" s="42"/>
      <c r="AK282" s="42"/>
      <c r="AL282" s="42"/>
      <c r="AM282" s="42"/>
      <c r="AN282" s="42"/>
      <c r="AO282" s="42"/>
      <c r="AP282" s="44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</row>
    <row r="283" spans="1:53" ht="15.75" customHeight="1">
      <c r="A283" s="34"/>
      <c r="B283" s="36"/>
      <c r="C283" s="36"/>
      <c r="D283" s="34"/>
      <c r="E283" s="38"/>
      <c r="F283" s="38"/>
      <c r="G283" s="39"/>
      <c r="H283" s="39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3"/>
      <c r="AG283" s="42"/>
      <c r="AH283" s="42"/>
      <c r="AI283" s="35"/>
      <c r="AJ283" s="42"/>
      <c r="AK283" s="42"/>
      <c r="AL283" s="42"/>
      <c r="AM283" s="42"/>
      <c r="AN283" s="42"/>
      <c r="AO283" s="42"/>
      <c r="AP283" s="44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</row>
    <row r="284" spans="1:53" ht="15.75" customHeight="1">
      <c r="A284" s="34"/>
      <c r="B284" s="36"/>
      <c r="C284" s="36"/>
      <c r="D284" s="34"/>
      <c r="E284" s="38"/>
      <c r="F284" s="38"/>
      <c r="G284" s="39"/>
      <c r="H284" s="39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3"/>
      <c r="AG284" s="42"/>
      <c r="AH284" s="42"/>
      <c r="AI284" s="35"/>
      <c r="AJ284" s="42"/>
      <c r="AK284" s="42"/>
      <c r="AL284" s="42"/>
      <c r="AM284" s="42"/>
      <c r="AN284" s="42"/>
      <c r="AO284" s="42"/>
      <c r="AP284" s="44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</row>
    <row r="285" spans="1:53" ht="15.75" customHeight="1">
      <c r="A285" s="34"/>
      <c r="B285" s="36"/>
      <c r="C285" s="36"/>
      <c r="D285" s="34"/>
      <c r="E285" s="38"/>
      <c r="F285" s="38"/>
      <c r="G285" s="39"/>
      <c r="H285" s="39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3"/>
      <c r="AG285" s="42"/>
      <c r="AH285" s="42"/>
      <c r="AI285" s="35"/>
      <c r="AJ285" s="42"/>
      <c r="AK285" s="42"/>
      <c r="AL285" s="42"/>
      <c r="AM285" s="42"/>
      <c r="AN285" s="42"/>
      <c r="AO285" s="42"/>
      <c r="AP285" s="44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</row>
    <row r="286" spans="1:53" ht="15.75" customHeight="1">
      <c r="A286" s="34"/>
      <c r="B286" s="36"/>
      <c r="C286" s="36"/>
      <c r="D286" s="34"/>
      <c r="E286" s="38"/>
      <c r="F286" s="38"/>
      <c r="G286" s="39"/>
      <c r="H286" s="39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3"/>
      <c r="AG286" s="42"/>
      <c r="AH286" s="42"/>
      <c r="AI286" s="35"/>
      <c r="AJ286" s="42"/>
      <c r="AK286" s="42"/>
      <c r="AL286" s="42"/>
      <c r="AM286" s="42"/>
      <c r="AN286" s="42"/>
      <c r="AO286" s="42"/>
      <c r="AP286" s="44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</row>
    <row r="287" spans="1:53" ht="15.75" customHeight="1">
      <c r="A287" s="34"/>
      <c r="B287" s="36"/>
      <c r="C287" s="36"/>
      <c r="D287" s="34"/>
      <c r="E287" s="38"/>
      <c r="F287" s="38"/>
      <c r="G287" s="39"/>
      <c r="H287" s="39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3"/>
      <c r="AG287" s="42"/>
      <c r="AH287" s="42"/>
      <c r="AI287" s="35"/>
      <c r="AJ287" s="42"/>
      <c r="AK287" s="42"/>
      <c r="AL287" s="42"/>
      <c r="AM287" s="42"/>
      <c r="AN287" s="42"/>
      <c r="AO287" s="42"/>
      <c r="AP287" s="44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</row>
    <row r="288" spans="1:53" ht="15.75" customHeight="1">
      <c r="A288" s="34"/>
      <c r="B288" s="36"/>
      <c r="C288" s="36"/>
      <c r="D288" s="34"/>
      <c r="E288" s="38"/>
      <c r="F288" s="38"/>
      <c r="G288" s="39"/>
      <c r="H288" s="39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3"/>
      <c r="AG288" s="42"/>
      <c r="AH288" s="42"/>
      <c r="AI288" s="35"/>
      <c r="AJ288" s="42"/>
      <c r="AK288" s="42"/>
      <c r="AL288" s="42"/>
      <c r="AM288" s="42"/>
      <c r="AN288" s="42"/>
      <c r="AO288" s="42"/>
      <c r="AP288" s="44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</row>
    <row r="289" spans="1:53" ht="15.75" customHeight="1">
      <c r="A289" s="34"/>
      <c r="B289" s="36"/>
      <c r="C289" s="36"/>
      <c r="D289" s="34"/>
      <c r="E289" s="38"/>
      <c r="F289" s="38"/>
      <c r="G289" s="39"/>
      <c r="H289" s="39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3"/>
      <c r="AG289" s="42"/>
      <c r="AH289" s="42"/>
      <c r="AI289" s="35"/>
      <c r="AJ289" s="42"/>
      <c r="AK289" s="42"/>
      <c r="AL289" s="42"/>
      <c r="AM289" s="42"/>
      <c r="AN289" s="42"/>
      <c r="AO289" s="42"/>
      <c r="AP289" s="44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</row>
    <row r="290" spans="1:53" ht="15.75" customHeight="1">
      <c r="A290" s="34"/>
      <c r="B290" s="36"/>
      <c r="C290" s="36"/>
      <c r="D290" s="34"/>
      <c r="E290" s="38"/>
      <c r="F290" s="38"/>
      <c r="G290" s="39"/>
      <c r="H290" s="39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3"/>
      <c r="AG290" s="42"/>
      <c r="AH290" s="42"/>
      <c r="AI290" s="35"/>
      <c r="AJ290" s="42"/>
      <c r="AK290" s="42"/>
      <c r="AL290" s="42"/>
      <c r="AM290" s="42"/>
      <c r="AN290" s="42"/>
      <c r="AO290" s="42"/>
      <c r="AP290" s="44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</row>
    <row r="291" spans="1:53" ht="15.75" customHeight="1">
      <c r="A291" s="34"/>
      <c r="B291" s="36"/>
      <c r="C291" s="36"/>
      <c r="D291" s="34"/>
      <c r="E291" s="38"/>
      <c r="F291" s="38"/>
      <c r="G291" s="39"/>
      <c r="H291" s="39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3"/>
      <c r="AG291" s="42"/>
      <c r="AH291" s="42"/>
      <c r="AI291" s="35"/>
      <c r="AJ291" s="42"/>
      <c r="AK291" s="42"/>
      <c r="AL291" s="42"/>
      <c r="AM291" s="42"/>
      <c r="AN291" s="42"/>
      <c r="AO291" s="42"/>
      <c r="AP291" s="44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</row>
    <row r="292" spans="1:53" ht="15.75" customHeight="1">
      <c r="A292" s="34"/>
      <c r="B292" s="36"/>
      <c r="C292" s="36"/>
      <c r="D292" s="34"/>
      <c r="E292" s="38"/>
      <c r="F292" s="38"/>
      <c r="G292" s="39"/>
      <c r="H292" s="39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3"/>
      <c r="AG292" s="42"/>
      <c r="AH292" s="42"/>
      <c r="AI292" s="35"/>
      <c r="AJ292" s="42"/>
      <c r="AK292" s="42"/>
      <c r="AL292" s="42"/>
      <c r="AM292" s="42"/>
      <c r="AN292" s="42"/>
      <c r="AO292" s="42"/>
      <c r="AP292" s="44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</row>
    <row r="293" spans="1:53" ht="15.75" customHeight="1">
      <c r="A293" s="34"/>
      <c r="B293" s="36"/>
      <c r="C293" s="36"/>
      <c r="D293" s="34"/>
      <c r="E293" s="38"/>
      <c r="F293" s="38"/>
      <c r="G293" s="39"/>
      <c r="H293" s="39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3"/>
      <c r="AG293" s="42"/>
      <c r="AH293" s="42"/>
      <c r="AI293" s="35"/>
      <c r="AJ293" s="42"/>
      <c r="AK293" s="42"/>
      <c r="AL293" s="42"/>
      <c r="AM293" s="42"/>
      <c r="AN293" s="42"/>
      <c r="AO293" s="42"/>
      <c r="AP293" s="44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</row>
    <row r="294" spans="1:53" ht="15.75" customHeight="1">
      <c r="A294" s="34"/>
      <c r="B294" s="36"/>
      <c r="C294" s="36"/>
      <c r="D294" s="34"/>
      <c r="E294" s="38"/>
      <c r="F294" s="38"/>
      <c r="G294" s="39"/>
      <c r="H294" s="39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3"/>
      <c r="AG294" s="42"/>
      <c r="AH294" s="42"/>
      <c r="AI294" s="35"/>
      <c r="AJ294" s="42"/>
      <c r="AK294" s="42"/>
      <c r="AL294" s="42"/>
      <c r="AM294" s="42"/>
      <c r="AN294" s="42"/>
      <c r="AO294" s="42"/>
      <c r="AP294" s="44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</row>
    <row r="295" spans="1:53" ht="15.75" customHeight="1"/>
    <row r="296" spans="1:53" ht="15.75" customHeight="1"/>
    <row r="297" spans="1:53" ht="15.75" customHeight="1"/>
    <row r="298" spans="1:53" ht="15.75" customHeight="1"/>
    <row r="299" spans="1:53" ht="15.75" customHeight="1"/>
    <row r="300" spans="1:53" ht="15.75" customHeight="1"/>
    <row r="301" spans="1:53" ht="15.75" customHeight="1"/>
    <row r="302" spans="1:53" ht="15.75" customHeight="1"/>
    <row r="303" spans="1:53" ht="15.75" customHeight="1"/>
    <row r="304" spans="1:5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00">
    <cfRule type="expression" dxfId="1334" priority="1">
      <formula>COUNTIF($C$1:$C$1038, C1) &gt; 1</formula>
    </cfRule>
  </conditionalFormatting>
  <conditionalFormatting sqref="C3:C9">
    <cfRule type="expression" dxfId="1333" priority="2">
      <formula>C3=#REF!</formula>
    </cfRule>
  </conditionalFormatting>
  <conditionalFormatting sqref="C3:C20 C22:C41">
    <cfRule type="expression" dxfId="1332" priority="3">
      <formula>COUNTIF($B$2:$B$988, C3) &gt; 1</formula>
    </cfRule>
    <cfRule type="expression" dxfId="1331" priority="4">
      <formula>COUNTIF($B$2:$B$989, C3) &gt; 1</formula>
    </cfRule>
  </conditionalFormatting>
  <conditionalFormatting sqref="C3:C20">
    <cfRule type="expression" dxfId="1330" priority="5">
      <formula>COUNTIF($C$1:$C$967, C3) &gt; 1</formula>
    </cfRule>
    <cfRule type="expression" dxfId="1329" priority="6">
      <formula>COUNTIF($B$2:$B$948, C3) &gt; 1</formula>
    </cfRule>
    <cfRule type="expression" dxfId="1328" priority="7">
      <formula>COUNTIF($C$1:$C$968, C3) &gt; 1</formula>
    </cfRule>
    <cfRule type="expression" dxfId="1327" priority="8">
      <formula>COUNTIF($B$2:$B$949, C3) &gt; 1</formula>
    </cfRule>
    <cfRule type="expression" dxfId="1326" priority="9">
      <formula>COUNTIF($C$1:$C$965, C3) &gt; 1</formula>
    </cfRule>
    <cfRule type="expression" dxfId="1325" priority="10">
      <formula>COUNTIF($B$2:$B$946, C3) &gt; 1</formula>
    </cfRule>
    <cfRule type="expression" dxfId="1324" priority="11">
      <formula>COUNTIF($B$2:$B$947, C3) &gt; 1</formula>
    </cfRule>
  </conditionalFormatting>
  <conditionalFormatting sqref="C3:C21">
    <cfRule type="expression" dxfId="1323" priority="12">
      <formula>COUNTIF($C$1:$C$970, C3) &gt; 1</formula>
    </cfRule>
    <cfRule type="expression" dxfId="1322" priority="13">
      <formula>COUNTIF($C$1:$C$966, C3) &gt; 1</formula>
    </cfRule>
  </conditionalFormatting>
  <conditionalFormatting sqref="C3:C22">
    <cfRule type="expression" dxfId="1321" priority="14">
      <formula>COUNTIF($C$1:$C$971, C3) &gt; 1</formula>
    </cfRule>
    <cfRule type="expression" dxfId="1320" priority="15">
      <formula>COUNTIF($B$2:$B$952, C3) &gt; 1</formula>
    </cfRule>
    <cfRule type="expression" dxfId="1319" priority="16">
      <formula>COUNTIF($B$2:$B$953, C3) &gt; 1</formula>
    </cfRule>
  </conditionalFormatting>
  <conditionalFormatting sqref="C3:C23">
    <cfRule type="expression" dxfId="1318" priority="17">
      <formula>COUNTIF($C$1:$C$975, C3) &gt; 1</formula>
    </cfRule>
    <cfRule type="expression" dxfId="1317" priority="18">
      <formula>COUNTIF($C$1:$C$973, C3) &gt; 1</formula>
    </cfRule>
    <cfRule type="expression" dxfId="1316" priority="19">
      <formula>COUNTIF($B$2:$B$954, C3) &gt; 1</formula>
    </cfRule>
    <cfRule type="expression" dxfId="1315" priority="20">
      <formula>COUNTIF($C$1:$C$974, C3) &gt; 1</formula>
    </cfRule>
    <cfRule type="expression" dxfId="1314" priority="21">
      <formula>COUNTIF($B$2:$B$955, C3) &gt; 1</formula>
    </cfRule>
  </conditionalFormatting>
  <conditionalFormatting sqref="C3:C25">
    <cfRule type="expression" dxfId="1313" priority="22">
      <formula>COUNTIF($C$1:$C$972, C3) &gt; 1</formula>
    </cfRule>
  </conditionalFormatting>
  <conditionalFormatting sqref="C3:C26">
    <cfRule type="expression" dxfId="1312" priority="23">
      <formula>COUNTIF($C$1:$C$979, C3) &gt; 1</formula>
    </cfRule>
    <cfRule type="expression" dxfId="1311" priority="24">
      <formula>COUNTIF($B$2:$B$960, C3) &gt; 1</formula>
    </cfRule>
    <cfRule type="expression" dxfId="1310" priority="25">
      <formula>COUNTIF($C$1:$C$980, C3) &gt; 1</formula>
    </cfRule>
    <cfRule type="expression" dxfId="1309" priority="26">
      <formula>COUNTIF($B$2:$B$961, C3) &gt; 1</formula>
    </cfRule>
    <cfRule type="expression" dxfId="1308" priority="27">
      <formula>COUNTIF($C$1:$C$977, C3) &gt; 1</formula>
    </cfRule>
    <cfRule type="expression" dxfId="1307" priority="28">
      <formula>COUNTIF($B$2:$B$958, C3) &gt; 1</formula>
    </cfRule>
    <cfRule type="expression" dxfId="1306" priority="29">
      <formula>COUNTIF($B$2:$B$959, C3) &gt; 1</formula>
    </cfRule>
  </conditionalFormatting>
  <conditionalFormatting sqref="C3:C27">
    <cfRule type="expression" dxfId="1305" priority="30">
      <formula>COUNTIF($C$1:$C$982, C3) &gt; 1</formula>
    </cfRule>
    <cfRule type="expression" dxfId="1304" priority="31">
      <formula>COUNTIF($C$1:$C$978, C3) &gt; 1</formula>
    </cfRule>
  </conditionalFormatting>
  <conditionalFormatting sqref="C3:C28">
    <cfRule type="expression" dxfId="1303" priority="32">
      <formula>COUNTIF($B$1:$B$975, C3) &gt; 1</formula>
    </cfRule>
    <cfRule type="expression" dxfId="1302" priority="33">
      <formula>COUNTIF($C$1:$C$983, C3) &gt; 1</formula>
    </cfRule>
    <cfRule type="expression" dxfId="1301" priority="34">
      <formula>COUNTIF($B$2:$B$964, C3) &gt; 1</formula>
    </cfRule>
    <cfRule type="expression" dxfId="1300" priority="35">
      <formula>COUNTIF($B$2:$B$965, C3) &gt; 1</formula>
    </cfRule>
  </conditionalFormatting>
  <conditionalFormatting sqref="C3:C29">
    <cfRule type="expression" dxfId="1299" priority="36">
      <formula>COUNTIF($B$1:$B$966, C3) &gt; 1</formula>
    </cfRule>
    <cfRule type="expression" dxfId="1298" priority="37">
      <formula>COUNTIF($B$1:$B$970, C3) &gt; 1</formula>
    </cfRule>
    <cfRule type="expression" dxfId="1297" priority="38">
      <formula>COUNTIF($B$1:$B$988, C3) &gt; 1</formula>
    </cfRule>
    <cfRule type="expression" dxfId="1296" priority="39">
      <formula>COUNTIF($B$2:$B$968, C3) &gt; 1</formula>
    </cfRule>
    <cfRule type="expression" dxfId="1295" priority="40">
      <formula>COUNTIF($C$1:$C$988, C3) &gt; 1</formula>
    </cfRule>
    <cfRule type="expression" dxfId="1294" priority="41">
      <formula>COUNTIF($B$2:$B$969, C3) &gt; 1</formula>
    </cfRule>
    <cfRule type="expression" dxfId="1293" priority="42">
      <formula>COUNTIF($B$2:$B$975, C3) &gt; 1</formula>
    </cfRule>
    <cfRule type="expression" dxfId="1292" priority="43">
      <formula>COUNTIF($B$2:$B$976, C3) &gt; 1</formula>
    </cfRule>
    <cfRule type="expression" dxfId="1291" priority="44">
      <formula>COUNTIF($B$2:$B$974, C3) &gt; 1</formula>
    </cfRule>
    <cfRule type="expression" dxfId="1290" priority="45">
      <formula>COUNTIF($C$1:$C$987, C3) &gt; 1</formula>
    </cfRule>
    <cfRule type="expression" dxfId="1289" priority="46">
      <formula>COUNTIF($C$1:$C$985, C3) &gt; 1</formula>
    </cfRule>
    <cfRule type="expression" dxfId="1288" priority="47">
      <formula>COUNTIF($B$2:$B$966, C3) &gt; 1</formula>
    </cfRule>
    <cfRule type="expression" dxfId="1287" priority="48">
      <formula>COUNTIF($C$1:$C$986, C3) &gt; 1</formula>
    </cfRule>
    <cfRule type="expression" dxfId="1286" priority="49">
      <formula>COUNTIF($B$2:$B$967, C3) &gt; 1</formula>
    </cfRule>
  </conditionalFormatting>
  <conditionalFormatting sqref="C3:C31">
    <cfRule type="expression" dxfId="1285" priority="50">
      <formula>COUNTIF($M$2:$M$73, C3) &gt; 1</formula>
    </cfRule>
    <cfRule type="expression" dxfId="1284" priority="51">
      <formula>COUNTIF($C$1:$C$996, C3) &gt; 1</formula>
    </cfRule>
    <cfRule type="expression" dxfId="1283" priority="52">
      <formula>COUNTIF($L$2:$L$73, C3) &gt; 1</formula>
    </cfRule>
    <cfRule type="expression" dxfId="1282" priority="53">
      <formula>COUNTIF($B$2:$B$74, C3) &gt; 1</formula>
    </cfRule>
  </conditionalFormatting>
  <conditionalFormatting sqref="C3:C32">
    <cfRule type="expression" dxfId="1281" priority="54">
      <formula>COUNTIF($C$1:$C$993, C3) &gt; 1</formula>
    </cfRule>
    <cfRule type="expression" dxfId="1280" priority="55">
      <formula>COUNTIF($B$2:$B$972, C3) &gt; 1</formula>
    </cfRule>
    <cfRule type="expression" dxfId="1279" priority="56">
      <formula>COUNTIF($C$1:$C$992, C3) &gt; 1</formula>
    </cfRule>
    <cfRule type="expression" dxfId="1278" priority="57">
      <formula>COUNTIF($B$2:$B$973, C3) &gt; 1</formula>
    </cfRule>
    <cfRule type="expression" dxfId="1277" priority="58">
      <formula>COUNTIF($C$1:$C$989, C3) &gt; 1</formula>
    </cfRule>
    <cfRule type="expression" dxfId="1276" priority="59">
      <formula>COUNTIF($B$2:$B$970, C3) &gt; 1</formula>
    </cfRule>
    <cfRule type="expression" dxfId="1275" priority="60">
      <formula>COUNTIF($C$1:$C$990, C3) &gt; 1</formula>
    </cfRule>
    <cfRule type="expression" dxfId="1274" priority="61">
      <formula>COUNTIF($B$2:$B$971, C3) &gt; 1</formula>
    </cfRule>
    <cfRule type="expression" dxfId="1273" priority="62">
      <formula>COUNTIF($C$1:$C$984, C3) &gt; 1</formula>
    </cfRule>
  </conditionalFormatting>
  <conditionalFormatting sqref="C3:C33">
    <cfRule type="expression" dxfId="1272" priority="63">
      <formula>COUNTIF($C$1:$C$994, C3) &gt; 1</formula>
    </cfRule>
    <cfRule type="expression" dxfId="1271" priority="64">
      <formula>COUNTIF($C$1:$C$991, C3) &gt; 1</formula>
    </cfRule>
  </conditionalFormatting>
  <conditionalFormatting sqref="C3:C34">
    <cfRule type="expression" dxfId="1270" priority="65">
      <formula>COUNTIF($C$1:$C$995, C3) &gt; 1</formula>
    </cfRule>
  </conditionalFormatting>
  <conditionalFormatting sqref="C3:C35">
    <cfRule type="expression" dxfId="1269" priority="66">
      <formula>COUNTIF($B$2:$B$982, C3) &gt; 1</formula>
    </cfRule>
  </conditionalFormatting>
  <conditionalFormatting sqref="C3:C37">
    <cfRule type="expression" dxfId="1268" priority="67">
      <formula>COUNTIF($B$1:$B$998, C3) &gt; 1</formula>
    </cfRule>
    <cfRule type="expression" dxfId="1267" priority="68">
      <formula>COUNTIF($B$1:$B$987, C3) &gt; 1</formula>
    </cfRule>
    <cfRule type="expression" dxfId="1266" priority="69">
      <formula>COUNTIF($C$1:$C$997, C3) &gt; 1</formula>
    </cfRule>
    <cfRule type="expression" dxfId="1265" priority="70">
      <formula>COUNTIF($B$2:$B$978, C3) &gt; 1</formula>
    </cfRule>
    <cfRule type="expression" dxfId="1264" priority="71">
      <formula>COUNTIF($C$1:$C$998, C3) &gt; 1</formula>
    </cfRule>
    <cfRule type="expression" dxfId="1263" priority="72">
      <formula>COUNTIF($B$2:$B$979, C3) &gt; 1</formula>
    </cfRule>
  </conditionalFormatting>
  <conditionalFormatting sqref="C3:C38">
    <cfRule type="expression" dxfId="1262" priority="73">
      <formula>COUNTIF($B$1:$B$995, C3) &gt; 1</formula>
    </cfRule>
    <cfRule type="expression" dxfId="1261" priority="74">
      <formula>COUNTIF($B$2:$B$986, C3) &gt; 1</formula>
    </cfRule>
    <cfRule type="expression" dxfId="1260" priority="75">
      <formula>COUNTIF($C$1:$C$1006, C3) &gt; 1</formula>
    </cfRule>
    <cfRule type="expression" dxfId="1259" priority="76">
      <formula>COUNTIF($B$2:$B$987, C3) &gt; 1</formula>
    </cfRule>
    <cfRule type="expression" dxfId="1258" priority="77">
      <formula>COUNTIF($B$1:$B$978, C3) &gt; 1</formula>
    </cfRule>
    <cfRule type="expression" dxfId="1257" priority="78">
      <formula>COUNTIF($B$1:$B$982, C3) &gt; 1</formula>
    </cfRule>
    <cfRule type="expression" dxfId="1256" priority="79">
      <formula>COUNTIF($B$1:$B$1000, C3) &gt; 1</formula>
    </cfRule>
    <cfRule type="expression" dxfId="1255" priority="80">
      <formula>COUNTIF($B$2:$B$980, C3) &gt; 1</formula>
    </cfRule>
    <cfRule type="expression" dxfId="1254" priority="81">
      <formula>COUNTIF($C$1:$C$1000, C3) &gt; 1</formula>
    </cfRule>
    <cfRule type="expression" dxfId="1253" priority="82">
      <formula>COUNTIF($B$2:$B$981, C3) &gt; 1</formula>
    </cfRule>
    <cfRule type="expression" dxfId="1252" priority="83">
      <formula>COUNTIF($C$1:$C$999, C3) &gt; 1</formula>
    </cfRule>
  </conditionalFormatting>
  <conditionalFormatting sqref="C3:C39">
    <cfRule type="expression" dxfId="1251" priority="84">
      <formula>COUNTIF($B$1:$B$986, C3) &gt; 1</formula>
    </cfRule>
    <cfRule type="expression" dxfId="1250" priority="85">
      <formula>COUNTIF($C$1:$C$1002, C3) &gt; 1</formula>
    </cfRule>
    <cfRule type="expression" dxfId="1249" priority="86">
      <formula>COUNTIF($C$1:$C$1001, C3) &gt; 1</formula>
    </cfRule>
  </conditionalFormatting>
  <conditionalFormatting sqref="C3:C41">
    <cfRule type="expression" dxfId="1248" priority="87">
      <formula>COUNTIF($B$1:$B$1008, C3) &gt; 1</formula>
    </cfRule>
    <cfRule type="expression" dxfId="1247" priority="88">
      <formula>COUNTIF($M$2:$M$85, C3) &gt; 1</formula>
    </cfRule>
    <cfRule type="expression" dxfId="1246" priority="89">
      <formula>COUNTIF($C$1:$C$1007, C3) &gt; 1</formula>
    </cfRule>
    <cfRule type="expression" dxfId="1245" priority="90">
      <formula>COUNTIF($B$2:$B$86, C3) &gt; 1</formula>
    </cfRule>
  </conditionalFormatting>
  <conditionalFormatting sqref="C3:C42">
    <cfRule type="expression" dxfId="1244" priority="91">
      <formula>COUNTIF($B$1:$B$990, C3) &gt; 1</formula>
    </cfRule>
    <cfRule type="expression" dxfId="1243" priority="92">
      <formula>COUNTIF($C$1:$C$1004, C3) &gt; 1</formula>
    </cfRule>
    <cfRule type="expression" dxfId="1242" priority="93">
      <formula>COUNTIF($C$1:$C$1008, C3) &gt; 1</formula>
    </cfRule>
    <cfRule type="expression" dxfId="1241" priority="94">
      <formula>COUNTIF($C$1:$C$1005, C3) &gt; 1</formula>
    </cfRule>
    <cfRule type="expression" dxfId="1240" priority="95">
      <formula>COUNTIF($C$1:$C$1003, C3) &gt; 1</formula>
    </cfRule>
  </conditionalFormatting>
  <conditionalFormatting sqref="C3:C43">
    <cfRule type="expression" dxfId="1239" priority="96">
      <formula>COUNTIF($C$1:$C$1009, C3) &gt; 1</formula>
    </cfRule>
    <cfRule type="expression" dxfId="1238" priority="97">
      <formula>COUNTIF($C$1:$C$1010, C3) &gt; 1</formula>
    </cfRule>
  </conditionalFormatting>
  <conditionalFormatting sqref="C3:C44">
    <cfRule type="expression" dxfId="1237" priority="98">
      <formula>COUNTIF($L$2:$L$93, C3) &gt; 1</formula>
    </cfRule>
    <cfRule type="expression" dxfId="1236" priority="99">
      <formula>COUNTIF($B$2:$B$94, C3) &gt; 1</formula>
    </cfRule>
    <cfRule type="expression" dxfId="1235" priority="100">
      <formula>COUNTIF($C$1:$C$1011, C3) &gt; 1</formula>
    </cfRule>
  </conditionalFormatting>
  <conditionalFormatting sqref="C3:C45">
    <cfRule type="expression" dxfId="1234" priority="101">
      <formula>COUNTIF($B$1:$B$1002, C3) &gt; 1</formula>
    </cfRule>
    <cfRule type="expression" dxfId="1233" priority="102">
      <formula>COUNTIF($B$1:$B$1005, C3) &gt; 1</formula>
    </cfRule>
    <cfRule type="expression" dxfId="1232" priority="103">
      <formula>COUNTIF($C$1:$C$1012, C3) &gt; 1</formula>
    </cfRule>
  </conditionalFormatting>
  <conditionalFormatting sqref="C3:C46">
    <cfRule type="expression" dxfId="1231" priority="104">
      <formula>COUNTIF($B$1:$B$972, C3) &gt; 1</formula>
    </cfRule>
    <cfRule type="expression" dxfId="1230" priority="105">
      <formula>COUNTIF($B$1:$B$993, C3) &gt; 1</formula>
    </cfRule>
    <cfRule type="expression" dxfId="1229" priority="106">
      <formula>COUNTIF($B$1:$B$997, C3) &gt; 1</formula>
    </cfRule>
    <cfRule type="expression" dxfId="1228" priority="107">
      <formula>COUNTIF($B$1:$B$1015, C3) &gt; 1</formula>
    </cfRule>
    <cfRule type="expression" dxfId="1227" priority="108">
      <formula>COUNTIF($C$1:$C$1017, C3) &gt; 1</formula>
    </cfRule>
    <cfRule type="expression" dxfId="1226" priority="109">
      <formula>COUNTIF($C$1:$C$1019, C3) &gt; 1</formula>
    </cfRule>
    <cfRule type="expression" dxfId="1225" priority="110">
      <formula>COUNTIF($C$1:$C$1018, C3) &gt; 1</formula>
    </cfRule>
    <cfRule type="expression" dxfId="1224" priority="111">
      <formula>COUNTIF($C$1:$C$1023, C3) &gt; 1</formula>
    </cfRule>
    <cfRule type="expression" dxfId="1223" priority="112">
      <formula>COUNTIF($C$1:$C$1015, C3) &gt; 1</formula>
    </cfRule>
    <cfRule type="expression" dxfId="1222" priority="113">
      <formula>COUNTIF($H$2:$H$100, C3) &gt; 1</formula>
    </cfRule>
    <cfRule type="expression" dxfId="1221" priority="114">
      <formula>COUNTIF($C$1:$C$1022, C3) &gt; 1</formula>
    </cfRule>
    <cfRule type="expression" dxfId="1220" priority="115">
      <formula>COUNTIF($C$1:$C$1014, C3) &gt; 1</formula>
    </cfRule>
    <cfRule type="expression" dxfId="1219" priority="116">
      <formula>COUNTIF($C$1:$C$1016, C3) &gt; 1</formula>
    </cfRule>
    <cfRule type="expression" dxfId="1218" priority="117">
      <formula>COUNTIF($B$2:$B$101, C3) &gt; 1</formula>
    </cfRule>
    <cfRule type="expression" dxfId="1217" priority="118">
      <formula>COUNTIF($C$1:$C$1026, C3) &gt; 1</formula>
    </cfRule>
    <cfRule type="expression" dxfId="1216" priority="119">
      <formula>COUNTIF($C$1:$C$1028, C3) &gt; 1</formula>
    </cfRule>
    <cfRule type="expression" dxfId="1215" priority="120">
      <formula>COUNTIF($B$1:$B$984, C3) &gt; 1</formula>
    </cfRule>
  </conditionalFormatting>
  <conditionalFormatting sqref="C12">
    <cfRule type="expression" dxfId="1214" priority="121">
      <formula>COUNTIF($C$1:$C$981, C12) &gt; 1</formula>
    </cfRule>
  </conditionalFormatting>
  <conditionalFormatting sqref="V3:V50 V52:V81 W77 Y77:Z77 AE77:AO77 V83:V1000">
    <cfRule type="expression" dxfId="1213" priority="122">
      <formula>D3="CHT"</formula>
    </cfRule>
    <cfRule type="expression" dxfId="1212" priority="123">
      <formula>D3="Q.CHT"</formula>
    </cfRule>
  </conditionalFormatting>
  <dataValidations count="2">
    <dataValidation type="list" allowBlank="1" showErrorMessage="1" sqref="D3:D80" xr:uid="{00000000-0002-0000-0100-000000000000}">
      <formula1>"CHT,DSBC,DSTV,PT,DSHV,Q.CHT,DSCD"</formula1>
    </dataValidation>
    <dataValidation type="list" allowBlank="1" showErrorMessage="1" sqref="B3:B80" xr:uid="{00000000-0002-0000-0100-000001000000}">
      <formula1>"24H,Minh Châu,Nguyễn Chí Thanh,Rạch Bùng Binh,Nguyễn Thị Thập,Nguyễn Văn Quá,Đỗ Quang Đẩu,Hàng Bông,Đường Láng,Nam Hòa,Lê Bình"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Y1000"/>
  <sheetViews>
    <sheetView workbookViewId="0"/>
  </sheetViews>
  <sheetFormatPr defaultColWidth="14.44140625" defaultRowHeight="15" customHeight="1"/>
  <cols>
    <col min="1" max="1" width="25" customWidth="1"/>
    <col min="2" max="2" width="16" customWidth="1"/>
    <col min="3" max="3" width="15" customWidth="1"/>
    <col min="4" max="4" width="16" customWidth="1"/>
    <col min="5" max="5" width="14" customWidth="1"/>
    <col min="6" max="7" width="20" customWidth="1"/>
    <col min="8" max="9" width="16" customWidth="1"/>
    <col min="10" max="10" width="20" customWidth="1"/>
    <col min="11" max="11" width="16" customWidth="1"/>
    <col min="12" max="12" width="18" customWidth="1"/>
    <col min="13" max="13" width="4" customWidth="1"/>
    <col min="14" max="14" width="20" customWidth="1"/>
    <col min="15" max="15" width="14" customWidth="1"/>
    <col min="16" max="16" width="20" customWidth="1"/>
    <col min="17" max="17" width="14" customWidth="1"/>
    <col min="18" max="19" width="20" customWidth="1"/>
    <col min="20" max="23" width="18" customWidth="1"/>
    <col min="24" max="24" width="16" customWidth="1"/>
    <col min="25" max="25" width="18" customWidth="1"/>
  </cols>
  <sheetData>
    <row r="1" spans="1:25" ht="15.75" customHeight="1">
      <c r="A1" s="2" t="s">
        <v>140</v>
      </c>
      <c r="B1" s="2" t="s">
        <v>141</v>
      </c>
      <c r="C1" s="2" t="s">
        <v>142</v>
      </c>
      <c r="D1" s="2" t="s">
        <v>143</v>
      </c>
      <c r="E1" s="2" t="s">
        <v>144</v>
      </c>
      <c r="F1" s="2" t="s">
        <v>145</v>
      </c>
      <c r="G1" s="2" t="s">
        <v>146</v>
      </c>
      <c r="H1" s="2" t="s">
        <v>147</v>
      </c>
      <c r="I1" s="2" t="s">
        <v>148</v>
      </c>
      <c r="J1" s="2" t="s">
        <v>149</v>
      </c>
      <c r="K1" s="6" t="s">
        <v>150</v>
      </c>
      <c r="L1" s="6" t="s">
        <v>151</v>
      </c>
      <c r="M1" s="2"/>
      <c r="N1" s="203" t="s">
        <v>0</v>
      </c>
      <c r="O1" s="203" t="s">
        <v>142</v>
      </c>
      <c r="P1" s="203" t="s">
        <v>152</v>
      </c>
      <c r="Q1" s="203" t="s">
        <v>144</v>
      </c>
      <c r="R1" s="203" t="s">
        <v>145</v>
      </c>
      <c r="S1" s="203" t="s">
        <v>146</v>
      </c>
      <c r="T1" s="203" t="s">
        <v>153</v>
      </c>
      <c r="U1" s="203" t="s">
        <v>154</v>
      </c>
      <c r="V1" s="203" t="s">
        <v>155</v>
      </c>
      <c r="W1" s="203" t="s">
        <v>149</v>
      </c>
      <c r="X1" s="203" t="s">
        <v>150</v>
      </c>
      <c r="Y1" s="203" t="s">
        <v>156</v>
      </c>
    </row>
    <row r="2" spans="1:25" ht="15.75" customHeight="1">
      <c r="A2" s="8" t="s">
        <v>126</v>
      </c>
      <c r="B2" s="9">
        <v>4</v>
      </c>
      <c r="C2" s="9">
        <v>0</v>
      </c>
      <c r="D2" s="9">
        <v>1</v>
      </c>
      <c r="E2" s="9">
        <v>3</v>
      </c>
      <c r="F2" s="9">
        <v>179000</v>
      </c>
      <c r="G2" s="9">
        <v>485000</v>
      </c>
      <c r="H2" s="9">
        <f t="shared" ref="H2:H11" si="0">IF(C2&gt;=17, C2*30000, IF(C2&gt;=15, C2*25000, 0))</f>
        <v>0</v>
      </c>
      <c r="I2" s="9">
        <f t="shared" ref="I2:I11" si="1">IF(B2&gt;=80, B2*6000, 0)</f>
        <v>0</v>
      </c>
      <c r="J2" s="9">
        <f t="shared" ref="J2:J11" si="2">IF(F2&gt;7000000, F2*0.06, IF(F2&gt;5000000, F2*0.04, 0))</f>
        <v>0</v>
      </c>
      <c r="K2" s="204">
        <f t="shared" ref="K2:K11" si="3">IF(G2&gt;9000000, E2*6000, IF(G2&gt;7000000, E2*4000, 0))</f>
        <v>0</v>
      </c>
      <c r="L2" s="204">
        <f t="shared" ref="L2:L11" si="4">H2+I2+J2+K2</f>
        <v>0</v>
      </c>
      <c r="M2" s="8"/>
      <c r="N2" s="205" t="s">
        <v>25</v>
      </c>
      <c r="O2" s="206">
        <v>7</v>
      </c>
      <c r="P2" s="206">
        <v>114</v>
      </c>
      <c r="Q2" s="206">
        <v>115</v>
      </c>
      <c r="R2" s="206">
        <v>4626000</v>
      </c>
      <c r="S2" s="206">
        <v>19647000</v>
      </c>
      <c r="T2" s="206">
        <f>IF(O2&gt;=17, 300000, 0)</f>
        <v>0</v>
      </c>
      <c r="U2" s="206">
        <f>IF(P2&gt;=180, 300000, 0)</f>
        <v>0</v>
      </c>
      <c r="V2" s="207">
        <f>IF(P2&gt;=150, 150000, 0)</f>
        <v>0</v>
      </c>
      <c r="W2" s="207">
        <f>IF(R2&gt;30000000, 700000, IF(R2&gt;22000000, 500000, 0))</f>
        <v>0</v>
      </c>
      <c r="X2" s="207">
        <v>0</v>
      </c>
      <c r="Y2" s="207">
        <f>T2+U2+V2+W2+X2</f>
        <v>0</v>
      </c>
    </row>
    <row r="3" spans="1:25" ht="15.75" customHeight="1">
      <c r="A3" s="8" t="s">
        <v>127</v>
      </c>
      <c r="B3" s="9">
        <v>60</v>
      </c>
      <c r="C3" s="9">
        <v>3</v>
      </c>
      <c r="D3" s="9">
        <v>9</v>
      </c>
      <c r="E3" s="9">
        <v>54</v>
      </c>
      <c r="F3" s="9">
        <v>1791000</v>
      </c>
      <c r="G3" s="9">
        <v>9127000</v>
      </c>
      <c r="H3" s="9">
        <f t="shared" si="0"/>
        <v>0</v>
      </c>
      <c r="I3" s="9">
        <f t="shared" si="1"/>
        <v>0</v>
      </c>
      <c r="J3" s="9">
        <f t="shared" si="2"/>
        <v>0</v>
      </c>
      <c r="K3" s="204">
        <f t="shared" si="3"/>
        <v>324000</v>
      </c>
      <c r="L3" s="204">
        <f t="shared" si="4"/>
        <v>324000</v>
      </c>
      <c r="M3" s="8"/>
      <c r="N3" s="205" t="s">
        <v>26</v>
      </c>
      <c r="O3" s="206">
        <v>8</v>
      </c>
      <c r="P3" s="206">
        <v>18</v>
      </c>
      <c r="Q3" s="206">
        <v>23</v>
      </c>
      <c r="R3" s="206">
        <v>1194000</v>
      </c>
      <c r="S3" s="206">
        <v>3941500</v>
      </c>
      <c r="T3" s="206">
        <f>IF(O3&gt;=17, 300000, 0)</f>
        <v>0</v>
      </c>
      <c r="U3" s="206">
        <f>IF(P3&gt;=180, 300000, 0)</f>
        <v>0</v>
      </c>
      <c r="V3" s="207">
        <f>IF(P3&gt;=150, 150000, 0)</f>
        <v>0</v>
      </c>
      <c r="W3" s="207">
        <f>IF(R3&gt;30000000, 700000, IF(R3&gt;22000000, 500000, 0))</f>
        <v>0</v>
      </c>
      <c r="X3" s="207">
        <v>0</v>
      </c>
      <c r="Y3" s="207">
        <f>T3+U3+V3+W3+X3</f>
        <v>0</v>
      </c>
    </row>
    <row r="4" spans="1:25" ht="15.75" customHeight="1">
      <c r="A4" s="8" t="s">
        <v>128</v>
      </c>
      <c r="B4" s="9">
        <v>15</v>
      </c>
      <c r="C4" s="9">
        <v>4</v>
      </c>
      <c r="D4" s="9">
        <v>4</v>
      </c>
      <c r="E4" s="9">
        <v>6</v>
      </c>
      <c r="F4" s="9">
        <v>776000</v>
      </c>
      <c r="G4" s="9">
        <v>1020000</v>
      </c>
      <c r="H4" s="9">
        <f t="shared" si="0"/>
        <v>0</v>
      </c>
      <c r="I4" s="9">
        <f t="shared" si="1"/>
        <v>0</v>
      </c>
      <c r="J4" s="9">
        <f t="shared" si="2"/>
        <v>0</v>
      </c>
      <c r="K4" s="204">
        <f t="shared" si="3"/>
        <v>0</v>
      </c>
      <c r="L4" s="204">
        <f t="shared" si="4"/>
        <v>0</v>
      </c>
      <c r="M4" s="23"/>
      <c r="N4" s="30"/>
      <c r="O4" s="30"/>
      <c r="P4" s="30"/>
      <c r="Q4" s="30"/>
      <c r="R4" s="30"/>
      <c r="S4" s="32"/>
      <c r="T4" s="30"/>
      <c r="U4" s="30"/>
    </row>
    <row r="5" spans="1:25" ht="15.75" customHeight="1">
      <c r="A5" s="8" t="s">
        <v>129</v>
      </c>
      <c r="B5" s="9">
        <v>24</v>
      </c>
      <c r="C5" s="9">
        <v>0</v>
      </c>
      <c r="D5" s="9">
        <v>8</v>
      </c>
      <c r="E5" s="9">
        <v>46</v>
      </c>
      <c r="F5" s="9">
        <v>1522000</v>
      </c>
      <c r="G5" s="9">
        <v>7745000</v>
      </c>
      <c r="H5" s="9">
        <f t="shared" si="0"/>
        <v>0</v>
      </c>
      <c r="I5" s="9">
        <f t="shared" si="1"/>
        <v>0</v>
      </c>
      <c r="J5" s="9">
        <f t="shared" si="2"/>
        <v>0</v>
      </c>
      <c r="K5" s="204">
        <f t="shared" si="3"/>
        <v>184000</v>
      </c>
      <c r="L5" s="204">
        <f t="shared" si="4"/>
        <v>184000</v>
      </c>
      <c r="M5" s="23"/>
      <c r="N5" s="30"/>
      <c r="O5" s="30"/>
      <c r="P5" s="30"/>
      <c r="Q5" s="30"/>
      <c r="R5" s="30"/>
      <c r="S5" s="32"/>
      <c r="T5" s="30"/>
      <c r="U5" s="30"/>
    </row>
    <row r="6" spans="1:25" ht="15.75" customHeight="1">
      <c r="A6" s="8" t="s">
        <v>130</v>
      </c>
      <c r="B6" s="9">
        <v>11</v>
      </c>
      <c r="C6" s="9">
        <v>0</v>
      </c>
      <c r="D6" s="9">
        <v>2</v>
      </c>
      <c r="E6" s="9">
        <v>6</v>
      </c>
      <c r="F6" s="9">
        <v>358000</v>
      </c>
      <c r="G6" s="9">
        <v>1270000</v>
      </c>
      <c r="H6" s="9">
        <f t="shared" si="0"/>
        <v>0</v>
      </c>
      <c r="I6" s="9">
        <f t="shared" si="1"/>
        <v>0</v>
      </c>
      <c r="J6" s="9">
        <f t="shared" si="2"/>
        <v>0</v>
      </c>
      <c r="K6" s="204">
        <f t="shared" si="3"/>
        <v>0</v>
      </c>
      <c r="L6" s="204">
        <f t="shared" si="4"/>
        <v>0</v>
      </c>
      <c r="M6" s="23"/>
      <c r="N6" s="30"/>
      <c r="O6" s="30"/>
      <c r="P6" s="30"/>
      <c r="Q6" s="30"/>
      <c r="R6" s="30"/>
      <c r="S6" s="32"/>
      <c r="T6" s="30"/>
      <c r="U6" s="30"/>
    </row>
    <row r="7" spans="1:25" ht="15.75" customHeight="1">
      <c r="A7" s="8" t="s">
        <v>131</v>
      </c>
      <c r="B7" s="9">
        <v>0</v>
      </c>
      <c r="C7" s="9">
        <v>2</v>
      </c>
      <c r="D7" s="9">
        <v>1</v>
      </c>
      <c r="E7" s="9">
        <v>6</v>
      </c>
      <c r="F7" s="9">
        <v>179000</v>
      </c>
      <c r="G7" s="9">
        <v>1020000</v>
      </c>
      <c r="H7" s="9">
        <f t="shared" si="0"/>
        <v>0</v>
      </c>
      <c r="I7" s="9">
        <f t="shared" si="1"/>
        <v>0</v>
      </c>
      <c r="J7" s="9">
        <f t="shared" si="2"/>
        <v>0</v>
      </c>
      <c r="K7" s="204">
        <f t="shared" si="3"/>
        <v>0</v>
      </c>
      <c r="L7" s="204">
        <f t="shared" si="4"/>
        <v>0</v>
      </c>
      <c r="M7" s="23"/>
      <c r="N7" s="30"/>
      <c r="O7" s="30"/>
      <c r="P7" s="30"/>
      <c r="Q7" s="30"/>
      <c r="R7" s="30"/>
      <c r="S7" s="32"/>
      <c r="T7" s="30"/>
      <c r="U7" s="30"/>
    </row>
    <row r="8" spans="1:25" ht="15.75" customHeight="1">
      <c r="A8" s="8" t="s">
        <v>132</v>
      </c>
      <c r="B8" s="9">
        <v>5</v>
      </c>
      <c r="C8" s="9">
        <v>0</v>
      </c>
      <c r="D8" s="9">
        <v>0</v>
      </c>
      <c r="E8" s="9">
        <v>8</v>
      </c>
      <c r="F8" s="9">
        <v>0</v>
      </c>
      <c r="G8" s="9">
        <v>1360000</v>
      </c>
      <c r="H8" s="9">
        <f t="shared" si="0"/>
        <v>0</v>
      </c>
      <c r="I8" s="9">
        <f t="shared" si="1"/>
        <v>0</v>
      </c>
      <c r="J8" s="9">
        <f t="shared" si="2"/>
        <v>0</v>
      </c>
      <c r="K8" s="204">
        <f t="shared" si="3"/>
        <v>0</v>
      </c>
      <c r="L8" s="204">
        <f t="shared" si="4"/>
        <v>0</v>
      </c>
      <c r="M8" s="23"/>
      <c r="N8" s="30"/>
      <c r="O8" s="30"/>
      <c r="P8" s="30"/>
      <c r="Q8" s="30"/>
      <c r="R8" s="30"/>
      <c r="S8" s="32"/>
      <c r="T8" s="30"/>
      <c r="U8" s="30"/>
    </row>
    <row r="9" spans="1:25" ht="15.75" customHeight="1">
      <c r="A9" s="8" t="s">
        <v>133</v>
      </c>
      <c r="B9" s="9">
        <v>3</v>
      </c>
      <c r="C9" s="9">
        <v>3</v>
      </c>
      <c r="D9" s="9">
        <v>3</v>
      </c>
      <c r="E9" s="9">
        <v>3</v>
      </c>
      <c r="F9" s="9">
        <v>597000</v>
      </c>
      <c r="G9" s="9">
        <v>535000</v>
      </c>
      <c r="H9" s="9">
        <f t="shared" si="0"/>
        <v>0</v>
      </c>
      <c r="I9" s="9">
        <f t="shared" si="1"/>
        <v>0</v>
      </c>
      <c r="J9" s="9">
        <f t="shared" si="2"/>
        <v>0</v>
      </c>
      <c r="K9" s="204">
        <f t="shared" si="3"/>
        <v>0</v>
      </c>
      <c r="L9" s="204">
        <f t="shared" si="4"/>
        <v>0</v>
      </c>
      <c r="M9" s="23"/>
      <c r="N9" s="30"/>
      <c r="O9" s="30"/>
      <c r="P9" s="30"/>
      <c r="Q9" s="30"/>
      <c r="R9" s="30"/>
      <c r="S9" s="32"/>
      <c r="T9" s="30"/>
      <c r="U9" s="30"/>
    </row>
    <row r="10" spans="1:25" ht="15.75" customHeight="1">
      <c r="A10" s="8" t="s">
        <v>134</v>
      </c>
      <c r="B10" s="9">
        <v>10</v>
      </c>
      <c r="C10" s="9">
        <v>3</v>
      </c>
      <c r="D10" s="9">
        <v>2</v>
      </c>
      <c r="E10" s="9">
        <v>6</v>
      </c>
      <c r="F10" s="9">
        <v>418000</v>
      </c>
      <c r="G10" s="9">
        <v>1026500</v>
      </c>
      <c r="H10" s="9">
        <f t="shared" si="0"/>
        <v>0</v>
      </c>
      <c r="I10" s="9">
        <f t="shared" si="1"/>
        <v>0</v>
      </c>
      <c r="J10" s="9">
        <f t="shared" si="2"/>
        <v>0</v>
      </c>
      <c r="K10" s="204">
        <f t="shared" si="3"/>
        <v>0</v>
      </c>
      <c r="L10" s="204">
        <f t="shared" si="4"/>
        <v>0</v>
      </c>
      <c r="M10" s="23"/>
      <c r="N10" s="30"/>
      <c r="O10" s="30"/>
      <c r="P10" s="30"/>
      <c r="Q10" s="30"/>
      <c r="R10" s="30"/>
      <c r="S10" s="30"/>
      <c r="T10" s="30"/>
      <c r="U10" s="30"/>
    </row>
    <row r="11" spans="1:25" ht="15.75" customHeight="1">
      <c r="A11" s="8" t="s">
        <v>135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f t="shared" si="0"/>
        <v>0</v>
      </c>
      <c r="I11" s="9">
        <f t="shared" si="1"/>
        <v>0</v>
      </c>
      <c r="J11" s="9">
        <f t="shared" si="2"/>
        <v>0</v>
      </c>
      <c r="K11" s="204">
        <f t="shared" si="3"/>
        <v>0</v>
      </c>
      <c r="L11" s="204">
        <f t="shared" si="4"/>
        <v>0</v>
      </c>
      <c r="M11" s="23"/>
      <c r="N11" s="30"/>
      <c r="O11" s="30"/>
      <c r="P11" s="30"/>
      <c r="Q11" s="30"/>
      <c r="R11" s="30"/>
      <c r="S11" s="30"/>
      <c r="T11" s="30"/>
      <c r="U11" s="30"/>
    </row>
    <row r="12" spans="1:25" ht="15.75" customHeight="1">
      <c r="A12" s="23"/>
      <c r="B12" s="30"/>
      <c r="C12" s="30"/>
      <c r="D12" s="30"/>
      <c r="E12" s="32"/>
      <c r="F12" s="32"/>
      <c r="G12" s="30"/>
      <c r="H12" s="30"/>
      <c r="I12" s="30"/>
      <c r="J12" s="30"/>
      <c r="K12" s="23"/>
      <c r="L12" s="23"/>
      <c r="M12" s="23"/>
      <c r="N12" s="30"/>
      <c r="O12" s="30"/>
      <c r="P12" s="30"/>
      <c r="Q12" s="30"/>
      <c r="R12" s="30"/>
      <c r="S12" s="30"/>
      <c r="T12" s="30"/>
      <c r="U12" s="30"/>
    </row>
    <row r="13" spans="1:25" ht="15.75" customHeight="1">
      <c r="A13" s="23"/>
      <c r="B13" s="30"/>
      <c r="C13" s="30"/>
      <c r="D13" s="30"/>
      <c r="E13" s="30"/>
      <c r="F13" s="30"/>
      <c r="G13" s="30"/>
      <c r="H13" s="30"/>
      <c r="I13" s="30"/>
      <c r="J13" s="30"/>
      <c r="N13" s="40"/>
      <c r="O13" s="40"/>
      <c r="P13" s="40"/>
      <c r="Q13" s="40"/>
      <c r="R13" s="40"/>
      <c r="S13" s="40"/>
      <c r="T13" s="40"/>
      <c r="U13" s="30"/>
    </row>
    <row r="14" spans="1:25" ht="15.75" customHeight="1">
      <c r="A14" s="23"/>
      <c r="B14" s="30"/>
      <c r="C14" s="30"/>
      <c r="D14" s="30"/>
      <c r="E14" s="32"/>
      <c r="F14" s="32"/>
      <c r="G14" s="30"/>
      <c r="H14" s="30"/>
      <c r="I14" s="30"/>
      <c r="J14" s="30"/>
      <c r="N14" s="40"/>
      <c r="O14" s="40"/>
      <c r="P14" s="40"/>
      <c r="Q14" s="40"/>
      <c r="R14" s="40"/>
      <c r="S14" s="40"/>
      <c r="T14" s="40"/>
      <c r="U14" s="30"/>
    </row>
    <row r="15" spans="1:25" ht="15.75" customHeight="1">
      <c r="A15" s="23"/>
      <c r="B15" s="30"/>
      <c r="C15" s="30"/>
      <c r="D15" s="30"/>
      <c r="E15" s="30"/>
      <c r="F15" s="32"/>
      <c r="G15" s="30"/>
      <c r="H15" s="30"/>
      <c r="I15" s="30"/>
      <c r="J15" s="30"/>
      <c r="N15" s="40"/>
      <c r="O15" s="40"/>
      <c r="P15" s="40"/>
      <c r="Q15" s="40"/>
      <c r="R15" s="40"/>
      <c r="S15" s="40"/>
      <c r="T15" s="40"/>
      <c r="U15" s="30"/>
    </row>
    <row r="16" spans="1:25" ht="15.75" customHeight="1">
      <c r="A16" s="23"/>
      <c r="B16" s="30"/>
      <c r="C16" s="30"/>
      <c r="D16" s="30"/>
      <c r="E16" s="32"/>
      <c r="F16" s="32"/>
      <c r="G16" s="30"/>
      <c r="H16" s="30"/>
      <c r="I16" s="30"/>
      <c r="J16" s="30"/>
      <c r="N16" s="40"/>
      <c r="O16" s="40"/>
      <c r="P16" s="40"/>
      <c r="Q16" s="40"/>
      <c r="R16" s="40"/>
      <c r="S16" s="40"/>
      <c r="T16" s="40"/>
      <c r="U16" s="30"/>
    </row>
    <row r="17" spans="1:21" ht="15.75" customHeight="1">
      <c r="A17" s="23"/>
      <c r="B17" s="30"/>
      <c r="C17" s="30"/>
      <c r="D17" s="30"/>
      <c r="E17" s="32"/>
      <c r="F17" s="32"/>
      <c r="G17" s="30"/>
      <c r="H17" s="30"/>
      <c r="I17" s="30"/>
      <c r="J17" s="30"/>
      <c r="N17" s="40"/>
      <c r="O17" s="40"/>
      <c r="P17" s="40"/>
      <c r="Q17" s="40"/>
      <c r="R17" s="40"/>
      <c r="S17" s="40"/>
      <c r="T17" s="40"/>
      <c r="U17" s="30"/>
    </row>
    <row r="18" spans="1:21" ht="15.75" customHeight="1">
      <c r="A18" s="23"/>
      <c r="B18" s="30"/>
      <c r="C18" s="30"/>
      <c r="D18" s="30"/>
      <c r="E18" s="32"/>
      <c r="F18" s="32"/>
      <c r="G18" s="30"/>
      <c r="H18" s="30"/>
      <c r="I18" s="30"/>
      <c r="J18" s="30"/>
      <c r="N18" s="40"/>
      <c r="O18" s="40"/>
      <c r="P18" s="40"/>
      <c r="Q18" s="40"/>
      <c r="R18" s="40"/>
      <c r="S18" s="40"/>
      <c r="T18" s="40"/>
      <c r="U18" s="30"/>
    </row>
    <row r="19" spans="1:21" ht="15.75" customHeight="1">
      <c r="A19" s="23"/>
      <c r="B19" s="30"/>
      <c r="C19" s="30"/>
      <c r="D19" s="30"/>
      <c r="E19" s="30"/>
      <c r="F19" s="32"/>
      <c r="G19" s="30"/>
      <c r="H19" s="30"/>
      <c r="I19" s="30"/>
      <c r="J19" s="30"/>
      <c r="N19" s="40"/>
      <c r="O19" s="40"/>
      <c r="P19" s="40"/>
      <c r="Q19" s="40"/>
      <c r="R19" s="40"/>
      <c r="S19" s="40"/>
      <c r="T19" s="40"/>
      <c r="U19" s="30"/>
    </row>
    <row r="20" spans="1:21" ht="15.75" customHeight="1">
      <c r="A20" s="23"/>
      <c r="B20" s="30"/>
      <c r="C20" s="30"/>
      <c r="D20" s="32"/>
      <c r="E20" s="32"/>
      <c r="F20" s="30"/>
      <c r="G20" s="32"/>
      <c r="H20" s="32"/>
      <c r="I20" s="32"/>
      <c r="J20" s="30"/>
      <c r="N20" s="40"/>
      <c r="O20" s="40"/>
      <c r="P20" s="40"/>
      <c r="Q20" s="40"/>
      <c r="R20" s="40"/>
      <c r="S20" s="40"/>
      <c r="T20" s="40"/>
      <c r="U20" s="30"/>
    </row>
    <row r="21" spans="1:21" ht="15.75" customHeight="1">
      <c r="A21" s="23"/>
      <c r="B21" s="30"/>
      <c r="C21" s="30"/>
      <c r="D21" s="30"/>
      <c r="E21" s="32"/>
      <c r="F21" s="32"/>
      <c r="G21" s="30"/>
      <c r="H21" s="30"/>
      <c r="I21" s="30"/>
      <c r="J21" s="30"/>
      <c r="N21" s="40"/>
      <c r="O21" s="40"/>
      <c r="P21" s="40"/>
      <c r="Q21" s="40"/>
      <c r="R21" s="40"/>
      <c r="S21" s="40"/>
      <c r="T21" s="40"/>
      <c r="U21" s="30"/>
    </row>
    <row r="22" spans="1:21" ht="15.75" customHeight="1">
      <c r="A22" s="23"/>
      <c r="B22" s="30"/>
      <c r="C22" s="30"/>
      <c r="D22" s="30"/>
      <c r="E22" s="32"/>
      <c r="F22" s="32"/>
      <c r="G22" s="32"/>
      <c r="H22" s="30"/>
      <c r="I22" s="30"/>
      <c r="J22" s="32"/>
      <c r="N22" s="40"/>
      <c r="O22" s="40"/>
      <c r="P22" s="40"/>
      <c r="Q22" s="40"/>
      <c r="R22" s="40"/>
      <c r="S22" s="40"/>
      <c r="T22" s="40"/>
      <c r="U22" s="30"/>
    </row>
    <row r="23" spans="1:21" ht="15.75" customHeight="1">
      <c r="A23" s="23"/>
      <c r="B23" s="30"/>
      <c r="C23" s="30"/>
      <c r="D23" s="30"/>
      <c r="E23" s="32"/>
      <c r="F23" s="32"/>
      <c r="G23" s="30"/>
      <c r="H23" s="30"/>
      <c r="I23" s="30"/>
      <c r="J23" s="30"/>
      <c r="N23" s="40"/>
      <c r="O23" s="40"/>
      <c r="P23" s="40"/>
      <c r="Q23" s="40"/>
      <c r="R23" s="40"/>
      <c r="S23" s="40"/>
      <c r="T23" s="40"/>
      <c r="U23" s="30"/>
    </row>
    <row r="24" spans="1:21" ht="15.75" customHeight="1">
      <c r="A24" s="23"/>
      <c r="B24" s="30"/>
      <c r="C24" s="30"/>
      <c r="D24" s="30"/>
      <c r="E24" s="30"/>
      <c r="F24" s="32"/>
      <c r="G24" s="30"/>
      <c r="H24" s="30"/>
      <c r="I24" s="30"/>
      <c r="J24" s="30"/>
      <c r="N24" s="40"/>
      <c r="O24" s="40"/>
      <c r="P24" s="40"/>
      <c r="Q24" s="40"/>
      <c r="R24" s="40"/>
      <c r="S24" s="40"/>
      <c r="T24" s="40"/>
      <c r="U24" s="30"/>
    </row>
    <row r="25" spans="1:21" ht="15.75" customHeight="1">
      <c r="A25" s="23"/>
      <c r="B25" s="30"/>
      <c r="C25" s="30"/>
      <c r="D25" s="30"/>
      <c r="E25" s="30"/>
      <c r="F25" s="30"/>
      <c r="G25" s="30"/>
      <c r="H25" s="30"/>
      <c r="I25" s="30"/>
      <c r="J25" s="30"/>
      <c r="N25" s="40"/>
      <c r="O25" s="40"/>
      <c r="P25" s="40"/>
      <c r="Q25" s="40"/>
      <c r="R25" s="40"/>
      <c r="S25" s="40"/>
      <c r="T25" s="40"/>
      <c r="U25" s="30"/>
    </row>
    <row r="26" spans="1:21" ht="15.75" customHeight="1">
      <c r="A26" s="23"/>
      <c r="B26" s="30"/>
      <c r="C26" s="30"/>
      <c r="D26" s="30"/>
      <c r="E26" s="32"/>
      <c r="F26" s="32"/>
      <c r="G26" s="30"/>
      <c r="H26" s="30"/>
      <c r="I26" s="30"/>
      <c r="J26" s="30"/>
      <c r="N26" s="40"/>
      <c r="O26" s="40"/>
      <c r="P26" s="40"/>
      <c r="Q26" s="40"/>
      <c r="R26" s="40"/>
      <c r="S26" s="40"/>
      <c r="T26" s="40"/>
      <c r="U26" s="30"/>
    </row>
    <row r="27" spans="1:21" ht="15.75" customHeight="1">
      <c r="A27" s="23"/>
      <c r="B27" s="30"/>
      <c r="C27" s="30"/>
      <c r="D27" s="30"/>
      <c r="E27" s="30"/>
      <c r="F27" s="32"/>
      <c r="G27" s="30"/>
      <c r="H27" s="30"/>
      <c r="I27" s="30"/>
      <c r="J27" s="30"/>
      <c r="N27" s="40"/>
      <c r="O27" s="40"/>
      <c r="P27" s="40"/>
      <c r="Q27" s="40"/>
      <c r="R27" s="40"/>
      <c r="S27" s="40"/>
      <c r="T27" s="40"/>
      <c r="U27" s="30"/>
    </row>
    <row r="28" spans="1:21" ht="15.75" customHeight="1">
      <c r="A28" s="23"/>
      <c r="B28" s="30"/>
      <c r="C28" s="30"/>
      <c r="D28" s="30"/>
      <c r="E28" s="30"/>
      <c r="F28" s="32"/>
      <c r="G28" s="30"/>
      <c r="H28" s="30"/>
      <c r="I28" s="30"/>
      <c r="J28" s="30"/>
      <c r="N28" s="40"/>
      <c r="O28" s="40"/>
      <c r="P28" s="40"/>
      <c r="Q28" s="40"/>
      <c r="R28" s="40"/>
      <c r="S28" s="40"/>
      <c r="T28" s="40"/>
      <c r="U28" s="30"/>
    </row>
    <row r="29" spans="1:21" ht="15.75" customHeight="1">
      <c r="A29" s="23"/>
      <c r="B29" s="30"/>
      <c r="C29" s="30"/>
      <c r="D29" s="30"/>
      <c r="E29" s="30"/>
      <c r="F29" s="32"/>
      <c r="G29" s="30"/>
      <c r="H29" s="30"/>
      <c r="I29" s="30"/>
      <c r="J29" s="30"/>
      <c r="N29" s="40"/>
      <c r="O29" s="40"/>
      <c r="P29" s="40"/>
      <c r="Q29" s="40"/>
      <c r="R29" s="40"/>
      <c r="S29" s="40"/>
      <c r="T29" s="40"/>
      <c r="U29" s="30"/>
    </row>
    <row r="30" spans="1:21" ht="15.75" customHeight="1">
      <c r="A30" s="23"/>
      <c r="B30" s="30"/>
      <c r="C30" s="30"/>
      <c r="D30" s="30"/>
      <c r="E30" s="32"/>
      <c r="F30" s="32"/>
      <c r="G30" s="30"/>
      <c r="H30" s="30"/>
      <c r="I30" s="30"/>
      <c r="J30" s="30"/>
      <c r="N30" s="40"/>
      <c r="O30" s="40"/>
      <c r="P30" s="40"/>
      <c r="Q30" s="40"/>
      <c r="R30" s="40"/>
      <c r="S30" s="40"/>
      <c r="T30" s="40"/>
      <c r="U30" s="30"/>
    </row>
    <row r="31" spans="1:21" ht="15.75" customHeight="1">
      <c r="A31" s="23"/>
      <c r="B31" s="30"/>
      <c r="C31" s="30"/>
      <c r="D31" s="30"/>
      <c r="E31" s="30"/>
      <c r="F31" s="30"/>
      <c r="G31" s="30"/>
      <c r="H31" s="30"/>
      <c r="I31" s="30"/>
      <c r="J31" s="30"/>
      <c r="N31" s="40"/>
      <c r="O31" s="40"/>
      <c r="P31" s="40"/>
      <c r="Q31" s="40"/>
      <c r="R31" s="40"/>
      <c r="S31" s="40"/>
      <c r="T31" s="40"/>
      <c r="U31" s="30"/>
    </row>
    <row r="32" spans="1:21" ht="15.75" customHeight="1">
      <c r="A32" s="23"/>
      <c r="B32" s="30"/>
      <c r="C32" s="30"/>
      <c r="D32" s="30"/>
      <c r="E32" s="30"/>
      <c r="F32" s="32"/>
      <c r="G32" s="30"/>
      <c r="H32" s="30"/>
      <c r="I32" s="30"/>
      <c r="J32" s="30"/>
      <c r="N32" s="40"/>
      <c r="O32" s="40"/>
      <c r="P32" s="40"/>
      <c r="Q32" s="40"/>
      <c r="R32" s="40"/>
      <c r="S32" s="40"/>
      <c r="T32" s="40"/>
      <c r="U32" s="30"/>
    </row>
    <row r="33" spans="1:21" ht="15.75" customHeight="1">
      <c r="A33" s="23"/>
      <c r="B33" s="30"/>
      <c r="C33" s="30"/>
      <c r="D33" s="30"/>
      <c r="E33" s="32"/>
      <c r="F33" s="32"/>
      <c r="G33" s="30"/>
      <c r="H33" s="30"/>
      <c r="I33" s="30"/>
      <c r="J33" s="30"/>
      <c r="N33" s="40"/>
      <c r="O33" s="40"/>
      <c r="P33" s="40"/>
      <c r="Q33" s="40"/>
      <c r="R33" s="40"/>
      <c r="S33" s="40"/>
      <c r="T33" s="40"/>
      <c r="U33" s="30"/>
    </row>
    <row r="34" spans="1:21" ht="15.75" customHeight="1">
      <c r="A34" s="23"/>
      <c r="B34" s="30"/>
      <c r="C34" s="30"/>
      <c r="D34" s="30"/>
      <c r="E34" s="32"/>
      <c r="F34" s="32"/>
      <c r="G34" s="30"/>
      <c r="H34" s="30"/>
      <c r="I34" s="30"/>
      <c r="J34" s="30"/>
      <c r="N34" s="40"/>
      <c r="O34" s="40"/>
      <c r="P34" s="40"/>
      <c r="Q34" s="40"/>
      <c r="R34" s="40"/>
      <c r="S34" s="40"/>
      <c r="T34" s="40"/>
      <c r="U34" s="30"/>
    </row>
    <row r="35" spans="1:21" ht="15.75" customHeight="1">
      <c r="A35" s="23"/>
      <c r="B35" s="30"/>
      <c r="C35" s="30"/>
      <c r="D35" s="30"/>
      <c r="E35" s="32"/>
      <c r="F35" s="30"/>
      <c r="G35" s="30"/>
      <c r="H35" s="30"/>
      <c r="I35" s="30"/>
      <c r="J35" s="30"/>
      <c r="N35" s="40"/>
      <c r="O35" s="40"/>
      <c r="P35" s="40"/>
      <c r="Q35" s="40"/>
      <c r="R35" s="40"/>
      <c r="S35" s="40"/>
      <c r="T35" s="40"/>
      <c r="U35" s="30"/>
    </row>
    <row r="36" spans="1:21" ht="15.75" customHeight="1">
      <c r="A36" s="23"/>
      <c r="B36" s="30"/>
      <c r="C36" s="30"/>
      <c r="D36" s="30"/>
      <c r="E36" s="30"/>
      <c r="F36" s="30"/>
      <c r="G36" s="30"/>
      <c r="H36" s="30"/>
      <c r="I36" s="30"/>
      <c r="J36" s="30"/>
      <c r="N36" s="40"/>
      <c r="O36" s="40"/>
      <c r="P36" s="40"/>
      <c r="Q36" s="40"/>
      <c r="R36" s="40"/>
      <c r="S36" s="40"/>
      <c r="T36" s="40"/>
      <c r="U36" s="30"/>
    </row>
    <row r="37" spans="1:21" ht="15.75" customHeight="1">
      <c r="A37" s="23"/>
      <c r="B37" s="30"/>
      <c r="C37" s="30"/>
      <c r="D37" s="30"/>
      <c r="E37" s="30"/>
      <c r="F37" s="30"/>
      <c r="G37" s="30"/>
      <c r="H37" s="30"/>
      <c r="I37" s="30"/>
      <c r="J37" s="30"/>
      <c r="N37" s="40"/>
      <c r="O37" s="40"/>
      <c r="P37" s="40"/>
      <c r="Q37" s="40"/>
      <c r="R37" s="40"/>
      <c r="S37" s="40"/>
      <c r="T37" s="40"/>
      <c r="U37" s="30"/>
    </row>
    <row r="38" spans="1:21" ht="15.75" customHeight="1">
      <c r="A38" s="23"/>
      <c r="B38" s="30"/>
      <c r="C38" s="30"/>
      <c r="D38" s="32"/>
      <c r="E38" s="32"/>
      <c r="F38" s="32"/>
      <c r="G38" s="30"/>
      <c r="H38" s="32"/>
      <c r="I38" s="32"/>
      <c r="J38" s="30"/>
      <c r="N38" s="40"/>
      <c r="O38" s="40"/>
      <c r="P38" s="40"/>
      <c r="Q38" s="40"/>
      <c r="R38" s="40"/>
      <c r="S38" s="40"/>
      <c r="T38" s="40"/>
      <c r="U38" s="30"/>
    </row>
    <row r="39" spans="1:21" ht="15.75" customHeight="1">
      <c r="A39" s="23"/>
      <c r="B39" s="30"/>
      <c r="C39" s="30"/>
      <c r="D39" s="30"/>
      <c r="E39" s="30"/>
      <c r="F39" s="30"/>
      <c r="G39" s="30"/>
      <c r="H39" s="30"/>
      <c r="I39" s="30"/>
      <c r="J39" s="30"/>
      <c r="N39" s="40"/>
      <c r="O39" s="40"/>
      <c r="P39" s="40"/>
      <c r="Q39" s="40"/>
      <c r="R39" s="40"/>
      <c r="S39" s="40"/>
      <c r="T39" s="40"/>
      <c r="U39" s="30"/>
    </row>
    <row r="40" spans="1:21" ht="15.75" customHeight="1">
      <c r="A40" s="23"/>
      <c r="B40" s="30"/>
      <c r="C40" s="30"/>
      <c r="D40" s="32"/>
      <c r="E40" s="32"/>
      <c r="F40" s="32"/>
      <c r="G40" s="30"/>
      <c r="H40" s="32"/>
      <c r="I40" s="32"/>
      <c r="J40" s="30"/>
      <c r="N40" s="40"/>
      <c r="O40" s="40"/>
      <c r="P40" s="40"/>
      <c r="Q40" s="40"/>
      <c r="R40" s="40"/>
      <c r="S40" s="40"/>
      <c r="T40" s="40"/>
      <c r="U40" s="30"/>
    </row>
    <row r="41" spans="1:21" ht="15.75" customHeight="1">
      <c r="A41" s="23"/>
      <c r="B41" s="30"/>
      <c r="C41" s="30"/>
      <c r="D41" s="30"/>
      <c r="E41" s="30"/>
      <c r="F41" s="30"/>
      <c r="G41" s="30"/>
      <c r="H41" s="30"/>
      <c r="I41" s="30"/>
      <c r="J41" s="30"/>
      <c r="N41" s="40"/>
      <c r="O41" s="40"/>
      <c r="P41" s="40"/>
      <c r="Q41" s="40"/>
      <c r="R41" s="40"/>
      <c r="S41" s="40"/>
      <c r="T41" s="40"/>
      <c r="U41" s="30"/>
    </row>
    <row r="42" spans="1:21" ht="15.75" customHeight="1">
      <c r="A42" s="23"/>
      <c r="B42" s="30"/>
      <c r="C42" s="30"/>
      <c r="D42" s="30"/>
      <c r="E42" s="30"/>
      <c r="F42" s="30"/>
      <c r="G42" s="30"/>
      <c r="H42" s="30"/>
      <c r="I42" s="30"/>
      <c r="J42" s="30"/>
      <c r="N42" s="40"/>
      <c r="O42" s="40"/>
      <c r="P42" s="40"/>
      <c r="Q42" s="40"/>
      <c r="R42" s="40"/>
      <c r="S42" s="40"/>
      <c r="T42" s="40"/>
      <c r="U42" s="30"/>
    </row>
    <row r="43" spans="1:21" ht="15.75" customHeight="1">
      <c r="A43" s="23"/>
      <c r="B43" s="30"/>
      <c r="C43" s="30"/>
      <c r="D43" s="30"/>
      <c r="E43" s="30"/>
      <c r="F43" s="30"/>
      <c r="G43" s="30"/>
      <c r="H43" s="30"/>
      <c r="I43" s="30"/>
      <c r="J43" s="30"/>
      <c r="N43" s="40"/>
      <c r="O43" s="40"/>
      <c r="P43" s="40"/>
      <c r="Q43" s="40"/>
      <c r="R43" s="40"/>
      <c r="S43" s="40"/>
      <c r="T43" s="40"/>
      <c r="U43" s="30"/>
    </row>
    <row r="44" spans="1:21" ht="15.75" customHeight="1">
      <c r="A44" s="23"/>
      <c r="B44" s="30"/>
      <c r="C44" s="30"/>
      <c r="D44" s="30"/>
      <c r="E44" s="30"/>
      <c r="F44" s="30"/>
      <c r="G44" s="30"/>
      <c r="H44" s="30"/>
      <c r="I44" s="30"/>
      <c r="J44" s="30"/>
      <c r="N44" s="40"/>
      <c r="O44" s="40"/>
      <c r="P44" s="40"/>
      <c r="Q44" s="40"/>
      <c r="R44" s="40"/>
      <c r="S44" s="40"/>
      <c r="T44" s="40"/>
      <c r="U44" s="30"/>
    </row>
    <row r="45" spans="1:21" ht="15.75" customHeight="1">
      <c r="A45" s="23"/>
      <c r="B45" s="30"/>
      <c r="C45" s="30"/>
      <c r="D45" s="30"/>
      <c r="E45" s="30"/>
      <c r="F45" s="30"/>
      <c r="G45" s="30"/>
      <c r="H45" s="30"/>
      <c r="I45" s="30"/>
      <c r="J45" s="30"/>
      <c r="N45" s="40"/>
      <c r="O45" s="40"/>
      <c r="P45" s="40"/>
      <c r="Q45" s="40"/>
      <c r="R45" s="40"/>
      <c r="S45" s="40"/>
      <c r="T45" s="40"/>
      <c r="U45" s="30"/>
    </row>
    <row r="46" spans="1:21" ht="15.75" customHeight="1">
      <c r="A46" s="23"/>
      <c r="B46" s="30"/>
      <c r="C46" s="30"/>
      <c r="D46" s="30"/>
      <c r="E46" s="30"/>
      <c r="F46" s="30"/>
      <c r="G46" s="30"/>
      <c r="H46" s="30"/>
      <c r="I46" s="30"/>
      <c r="J46" s="30"/>
      <c r="N46" s="40"/>
      <c r="O46" s="40"/>
      <c r="P46" s="40"/>
      <c r="Q46" s="40"/>
      <c r="R46" s="40"/>
      <c r="S46" s="40"/>
      <c r="T46" s="40"/>
      <c r="U46" s="30"/>
    </row>
    <row r="47" spans="1:21" ht="15.75" customHeight="1">
      <c r="A47" s="23"/>
      <c r="B47" s="30"/>
      <c r="C47" s="30"/>
      <c r="D47" s="30"/>
      <c r="E47" s="30"/>
      <c r="F47" s="30"/>
      <c r="G47" s="30"/>
      <c r="H47" s="30"/>
      <c r="I47" s="30"/>
      <c r="J47" s="30"/>
      <c r="N47" s="40"/>
      <c r="O47" s="40"/>
      <c r="P47" s="40"/>
      <c r="Q47" s="40"/>
      <c r="R47" s="40"/>
      <c r="S47" s="40"/>
      <c r="T47" s="40"/>
      <c r="U47" s="30"/>
    </row>
    <row r="48" spans="1:21" ht="15.75" customHeight="1">
      <c r="A48" s="23"/>
      <c r="B48" s="30"/>
      <c r="C48" s="30"/>
      <c r="D48" s="30"/>
      <c r="E48" s="30"/>
      <c r="F48" s="30"/>
      <c r="G48" s="30"/>
      <c r="H48" s="30"/>
      <c r="I48" s="30"/>
      <c r="J48" s="30"/>
      <c r="N48" s="40"/>
      <c r="O48" s="40"/>
      <c r="P48" s="40"/>
      <c r="Q48" s="40"/>
      <c r="R48" s="40"/>
      <c r="S48" s="40"/>
      <c r="T48" s="40"/>
      <c r="U48" s="30"/>
    </row>
    <row r="49" spans="1:21" ht="15.75" customHeight="1">
      <c r="A49" s="23"/>
      <c r="B49" s="30"/>
      <c r="C49" s="30"/>
      <c r="D49" s="30"/>
      <c r="E49" s="30"/>
      <c r="F49" s="30"/>
      <c r="G49" s="30"/>
      <c r="H49" s="30"/>
      <c r="I49" s="30"/>
      <c r="J49" s="30"/>
      <c r="N49" s="40"/>
      <c r="O49" s="40"/>
      <c r="P49" s="40"/>
      <c r="Q49" s="40"/>
      <c r="R49" s="40"/>
      <c r="S49" s="40"/>
      <c r="T49" s="40"/>
      <c r="U49" s="30"/>
    </row>
    <row r="50" spans="1:21" ht="15.75" customHeight="1">
      <c r="A50" s="23"/>
      <c r="B50" s="30"/>
      <c r="C50" s="30"/>
      <c r="D50" s="30"/>
      <c r="E50" s="30"/>
      <c r="F50" s="30"/>
      <c r="G50" s="30"/>
      <c r="H50" s="30"/>
      <c r="I50" s="30"/>
      <c r="J50" s="30"/>
      <c r="N50" s="40"/>
      <c r="O50" s="40"/>
      <c r="P50" s="40"/>
      <c r="Q50" s="40"/>
      <c r="R50" s="40"/>
      <c r="S50" s="40"/>
      <c r="T50" s="40"/>
      <c r="U50" s="30"/>
    </row>
    <row r="51" spans="1:21" ht="15.75" customHeight="1">
      <c r="A51" s="23"/>
      <c r="B51" s="30"/>
      <c r="C51" s="30"/>
      <c r="D51" s="30"/>
      <c r="E51" s="30"/>
      <c r="F51" s="30"/>
      <c r="G51" s="30"/>
      <c r="H51" s="30"/>
      <c r="I51" s="30"/>
      <c r="J51" s="30"/>
      <c r="N51" s="40"/>
      <c r="O51" s="40"/>
      <c r="P51" s="40"/>
      <c r="Q51" s="40"/>
      <c r="R51" s="40"/>
      <c r="S51" s="40"/>
      <c r="T51" s="40"/>
      <c r="U51" s="30"/>
    </row>
    <row r="52" spans="1:21" ht="15.75" customHeight="1">
      <c r="A52" s="23"/>
      <c r="B52" s="30"/>
      <c r="C52" s="30"/>
      <c r="D52" s="30"/>
      <c r="E52" s="30"/>
      <c r="F52" s="30"/>
      <c r="G52" s="30"/>
      <c r="H52" s="30"/>
      <c r="I52" s="30"/>
      <c r="J52" s="30"/>
      <c r="N52" s="40"/>
      <c r="O52" s="40"/>
      <c r="P52" s="40"/>
      <c r="Q52" s="40"/>
      <c r="R52" s="40"/>
      <c r="S52" s="40"/>
      <c r="T52" s="40"/>
      <c r="U52" s="30"/>
    </row>
    <row r="53" spans="1:21" ht="15.75" customHeight="1">
      <c r="A53" s="23"/>
      <c r="B53" s="30"/>
      <c r="C53" s="30"/>
      <c r="D53" s="30"/>
      <c r="E53" s="30"/>
      <c r="F53" s="30"/>
      <c r="G53" s="30"/>
      <c r="H53" s="30"/>
      <c r="I53" s="30"/>
      <c r="J53" s="30"/>
      <c r="N53" s="40"/>
      <c r="O53" s="40"/>
      <c r="P53" s="40"/>
      <c r="Q53" s="40"/>
      <c r="R53" s="40"/>
      <c r="S53" s="40"/>
      <c r="T53" s="40"/>
      <c r="U53" s="30"/>
    </row>
    <row r="54" spans="1:21" ht="15.75" customHeight="1">
      <c r="A54" s="23"/>
      <c r="B54" s="30"/>
      <c r="C54" s="30"/>
      <c r="D54" s="30"/>
      <c r="E54" s="30"/>
      <c r="F54" s="30"/>
      <c r="G54" s="30"/>
      <c r="H54" s="30"/>
      <c r="I54" s="30"/>
      <c r="J54" s="30"/>
      <c r="N54" s="40"/>
      <c r="O54" s="40"/>
      <c r="P54" s="40"/>
      <c r="Q54" s="40"/>
      <c r="R54" s="40"/>
      <c r="S54" s="40"/>
      <c r="T54" s="40"/>
      <c r="U54" s="30"/>
    </row>
    <row r="55" spans="1:21" ht="15.75" customHeight="1">
      <c r="A55" s="23"/>
      <c r="B55" s="30"/>
      <c r="C55" s="30"/>
      <c r="D55" s="30"/>
      <c r="E55" s="30"/>
      <c r="F55" s="30"/>
      <c r="G55" s="30"/>
      <c r="H55" s="30"/>
      <c r="I55" s="30"/>
      <c r="J55" s="30"/>
      <c r="N55" s="40"/>
      <c r="O55" s="40"/>
      <c r="P55" s="40"/>
      <c r="Q55" s="40"/>
      <c r="R55" s="40"/>
      <c r="S55" s="40"/>
      <c r="T55" s="40"/>
      <c r="U55" s="30"/>
    </row>
    <row r="56" spans="1:21" ht="15.75" customHeight="1">
      <c r="A56" s="23"/>
      <c r="B56" s="30"/>
      <c r="C56" s="30"/>
      <c r="D56" s="30"/>
      <c r="E56" s="30"/>
      <c r="F56" s="30"/>
      <c r="G56" s="30"/>
      <c r="H56" s="30"/>
      <c r="I56" s="30"/>
      <c r="J56" s="30"/>
      <c r="N56" s="40"/>
      <c r="O56" s="40"/>
      <c r="P56" s="40"/>
      <c r="Q56" s="40"/>
      <c r="R56" s="40"/>
      <c r="S56" s="40"/>
      <c r="T56" s="40"/>
      <c r="U56" s="30"/>
    </row>
    <row r="57" spans="1:21" ht="15.75" customHeight="1">
      <c r="A57" s="23"/>
      <c r="B57" s="30"/>
      <c r="C57" s="30"/>
      <c r="D57" s="30"/>
      <c r="E57" s="30"/>
      <c r="F57" s="30"/>
      <c r="G57" s="30"/>
      <c r="H57" s="30"/>
      <c r="I57" s="30"/>
      <c r="J57" s="30"/>
      <c r="N57" s="40"/>
      <c r="O57" s="40"/>
      <c r="P57" s="40"/>
      <c r="Q57" s="40"/>
      <c r="R57" s="40"/>
      <c r="S57" s="40"/>
      <c r="T57" s="40"/>
      <c r="U57" s="30"/>
    </row>
    <row r="58" spans="1:21" ht="15.75" customHeight="1">
      <c r="A58" s="23"/>
      <c r="B58" s="30"/>
      <c r="C58" s="30"/>
      <c r="D58" s="30"/>
      <c r="E58" s="30"/>
      <c r="F58" s="30"/>
      <c r="G58" s="30"/>
      <c r="H58" s="30"/>
      <c r="I58" s="30"/>
      <c r="J58" s="30"/>
      <c r="N58" s="40"/>
      <c r="O58" s="40"/>
      <c r="P58" s="40"/>
      <c r="Q58" s="40"/>
      <c r="R58" s="40"/>
      <c r="S58" s="40"/>
      <c r="T58" s="40"/>
      <c r="U58" s="30"/>
    </row>
    <row r="59" spans="1:21" ht="15.75" customHeight="1">
      <c r="A59" s="23"/>
      <c r="B59" s="30"/>
      <c r="C59" s="30"/>
      <c r="D59" s="30"/>
      <c r="E59" s="30"/>
      <c r="F59" s="30"/>
      <c r="G59" s="30"/>
      <c r="H59" s="30"/>
      <c r="I59" s="30"/>
      <c r="J59" s="30"/>
      <c r="N59" s="40"/>
      <c r="O59" s="40"/>
      <c r="P59" s="40"/>
      <c r="Q59" s="40"/>
      <c r="R59" s="40"/>
      <c r="S59" s="40"/>
      <c r="T59" s="40"/>
      <c r="U59" s="30"/>
    </row>
    <row r="60" spans="1:21" ht="15.75" customHeight="1">
      <c r="A60" s="23"/>
      <c r="B60" s="30"/>
      <c r="C60" s="30"/>
      <c r="D60" s="30"/>
      <c r="E60" s="30"/>
      <c r="F60" s="30"/>
      <c r="G60" s="30"/>
      <c r="H60" s="30"/>
      <c r="I60" s="30"/>
      <c r="J60" s="30"/>
      <c r="N60" s="40"/>
      <c r="O60" s="40"/>
      <c r="P60" s="40"/>
      <c r="Q60" s="40"/>
      <c r="R60" s="40"/>
      <c r="S60" s="40"/>
      <c r="T60" s="40"/>
      <c r="U60" s="30"/>
    </row>
    <row r="61" spans="1:21" ht="15.75" customHeight="1">
      <c r="A61" s="23"/>
      <c r="B61" s="30"/>
      <c r="C61" s="30"/>
      <c r="D61" s="30"/>
      <c r="E61" s="30"/>
      <c r="F61" s="30"/>
      <c r="G61" s="30"/>
      <c r="H61" s="30"/>
      <c r="I61" s="30"/>
      <c r="J61" s="30"/>
      <c r="N61" s="40"/>
      <c r="O61" s="40"/>
      <c r="P61" s="40"/>
      <c r="Q61" s="40"/>
      <c r="R61" s="40"/>
      <c r="S61" s="40"/>
      <c r="T61" s="40"/>
      <c r="U61" s="30"/>
    </row>
    <row r="62" spans="1:21" ht="15.75" customHeight="1">
      <c r="A62" s="23"/>
      <c r="B62" s="30"/>
      <c r="C62" s="30"/>
      <c r="D62" s="30"/>
      <c r="E62" s="30"/>
      <c r="F62" s="30"/>
      <c r="G62" s="30"/>
      <c r="H62" s="30"/>
      <c r="I62" s="30"/>
      <c r="J62" s="30"/>
      <c r="N62" s="40"/>
      <c r="O62" s="40"/>
      <c r="P62" s="40"/>
      <c r="Q62" s="40"/>
      <c r="R62" s="40"/>
      <c r="S62" s="40"/>
      <c r="T62" s="40"/>
      <c r="U62" s="30"/>
    </row>
    <row r="63" spans="1:21" ht="15.75" customHeight="1">
      <c r="A63" s="23"/>
      <c r="B63" s="30"/>
      <c r="C63" s="30"/>
      <c r="D63" s="30"/>
      <c r="E63" s="30"/>
      <c r="F63" s="30"/>
      <c r="G63" s="30"/>
      <c r="H63" s="30"/>
      <c r="I63" s="30"/>
      <c r="J63" s="30"/>
      <c r="N63" s="40"/>
      <c r="O63" s="40"/>
      <c r="P63" s="40"/>
      <c r="Q63" s="40"/>
      <c r="R63" s="40"/>
      <c r="S63" s="40"/>
      <c r="T63" s="40"/>
      <c r="U63" s="30"/>
    </row>
    <row r="64" spans="1:21" ht="15.75" customHeight="1">
      <c r="A64" s="23"/>
      <c r="B64" s="30"/>
      <c r="C64" s="30"/>
      <c r="D64" s="30"/>
      <c r="E64" s="30"/>
      <c r="F64" s="30"/>
      <c r="G64" s="30"/>
      <c r="H64" s="30"/>
      <c r="I64" s="30"/>
      <c r="J64" s="30"/>
      <c r="N64" s="40"/>
      <c r="O64" s="40"/>
      <c r="P64" s="40"/>
      <c r="Q64" s="40"/>
      <c r="R64" s="40"/>
      <c r="S64" s="40"/>
      <c r="T64" s="40"/>
      <c r="U64" s="30"/>
    </row>
    <row r="65" spans="1:21" ht="15.75" customHeight="1">
      <c r="A65" s="23"/>
      <c r="B65" s="30"/>
      <c r="C65" s="30"/>
      <c r="D65" s="30"/>
      <c r="E65" s="30"/>
      <c r="F65" s="30"/>
      <c r="G65" s="30"/>
      <c r="H65" s="30"/>
      <c r="I65" s="30"/>
      <c r="J65" s="30"/>
      <c r="N65" s="40"/>
      <c r="O65" s="40"/>
      <c r="P65" s="40"/>
      <c r="Q65" s="40"/>
      <c r="R65" s="40"/>
      <c r="S65" s="40"/>
      <c r="T65" s="40"/>
      <c r="U65" s="30"/>
    </row>
    <row r="66" spans="1:21" ht="15.75" customHeight="1">
      <c r="A66" s="23"/>
      <c r="B66" s="30"/>
      <c r="C66" s="30"/>
      <c r="D66" s="30"/>
      <c r="E66" s="30"/>
      <c r="F66" s="30"/>
      <c r="G66" s="30"/>
      <c r="H66" s="30"/>
      <c r="I66" s="30"/>
      <c r="J66" s="30"/>
      <c r="N66" s="40"/>
      <c r="O66" s="40"/>
      <c r="P66" s="40"/>
      <c r="Q66" s="40"/>
      <c r="R66" s="40"/>
      <c r="S66" s="40"/>
      <c r="T66" s="40"/>
      <c r="U66" s="30"/>
    </row>
    <row r="67" spans="1:21" ht="15.75" customHeight="1">
      <c r="A67" s="23"/>
      <c r="B67" s="30"/>
      <c r="C67" s="30"/>
      <c r="D67" s="30"/>
      <c r="E67" s="30"/>
      <c r="F67" s="30"/>
      <c r="G67" s="30"/>
      <c r="H67" s="30"/>
      <c r="I67" s="30"/>
      <c r="J67" s="30"/>
      <c r="N67" s="40"/>
      <c r="O67" s="40"/>
      <c r="P67" s="40"/>
      <c r="Q67" s="40"/>
      <c r="R67" s="40"/>
      <c r="S67" s="40"/>
      <c r="T67" s="40"/>
      <c r="U67" s="30"/>
    </row>
    <row r="68" spans="1:21" ht="15.75" customHeight="1">
      <c r="A68" s="23"/>
      <c r="B68" s="30"/>
      <c r="C68" s="30"/>
      <c r="D68" s="30"/>
      <c r="E68" s="30"/>
      <c r="F68" s="30"/>
      <c r="G68" s="30"/>
      <c r="H68" s="30"/>
      <c r="I68" s="30"/>
      <c r="J68" s="30"/>
      <c r="N68" s="40"/>
      <c r="O68" s="40"/>
      <c r="P68" s="40"/>
      <c r="Q68" s="40"/>
      <c r="R68" s="40"/>
      <c r="S68" s="40"/>
      <c r="T68" s="40"/>
      <c r="U68" s="30"/>
    </row>
    <row r="69" spans="1:21" ht="15.75" customHeight="1">
      <c r="A69" s="23"/>
      <c r="B69" s="30"/>
      <c r="C69" s="30"/>
      <c r="D69" s="30"/>
      <c r="E69" s="30"/>
      <c r="F69" s="30"/>
      <c r="G69" s="30"/>
      <c r="H69" s="30"/>
      <c r="I69" s="30"/>
      <c r="J69" s="30"/>
      <c r="N69" s="40"/>
      <c r="O69" s="40"/>
      <c r="P69" s="40"/>
      <c r="Q69" s="40"/>
      <c r="R69" s="40"/>
      <c r="S69" s="40"/>
      <c r="T69" s="40"/>
      <c r="U69" s="30"/>
    </row>
    <row r="70" spans="1:21" ht="15.75" customHeight="1">
      <c r="A70" s="23"/>
      <c r="B70" s="30"/>
      <c r="C70" s="30"/>
      <c r="D70" s="30"/>
      <c r="E70" s="30"/>
      <c r="F70" s="30"/>
      <c r="G70" s="30"/>
      <c r="H70" s="30"/>
      <c r="I70" s="30"/>
      <c r="J70" s="30"/>
      <c r="N70" s="40"/>
      <c r="O70" s="40"/>
      <c r="P70" s="40"/>
      <c r="Q70" s="40"/>
      <c r="R70" s="40"/>
      <c r="S70" s="40"/>
      <c r="T70" s="40"/>
      <c r="U70" s="30"/>
    </row>
    <row r="71" spans="1:21" ht="15.75" customHeight="1">
      <c r="A71" s="23"/>
      <c r="B71" s="30"/>
      <c r="C71" s="30"/>
      <c r="D71" s="30"/>
      <c r="E71" s="30"/>
      <c r="F71" s="30"/>
      <c r="G71" s="30"/>
      <c r="H71" s="30"/>
      <c r="I71" s="30"/>
      <c r="J71" s="30"/>
      <c r="N71" s="40"/>
      <c r="O71" s="40"/>
      <c r="P71" s="40"/>
      <c r="Q71" s="40"/>
      <c r="R71" s="40"/>
      <c r="S71" s="40"/>
      <c r="T71" s="40"/>
      <c r="U71" s="30"/>
    </row>
    <row r="72" spans="1:21" ht="15.75" customHeight="1">
      <c r="A72" s="23"/>
      <c r="B72" s="30"/>
      <c r="C72" s="30"/>
      <c r="D72" s="30"/>
      <c r="E72" s="30"/>
      <c r="F72" s="30"/>
      <c r="G72" s="30"/>
      <c r="H72" s="30"/>
      <c r="I72" s="30"/>
      <c r="J72" s="30"/>
      <c r="N72" s="40"/>
      <c r="O72" s="40"/>
      <c r="P72" s="40"/>
      <c r="Q72" s="40"/>
      <c r="R72" s="40"/>
      <c r="S72" s="40"/>
      <c r="T72" s="40"/>
      <c r="U72" s="30"/>
    </row>
    <row r="73" spans="1:21" ht="15.75" customHeight="1">
      <c r="A73" s="23"/>
      <c r="B73" s="30"/>
      <c r="C73" s="30"/>
      <c r="D73" s="30"/>
      <c r="E73" s="30"/>
      <c r="F73" s="30"/>
      <c r="G73" s="30"/>
      <c r="H73" s="30"/>
      <c r="I73" s="30"/>
      <c r="J73" s="30"/>
      <c r="N73" s="40"/>
      <c r="O73" s="40"/>
      <c r="P73" s="40"/>
      <c r="Q73" s="40"/>
      <c r="R73" s="40"/>
      <c r="S73" s="40"/>
      <c r="T73" s="40"/>
      <c r="U73" s="30"/>
    </row>
    <row r="74" spans="1:21" ht="15.75" customHeight="1">
      <c r="A74" s="23"/>
      <c r="B74" s="30"/>
      <c r="C74" s="30"/>
      <c r="D74" s="30"/>
      <c r="E74" s="30"/>
      <c r="F74" s="30"/>
      <c r="G74" s="30"/>
      <c r="H74" s="30"/>
      <c r="I74" s="30"/>
      <c r="J74" s="30"/>
      <c r="N74" s="40"/>
      <c r="O74" s="40"/>
      <c r="P74" s="40"/>
      <c r="Q74" s="40"/>
      <c r="R74" s="40"/>
      <c r="S74" s="40"/>
      <c r="T74" s="40"/>
      <c r="U74" s="30"/>
    </row>
    <row r="75" spans="1:21" ht="15.75" customHeight="1">
      <c r="A75" s="23"/>
      <c r="B75" s="30"/>
      <c r="C75" s="30"/>
      <c r="D75" s="30"/>
      <c r="E75" s="30"/>
      <c r="F75" s="30"/>
      <c r="G75" s="30"/>
      <c r="H75" s="30"/>
      <c r="I75" s="30"/>
      <c r="J75" s="30"/>
      <c r="N75" s="40"/>
      <c r="O75" s="40"/>
      <c r="P75" s="40"/>
      <c r="Q75" s="40"/>
      <c r="R75" s="40"/>
      <c r="S75" s="40"/>
      <c r="T75" s="40"/>
      <c r="U75" s="30"/>
    </row>
    <row r="76" spans="1:21" ht="15.75" customHeight="1">
      <c r="A76" s="23"/>
      <c r="B76" s="30"/>
      <c r="C76" s="30"/>
      <c r="D76" s="30"/>
      <c r="E76" s="30"/>
      <c r="F76" s="30"/>
      <c r="G76" s="30"/>
      <c r="H76" s="30"/>
      <c r="I76" s="30"/>
      <c r="J76" s="30"/>
      <c r="N76" s="40"/>
      <c r="O76" s="40"/>
      <c r="P76" s="40"/>
      <c r="Q76" s="40"/>
      <c r="R76" s="40"/>
      <c r="S76" s="40"/>
      <c r="T76" s="40"/>
      <c r="U76" s="30"/>
    </row>
    <row r="77" spans="1:21" ht="15.75" customHeight="1">
      <c r="A77" s="23"/>
      <c r="B77" s="30"/>
      <c r="C77" s="30"/>
      <c r="D77" s="30"/>
      <c r="E77" s="30"/>
      <c r="F77" s="30"/>
      <c r="G77" s="30"/>
      <c r="H77" s="30"/>
      <c r="I77" s="30"/>
      <c r="J77" s="30"/>
      <c r="N77" s="40"/>
      <c r="O77" s="40"/>
      <c r="P77" s="40"/>
      <c r="Q77" s="40"/>
      <c r="R77" s="40"/>
      <c r="S77" s="40"/>
      <c r="T77" s="40"/>
      <c r="U77" s="30"/>
    </row>
    <row r="78" spans="1:21" ht="15.75" customHeight="1">
      <c r="A78" s="23"/>
      <c r="B78" s="30"/>
      <c r="C78" s="30"/>
      <c r="D78" s="30"/>
      <c r="E78" s="30"/>
      <c r="F78" s="30"/>
      <c r="G78" s="30"/>
      <c r="H78" s="30"/>
      <c r="I78" s="30"/>
      <c r="J78" s="30"/>
      <c r="N78" s="40"/>
      <c r="O78" s="40"/>
      <c r="P78" s="40"/>
      <c r="Q78" s="40"/>
      <c r="R78" s="40"/>
      <c r="S78" s="40"/>
      <c r="T78" s="40"/>
      <c r="U78" s="30"/>
    </row>
    <row r="79" spans="1:21" ht="15.75" customHeight="1">
      <c r="A79" s="23"/>
      <c r="B79" s="30"/>
      <c r="C79" s="30"/>
      <c r="D79" s="30"/>
      <c r="E79" s="30"/>
      <c r="F79" s="30"/>
      <c r="G79" s="30"/>
      <c r="H79" s="30"/>
      <c r="I79" s="30"/>
      <c r="J79" s="30"/>
      <c r="N79" s="40"/>
      <c r="O79" s="40"/>
      <c r="P79" s="40"/>
      <c r="Q79" s="40"/>
      <c r="R79" s="40"/>
      <c r="S79" s="40"/>
      <c r="T79" s="40"/>
      <c r="U79" s="30"/>
    </row>
    <row r="80" spans="1:21" ht="15.75" customHeight="1">
      <c r="A80" s="23"/>
      <c r="B80" s="30"/>
      <c r="C80" s="30"/>
      <c r="D80" s="30"/>
      <c r="E80" s="30"/>
      <c r="F80" s="30"/>
      <c r="G80" s="30"/>
      <c r="H80" s="30"/>
      <c r="I80" s="30"/>
      <c r="J80" s="30"/>
      <c r="N80" s="40"/>
      <c r="O80" s="40"/>
      <c r="P80" s="40"/>
      <c r="Q80" s="40"/>
      <c r="R80" s="40"/>
      <c r="S80" s="40"/>
      <c r="T80" s="40"/>
      <c r="U80" s="30"/>
    </row>
    <row r="81" spans="1:21" ht="15.75" customHeight="1">
      <c r="A81" s="23"/>
      <c r="B81" s="30"/>
      <c r="C81" s="30"/>
      <c r="D81" s="30"/>
      <c r="E81" s="30"/>
      <c r="F81" s="30"/>
      <c r="G81" s="30"/>
      <c r="H81" s="30"/>
      <c r="I81" s="30"/>
      <c r="J81" s="30"/>
      <c r="N81" s="40"/>
      <c r="O81" s="40"/>
      <c r="P81" s="40"/>
      <c r="Q81" s="40"/>
      <c r="R81" s="40"/>
      <c r="S81" s="40"/>
      <c r="T81" s="40"/>
      <c r="U81" s="30"/>
    </row>
    <row r="82" spans="1:21" ht="15.75" customHeight="1">
      <c r="A82" s="23"/>
      <c r="B82" s="30"/>
      <c r="C82" s="30"/>
      <c r="D82" s="30"/>
      <c r="E82" s="30"/>
      <c r="F82" s="30"/>
      <c r="G82" s="30"/>
      <c r="H82" s="30"/>
      <c r="I82" s="30"/>
      <c r="J82" s="30"/>
      <c r="N82" s="40"/>
      <c r="O82" s="40"/>
      <c r="P82" s="40"/>
      <c r="Q82" s="40"/>
      <c r="R82" s="40"/>
      <c r="S82" s="40"/>
      <c r="T82" s="40"/>
      <c r="U82" s="30"/>
    </row>
    <row r="83" spans="1:21" ht="15.75" customHeight="1">
      <c r="A83" s="23"/>
      <c r="B83" s="30"/>
      <c r="C83" s="30"/>
      <c r="D83" s="30"/>
      <c r="E83" s="30"/>
      <c r="F83" s="30"/>
      <c r="G83" s="30"/>
      <c r="H83" s="30"/>
      <c r="I83" s="30"/>
      <c r="J83" s="30"/>
      <c r="N83" s="40"/>
      <c r="O83" s="40"/>
      <c r="P83" s="40"/>
      <c r="Q83" s="40"/>
      <c r="R83" s="40"/>
      <c r="S83" s="40"/>
      <c r="T83" s="40"/>
      <c r="U83" s="30"/>
    </row>
    <row r="84" spans="1:21" ht="15.75" customHeight="1">
      <c r="A84" s="23"/>
      <c r="B84" s="30"/>
      <c r="C84" s="30"/>
      <c r="D84" s="30"/>
      <c r="E84" s="30"/>
      <c r="F84" s="30"/>
      <c r="G84" s="30"/>
      <c r="H84" s="30"/>
      <c r="I84" s="30"/>
      <c r="J84" s="30"/>
      <c r="N84" s="40"/>
      <c r="O84" s="40"/>
      <c r="P84" s="40"/>
      <c r="Q84" s="40"/>
      <c r="R84" s="40"/>
      <c r="S84" s="40"/>
      <c r="T84" s="40"/>
      <c r="U84" s="30"/>
    </row>
    <row r="85" spans="1:21" ht="15.75" customHeight="1">
      <c r="A85" s="23"/>
      <c r="B85" s="30"/>
      <c r="C85" s="30"/>
      <c r="D85" s="30"/>
      <c r="E85" s="30"/>
      <c r="F85" s="30"/>
      <c r="G85" s="30"/>
      <c r="H85" s="30"/>
      <c r="I85" s="30"/>
      <c r="J85" s="30"/>
      <c r="N85" s="40"/>
      <c r="O85" s="40"/>
      <c r="P85" s="40"/>
      <c r="Q85" s="40"/>
      <c r="R85" s="40"/>
      <c r="S85" s="40"/>
      <c r="T85" s="40"/>
      <c r="U85" s="30"/>
    </row>
    <row r="86" spans="1:21" ht="15.75" customHeight="1">
      <c r="A86" s="23"/>
      <c r="B86" s="30"/>
      <c r="C86" s="30"/>
      <c r="D86" s="30"/>
      <c r="E86" s="30"/>
      <c r="F86" s="30"/>
      <c r="G86" s="30"/>
      <c r="H86" s="30"/>
      <c r="I86" s="30"/>
      <c r="J86" s="30"/>
      <c r="N86" s="40"/>
      <c r="O86" s="40"/>
      <c r="P86" s="40"/>
      <c r="Q86" s="40"/>
      <c r="R86" s="40"/>
      <c r="S86" s="40"/>
      <c r="T86" s="40"/>
      <c r="U86" s="30"/>
    </row>
    <row r="87" spans="1:21" ht="15.75" customHeight="1">
      <c r="A87" s="23"/>
      <c r="B87" s="30"/>
      <c r="C87" s="30"/>
      <c r="D87" s="30"/>
      <c r="E87" s="30"/>
      <c r="F87" s="30"/>
      <c r="G87" s="30"/>
      <c r="H87" s="30"/>
      <c r="I87" s="30"/>
      <c r="J87" s="30"/>
      <c r="N87" s="40"/>
      <c r="O87" s="40"/>
      <c r="P87" s="40"/>
      <c r="Q87" s="40"/>
      <c r="R87" s="40"/>
      <c r="S87" s="40"/>
      <c r="T87" s="40"/>
      <c r="U87" s="30"/>
    </row>
    <row r="88" spans="1:21" ht="15.75" customHeight="1">
      <c r="A88" s="23"/>
      <c r="B88" s="30"/>
      <c r="C88" s="30"/>
      <c r="D88" s="30"/>
      <c r="E88" s="30"/>
      <c r="F88" s="30"/>
      <c r="G88" s="30"/>
      <c r="H88" s="30"/>
      <c r="I88" s="30"/>
      <c r="J88" s="30"/>
      <c r="N88" s="40"/>
      <c r="O88" s="40"/>
      <c r="P88" s="40"/>
      <c r="Q88" s="40"/>
      <c r="R88" s="40"/>
      <c r="S88" s="40"/>
      <c r="T88" s="40"/>
      <c r="U88" s="30"/>
    </row>
    <row r="89" spans="1:21" ht="15.75" customHeight="1">
      <c r="A89" s="23"/>
      <c r="B89" s="30"/>
      <c r="C89" s="30"/>
      <c r="D89" s="30"/>
      <c r="E89" s="30"/>
      <c r="F89" s="30"/>
      <c r="G89" s="30"/>
      <c r="H89" s="30"/>
      <c r="I89" s="30"/>
      <c r="J89" s="30"/>
      <c r="N89" s="40"/>
      <c r="O89" s="40"/>
      <c r="P89" s="40"/>
      <c r="Q89" s="40"/>
      <c r="R89" s="40"/>
      <c r="S89" s="40"/>
      <c r="T89" s="40"/>
      <c r="U89" s="30"/>
    </row>
    <row r="90" spans="1:21" ht="15.75" customHeight="1">
      <c r="A90" s="23"/>
      <c r="B90" s="30"/>
      <c r="C90" s="30"/>
      <c r="D90" s="30"/>
      <c r="E90" s="30"/>
      <c r="F90" s="30"/>
      <c r="G90" s="30"/>
      <c r="H90" s="30"/>
      <c r="I90" s="30"/>
      <c r="J90" s="30"/>
      <c r="N90" s="40"/>
      <c r="O90" s="40"/>
      <c r="P90" s="40"/>
      <c r="Q90" s="40"/>
      <c r="R90" s="40"/>
      <c r="S90" s="40"/>
      <c r="T90" s="40"/>
      <c r="U90" s="30"/>
    </row>
    <row r="91" spans="1:21" ht="15.75" customHeight="1">
      <c r="A91" s="23"/>
      <c r="B91" s="30"/>
      <c r="C91" s="30"/>
      <c r="D91" s="30"/>
      <c r="E91" s="30"/>
      <c r="F91" s="30"/>
      <c r="G91" s="30"/>
      <c r="H91" s="30"/>
      <c r="I91" s="30"/>
      <c r="J91" s="30"/>
      <c r="N91" s="40"/>
      <c r="O91" s="40"/>
      <c r="P91" s="40"/>
      <c r="Q91" s="40"/>
      <c r="R91" s="40"/>
      <c r="S91" s="40"/>
      <c r="T91" s="40"/>
      <c r="U91" s="30"/>
    </row>
    <row r="92" spans="1:21" ht="15.75" customHeight="1">
      <c r="A92" s="23"/>
      <c r="B92" s="30"/>
      <c r="C92" s="30"/>
      <c r="D92" s="30"/>
      <c r="E92" s="30"/>
      <c r="F92" s="30"/>
      <c r="G92" s="30"/>
      <c r="H92" s="30"/>
      <c r="I92" s="30"/>
      <c r="J92" s="30"/>
      <c r="N92" s="40"/>
      <c r="O92" s="40"/>
      <c r="P92" s="40"/>
      <c r="Q92" s="40"/>
      <c r="R92" s="40"/>
      <c r="S92" s="40"/>
      <c r="T92" s="40"/>
      <c r="U92" s="30"/>
    </row>
    <row r="93" spans="1:21" ht="15.75" customHeight="1">
      <c r="A93" s="23"/>
      <c r="B93" s="30"/>
      <c r="C93" s="30"/>
      <c r="D93" s="30"/>
      <c r="E93" s="30"/>
      <c r="F93" s="30"/>
      <c r="G93" s="30"/>
      <c r="H93" s="30"/>
      <c r="I93" s="30"/>
      <c r="J93" s="30"/>
      <c r="N93" s="40"/>
      <c r="O93" s="40"/>
      <c r="P93" s="40"/>
      <c r="Q93" s="40"/>
      <c r="R93" s="40"/>
      <c r="S93" s="40"/>
      <c r="T93" s="40"/>
      <c r="U93" s="30"/>
    </row>
    <row r="94" spans="1:21" ht="15.75" customHeight="1">
      <c r="A94" s="23"/>
      <c r="B94" s="30"/>
      <c r="C94" s="30"/>
      <c r="D94" s="30"/>
      <c r="E94" s="30"/>
      <c r="F94" s="30"/>
      <c r="G94" s="30"/>
      <c r="H94" s="30"/>
      <c r="I94" s="30"/>
      <c r="J94" s="30"/>
      <c r="N94" s="40"/>
      <c r="O94" s="40"/>
      <c r="P94" s="40"/>
      <c r="Q94" s="40"/>
      <c r="R94" s="40"/>
      <c r="S94" s="40"/>
      <c r="T94" s="40"/>
      <c r="U94" s="30"/>
    </row>
    <row r="95" spans="1:21" ht="15.75" customHeight="1">
      <c r="A95" s="23"/>
      <c r="B95" s="30"/>
      <c r="C95" s="30"/>
      <c r="D95" s="30"/>
      <c r="E95" s="30"/>
      <c r="F95" s="30"/>
      <c r="G95" s="30"/>
      <c r="H95" s="30"/>
      <c r="I95" s="30"/>
      <c r="J95" s="30"/>
      <c r="N95" s="40"/>
      <c r="O95" s="40"/>
      <c r="P95" s="40"/>
      <c r="Q95" s="40"/>
      <c r="R95" s="40"/>
      <c r="S95" s="40"/>
      <c r="T95" s="40"/>
      <c r="U95" s="30"/>
    </row>
    <row r="96" spans="1:21" ht="15.75" customHeight="1">
      <c r="A96" s="23"/>
      <c r="B96" s="30"/>
      <c r="C96" s="30"/>
      <c r="D96" s="30"/>
      <c r="E96" s="30"/>
      <c r="F96" s="30"/>
      <c r="G96" s="30"/>
      <c r="H96" s="30"/>
      <c r="I96" s="30"/>
      <c r="J96" s="30"/>
      <c r="N96" s="40"/>
      <c r="O96" s="40"/>
      <c r="P96" s="40"/>
      <c r="Q96" s="40"/>
      <c r="R96" s="40"/>
      <c r="S96" s="40"/>
      <c r="T96" s="40"/>
      <c r="U96" s="30"/>
    </row>
    <row r="97" spans="1:21" ht="15.75" customHeight="1">
      <c r="A97" s="23"/>
      <c r="B97" s="30"/>
      <c r="C97" s="30"/>
      <c r="D97" s="30"/>
      <c r="E97" s="30"/>
      <c r="F97" s="30"/>
      <c r="G97" s="30"/>
      <c r="H97" s="30"/>
      <c r="I97" s="30"/>
      <c r="J97" s="30"/>
      <c r="N97" s="40"/>
      <c r="O97" s="40"/>
      <c r="P97" s="40"/>
      <c r="Q97" s="40"/>
      <c r="R97" s="40"/>
      <c r="S97" s="40"/>
      <c r="T97" s="40"/>
      <c r="U97" s="30"/>
    </row>
    <row r="98" spans="1:21" ht="15.75" customHeight="1">
      <c r="A98" s="23"/>
      <c r="B98" s="30"/>
      <c r="C98" s="30"/>
      <c r="D98" s="30"/>
      <c r="E98" s="30"/>
      <c r="F98" s="30"/>
      <c r="G98" s="30"/>
      <c r="H98" s="30"/>
      <c r="I98" s="30"/>
      <c r="J98" s="30"/>
      <c r="N98" s="40"/>
      <c r="O98" s="40"/>
      <c r="P98" s="40"/>
      <c r="Q98" s="40"/>
      <c r="R98" s="40"/>
      <c r="S98" s="40"/>
      <c r="T98" s="40"/>
      <c r="U98" s="30"/>
    </row>
    <row r="99" spans="1:21" ht="15.75" customHeight="1">
      <c r="A99" s="23"/>
      <c r="B99" s="30"/>
      <c r="C99" s="30"/>
      <c r="D99" s="30"/>
      <c r="E99" s="30"/>
      <c r="F99" s="30"/>
      <c r="G99" s="30"/>
      <c r="H99" s="30"/>
      <c r="I99" s="30"/>
      <c r="J99" s="30"/>
      <c r="N99" s="40"/>
      <c r="O99" s="40"/>
      <c r="P99" s="40"/>
      <c r="Q99" s="40"/>
      <c r="R99" s="40"/>
      <c r="S99" s="40"/>
      <c r="T99" s="40"/>
      <c r="U99" s="30"/>
    </row>
    <row r="100" spans="1:21" ht="15.75" customHeight="1">
      <c r="A100" s="23"/>
      <c r="B100" s="30"/>
      <c r="C100" s="30"/>
      <c r="D100" s="30"/>
      <c r="E100" s="30"/>
      <c r="F100" s="30"/>
      <c r="G100" s="30"/>
      <c r="H100" s="30"/>
      <c r="I100" s="30"/>
      <c r="J100" s="30"/>
      <c r="N100" s="40"/>
      <c r="O100" s="40"/>
      <c r="P100" s="40"/>
      <c r="Q100" s="40"/>
      <c r="R100" s="40"/>
      <c r="S100" s="40"/>
      <c r="T100" s="40"/>
      <c r="U100" s="30"/>
    </row>
    <row r="101" spans="1:21" ht="15.75" customHeight="1">
      <c r="A101" s="23"/>
      <c r="B101" s="30"/>
      <c r="C101" s="30"/>
      <c r="D101" s="30"/>
      <c r="E101" s="30"/>
      <c r="F101" s="30"/>
      <c r="G101" s="30"/>
      <c r="H101" s="30"/>
      <c r="I101" s="30"/>
      <c r="J101" s="30"/>
      <c r="N101" s="40"/>
      <c r="O101" s="40"/>
      <c r="P101" s="40"/>
      <c r="Q101" s="40"/>
      <c r="R101" s="40"/>
      <c r="S101" s="40"/>
      <c r="T101" s="40"/>
      <c r="U101" s="30"/>
    </row>
    <row r="102" spans="1:21" ht="15.75" customHeight="1">
      <c r="A102" s="23"/>
      <c r="B102" s="30"/>
      <c r="C102" s="30"/>
      <c r="D102" s="30"/>
      <c r="E102" s="30"/>
      <c r="F102" s="30"/>
      <c r="G102" s="30"/>
      <c r="H102" s="30"/>
      <c r="I102" s="30"/>
      <c r="J102" s="30"/>
      <c r="N102" s="40"/>
      <c r="O102" s="40"/>
      <c r="P102" s="40"/>
      <c r="Q102" s="40"/>
      <c r="R102" s="40"/>
      <c r="S102" s="40"/>
      <c r="T102" s="40"/>
      <c r="U102" s="30"/>
    </row>
    <row r="103" spans="1:21" ht="15.75" customHeight="1">
      <c r="A103" s="23"/>
      <c r="B103" s="30"/>
      <c r="C103" s="30"/>
      <c r="D103" s="30"/>
      <c r="E103" s="30"/>
      <c r="F103" s="30"/>
      <c r="G103" s="30"/>
      <c r="H103" s="30"/>
      <c r="I103" s="30"/>
      <c r="J103" s="30"/>
      <c r="N103" s="40"/>
      <c r="O103" s="40"/>
      <c r="P103" s="40"/>
      <c r="Q103" s="40"/>
      <c r="R103" s="40"/>
      <c r="S103" s="40"/>
      <c r="T103" s="40"/>
      <c r="U103" s="30"/>
    </row>
    <row r="104" spans="1:21" ht="15.75" customHeight="1">
      <c r="A104" s="23"/>
      <c r="B104" s="30"/>
      <c r="C104" s="30"/>
      <c r="D104" s="30"/>
      <c r="E104" s="30"/>
      <c r="F104" s="30"/>
      <c r="G104" s="30"/>
      <c r="H104" s="30"/>
      <c r="I104" s="30"/>
      <c r="J104" s="30"/>
      <c r="N104" s="40"/>
      <c r="O104" s="40"/>
      <c r="P104" s="40"/>
      <c r="Q104" s="40"/>
      <c r="R104" s="40"/>
      <c r="S104" s="40"/>
      <c r="T104" s="40"/>
      <c r="U104" s="30"/>
    </row>
    <row r="105" spans="1:21" ht="15.75" customHeight="1">
      <c r="A105" s="23"/>
      <c r="B105" s="30"/>
      <c r="C105" s="30"/>
      <c r="D105" s="30"/>
      <c r="E105" s="30"/>
      <c r="F105" s="30"/>
      <c r="G105" s="30"/>
      <c r="H105" s="30"/>
      <c r="I105" s="30"/>
      <c r="J105" s="30"/>
      <c r="N105" s="40"/>
      <c r="O105" s="40"/>
      <c r="P105" s="40"/>
      <c r="Q105" s="40"/>
      <c r="R105" s="40"/>
      <c r="S105" s="40"/>
      <c r="T105" s="40"/>
      <c r="U105" s="30"/>
    </row>
    <row r="106" spans="1:21" ht="15.75" customHeight="1">
      <c r="A106" s="23"/>
      <c r="B106" s="30"/>
      <c r="C106" s="30"/>
      <c r="D106" s="30"/>
      <c r="E106" s="30"/>
      <c r="F106" s="30"/>
      <c r="G106" s="30"/>
      <c r="H106" s="30"/>
      <c r="I106" s="30"/>
      <c r="J106" s="30"/>
      <c r="N106" s="40"/>
      <c r="O106" s="40"/>
      <c r="P106" s="40"/>
      <c r="Q106" s="40"/>
      <c r="R106" s="40"/>
      <c r="S106" s="40"/>
      <c r="T106" s="40"/>
      <c r="U106" s="30"/>
    </row>
    <row r="107" spans="1:21" ht="15.75" customHeight="1">
      <c r="A107" s="23"/>
      <c r="B107" s="30"/>
      <c r="C107" s="30"/>
      <c r="D107" s="30"/>
      <c r="E107" s="30"/>
      <c r="F107" s="30"/>
      <c r="G107" s="30"/>
      <c r="H107" s="30"/>
      <c r="I107" s="30"/>
      <c r="J107" s="30"/>
      <c r="N107" s="40"/>
      <c r="O107" s="40"/>
      <c r="P107" s="40"/>
      <c r="Q107" s="40"/>
      <c r="R107" s="40"/>
      <c r="S107" s="40"/>
      <c r="T107" s="40"/>
      <c r="U107" s="30"/>
    </row>
    <row r="108" spans="1:21" ht="15.75" customHeight="1">
      <c r="A108" s="23"/>
      <c r="B108" s="30"/>
      <c r="C108" s="30"/>
      <c r="D108" s="30"/>
      <c r="E108" s="30"/>
      <c r="F108" s="30"/>
      <c r="G108" s="30"/>
      <c r="H108" s="30"/>
      <c r="I108" s="30"/>
      <c r="J108" s="30"/>
      <c r="N108" s="40"/>
      <c r="O108" s="40"/>
      <c r="P108" s="40"/>
      <c r="Q108" s="40"/>
      <c r="R108" s="40"/>
      <c r="S108" s="40"/>
      <c r="T108" s="40"/>
      <c r="U108" s="30"/>
    </row>
    <row r="109" spans="1:21" ht="15.75" customHeight="1">
      <c r="A109" s="23"/>
      <c r="B109" s="30"/>
      <c r="C109" s="30"/>
      <c r="D109" s="30"/>
      <c r="E109" s="30"/>
      <c r="F109" s="30"/>
      <c r="G109" s="30"/>
      <c r="H109" s="30"/>
      <c r="I109" s="30"/>
      <c r="J109" s="30"/>
      <c r="N109" s="40"/>
      <c r="O109" s="40"/>
      <c r="P109" s="40"/>
      <c r="Q109" s="40"/>
      <c r="R109" s="40"/>
      <c r="S109" s="40"/>
      <c r="T109" s="40"/>
      <c r="U109" s="30"/>
    </row>
    <row r="110" spans="1:21" ht="15.75" customHeight="1">
      <c r="A110" s="23"/>
      <c r="B110" s="30"/>
      <c r="C110" s="30"/>
      <c r="D110" s="30"/>
      <c r="E110" s="30"/>
      <c r="F110" s="30"/>
      <c r="G110" s="30"/>
      <c r="H110" s="30"/>
      <c r="I110" s="30"/>
      <c r="J110" s="30"/>
      <c r="N110" s="40"/>
      <c r="O110" s="40"/>
      <c r="P110" s="40"/>
      <c r="Q110" s="40"/>
      <c r="R110" s="40"/>
      <c r="S110" s="40"/>
      <c r="T110" s="40"/>
      <c r="U110" s="30"/>
    </row>
    <row r="111" spans="1:21" ht="15.75" customHeight="1">
      <c r="A111" s="23"/>
      <c r="B111" s="30"/>
      <c r="C111" s="30"/>
      <c r="D111" s="30"/>
      <c r="E111" s="30"/>
      <c r="F111" s="30"/>
      <c r="G111" s="30"/>
      <c r="H111" s="30"/>
      <c r="I111" s="30"/>
      <c r="J111" s="30"/>
      <c r="N111" s="40"/>
      <c r="O111" s="40"/>
      <c r="P111" s="40"/>
      <c r="Q111" s="40"/>
      <c r="R111" s="40"/>
      <c r="S111" s="40"/>
      <c r="T111" s="40"/>
      <c r="U111" s="30"/>
    </row>
    <row r="112" spans="1:21" ht="15.75" customHeight="1">
      <c r="A112" s="23"/>
      <c r="B112" s="30"/>
      <c r="C112" s="30"/>
      <c r="D112" s="30"/>
      <c r="E112" s="30"/>
      <c r="F112" s="30"/>
      <c r="G112" s="30"/>
      <c r="H112" s="30"/>
      <c r="I112" s="30"/>
      <c r="J112" s="30"/>
      <c r="N112" s="40"/>
      <c r="O112" s="40"/>
      <c r="P112" s="40"/>
      <c r="Q112" s="40"/>
      <c r="R112" s="40"/>
      <c r="S112" s="40"/>
      <c r="T112" s="40"/>
      <c r="U112" s="30"/>
    </row>
    <row r="113" spans="1:21" ht="15.75" customHeight="1">
      <c r="A113" s="23"/>
      <c r="B113" s="30"/>
      <c r="C113" s="30"/>
      <c r="D113" s="30"/>
      <c r="E113" s="30"/>
      <c r="F113" s="30"/>
      <c r="G113" s="30"/>
      <c r="H113" s="30"/>
      <c r="I113" s="30"/>
      <c r="J113" s="30"/>
      <c r="N113" s="40"/>
      <c r="O113" s="40"/>
      <c r="P113" s="40"/>
      <c r="Q113" s="40"/>
      <c r="R113" s="40"/>
      <c r="S113" s="40"/>
      <c r="T113" s="40"/>
      <c r="U113" s="30"/>
    </row>
    <row r="114" spans="1:21" ht="15.75" customHeight="1">
      <c r="A114" s="23"/>
      <c r="B114" s="30"/>
      <c r="C114" s="30"/>
      <c r="D114" s="30"/>
      <c r="E114" s="30"/>
      <c r="F114" s="30"/>
      <c r="G114" s="30"/>
      <c r="H114" s="30"/>
      <c r="I114" s="30"/>
      <c r="J114" s="30"/>
      <c r="N114" s="40"/>
      <c r="O114" s="40"/>
      <c r="P114" s="40"/>
      <c r="Q114" s="40"/>
      <c r="R114" s="40"/>
      <c r="S114" s="40"/>
      <c r="T114" s="40"/>
      <c r="U114" s="30"/>
    </row>
    <row r="115" spans="1:21" ht="15.75" customHeight="1">
      <c r="A115" s="23"/>
      <c r="B115" s="30"/>
      <c r="C115" s="30"/>
      <c r="D115" s="30"/>
      <c r="E115" s="30"/>
      <c r="F115" s="30"/>
      <c r="G115" s="30"/>
      <c r="H115" s="30"/>
      <c r="I115" s="30"/>
      <c r="J115" s="30"/>
      <c r="N115" s="40"/>
      <c r="O115" s="40"/>
      <c r="P115" s="40"/>
      <c r="Q115" s="40"/>
      <c r="R115" s="40"/>
      <c r="S115" s="40"/>
      <c r="T115" s="40"/>
      <c r="U115" s="30"/>
    </row>
    <row r="116" spans="1:21" ht="15.75" customHeight="1">
      <c r="A116" s="23"/>
      <c r="B116" s="30"/>
      <c r="C116" s="30"/>
      <c r="D116" s="30"/>
      <c r="E116" s="30"/>
      <c r="F116" s="30"/>
      <c r="G116" s="30"/>
      <c r="H116" s="30"/>
      <c r="I116" s="30"/>
      <c r="J116" s="30"/>
      <c r="N116" s="40"/>
      <c r="O116" s="40"/>
      <c r="P116" s="40"/>
      <c r="Q116" s="40"/>
      <c r="R116" s="40"/>
      <c r="S116" s="40"/>
      <c r="T116" s="40"/>
      <c r="U116" s="30"/>
    </row>
    <row r="117" spans="1:21" ht="15.75" customHeight="1">
      <c r="A117" s="23"/>
      <c r="B117" s="30"/>
      <c r="C117" s="30"/>
      <c r="D117" s="30"/>
      <c r="E117" s="30"/>
      <c r="F117" s="30"/>
      <c r="G117" s="30"/>
      <c r="H117" s="30"/>
      <c r="I117" s="30"/>
      <c r="J117" s="30"/>
      <c r="N117" s="40"/>
      <c r="O117" s="40"/>
      <c r="P117" s="40"/>
      <c r="Q117" s="40"/>
      <c r="R117" s="40"/>
      <c r="S117" s="40"/>
      <c r="T117" s="40"/>
      <c r="U117" s="30"/>
    </row>
    <row r="118" spans="1:21" ht="15.75" customHeight="1">
      <c r="A118" s="23"/>
      <c r="B118" s="30"/>
      <c r="C118" s="30"/>
      <c r="D118" s="30"/>
      <c r="E118" s="30"/>
      <c r="F118" s="30"/>
      <c r="G118" s="30"/>
      <c r="H118" s="30"/>
      <c r="I118" s="30"/>
      <c r="J118" s="30"/>
      <c r="N118" s="40"/>
      <c r="O118" s="40"/>
      <c r="P118" s="40"/>
      <c r="Q118" s="40"/>
      <c r="R118" s="40"/>
      <c r="S118" s="40"/>
      <c r="T118" s="40"/>
      <c r="U118" s="30"/>
    </row>
    <row r="119" spans="1:21" ht="15.75" customHeight="1">
      <c r="A119" s="23"/>
      <c r="B119" s="30"/>
      <c r="C119" s="30"/>
      <c r="D119" s="30"/>
      <c r="E119" s="30"/>
      <c r="F119" s="30"/>
      <c r="G119" s="30"/>
      <c r="H119" s="30"/>
      <c r="I119" s="30"/>
      <c r="J119" s="30"/>
      <c r="N119" s="40"/>
      <c r="O119" s="40"/>
      <c r="P119" s="40"/>
      <c r="Q119" s="40"/>
      <c r="R119" s="40"/>
      <c r="S119" s="40"/>
      <c r="T119" s="40"/>
      <c r="U119" s="30"/>
    </row>
    <row r="120" spans="1:21" ht="15.75" customHeight="1">
      <c r="A120" s="23"/>
      <c r="B120" s="30"/>
      <c r="C120" s="30"/>
      <c r="D120" s="30"/>
      <c r="E120" s="30"/>
      <c r="F120" s="30"/>
      <c r="G120" s="30"/>
      <c r="H120" s="30"/>
      <c r="I120" s="30"/>
      <c r="J120" s="30"/>
      <c r="N120" s="40"/>
      <c r="O120" s="40"/>
      <c r="P120" s="40"/>
      <c r="Q120" s="40"/>
      <c r="R120" s="40"/>
      <c r="S120" s="40"/>
      <c r="T120" s="40"/>
      <c r="U120" s="30"/>
    </row>
    <row r="121" spans="1:21" ht="15.75" customHeight="1">
      <c r="A121" s="23"/>
      <c r="B121" s="30"/>
      <c r="C121" s="30"/>
      <c r="D121" s="30"/>
      <c r="E121" s="30"/>
      <c r="F121" s="30"/>
      <c r="G121" s="30"/>
      <c r="H121" s="30"/>
      <c r="I121" s="30"/>
      <c r="J121" s="30"/>
      <c r="N121" s="40"/>
      <c r="O121" s="40"/>
      <c r="P121" s="40"/>
      <c r="Q121" s="40"/>
      <c r="R121" s="40"/>
      <c r="S121" s="40"/>
      <c r="T121" s="40"/>
      <c r="U121" s="30"/>
    </row>
    <row r="122" spans="1:21" ht="15.75" customHeight="1">
      <c r="A122" s="23"/>
      <c r="B122" s="30"/>
      <c r="C122" s="30"/>
      <c r="D122" s="30"/>
      <c r="E122" s="30"/>
      <c r="F122" s="30"/>
      <c r="G122" s="30"/>
      <c r="H122" s="30"/>
      <c r="I122" s="30"/>
      <c r="J122" s="30"/>
      <c r="N122" s="40"/>
      <c r="O122" s="40"/>
      <c r="P122" s="40"/>
      <c r="Q122" s="40"/>
      <c r="R122" s="40"/>
      <c r="S122" s="40"/>
      <c r="T122" s="40"/>
      <c r="U122" s="30"/>
    </row>
    <row r="123" spans="1:21" ht="15.75" customHeight="1">
      <c r="A123" s="23"/>
      <c r="B123" s="30"/>
      <c r="C123" s="30"/>
      <c r="D123" s="30"/>
      <c r="E123" s="30"/>
      <c r="F123" s="30"/>
      <c r="G123" s="30"/>
      <c r="H123" s="30"/>
      <c r="I123" s="30"/>
      <c r="J123" s="30"/>
      <c r="N123" s="40"/>
      <c r="O123" s="40"/>
      <c r="P123" s="40"/>
      <c r="Q123" s="40"/>
      <c r="R123" s="40"/>
      <c r="S123" s="40"/>
      <c r="T123" s="40"/>
      <c r="U123" s="30"/>
    </row>
    <row r="124" spans="1:21" ht="15.75" customHeight="1">
      <c r="A124" s="23"/>
      <c r="B124" s="30"/>
      <c r="C124" s="30"/>
      <c r="D124" s="30"/>
      <c r="E124" s="30"/>
      <c r="F124" s="30"/>
      <c r="G124" s="30"/>
      <c r="H124" s="30"/>
      <c r="I124" s="30"/>
      <c r="J124" s="30"/>
      <c r="N124" s="40"/>
      <c r="O124" s="40"/>
      <c r="P124" s="40"/>
      <c r="Q124" s="40"/>
      <c r="R124" s="40"/>
      <c r="S124" s="40"/>
      <c r="T124" s="40"/>
      <c r="U124" s="30"/>
    </row>
    <row r="125" spans="1:21" ht="15.75" customHeight="1">
      <c r="A125" s="23"/>
      <c r="B125" s="30"/>
      <c r="C125" s="30"/>
      <c r="D125" s="30"/>
      <c r="E125" s="30"/>
      <c r="F125" s="30"/>
      <c r="G125" s="30"/>
      <c r="H125" s="30"/>
      <c r="I125" s="30"/>
      <c r="J125" s="30"/>
      <c r="N125" s="40"/>
      <c r="O125" s="40"/>
      <c r="P125" s="40"/>
      <c r="Q125" s="40"/>
      <c r="R125" s="40"/>
      <c r="S125" s="40"/>
      <c r="T125" s="40"/>
      <c r="U125" s="30"/>
    </row>
    <row r="126" spans="1:21" ht="15.75" customHeight="1">
      <c r="A126" s="23"/>
      <c r="B126" s="30"/>
      <c r="C126" s="30"/>
      <c r="D126" s="30"/>
      <c r="E126" s="30"/>
      <c r="F126" s="30"/>
      <c r="G126" s="30"/>
      <c r="H126" s="30"/>
      <c r="I126" s="30"/>
      <c r="J126" s="30"/>
      <c r="N126" s="40"/>
      <c r="O126" s="40"/>
      <c r="P126" s="40"/>
      <c r="Q126" s="40"/>
      <c r="R126" s="40"/>
      <c r="S126" s="40"/>
      <c r="T126" s="40"/>
      <c r="U126" s="30"/>
    </row>
    <row r="127" spans="1:21" ht="15.75" customHeight="1">
      <c r="A127" s="23"/>
      <c r="B127" s="30"/>
      <c r="C127" s="30"/>
      <c r="D127" s="30"/>
      <c r="E127" s="30"/>
      <c r="F127" s="30"/>
      <c r="G127" s="30"/>
      <c r="H127" s="30"/>
      <c r="I127" s="30"/>
      <c r="J127" s="30"/>
      <c r="N127" s="40"/>
      <c r="O127" s="40"/>
      <c r="P127" s="40"/>
      <c r="Q127" s="40"/>
      <c r="R127" s="40"/>
      <c r="S127" s="40"/>
      <c r="T127" s="40"/>
      <c r="U127" s="30"/>
    </row>
    <row r="128" spans="1:21" ht="15.75" customHeight="1">
      <c r="A128" s="23"/>
      <c r="B128" s="30"/>
      <c r="C128" s="30"/>
      <c r="D128" s="30"/>
      <c r="E128" s="30"/>
      <c r="F128" s="30"/>
      <c r="G128" s="30"/>
      <c r="H128" s="30"/>
      <c r="I128" s="30"/>
      <c r="J128" s="30"/>
      <c r="N128" s="40"/>
      <c r="O128" s="40"/>
      <c r="P128" s="40"/>
      <c r="Q128" s="40"/>
      <c r="R128" s="40"/>
      <c r="S128" s="40"/>
      <c r="T128" s="40"/>
      <c r="U128" s="30"/>
    </row>
    <row r="129" spans="1:21" ht="15.75" customHeight="1">
      <c r="A129" s="23"/>
      <c r="B129" s="30"/>
      <c r="C129" s="30"/>
      <c r="D129" s="30"/>
      <c r="E129" s="30"/>
      <c r="F129" s="30"/>
      <c r="G129" s="30"/>
      <c r="H129" s="30"/>
      <c r="I129" s="30"/>
      <c r="J129" s="30"/>
      <c r="N129" s="40"/>
      <c r="O129" s="40"/>
      <c r="P129" s="40"/>
      <c r="Q129" s="40"/>
      <c r="R129" s="40"/>
      <c r="S129" s="40"/>
      <c r="T129" s="40"/>
      <c r="U129" s="30"/>
    </row>
    <row r="130" spans="1:21" ht="15.75" customHeight="1">
      <c r="A130" s="23"/>
      <c r="B130" s="30"/>
      <c r="C130" s="30"/>
      <c r="D130" s="30"/>
      <c r="E130" s="30"/>
      <c r="F130" s="30"/>
      <c r="G130" s="30"/>
      <c r="H130" s="30"/>
      <c r="I130" s="30"/>
      <c r="J130" s="30"/>
      <c r="N130" s="40"/>
      <c r="O130" s="40"/>
      <c r="P130" s="40"/>
      <c r="Q130" s="40"/>
      <c r="R130" s="40"/>
      <c r="S130" s="40"/>
      <c r="T130" s="40"/>
      <c r="U130" s="30"/>
    </row>
    <row r="131" spans="1:21" ht="15.75" customHeight="1">
      <c r="A131" s="23"/>
      <c r="B131" s="30"/>
      <c r="C131" s="30"/>
      <c r="D131" s="30"/>
      <c r="E131" s="30"/>
      <c r="F131" s="30"/>
      <c r="G131" s="30"/>
      <c r="H131" s="30"/>
      <c r="I131" s="30"/>
      <c r="J131" s="30"/>
      <c r="N131" s="40"/>
      <c r="O131" s="40"/>
      <c r="P131" s="40"/>
      <c r="Q131" s="40"/>
      <c r="R131" s="40"/>
      <c r="S131" s="40"/>
      <c r="T131" s="40"/>
      <c r="U131" s="30"/>
    </row>
    <row r="132" spans="1:21" ht="15.75" customHeight="1">
      <c r="A132" s="23"/>
      <c r="B132" s="30"/>
      <c r="C132" s="30"/>
      <c r="D132" s="30"/>
      <c r="E132" s="30"/>
      <c r="F132" s="30"/>
      <c r="G132" s="30"/>
      <c r="H132" s="30"/>
      <c r="I132" s="30"/>
      <c r="J132" s="30"/>
      <c r="N132" s="40"/>
      <c r="O132" s="40"/>
      <c r="P132" s="40"/>
      <c r="Q132" s="40"/>
      <c r="R132" s="40"/>
      <c r="S132" s="40"/>
      <c r="T132" s="40"/>
      <c r="U132" s="30"/>
    </row>
    <row r="133" spans="1:21" ht="15.75" customHeight="1">
      <c r="A133" s="23"/>
      <c r="B133" s="30"/>
      <c r="C133" s="30"/>
      <c r="D133" s="30"/>
      <c r="E133" s="30"/>
      <c r="F133" s="30"/>
      <c r="G133" s="30"/>
      <c r="H133" s="30"/>
      <c r="I133" s="30"/>
      <c r="J133" s="30"/>
      <c r="N133" s="40"/>
      <c r="O133" s="40"/>
      <c r="P133" s="40"/>
      <c r="Q133" s="40"/>
      <c r="R133" s="40"/>
      <c r="S133" s="40"/>
      <c r="T133" s="40"/>
      <c r="U133" s="30"/>
    </row>
    <row r="134" spans="1:21" ht="15.75" customHeight="1">
      <c r="A134" s="23"/>
      <c r="B134" s="30"/>
      <c r="C134" s="30"/>
      <c r="D134" s="30"/>
      <c r="E134" s="30"/>
      <c r="F134" s="30"/>
      <c r="G134" s="30"/>
      <c r="H134" s="30"/>
      <c r="I134" s="30"/>
      <c r="J134" s="30"/>
      <c r="N134" s="40"/>
      <c r="O134" s="40"/>
      <c r="P134" s="40"/>
      <c r="Q134" s="40"/>
      <c r="R134" s="40"/>
      <c r="S134" s="40"/>
      <c r="T134" s="40"/>
      <c r="U134" s="30"/>
    </row>
    <row r="135" spans="1:21" ht="15.75" customHeight="1">
      <c r="A135" s="23"/>
      <c r="B135" s="30"/>
      <c r="C135" s="30"/>
      <c r="D135" s="30"/>
      <c r="E135" s="30"/>
      <c r="F135" s="30"/>
      <c r="G135" s="30"/>
      <c r="H135" s="30"/>
      <c r="I135" s="30"/>
      <c r="J135" s="30"/>
      <c r="N135" s="40"/>
      <c r="O135" s="40"/>
      <c r="P135" s="40"/>
      <c r="Q135" s="40"/>
      <c r="R135" s="40"/>
      <c r="S135" s="40"/>
      <c r="T135" s="40"/>
      <c r="U135" s="30"/>
    </row>
    <row r="136" spans="1:21" ht="15.75" customHeight="1">
      <c r="A136" s="23"/>
      <c r="B136" s="30"/>
      <c r="C136" s="30"/>
      <c r="D136" s="30"/>
      <c r="E136" s="30"/>
      <c r="F136" s="30"/>
      <c r="G136" s="30"/>
      <c r="H136" s="30"/>
      <c r="I136" s="30"/>
      <c r="J136" s="30"/>
      <c r="N136" s="40"/>
      <c r="O136" s="40"/>
      <c r="P136" s="40"/>
      <c r="Q136" s="40"/>
      <c r="R136" s="40"/>
      <c r="S136" s="40"/>
      <c r="T136" s="40"/>
      <c r="U136" s="30"/>
    </row>
    <row r="137" spans="1:21" ht="15.75" customHeight="1">
      <c r="A137" s="23"/>
      <c r="B137" s="30"/>
      <c r="C137" s="30"/>
      <c r="D137" s="30"/>
      <c r="E137" s="30"/>
      <c r="F137" s="30"/>
      <c r="G137" s="30"/>
      <c r="H137" s="30"/>
      <c r="I137" s="30"/>
      <c r="J137" s="30"/>
      <c r="N137" s="40"/>
      <c r="O137" s="40"/>
      <c r="P137" s="40"/>
      <c r="Q137" s="40"/>
      <c r="R137" s="40"/>
      <c r="S137" s="40"/>
      <c r="T137" s="40"/>
      <c r="U137" s="30"/>
    </row>
    <row r="138" spans="1:21" ht="15.75" customHeight="1">
      <c r="A138" s="23"/>
      <c r="B138" s="30"/>
      <c r="C138" s="30"/>
      <c r="D138" s="30"/>
      <c r="E138" s="30"/>
      <c r="F138" s="30"/>
      <c r="G138" s="30"/>
      <c r="H138" s="30"/>
      <c r="I138" s="30"/>
      <c r="J138" s="30"/>
      <c r="N138" s="40"/>
      <c r="O138" s="40"/>
      <c r="P138" s="40"/>
      <c r="Q138" s="40"/>
      <c r="R138" s="40"/>
      <c r="S138" s="40"/>
      <c r="T138" s="40"/>
      <c r="U138" s="30"/>
    </row>
    <row r="139" spans="1:21" ht="15.75" customHeight="1">
      <c r="A139" s="23"/>
      <c r="B139" s="30"/>
      <c r="C139" s="30"/>
      <c r="D139" s="30"/>
      <c r="E139" s="30"/>
      <c r="F139" s="30"/>
      <c r="G139" s="30"/>
      <c r="H139" s="30"/>
      <c r="I139" s="30"/>
      <c r="J139" s="30"/>
      <c r="N139" s="40"/>
      <c r="O139" s="40"/>
      <c r="P139" s="40"/>
      <c r="Q139" s="40"/>
      <c r="R139" s="40"/>
      <c r="S139" s="40"/>
      <c r="T139" s="40"/>
      <c r="U139" s="30"/>
    </row>
    <row r="140" spans="1:21" ht="15.75" customHeight="1">
      <c r="A140" s="23"/>
      <c r="B140" s="30"/>
      <c r="C140" s="30"/>
      <c r="D140" s="30"/>
      <c r="E140" s="30"/>
      <c r="F140" s="30"/>
      <c r="G140" s="30"/>
      <c r="H140" s="30"/>
      <c r="I140" s="30"/>
      <c r="J140" s="30"/>
      <c r="N140" s="40"/>
      <c r="O140" s="40"/>
      <c r="P140" s="40"/>
      <c r="Q140" s="40"/>
      <c r="R140" s="40"/>
      <c r="S140" s="40"/>
      <c r="T140" s="40"/>
      <c r="U140" s="30"/>
    </row>
    <row r="141" spans="1:21" ht="15.75" customHeight="1">
      <c r="A141" s="23"/>
      <c r="B141" s="30"/>
      <c r="C141" s="30"/>
      <c r="D141" s="30"/>
      <c r="E141" s="30"/>
      <c r="F141" s="30"/>
      <c r="G141" s="30"/>
      <c r="H141" s="30"/>
      <c r="I141" s="30"/>
      <c r="J141" s="30"/>
      <c r="N141" s="40"/>
      <c r="O141" s="40"/>
      <c r="P141" s="40"/>
      <c r="Q141" s="40"/>
      <c r="R141" s="40"/>
      <c r="S141" s="40"/>
      <c r="T141" s="40"/>
      <c r="U141" s="30"/>
    </row>
    <row r="142" spans="1:21" ht="15.75" customHeight="1">
      <c r="A142" s="23"/>
      <c r="B142" s="30"/>
      <c r="C142" s="30"/>
      <c r="D142" s="30"/>
      <c r="E142" s="30"/>
      <c r="F142" s="30"/>
      <c r="G142" s="30"/>
      <c r="H142" s="30"/>
      <c r="I142" s="30"/>
      <c r="J142" s="30"/>
      <c r="N142" s="40"/>
      <c r="O142" s="40"/>
      <c r="P142" s="40"/>
      <c r="Q142" s="40"/>
      <c r="R142" s="40"/>
      <c r="S142" s="40"/>
      <c r="T142" s="40"/>
      <c r="U142" s="30"/>
    </row>
    <row r="143" spans="1:21" ht="15.75" customHeight="1">
      <c r="A143" s="23"/>
      <c r="B143" s="30"/>
      <c r="C143" s="30"/>
      <c r="D143" s="30"/>
      <c r="E143" s="30"/>
      <c r="F143" s="30"/>
      <c r="G143" s="30"/>
      <c r="H143" s="30"/>
      <c r="I143" s="30"/>
      <c r="J143" s="30"/>
      <c r="N143" s="40"/>
      <c r="O143" s="40"/>
      <c r="P143" s="40"/>
      <c r="Q143" s="40"/>
      <c r="R143" s="40"/>
      <c r="S143" s="40"/>
      <c r="T143" s="40"/>
      <c r="U143" s="30"/>
    </row>
    <row r="144" spans="1:21" ht="15.75" customHeight="1">
      <c r="A144" s="23"/>
      <c r="B144" s="30"/>
      <c r="C144" s="30"/>
      <c r="D144" s="30"/>
      <c r="E144" s="30"/>
      <c r="F144" s="30"/>
      <c r="G144" s="30"/>
      <c r="H144" s="30"/>
      <c r="I144" s="30"/>
      <c r="J144" s="30"/>
      <c r="N144" s="40"/>
      <c r="O144" s="40"/>
      <c r="P144" s="40"/>
      <c r="Q144" s="40"/>
      <c r="R144" s="40"/>
      <c r="S144" s="40"/>
      <c r="T144" s="40"/>
      <c r="U144" s="30"/>
    </row>
    <row r="145" spans="1:21" ht="15.75" customHeight="1">
      <c r="A145" s="23"/>
      <c r="B145" s="30"/>
      <c r="C145" s="30"/>
      <c r="D145" s="30"/>
      <c r="E145" s="30"/>
      <c r="F145" s="30"/>
      <c r="G145" s="30"/>
      <c r="H145" s="30"/>
      <c r="I145" s="30"/>
      <c r="J145" s="30"/>
      <c r="N145" s="40"/>
      <c r="O145" s="40"/>
      <c r="P145" s="40"/>
      <c r="Q145" s="40"/>
      <c r="R145" s="40"/>
      <c r="S145" s="40"/>
      <c r="T145" s="40"/>
      <c r="U145" s="30"/>
    </row>
    <row r="146" spans="1:21" ht="15.75" customHeight="1">
      <c r="A146" s="23"/>
      <c r="B146" s="30"/>
      <c r="C146" s="30"/>
      <c r="D146" s="30"/>
      <c r="E146" s="30"/>
      <c r="F146" s="30"/>
      <c r="G146" s="30"/>
      <c r="H146" s="30"/>
      <c r="I146" s="30"/>
      <c r="J146" s="30"/>
      <c r="N146" s="40"/>
      <c r="O146" s="40"/>
      <c r="P146" s="40"/>
      <c r="Q146" s="40"/>
      <c r="R146" s="40"/>
      <c r="S146" s="40"/>
      <c r="T146" s="40"/>
      <c r="U146" s="30"/>
    </row>
    <row r="147" spans="1:21" ht="15.75" customHeight="1">
      <c r="A147" s="23"/>
      <c r="B147" s="30"/>
      <c r="C147" s="30"/>
      <c r="D147" s="30"/>
      <c r="E147" s="30"/>
      <c r="F147" s="30"/>
      <c r="G147" s="30"/>
      <c r="H147" s="30"/>
      <c r="I147" s="30"/>
      <c r="J147" s="30"/>
      <c r="N147" s="40"/>
      <c r="O147" s="40"/>
      <c r="P147" s="40"/>
      <c r="Q147" s="40"/>
      <c r="R147" s="40"/>
      <c r="S147" s="40"/>
      <c r="T147" s="40"/>
      <c r="U147" s="30"/>
    </row>
    <row r="148" spans="1:21" ht="15.75" customHeight="1">
      <c r="A148" s="23"/>
      <c r="B148" s="30"/>
      <c r="C148" s="30"/>
      <c r="D148" s="30"/>
      <c r="E148" s="30"/>
      <c r="F148" s="30"/>
      <c r="G148" s="30"/>
      <c r="H148" s="30"/>
      <c r="I148" s="30"/>
      <c r="J148" s="30"/>
      <c r="N148" s="40"/>
      <c r="O148" s="40"/>
      <c r="P148" s="40"/>
      <c r="Q148" s="40"/>
      <c r="R148" s="40"/>
      <c r="S148" s="40"/>
      <c r="T148" s="40"/>
      <c r="U148" s="30"/>
    </row>
    <row r="149" spans="1:21" ht="15.75" customHeight="1">
      <c r="A149" s="23"/>
      <c r="B149" s="30"/>
      <c r="C149" s="30"/>
      <c r="D149" s="30"/>
      <c r="E149" s="30"/>
      <c r="F149" s="30"/>
      <c r="G149" s="30"/>
      <c r="H149" s="30"/>
      <c r="I149" s="30"/>
      <c r="J149" s="30"/>
      <c r="N149" s="40"/>
      <c r="O149" s="40"/>
      <c r="P149" s="40"/>
      <c r="Q149" s="40"/>
      <c r="R149" s="40"/>
      <c r="S149" s="40"/>
      <c r="T149" s="40"/>
      <c r="U149" s="30"/>
    </row>
    <row r="150" spans="1:21" ht="15.75" customHeight="1">
      <c r="A150" s="23"/>
      <c r="B150" s="30"/>
      <c r="C150" s="30"/>
      <c r="D150" s="30"/>
      <c r="E150" s="30"/>
      <c r="F150" s="30"/>
      <c r="G150" s="30"/>
      <c r="H150" s="30"/>
      <c r="I150" s="30"/>
      <c r="J150" s="30"/>
      <c r="N150" s="40"/>
      <c r="O150" s="40"/>
      <c r="P150" s="40"/>
      <c r="Q150" s="40"/>
      <c r="R150" s="40"/>
      <c r="S150" s="40"/>
      <c r="T150" s="40"/>
      <c r="U150" s="30"/>
    </row>
    <row r="151" spans="1:21" ht="15.75" customHeight="1">
      <c r="A151" s="23"/>
      <c r="B151" s="30"/>
      <c r="C151" s="30"/>
      <c r="D151" s="30"/>
      <c r="E151" s="30"/>
      <c r="F151" s="30"/>
      <c r="G151" s="30"/>
      <c r="H151" s="30"/>
      <c r="I151" s="30"/>
      <c r="J151" s="30"/>
      <c r="N151" s="40"/>
      <c r="O151" s="40"/>
      <c r="P151" s="40"/>
      <c r="Q151" s="40"/>
      <c r="R151" s="40"/>
      <c r="S151" s="40"/>
      <c r="T151" s="40"/>
      <c r="U151" s="30"/>
    </row>
    <row r="152" spans="1:21" ht="15.75" customHeight="1">
      <c r="A152" s="23"/>
      <c r="B152" s="30"/>
      <c r="C152" s="30"/>
      <c r="D152" s="30"/>
      <c r="E152" s="30"/>
      <c r="F152" s="30"/>
      <c r="G152" s="30"/>
      <c r="H152" s="30"/>
      <c r="I152" s="30"/>
      <c r="J152" s="30"/>
      <c r="N152" s="40"/>
      <c r="O152" s="40"/>
      <c r="P152" s="40"/>
      <c r="Q152" s="40"/>
      <c r="R152" s="40"/>
      <c r="S152" s="40"/>
      <c r="T152" s="40"/>
      <c r="U152" s="30"/>
    </row>
    <row r="153" spans="1:21" ht="15.75" customHeight="1">
      <c r="A153" s="23"/>
      <c r="B153" s="30"/>
      <c r="C153" s="30"/>
      <c r="D153" s="30"/>
      <c r="E153" s="30"/>
      <c r="F153" s="30"/>
      <c r="G153" s="30"/>
      <c r="H153" s="30"/>
      <c r="I153" s="30"/>
      <c r="J153" s="30"/>
      <c r="N153" s="40"/>
      <c r="O153" s="40"/>
      <c r="P153" s="40"/>
      <c r="Q153" s="40"/>
      <c r="R153" s="40"/>
      <c r="S153" s="40"/>
      <c r="T153" s="40"/>
      <c r="U153" s="30"/>
    </row>
    <row r="154" spans="1:21" ht="15.75" customHeight="1">
      <c r="A154" s="23"/>
      <c r="B154" s="30"/>
      <c r="C154" s="30"/>
      <c r="D154" s="30"/>
      <c r="E154" s="30"/>
      <c r="F154" s="30"/>
      <c r="G154" s="30"/>
      <c r="H154" s="30"/>
      <c r="I154" s="30"/>
      <c r="J154" s="30"/>
      <c r="N154" s="40"/>
      <c r="O154" s="40"/>
      <c r="P154" s="40"/>
      <c r="Q154" s="40"/>
      <c r="R154" s="40"/>
      <c r="S154" s="40"/>
      <c r="T154" s="40"/>
      <c r="U154" s="30"/>
    </row>
    <row r="155" spans="1:21" ht="15.75" customHeight="1">
      <c r="A155" s="23"/>
      <c r="B155" s="30"/>
      <c r="C155" s="30"/>
      <c r="D155" s="30"/>
      <c r="E155" s="30"/>
      <c r="F155" s="30"/>
      <c r="G155" s="30"/>
      <c r="H155" s="30"/>
      <c r="I155" s="30"/>
      <c r="J155" s="30"/>
      <c r="N155" s="40"/>
      <c r="O155" s="40"/>
      <c r="P155" s="40"/>
      <c r="Q155" s="40"/>
      <c r="R155" s="40"/>
      <c r="S155" s="40"/>
      <c r="T155" s="40"/>
      <c r="U155" s="30"/>
    </row>
    <row r="156" spans="1:21" ht="15.75" customHeight="1">
      <c r="A156" s="23"/>
      <c r="B156" s="30"/>
      <c r="C156" s="30"/>
      <c r="D156" s="30"/>
      <c r="E156" s="30"/>
      <c r="F156" s="30"/>
      <c r="G156" s="30"/>
      <c r="H156" s="30"/>
      <c r="I156" s="30"/>
      <c r="J156" s="30"/>
      <c r="N156" s="40"/>
      <c r="O156" s="40"/>
      <c r="P156" s="40"/>
      <c r="Q156" s="40"/>
      <c r="R156" s="40"/>
      <c r="S156" s="40"/>
      <c r="T156" s="40"/>
      <c r="U156" s="30"/>
    </row>
    <row r="157" spans="1:21" ht="15.75" customHeight="1">
      <c r="A157" s="23"/>
      <c r="B157" s="30"/>
      <c r="C157" s="30"/>
      <c r="D157" s="30"/>
      <c r="E157" s="30"/>
      <c r="F157" s="30"/>
      <c r="G157" s="30"/>
      <c r="H157" s="30"/>
      <c r="I157" s="30"/>
      <c r="J157" s="30"/>
      <c r="N157" s="40"/>
      <c r="O157" s="40"/>
      <c r="P157" s="40"/>
      <c r="Q157" s="40"/>
      <c r="R157" s="40"/>
      <c r="S157" s="40"/>
      <c r="T157" s="40"/>
      <c r="U157" s="30"/>
    </row>
    <row r="158" spans="1:21" ht="15.75" customHeight="1">
      <c r="A158" s="23"/>
      <c r="B158" s="30"/>
      <c r="C158" s="30"/>
      <c r="D158" s="30"/>
      <c r="E158" s="30"/>
      <c r="F158" s="30"/>
      <c r="G158" s="30"/>
      <c r="H158" s="30"/>
      <c r="I158" s="30"/>
      <c r="J158" s="30"/>
      <c r="N158" s="40"/>
      <c r="O158" s="40"/>
      <c r="P158" s="40"/>
      <c r="Q158" s="40"/>
      <c r="R158" s="40"/>
      <c r="S158" s="40"/>
      <c r="T158" s="40"/>
      <c r="U158" s="30"/>
    </row>
    <row r="159" spans="1:21" ht="15.75" customHeight="1">
      <c r="A159" s="23"/>
      <c r="B159" s="30"/>
      <c r="C159" s="30"/>
      <c r="D159" s="30"/>
      <c r="E159" s="30"/>
      <c r="F159" s="30"/>
      <c r="G159" s="30"/>
      <c r="H159" s="30"/>
      <c r="I159" s="30"/>
      <c r="J159" s="30"/>
      <c r="N159" s="40"/>
      <c r="O159" s="40"/>
      <c r="P159" s="40"/>
      <c r="Q159" s="40"/>
      <c r="R159" s="40"/>
      <c r="S159" s="40"/>
      <c r="T159" s="40"/>
      <c r="U159" s="30"/>
    </row>
    <row r="160" spans="1:21" ht="15.75" customHeight="1">
      <c r="A160" s="23"/>
      <c r="B160" s="30"/>
      <c r="C160" s="30"/>
      <c r="D160" s="30"/>
      <c r="E160" s="30"/>
      <c r="F160" s="30"/>
      <c r="G160" s="30"/>
      <c r="H160" s="30"/>
      <c r="I160" s="30"/>
      <c r="J160" s="30"/>
      <c r="N160" s="40"/>
      <c r="O160" s="40"/>
      <c r="P160" s="40"/>
      <c r="Q160" s="40"/>
      <c r="R160" s="40"/>
      <c r="S160" s="40"/>
      <c r="T160" s="40"/>
      <c r="U160" s="30"/>
    </row>
    <row r="161" spans="1:21" ht="15.75" customHeight="1">
      <c r="A161" s="23"/>
      <c r="B161" s="30"/>
      <c r="C161" s="30"/>
      <c r="D161" s="30"/>
      <c r="E161" s="30"/>
      <c r="F161" s="30"/>
      <c r="G161" s="30"/>
      <c r="H161" s="30"/>
      <c r="I161" s="30"/>
      <c r="J161" s="30"/>
      <c r="N161" s="40"/>
      <c r="O161" s="40"/>
      <c r="P161" s="40"/>
      <c r="Q161" s="40"/>
      <c r="R161" s="40"/>
      <c r="S161" s="40"/>
      <c r="T161" s="40"/>
      <c r="U161" s="30"/>
    </row>
    <row r="162" spans="1:21" ht="15.75" customHeight="1">
      <c r="A162" s="23"/>
      <c r="B162" s="30"/>
      <c r="C162" s="30"/>
      <c r="D162" s="30"/>
      <c r="E162" s="30"/>
      <c r="F162" s="30"/>
      <c r="G162" s="30"/>
      <c r="H162" s="30"/>
      <c r="I162" s="30"/>
      <c r="J162" s="30"/>
      <c r="N162" s="40"/>
      <c r="O162" s="40"/>
      <c r="P162" s="40"/>
      <c r="Q162" s="40"/>
      <c r="R162" s="40"/>
      <c r="S162" s="40"/>
      <c r="T162" s="40"/>
      <c r="U162" s="30"/>
    </row>
    <row r="163" spans="1:21" ht="15.75" customHeight="1">
      <c r="A163" s="23"/>
      <c r="B163" s="30"/>
      <c r="C163" s="30"/>
      <c r="D163" s="30"/>
      <c r="E163" s="30"/>
      <c r="F163" s="30"/>
      <c r="G163" s="30"/>
      <c r="H163" s="30"/>
      <c r="I163" s="30"/>
      <c r="J163" s="30"/>
      <c r="N163" s="40"/>
      <c r="O163" s="40"/>
      <c r="P163" s="40"/>
      <c r="Q163" s="40"/>
      <c r="R163" s="40"/>
      <c r="S163" s="40"/>
      <c r="T163" s="40"/>
      <c r="U163" s="30"/>
    </row>
    <row r="164" spans="1:21" ht="15.75" customHeight="1">
      <c r="A164" s="23"/>
      <c r="B164" s="30"/>
      <c r="C164" s="30"/>
      <c r="D164" s="30"/>
      <c r="E164" s="30"/>
      <c r="F164" s="30"/>
      <c r="G164" s="30"/>
      <c r="H164" s="30"/>
      <c r="I164" s="30"/>
      <c r="J164" s="30"/>
      <c r="N164" s="40"/>
      <c r="O164" s="40"/>
      <c r="P164" s="40"/>
      <c r="Q164" s="40"/>
      <c r="R164" s="40"/>
      <c r="S164" s="40"/>
      <c r="T164" s="40"/>
      <c r="U164" s="30"/>
    </row>
    <row r="165" spans="1:21" ht="15.75" customHeight="1">
      <c r="A165" s="23"/>
      <c r="B165" s="30"/>
      <c r="C165" s="30"/>
      <c r="D165" s="30"/>
      <c r="E165" s="30"/>
      <c r="F165" s="30"/>
      <c r="G165" s="30"/>
      <c r="H165" s="30"/>
      <c r="I165" s="30"/>
      <c r="J165" s="30"/>
      <c r="N165" s="40"/>
      <c r="O165" s="40"/>
      <c r="P165" s="40"/>
      <c r="Q165" s="40"/>
      <c r="R165" s="40"/>
      <c r="S165" s="40"/>
      <c r="T165" s="40"/>
      <c r="U165" s="30"/>
    </row>
    <row r="166" spans="1:21" ht="15.75" customHeight="1">
      <c r="A166" s="23"/>
      <c r="B166" s="30"/>
      <c r="C166" s="30"/>
      <c r="D166" s="30"/>
      <c r="E166" s="30"/>
      <c r="F166" s="30"/>
      <c r="G166" s="30"/>
      <c r="H166" s="30"/>
      <c r="I166" s="30"/>
      <c r="J166" s="30"/>
      <c r="N166" s="40"/>
      <c r="O166" s="40"/>
      <c r="P166" s="40"/>
      <c r="Q166" s="40"/>
      <c r="R166" s="40"/>
      <c r="S166" s="40"/>
      <c r="T166" s="40"/>
      <c r="U166" s="30"/>
    </row>
    <row r="167" spans="1:21" ht="15.75" customHeight="1">
      <c r="A167" s="23"/>
      <c r="B167" s="30"/>
      <c r="C167" s="30"/>
      <c r="D167" s="30"/>
      <c r="E167" s="30"/>
      <c r="F167" s="30"/>
      <c r="G167" s="30"/>
      <c r="H167" s="30"/>
      <c r="I167" s="30"/>
      <c r="J167" s="30"/>
      <c r="N167" s="40"/>
      <c r="O167" s="40"/>
      <c r="P167" s="40"/>
      <c r="Q167" s="40"/>
      <c r="R167" s="40"/>
      <c r="S167" s="40"/>
      <c r="T167" s="40"/>
      <c r="U167" s="30"/>
    </row>
    <row r="168" spans="1:21" ht="15.75" customHeight="1">
      <c r="A168" s="23"/>
      <c r="B168" s="30"/>
      <c r="C168" s="30"/>
      <c r="D168" s="30"/>
      <c r="E168" s="30"/>
      <c r="F168" s="30"/>
      <c r="G168" s="30"/>
      <c r="H168" s="30"/>
      <c r="I168" s="30"/>
      <c r="J168" s="30"/>
      <c r="N168" s="40"/>
      <c r="O168" s="40"/>
      <c r="P168" s="40"/>
      <c r="Q168" s="40"/>
      <c r="R168" s="40"/>
      <c r="S168" s="40"/>
      <c r="T168" s="40"/>
      <c r="U168" s="30"/>
    </row>
    <row r="169" spans="1:21" ht="15.75" customHeight="1">
      <c r="A169" s="23"/>
      <c r="B169" s="30"/>
      <c r="C169" s="30"/>
      <c r="D169" s="30"/>
      <c r="E169" s="30"/>
      <c r="F169" s="30"/>
      <c r="G169" s="30"/>
      <c r="H169" s="30"/>
      <c r="I169" s="30"/>
      <c r="J169" s="30"/>
      <c r="N169" s="40"/>
      <c r="O169" s="40"/>
      <c r="P169" s="40"/>
      <c r="Q169" s="40"/>
      <c r="R169" s="40"/>
      <c r="S169" s="40"/>
      <c r="T169" s="40"/>
      <c r="U169" s="30"/>
    </row>
    <row r="170" spans="1:21" ht="15.75" customHeight="1">
      <c r="A170" s="23"/>
      <c r="B170" s="30"/>
      <c r="C170" s="30"/>
      <c r="D170" s="30"/>
      <c r="E170" s="30"/>
      <c r="F170" s="30"/>
      <c r="G170" s="30"/>
      <c r="H170" s="30"/>
      <c r="I170" s="30"/>
      <c r="J170" s="30"/>
      <c r="N170" s="40"/>
      <c r="O170" s="40"/>
      <c r="P170" s="40"/>
      <c r="Q170" s="40"/>
      <c r="R170" s="40"/>
      <c r="S170" s="40"/>
      <c r="T170" s="40"/>
      <c r="U170" s="30"/>
    </row>
    <row r="171" spans="1:21" ht="15.75" customHeight="1">
      <c r="A171" s="23"/>
      <c r="B171" s="30"/>
      <c r="C171" s="30"/>
      <c r="D171" s="30"/>
      <c r="E171" s="30"/>
      <c r="F171" s="30"/>
      <c r="G171" s="30"/>
      <c r="H171" s="30"/>
      <c r="I171" s="30"/>
      <c r="J171" s="30"/>
      <c r="N171" s="40"/>
      <c r="O171" s="40"/>
      <c r="P171" s="40"/>
      <c r="Q171" s="40"/>
      <c r="R171" s="40"/>
      <c r="S171" s="40"/>
      <c r="T171" s="40"/>
      <c r="U171" s="30"/>
    </row>
    <row r="172" spans="1:21" ht="15.75" customHeight="1">
      <c r="A172" s="23"/>
      <c r="B172" s="30"/>
      <c r="C172" s="30"/>
      <c r="D172" s="30"/>
      <c r="E172" s="30"/>
      <c r="F172" s="30"/>
      <c r="G172" s="30"/>
      <c r="H172" s="30"/>
      <c r="I172" s="30"/>
      <c r="J172" s="30"/>
      <c r="N172" s="40"/>
      <c r="O172" s="40"/>
      <c r="P172" s="40"/>
      <c r="Q172" s="40"/>
      <c r="R172" s="40"/>
      <c r="S172" s="40"/>
      <c r="T172" s="40"/>
      <c r="U172" s="30"/>
    </row>
    <row r="173" spans="1:21" ht="15.75" customHeight="1">
      <c r="A173" s="23"/>
      <c r="B173" s="30"/>
      <c r="C173" s="30"/>
      <c r="D173" s="30"/>
      <c r="E173" s="30"/>
      <c r="F173" s="30"/>
      <c r="G173" s="30"/>
      <c r="H173" s="30"/>
      <c r="I173" s="30"/>
      <c r="J173" s="30"/>
      <c r="N173" s="40"/>
      <c r="O173" s="40"/>
      <c r="P173" s="40"/>
      <c r="Q173" s="40"/>
      <c r="R173" s="40"/>
      <c r="S173" s="40"/>
      <c r="T173" s="40"/>
      <c r="U173" s="30"/>
    </row>
    <row r="174" spans="1:21" ht="15.75" customHeight="1">
      <c r="A174" s="23"/>
      <c r="B174" s="30"/>
      <c r="C174" s="30"/>
      <c r="D174" s="30"/>
      <c r="E174" s="30"/>
      <c r="F174" s="30"/>
      <c r="G174" s="30"/>
      <c r="H174" s="30"/>
      <c r="I174" s="30"/>
      <c r="J174" s="30"/>
      <c r="N174" s="40"/>
      <c r="O174" s="40"/>
      <c r="P174" s="40"/>
      <c r="Q174" s="40"/>
      <c r="R174" s="40"/>
      <c r="S174" s="40"/>
      <c r="T174" s="40"/>
      <c r="U174" s="30"/>
    </row>
    <row r="175" spans="1:21" ht="15.75" customHeight="1">
      <c r="A175" s="23"/>
      <c r="B175" s="30"/>
      <c r="C175" s="30"/>
      <c r="D175" s="30"/>
      <c r="E175" s="30"/>
      <c r="F175" s="30"/>
      <c r="G175" s="30"/>
      <c r="H175" s="30"/>
      <c r="I175" s="30"/>
      <c r="J175" s="30"/>
      <c r="N175" s="40"/>
      <c r="O175" s="40"/>
      <c r="P175" s="40"/>
      <c r="Q175" s="40"/>
      <c r="R175" s="40"/>
      <c r="S175" s="40"/>
      <c r="T175" s="40"/>
      <c r="U175" s="30"/>
    </row>
    <row r="176" spans="1:21" ht="15.75" customHeight="1">
      <c r="A176" s="23"/>
      <c r="B176" s="30"/>
      <c r="C176" s="30"/>
      <c r="D176" s="30"/>
      <c r="E176" s="30"/>
      <c r="F176" s="30"/>
      <c r="G176" s="30"/>
      <c r="H176" s="30"/>
      <c r="I176" s="30"/>
      <c r="J176" s="30"/>
      <c r="N176" s="40"/>
      <c r="O176" s="40"/>
      <c r="P176" s="40"/>
      <c r="Q176" s="40"/>
      <c r="R176" s="40"/>
      <c r="S176" s="40"/>
      <c r="T176" s="40"/>
      <c r="U176" s="30"/>
    </row>
    <row r="177" spans="1:21" ht="15.75" customHeight="1">
      <c r="A177" s="23"/>
      <c r="B177" s="30"/>
      <c r="C177" s="30"/>
      <c r="D177" s="30"/>
      <c r="E177" s="30"/>
      <c r="F177" s="30"/>
      <c r="G177" s="30"/>
      <c r="H177" s="30"/>
      <c r="I177" s="30"/>
      <c r="J177" s="30"/>
      <c r="N177" s="40"/>
      <c r="O177" s="40"/>
      <c r="P177" s="40"/>
      <c r="Q177" s="40"/>
      <c r="R177" s="40"/>
      <c r="S177" s="40"/>
      <c r="T177" s="40"/>
      <c r="U177" s="30"/>
    </row>
    <row r="178" spans="1:21" ht="15.75" customHeight="1">
      <c r="A178" s="23"/>
      <c r="B178" s="30"/>
      <c r="C178" s="30"/>
      <c r="D178" s="30"/>
      <c r="E178" s="30"/>
      <c r="F178" s="30"/>
      <c r="G178" s="30"/>
      <c r="H178" s="30"/>
      <c r="I178" s="30"/>
      <c r="J178" s="30"/>
      <c r="N178" s="40"/>
      <c r="O178" s="40"/>
      <c r="P178" s="40"/>
      <c r="Q178" s="40"/>
      <c r="R178" s="40"/>
      <c r="S178" s="40"/>
      <c r="T178" s="40"/>
      <c r="U178" s="30"/>
    </row>
    <row r="179" spans="1:21" ht="15.75" customHeight="1">
      <c r="A179" s="23"/>
      <c r="B179" s="30"/>
      <c r="C179" s="30"/>
      <c r="D179" s="30"/>
      <c r="E179" s="30"/>
      <c r="F179" s="30"/>
      <c r="G179" s="30"/>
      <c r="H179" s="30"/>
      <c r="I179" s="30"/>
      <c r="J179" s="30"/>
      <c r="N179" s="40"/>
      <c r="O179" s="40"/>
      <c r="P179" s="40"/>
      <c r="Q179" s="40"/>
      <c r="R179" s="40"/>
      <c r="S179" s="40"/>
      <c r="T179" s="40"/>
      <c r="U179" s="30"/>
    </row>
    <row r="180" spans="1:21" ht="15.75" customHeight="1">
      <c r="A180" s="23"/>
      <c r="B180" s="30"/>
      <c r="C180" s="30"/>
      <c r="D180" s="30"/>
      <c r="E180" s="30"/>
      <c r="F180" s="30"/>
      <c r="G180" s="30"/>
      <c r="H180" s="30"/>
      <c r="I180" s="30"/>
      <c r="J180" s="30"/>
      <c r="N180" s="40"/>
      <c r="O180" s="40"/>
      <c r="P180" s="40"/>
      <c r="Q180" s="40"/>
      <c r="R180" s="40"/>
      <c r="S180" s="40"/>
      <c r="T180" s="40"/>
      <c r="U180" s="30"/>
    </row>
    <row r="181" spans="1:21" ht="15.75" customHeight="1">
      <c r="A181" s="23"/>
      <c r="B181" s="30"/>
      <c r="C181" s="30"/>
      <c r="D181" s="30"/>
      <c r="E181" s="30"/>
      <c r="F181" s="30"/>
      <c r="G181" s="30"/>
      <c r="H181" s="30"/>
      <c r="I181" s="30"/>
      <c r="J181" s="30"/>
      <c r="N181" s="40"/>
      <c r="O181" s="40"/>
      <c r="P181" s="40"/>
      <c r="Q181" s="40"/>
      <c r="R181" s="40"/>
      <c r="S181" s="40"/>
      <c r="T181" s="40"/>
      <c r="U181" s="30"/>
    </row>
    <row r="182" spans="1:21" ht="15.75" customHeight="1">
      <c r="A182" s="23"/>
      <c r="B182" s="30"/>
      <c r="C182" s="30"/>
      <c r="D182" s="30"/>
      <c r="E182" s="30"/>
      <c r="F182" s="30"/>
      <c r="G182" s="30"/>
      <c r="H182" s="30"/>
      <c r="I182" s="30"/>
      <c r="J182" s="30"/>
      <c r="N182" s="40"/>
      <c r="O182" s="40"/>
      <c r="P182" s="40"/>
      <c r="Q182" s="40"/>
      <c r="R182" s="40"/>
      <c r="S182" s="40"/>
      <c r="T182" s="40"/>
      <c r="U182" s="30"/>
    </row>
    <row r="183" spans="1:21" ht="15.75" customHeight="1">
      <c r="A183" s="23"/>
      <c r="B183" s="30"/>
      <c r="C183" s="30"/>
      <c r="D183" s="30"/>
      <c r="E183" s="30"/>
      <c r="F183" s="30"/>
      <c r="G183" s="30"/>
      <c r="H183" s="30"/>
      <c r="I183" s="30"/>
      <c r="J183" s="30"/>
      <c r="N183" s="40"/>
      <c r="O183" s="40"/>
      <c r="P183" s="40"/>
      <c r="Q183" s="40"/>
      <c r="R183" s="40"/>
      <c r="S183" s="40"/>
      <c r="T183" s="40"/>
      <c r="U183" s="30"/>
    </row>
    <row r="184" spans="1:21" ht="15.75" customHeight="1">
      <c r="A184" s="23"/>
      <c r="B184" s="30"/>
      <c r="C184" s="30"/>
      <c r="D184" s="30"/>
      <c r="E184" s="30"/>
      <c r="F184" s="30"/>
      <c r="G184" s="30"/>
      <c r="H184" s="30"/>
      <c r="I184" s="30"/>
      <c r="J184" s="30"/>
      <c r="N184" s="40"/>
      <c r="O184" s="40"/>
      <c r="P184" s="40"/>
      <c r="Q184" s="40"/>
      <c r="R184" s="40"/>
      <c r="S184" s="40"/>
      <c r="T184" s="40"/>
      <c r="U184" s="30"/>
    </row>
    <row r="185" spans="1:21" ht="15.75" customHeight="1">
      <c r="A185" s="23"/>
      <c r="B185" s="30"/>
      <c r="C185" s="30"/>
      <c r="D185" s="30"/>
      <c r="E185" s="30"/>
      <c r="F185" s="30"/>
      <c r="G185" s="30"/>
      <c r="H185" s="30"/>
      <c r="I185" s="30"/>
      <c r="J185" s="30"/>
      <c r="N185" s="40"/>
      <c r="O185" s="40"/>
      <c r="P185" s="40"/>
      <c r="Q185" s="40"/>
      <c r="R185" s="40"/>
      <c r="S185" s="40"/>
      <c r="T185" s="40"/>
      <c r="U185" s="30"/>
    </row>
    <row r="186" spans="1:21" ht="15.75" customHeight="1">
      <c r="A186" s="23"/>
      <c r="B186" s="30"/>
      <c r="C186" s="30"/>
      <c r="D186" s="30"/>
      <c r="E186" s="30"/>
      <c r="F186" s="30"/>
      <c r="G186" s="30"/>
      <c r="H186" s="30"/>
      <c r="I186" s="30"/>
      <c r="J186" s="30"/>
      <c r="N186" s="40"/>
      <c r="O186" s="40"/>
      <c r="P186" s="40"/>
      <c r="Q186" s="40"/>
      <c r="R186" s="40"/>
      <c r="S186" s="40"/>
      <c r="T186" s="40"/>
      <c r="U186" s="30"/>
    </row>
    <row r="187" spans="1:21" ht="15.75" customHeight="1">
      <c r="A187" s="23"/>
      <c r="B187" s="30"/>
      <c r="C187" s="30"/>
      <c r="D187" s="30"/>
      <c r="E187" s="30"/>
      <c r="F187" s="30"/>
      <c r="G187" s="30"/>
      <c r="H187" s="30"/>
      <c r="I187" s="30"/>
      <c r="J187" s="30"/>
      <c r="N187" s="40"/>
      <c r="O187" s="40"/>
      <c r="P187" s="40"/>
      <c r="Q187" s="40"/>
      <c r="R187" s="40"/>
      <c r="S187" s="40"/>
      <c r="T187" s="40"/>
      <c r="U187" s="30"/>
    </row>
    <row r="188" spans="1:21" ht="15.75" customHeight="1">
      <c r="A188" s="23"/>
      <c r="B188" s="30"/>
      <c r="C188" s="30"/>
      <c r="D188" s="30"/>
      <c r="E188" s="30"/>
      <c r="F188" s="30"/>
      <c r="G188" s="30"/>
      <c r="H188" s="30"/>
      <c r="I188" s="30"/>
      <c r="J188" s="30"/>
      <c r="N188" s="40"/>
      <c r="O188" s="40"/>
      <c r="P188" s="40"/>
      <c r="Q188" s="40"/>
      <c r="R188" s="40"/>
      <c r="S188" s="40"/>
      <c r="T188" s="40"/>
      <c r="U188" s="30"/>
    </row>
    <row r="189" spans="1:21" ht="15.75" customHeight="1">
      <c r="A189" s="23"/>
      <c r="B189" s="30"/>
      <c r="C189" s="30"/>
      <c r="D189" s="30"/>
      <c r="E189" s="30"/>
      <c r="F189" s="30"/>
      <c r="G189" s="30"/>
      <c r="H189" s="30"/>
      <c r="I189" s="30"/>
      <c r="J189" s="30"/>
      <c r="N189" s="40"/>
      <c r="O189" s="40"/>
      <c r="P189" s="40"/>
      <c r="Q189" s="40"/>
      <c r="R189" s="40"/>
      <c r="S189" s="40"/>
      <c r="T189" s="40"/>
      <c r="U189" s="30"/>
    </row>
    <row r="190" spans="1:21" ht="15.75" customHeight="1">
      <c r="A190" s="23"/>
      <c r="B190" s="30"/>
      <c r="C190" s="30"/>
      <c r="D190" s="30"/>
      <c r="E190" s="30"/>
      <c r="F190" s="30"/>
      <c r="G190" s="30"/>
      <c r="H190" s="30"/>
      <c r="I190" s="30"/>
      <c r="J190" s="30"/>
      <c r="N190" s="40"/>
      <c r="O190" s="40"/>
      <c r="P190" s="40"/>
      <c r="Q190" s="40"/>
      <c r="R190" s="40"/>
      <c r="S190" s="40"/>
      <c r="T190" s="40"/>
      <c r="U190" s="30"/>
    </row>
    <row r="191" spans="1:21" ht="15.75" customHeight="1">
      <c r="A191" s="23"/>
      <c r="B191" s="30"/>
      <c r="C191" s="30"/>
      <c r="D191" s="30"/>
      <c r="E191" s="30"/>
      <c r="F191" s="30"/>
      <c r="G191" s="30"/>
      <c r="H191" s="30"/>
      <c r="I191" s="30"/>
      <c r="J191" s="30"/>
      <c r="N191" s="40"/>
      <c r="O191" s="40"/>
      <c r="P191" s="40"/>
      <c r="Q191" s="40"/>
      <c r="R191" s="40"/>
      <c r="S191" s="40"/>
      <c r="T191" s="40"/>
      <c r="U191" s="30"/>
    </row>
    <row r="192" spans="1:21" ht="15.75" customHeight="1">
      <c r="A192" s="23"/>
      <c r="B192" s="30"/>
      <c r="C192" s="30"/>
      <c r="D192" s="30"/>
      <c r="E192" s="30"/>
      <c r="F192" s="30"/>
      <c r="G192" s="30"/>
      <c r="H192" s="30"/>
      <c r="I192" s="30"/>
      <c r="J192" s="30"/>
      <c r="N192" s="40"/>
      <c r="O192" s="40"/>
      <c r="P192" s="40"/>
      <c r="Q192" s="40"/>
      <c r="R192" s="40"/>
      <c r="S192" s="40"/>
      <c r="T192" s="40"/>
      <c r="U192" s="30"/>
    </row>
    <row r="193" spans="1:21" ht="15.75" customHeight="1">
      <c r="A193" s="23"/>
      <c r="B193" s="30"/>
      <c r="C193" s="30"/>
      <c r="D193" s="30"/>
      <c r="E193" s="30"/>
      <c r="F193" s="30"/>
      <c r="G193" s="30"/>
      <c r="H193" s="30"/>
      <c r="I193" s="30"/>
      <c r="J193" s="30"/>
      <c r="N193" s="40"/>
      <c r="O193" s="40"/>
      <c r="P193" s="40"/>
      <c r="Q193" s="40"/>
      <c r="R193" s="40"/>
      <c r="S193" s="40"/>
      <c r="T193" s="40"/>
      <c r="U193" s="30"/>
    </row>
    <row r="194" spans="1:21" ht="15.75" customHeight="1">
      <c r="A194" s="23"/>
      <c r="B194" s="30"/>
      <c r="C194" s="30"/>
      <c r="D194" s="30"/>
      <c r="E194" s="30"/>
      <c r="F194" s="30"/>
      <c r="G194" s="30"/>
      <c r="H194" s="30"/>
      <c r="I194" s="30"/>
      <c r="J194" s="30"/>
      <c r="N194" s="40"/>
      <c r="O194" s="40"/>
      <c r="P194" s="40"/>
      <c r="Q194" s="40"/>
      <c r="R194" s="40"/>
      <c r="S194" s="40"/>
      <c r="T194" s="40"/>
      <c r="U194" s="30"/>
    </row>
    <row r="195" spans="1:21" ht="15.75" customHeight="1">
      <c r="A195" s="23"/>
      <c r="B195" s="30"/>
      <c r="C195" s="30"/>
      <c r="D195" s="30"/>
      <c r="E195" s="30"/>
      <c r="F195" s="30"/>
      <c r="G195" s="30"/>
      <c r="H195" s="30"/>
      <c r="I195" s="30"/>
      <c r="J195" s="30"/>
      <c r="N195" s="40"/>
      <c r="O195" s="40"/>
      <c r="P195" s="40"/>
      <c r="Q195" s="40"/>
      <c r="R195" s="40"/>
      <c r="S195" s="40"/>
      <c r="T195" s="40"/>
      <c r="U195" s="30"/>
    </row>
    <row r="196" spans="1:21" ht="15.75" customHeight="1">
      <c r="A196" s="23"/>
      <c r="B196" s="30"/>
      <c r="C196" s="30"/>
      <c r="D196" s="30"/>
      <c r="E196" s="30"/>
      <c r="F196" s="30"/>
      <c r="G196" s="30"/>
      <c r="H196" s="30"/>
      <c r="I196" s="30"/>
      <c r="J196" s="30"/>
      <c r="N196" s="40"/>
      <c r="O196" s="40"/>
      <c r="P196" s="40"/>
      <c r="Q196" s="40"/>
      <c r="R196" s="40"/>
      <c r="S196" s="40"/>
      <c r="T196" s="40"/>
      <c r="U196" s="30"/>
    </row>
    <row r="197" spans="1:21" ht="15.75" customHeight="1">
      <c r="A197" s="23"/>
      <c r="B197" s="30"/>
      <c r="C197" s="30"/>
      <c r="D197" s="30"/>
      <c r="E197" s="30"/>
      <c r="F197" s="30"/>
      <c r="G197" s="30"/>
      <c r="H197" s="30"/>
      <c r="I197" s="30"/>
      <c r="J197" s="30"/>
      <c r="N197" s="40"/>
      <c r="O197" s="40"/>
      <c r="P197" s="40"/>
      <c r="Q197" s="40"/>
      <c r="R197" s="40"/>
      <c r="S197" s="40"/>
      <c r="T197" s="40"/>
      <c r="U197" s="30"/>
    </row>
    <row r="198" spans="1:21" ht="15.75" customHeight="1">
      <c r="A198" s="23"/>
      <c r="B198" s="30"/>
      <c r="C198" s="30"/>
      <c r="D198" s="30"/>
      <c r="E198" s="30"/>
      <c r="F198" s="30"/>
      <c r="G198" s="30"/>
      <c r="H198" s="30"/>
      <c r="I198" s="30"/>
      <c r="J198" s="30"/>
      <c r="N198" s="40"/>
      <c r="O198" s="40"/>
      <c r="P198" s="40"/>
      <c r="Q198" s="40"/>
      <c r="R198" s="40"/>
      <c r="S198" s="40"/>
      <c r="T198" s="40"/>
      <c r="U198" s="30"/>
    </row>
    <row r="199" spans="1:21" ht="15.75" customHeight="1">
      <c r="A199" s="23"/>
      <c r="B199" s="30"/>
      <c r="C199" s="30"/>
      <c r="D199" s="30"/>
      <c r="E199" s="30"/>
      <c r="F199" s="30"/>
      <c r="G199" s="30"/>
      <c r="H199" s="30"/>
      <c r="I199" s="30"/>
      <c r="J199" s="30"/>
      <c r="N199" s="40"/>
      <c r="O199" s="40"/>
      <c r="P199" s="40"/>
      <c r="Q199" s="40"/>
      <c r="R199" s="40"/>
      <c r="S199" s="40"/>
      <c r="T199" s="40"/>
      <c r="U199" s="30"/>
    </row>
    <row r="200" spans="1:21" ht="15.75" customHeight="1">
      <c r="A200" s="23"/>
      <c r="B200" s="30"/>
      <c r="C200" s="30"/>
      <c r="D200" s="30"/>
      <c r="E200" s="30"/>
      <c r="F200" s="30"/>
      <c r="G200" s="30"/>
      <c r="H200" s="30"/>
      <c r="I200" s="30"/>
      <c r="J200" s="30"/>
      <c r="N200" s="40"/>
      <c r="O200" s="40"/>
      <c r="P200" s="40"/>
      <c r="Q200" s="40"/>
      <c r="R200" s="40"/>
      <c r="S200" s="40"/>
      <c r="T200" s="40"/>
      <c r="U200" s="30"/>
    </row>
    <row r="201" spans="1:21" ht="15.75" customHeight="1">
      <c r="A201" s="23"/>
      <c r="B201" s="30"/>
      <c r="C201" s="30"/>
      <c r="D201" s="30"/>
      <c r="E201" s="30"/>
      <c r="F201" s="30"/>
      <c r="G201" s="30"/>
      <c r="H201" s="30"/>
      <c r="I201" s="30"/>
      <c r="J201" s="30"/>
      <c r="N201" s="40"/>
      <c r="O201" s="40"/>
      <c r="P201" s="40"/>
      <c r="Q201" s="40"/>
      <c r="R201" s="40"/>
      <c r="S201" s="40"/>
      <c r="T201" s="40"/>
      <c r="U201" s="30"/>
    </row>
    <row r="202" spans="1:21" ht="15.75" customHeight="1">
      <c r="A202" s="23"/>
      <c r="B202" s="30"/>
      <c r="C202" s="30"/>
      <c r="D202" s="30"/>
      <c r="E202" s="30"/>
      <c r="F202" s="30"/>
      <c r="G202" s="30"/>
      <c r="H202" s="30"/>
      <c r="I202" s="30"/>
      <c r="J202" s="30"/>
      <c r="N202" s="40"/>
      <c r="O202" s="40"/>
      <c r="P202" s="40"/>
      <c r="Q202" s="40"/>
      <c r="R202" s="40"/>
      <c r="S202" s="40"/>
      <c r="T202" s="40"/>
      <c r="U202" s="30"/>
    </row>
    <row r="203" spans="1:21" ht="15.75" customHeight="1">
      <c r="A203" s="23"/>
      <c r="B203" s="30"/>
      <c r="C203" s="30"/>
      <c r="D203" s="30"/>
      <c r="E203" s="30"/>
      <c r="F203" s="30"/>
      <c r="G203" s="30"/>
      <c r="H203" s="30"/>
      <c r="I203" s="30"/>
      <c r="J203" s="30"/>
      <c r="N203" s="40"/>
      <c r="O203" s="40"/>
      <c r="P203" s="40"/>
      <c r="Q203" s="40"/>
      <c r="R203" s="40"/>
      <c r="S203" s="40"/>
      <c r="T203" s="40"/>
      <c r="U203" s="30"/>
    </row>
    <row r="204" spans="1:21" ht="15.75" customHeight="1">
      <c r="A204" s="23"/>
      <c r="B204" s="30"/>
      <c r="C204" s="30"/>
      <c r="D204" s="30"/>
      <c r="E204" s="30"/>
      <c r="F204" s="30"/>
      <c r="G204" s="30"/>
      <c r="H204" s="30"/>
      <c r="I204" s="30"/>
      <c r="J204" s="30"/>
      <c r="N204" s="40"/>
      <c r="O204" s="40"/>
      <c r="P204" s="40"/>
      <c r="Q204" s="40"/>
      <c r="R204" s="40"/>
      <c r="S204" s="40"/>
      <c r="T204" s="40"/>
      <c r="U204" s="30"/>
    </row>
    <row r="205" spans="1:21" ht="15.75" customHeight="1">
      <c r="A205" s="23"/>
      <c r="B205" s="30"/>
      <c r="C205" s="30"/>
      <c r="D205" s="30"/>
      <c r="E205" s="30"/>
      <c r="F205" s="30"/>
      <c r="G205" s="30"/>
      <c r="H205" s="30"/>
      <c r="I205" s="30"/>
      <c r="J205" s="30"/>
      <c r="N205" s="40"/>
      <c r="O205" s="40"/>
      <c r="P205" s="40"/>
      <c r="Q205" s="40"/>
      <c r="R205" s="40"/>
      <c r="S205" s="40"/>
      <c r="T205" s="40"/>
      <c r="U205" s="30"/>
    </row>
    <row r="206" spans="1:21" ht="15.75" customHeight="1">
      <c r="A206" s="23"/>
      <c r="B206" s="30"/>
      <c r="C206" s="30"/>
      <c r="D206" s="30"/>
      <c r="E206" s="30"/>
      <c r="F206" s="30"/>
      <c r="G206" s="30"/>
      <c r="H206" s="30"/>
      <c r="I206" s="30"/>
      <c r="J206" s="30"/>
      <c r="N206" s="40"/>
      <c r="O206" s="40"/>
      <c r="P206" s="40"/>
      <c r="Q206" s="40"/>
      <c r="R206" s="40"/>
      <c r="S206" s="40"/>
      <c r="T206" s="40"/>
      <c r="U206" s="30"/>
    </row>
    <row r="207" spans="1:21" ht="15.75" customHeight="1">
      <c r="A207" s="23"/>
      <c r="B207" s="30"/>
      <c r="C207" s="30"/>
      <c r="D207" s="30"/>
      <c r="E207" s="30"/>
      <c r="F207" s="30"/>
      <c r="G207" s="30"/>
      <c r="H207" s="30"/>
      <c r="I207" s="30"/>
      <c r="J207" s="30"/>
      <c r="N207" s="40"/>
      <c r="O207" s="40"/>
      <c r="P207" s="40"/>
      <c r="Q207" s="40"/>
      <c r="R207" s="40"/>
      <c r="S207" s="40"/>
      <c r="T207" s="40"/>
      <c r="U207" s="30"/>
    </row>
    <row r="208" spans="1:21" ht="15.75" customHeight="1">
      <c r="A208" s="23"/>
      <c r="B208" s="30"/>
      <c r="C208" s="30"/>
      <c r="D208" s="30"/>
      <c r="E208" s="30"/>
      <c r="F208" s="30"/>
      <c r="G208" s="30"/>
      <c r="H208" s="30"/>
      <c r="I208" s="30"/>
      <c r="J208" s="30"/>
      <c r="N208" s="40"/>
      <c r="O208" s="40"/>
      <c r="P208" s="40"/>
      <c r="Q208" s="40"/>
      <c r="R208" s="40"/>
      <c r="S208" s="40"/>
      <c r="T208" s="40"/>
      <c r="U208" s="30"/>
    </row>
    <row r="209" spans="1:21" ht="15.75" customHeight="1">
      <c r="A209" s="23"/>
      <c r="B209" s="30"/>
      <c r="C209" s="30"/>
      <c r="D209" s="30"/>
      <c r="E209" s="30"/>
      <c r="F209" s="30"/>
      <c r="G209" s="30"/>
      <c r="H209" s="30"/>
      <c r="I209" s="30"/>
      <c r="J209" s="30"/>
      <c r="N209" s="40"/>
      <c r="O209" s="40"/>
      <c r="P209" s="40"/>
      <c r="Q209" s="40"/>
      <c r="R209" s="40"/>
      <c r="S209" s="40"/>
      <c r="T209" s="40"/>
      <c r="U209" s="30"/>
    </row>
    <row r="210" spans="1:21" ht="15.75" customHeight="1">
      <c r="A210" s="23"/>
      <c r="B210" s="30"/>
      <c r="C210" s="30"/>
      <c r="D210" s="30"/>
      <c r="E210" s="30"/>
      <c r="F210" s="30"/>
      <c r="G210" s="30"/>
      <c r="H210" s="30"/>
      <c r="I210" s="30"/>
      <c r="J210" s="30"/>
      <c r="N210" s="40"/>
      <c r="O210" s="40"/>
      <c r="P210" s="40"/>
      <c r="Q210" s="40"/>
      <c r="R210" s="40"/>
      <c r="S210" s="40"/>
      <c r="T210" s="40"/>
      <c r="U210" s="30"/>
    </row>
    <row r="211" spans="1:21" ht="15.75" customHeight="1">
      <c r="A211" s="23"/>
      <c r="B211" s="30"/>
      <c r="C211" s="30"/>
      <c r="D211" s="30"/>
      <c r="E211" s="30"/>
      <c r="F211" s="30"/>
      <c r="G211" s="30"/>
      <c r="H211" s="30"/>
      <c r="I211" s="30"/>
      <c r="J211" s="30"/>
      <c r="N211" s="40"/>
      <c r="O211" s="40"/>
      <c r="P211" s="40"/>
      <c r="Q211" s="40"/>
      <c r="R211" s="40"/>
      <c r="S211" s="40"/>
      <c r="T211" s="40"/>
      <c r="U211" s="30"/>
    </row>
    <row r="212" spans="1:21" ht="15.75" customHeight="1">
      <c r="A212" s="23"/>
      <c r="B212" s="30"/>
      <c r="C212" s="30"/>
      <c r="D212" s="30"/>
      <c r="E212" s="30"/>
      <c r="F212" s="30"/>
      <c r="G212" s="30"/>
      <c r="H212" s="30"/>
      <c r="I212" s="30"/>
      <c r="J212" s="30"/>
      <c r="N212" s="40"/>
      <c r="O212" s="40"/>
      <c r="P212" s="40"/>
      <c r="Q212" s="40"/>
      <c r="R212" s="40"/>
      <c r="S212" s="40"/>
      <c r="T212" s="40"/>
      <c r="U212" s="30"/>
    </row>
    <row r="213" spans="1:21" ht="15.75" customHeight="1">
      <c r="A213" s="23"/>
      <c r="B213" s="30"/>
      <c r="C213" s="30"/>
      <c r="D213" s="30"/>
      <c r="E213" s="30"/>
      <c r="F213" s="30"/>
      <c r="G213" s="30"/>
      <c r="H213" s="30"/>
      <c r="I213" s="30"/>
      <c r="J213" s="30"/>
      <c r="N213" s="40"/>
      <c r="O213" s="40"/>
      <c r="P213" s="40"/>
      <c r="Q213" s="40"/>
      <c r="R213" s="40"/>
      <c r="S213" s="40"/>
      <c r="T213" s="40"/>
      <c r="U213" s="30"/>
    </row>
    <row r="214" spans="1:21" ht="15.75" customHeight="1">
      <c r="A214" s="23"/>
      <c r="B214" s="30"/>
      <c r="C214" s="30"/>
      <c r="D214" s="30"/>
      <c r="E214" s="30"/>
      <c r="F214" s="30"/>
      <c r="G214" s="30"/>
      <c r="H214" s="30"/>
      <c r="I214" s="30"/>
      <c r="J214" s="30"/>
      <c r="N214" s="40"/>
      <c r="O214" s="40"/>
      <c r="P214" s="40"/>
      <c r="Q214" s="40"/>
      <c r="R214" s="40"/>
      <c r="S214" s="40"/>
      <c r="T214" s="40"/>
      <c r="U214" s="30"/>
    </row>
    <row r="215" spans="1:21" ht="15.75" customHeight="1">
      <c r="A215" s="23"/>
      <c r="B215" s="30"/>
      <c r="C215" s="30"/>
      <c r="D215" s="30"/>
      <c r="E215" s="30"/>
      <c r="F215" s="30"/>
      <c r="G215" s="30"/>
      <c r="H215" s="30"/>
      <c r="I215" s="30"/>
      <c r="J215" s="30"/>
      <c r="N215" s="40"/>
      <c r="O215" s="40"/>
      <c r="P215" s="40"/>
      <c r="Q215" s="40"/>
      <c r="R215" s="40"/>
      <c r="S215" s="40"/>
      <c r="T215" s="40"/>
      <c r="U215" s="30"/>
    </row>
    <row r="216" spans="1:21" ht="15.75" customHeight="1">
      <c r="A216" s="23"/>
      <c r="B216" s="30"/>
      <c r="C216" s="30"/>
      <c r="D216" s="30"/>
      <c r="E216" s="30"/>
      <c r="F216" s="30"/>
      <c r="G216" s="30"/>
      <c r="H216" s="30"/>
      <c r="I216" s="30"/>
      <c r="J216" s="30"/>
      <c r="N216" s="40"/>
      <c r="O216" s="40"/>
      <c r="P216" s="40"/>
      <c r="Q216" s="40"/>
      <c r="R216" s="40"/>
      <c r="S216" s="40"/>
      <c r="T216" s="40"/>
      <c r="U216" s="30"/>
    </row>
    <row r="217" spans="1:21" ht="15.75" customHeight="1">
      <c r="A217" s="23"/>
      <c r="B217" s="30"/>
      <c r="C217" s="30"/>
      <c r="D217" s="30"/>
      <c r="E217" s="30"/>
      <c r="F217" s="30"/>
      <c r="G217" s="30"/>
      <c r="H217" s="30"/>
      <c r="I217" s="30"/>
      <c r="J217" s="30"/>
      <c r="N217" s="40"/>
      <c r="O217" s="40"/>
      <c r="P217" s="40"/>
      <c r="Q217" s="40"/>
      <c r="R217" s="40"/>
      <c r="S217" s="40"/>
      <c r="T217" s="40"/>
      <c r="U217" s="30"/>
    </row>
    <row r="218" spans="1:21" ht="15.75" customHeight="1">
      <c r="A218" s="23"/>
      <c r="B218" s="30"/>
      <c r="C218" s="30"/>
      <c r="D218" s="30"/>
      <c r="E218" s="30"/>
      <c r="F218" s="30"/>
      <c r="G218" s="30"/>
      <c r="H218" s="30"/>
      <c r="I218" s="30"/>
      <c r="J218" s="30"/>
      <c r="N218" s="40"/>
      <c r="O218" s="40"/>
      <c r="P218" s="40"/>
      <c r="Q218" s="40"/>
      <c r="R218" s="40"/>
      <c r="S218" s="40"/>
      <c r="T218" s="40"/>
      <c r="U218" s="30"/>
    </row>
    <row r="219" spans="1:21" ht="15.75" customHeight="1">
      <c r="A219" s="23"/>
      <c r="B219" s="30"/>
      <c r="C219" s="30"/>
      <c r="D219" s="30"/>
      <c r="E219" s="30"/>
      <c r="F219" s="30"/>
      <c r="G219" s="30"/>
      <c r="H219" s="30"/>
      <c r="I219" s="30"/>
      <c r="J219" s="30"/>
      <c r="N219" s="40"/>
      <c r="O219" s="40"/>
      <c r="P219" s="40"/>
      <c r="Q219" s="40"/>
      <c r="R219" s="40"/>
      <c r="S219" s="40"/>
      <c r="T219" s="40"/>
      <c r="U219" s="30"/>
    </row>
    <row r="220" spans="1:21" ht="15.75" customHeight="1">
      <c r="A220" s="23"/>
      <c r="B220" s="30"/>
      <c r="C220" s="30"/>
      <c r="D220" s="30"/>
      <c r="E220" s="30"/>
      <c r="F220" s="30"/>
      <c r="G220" s="30"/>
      <c r="H220" s="30"/>
      <c r="I220" s="30"/>
      <c r="J220" s="30"/>
      <c r="N220" s="40"/>
      <c r="O220" s="40"/>
      <c r="P220" s="40"/>
      <c r="Q220" s="40"/>
      <c r="R220" s="40"/>
      <c r="S220" s="40"/>
      <c r="T220" s="40"/>
      <c r="U220" s="30"/>
    </row>
    <row r="221" spans="1:21" ht="15.75" customHeight="1"/>
    <row r="222" spans="1:21" ht="15.75" customHeight="1"/>
    <row r="223" spans="1:21" ht="15.75" customHeight="1"/>
    <row r="224" spans="1:2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4140625" defaultRowHeight="15" customHeight="1"/>
  <cols>
    <col min="1" max="1" width="25" customWidth="1"/>
    <col min="2" max="2" width="16" customWidth="1"/>
    <col min="3" max="3" width="15" customWidth="1"/>
    <col min="4" max="4" width="16" customWidth="1"/>
    <col min="5" max="5" width="20" customWidth="1"/>
    <col min="6" max="6" width="18" customWidth="1"/>
    <col min="7" max="8" width="16" customWidth="1"/>
    <col min="9" max="10" width="18" customWidth="1"/>
    <col min="11" max="12" width="4" customWidth="1"/>
    <col min="13" max="13" width="20" customWidth="1"/>
    <col min="14" max="14" width="14" customWidth="1"/>
    <col min="15" max="15" width="20" customWidth="1"/>
    <col min="16" max="18" width="18" customWidth="1"/>
    <col min="19" max="19" width="20" customWidth="1"/>
    <col min="20" max="21" width="18" customWidth="1"/>
  </cols>
  <sheetData>
    <row r="1" spans="1:21" ht="15.75" customHeight="1">
      <c r="A1" s="203" t="s">
        <v>140</v>
      </c>
      <c r="B1" s="203" t="s">
        <v>141</v>
      </c>
      <c r="C1" s="203" t="s">
        <v>142</v>
      </c>
      <c r="D1" s="203" t="s">
        <v>143</v>
      </c>
      <c r="E1" s="203" t="s">
        <v>145</v>
      </c>
      <c r="F1" s="203" t="s">
        <v>157</v>
      </c>
      <c r="G1" s="203" t="s">
        <v>147</v>
      </c>
      <c r="H1" s="203" t="s">
        <v>148</v>
      </c>
      <c r="I1" s="203" t="s">
        <v>149</v>
      </c>
      <c r="J1" s="203" t="s">
        <v>151</v>
      </c>
      <c r="K1" s="6"/>
      <c r="L1" s="6"/>
      <c r="M1" s="203" t="s">
        <v>0</v>
      </c>
      <c r="N1" s="203" t="s">
        <v>142</v>
      </c>
      <c r="O1" s="203" t="s">
        <v>152</v>
      </c>
      <c r="P1" s="203" t="s">
        <v>153</v>
      </c>
      <c r="Q1" s="203" t="s">
        <v>154</v>
      </c>
      <c r="R1" s="203" t="s">
        <v>155</v>
      </c>
      <c r="S1" s="203" t="s">
        <v>145</v>
      </c>
      <c r="T1" s="203" t="s">
        <v>149</v>
      </c>
      <c r="U1" s="203" t="s">
        <v>156</v>
      </c>
    </row>
    <row r="2" spans="1:21" ht="15.75" customHeight="1">
      <c r="A2" s="208" t="s">
        <v>72</v>
      </c>
      <c r="B2" s="206">
        <v>8</v>
      </c>
      <c r="C2" s="206">
        <v>9</v>
      </c>
      <c r="D2" s="206">
        <v>1</v>
      </c>
      <c r="E2" s="206">
        <v>179000</v>
      </c>
      <c r="F2" s="206">
        <v>547000</v>
      </c>
      <c r="G2" s="206">
        <f t="shared" ref="G2:G33" si="0">IF(C2&gt;=10, C2*30000, IF(C2&gt;=7, C2*25000, 0))</f>
        <v>225000</v>
      </c>
      <c r="H2" s="206">
        <f t="shared" ref="H2:H33" si="1">IF(B2&gt;=80, B2*6000, 0)</f>
        <v>0</v>
      </c>
      <c r="I2" s="206">
        <f t="shared" ref="I2:I33" si="2">IF(E2&gt;7000000, E2*0.06, IF(E2&gt;5000000, E2*0.04, IF(E2&gt;3000000, E2*0.03, 0)))</f>
        <v>0</v>
      </c>
      <c r="J2" s="206">
        <f t="shared" ref="J2:J33" si="3">G2+H2+I2</f>
        <v>225000</v>
      </c>
      <c r="K2" s="23"/>
      <c r="L2" s="23"/>
      <c r="M2" s="208" t="s">
        <v>15</v>
      </c>
      <c r="N2" s="206">
        <f>SUM(C2:C8)</f>
        <v>19</v>
      </c>
      <c r="O2" s="206">
        <f>SUM(B2:B8)</f>
        <v>67</v>
      </c>
      <c r="P2" s="206">
        <f t="shared" ref="P2:P10" si="4">IF(N2&gt;=17, 300000, 0)</f>
        <v>300000</v>
      </c>
      <c r="Q2" s="206">
        <f t="shared" ref="Q2:Q10" si="5">IF(O2&gt;=180, 300000, 0)</f>
        <v>0</v>
      </c>
      <c r="R2" s="206">
        <f t="shared" ref="R2:R10" si="6">IF(O2&gt;=150, 150000, 0)</f>
        <v>0</v>
      </c>
      <c r="S2" s="206">
        <f>SUM(E2:E8)</f>
        <v>4714800</v>
      </c>
      <c r="T2" s="206">
        <f t="shared" ref="T2:T10" si="7">IF(S2&gt;30000000, 700000, IF(S2&gt;22000000, 500000, IF(S2&gt;15000000, 200000, 0)))</f>
        <v>0</v>
      </c>
      <c r="U2" s="206">
        <f t="shared" ref="U2:U10" si="8">P2+Q2+R2+T2</f>
        <v>300000</v>
      </c>
    </row>
    <row r="3" spans="1:21" ht="15.75" customHeight="1">
      <c r="A3" s="208" t="s">
        <v>74</v>
      </c>
      <c r="B3" s="206">
        <v>8</v>
      </c>
      <c r="C3" s="206">
        <v>0</v>
      </c>
      <c r="D3" s="206">
        <v>6</v>
      </c>
      <c r="E3" s="206">
        <v>1044000</v>
      </c>
      <c r="F3" s="206">
        <v>0</v>
      </c>
      <c r="G3" s="206">
        <f t="shared" si="0"/>
        <v>0</v>
      </c>
      <c r="H3" s="206">
        <f t="shared" si="1"/>
        <v>0</v>
      </c>
      <c r="I3" s="206">
        <f t="shared" si="2"/>
        <v>0</v>
      </c>
      <c r="J3" s="206">
        <f t="shared" si="3"/>
        <v>0</v>
      </c>
      <c r="K3" s="23"/>
      <c r="L3" s="23"/>
      <c r="M3" s="208" t="s">
        <v>17</v>
      </c>
      <c r="N3" s="206">
        <f>SUM(C9:C15)</f>
        <v>5</v>
      </c>
      <c r="O3" s="206">
        <f>SUM(B9:B15)</f>
        <v>42</v>
      </c>
      <c r="P3" s="206">
        <f t="shared" si="4"/>
        <v>0</v>
      </c>
      <c r="Q3" s="206">
        <f t="shared" si="5"/>
        <v>0</v>
      </c>
      <c r="R3" s="206">
        <f t="shared" si="6"/>
        <v>0</v>
      </c>
      <c r="S3" s="206">
        <f>SUM(E9:E15)</f>
        <v>686000</v>
      </c>
      <c r="T3" s="206">
        <f t="shared" si="7"/>
        <v>0</v>
      </c>
      <c r="U3" s="206">
        <f t="shared" si="8"/>
        <v>0</v>
      </c>
    </row>
    <row r="4" spans="1:21" ht="15.75" customHeight="1">
      <c r="A4" s="208" t="s">
        <v>76</v>
      </c>
      <c r="B4" s="206">
        <v>3</v>
      </c>
      <c r="C4" s="206">
        <v>2</v>
      </c>
      <c r="D4" s="206">
        <v>1</v>
      </c>
      <c r="E4" s="206">
        <v>149000</v>
      </c>
      <c r="F4" s="206">
        <v>960000</v>
      </c>
      <c r="G4" s="206">
        <f t="shared" si="0"/>
        <v>0</v>
      </c>
      <c r="H4" s="206">
        <f t="shared" si="1"/>
        <v>0</v>
      </c>
      <c r="I4" s="206">
        <f t="shared" si="2"/>
        <v>0</v>
      </c>
      <c r="J4" s="206">
        <f t="shared" si="3"/>
        <v>0</v>
      </c>
      <c r="K4" s="23"/>
      <c r="L4" s="23"/>
      <c r="M4" s="208" t="s">
        <v>18</v>
      </c>
      <c r="N4" s="206">
        <f>SUM(C16:C21)</f>
        <v>17</v>
      </c>
      <c r="O4" s="206">
        <f>SUM(B16:B21)</f>
        <v>27</v>
      </c>
      <c r="P4" s="206">
        <f t="shared" si="4"/>
        <v>300000</v>
      </c>
      <c r="Q4" s="206">
        <f t="shared" si="5"/>
        <v>0</v>
      </c>
      <c r="R4" s="206">
        <f t="shared" si="6"/>
        <v>0</v>
      </c>
      <c r="S4" s="206">
        <f>SUM(E16:E21)</f>
        <v>4954000</v>
      </c>
      <c r="T4" s="206">
        <f t="shared" si="7"/>
        <v>0</v>
      </c>
      <c r="U4" s="206">
        <f t="shared" si="8"/>
        <v>300000</v>
      </c>
    </row>
    <row r="5" spans="1:21" ht="15.75" customHeight="1">
      <c r="A5" s="208" t="s">
        <v>78</v>
      </c>
      <c r="B5" s="206">
        <v>6</v>
      </c>
      <c r="C5" s="206">
        <v>6</v>
      </c>
      <c r="D5" s="206">
        <v>6</v>
      </c>
      <c r="E5" s="206">
        <v>984000</v>
      </c>
      <c r="F5" s="206">
        <v>2880000</v>
      </c>
      <c r="G5" s="206">
        <f t="shared" si="0"/>
        <v>0</v>
      </c>
      <c r="H5" s="206">
        <f t="shared" si="1"/>
        <v>0</v>
      </c>
      <c r="I5" s="206">
        <f t="shared" si="2"/>
        <v>0</v>
      </c>
      <c r="J5" s="206">
        <f t="shared" si="3"/>
        <v>0</v>
      </c>
      <c r="K5" s="23"/>
      <c r="L5" s="23"/>
      <c r="M5" s="208" t="s">
        <v>19</v>
      </c>
      <c r="N5" s="206">
        <f>SUM(C22:C28)</f>
        <v>10</v>
      </c>
      <c r="O5" s="206">
        <f>SUM(B22:B28)</f>
        <v>40</v>
      </c>
      <c r="P5" s="206">
        <f t="shared" si="4"/>
        <v>0</v>
      </c>
      <c r="Q5" s="206">
        <f t="shared" si="5"/>
        <v>0</v>
      </c>
      <c r="R5" s="206">
        <f t="shared" si="6"/>
        <v>0</v>
      </c>
      <c r="S5" s="206">
        <f>SUM(E22:E28)</f>
        <v>3313000</v>
      </c>
      <c r="T5" s="206">
        <f t="shared" si="7"/>
        <v>0</v>
      </c>
      <c r="U5" s="206">
        <f t="shared" si="8"/>
        <v>0</v>
      </c>
    </row>
    <row r="6" spans="1:21" ht="15.75" customHeight="1">
      <c r="A6" s="208" t="s">
        <v>80</v>
      </c>
      <c r="B6" s="206">
        <v>8</v>
      </c>
      <c r="C6" s="206">
        <v>1</v>
      </c>
      <c r="D6" s="206">
        <v>1</v>
      </c>
      <c r="E6" s="206">
        <v>179000</v>
      </c>
      <c r="F6" s="206">
        <v>480000</v>
      </c>
      <c r="G6" s="206">
        <f t="shared" si="0"/>
        <v>0</v>
      </c>
      <c r="H6" s="206">
        <f t="shared" si="1"/>
        <v>0</v>
      </c>
      <c r="I6" s="206">
        <f t="shared" si="2"/>
        <v>0</v>
      </c>
      <c r="J6" s="206">
        <f t="shared" si="3"/>
        <v>0</v>
      </c>
      <c r="K6" s="23"/>
      <c r="L6" s="23"/>
      <c r="M6" s="208" t="s">
        <v>20</v>
      </c>
      <c r="N6" s="206">
        <f>SUM(C29:C34)</f>
        <v>4</v>
      </c>
      <c r="O6" s="206">
        <f>SUM(B29:B34)</f>
        <v>24</v>
      </c>
      <c r="P6" s="206">
        <f t="shared" si="4"/>
        <v>0</v>
      </c>
      <c r="Q6" s="206">
        <f t="shared" si="5"/>
        <v>0</v>
      </c>
      <c r="R6" s="206">
        <f t="shared" si="6"/>
        <v>0</v>
      </c>
      <c r="S6" s="206">
        <f>SUM(E29:E34)</f>
        <v>1521000</v>
      </c>
      <c r="T6" s="206">
        <f t="shared" si="7"/>
        <v>0</v>
      </c>
      <c r="U6" s="206">
        <f t="shared" si="8"/>
        <v>0</v>
      </c>
    </row>
    <row r="7" spans="1:21" ht="15.75" customHeight="1">
      <c r="A7" s="208" t="s">
        <v>82</v>
      </c>
      <c r="B7" s="206">
        <v>24</v>
      </c>
      <c r="C7" s="206">
        <v>0</v>
      </c>
      <c r="D7" s="206">
        <v>3</v>
      </c>
      <c r="E7" s="206">
        <v>537000</v>
      </c>
      <c r="F7" s="206">
        <v>0</v>
      </c>
      <c r="G7" s="206">
        <f t="shared" si="0"/>
        <v>0</v>
      </c>
      <c r="H7" s="206">
        <f t="shared" si="1"/>
        <v>0</v>
      </c>
      <c r="I7" s="206">
        <f t="shared" si="2"/>
        <v>0</v>
      </c>
      <c r="J7" s="206">
        <f t="shared" si="3"/>
        <v>0</v>
      </c>
      <c r="K7" s="23"/>
      <c r="L7" s="23"/>
      <c r="M7" s="208" t="s">
        <v>21</v>
      </c>
      <c r="N7" s="206">
        <f>SUM(C35:C43)</f>
        <v>27</v>
      </c>
      <c r="O7" s="206">
        <f>SUM(B35:B43)</f>
        <v>106</v>
      </c>
      <c r="P7" s="206">
        <f t="shared" si="4"/>
        <v>300000</v>
      </c>
      <c r="Q7" s="206">
        <f t="shared" si="5"/>
        <v>0</v>
      </c>
      <c r="R7" s="206">
        <f t="shared" si="6"/>
        <v>0</v>
      </c>
      <c r="S7" s="206">
        <f>SUM(E35:E43)</f>
        <v>3701000</v>
      </c>
      <c r="T7" s="206">
        <f t="shared" si="7"/>
        <v>0</v>
      </c>
      <c r="U7" s="206">
        <f t="shared" si="8"/>
        <v>300000</v>
      </c>
    </row>
    <row r="8" spans="1:21" ht="15.75" customHeight="1">
      <c r="A8" s="208" t="s">
        <v>83</v>
      </c>
      <c r="B8" s="206">
        <v>10</v>
      </c>
      <c r="C8" s="206">
        <v>1</v>
      </c>
      <c r="D8" s="206">
        <v>10</v>
      </c>
      <c r="E8" s="206">
        <v>1642800</v>
      </c>
      <c r="F8" s="206">
        <v>480000</v>
      </c>
      <c r="G8" s="206">
        <f t="shared" si="0"/>
        <v>0</v>
      </c>
      <c r="H8" s="206">
        <f t="shared" si="1"/>
        <v>0</v>
      </c>
      <c r="I8" s="206">
        <f t="shared" si="2"/>
        <v>0</v>
      </c>
      <c r="J8" s="206">
        <f t="shared" si="3"/>
        <v>0</v>
      </c>
      <c r="K8" s="23"/>
      <c r="L8" s="23"/>
      <c r="M8" s="208" t="s">
        <v>22</v>
      </c>
      <c r="N8" s="206">
        <f>SUM(C44:C47)</f>
        <v>9</v>
      </c>
      <c r="O8" s="206">
        <f>SUM(B44:B47)</f>
        <v>73</v>
      </c>
      <c r="P8" s="206">
        <f t="shared" si="4"/>
        <v>0</v>
      </c>
      <c r="Q8" s="206">
        <f t="shared" si="5"/>
        <v>0</v>
      </c>
      <c r="R8" s="206">
        <f t="shared" si="6"/>
        <v>0</v>
      </c>
      <c r="S8" s="206">
        <f>SUM(E44:E47)</f>
        <v>627000</v>
      </c>
      <c r="T8" s="206">
        <f t="shared" si="7"/>
        <v>0</v>
      </c>
      <c r="U8" s="206">
        <f t="shared" si="8"/>
        <v>0</v>
      </c>
    </row>
    <row r="9" spans="1:21" ht="15.75" customHeight="1">
      <c r="A9" s="208" t="s">
        <v>84</v>
      </c>
      <c r="B9" s="206">
        <v>7</v>
      </c>
      <c r="C9" s="206">
        <v>1</v>
      </c>
      <c r="D9" s="206">
        <v>1</v>
      </c>
      <c r="E9" s="206">
        <v>149000</v>
      </c>
      <c r="F9" s="206">
        <v>480000</v>
      </c>
      <c r="G9" s="206">
        <f t="shared" si="0"/>
        <v>0</v>
      </c>
      <c r="H9" s="206">
        <f t="shared" si="1"/>
        <v>0</v>
      </c>
      <c r="I9" s="206">
        <f t="shared" si="2"/>
        <v>0</v>
      </c>
      <c r="J9" s="206">
        <f t="shared" si="3"/>
        <v>0</v>
      </c>
      <c r="K9" s="23"/>
      <c r="L9" s="23"/>
      <c r="M9" s="208" t="s">
        <v>23</v>
      </c>
      <c r="N9" s="206">
        <f>SUM(C48:C53)</f>
        <v>10</v>
      </c>
      <c r="O9" s="206">
        <f>SUM(B48:B53)</f>
        <v>166</v>
      </c>
      <c r="P9" s="206">
        <f t="shared" si="4"/>
        <v>0</v>
      </c>
      <c r="Q9" s="206">
        <f t="shared" si="5"/>
        <v>0</v>
      </c>
      <c r="R9" s="206">
        <f t="shared" si="6"/>
        <v>150000</v>
      </c>
      <c r="S9" s="206">
        <f>SUM(E48:E53)</f>
        <v>3432000</v>
      </c>
      <c r="T9" s="206">
        <f t="shared" si="7"/>
        <v>0</v>
      </c>
      <c r="U9" s="206">
        <f t="shared" si="8"/>
        <v>150000</v>
      </c>
    </row>
    <row r="10" spans="1:21" ht="15.75" customHeight="1">
      <c r="A10" s="208" t="s">
        <v>85</v>
      </c>
      <c r="B10" s="206">
        <v>0</v>
      </c>
      <c r="C10" s="206">
        <v>0</v>
      </c>
      <c r="D10" s="206">
        <v>0</v>
      </c>
      <c r="E10" s="206">
        <v>0</v>
      </c>
      <c r="F10" s="206">
        <v>0</v>
      </c>
      <c r="G10" s="206">
        <f t="shared" si="0"/>
        <v>0</v>
      </c>
      <c r="H10" s="206">
        <f t="shared" si="1"/>
        <v>0</v>
      </c>
      <c r="I10" s="206">
        <f t="shared" si="2"/>
        <v>0</v>
      </c>
      <c r="J10" s="206">
        <f t="shared" si="3"/>
        <v>0</v>
      </c>
      <c r="K10" s="23"/>
      <c r="L10" s="23"/>
      <c r="M10" s="208" t="s">
        <v>24</v>
      </c>
      <c r="N10" s="206">
        <f>SUM(C54:C61)</f>
        <v>16</v>
      </c>
      <c r="O10" s="206">
        <f>SUM(B54:B61)</f>
        <v>53</v>
      </c>
      <c r="P10" s="206">
        <f t="shared" si="4"/>
        <v>0</v>
      </c>
      <c r="Q10" s="206">
        <f t="shared" si="5"/>
        <v>0</v>
      </c>
      <c r="R10" s="206">
        <f t="shared" si="6"/>
        <v>0</v>
      </c>
      <c r="S10" s="206">
        <f>SUM(E54:E61)</f>
        <v>2237000</v>
      </c>
      <c r="T10" s="206">
        <f t="shared" si="7"/>
        <v>0</v>
      </c>
      <c r="U10" s="206">
        <f t="shared" si="8"/>
        <v>0</v>
      </c>
    </row>
    <row r="11" spans="1:21" ht="15.75" customHeight="1">
      <c r="A11" s="208" t="s">
        <v>86</v>
      </c>
      <c r="B11" s="206">
        <v>3</v>
      </c>
      <c r="C11" s="206">
        <v>0</v>
      </c>
      <c r="D11" s="206">
        <v>1</v>
      </c>
      <c r="E11" s="206">
        <v>179000</v>
      </c>
      <c r="F11" s="206">
        <v>0</v>
      </c>
      <c r="G11" s="206">
        <f t="shared" si="0"/>
        <v>0</v>
      </c>
      <c r="H11" s="206">
        <f t="shared" si="1"/>
        <v>0</v>
      </c>
      <c r="I11" s="206">
        <f t="shared" si="2"/>
        <v>0</v>
      </c>
      <c r="J11" s="206">
        <f t="shared" si="3"/>
        <v>0</v>
      </c>
      <c r="K11" s="23"/>
      <c r="L11" s="23"/>
      <c r="M11" s="209" t="s">
        <v>139</v>
      </c>
      <c r="N11" s="210">
        <f t="shared" ref="N11:U11" si="9">SUM(N2:N10)</f>
        <v>117</v>
      </c>
      <c r="O11" s="210">
        <f t="shared" si="9"/>
        <v>598</v>
      </c>
      <c r="P11" s="210">
        <f t="shared" si="9"/>
        <v>900000</v>
      </c>
      <c r="Q11" s="210">
        <f t="shared" si="9"/>
        <v>0</v>
      </c>
      <c r="R11" s="210">
        <f t="shared" si="9"/>
        <v>150000</v>
      </c>
      <c r="S11" s="210">
        <f t="shared" si="9"/>
        <v>25185800</v>
      </c>
      <c r="T11" s="210">
        <f t="shared" si="9"/>
        <v>0</v>
      </c>
      <c r="U11" s="210">
        <f t="shared" si="9"/>
        <v>1050000</v>
      </c>
    </row>
    <row r="12" spans="1:21" ht="15.75" customHeight="1">
      <c r="A12" s="208" t="s">
        <v>87</v>
      </c>
      <c r="B12" s="206">
        <v>8</v>
      </c>
      <c r="C12" s="206">
        <v>0</v>
      </c>
      <c r="D12" s="206">
        <v>0</v>
      </c>
      <c r="E12" s="206">
        <v>0</v>
      </c>
      <c r="F12" s="206">
        <v>0</v>
      </c>
      <c r="G12" s="206">
        <f t="shared" si="0"/>
        <v>0</v>
      </c>
      <c r="H12" s="206">
        <f t="shared" si="1"/>
        <v>0</v>
      </c>
      <c r="I12" s="206">
        <f t="shared" si="2"/>
        <v>0</v>
      </c>
      <c r="J12" s="206">
        <f t="shared" si="3"/>
        <v>0</v>
      </c>
      <c r="K12" s="23"/>
      <c r="L12" s="23"/>
      <c r="M12" s="23"/>
      <c r="N12" s="30"/>
      <c r="O12" s="30"/>
      <c r="P12" s="30"/>
      <c r="Q12" s="30"/>
      <c r="R12" s="30"/>
      <c r="S12" s="30"/>
      <c r="T12" s="30"/>
      <c r="U12" s="30"/>
    </row>
    <row r="13" spans="1:21" ht="15.75" customHeight="1">
      <c r="A13" s="208" t="s">
        <v>88</v>
      </c>
      <c r="B13" s="206">
        <v>6</v>
      </c>
      <c r="C13" s="206">
        <v>4</v>
      </c>
      <c r="D13" s="206">
        <v>1</v>
      </c>
      <c r="E13" s="206">
        <v>179000</v>
      </c>
      <c r="F13" s="206">
        <v>1920000</v>
      </c>
      <c r="G13" s="206">
        <f t="shared" si="0"/>
        <v>0</v>
      </c>
      <c r="H13" s="206">
        <f t="shared" si="1"/>
        <v>0</v>
      </c>
      <c r="I13" s="206">
        <f t="shared" si="2"/>
        <v>0</v>
      </c>
      <c r="J13" s="206">
        <f t="shared" si="3"/>
        <v>0</v>
      </c>
      <c r="N13" s="40"/>
      <c r="O13" s="40"/>
      <c r="P13" s="40"/>
      <c r="Q13" s="40"/>
      <c r="R13" s="40"/>
      <c r="S13" s="40"/>
      <c r="T13" s="40"/>
      <c r="U13" s="30"/>
    </row>
    <row r="14" spans="1:21" ht="15.75" customHeight="1">
      <c r="A14" s="208" t="s">
        <v>89</v>
      </c>
      <c r="B14" s="206">
        <v>7</v>
      </c>
      <c r="C14" s="206">
        <v>0</v>
      </c>
      <c r="D14" s="206">
        <v>1</v>
      </c>
      <c r="E14" s="206">
        <v>179000</v>
      </c>
      <c r="F14" s="206">
        <v>0</v>
      </c>
      <c r="G14" s="206">
        <f t="shared" si="0"/>
        <v>0</v>
      </c>
      <c r="H14" s="206">
        <f t="shared" si="1"/>
        <v>0</v>
      </c>
      <c r="I14" s="206">
        <f t="shared" si="2"/>
        <v>0</v>
      </c>
      <c r="J14" s="206">
        <f t="shared" si="3"/>
        <v>0</v>
      </c>
      <c r="N14" s="40"/>
      <c r="O14" s="40"/>
      <c r="P14" s="40"/>
      <c r="Q14" s="40"/>
      <c r="R14" s="40"/>
      <c r="S14" s="40"/>
      <c r="T14" s="40"/>
      <c r="U14" s="30"/>
    </row>
    <row r="15" spans="1:21" ht="15.75" customHeight="1">
      <c r="A15" s="208" t="s">
        <v>90</v>
      </c>
      <c r="B15" s="206">
        <v>11</v>
      </c>
      <c r="C15" s="206">
        <v>0</v>
      </c>
      <c r="D15" s="206">
        <v>0</v>
      </c>
      <c r="E15" s="206">
        <v>0</v>
      </c>
      <c r="F15" s="206">
        <v>0</v>
      </c>
      <c r="G15" s="206">
        <f t="shared" si="0"/>
        <v>0</v>
      </c>
      <c r="H15" s="206">
        <f t="shared" si="1"/>
        <v>0</v>
      </c>
      <c r="I15" s="206">
        <f t="shared" si="2"/>
        <v>0</v>
      </c>
      <c r="J15" s="206">
        <f t="shared" si="3"/>
        <v>0</v>
      </c>
      <c r="N15" s="40"/>
      <c r="O15" s="40"/>
      <c r="P15" s="40"/>
      <c r="Q15" s="40"/>
      <c r="R15" s="40"/>
      <c r="S15" s="40"/>
      <c r="T15" s="40"/>
      <c r="U15" s="30"/>
    </row>
    <row r="16" spans="1:21" ht="15.75" customHeight="1">
      <c r="A16" s="208" t="s">
        <v>91</v>
      </c>
      <c r="B16" s="206">
        <v>3</v>
      </c>
      <c r="C16" s="206">
        <v>2</v>
      </c>
      <c r="D16" s="206">
        <v>3</v>
      </c>
      <c r="E16" s="206">
        <v>567000</v>
      </c>
      <c r="F16" s="206">
        <v>960000</v>
      </c>
      <c r="G16" s="206">
        <f t="shared" si="0"/>
        <v>0</v>
      </c>
      <c r="H16" s="206">
        <f t="shared" si="1"/>
        <v>0</v>
      </c>
      <c r="I16" s="206">
        <f t="shared" si="2"/>
        <v>0</v>
      </c>
      <c r="J16" s="206">
        <f t="shared" si="3"/>
        <v>0</v>
      </c>
      <c r="N16" s="40"/>
      <c r="O16" s="40"/>
      <c r="P16" s="40"/>
      <c r="Q16" s="40"/>
      <c r="R16" s="40"/>
      <c r="S16" s="40"/>
      <c r="T16" s="40"/>
      <c r="U16" s="30"/>
    </row>
    <row r="17" spans="1:21" ht="15.75" customHeight="1">
      <c r="A17" s="208" t="s">
        <v>78</v>
      </c>
      <c r="B17" s="206">
        <v>6</v>
      </c>
      <c r="C17" s="206">
        <v>6</v>
      </c>
      <c r="D17" s="206">
        <v>6</v>
      </c>
      <c r="E17" s="206">
        <v>984000</v>
      </c>
      <c r="F17" s="206">
        <v>2880000</v>
      </c>
      <c r="G17" s="206">
        <f t="shared" si="0"/>
        <v>0</v>
      </c>
      <c r="H17" s="206">
        <f t="shared" si="1"/>
        <v>0</v>
      </c>
      <c r="I17" s="206">
        <f t="shared" si="2"/>
        <v>0</v>
      </c>
      <c r="J17" s="206">
        <f t="shared" si="3"/>
        <v>0</v>
      </c>
      <c r="N17" s="40"/>
      <c r="O17" s="40"/>
      <c r="P17" s="40"/>
      <c r="Q17" s="40"/>
      <c r="R17" s="40"/>
      <c r="S17" s="40"/>
      <c r="T17" s="40"/>
      <c r="U17" s="30"/>
    </row>
    <row r="18" spans="1:21" ht="15.75" customHeight="1">
      <c r="A18" s="208" t="s">
        <v>92</v>
      </c>
      <c r="B18" s="206">
        <v>11</v>
      </c>
      <c r="C18" s="206">
        <v>4</v>
      </c>
      <c r="D18" s="206">
        <v>11</v>
      </c>
      <c r="E18" s="206">
        <v>2179000</v>
      </c>
      <c r="F18" s="206">
        <v>1920000</v>
      </c>
      <c r="G18" s="206">
        <f t="shared" si="0"/>
        <v>0</v>
      </c>
      <c r="H18" s="206">
        <f t="shared" si="1"/>
        <v>0</v>
      </c>
      <c r="I18" s="206">
        <f t="shared" si="2"/>
        <v>0</v>
      </c>
      <c r="J18" s="206">
        <f t="shared" si="3"/>
        <v>0</v>
      </c>
      <c r="N18" s="40"/>
      <c r="O18" s="40"/>
      <c r="P18" s="40"/>
      <c r="Q18" s="40"/>
      <c r="R18" s="40"/>
      <c r="S18" s="40"/>
      <c r="T18" s="40"/>
      <c r="U18" s="30"/>
    </row>
    <row r="19" spans="1:21" ht="15.75" customHeight="1">
      <c r="A19" s="208" t="s">
        <v>93</v>
      </c>
      <c r="B19" s="206">
        <v>6</v>
      </c>
      <c r="C19" s="206">
        <v>5</v>
      </c>
      <c r="D19" s="206">
        <v>5</v>
      </c>
      <c r="E19" s="206">
        <v>1015000</v>
      </c>
      <c r="F19" s="206">
        <v>2400000</v>
      </c>
      <c r="G19" s="206">
        <f t="shared" si="0"/>
        <v>0</v>
      </c>
      <c r="H19" s="206">
        <f t="shared" si="1"/>
        <v>0</v>
      </c>
      <c r="I19" s="206">
        <f t="shared" si="2"/>
        <v>0</v>
      </c>
      <c r="J19" s="206">
        <f t="shared" si="3"/>
        <v>0</v>
      </c>
      <c r="N19" s="40"/>
      <c r="O19" s="40"/>
      <c r="P19" s="40"/>
      <c r="Q19" s="40"/>
      <c r="R19" s="40"/>
      <c r="S19" s="40"/>
      <c r="T19" s="40"/>
      <c r="U19" s="30"/>
    </row>
    <row r="20" spans="1:21" ht="15.75" customHeight="1">
      <c r="A20" s="208" t="s">
        <v>94</v>
      </c>
      <c r="B20" s="206">
        <v>1</v>
      </c>
      <c r="C20" s="206">
        <v>0</v>
      </c>
      <c r="D20" s="206">
        <v>1</v>
      </c>
      <c r="E20" s="206">
        <v>209000</v>
      </c>
      <c r="F20" s="206">
        <v>0</v>
      </c>
      <c r="G20" s="206">
        <f t="shared" si="0"/>
        <v>0</v>
      </c>
      <c r="H20" s="206">
        <f t="shared" si="1"/>
        <v>0</v>
      </c>
      <c r="I20" s="206">
        <f t="shared" si="2"/>
        <v>0</v>
      </c>
      <c r="J20" s="206">
        <f t="shared" si="3"/>
        <v>0</v>
      </c>
      <c r="N20" s="40"/>
      <c r="O20" s="40"/>
      <c r="P20" s="40"/>
      <c r="Q20" s="40"/>
      <c r="R20" s="40"/>
      <c r="S20" s="40"/>
      <c r="T20" s="40"/>
      <c r="U20" s="30"/>
    </row>
    <row r="21" spans="1:21" ht="15.75" customHeight="1">
      <c r="A21" s="208" t="s">
        <v>85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f t="shared" si="0"/>
        <v>0</v>
      </c>
      <c r="H21" s="206">
        <f t="shared" si="1"/>
        <v>0</v>
      </c>
      <c r="I21" s="206">
        <f t="shared" si="2"/>
        <v>0</v>
      </c>
      <c r="J21" s="206">
        <f t="shared" si="3"/>
        <v>0</v>
      </c>
      <c r="N21" s="40"/>
      <c r="O21" s="40"/>
      <c r="P21" s="40"/>
      <c r="Q21" s="40"/>
      <c r="R21" s="40"/>
      <c r="S21" s="40"/>
      <c r="T21" s="40"/>
      <c r="U21" s="30"/>
    </row>
    <row r="22" spans="1:21" ht="15.75" customHeight="1">
      <c r="A22" s="208" t="s">
        <v>96</v>
      </c>
      <c r="B22" s="206">
        <v>12</v>
      </c>
      <c r="C22" s="206">
        <v>1</v>
      </c>
      <c r="D22" s="206">
        <v>4</v>
      </c>
      <c r="E22" s="206">
        <v>746000</v>
      </c>
      <c r="F22" s="206">
        <v>480000</v>
      </c>
      <c r="G22" s="206">
        <f t="shared" si="0"/>
        <v>0</v>
      </c>
      <c r="H22" s="206">
        <f t="shared" si="1"/>
        <v>0</v>
      </c>
      <c r="I22" s="206">
        <f t="shared" si="2"/>
        <v>0</v>
      </c>
      <c r="J22" s="206">
        <f t="shared" si="3"/>
        <v>0</v>
      </c>
      <c r="N22" s="40"/>
      <c r="O22" s="40"/>
      <c r="P22" s="40"/>
      <c r="Q22" s="40"/>
      <c r="R22" s="40"/>
      <c r="S22" s="40"/>
      <c r="T22" s="40"/>
      <c r="U22" s="30"/>
    </row>
    <row r="23" spans="1:21" ht="15.75" customHeight="1">
      <c r="A23" s="208" t="s">
        <v>97</v>
      </c>
      <c r="B23" s="206">
        <v>8</v>
      </c>
      <c r="C23" s="206">
        <v>0</v>
      </c>
      <c r="D23" s="206">
        <v>1</v>
      </c>
      <c r="E23" s="206">
        <v>209000</v>
      </c>
      <c r="F23" s="206">
        <v>0</v>
      </c>
      <c r="G23" s="206">
        <f t="shared" si="0"/>
        <v>0</v>
      </c>
      <c r="H23" s="206">
        <f t="shared" si="1"/>
        <v>0</v>
      </c>
      <c r="I23" s="206">
        <f t="shared" si="2"/>
        <v>0</v>
      </c>
      <c r="J23" s="206">
        <f t="shared" si="3"/>
        <v>0</v>
      </c>
      <c r="N23" s="40"/>
      <c r="O23" s="40"/>
      <c r="P23" s="40"/>
      <c r="Q23" s="40"/>
      <c r="R23" s="40"/>
      <c r="S23" s="40"/>
      <c r="T23" s="40"/>
      <c r="U23" s="30"/>
    </row>
    <row r="24" spans="1:21" ht="15.75" customHeight="1">
      <c r="A24" s="208" t="s">
        <v>98</v>
      </c>
      <c r="B24" s="206">
        <v>1</v>
      </c>
      <c r="C24" s="206">
        <v>0</v>
      </c>
      <c r="D24" s="206">
        <v>0</v>
      </c>
      <c r="E24" s="206">
        <v>0</v>
      </c>
      <c r="F24" s="206">
        <v>0</v>
      </c>
      <c r="G24" s="206">
        <f t="shared" si="0"/>
        <v>0</v>
      </c>
      <c r="H24" s="206">
        <f t="shared" si="1"/>
        <v>0</v>
      </c>
      <c r="I24" s="206">
        <f t="shared" si="2"/>
        <v>0</v>
      </c>
      <c r="J24" s="206">
        <f t="shared" si="3"/>
        <v>0</v>
      </c>
      <c r="N24" s="40"/>
      <c r="O24" s="40"/>
      <c r="P24" s="40"/>
      <c r="Q24" s="40"/>
      <c r="R24" s="40"/>
      <c r="S24" s="40"/>
      <c r="T24" s="40"/>
      <c r="U24" s="30"/>
    </row>
    <row r="25" spans="1:21" ht="15.75" customHeight="1">
      <c r="A25" s="208" t="s">
        <v>88</v>
      </c>
      <c r="B25" s="206">
        <v>6</v>
      </c>
      <c r="C25" s="206">
        <v>4</v>
      </c>
      <c r="D25" s="206">
        <v>1</v>
      </c>
      <c r="E25" s="206">
        <v>179000</v>
      </c>
      <c r="F25" s="206">
        <v>1920000</v>
      </c>
      <c r="G25" s="206">
        <f t="shared" si="0"/>
        <v>0</v>
      </c>
      <c r="H25" s="206">
        <f t="shared" si="1"/>
        <v>0</v>
      </c>
      <c r="I25" s="206">
        <f t="shared" si="2"/>
        <v>0</v>
      </c>
      <c r="J25" s="206">
        <f t="shared" si="3"/>
        <v>0</v>
      </c>
      <c r="N25" s="40"/>
      <c r="O25" s="40"/>
      <c r="P25" s="40"/>
      <c r="Q25" s="40"/>
      <c r="R25" s="40"/>
      <c r="S25" s="40"/>
      <c r="T25" s="40"/>
      <c r="U25" s="30"/>
    </row>
    <row r="26" spans="1:21" ht="15.75" customHeight="1">
      <c r="A26" s="208" t="s">
        <v>100</v>
      </c>
      <c r="B26" s="206">
        <v>2</v>
      </c>
      <c r="C26" s="206">
        <v>1</v>
      </c>
      <c r="D26" s="206">
        <v>0</v>
      </c>
      <c r="E26" s="206">
        <v>0</v>
      </c>
      <c r="F26" s="206">
        <v>480000</v>
      </c>
      <c r="G26" s="206">
        <f t="shared" si="0"/>
        <v>0</v>
      </c>
      <c r="H26" s="206">
        <f t="shared" si="1"/>
        <v>0</v>
      </c>
      <c r="I26" s="206">
        <f t="shared" si="2"/>
        <v>0</v>
      </c>
      <c r="J26" s="206">
        <f t="shared" si="3"/>
        <v>0</v>
      </c>
      <c r="N26" s="40"/>
      <c r="O26" s="40"/>
      <c r="P26" s="40"/>
      <c r="Q26" s="40"/>
      <c r="R26" s="40"/>
      <c r="S26" s="40"/>
      <c r="T26" s="40"/>
      <c r="U26" s="30"/>
    </row>
    <row r="27" spans="1:21" ht="15.75" customHeight="1">
      <c r="A27" s="208" t="s">
        <v>92</v>
      </c>
      <c r="B27" s="206">
        <v>11</v>
      </c>
      <c r="C27" s="206">
        <v>4</v>
      </c>
      <c r="D27" s="206">
        <v>11</v>
      </c>
      <c r="E27" s="206">
        <v>2179000</v>
      </c>
      <c r="F27" s="206">
        <v>1920000</v>
      </c>
      <c r="G27" s="206">
        <f t="shared" si="0"/>
        <v>0</v>
      </c>
      <c r="H27" s="206">
        <f t="shared" si="1"/>
        <v>0</v>
      </c>
      <c r="I27" s="206">
        <f t="shared" si="2"/>
        <v>0</v>
      </c>
      <c r="J27" s="206">
        <f t="shared" si="3"/>
        <v>0</v>
      </c>
      <c r="N27" s="40"/>
      <c r="O27" s="40"/>
      <c r="P27" s="40"/>
      <c r="Q27" s="40"/>
      <c r="R27" s="40"/>
      <c r="S27" s="40"/>
      <c r="T27" s="40"/>
      <c r="U27" s="30"/>
    </row>
    <row r="28" spans="1:21" ht="15.75" customHeight="1">
      <c r="A28" s="208" t="s">
        <v>101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f t="shared" si="0"/>
        <v>0</v>
      </c>
      <c r="H28" s="206">
        <f t="shared" si="1"/>
        <v>0</v>
      </c>
      <c r="I28" s="206">
        <f t="shared" si="2"/>
        <v>0</v>
      </c>
      <c r="J28" s="206">
        <f t="shared" si="3"/>
        <v>0</v>
      </c>
      <c r="N28" s="40"/>
      <c r="O28" s="40"/>
      <c r="P28" s="40"/>
      <c r="Q28" s="40"/>
      <c r="R28" s="40"/>
      <c r="S28" s="40"/>
      <c r="T28" s="40"/>
      <c r="U28" s="30"/>
    </row>
    <row r="29" spans="1:21" ht="15.75" customHeight="1">
      <c r="A29" s="208" t="s">
        <v>103</v>
      </c>
      <c r="B29" s="206">
        <v>2</v>
      </c>
      <c r="C29" s="206">
        <v>0</v>
      </c>
      <c r="D29" s="206">
        <v>2</v>
      </c>
      <c r="E29" s="206">
        <v>298000</v>
      </c>
      <c r="F29" s="206">
        <v>0</v>
      </c>
      <c r="G29" s="206">
        <f t="shared" si="0"/>
        <v>0</v>
      </c>
      <c r="H29" s="206">
        <f t="shared" si="1"/>
        <v>0</v>
      </c>
      <c r="I29" s="206">
        <f t="shared" si="2"/>
        <v>0</v>
      </c>
      <c r="J29" s="206">
        <f t="shared" si="3"/>
        <v>0</v>
      </c>
      <c r="N29" s="40"/>
      <c r="O29" s="40"/>
      <c r="P29" s="40"/>
      <c r="Q29" s="40"/>
      <c r="R29" s="40"/>
      <c r="S29" s="40"/>
      <c r="T29" s="40"/>
      <c r="U29" s="30"/>
    </row>
    <row r="30" spans="1:21" ht="15.75" customHeight="1">
      <c r="A30" s="208" t="s">
        <v>104</v>
      </c>
      <c r="B30" s="206">
        <v>10</v>
      </c>
      <c r="C30" s="206">
        <v>2</v>
      </c>
      <c r="D30" s="206">
        <v>3</v>
      </c>
      <c r="E30" s="206">
        <v>507000</v>
      </c>
      <c r="F30" s="206">
        <v>960000</v>
      </c>
      <c r="G30" s="206">
        <f t="shared" si="0"/>
        <v>0</v>
      </c>
      <c r="H30" s="206">
        <f t="shared" si="1"/>
        <v>0</v>
      </c>
      <c r="I30" s="206">
        <f t="shared" si="2"/>
        <v>0</v>
      </c>
      <c r="J30" s="206">
        <f t="shared" si="3"/>
        <v>0</v>
      </c>
      <c r="N30" s="40"/>
      <c r="O30" s="40"/>
      <c r="P30" s="40"/>
      <c r="Q30" s="40"/>
      <c r="R30" s="40"/>
      <c r="S30" s="40"/>
      <c r="T30" s="40"/>
      <c r="U30" s="30"/>
    </row>
    <row r="31" spans="1:21" ht="15.75" customHeight="1">
      <c r="A31" s="208" t="s">
        <v>105</v>
      </c>
      <c r="B31" s="206">
        <v>4</v>
      </c>
      <c r="C31" s="206">
        <v>0</v>
      </c>
      <c r="D31" s="206">
        <v>2</v>
      </c>
      <c r="E31" s="206">
        <v>358000</v>
      </c>
      <c r="F31" s="206">
        <v>0</v>
      </c>
      <c r="G31" s="206">
        <f t="shared" si="0"/>
        <v>0</v>
      </c>
      <c r="H31" s="206">
        <f t="shared" si="1"/>
        <v>0</v>
      </c>
      <c r="I31" s="206">
        <f t="shared" si="2"/>
        <v>0</v>
      </c>
      <c r="J31" s="206">
        <f t="shared" si="3"/>
        <v>0</v>
      </c>
      <c r="N31" s="40"/>
      <c r="O31" s="40"/>
      <c r="P31" s="40"/>
      <c r="Q31" s="40"/>
      <c r="R31" s="40"/>
      <c r="S31" s="40"/>
      <c r="T31" s="40"/>
      <c r="U31" s="30"/>
    </row>
    <row r="32" spans="1:21" ht="15.75" customHeight="1">
      <c r="A32" s="208" t="s">
        <v>106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f t="shared" si="0"/>
        <v>0</v>
      </c>
      <c r="H32" s="206">
        <f t="shared" si="1"/>
        <v>0</v>
      </c>
      <c r="I32" s="206">
        <f t="shared" si="2"/>
        <v>0</v>
      </c>
      <c r="J32" s="206">
        <f t="shared" si="3"/>
        <v>0</v>
      </c>
      <c r="N32" s="40"/>
      <c r="O32" s="40"/>
      <c r="P32" s="40"/>
      <c r="Q32" s="40"/>
      <c r="R32" s="40"/>
      <c r="S32" s="40"/>
      <c r="T32" s="40"/>
      <c r="U32" s="30"/>
    </row>
    <row r="33" spans="1:21" ht="15.75" customHeight="1">
      <c r="A33" s="208" t="s">
        <v>107</v>
      </c>
      <c r="B33" s="206">
        <v>6</v>
      </c>
      <c r="C33" s="206">
        <v>2</v>
      </c>
      <c r="D33" s="206">
        <v>2</v>
      </c>
      <c r="E33" s="206">
        <v>358000</v>
      </c>
      <c r="F33" s="206">
        <v>960000</v>
      </c>
      <c r="G33" s="206">
        <f t="shared" si="0"/>
        <v>0</v>
      </c>
      <c r="H33" s="206">
        <f t="shared" si="1"/>
        <v>0</v>
      </c>
      <c r="I33" s="206">
        <f t="shared" si="2"/>
        <v>0</v>
      </c>
      <c r="J33" s="206">
        <f t="shared" si="3"/>
        <v>0</v>
      </c>
      <c r="N33" s="40"/>
      <c r="O33" s="40"/>
      <c r="P33" s="40"/>
      <c r="Q33" s="40"/>
      <c r="R33" s="40"/>
      <c r="S33" s="40"/>
      <c r="T33" s="40"/>
      <c r="U33" s="30"/>
    </row>
    <row r="34" spans="1:21" ht="15.75" customHeight="1">
      <c r="A34" s="208" t="s">
        <v>108</v>
      </c>
      <c r="B34" s="206">
        <v>2</v>
      </c>
      <c r="C34" s="206">
        <v>0</v>
      </c>
      <c r="D34" s="206">
        <v>0</v>
      </c>
      <c r="E34" s="206">
        <v>0</v>
      </c>
      <c r="F34" s="206">
        <v>0</v>
      </c>
      <c r="G34" s="206">
        <f t="shared" ref="G34:G61" si="10">IF(C34&gt;=10, C34*30000, IF(C34&gt;=7, C34*25000, 0))</f>
        <v>0</v>
      </c>
      <c r="H34" s="206">
        <f t="shared" ref="H34:H61" si="11">IF(B34&gt;=80, B34*6000, 0)</f>
        <v>0</v>
      </c>
      <c r="I34" s="206">
        <f t="shared" ref="I34:I61" si="12">IF(E34&gt;7000000, E34*0.06, IF(E34&gt;5000000, E34*0.04, IF(E34&gt;3000000, E34*0.03, 0)))</f>
        <v>0</v>
      </c>
      <c r="J34" s="206">
        <f t="shared" ref="J34:J65" si="13">G34+H34+I34</f>
        <v>0</v>
      </c>
      <c r="N34" s="40"/>
      <c r="O34" s="40"/>
      <c r="P34" s="40"/>
      <c r="Q34" s="40"/>
      <c r="R34" s="40"/>
      <c r="S34" s="40"/>
      <c r="T34" s="40"/>
      <c r="U34" s="30"/>
    </row>
    <row r="35" spans="1:21" ht="15.75" customHeight="1">
      <c r="A35" s="208" t="s">
        <v>109</v>
      </c>
      <c r="B35" s="206">
        <v>66</v>
      </c>
      <c r="C35" s="206">
        <v>2</v>
      </c>
      <c r="D35" s="206">
        <v>1</v>
      </c>
      <c r="E35" s="206">
        <v>179000</v>
      </c>
      <c r="F35" s="206">
        <v>990000</v>
      </c>
      <c r="G35" s="206">
        <f t="shared" si="10"/>
        <v>0</v>
      </c>
      <c r="H35" s="206">
        <f t="shared" si="11"/>
        <v>0</v>
      </c>
      <c r="I35" s="206">
        <f t="shared" si="12"/>
        <v>0</v>
      </c>
      <c r="J35" s="206">
        <f t="shared" si="13"/>
        <v>0</v>
      </c>
      <c r="N35" s="40"/>
      <c r="O35" s="40"/>
      <c r="P35" s="40"/>
      <c r="Q35" s="40"/>
      <c r="R35" s="40"/>
      <c r="S35" s="40"/>
      <c r="T35" s="40"/>
      <c r="U35" s="30"/>
    </row>
    <row r="36" spans="1:21" ht="15.75" customHeight="1">
      <c r="A36" s="208" t="s">
        <v>110</v>
      </c>
      <c r="B36" s="206">
        <v>6</v>
      </c>
      <c r="C36" s="206">
        <v>17</v>
      </c>
      <c r="D36" s="206">
        <v>3</v>
      </c>
      <c r="E36" s="206">
        <v>597000</v>
      </c>
      <c r="F36" s="206">
        <v>608000</v>
      </c>
      <c r="G36" s="206">
        <f t="shared" si="10"/>
        <v>510000</v>
      </c>
      <c r="H36" s="206">
        <f t="shared" si="11"/>
        <v>0</v>
      </c>
      <c r="I36" s="206">
        <f t="shared" si="12"/>
        <v>0</v>
      </c>
      <c r="J36" s="206">
        <f t="shared" si="13"/>
        <v>510000</v>
      </c>
      <c r="N36" s="40"/>
      <c r="O36" s="40"/>
      <c r="P36" s="40"/>
      <c r="Q36" s="40"/>
      <c r="R36" s="40"/>
      <c r="S36" s="40"/>
      <c r="T36" s="40"/>
      <c r="U36" s="30"/>
    </row>
    <row r="37" spans="1:21" ht="15.75" customHeight="1">
      <c r="A37" s="208" t="s">
        <v>111</v>
      </c>
      <c r="B37" s="206">
        <v>9</v>
      </c>
      <c r="C37" s="206">
        <v>0</v>
      </c>
      <c r="D37" s="206">
        <v>2</v>
      </c>
      <c r="E37" s="206">
        <v>388000</v>
      </c>
      <c r="F37" s="206">
        <v>0</v>
      </c>
      <c r="G37" s="206">
        <f t="shared" si="10"/>
        <v>0</v>
      </c>
      <c r="H37" s="206">
        <f t="shared" si="11"/>
        <v>0</v>
      </c>
      <c r="I37" s="206">
        <f t="shared" si="12"/>
        <v>0</v>
      </c>
      <c r="J37" s="206">
        <f t="shared" si="13"/>
        <v>0</v>
      </c>
      <c r="N37" s="40"/>
      <c r="O37" s="40"/>
      <c r="P37" s="40"/>
      <c r="Q37" s="40"/>
      <c r="R37" s="40"/>
      <c r="S37" s="40"/>
      <c r="T37" s="40"/>
      <c r="U37" s="30"/>
    </row>
    <row r="38" spans="1:21" ht="15.75" customHeight="1">
      <c r="A38" s="208" t="s">
        <v>112</v>
      </c>
      <c r="B38" s="206">
        <v>8</v>
      </c>
      <c r="C38" s="206">
        <v>0</v>
      </c>
      <c r="D38" s="206">
        <v>0</v>
      </c>
      <c r="E38" s="206">
        <v>0</v>
      </c>
      <c r="F38" s="206">
        <v>0</v>
      </c>
      <c r="G38" s="206">
        <f t="shared" si="10"/>
        <v>0</v>
      </c>
      <c r="H38" s="206">
        <f t="shared" si="11"/>
        <v>0</v>
      </c>
      <c r="I38" s="206">
        <f t="shared" si="12"/>
        <v>0</v>
      </c>
      <c r="J38" s="206">
        <f t="shared" si="13"/>
        <v>0</v>
      </c>
      <c r="N38" s="40"/>
      <c r="O38" s="40"/>
      <c r="P38" s="40"/>
      <c r="Q38" s="40"/>
      <c r="R38" s="40"/>
      <c r="S38" s="40"/>
      <c r="T38" s="40"/>
      <c r="U38" s="30"/>
    </row>
    <row r="39" spans="1:21" ht="15.75" customHeight="1">
      <c r="A39" s="208" t="s">
        <v>88</v>
      </c>
      <c r="B39" s="206">
        <v>6</v>
      </c>
      <c r="C39" s="206">
        <v>4</v>
      </c>
      <c r="D39" s="206">
        <v>1</v>
      </c>
      <c r="E39" s="206">
        <v>179000</v>
      </c>
      <c r="F39" s="206">
        <v>1920000</v>
      </c>
      <c r="G39" s="206">
        <f t="shared" si="10"/>
        <v>0</v>
      </c>
      <c r="H39" s="206">
        <f t="shared" si="11"/>
        <v>0</v>
      </c>
      <c r="I39" s="206">
        <f t="shared" si="12"/>
        <v>0</v>
      </c>
      <c r="J39" s="206">
        <f t="shared" si="13"/>
        <v>0</v>
      </c>
      <c r="N39" s="40"/>
      <c r="O39" s="40"/>
      <c r="P39" s="40"/>
      <c r="Q39" s="40"/>
      <c r="R39" s="40"/>
      <c r="S39" s="40"/>
      <c r="T39" s="40"/>
      <c r="U39" s="30"/>
    </row>
    <row r="40" spans="1:21" ht="15.75" customHeight="1">
      <c r="A40" s="208" t="s">
        <v>113</v>
      </c>
      <c r="B40" s="206">
        <v>0</v>
      </c>
      <c r="C40" s="206">
        <v>0</v>
      </c>
      <c r="D40" s="206">
        <v>1</v>
      </c>
      <c r="E40" s="206">
        <v>179000</v>
      </c>
      <c r="F40" s="206">
        <v>0</v>
      </c>
      <c r="G40" s="206">
        <f t="shared" si="10"/>
        <v>0</v>
      </c>
      <c r="H40" s="206">
        <f t="shared" si="11"/>
        <v>0</v>
      </c>
      <c r="I40" s="206">
        <f t="shared" si="12"/>
        <v>0</v>
      </c>
      <c r="J40" s="206">
        <f t="shared" si="13"/>
        <v>0</v>
      </c>
      <c r="N40" s="40"/>
      <c r="O40" s="40"/>
      <c r="P40" s="40"/>
      <c r="Q40" s="40"/>
      <c r="R40" s="40"/>
      <c r="S40" s="40"/>
      <c r="T40" s="40"/>
      <c r="U40" s="30"/>
    </row>
    <row r="41" spans="1:21" ht="15.75" customHeight="1">
      <c r="A41" s="208" t="s">
        <v>92</v>
      </c>
      <c r="B41" s="206">
        <v>11</v>
      </c>
      <c r="C41" s="206">
        <v>4</v>
      </c>
      <c r="D41" s="206">
        <v>11</v>
      </c>
      <c r="E41" s="206">
        <v>2179000</v>
      </c>
      <c r="F41" s="206">
        <v>1920000</v>
      </c>
      <c r="G41" s="206">
        <f t="shared" si="10"/>
        <v>0</v>
      </c>
      <c r="H41" s="206">
        <f t="shared" si="11"/>
        <v>0</v>
      </c>
      <c r="I41" s="206">
        <f t="shared" si="12"/>
        <v>0</v>
      </c>
      <c r="J41" s="206">
        <f t="shared" si="13"/>
        <v>0</v>
      </c>
      <c r="N41" s="40"/>
      <c r="O41" s="40"/>
      <c r="P41" s="40"/>
      <c r="Q41" s="40"/>
      <c r="R41" s="40"/>
      <c r="S41" s="40"/>
      <c r="T41" s="40"/>
      <c r="U41" s="30"/>
    </row>
    <row r="42" spans="1:21" ht="15.75" customHeight="1">
      <c r="A42" s="208" t="s">
        <v>114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f t="shared" si="10"/>
        <v>0</v>
      </c>
      <c r="H42" s="206">
        <f t="shared" si="11"/>
        <v>0</v>
      </c>
      <c r="I42" s="206">
        <f t="shared" si="12"/>
        <v>0</v>
      </c>
      <c r="J42" s="206">
        <f t="shared" si="13"/>
        <v>0</v>
      </c>
      <c r="N42" s="40"/>
      <c r="O42" s="40"/>
      <c r="P42" s="40"/>
      <c r="Q42" s="40"/>
      <c r="R42" s="40"/>
      <c r="S42" s="40"/>
      <c r="T42" s="40"/>
      <c r="U42" s="30"/>
    </row>
    <row r="43" spans="1:21" ht="15.75" customHeight="1">
      <c r="A43" s="208" t="s">
        <v>115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f t="shared" si="10"/>
        <v>0</v>
      </c>
      <c r="H43" s="206">
        <f t="shared" si="11"/>
        <v>0</v>
      </c>
      <c r="I43" s="206">
        <f t="shared" si="12"/>
        <v>0</v>
      </c>
      <c r="J43" s="206">
        <f t="shared" si="13"/>
        <v>0</v>
      </c>
      <c r="N43" s="40"/>
      <c r="O43" s="40"/>
      <c r="P43" s="40"/>
      <c r="Q43" s="40"/>
      <c r="R43" s="40"/>
      <c r="S43" s="40"/>
      <c r="T43" s="40"/>
      <c r="U43" s="30"/>
    </row>
    <row r="44" spans="1:21" ht="15.75" customHeight="1">
      <c r="A44" s="208" t="s">
        <v>116</v>
      </c>
      <c r="B44" s="206">
        <v>28</v>
      </c>
      <c r="C44" s="206">
        <v>5</v>
      </c>
      <c r="D44" s="206">
        <v>3</v>
      </c>
      <c r="E44" s="206">
        <v>627000</v>
      </c>
      <c r="F44" s="206">
        <v>2400000</v>
      </c>
      <c r="G44" s="206">
        <f t="shared" si="10"/>
        <v>0</v>
      </c>
      <c r="H44" s="206">
        <f t="shared" si="11"/>
        <v>0</v>
      </c>
      <c r="I44" s="206">
        <f t="shared" si="12"/>
        <v>0</v>
      </c>
      <c r="J44" s="206">
        <f t="shared" si="13"/>
        <v>0</v>
      </c>
      <c r="N44" s="40"/>
      <c r="O44" s="40"/>
      <c r="P44" s="40"/>
      <c r="Q44" s="40"/>
      <c r="R44" s="40"/>
      <c r="S44" s="40"/>
      <c r="T44" s="40"/>
      <c r="U44" s="30"/>
    </row>
    <row r="45" spans="1:21" ht="15.75" customHeight="1">
      <c r="A45" s="208" t="s">
        <v>117</v>
      </c>
      <c r="B45" s="206">
        <v>13</v>
      </c>
      <c r="C45" s="206">
        <v>1</v>
      </c>
      <c r="D45" s="206">
        <v>0</v>
      </c>
      <c r="E45" s="206">
        <v>0</v>
      </c>
      <c r="F45" s="206">
        <v>480000</v>
      </c>
      <c r="G45" s="206">
        <f t="shared" si="10"/>
        <v>0</v>
      </c>
      <c r="H45" s="206">
        <f t="shared" si="11"/>
        <v>0</v>
      </c>
      <c r="I45" s="206">
        <f t="shared" si="12"/>
        <v>0</v>
      </c>
      <c r="J45" s="206">
        <f t="shared" si="13"/>
        <v>0</v>
      </c>
      <c r="N45" s="40"/>
      <c r="O45" s="40"/>
      <c r="P45" s="40"/>
      <c r="Q45" s="40"/>
      <c r="R45" s="40"/>
      <c r="S45" s="40"/>
      <c r="T45" s="40"/>
      <c r="U45" s="30"/>
    </row>
    <row r="46" spans="1:21" ht="15.75" customHeight="1">
      <c r="A46" s="208" t="s">
        <v>118</v>
      </c>
      <c r="B46" s="206">
        <v>19</v>
      </c>
      <c r="C46" s="206">
        <v>2</v>
      </c>
      <c r="D46" s="206">
        <v>0</v>
      </c>
      <c r="E46" s="206">
        <v>0</v>
      </c>
      <c r="F46" s="206">
        <v>960000</v>
      </c>
      <c r="G46" s="206">
        <f t="shared" si="10"/>
        <v>0</v>
      </c>
      <c r="H46" s="206">
        <f t="shared" si="11"/>
        <v>0</v>
      </c>
      <c r="I46" s="206">
        <f t="shared" si="12"/>
        <v>0</v>
      </c>
      <c r="J46" s="206">
        <f t="shared" si="13"/>
        <v>0</v>
      </c>
      <c r="N46" s="40"/>
      <c r="O46" s="40"/>
      <c r="P46" s="40"/>
      <c r="Q46" s="40"/>
      <c r="R46" s="40"/>
      <c r="S46" s="40"/>
      <c r="T46" s="40"/>
      <c r="U46" s="30"/>
    </row>
    <row r="47" spans="1:21" ht="15.75" customHeight="1">
      <c r="A47" s="208" t="s">
        <v>119</v>
      </c>
      <c r="B47" s="206">
        <v>13</v>
      </c>
      <c r="C47" s="206">
        <v>1</v>
      </c>
      <c r="D47" s="206">
        <v>0</v>
      </c>
      <c r="E47" s="206">
        <v>0</v>
      </c>
      <c r="F47" s="206">
        <v>480000</v>
      </c>
      <c r="G47" s="206">
        <f t="shared" si="10"/>
        <v>0</v>
      </c>
      <c r="H47" s="206">
        <f t="shared" si="11"/>
        <v>0</v>
      </c>
      <c r="I47" s="206">
        <f t="shared" si="12"/>
        <v>0</v>
      </c>
      <c r="J47" s="206">
        <f t="shared" si="13"/>
        <v>0</v>
      </c>
      <c r="N47" s="40"/>
      <c r="O47" s="40"/>
      <c r="P47" s="40"/>
      <c r="Q47" s="40"/>
      <c r="R47" s="40"/>
      <c r="S47" s="40"/>
      <c r="T47" s="40"/>
      <c r="U47" s="30"/>
    </row>
    <row r="48" spans="1:21" ht="15.75" customHeight="1">
      <c r="A48" s="208" t="s">
        <v>109</v>
      </c>
      <c r="B48" s="206">
        <v>66</v>
      </c>
      <c r="C48" s="206">
        <v>2</v>
      </c>
      <c r="D48" s="206">
        <v>1</v>
      </c>
      <c r="E48" s="206">
        <v>179000</v>
      </c>
      <c r="F48" s="206">
        <v>990000</v>
      </c>
      <c r="G48" s="206">
        <f t="shared" si="10"/>
        <v>0</v>
      </c>
      <c r="H48" s="206">
        <f t="shared" si="11"/>
        <v>0</v>
      </c>
      <c r="I48" s="206">
        <f t="shared" si="12"/>
        <v>0</v>
      </c>
      <c r="J48" s="206">
        <f t="shared" si="13"/>
        <v>0</v>
      </c>
      <c r="N48" s="40"/>
      <c r="O48" s="40"/>
      <c r="P48" s="40"/>
      <c r="Q48" s="40"/>
      <c r="R48" s="40"/>
      <c r="S48" s="40"/>
      <c r="T48" s="40"/>
      <c r="U48" s="30"/>
    </row>
    <row r="49" spans="1:21" ht="15.75" customHeight="1">
      <c r="A49" s="208" t="s">
        <v>120</v>
      </c>
      <c r="B49" s="206">
        <v>59</v>
      </c>
      <c r="C49" s="206">
        <v>2</v>
      </c>
      <c r="D49" s="206">
        <v>3</v>
      </c>
      <c r="E49" s="206">
        <v>507000</v>
      </c>
      <c r="F49" s="206">
        <v>960000</v>
      </c>
      <c r="G49" s="206">
        <f t="shared" si="10"/>
        <v>0</v>
      </c>
      <c r="H49" s="206">
        <f t="shared" si="11"/>
        <v>0</v>
      </c>
      <c r="I49" s="206">
        <f t="shared" si="12"/>
        <v>0</v>
      </c>
      <c r="J49" s="206">
        <f t="shared" si="13"/>
        <v>0</v>
      </c>
      <c r="N49" s="40"/>
      <c r="O49" s="40"/>
      <c r="P49" s="40"/>
      <c r="Q49" s="40"/>
      <c r="R49" s="40"/>
      <c r="S49" s="40"/>
      <c r="T49" s="40"/>
      <c r="U49" s="30"/>
    </row>
    <row r="50" spans="1:21" ht="15.75" customHeight="1">
      <c r="A50" s="208" t="s">
        <v>121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f t="shared" si="10"/>
        <v>0</v>
      </c>
      <c r="H50" s="206">
        <f t="shared" si="11"/>
        <v>0</v>
      </c>
      <c r="I50" s="206">
        <f t="shared" si="12"/>
        <v>0</v>
      </c>
      <c r="J50" s="206">
        <f t="shared" si="13"/>
        <v>0</v>
      </c>
      <c r="N50" s="40"/>
      <c r="O50" s="40"/>
      <c r="P50" s="40"/>
      <c r="Q50" s="40"/>
      <c r="R50" s="40"/>
      <c r="S50" s="40"/>
      <c r="T50" s="40"/>
      <c r="U50" s="30"/>
    </row>
    <row r="51" spans="1:21" ht="15.75" customHeight="1">
      <c r="A51" s="208" t="s">
        <v>107</v>
      </c>
      <c r="B51" s="206">
        <v>6</v>
      </c>
      <c r="C51" s="206">
        <v>2</v>
      </c>
      <c r="D51" s="206">
        <v>2</v>
      </c>
      <c r="E51" s="206">
        <v>358000</v>
      </c>
      <c r="F51" s="206">
        <v>960000</v>
      </c>
      <c r="G51" s="206">
        <f t="shared" si="10"/>
        <v>0</v>
      </c>
      <c r="H51" s="206">
        <f t="shared" si="11"/>
        <v>0</v>
      </c>
      <c r="I51" s="206">
        <f t="shared" si="12"/>
        <v>0</v>
      </c>
      <c r="J51" s="206">
        <f t="shared" si="13"/>
        <v>0</v>
      </c>
      <c r="N51" s="40"/>
      <c r="O51" s="40"/>
      <c r="P51" s="40"/>
      <c r="Q51" s="40"/>
      <c r="R51" s="40"/>
      <c r="S51" s="40"/>
      <c r="T51" s="40"/>
      <c r="U51" s="30"/>
    </row>
    <row r="52" spans="1:21" ht="15.75" customHeight="1">
      <c r="A52" s="208" t="s">
        <v>92</v>
      </c>
      <c r="B52" s="206">
        <v>11</v>
      </c>
      <c r="C52" s="206">
        <v>4</v>
      </c>
      <c r="D52" s="206">
        <v>11</v>
      </c>
      <c r="E52" s="206">
        <v>2179000</v>
      </c>
      <c r="F52" s="206">
        <v>1920000</v>
      </c>
      <c r="G52" s="206">
        <f t="shared" si="10"/>
        <v>0</v>
      </c>
      <c r="H52" s="206">
        <f t="shared" si="11"/>
        <v>0</v>
      </c>
      <c r="I52" s="206">
        <f t="shared" si="12"/>
        <v>0</v>
      </c>
      <c r="J52" s="206">
        <f t="shared" si="13"/>
        <v>0</v>
      </c>
      <c r="N52" s="40"/>
      <c r="O52" s="40"/>
      <c r="P52" s="40"/>
      <c r="Q52" s="40"/>
      <c r="R52" s="40"/>
      <c r="S52" s="40"/>
      <c r="T52" s="40"/>
      <c r="U52" s="30"/>
    </row>
    <row r="53" spans="1:21" ht="15.75" customHeight="1">
      <c r="A53" s="208" t="s">
        <v>122</v>
      </c>
      <c r="B53" s="206">
        <v>24</v>
      </c>
      <c r="C53" s="206">
        <v>0</v>
      </c>
      <c r="D53" s="206">
        <v>1</v>
      </c>
      <c r="E53" s="206">
        <v>209000</v>
      </c>
      <c r="F53" s="206">
        <v>0</v>
      </c>
      <c r="G53" s="206">
        <f t="shared" si="10"/>
        <v>0</v>
      </c>
      <c r="H53" s="206">
        <f t="shared" si="11"/>
        <v>0</v>
      </c>
      <c r="I53" s="206">
        <f t="shared" si="12"/>
        <v>0</v>
      </c>
      <c r="J53" s="206">
        <f t="shared" si="13"/>
        <v>0</v>
      </c>
      <c r="N53" s="40"/>
      <c r="O53" s="40"/>
      <c r="P53" s="40"/>
      <c r="Q53" s="40"/>
      <c r="R53" s="40"/>
      <c r="S53" s="40"/>
      <c r="T53" s="40"/>
      <c r="U53" s="30"/>
    </row>
    <row r="54" spans="1:21" ht="15.75" customHeight="1">
      <c r="A54" s="208" t="s">
        <v>72</v>
      </c>
      <c r="B54" s="206">
        <v>8</v>
      </c>
      <c r="C54" s="206">
        <v>9</v>
      </c>
      <c r="D54" s="206">
        <v>1</v>
      </c>
      <c r="E54" s="206">
        <v>179000</v>
      </c>
      <c r="F54" s="206">
        <v>547000</v>
      </c>
      <c r="G54" s="206">
        <f t="shared" si="10"/>
        <v>225000</v>
      </c>
      <c r="H54" s="206">
        <f t="shared" si="11"/>
        <v>0</v>
      </c>
      <c r="I54" s="206">
        <f t="shared" si="12"/>
        <v>0</v>
      </c>
      <c r="J54" s="206">
        <f t="shared" si="13"/>
        <v>225000</v>
      </c>
      <c r="N54" s="40"/>
      <c r="O54" s="40"/>
      <c r="P54" s="40"/>
      <c r="Q54" s="40"/>
      <c r="R54" s="40"/>
      <c r="S54" s="40"/>
      <c r="T54" s="40"/>
      <c r="U54" s="30"/>
    </row>
    <row r="55" spans="1:21" ht="15.75" customHeight="1">
      <c r="A55" s="208" t="s">
        <v>74</v>
      </c>
      <c r="B55" s="206">
        <v>8</v>
      </c>
      <c r="C55" s="206">
        <v>0</v>
      </c>
      <c r="D55" s="206">
        <v>6</v>
      </c>
      <c r="E55" s="206">
        <v>1044000</v>
      </c>
      <c r="F55" s="206">
        <v>0</v>
      </c>
      <c r="G55" s="206">
        <f t="shared" si="10"/>
        <v>0</v>
      </c>
      <c r="H55" s="206">
        <f t="shared" si="11"/>
        <v>0</v>
      </c>
      <c r="I55" s="206">
        <f t="shared" si="12"/>
        <v>0</v>
      </c>
      <c r="J55" s="206">
        <f t="shared" si="13"/>
        <v>0</v>
      </c>
      <c r="N55" s="40"/>
      <c r="O55" s="40"/>
      <c r="P55" s="40"/>
      <c r="Q55" s="40"/>
      <c r="R55" s="40"/>
      <c r="S55" s="40"/>
      <c r="T55" s="40"/>
      <c r="U55" s="30"/>
    </row>
    <row r="56" spans="1:21" ht="15.75" customHeight="1">
      <c r="A56" s="208" t="s">
        <v>123</v>
      </c>
      <c r="B56" s="206">
        <v>0</v>
      </c>
      <c r="C56" s="206">
        <v>2</v>
      </c>
      <c r="D56" s="206">
        <v>0</v>
      </c>
      <c r="E56" s="206">
        <v>0</v>
      </c>
      <c r="F56" s="206">
        <v>960000</v>
      </c>
      <c r="G56" s="206">
        <f t="shared" si="10"/>
        <v>0</v>
      </c>
      <c r="H56" s="206">
        <f t="shared" si="11"/>
        <v>0</v>
      </c>
      <c r="I56" s="206">
        <f t="shared" si="12"/>
        <v>0</v>
      </c>
      <c r="J56" s="206">
        <f t="shared" si="13"/>
        <v>0</v>
      </c>
      <c r="N56" s="40"/>
      <c r="O56" s="40"/>
      <c r="P56" s="40"/>
      <c r="Q56" s="40"/>
      <c r="R56" s="40"/>
      <c r="S56" s="40"/>
      <c r="T56" s="40"/>
      <c r="U56" s="30"/>
    </row>
    <row r="57" spans="1:21" ht="15.75" customHeight="1">
      <c r="A57" s="208" t="s">
        <v>124</v>
      </c>
      <c r="B57" s="206">
        <v>5</v>
      </c>
      <c r="C57" s="206">
        <v>0</v>
      </c>
      <c r="D57" s="206">
        <v>2</v>
      </c>
      <c r="E57" s="206">
        <v>298000</v>
      </c>
      <c r="F57" s="206">
        <v>0</v>
      </c>
      <c r="G57" s="206">
        <f t="shared" si="10"/>
        <v>0</v>
      </c>
      <c r="H57" s="206">
        <f t="shared" si="11"/>
        <v>0</v>
      </c>
      <c r="I57" s="206">
        <f t="shared" si="12"/>
        <v>0</v>
      </c>
      <c r="J57" s="206">
        <f t="shared" si="13"/>
        <v>0</v>
      </c>
      <c r="N57" s="40"/>
      <c r="O57" s="40"/>
      <c r="P57" s="40"/>
      <c r="Q57" s="40"/>
      <c r="R57" s="40"/>
      <c r="S57" s="40"/>
      <c r="T57" s="40"/>
      <c r="U57" s="30"/>
    </row>
    <row r="58" spans="1:21" ht="15.75" customHeight="1">
      <c r="A58" s="208" t="s">
        <v>88</v>
      </c>
      <c r="B58" s="206">
        <v>6</v>
      </c>
      <c r="C58" s="206">
        <v>4</v>
      </c>
      <c r="D58" s="206">
        <v>1</v>
      </c>
      <c r="E58" s="206">
        <v>179000</v>
      </c>
      <c r="F58" s="206">
        <v>1920000</v>
      </c>
      <c r="G58" s="206">
        <f t="shared" si="10"/>
        <v>0</v>
      </c>
      <c r="H58" s="206">
        <f t="shared" si="11"/>
        <v>0</v>
      </c>
      <c r="I58" s="206">
        <f t="shared" si="12"/>
        <v>0</v>
      </c>
      <c r="J58" s="206">
        <f t="shared" si="13"/>
        <v>0</v>
      </c>
      <c r="N58" s="40"/>
      <c r="O58" s="40"/>
      <c r="P58" s="40"/>
      <c r="Q58" s="40"/>
      <c r="R58" s="40"/>
      <c r="S58" s="40"/>
      <c r="T58" s="40"/>
      <c r="U58" s="30"/>
    </row>
    <row r="59" spans="1:21" ht="15.75" customHeight="1">
      <c r="A59" s="208" t="s">
        <v>100</v>
      </c>
      <c r="B59" s="206">
        <v>2</v>
      </c>
      <c r="C59" s="206">
        <v>1</v>
      </c>
      <c r="D59" s="206">
        <v>0</v>
      </c>
      <c r="E59" s="206">
        <v>0</v>
      </c>
      <c r="F59" s="206">
        <v>480000</v>
      </c>
      <c r="G59" s="206">
        <f t="shared" si="10"/>
        <v>0</v>
      </c>
      <c r="H59" s="206">
        <f t="shared" si="11"/>
        <v>0</v>
      </c>
      <c r="I59" s="206">
        <f t="shared" si="12"/>
        <v>0</v>
      </c>
      <c r="J59" s="206">
        <f t="shared" si="13"/>
        <v>0</v>
      </c>
      <c r="N59" s="40"/>
      <c r="O59" s="40"/>
      <c r="P59" s="40"/>
      <c r="Q59" s="40"/>
      <c r="R59" s="40"/>
      <c r="S59" s="40"/>
      <c r="T59" s="40"/>
      <c r="U59" s="30"/>
    </row>
    <row r="60" spans="1:21" ht="15.75" customHeight="1">
      <c r="A60" s="208" t="s">
        <v>82</v>
      </c>
      <c r="B60" s="206">
        <v>24</v>
      </c>
      <c r="C60" s="206">
        <v>0</v>
      </c>
      <c r="D60" s="206">
        <v>3</v>
      </c>
      <c r="E60" s="206">
        <v>537000</v>
      </c>
      <c r="F60" s="206">
        <v>0</v>
      </c>
      <c r="G60" s="206">
        <f t="shared" si="10"/>
        <v>0</v>
      </c>
      <c r="H60" s="206">
        <f t="shared" si="11"/>
        <v>0</v>
      </c>
      <c r="I60" s="206">
        <f t="shared" si="12"/>
        <v>0</v>
      </c>
      <c r="J60" s="206">
        <f t="shared" si="13"/>
        <v>0</v>
      </c>
      <c r="N60" s="40"/>
      <c r="O60" s="40"/>
      <c r="P60" s="40"/>
      <c r="Q60" s="40"/>
      <c r="R60" s="40"/>
      <c r="S60" s="40"/>
      <c r="T60" s="40"/>
      <c r="U60" s="30"/>
    </row>
    <row r="61" spans="1:21" ht="15.75" customHeight="1">
      <c r="A61" s="208" t="s">
        <v>125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f t="shared" si="10"/>
        <v>0</v>
      </c>
      <c r="H61" s="206">
        <f t="shared" si="11"/>
        <v>0</v>
      </c>
      <c r="I61" s="206">
        <f t="shared" si="12"/>
        <v>0</v>
      </c>
      <c r="J61" s="206">
        <f t="shared" si="13"/>
        <v>0</v>
      </c>
      <c r="N61" s="40"/>
      <c r="O61" s="40"/>
      <c r="P61" s="40"/>
      <c r="Q61" s="40"/>
      <c r="R61" s="40"/>
      <c r="S61" s="40"/>
      <c r="T61" s="40"/>
      <c r="U61" s="30"/>
    </row>
    <row r="62" spans="1:21" ht="15.75" customHeight="1">
      <c r="A62" s="23"/>
      <c r="B62" s="30"/>
      <c r="C62" s="30"/>
      <c r="D62" s="30"/>
      <c r="E62" s="30"/>
      <c r="F62" s="30"/>
      <c r="G62" s="30"/>
      <c r="H62" s="30"/>
      <c r="I62" s="30"/>
      <c r="J62" s="30"/>
      <c r="N62" s="40"/>
      <c r="O62" s="40"/>
      <c r="P62" s="40"/>
      <c r="Q62" s="40"/>
      <c r="R62" s="40"/>
      <c r="S62" s="40"/>
      <c r="T62" s="40"/>
      <c r="U62" s="30"/>
    </row>
    <row r="63" spans="1:21" ht="15.75" customHeight="1">
      <c r="A63" s="23"/>
      <c r="B63" s="30"/>
      <c r="C63" s="30"/>
      <c r="D63" s="30"/>
      <c r="E63" s="30"/>
      <c r="F63" s="30"/>
      <c r="G63" s="30"/>
      <c r="H63" s="30"/>
      <c r="I63" s="30"/>
      <c r="J63" s="30"/>
      <c r="N63" s="40"/>
      <c r="O63" s="40"/>
      <c r="P63" s="40"/>
      <c r="Q63" s="40"/>
      <c r="R63" s="40"/>
      <c r="S63" s="40"/>
      <c r="T63" s="40"/>
      <c r="U63" s="30"/>
    </row>
    <row r="64" spans="1:21" ht="15.75" customHeight="1">
      <c r="A64" s="23"/>
      <c r="B64" s="30"/>
      <c r="C64" s="30"/>
      <c r="D64" s="30"/>
      <c r="E64" s="30"/>
      <c r="F64" s="30"/>
      <c r="G64" s="30"/>
      <c r="H64" s="30"/>
      <c r="I64" s="30"/>
      <c r="J64" s="30"/>
      <c r="N64" s="40"/>
      <c r="O64" s="40"/>
      <c r="P64" s="40"/>
      <c r="Q64" s="40"/>
      <c r="R64" s="40"/>
      <c r="S64" s="40"/>
      <c r="T64" s="40"/>
      <c r="U64" s="30"/>
    </row>
    <row r="65" spans="1:21" ht="15.75" customHeight="1">
      <c r="A65" s="23"/>
      <c r="B65" s="30"/>
      <c r="C65" s="30"/>
      <c r="D65" s="30"/>
      <c r="E65" s="30"/>
      <c r="F65" s="30"/>
      <c r="G65" s="30"/>
      <c r="H65" s="30"/>
      <c r="I65" s="30"/>
      <c r="J65" s="30"/>
      <c r="N65" s="40"/>
      <c r="O65" s="40"/>
      <c r="P65" s="40"/>
      <c r="Q65" s="40"/>
      <c r="R65" s="40"/>
      <c r="S65" s="40"/>
      <c r="T65" s="40"/>
      <c r="U65" s="30"/>
    </row>
    <row r="66" spans="1:21" ht="15.75" customHeight="1">
      <c r="A66" s="23"/>
      <c r="B66" s="30"/>
      <c r="C66" s="30"/>
      <c r="D66" s="30"/>
      <c r="E66" s="30"/>
      <c r="F66" s="30"/>
      <c r="G66" s="30"/>
      <c r="H66" s="30"/>
      <c r="I66" s="30"/>
      <c r="J66" s="30"/>
      <c r="N66" s="40"/>
      <c r="O66" s="40"/>
      <c r="P66" s="40"/>
      <c r="Q66" s="40"/>
      <c r="R66" s="40"/>
      <c r="S66" s="40"/>
      <c r="T66" s="40"/>
      <c r="U66" s="30"/>
    </row>
    <row r="67" spans="1:21" ht="15.75" customHeight="1">
      <c r="A67" s="23"/>
      <c r="B67" s="30"/>
      <c r="C67" s="30"/>
      <c r="D67" s="30"/>
      <c r="E67" s="30"/>
      <c r="F67" s="30"/>
      <c r="G67" s="30"/>
      <c r="H67" s="30"/>
      <c r="I67" s="30"/>
      <c r="J67" s="30"/>
      <c r="N67" s="40"/>
      <c r="O67" s="40"/>
      <c r="P67" s="40"/>
      <c r="Q67" s="40"/>
      <c r="R67" s="40"/>
      <c r="S67" s="40"/>
      <c r="T67" s="40"/>
      <c r="U67" s="30"/>
    </row>
    <row r="68" spans="1:21" ht="15.75" customHeight="1">
      <c r="A68" s="23"/>
      <c r="B68" s="30"/>
      <c r="C68" s="30"/>
      <c r="D68" s="30"/>
      <c r="E68" s="30"/>
      <c r="F68" s="30"/>
      <c r="G68" s="30"/>
      <c r="H68" s="30"/>
      <c r="I68" s="30"/>
      <c r="J68" s="30"/>
      <c r="N68" s="40"/>
      <c r="O68" s="40"/>
      <c r="P68" s="40"/>
      <c r="Q68" s="40"/>
      <c r="R68" s="40"/>
      <c r="S68" s="40"/>
      <c r="T68" s="40"/>
      <c r="U68" s="30"/>
    </row>
    <row r="69" spans="1:21" ht="15.75" customHeight="1">
      <c r="A69" s="23"/>
      <c r="B69" s="30"/>
      <c r="C69" s="30"/>
      <c r="D69" s="30"/>
      <c r="E69" s="30"/>
      <c r="F69" s="30"/>
      <c r="G69" s="30"/>
      <c r="H69" s="30"/>
      <c r="I69" s="30"/>
      <c r="J69" s="30"/>
      <c r="N69" s="40"/>
      <c r="O69" s="40"/>
      <c r="P69" s="40"/>
      <c r="Q69" s="40"/>
      <c r="R69" s="40"/>
      <c r="S69" s="40"/>
      <c r="T69" s="40"/>
      <c r="U69" s="30"/>
    </row>
    <row r="70" spans="1:21" ht="15.75" customHeight="1">
      <c r="A70" s="23"/>
      <c r="B70" s="30"/>
      <c r="C70" s="30"/>
      <c r="D70" s="30"/>
      <c r="E70" s="30"/>
      <c r="F70" s="30"/>
      <c r="G70" s="30"/>
      <c r="H70" s="30"/>
      <c r="I70" s="30"/>
      <c r="J70" s="30"/>
      <c r="N70" s="40"/>
      <c r="O70" s="40"/>
      <c r="P70" s="40"/>
      <c r="Q70" s="40"/>
      <c r="R70" s="40"/>
      <c r="S70" s="40"/>
      <c r="T70" s="40"/>
      <c r="U70" s="30"/>
    </row>
    <row r="71" spans="1:21" ht="15.75" customHeight="1">
      <c r="A71" s="23"/>
      <c r="B71" s="30"/>
      <c r="C71" s="30"/>
      <c r="D71" s="30"/>
      <c r="E71" s="30"/>
      <c r="F71" s="30"/>
      <c r="G71" s="30"/>
      <c r="H71" s="30"/>
      <c r="I71" s="30"/>
      <c r="J71" s="30"/>
      <c r="N71" s="40"/>
      <c r="O71" s="40"/>
      <c r="P71" s="40"/>
      <c r="Q71" s="40"/>
      <c r="R71" s="40"/>
      <c r="S71" s="40"/>
      <c r="T71" s="40"/>
      <c r="U71" s="30"/>
    </row>
    <row r="72" spans="1:21" ht="15.75" customHeight="1">
      <c r="A72" s="23"/>
      <c r="B72" s="30"/>
      <c r="C72" s="30"/>
      <c r="D72" s="30"/>
      <c r="E72" s="30"/>
      <c r="F72" s="30"/>
      <c r="G72" s="30"/>
      <c r="H72" s="30"/>
      <c r="I72" s="30"/>
      <c r="J72" s="30"/>
      <c r="N72" s="40"/>
      <c r="O72" s="40"/>
      <c r="P72" s="40"/>
      <c r="Q72" s="40"/>
      <c r="R72" s="40"/>
      <c r="S72" s="40"/>
      <c r="T72" s="40"/>
      <c r="U72" s="30"/>
    </row>
    <row r="73" spans="1:21" ht="15.75" customHeight="1">
      <c r="A73" s="23"/>
      <c r="B73" s="30"/>
      <c r="C73" s="30"/>
      <c r="D73" s="30"/>
      <c r="E73" s="30"/>
      <c r="F73" s="30"/>
      <c r="G73" s="30"/>
      <c r="H73" s="30"/>
      <c r="I73" s="30"/>
      <c r="J73" s="30"/>
      <c r="N73" s="40"/>
      <c r="O73" s="40"/>
      <c r="P73" s="40"/>
      <c r="Q73" s="40"/>
      <c r="R73" s="40"/>
      <c r="S73" s="40"/>
      <c r="T73" s="40"/>
      <c r="U73" s="30"/>
    </row>
    <row r="74" spans="1:21" ht="15.75" customHeight="1">
      <c r="A74" s="23"/>
      <c r="B74" s="30"/>
      <c r="C74" s="30"/>
      <c r="D74" s="30"/>
      <c r="E74" s="30"/>
      <c r="F74" s="30"/>
      <c r="G74" s="30"/>
      <c r="H74" s="30"/>
      <c r="I74" s="30"/>
      <c r="J74" s="30"/>
      <c r="N74" s="40"/>
      <c r="O74" s="40"/>
      <c r="P74" s="40"/>
      <c r="Q74" s="40"/>
      <c r="R74" s="40"/>
      <c r="S74" s="40"/>
      <c r="T74" s="40"/>
      <c r="U74" s="30"/>
    </row>
    <row r="75" spans="1:21" ht="15.75" customHeight="1">
      <c r="A75" s="23"/>
      <c r="B75" s="30"/>
      <c r="C75" s="30"/>
      <c r="D75" s="30"/>
      <c r="E75" s="30"/>
      <c r="F75" s="30"/>
      <c r="G75" s="30"/>
      <c r="H75" s="30"/>
      <c r="I75" s="30"/>
      <c r="J75" s="30"/>
      <c r="N75" s="40"/>
      <c r="O75" s="40"/>
      <c r="P75" s="40"/>
      <c r="Q75" s="40"/>
      <c r="R75" s="40"/>
      <c r="S75" s="40"/>
      <c r="T75" s="40"/>
      <c r="U75" s="30"/>
    </row>
    <row r="76" spans="1:21" ht="15.75" customHeight="1">
      <c r="A76" s="23"/>
      <c r="B76" s="30"/>
      <c r="C76" s="30"/>
      <c r="D76" s="30"/>
      <c r="E76" s="30"/>
      <c r="F76" s="30"/>
      <c r="G76" s="30"/>
      <c r="H76" s="30"/>
      <c r="I76" s="30"/>
      <c r="J76" s="30"/>
      <c r="N76" s="40"/>
      <c r="O76" s="40"/>
      <c r="P76" s="40"/>
      <c r="Q76" s="40"/>
      <c r="R76" s="40"/>
      <c r="S76" s="40"/>
      <c r="T76" s="40"/>
      <c r="U76" s="30"/>
    </row>
    <row r="77" spans="1:21" ht="15.75" customHeight="1">
      <c r="A77" s="23"/>
      <c r="B77" s="30"/>
      <c r="C77" s="30"/>
      <c r="D77" s="30"/>
      <c r="E77" s="30"/>
      <c r="F77" s="30"/>
      <c r="G77" s="30"/>
      <c r="H77" s="30"/>
      <c r="I77" s="30"/>
      <c r="J77" s="30"/>
      <c r="N77" s="40"/>
      <c r="O77" s="40"/>
      <c r="P77" s="40"/>
      <c r="Q77" s="40"/>
      <c r="R77" s="40"/>
      <c r="S77" s="40"/>
      <c r="T77" s="40"/>
      <c r="U77" s="30"/>
    </row>
    <row r="78" spans="1:21" ht="15.75" customHeight="1">
      <c r="A78" s="23"/>
      <c r="B78" s="30"/>
      <c r="C78" s="30"/>
      <c r="D78" s="30"/>
      <c r="E78" s="30"/>
      <c r="F78" s="30"/>
      <c r="G78" s="30"/>
      <c r="H78" s="30"/>
      <c r="I78" s="30"/>
      <c r="J78" s="30"/>
      <c r="N78" s="40"/>
      <c r="O78" s="40"/>
      <c r="P78" s="40"/>
      <c r="Q78" s="40"/>
      <c r="R78" s="40"/>
      <c r="S78" s="40"/>
      <c r="T78" s="40"/>
      <c r="U78" s="30"/>
    </row>
    <row r="79" spans="1:21" ht="15.75" customHeight="1">
      <c r="A79" s="23"/>
      <c r="B79" s="30"/>
      <c r="C79" s="30"/>
      <c r="D79" s="30"/>
      <c r="E79" s="30"/>
      <c r="F79" s="30"/>
      <c r="G79" s="30"/>
      <c r="H79" s="30"/>
      <c r="I79" s="30"/>
      <c r="J79" s="30"/>
      <c r="N79" s="40"/>
      <c r="O79" s="40"/>
      <c r="P79" s="40"/>
      <c r="Q79" s="40"/>
      <c r="R79" s="40"/>
      <c r="S79" s="40"/>
      <c r="T79" s="40"/>
      <c r="U79" s="30"/>
    </row>
    <row r="80" spans="1:21" ht="15.75" customHeight="1">
      <c r="A80" s="23"/>
      <c r="B80" s="30"/>
      <c r="C80" s="30"/>
      <c r="D80" s="30"/>
      <c r="E80" s="30"/>
      <c r="F80" s="30"/>
      <c r="G80" s="30"/>
      <c r="H80" s="30"/>
      <c r="I80" s="30"/>
      <c r="J80" s="30"/>
      <c r="N80" s="40"/>
      <c r="O80" s="40"/>
      <c r="P80" s="40"/>
      <c r="Q80" s="40"/>
      <c r="R80" s="40"/>
      <c r="S80" s="40"/>
      <c r="T80" s="40"/>
      <c r="U80" s="30"/>
    </row>
    <row r="81" spans="1:21" ht="15.75" customHeight="1">
      <c r="A81" s="23"/>
      <c r="B81" s="30"/>
      <c r="C81" s="30"/>
      <c r="D81" s="30"/>
      <c r="E81" s="30"/>
      <c r="F81" s="30"/>
      <c r="G81" s="30"/>
      <c r="H81" s="30"/>
      <c r="I81" s="30"/>
      <c r="J81" s="30"/>
      <c r="N81" s="40"/>
      <c r="O81" s="40"/>
      <c r="P81" s="40"/>
      <c r="Q81" s="40"/>
      <c r="R81" s="40"/>
      <c r="S81" s="40"/>
      <c r="T81" s="40"/>
      <c r="U81" s="30"/>
    </row>
    <row r="82" spans="1:21" ht="15.75" customHeight="1">
      <c r="A82" s="23"/>
      <c r="B82" s="30"/>
      <c r="C82" s="30"/>
      <c r="D82" s="30"/>
      <c r="E82" s="30"/>
      <c r="F82" s="30"/>
      <c r="G82" s="30"/>
      <c r="H82" s="30"/>
      <c r="I82" s="30"/>
      <c r="J82" s="30"/>
      <c r="N82" s="40"/>
      <c r="O82" s="40"/>
      <c r="P82" s="40"/>
      <c r="Q82" s="40"/>
      <c r="R82" s="40"/>
      <c r="S82" s="40"/>
      <c r="T82" s="40"/>
      <c r="U82" s="30"/>
    </row>
    <row r="83" spans="1:21" ht="15.75" customHeight="1">
      <c r="A83" s="23"/>
      <c r="B83" s="30"/>
      <c r="C83" s="30"/>
      <c r="D83" s="30"/>
      <c r="E83" s="30"/>
      <c r="F83" s="30"/>
      <c r="G83" s="30"/>
      <c r="H83" s="30"/>
      <c r="I83" s="30"/>
      <c r="J83" s="30"/>
      <c r="N83" s="40"/>
      <c r="O83" s="40"/>
      <c r="P83" s="40"/>
      <c r="Q83" s="40"/>
      <c r="R83" s="40"/>
      <c r="S83" s="40"/>
      <c r="T83" s="40"/>
      <c r="U83" s="30"/>
    </row>
    <row r="84" spans="1:21" ht="15.75" customHeight="1">
      <c r="A84" s="23"/>
      <c r="B84" s="30"/>
      <c r="C84" s="30"/>
      <c r="D84" s="30"/>
      <c r="E84" s="30"/>
      <c r="F84" s="30"/>
      <c r="G84" s="30"/>
      <c r="H84" s="30"/>
      <c r="I84" s="30"/>
      <c r="J84" s="30"/>
      <c r="N84" s="40"/>
      <c r="O84" s="40"/>
      <c r="P84" s="40"/>
      <c r="Q84" s="40"/>
      <c r="R84" s="40"/>
      <c r="S84" s="40"/>
      <c r="T84" s="40"/>
      <c r="U84" s="30"/>
    </row>
    <row r="85" spans="1:21" ht="15.75" customHeight="1">
      <c r="A85" s="23"/>
      <c r="B85" s="30"/>
      <c r="C85" s="30"/>
      <c r="D85" s="30"/>
      <c r="E85" s="30"/>
      <c r="F85" s="30"/>
      <c r="G85" s="30"/>
      <c r="H85" s="30"/>
      <c r="I85" s="30"/>
      <c r="J85" s="30"/>
      <c r="N85" s="40"/>
      <c r="O85" s="40"/>
      <c r="P85" s="40"/>
      <c r="Q85" s="40"/>
      <c r="R85" s="40"/>
      <c r="S85" s="40"/>
      <c r="T85" s="40"/>
      <c r="U85" s="30"/>
    </row>
    <row r="86" spans="1:21" ht="15.75" customHeight="1">
      <c r="A86" s="23"/>
      <c r="B86" s="30"/>
      <c r="C86" s="30"/>
      <c r="D86" s="30"/>
      <c r="E86" s="30"/>
      <c r="F86" s="30"/>
      <c r="G86" s="30"/>
      <c r="H86" s="30"/>
      <c r="I86" s="30"/>
      <c r="J86" s="30"/>
      <c r="N86" s="40"/>
      <c r="O86" s="40"/>
      <c r="P86" s="40"/>
      <c r="Q86" s="40"/>
      <c r="R86" s="40"/>
      <c r="S86" s="40"/>
      <c r="T86" s="40"/>
      <c r="U86" s="30"/>
    </row>
    <row r="87" spans="1:21" ht="15.75" customHeight="1">
      <c r="A87" s="23"/>
      <c r="B87" s="30"/>
      <c r="C87" s="30"/>
      <c r="D87" s="30"/>
      <c r="E87" s="30"/>
      <c r="F87" s="30"/>
      <c r="G87" s="30"/>
      <c r="H87" s="30"/>
      <c r="I87" s="30"/>
      <c r="J87" s="30"/>
      <c r="N87" s="40"/>
      <c r="O87" s="40"/>
      <c r="P87" s="40"/>
      <c r="Q87" s="40"/>
      <c r="R87" s="40"/>
      <c r="S87" s="40"/>
      <c r="T87" s="40"/>
      <c r="U87" s="30"/>
    </row>
    <row r="88" spans="1:21" ht="15.75" customHeight="1">
      <c r="A88" s="23"/>
      <c r="B88" s="30"/>
      <c r="C88" s="30"/>
      <c r="D88" s="30"/>
      <c r="E88" s="30"/>
      <c r="F88" s="30"/>
      <c r="G88" s="30"/>
      <c r="H88" s="30"/>
      <c r="I88" s="30"/>
      <c r="J88" s="30"/>
      <c r="N88" s="40"/>
      <c r="O88" s="40"/>
      <c r="P88" s="40"/>
      <c r="Q88" s="40"/>
      <c r="R88" s="40"/>
      <c r="S88" s="40"/>
      <c r="T88" s="40"/>
      <c r="U88" s="30"/>
    </row>
    <row r="89" spans="1:21" ht="15.75" customHeight="1">
      <c r="A89" s="23"/>
      <c r="B89" s="30"/>
      <c r="C89" s="30"/>
      <c r="D89" s="30"/>
      <c r="E89" s="30"/>
      <c r="F89" s="30"/>
      <c r="G89" s="30"/>
      <c r="H89" s="30"/>
      <c r="I89" s="30"/>
      <c r="J89" s="30"/>
      <c r="N89" s="40"/>
      <c r="O89" s="40"/>
      <c r="P89" s="40"/>
      <c r="Q89" s="40"/>
      <c r="R89" s="40"/>
      <c r="S89" s="40"/>
      <c r="T89" s="40"/>
      <c r="U89" s="30"/>
    </row>
    <row r="90" spans="1:21" ht="15.75" customHeight="1">
      <c r="A90" s="23"/>
      <c r="B90" s="30"/>
      <c r="C90" s="30"/>
      <c r="D90" s="30"/>
      <c r="E90" s="30"/>
      <c r="F90" s="30"/>
      <c r="G90" s="30"/>
      <c r="H90" s="30"/>
      <c r="I90" s="30"/>
      <c r="J90" s="30"/>
      <c r="N90" s="40"/>
      <c r="O90" s="40"/>
      <c r="P90" s="40"/>
      <c r="Q90" s="40"/>
      <c r="R90" s="40"/>
      <c r="S90" s="40"/>
      <c r="T90" s="40"/>
      <c r="U90" s="30"/>
    </row>
    <row r="91" spans="1:21" ht="15.75" customHeight="1">
      <c r="A91" s="23"/>
      <c r="B91" s="30"/>
      <c r="C91" s="30"/>
      <c r="D91" s="30"/>
      <c r="E91" s="30"/>
      <c r="F91" s="30"/>
      <c r="G91" s="30"/>
      <c r="H91" s="30"/>
      <c r="I91" s="30"/>
      <c r="J91" s="30"/>
      <c r="N91" s="40"/>
      <c r="O91" s="40"/>
      <c r="P91" s="40"/>
      <c r="Q91" s="40"/>
      <c r="R91" s="40"/>
      <c r="S91" s="40"/>
      <c r="T91" s="40"/>
      <c r="U91" s="30"/>
    </row>
    <row r="92" spans="1:21" ht="15.75" customHeight="1">
      <c r="A92" s="23"/>
      <c r="B92" s="30"/>
      <c r="C92" s="30"/>
      <c r="D92" s="30"/>
      <c r="E92" s="30"/>
      <c r="F92" s="30"/>
      <c r="G92" s="30"/>
      <c r="H92" s="30"/>
      <c r="I92" s="30"/>
      <c r="J92" s="30"/>
      <c r="N92" s="40"/>
      <c r="O92" s="40"/>
      <c r="P92" s="40"/>
      <c r="Q92" s="40"/>
      <c r="R92" s="40"/>
      <c r="S92" s="40"/>
      <c r="T92" s="40"/>
      <c r="U92" s="30"/>
    </row>
    <row r="93" spans="1:21" ht="15.75" customHeight="1">
      <c r="A93" s="23"/>
      <c r="B93" s="30"/>
      <c r="C93" s="30"/>
      <c r="D93" s="30"/>
      <c r="E93" s="30"/>
      <c r="F93" s="30"/>
      <c r="G93" s="30"/>
      <c r="H93" s="30"/>
      <c r="I93" s="30"/>
      <c r="J93" s="30"/>
      <c r="N93" s="40"/>
      <c r="O93" s="40"/>
      <c r="P93" s="40"/>
      <c r="Q93" s="40"/>
      <c r="R93" s="40"/>
      <c r="S93" s="40"/>
      <c r="T93" s="40"/>
      <c r="U93" s="30"/>
    </row>
    <row r="94" spans="1:21" ht="15.75" customHeight="1">
      <c r="A94" s="23"/>
      <c r="B94" s="30"/>
      <c r="C94" s="30"/>
      <c r="D94" s="30"/>
      <c r="E94" s="30"/>
      <c r="F94" s="30"/>
      <c r="G94" s="30"/>
      <c r="H94" s="30"/>
      <c r="I94" s="30"/>
      <c r="J94" s="30"/>
      <c r="N94" s="40"/>
      <c r="O94" s="40"/>
      <c r="P94" s="40"/>
      <c r="Q94" s="40"/>
      <c r="R94" s="40"/>
      <c r="S94" s="40"/>
      <c r="T94" s="40"/>
      <c r="U94" s="30"/>
    </row>
    <row r="95" spans="1:21" ht="15.75" customHeight="1">
      <c r="A95" s="23"/>
      <c r="B95" s="30"/>
      <c r="C95" s="30"/>
      <c r="D95" s="30"/>
      <c r="E95" s="30"/>
      <c r="F95" s="30"/>
      <c r="G95" s="30"/>
      <c r="H95" s="30"/>
      <c r="I95" s="30"/>
      <c r="J95" s="30"/>
      <c r="N95" s="40"/>
      <c r="O95" s="40"/>
      <c r="P95" s="40"/>
      <c r="Q95" s="40"/>
      <c r="R95" s="40"/>
      <c r="S95" s="40"/>
      <c r="T95" s="40"/>
      <c r="U95" s="30"/>
    </row>
    <row r="96" spans="1:21" ht="15.75" customHeight="1">
      <c r="A96" s="23"/>
      <c r="B96" s="30"/>
      <c r="C96" s="30"/>
      <c r="D96" s="30"/>
      <c r="E96" s="30"/>
      <c r="F96" s="30"/>
      <c r="G96" s="30"/>
      <c r="H96" s="30"/>
      <c r="I96" s="30"/>
      <c r="J96" s="30"/>
      <c r="N96" s="40"/>
      <c r="O96" s="40"/>
      <c r="P96" s="40"/>
      <c r="Q96" s="40"/>
      <c r="R96" s="40"/>
      <c r="S96" s="40"/>
      <c r="T96" s="40"/>
      <c r="U96" s="30"/>
    </row>
    <row r="97" spans="1:21" ht="15.75" customHeight="1">
      <c r="A97" s="23"/>
      <c r="B97" s="30"/>
      <c r="C97" s="30"/>
      <c r="D97" s="30"/>
      <c r="E97" s="30"/>
      <c r="F97" s="30"/>
      <c r="G97" s="30"/>
      <c r="H97" s="30"/>
      <c r="I97" s="30"/>
      <c r="J97" s="30"/>
      <c r="N97" s="40"/>
      <c r="O97" s="40"/>
      <c r="P97" s="40"/>
      <c r="Q97" s="40"/>
      <c r="R97" s="40"/>
      <c r="S97" s="40"/>
      <c r="T97" s="40"/>
      <c r="U97" s="30"/>
    </row>
    <row r="98" spans="1:21" ht="15.75" customHeight="1">
      <c r="A98" s="23"/>
      <c r="B98" s="30"/>
      <c r="C98" s="30"/>
      <c r="D98" s="30"/>
      <c r="E98" s="30"/>
      <c r="F98" s="30"/>
      <c r="G98" s="30"/>
      <c r="H98" s="30"/>
      <c r="I98" s="30"/>
      <c r="J98" s="30"/>
      <c r="N98" s="40"/>
      <c r="O98" s="40"/>
      <c r="P98" s="40"/>
      <c r="Q98" s="40"/>
      <c r="R98" s="40"/>
      <c r="S98" s="40"/>
      <c r="T98" s="40"/>
      <c r="U98" s="30"/>
    </row>
    <row r="99" spans="1:21" ht="15.75" customHeight="1">
      <c r="A99" s="23"/>
      <c r="B99" s="30"/>
      <c r="C99" s="30"/>
      <c r="D99" s="30"/>
      <c r="E99" s="30"/>
      <c r="F99" s="30"/>
      <c r="G99" s="30"/>
      <c r="H99" s="30"/>
      <c r="I99" s="30"/>
      <c r="J99" s="30"/>
      <c r="N99" s="40"/>
      <c r="O99" s="40"/>
      <c r="P99" s="40"/>
      <c r="Q99" s="40"/>
      <c r="R99" s="40"/>
      <c r="S99" s="40"/>
      <c r="T99" s="40"/>
      <c r="U99" s="30"/>
    </row>
    <row r="100" spans="1:21" ht="15.75" customHeight="1">
      <c r="A100" s="23"/>
      <c r="B100" s="30"/>
      <c r="C100" s="30"/>
      <c r="D100" s="30"/>
      <c r="E100" s="30"/>
      <c r="F100" s="30"/>
      <c r="G100" s="30"/>
      <c r="H100" s="30"/>
      <c r="I100" s="30"/>
      <c r="J100" s="30"/>
      <c r="N100" s="40"/>
      <c r="O100" s="40"/>
      <c r="P100" s="40"/>
      <c r="Q100" s="40"/>
      <c r="R100" s="40"/>
      <c r="S100" s="40"/>
      <c r="T100" s="40"/>
      <c r="U100" s="30"/>
    </row>
    <row r="101" spans="1:21" ht="15.75" customHeight="1">
      <c r="A101" s="23"/>
      <c r="B101" s="30"/>
      <c r="C101" s="30"/>
      <c r="D101" s="30"/>
      <c r="E101" s="30"/>
      <c r="F101" s="30"/>
      <c r="G101" s="30"/>
      <c r="H101" s="30"/>
      <c r="I101" s="30"/>
      <c r="J101" s="30"/>
      <c r="N101" s="40"/>
      <c r="O101" s="40"/>
      <c r="P101" s="40"/>
      <c r="Q101" s="40"/>
      <c r="R101" s="40"/>
      <c r="S101" s="40"/>
      <c r="T101" s="40"/>
      <c r="U101" s="30"/>
    </row>
    <row r="102" spans="1:21" ht="15.75" customHeight="1">
      <c r="A102" s="23"/>
      <c r="B102" s="30"/>
      <c r="C102" s="30"/>
      <c r="D102" s="30"/>
      <c r="E102" s="30"/>
      <c r="F102" s="30"/>
      <c r="G102" s="30"/>
      <c r="H102" s="30"/>
      <c r="I102" s="30"/>
      <c r="J102" s="30"/>
      <c r="N102" s="40"/>
      <c r="O102" s="40"/>
      <c r="P102" s="40"/>
      <c r="Q102" s="40"/>
      <c r="R102" s="40"/>
      <c r="S102" s="40"/>
      <c r="T102" s="40"/>
      <c r="U102" s="30"/>
    </row>
    <row r="103" spans="1:21" ht="15.75" customHeight="1">
      <c r="A103" s="23"/>
      <c r="B103" s="30"/>
      <c r="C103" s="30"/>
      <c r="D103" s="30"/>
      <c r="E103" s="30"/>
      <c r="F103" s="30"/>
      <c r="G103" s="30"/>
      <c r="H103" s="30"/>
      <c r="I103" s="30"/>
      <c r="J103" s="30"/>
      <c r="N103" s="40"/>
      <c r="O103" s="40"/>
      <c r="P103" s="40"/>
      <c r="Q103" s="40"/>
      <c r="R103" s="40"/>
      <c r="S103" s="40"/>
      <c r="T103" s="40"/>
      <c r="U103" s="30"/>
    </row>
    <row r="104" spans="1:21" ht="15.75" customHeight="1">
      <c r="A104" s="23"/>
      <c r="B104" s="30"/>
      <c r="C104" s="30"/>
      <c r="D104" s="30"/>
      <c r="E104" s="30"/>
      <c r="F104" s="30"/>
      <c r="G104" s="30"/>
      <c r="H104" s="30"/>
      <c r="I104" s="30"/>
      <c r="J104" s="30"/>
      <c r="N104" s="40"/>
      <c r="O104" s="40"/>
      <c r="P104" s="40"/>
      <c r="Q104" s="40"/>
      <c r="R104" s="40"/>
      <c r="S104" s="40"/>
      <c r="T104" s="40"/>
      <c r="U104" s="30"/>
    </row>
    <row r="105" spans="1:21" ht="15.75" customHeight="1">
      <c r="A105" s="23"/>
      <c r="B105" s="30"/>
      <c r="C105" s="30"/>
      <c r="D105" s="30"/>
      <c r="E105" s="30"/>
      <c r="F105" s="30"/>
      <c r="G105" s="30"/>
      <c r="H105" s="30"/>
      <c r="I105" s="30"/>
      <c r="J105" s="30"/>
      <c r="N105" s="40"/>
      <c r="O105" s="40"/>
      <c r="P105" s="40"/>
      <c r="Q105" s="40"/>
      <c r="R105" s="40"/>
      <c r="S105" s="40"/>
      <c r="T105" s="40"/>
      <c r="U105" s="30"/>
    </row>
    <row r="106" spans="1:21" ht="15.75" customHeight="1">
      <c r="A106" s="23"/>
      <c r="B106" s="30"/>
      <c r="C106" s="30"/>
      <c r="D106" s="30"/>
      <c r="E106" s="30"/>
      <c r="F106" s="30"/>
      <c r="G106" s="30"/>
      <c r="H106" s="30"/>
      <c r="I106" s="30"/>
      <c r="J106" s="30"/>
      <c r="N106" s="40"/>
      <c r="O106" s="40"/>
      <c r="P106" s="40"/>
      <c r="Q106" s="40"/>
      <c r="R106" s="40"/>
      <c r="S106" s="40"/>
      <c r="T106" s="40"/>
      <c r="U106" s="30"/>
    </row>
    <row r="107" spans="1:21" ht="15.75" customHeight="1">
      <c r="A107" s="23"/>
      <c r="B107" s="30"/>
      <c r="C107" s="30"/>
      <c r="D107" s="30"/>
      <c r="E107" s="30"/>
      <c r="F107" s="30"/>
      <c r="G107" s="30"/>
      <c r="H107" s="30"/>
      <c r="I107" s="30"/>
      <c r="J107" s="30"/>
      <c r="N107" s="40"/>
      <c r="O107" s="40"/>
      <c r="P107" s="40"/>
      <c r="Q107" s="40"/>
      <c r="R107" s="40"/>
      <c r="S107" s="40"/>
      <c r="T107" s="40"/>
      <c r="U107" s="30"/>
    </row>
    <row r="108" spans="1:21" ht="15.75" customHeight="1">
      <c r="A108" s="23"/>
      <c r="B108" s="30"/>
      <c r="C108" s="30"/>
      <c r="D108" s="30"/>
      <c r="E108" s="30"/>
      <c r="F108" s="30"/>
      <c r="G108" s="30"/>
      <c r="H108" s="30"/>
      <c r="I108" s="30"/>
      <c r="J108" s="30"/>
      <c r="N108" s="40"/>
      <c r="O108" s="40"/>
      <c r="P108" s="40"/>
      <c r="Q108" s="40"/>
      <c r="R108" s="40"/>
      <c r="S108" s="40"/>
      <c r="T108" s="40"/>
      <c r="U108" s="30"/>
    </row>
    <row r="109" spans="1:21" ht="15.75" customHeight="1">
      <c r="A109" s="23"/>
      <c r="B109" s="30"/>
      <c r="C109" s="30"/>
      <c r="D109" s="30"/>
      <c r="E109" s="30"/>
      <c r="F109" s="30"/>
      <c r="G109" s="30"/>
      <c r="H109" s="30"/>
      <c r="I109" s="30"/>
      <c r="J109" s="30"/>
      <c r="N109" s="40"/>
      <c r="O109" s="40"/>
      <c r="P109" s="40"/>
      <c r="Q109" s="40"/>
      <c r="R109" s="40"/>
      <c r="S109" s="40"/>
      <c r="T109" s="40"/>
      <c r="U109" s="30"/>
    </row>
    <row r="110" spans="1:21" ht="15.75" customHeight="1">
      <c r="A110" s="23"/>
      <c r="B110" s="30"/>
      <c r="C110" s="30"/>
      <c r="D110" s="30"/>
      <c r="E110" s="30"/>
      <c r="F110" s="30"/>
      <c r="G110" s="30"/>
      <c r="H110" s="30"/>
      <c r="I110" s="30"/>
      <c r="J110" s="30"/>
      <c r="N110" s="40"/>
      <c r="O110" s="40"/>
      <c r="P110" s="40"/>
      <c r="Q110" s="40"/>
      <c r="R110" s="40"/>
      <c r="S110" s="40"/>
      <c r="T110" s="40"/>
      <c r="U110" s="30"/>
    </row>
    <row r="111" spans="1:21" ht="15.75" customHeight="1">
      <c r="A111" s="23"/>
      <c r="B111" s="30"/>
      <c r="C111" s="30"/>
      <c r="D111" s="30"/>
      <c r="E111" s="30"/>
      <c r="F111" s="30"/>
      <c r="G111" s="30"/>
      <c r="H111" s="30"/>
      <c r="I111" s="30"/>
      <c r="J111" s="30"/>
      <c r="N111" s="40"/>
      <c r="O111" s="40"/>
      <c r="P111" s="40"/>
      <c r="Q111" s="40"/>
      <c r="R111" s="40"/>
      <c r="S111" s="40"/>
      <c r="T111" s="40"/>
      <c r="U111" s="30"/>
    </row>
    <row r="112" spans="1:21" ht="15.75" customHeight="1">
      <c r="A112" s="23"/>
      <c r="B112" s="30"/>
      <c r="C112" s="30"/>
      <c r="D112" s="30"/>
      <c r="E112" s="30"/>
      <c r="F112" s="30"/>
      <c r="G112" s="30"/>
      <c r="H112" s="30"/>
      <c r="I112" s="30"/>
      <c r="J112" s="30"/>
      <c r="N112" s="40"/>
      <c r="O112" s="40"/>
      <c r="P112" s="40"/>
      <c r="Q112" s="40"/>
      <c r="R112" s="40"/>
      <c r="S112" s="40"/>
      <c r="T112" s="40"/>
      <c r="U112" s="30"/>
    </row>
    <row r="113" spans="1:21" ht="15.75" customHeight="1">
      <c r="A113" s="23"/>
      <c r="B113" s="30"/>
      <c r="C113" s="30"/>
      <c r="D113" s="30"/>
      <c r="E113" s="30"/>
      <c r="F113" s="30"/>
      <c r="G113" s="30"/>
      <c r="H113" s="30"/>
      <c r="I113" s="30"/>
      <c r="J113" s="30"/>
      <c r="N113" s="40"/>
      <c r="O113" s="40"/>
      <c r="P113" s="40"/>
      <c r="Q113" s="40"/>
      <c r="R113" s="40"/>
      <c r="S113" s="40"/>
      <c r="T113" s="40"/>
      <c r="U113" s="30"/>
    </row>
    <row r="114" spans="1:21" ht="15.75" customHeight="1">
      <c r="A114" s="23"/>
      <c r="B114" s="30"/>
      <c r="C114" s="30"/>
      <c r="D114" s="30"/>
      <c r="E114" s="30"/>
      <c r="F114" s="30"/>
      <c r="G114" s="30"/>
      <c r="H114" s="30"/>
      <c r="I114" s="30"/>
      <c r="J114" s="30"/>
      <c r="N114" s="40"/>
      <c r="O114" s="40"/>
      <c r="P114" s="40"/>
      <c r="Q114" s="40"/>
      <c r="R114" s="40"/>
      <c r="S114" s="40"/>
      <c r="T114" s="40"/>
      <c r="U114" s="30"/>
    </row>
    <row r="115" spans="1:21" ht="15.75" customHeight="1">
      <c r="A115" s="23"/>
      <c r="B115" s="30"/>
      <c r="C115" s="30"/>
      <c r="D115" s="30"/>
      <c r="E115" s="30"/>
      <c r="F115" s="30"/>
      <c r="G115" s="30"/>
      <c r="H115" s="30"/>
      <c r="I115" s="30"/>
      <c r="J115" s="30"/>
      <c r="N115" s="40"/>
      <c r="O115" s="40"/>
      <c r="P115" s="40"/>
      <c r="Q115" s="40"/>
      <c r="R115" s="40"/>
      <c r="S115" s="40"/>
      <c r="T115" s="40"/>
      <c r="U115" s="30"/>
    </row>
    <row r="116" spans="1:21" ht="15.75" customHeight="1">
      <c r="A116" s="23"/>
      <c r="B116" s="30"/>
      <c r="C116" s="30"/>
      <c r="D116" s="30"/>
      <c r="E116" s="30"/>
      <c r="F116" s="30"/>
      <c r="G116" s="30"/>
      <c r="H116" s="30"/>
      <c r="I116" s="30"/>
      <c r="J116" s="30"/>
      <c r="N116" s="40"/>
      <c r="O116" s="40"/>
      <c r="P116" s="40"/>
      <c r="Q116" s="40"/>
      <c r="R116" s="40"/>
      <c r="S116" s="40"/>
      <c r="T116" s="40"/>
      <c r="U116" s="30"/>
    </row>
    <row r="117" spans="1:21" ht="15.75" customHeight="1">
      <c r="A117" s="23"/>
      <c r="B117" s="30"/>
      <c r="C117" s="30"/>
      <c r="D117" s="30"/>
      <c r="E117" s="30"/>
      <c r="F117" s="30"/>
      <c r="G117" s="30"/>
      <c r="H117" s="30"/>
      <c r="I117" s="30"/>
      <c r="J117" s="30"/>
      <c r="N117" s="40"/>
      <c r="O117" s="40"/>
      <c r="P117" s="40"/>
      <c r="Q117" s="40"/>
      <c r="R117" s="40"/>
      <c r="S117" s="40"/>
      <c r="T117" s="40"/>
      <c r="U117" s="30"/>
    </row>
    <row r="118" spans="1:21" ht="15.75" customHeight="1">
      <c r="A118" s="23"/>
      <c r="B118" s="30"/>
      <c r="C118" s="30"/>
      <c r="D118" s="30"/>
      <c r="E118" s="30"/>
      <c r="F118" s="30"/>
      <c r="G118" s="30"/>
      <c r="H118" s="30"/>
      <c r="I118" s="30"/>
      <c r="J118" s="30"/>
      <c r="N118" s="40"/>
      <c r="O118" s="40"/>
      <c r="P118" s="40"/>
      <c r="Q118" s="40"/>
      <c r="R118" s="40"/>
      <c r="S118" s="40"/>
      <c r="T118" s="40"/>
      <c r="U118" s="30"/>
    </row>
    <row r="119" spans="1:21" ht="15.75" customHeight="1">
      <c r="A119" s="23"/>
      <c r="B119" s="30"/>
      <c r="C119" s="30"/>
      <c r="D119" s="30"/>
      <c r="E119" s="30"/>
      <c r="F119" s="30"/>
      <c r="G119" s="30"/>
      <c r="H119" s="30"/>
      <c r="I119" s="30"/>
      <c r="J119" s="30"/>
      <c r="N119" s="40"/>
      <c r="O119" s="40"/>
      <c r="P119" s="40"/>
      <c r="Q119" s="40"/>
      <c r="R119" s="40"/>
      <c r="S119" s="40"/>
      <c r="T119" s="40"/>
      <c r="U119" s="30"/>
    </row>
    <row r="120" spans="1:21" ht="15.75" customHeight="1">
      <c r="A120" s="23"/>
      <c r="B120" s="30"/>
      <c r="C120" s="30"/>
      <c r="D120" s="30"/>
      <c r="E120" s="30"/>
      <c r="F120" s="30"/>
      <c r="G120" s="30"/>
      <c r="H120" s="30"/>
      <c r="I120" s="30"/>
      <c r="J120" s="30"/>
      <c r="N120" s="40"/>
      <c r="O120" s="40"/>
      <c r="P120" s="40"/>
      <c r="Q120" s="40"/>
      <c r="R120" s="40"/>
      <c r="S120" s="40"/>
      <c r="T120" s="40"/>
      <c r="U120" s="30"/>
    </row>
    <row r="121" spans="1:21" ht="15.75" customHeight="1">
      <c r="A121" s="23"/>
      <c r="B121" s="30"/>
      <c r="C121" s="30"/>
      <c r="D121" s="30"/>
      <c r="E121" s="30"/>
      <c r="F121" s="30"/>
      <c r="G121" s="30"/>
      <c r="H121" s="30"/>
      <c r="I121" s="30"/>
      <c r="J121" s="30"/>
      <c r="N121" s="40"/>
      <c r="O121" s="40"/>
      <c r="P121" s="40"/>
      <c r="Q121" s="40"/>
      <c r="R121" s="40"/>
      <c r="S121" s="40"/>
      <c r="T121" s="40"/>
      <c r="U121" s="30"/>
    </row>
    <row r="122" spans="1:21" ht="15.75" customHeight="1">
      <c r="A122" s="23"/>
      <c r="B122" s="30"/>
      <c r="C122" s="30"/>
      <c r="D122" s="30"/>
      <c r="E122" s="30"/>
      <c r="F122" s="30"/>
      <c r="G122" s="30"/>
      <c r="H122" s="30"/>
      <c r="I122" s="30"/>
      <c r="J122" s="30"/>
      <c r="N122" s="40"/>
      <c r="O122" s="40"/>
      <c r="P122" s="40"/>
      <c r="Q122" s="40"/>
      <c r="R122" s="40"/>
      <c r="S122" s="40"/>
      <c r="T122" s="40"/>
      <c r="U122" s="30"/>
    </row>
    <row r="123" spans="1:21" ht="15.75" customHeight="1">
      <c r="A123" s="23"/>
      <c r="B123" s="30"/>
      <c r="C123" s="30"/>
      <c r="D123" s="30"/>
      <c r="E123" s="30"/>
      <c r="F123" s="30"/>
      <c r="G123" s="30"/>
      <c r="H123" s="30"/>
      <c r="I123" s="30"/>
      <c r="J123" s="30"/>
      <c r="N123" s="40"/>
      <c r="O123" s="40"/>
      <c r="P123" s="40"/>
      <c r="Q123" s="40"/>
      <c r="R123" s="40"/>
      <c r="S123" s="40"/>
      <c r="T123" s="40"/>
      <c r="U123" s="30"/>
    </row>
    <row r="124" spans="1:21" ht="15.75" customHeight="1">
      <c r="A124" s="23"/>
      <c r="B124" s="30"/>
      <c r="C124" s="30"/>
      <c r="D124" s="30"/>
      <c r="E124" s="30"/>
      <c r="F124" s="30"/>
      <c r="G124" s="30"/>
      <c r="H124" s="30"/>
      <c r="I124" s="30"/>
      <c r="J124" s="30"/>
      <c r="N124" s="40"/>
      <c r="O124" s="40"/>
      <c r="P124" s="40"/>
      <c r="Q124" s="40"/>
      <c r="R124" s="40"/>
      <c r="S124" s="40"/>
      <c r="T124" s="40"/>
      <c r="U124" s="30"/>
    </row>
    <row r="125" spans="1:21" ht="15.75" customHeight="1">
      <c r="A125" s="23"/>
      <c r="B125" s="30"/>
      <c r="C125" s="30"/>
      <c r="D125" s="30"/>
      <c r="E125" s="30"/>
      <c r="F125" s="30"/>
      <c r="G125" s="30"/>
      <c r="H125" s="30"/>
      <c r="I125" s="30"/>
      <c r="J125" s="30"/>
      <c r="N125" s="40"/>
      <c r="O125" s="40"/>
      <c r="P125" s="40"/>
      <c r="Q125" s="40"/>
      <c r="R125" s="40"/>
      <c r="S125" s="40"/>
      <c r="T125" s="40"/>
      <c r="U125" s="30"/>
    </row>
    <row r="126" spans="1:21" ht="15.75" customHeight="1">
      <c r="A126" s="23"/>
      <c r="B126" s="30"/>
      <c r="C126" s="30"/>
      <c r="D126" s="30"/>
      <c r="E126" s="30"/>
      <c r="F126" s="30"/>
      <c r="G126" s="30"/>
      <c r="H126" s="30"/>
      <c r="I126" s="30"/>
      <c r="J126" s="30"/>
      <c r="N126" s="40"/>
      <c r="O126" s="40"/>
      <c r="P126" s="40"/>
      <c r="Q126" s="40"/>
      <c r="R126" s="40"/>
      <c r="S126" s="40"/>
      <c r="T126" s="40"/>
      <c r="U126" s="30"/>
    </row>
    <row r="127" spans="1:21" ht="15.75" customHeight="1">
      <c r="A127" s="23"/>
      <c r="B127" s="30"/>
      <c r="C127" s="30"/>
      <c r="D127" s="30"/>
      <c r="E127" s="30"/>
      <c r="F127" s="30"/>
      <c r="G127" s="30"/>
      <c r="H127" s="30"/>
      <c r="I127" s="30"/>
      <c r="J127" s="30"/>
      <c r="N127" s="40"/>
      <c r="O127" s="40"/>
      <c r="P127" s="40"/>
      <c r="Q127" s="40"/>
      <c r="R127" s="40"/>
      <c r="S127" s="40"/>
      <c r="T127" s="40"/>
      <c r="U127" s="30"/>
    </row>
    <row r="128" spans="1:21" ht="15.75" customHeight="1">
      <c r="A128" s="23"/>
      <c r="B128" s="30"/>
      <c r="C128" s="30"/>
      <c r="D128" s="30"/>
      <c r="E128" s="30"/>
      <c r="F128" s="30"/>
      <c r="G128" s="30"/>
      <c r="H128" s="30"/>
      <c r="I128" s="30"/>
      <c r="J128" s="30"/>
      <c r="N128" s="40"/>
      <c r="O128" s="40"/>
      <c r="P128" s="40"/>
      <c r="Q128" s="40"/>
      <c r="R128" s="40"/>
      <c r="S128" s="40"/>
      <c r="T128" s="40"/>
      <c r="U128" s="30"/>
    </row>
    <row r="129" spans="1:21" ht="15.75" customHeight="1">
      <c r="A129" s="23"/>
      <c r="B129" s="30"/>
      <c r="C129" s="30"/>
      <c r="D129" s="30"/>
      <c r="E129" s="30"/>
      <c r="F129" s="30"/>
      <c r="G129" s="30"/>
      <c r="H129" s="30"/>
      <c r="I129" s="30"/>
      <c r="J129" s="30"/>
      <c r="N129" s="40"/>
      <c r="O129" s="40"/>
      <c r="P129" s="40"/>
      <c r="Q129" s="40"/>
      <c r="R129" s="40"/>
      <c r="S129" s="40"/>
      <c r="T129" s="40"/>
      <c r="U129" s="30"/>
    </row>
    <row r="130" spans="1:21" ht="15.75" customHeight="1">
      <c r="A130" s="23"/>
      <c r="B130" s="30"/>
      <c r="C130" s="30"/>
      <c r="D130" s="30"/>
      <c r="E130" s="30"/>
      <c r="F130" s="30"/>
      <c r="G130" s="30"/>
      <c r="H130" s="30"/>
      <c r="I130" s="30"/>
      <c r="J130" s="30"/>
      <c r="N130" s="40"/>
      <c r="O130" s="40"/>
      <c r="P130" s="40"/>
      <c r="Q130" s="40"/>
      <c r="R130" s="40"/>
      <c r="S130" s="40"/>
      <c r="T130" s="40"/>
      <c r="U130" s="30"/>
    </row>
    <row r="131" spans="1:21" ht="15.75" customHeight="1">
      <c r="A131" s="23"/>
      <c r="B131" s="30"/>
      <c r="C131" s="30"/>
      <c r="D131" s="30"/>
      <c r="E131" s="30"/>
      <c r="F131" s="30"/>
      <c r="G131" s="30"/>
      <c r="H131" s="30"/>
      <c r="I131" s="30"/>
      <c r="J131" s="30"/>
      <c r="N131" s="40"/>
      <c r="O131" s="40"/>
      <c r="P131" s="40"/>
      <c r="Q131" s="40"/>
      <c r="R131" s="40"/>
      <c r="S131" s="40"/>
      <c r="T131" s="40"/>
      <c r="U131" s="30"/>
    </row>
    <row r="132" spans="1:21" ht="15.75" customHeight="1">
      <c r="A132" s="23"/>
      <c r="B132" s="30"/>
      <c r="C132" s="30"/>
      <c r="D132" s="30"/>
      <c r="E132" s="30"/>
      <c r="F132" s="30"/>
      <c r="G132" s="30"/>
      <c r="H132" s="30"/>
      <c r="I132" s="30"/>
      <c r="J132" s="30"/>
      <c r="N132" s="40"/>
      <c r="O132" s="40"/>
      <c r="P132" s="40"/>
      <c r="Q132" s="40"/>
      <c r="R132" s="40"/>
      <c r="S132" s="40"/>
      <c r="T132" s="40"/>
      <c r="U132" s="30"/>
    </row>
    <row r="133" spans="1:21" ht="15.75" customHeight="1">
      <c r="A133" s="23"/>
      <c r="B133" s="30"/>
      <c r="C133" s="30"/>
      <c r="D133" s="30"/>
      <c r="E133" s="30"/>
      <c r="F133" s="30"/>
      <c r="G133" s="30"/>
      <c r="H133" s="30"/>
      <c r="I133" s="30"/>
      <c r="J133" s="30"/>
      <c r="N133" s="40"/>
      <c r="O133" s="40"/>
      <c r="P133" s="40"/>
      <c r="Q133" s="40"/>
      <c r="R133" s="40"/>
      <c r="S133" s="40"/>
      <c r="T133" s="40"/>
      <c r="U133" s="30"/>
    </row>
    <row r="134" spans="1:21" ht="15.75" customHeight="1">
      <c r="A134" s="23"/>
      <c r="B134" s="30"/>
      <c r="C134" s="30"/>
      <c r="D134" s="30"/>
      <c r="E134" s="30"/>
      <c r="F134" s="30"/>
      <c r="G134" s="30"/>
      <c r="H134" s="30"/>
      <c r="I134" s="30"/>
      <c r="J134" s="30"/>
      <c r="N134" s="40"/>
      <c r="O134" s="40"/>
      <c r="P134" s="40"/>
      <c r="Q134" s="40"/>
      <c r="R134" s="40"/>
      <c r="S134" s="40"/>
      <c r="T134" s="40"/>
      <c r="U134" s="30"/>
    </row>
    <row r="135" spans="1:21" ht="15.75" customHeight="1">
      <c r="A135" s="23"/>
      <c r="B135" s="30"/>
      <c r="C135" s="30"/>
      <c r="D135" s="30"/>
      <c r="E135" s="30"/>
      <c r="F135" s="30"/>
      <c r="G135" s="30"/>
      <c r="H135" s="30"/>
      <c r="I135" s="30"/>
      <c r="J135" s="30"/>
      <c r="N135" s="40"/>
      <c r="O135" s="40"/>
      <c r="P135" s="40"/>
      <c r="Q135" s="40"/>
      <c r="R135" s="40"/>
      <c r="S135" s="40"/>
      <c r="T135" s="40"/>
      <c r="U135" s="30"/>
    </row>
    <row r="136" spans="1:21" ht="15.75" customHeight="1">
      <c r="A136" s="23"/>
      <c r="B136" s="30"/>
      <c r="C136" s="30"/>
      <c r="D136" s="30"/>
      <c r="E136" s="30"/>
      <c r="F136" s="30"/>
      <c r="G136" s="30"/>
      <c r="H136" s="30"/>
      <c r="I136" s="30"/>
      <c r="J136" s="30"/>
      <c r="N136" s="40"/>
      <c r="O136" s="40"/>
      <c r="P136" s="40"/>
      <c r="Q136" s="40"/>
      <c r="R136" s="40"/>
      <c r="S136" s="40"/>
      <c r="T136" s="40"/>
      <c r="U136" s="30"/>
    </row>
    <row r="137" spans="1:21" ht="15.75" customHeight="1">
      <c r="A137" s="23"/>
      <c r="B137" s="30"/>
      <c r="C137" s="30"/>
      <c r="D137" s="30"/>
      <c r="E137" s="30"/>
      <c r="F137" s="30"/>
      <c r="G137" s="30"/>
      <c r="H137" s="30"/>
      <c r="I137" s="30"/>
      <c r="J137" s="30"/>
      <c r="N137" s="40"/>
      <c r="O137" s="40"/>
      <c r="P137" s="40"/>
      <c r="Q137" s="40"/>
      <c r="R137" s="40"/>
      <c r="S137" s="40"/>
      <c r="T137" s="40"/>
      <c r="U137" s="30"/>
    </row>
    <row r="138" spans="1:21" ht="15.75" customHeight="1">
      <c r="A138" s="23"/>
      <c r="B138" s="30"/>
      <c r="C138" s="30"/>
      <c r="D138" s="30"/>
      <c r="E138" s="30"/>
      <c r="F138" s="30"/>
      <c r="G138" s="30"/>
      <c r="H138" s="30"/>
      <c r="I138" s="30"/>
      <c r="J138" s="30"/>
      <c r="N138" s="40"/>
      <c r="O138" s="40"/>
      <c r="P138" s="40"/>
      <c r="Q138" s="40"/>
      <c r="R138" s="40"/>
      <c r="S138" s="40"/>
      <c r="T138" s="40"/>
      <c r="U138" s="30"/>
    </row>
    <row r="139" spans="1:21" ht="15.75" customHeight="1">
      <c r="A139" s="23"/>
      <c r="B139" s="30"/>
      <c r="C139" s="30"/>
      <c r="D139" s="30"/>
      <c r="E139" s="30"/>
      <c r="F139" s="30"/>
      <c r="G139" s="30"/>
      <c r="H139" s="30"/>
      <c r="I139" s="30"/>
      <c r="J139" s="30"/>
      <c r="N139" s="40"/>
      <c r="O139" s="40"/>
      <c r="P139" s="40"/>
      <c r="Q139" s="40"/>
      <c r="R139" s="40"/>
      <c r="S139" s="40"/>
      <c r="T139" s="40"/>
      <c r="U139" s="30"/>
    </row>
    <row r="140" spans="1:21" ht="15.75" customHeight="1">
      <c r="A140" s="23"/>
      <c r="B140" s="30"/>
      <c r="C140" s="30"/>
      <c r="D140" s="30"/>
      <c r="E140" s="30"/>
      <c r="F140" s="30"/>
      <c r="G140" s="30"/>
      <c r="H140" s="30"/>
      <c r="I140" s="30"/>
      <c r="J140" s="30"/>
      <c r="N140" s="40"/>
      <c r="O140" s="40"/>
      <c r="P140" s="40"/>
      <c r="Q140" s="40"/>
      <c r="R140" s="40"/>
      <c r="S140" s="40"/>
      <c r="T140" s="40"/>
      <c r="U140" s="30"/>
    </row>
    <row r="141" spans="1:21" ht="15.75" customHeight="1">
      <c r="A141" s="23"/>
      <c r="B141" s="30"/>
      <c r="C141" s="30"/>
      <c r="D141" s="30"/>
      <c r="E141" s="30"/>
      <c r="F141" s="30"/>
      <c r="G141" s="30"/>
      <c r="H141" s="30"/>
      <c r="I141" s="30"/>
      <c r="J141" s="30"/>
      <c r="N141" s="40"/>
      <c r="O141" s="40"/>
      <c r="P141" s="40"/>
      <c r="Q141" s="40"/>
      <c r="R141" s="40"/>
      <c r="S141" s="40"/>
      <c r="T141" s="40"/>
      <c r="U141" s="30"/>
    </row>
    <row r="142" spans="1:21" ht="15.75" customHeight="1">
      <c r="A142" s="23"/>
      <c r="B142" s="30"/>
      <c r="C142" s="30"/>
      <c r="D142" s="30"/>
      <c r="E142" s="30"/>
      <c r="F142" s="30"/>
      <c r="G142" s="30"/>
      <c r="H142" s="30"/>
      <c r="I142" s="30"/>
      <c r="J142" s="30"/>
      <c r="N142" s="40"/>
      <c r="O142" s="40"/>
      <c r="P142" s="40"/>
      <c r="Q142" s="40"/>
      <c r="R142" s="40"/>
      <c r="S142" s="40"/>
      <c r="T142" s="40"/>
      <c r="U142" s="30"/>
    </row>
    <row r="143" spans="1:21" ht="15.75" customHeight="1">
      <c r="A143" s="23"/>
      <c r="B143" s="30"/>
      <c r="C143" s="30"/>
      <c r="D143" s="30"/>
      <c r="E143" s="30"/>
      <c r="F143" s="30"/>
      <c r="G143" s="30"/>
      <c r="H143" s="30"/>
      <c r="I143" s="30"/>
      <c r="J143" s="30"/>
      <c r="N143" s="40"/>
      <c r="O143" s="40"/>
      <c r="P143" s="40"/>
      <c r="Q143" s="40"/>
      <c r="R143" s="40"/>
      <c r="S143" s="40"/>
      <c r="T143" s="40"/>
      <c r="U143" s="30"/>
    </row>
    <row r="144" spans="1:21" ht="15.75" customHeight="1">
      <c r="A144" s="23"/>
      <c r="B144" s="30"/>
      <c r="C144" s="30"/>
      <c r="D144" s="30"/>
      <c r="E144" s="30"/>
      <c r="F144" s="30"/>
      <c r="G144" s="30"/>
      <c r="H144" s="30"/>
      <c r="I144" s="30"/>
      <c r="J144" s="30"/>
      <c r="N144" s="40"/>
      <c r="O144" s="40"/>
      <c r="P144" s="40"/>
      <c r="Q144" s="40"/>
      <c r="R144" s="40"/>
      <c r="S144" s="40"/>
      <c r="T144" s="40"/>
      <c r="U144" s="30"/>
    </row>
    <row r="145" spans="1:21" ht="15.75" customHeight="1">
      <c r="A145" s="23"/>
      <c r="B145" s="30"/>
      <c r="C145" s="30"/>
      <c r="D145" s="30"/>
      <c r="E145" s="30"/>
      <c r="F145" s="30"/>
      <c r="G145" s="30"/>
      <c r="H145" s="30"/>
      <c r="I145" s="30"/>
      <c r="J145" s="30"/>
      <c r="N145" s="40"/>
      <c r="O145" s="40"/>
      <c r="P145" s="40"/>
      <c r="Q145" s="40"/>
      <c r="R145" s="40"/>
      <c r="S145" s="40"/>
      <c r="T145" s="40"/>
      <c r="U145" s="30"/>
    </row>
    <row r="146" spans="1:21" ht="15.75" customHeight="1">
      <c r="A146" s="23"/>
      <c r="B146" s="30"/>
      <c r="C146" s="30"/>
      <c r="D146" s="30"/>
      <c r="E146" s="30"/>
      <c r="F146" s="30"/>
      <c r="G146" s="30"/>
      <c r="H146" s="30"/>
      <c r="I146" s="30"/>
      <c r="J146" s="30"/>
      <c r="N146" s="40"/>
      <c r="O146" s="40"/>
      <c r="P146" s="40"/>
      <c r="Q146" s="40"/>
      <c r="R146" s="40"/>
      <c r="S146" s="40"/>
      <c r="T146" s="40"/>
      <c r="U146" s="30"/>
    </row>
    <row r="147" spans="1:21" ht="15.75" customHeight="1">
      <c r="A147" s="23"/>
      <c r="B147" s="30"/>
      <c r="C147" s="30"/>
      <c r="D147" s="30"/>
      <c r="E147" s="30"/>
      <c r="F147" s="30"/>
      <c r="G147" s="30"/>
      <c r="H147" s="30"/>
      <c r="I147" s="30"/>
      <c r="J147" s="30"/>
      <c r="N147" s="40"/>
      <c r="O147" s="40"/>
      <c r="P147" s="40"/>
      <c r="Q147" s="40"/>
      <c r="R147" s="40"/>
      <c r="S147" s="40"/>
      <c r="T147" s="40"/>
      <c r="U147" s="30"/>
    </row>
    <row r="148" spans="1:21" ht="15.75" customHeight="1">
      <c r="A148" s="23"/>
      <c r="B148" s="30"/>
      <c r="C148" s="30"/>
      <c r="D148" s="30"/>
      <c r="E148" s="30"/>
      <c r="F148" s="30"/>
      <c r="G148" s="30"/>
      <c r="H148" s="30"/>
      <c r="I148" s="30"/>
      <c r="J148" s="30"/>
      <c r="N148" s="40"/>
      <c r="O148" s="40"/>
      <c r="P148" s="40"/>
      <c r="Q148" s="40"/>
      <c r="R148" s="40"/>
      <c r="S148" s="40"/>
      <c r="T148" s="40"/>
      <c r="U148" s="30"/>
    </row>
    <row r="149" spans="1:21" ht="15.75" customHeight="1">
      <c r="A149" s="23"/>
      <c r="B149" s="30"/>
      <c r="C149" s="30"/>
      <c r="D149" s="30"/>
      <c r="E149" s="30"/>
      <c r="F149" s="30"/>
      <c r="G149" s="30"/>
      <c r="H149" s="30"/>
      <c r="I149" s="30"/>
      <c r="J149" s="30"/>
      <c r="N149" s="40"/>
      <c r="O149" s="40"/>
      <c r="P149" s="40"/>
      <c r="Q149" s="40"/>
      <c r="R149" s="40"/>
      <c r="S149" s="40"/>
      <c r="T149" s="40"/>
      <c r="U149" s="30"/>
    </row>
    <row r="150" spans="1:21" ht="15.75" customHeight="1">
      <c r="A150" s="23"/>
      <c r="B150" s="30"/>
      <c r="C150" s="30"/>
      <c r="D150" s="30"/>
      <c r="E150" s="30"/>
      <c r="F150" s="30"/>
      <c r="G150" s="30"/>
      <c r="H150" s="30"/>
      <c r="I150" s="30"/>
      <c r="J150" s="30"/>
      <c r="N150" s="40"/>
      <c r="O150" s="40"/>
      <c r="P150" s="40"/>
      <c r="Q150" s="40"/>
      <c r="R150" s="40"/>
      <c r="S150" s="40"/>
      <c r="T150" s="40"/>
      <c r="U150" s="30"/>
    </row>
    <row r="151" spans="1:21" ht="15.75" customHeight="1">
      <c r="A151" s="23"/>
      <c r="B151" s="30"/>
      <c r="C151" s="30"/>
      <c r="D151" s="30"/>
      <c r="E151" s="30"/>
      <c r="F151" s="30"/>
      <c r="G151" s="30"/>
      <c r="H151" s="30"/>
      <c r="I151" s="30"/>
      <c r="J151" s="30"/>
      <c r="N151" s="40"/>
      <c r="O151" s="40"/>
      <c r="P151" s="40"/>
      <c r="Q151" s="40"/>
      <c r="R151" s="40"/>
      <c r="S151" s="40"/>
      <c r="T151" s="40"/>
      <c r="U151" s="30"/>
    </row>
    <row r="152" spans="1:21" ht="15.75" customHeight="1">
      <c r="A152" s="23"/>
      <c r="B152" s="30"/>
      <c r="C152" s="30"/>
      <c r="D152" s="30"/>
      <c r="E152" s="30"/>
      <c r="F152" s="30"/>
      <c r="G152" s="30"/>
      <c r="H152" s="30"/>
      <c r="I152" s="30"/>
      <c r="J152" s="30"/>
      <c r="N152" s="40"/>
      <c r="O152" s="40"/>
      <c r="P152" s="40"/>
      <c r="Q152" s="40"/>
      <c r="R152" s="40"/>
      <c r="S152" s="40"/>
      <c r="T152" s="40"/>
      <c r="U152" s="30"/>
    </row>
    <row r="153" spans="1:21" ht="15.75" customHeight="1">
      <c r="A153" s="23"/>
      <c r="B153" s="30"/>
      <c r="C153" s="30"/>
      <c r="D153" s="30"/>
      <c r="E153" s="30"/>
      <c r="F153" s="30"/>
      <c r="G153" s="30"/>
      <c r="H153" s="30"/>
      <c r="I153" s="30"/>
      <c r="J153" s="30"/>
      <c r="N153" s="40"/>
      <c r="O153" s="40"/>
      <c r="P153" s="40"/>
      <c r="Q153" s="40"/>
      <c r="R153" s="40"/>
      <c r="S153" s="40"/>
      <c r="T153" s="40"/>
      <c r="U153" s="30"/>
    </row>
    <row r="154" spans="1:21" ht="15.75" customHeight="1">
      <c r="A154" s="23"/>
      <c r="B154" s="30"/>
      <c r="C154" s="30"/>
      <c r="D154" s="30"/>
      <c r="E154" s="30"/>
      <c r="F154" s="30"/>
      <c r="G154" s="30"/>
      <c r="H154" s="30"/>
      <c r="I154" s="30"/>
      <c r="J154" s="30"/>
      <c r="N154" s="40"/>
      <c r="O154" s="40"/>
      <c r="P154" s="40"/>
      <c r="Q154" s="40"/>
      <c r="R154" s="40"/>
      <c r="S154" s="40"/>
      <c r="T154" s="40"/>
      <c r="U154" s="30"/>
    </row>
    <row r="155" spans="1:21" ht="15.75" customHeight="1">
      <c r="A155" s="23"/>
      <c r="B155" s="30"/>
      <c r="C155" s="30"/>
      <c r="D155" s="30"/>
      <c r="E155" s="30"/>
      <c r="F155" s="30"/>
      <c r="G155" s="30"/>
      <c r="H155" s="30"/>
      <c r="I155" s="30"/>
      <c r="J155" s="30"/>
      <c r="N155" s="40"/>
      <c r="O155" s="40"/>
      <c r="P155" s="40"/>
      <c r="Q155" s="40"/>
      <c r="R155" s="40"/>
      <c r="S155" s="40"/>
      <c r="T155" s="40"/>
      <c r="U155" s="30"/>
    </row>
    <row r="156" spans="1:21" ht="15.75" customHeight="1">
      <c r="A156" s="23"/>
      <c r="B156" s="30"/>
      <c r="C156" s="30"/>
      <c r="D156" s="30"/>
      <c r="E156" s="30"/>
      <c r="F156" s="30"/>
      <c r="G156" s="30"/>
      <c r="H156" s="30"/>
      <c r="I156" s="30"/>
      <c r="J156" s="30"/>
      <c r="N156" s="40"/>
      <c r="O156" s="40"/>
      <c r="P156" s="40"/>
      <c r="Q156" s="40"/>
      <c r="R156" s="40"/>
      <c r="S156" s="40"/>
      <c r="T156" s="40"/>
      <c r="U156" s="30"/>
    </row>
    <row r="157" spans="1:21" ht="15.75" customHeight="1">
      <c r="A157" s="23"/>
      <c r="B157" s="30"/>
      <c r="C157" s="30"/>
      <c r="D157" s="30"/>
      <c r="E157" s="30"/>
      <c r="F157" s="30"/>
      <c r="G157" s="30"/>
      <c r="H157" s="30"/>
      <c r="I157" s="30"/>
      <c r="J157" s="30"/>
      <c r="N157" s="40"/>
      <c r="O157" s="40"/>
      <c r="P157" s="40"/>
      <c r="Q157" s="40"/>
      <c r="R157" s="40"/>
      <c r="S157" s="40"/>
      <c r="T157" s="40"/>
      <c r="U157" s="30"/>
    </row>
    <row r="158" spans="1:21" ht="15.75" customHeight="1">
      <c r="A158" s="23"/>
      <c r="B158" s="30"/>
      <c r="C158" s="30"/>
      <c r="D158" s="30"/>
      <c r="E158" s="30"/>
      <c r="F158" s="30"/>
      <c r="G158" s="30"/>
      <c r="H158" s="30"/>
      <c r="I158" s="30"/>
      <c r="J158" s="30"/>
      <c r="N158" s="40"/>
      <c r="O158" s="40"/>
      <c r="P158" s="40"/>
      <c r="Q158" s="40"/>
      <c r="R158" s="40"/>
      <c r="S158" s="40"/>
      <c r="T158" s="40"/>
      <c r="U158" s="30"/>
    </row>
    <row r="159" spans="1:21" ht="15.75" customHeight="1">
      <c r="A159" s="23"/>
      <c r="B159" s="30"/>
      <c r="C159" s="30"/>
      <c r="D159" s="30"/>
      <c r="E159" s="30"/>
      <c r="F159" s="30"/>
      <c r="G159" s="30"/>
      <c r="H159" s="30"/>
      <c r="I159" s="30"/>
      <c r="J159" s="30"/>
      <c r="N159" s="40"/>
      <c r="O159" s="40"/>
      <c r="P159" s="40"/>
      <c r="Q159" s="40"/>
      <c r="R159" s="40"/>
      <c r="S159" s="40"/>
      <c r="T159" s="40"/>
      <c r="U159" s="30"/>
    </row>
    <row r="160" spans="1:21" ht="15.75" customHeight="1">
      <c r="A160" s="23"/>
      <c r="B160" s="30"/>
      <c r="C160" s="30"/>
      <c r="D160" s="30"/>
      <c r="E160" s="30"/>
      <c r="F160" s="30"/>
      <c r="G160" s="30"/>
      <c r="H160" s="30"/>
      <c r="I160" s="30"/>
      <c r="J160" s="30"/>
      <c r="N160" s="40"/>
      <c r="O160" s="40"/>
      <c r="P160" s="40"/>
      <c r="Q160" s="40"/>
      <c r="R160" s="40"/>
      <c r="S160" s="40"/>
      <c r="T160" s="40"/>
      <c r="U160" s="30"/>
    </row>
    <row r="161" spans="1:21" ht="15.75" customHeight="1">
      <c r="A161" s="23"/>
      <c r="B161" s="30"/>
      <c r="C161" s="30"/>
      <c r="D161" s="30"/>
      <c r="E161" s="30"/>
      <c r="F161" s="30"/>
      <c r="G161" s="30"/>
      <c r="H161" s="30"/>
      <c r="I161" s="30"/>
      <c r="J161" s="30"/>
      <c r="N161" s="40"/>
      <c r="O161" s="40"/>
      <c r="P161" s="40"/>
      <c r="Q161" s="40"/>
      <c r="R161" s="40"/>
      <c r="S161" s="40"/>
      <c r="T161" s="40"/>
      <c r="U161" s="30"/>
    </row>
    <row r="162" spans="1:21" ht="15.75" customHeight="1">
      <c r="A162" s="23"/>
      <c r="B162" s="30"/>
      <c r="C162" s="30"/>
      <c r="D162" s="30"/>
      <c r="E162" s="30"/>
      <c r="F162" s="30"/>
      <c r="G162" s="30"/>
      <c r="H162" s="30"/>
      <c r="I162" s="30"/>
      <c r="J162" s="30"/>
      <c r="N162" s="40"/>
      <c r="O162" s="40"/>
      <c r="P162" s="40"/>
      <c r="Q162" s="40"/>
      <c r="R162" s="40"/>
      <c r="S162" s="40"/>
      <c r="T162" s="40"/>
      <c r="U162" s="30"/>
    </row>
    <row r="163" spans="1:21" ht="15.75" customHeight="1">
      <c r="A163" s="23"/>
      <c r="B163" s="30"/>
      <c r="C163" s="30"/>
      <c r="D163" s="30"/>
      <c r="E163" s="30"/>
      <c r="F163" s="30"/>
      <c r="G163" s="30"/>
      <c r="H163" s="30"/>
      <c r="I163" s="30"/>
      <c r="J163" s="30"/>
      <c r="N163" s="40"/>
      <c r="O163" s="40"/>
      <c r="P163" s="40"/>
      <c r="Q163" s="40"/>
      <c r="R163" s="40"/>
      <c r="S163" s="40"/>
      <c r="T163" s="40"/>
      <c r="U163" s="30"/>
    </row>
    <row r="164" spans="1:21" ht="15.75" customHeight="1">
      <c r="A164" s="23"/>
      <c r="B164" s="30"/>
      <c r="C164" s="30"/>
      <c r="D164" s="30"/>
      <c r="E164" s="30"/>
      <c r="F164" s="30"/>
      <c r="G164" s="30"/>
      <c r="H164" s="30"/>
      <c r="I164" s="30"/>
      <c r="J164" s="30"/>
      <c r="N164" s="40"/>
      <c r="O164" s="40"/>
      <c r="P164" s="40"/>
      <c r="Q164" s="40"/>
      <c r="R164" s="40"/>
      <c r="S164" s="40"/>
      <c r="T164" s="40"/>
      <c r="U164" s="30"/>
    </row>
    <row r="165" spans="1:21" ht="15.75" customHeight="1">
      <c r="A165" s="23"/>
      <c r="B165" s="30"/>
      <c r="C165" s="30"/>
      <c r="D165" s="30"/>
      <c r="E165" s="30"/>
      <c r="F165" s="30"/>
      <c r="G165" s="30"/>
      <c r="H165" s="30"/>
      <c r="I165" s="30"/>
      <c r="J165" s="30"/>
      <c r="N165" s="40"/>
      <c r="O165" s="40"/>
      <c r="P165" s="40"/>
      <c r="Q165" s="40"/>
      <c r="R165" s="40"/>
      <c r="S165" s="40"/>
      <c r="T165" s="40"/>
      <c r="U165" s="30"/>
    </row>
    <row r="166" spans="1:21" ht="15.75" customHeight="1">
      <c r="A166" s="23"/>
      <c r="B166" s="30"/>
      <c r="C166" s="30"/>
      <c r="D166" s="30"/>
      <c r="E166" s="30"/>
      <c r="F166" s="30"/>
      <c r="G166" s="30"/>
      <c r="H166" s="30"/>
      <c r="I166" s="30"/>
      <c r="J166" s="30"/>
      <c r="N166" s="40"/>
      <c r="O166" s="40"/>
      <c r="P166" s="40"/>
      <c r="Q166" s="40"/>
      <c r="R166" s="40"/>
      <c r="S166" s="40"/>
      <c r="T166" s="40"/>
      <c r="U166" s="30"/>
    </row>
    <row r="167" spans="1:21" ht="15.75" customHeight="1">
      <c r="A167" s="23"/>
      <c r="B167" s="30"/>
      <c r="C167" s="30"/>
      <c r="D167" s="30"/>
      <c r="E167" s="30"/>
      <c r="F167" s="30"/>
      <c r="G167" s="30"/>
      <c r="H167" s="30"/>
      <c r="I167" s="30"/>
      <c r="J167" s="30"/>
      <c r="N167" s="40"/>
      <c r="O167" s="40"/>
      <c r="P167" s="40"/>
      <c r="Q167" s="40"/>
      <c r="R167" s="40"/>
      <c r="S167" s="40"/>
      <c r="T167" s="40"/>
      <c r="U167" s="30"/>
    </row>
    <row r="168" spans="1:21" ht="15.75" customHeight="1">
      <c r="A168" s="23"/>
      <c r="B168" s="30"/>
      <c r="C168" s="30"/>
      <c r="D168" s="30"/>
      <c r="E168" s="30"/>
      <c r="F168" s="30"/>
      <c r="G168" s="30"/>
      <c r="H168" s="30"/>
      <c r="I168" s="30"/>
      <c r="J168" s="30"/>
      <c r="N168" s="40"/>
      <c r="O168" s="40"/>
      <c r="P168" s="40"/>
      <c r="Q168" s="40"/>
      <c r="R168" s="40"/>
      <c r="S168" s="40"/>
      <c r="T168" s="40"/>
      <c r="U168" s="30"/>
    </row>
    <row r="169" spans="1:21" ht="15.75" customHeight="1">
      <c r="A169" s="23"/>
      <c r="B169" s="30"/>
      <c r="C169" s="30"/>
      <c r="D169" s="30"/>
      <c r="E169" s="30"/>
      <c r="F169" s="30"/>
      <c r="G169" s="30"/>
      <c r="H169" s="30"/>
      <c r="I169" s="30"/>
      <c r="J169" s="30"/>
      <c r="N169" s="40"/>
      <c r="O169" s="40"/>
      <c r="P169" s="40"/>
      <c r="Q169" s="40"/>
      <c r="R169" s="40"/>
      <c r="S169" s="40"/>
      <c r="T169" s="40"/>
      <c r="U169" s="30"/>
    </row>
    <row r="170" spans="1:21" ht="15.75" customHeight="1">
      <c r="A170" s="23"/>
      <c r="B170" s="30"/>
      <c r="C170" s="30"/>
      <c r="D170" s="30"/>
      <c r="E170" s="30"/>
      <c r="F170" s="30"/>
      <c r="G170" s="30"/>
      <c r="H170" s="30"/>
      <c r="I170" s="30"/>
      <c r="J170" s="30"/>
      <c r="N170" s="40"/>
      <c r="O170" s="40"/>
      <c r="P170" s="40"/>
      <c r="Q170" s="40"/>
      <c r="R170" s="40"/>
      <c r="S170" s="40"/>
      <c r="T170" s="40"/>
      <c r="U170" s="30"/>
    </row>
    <row r="171" spans="1:21" ht="15.75" customHeight="1">
      <c r="A171" s="23"/>
      <c r="B171" s="30"/>
      <c r="C171" s="30"/>
      <c r="D171" s="30"/>
      <c r="E171" s="30"/>
      <c r="F171" s="30"/>
      <c r="G171" s="30"/>
      <c r="H171" s="30"/>
      <c r="I171" s="30"/>
      <c r="J171" s="30"/>
      <c r="N171" s="40"/>
      <c r="O171" s="40"/>
      <c r="P171" s="40"/>
      <c r="Q171" s="40"/>
      <c r="R171" s="40"/>
      <c r="S171" s="40"/>
      <c r="T171" s="40"/>
      <c r="U171" s="30"/>
    </row>
    <row r="172" spans="1:21" ht="15.75" customHeight="1">
      <c r="A172" s="23"/>
      <c r="B172" s="30"/>
      <c r="C172" s="30"/>
      <c r="D172" s="30"/>
      <c r="E172" s="30"/>
      <c r="F172" s="30"/>
      <c r="G172" s="30"/>
      <c r="H172" s="30"/>
      <c r="I172" s="30"/>
      <c r="J172" s="30"/>
      <c r="N172" s="40"/>
      <c r="O172" s="40"/>
      <c r="P172" s="40"/>
      <c r="Q172" s="40"/>
      <c r="R172" s="40"/>
      <c r="S172" s="40"/>
      <c r="T172" s="40"/>
      <c r="U172" s="30"/>
    </row>
    <row r="173" spans="1:21" ht="15.75" customHeight="1">
      <c r="A173" s="23"/>
      <c r="B173" s="30"/>
      <c r="C173" s="30"/>
      <c r="D173" s="30"/>
      <c r="E173" s="30"/>
      <c r="F173" s="30"/>
      <c r="G173" s="30"/>
      <c r="H173" s="30"/>
      <c r="I173" s="30"/>
      <c r="J173" s="30"/>
      <c r="N173" s="40"/>
      <c r="O173" s="40"/>
      <c r="P173" s="40"/>
      <c r="Q173" s="40"/>
      <c r="R173" s="40"/>
      <c r="S173" s="40"/>
      <c r="T173" s="40"/>
      <c r="U173" s="30"/>
    </row>
    <row r="174" spans="1:21" ht="15.75" customHeight="1">
      <c r="A174" s="23"/>
      <c r="B174" s="30"/>
      <c r="C174" s="30"/>
      <c r="D174" s="30"/>
      <c r="E174" s="30"/>
      <c r="F174" s="30"/>
      <c r="G174" s="30"/>
      <c r="H174" s="30"/>
      <c r="I174" s="30"/>
      <c r="J174" s="30"/>
      <c r="N174" s="40"/>
      <c r="O174" s="40"/>
      <c r="P174" s="40"/>
      <c r="Q174" s="40"/>
      <c r="R174" s="40"/>
      <c r="S174" s="40"/>
      <c r="T174" s="40"/>
      <c r="U174" s="30"/>
    </row>
    <row r="175" spans="1:21" ht="15.75" customHeight="1">
      <c r="A175" s="23"/>
      <c r="B175" s="30"/>
      <c r="C175" s="30"/>
      <c r="D175" s="30"/>
      <c r="E175" s="30"/>
      <c r="F175" s="30"/>
      <c r="G175" s="30"/>
      <c r="H175" s="30"/>
      <c r="I175" s="30"/>
      <c r="J175" s="30"/>
      <c r="N175" s="40"/>
      <c r="O175" s="40"/>
      <c r="P175" s="40"/>
      <c r="Q175" s="40"/>
      <c r="R175" s="40"/>
      <c r="S175" s="40"/>
      <c r="T175" s="40"/>
      <c r="U175" s="30"/>
    </row>
    <row r="176" spans="1:21" ht="15.75" customHeight="1">
      <c r="A176" s="23"/>
      <c r="B176" s="30"/>
      <c r="C176" s="30"/>
      <c r="D176" s="30"/>
      <c r="E176" s="30"/>
      <c r="F176" s="30"/>
      <c r="G176" s="30"/>
      <c r="H176" s="30"/>
      <c r="I176" s="30"/>
      <c r="J176" s="30"/>
      <c r="N176" s="40"/>
      <c r="O176" s="40"/>
      <c r="P176" s="40"/>
      <c r="Q176" s="40"/>
      <c r="R176" s="40"/>
      <c r="S176" s="40"/>
      <c r="T176" s="40"/>
      <c r="U176" s="30"/>
    </row>
    <row r="177" spans="1:21" ht="15.75" customHeight="1">
      <c r="A177" s="23"/>
      <c r="B177" s="30"/>
      <c r="C177" s="30"/>
      <c r="D177" s="30"/>
      <c r="E177" s="30"/>
      <c r="F177" s="30"/>
      <c r="G177" s="30"/>
      <c r="H177" s="30"/>
      <c r="I177" s="30"/>
      <c r="J177" s="30"/>
      <c r="N177" s="40"/>
      <c r="O177" s="40"/>
      <c r="P177" s="40"/>
      <c r="Q177" s="40"/>
      <c r="R177" s="40"/>
      <c r="S177" s="40"/>
      <c r="T177" s="40"/>
      <c r="U177" s="30"/>
    </row>
    <row r="178" spans="1:21" ht="15.75" customHeight="1">
      <c r="A178" s="23"/>
      <c r="B178" s="30"/>
      <c r="C178" s="30"/>
      <c r="D178" s="30"/>
      <c r="E178" s="30"/>
      <c r="F178" s="30"/>
      <c r="G178" s="30"/>
      <c r="H178" s="30"/>
      <c r="I178" s="30"/>
      <c r="J178" s="30"/>
      <c r="N178" s="40"/>
      <c r="O178" s="40"/>
      <c r="P178" s="40"/>
      <c r="Q178" s="40"/>
      <c r="R178" s="40"/>
      <c r="S178" s="40"/>
      <c r="T178" s="40"/>
      <c r="U178" s="30"/>
    </row>
    <row r="179" spans="1:21" ht="15.75" customHeight="1">
      <c r="A179" s="23"/>
      <c r="B179" s="30"/>
      <c r="C179" s="30"/>
      <c r="D179" s="30"/>
      <c r="E179" s="30"/>
      <c r="F179" s="30"/>
      <c r="G179" s="30"/>
      <c r="H179" s="30"/>
      <c r="I179" s="30"/>
      <c r="J179" s="30"/>
      <c r="N179" s="40"/>
      <c r="O179" s="40"/>
      <c r="P179" s="40"/>
      <c r="Q179" s="40"/>
      <c r="R179" s="40"/>
      <c r="S179" s="40"/>
      <c r="T179" s="40"/>
      <c r="U179" s="30"/>
    </row>
    <row r="180" spans="1:21" ht="15.75" customHeight="1">
      <c r="A180" s="23"/>
      <c r="B180" s="30"/>
      <c r="C180" s="30"/>
      <c r="D180" s="30"/>
      <c r="E180" s="30"/>
      <c r="F180" s="30"/>
      <c r="G180" s="30"/>
      <c r="H180" s="30"/>
      <c r="I180" s="30"/>
      <c r="J180" s="30"/>
      <c r="N180" s="40"/>
      <c r="O180" s="40"/>
      <c r="P180" s="40"/>
      <c r="Q180" s="40"/>
      <c r="R180" s="40"/>
      <c r="S180" s="40"/>
      <c r="T180" s="40"/>
      <c r="U180" s="30"/>
    </row>
    <row r="181" spans="1:21" ht="15.75" customHeight="1">
      <c r="A181" s="23"/>
      <c r="B181" s="30"/>
      <c r="C181" s="30"/>
      <c r="D181" s="30"/>
      <c r="E181" s="30"/>
      <c r="F181" s="30"/>
      <c r="G181" s="30"/>
      <c r="H181" s="30"/>
      <c r="I181" s="30"/>
      <c r="J181" s="30"/>
      <c r="N181" s="40"/>
      <c r="O181" s="40"/>
      <c r="P181" s="40"/>
      <c r="Q181" s="40"/>
      <c r="R181" s="40"/>
      <c r="S181" s="40"/>
      <c r="T181" s="40"/>
      <c r="U181" s="30"/>
    </row>
    <row r="182" spans="1:21" ht="15.75" customHeight="1">
      <c r="A182" s="23"/>
      <c r="B182" s="30"/>
      <c r="C182" s="30"/>
      <c r="D182" s="30"/>
      <c r="E182" s="30"/>
      <c r="F182" s="30"/>
      <c r="G182" s="30"/>
      <c r="H182" s="30"/>
      <c r="I182" s="30"/>
      <c r="J182" s="30"/>
      <c r="N182" s="40"/>
      <c r="O182" s="40"/>
      <c r="P182" s="40"/>
      <c r="Q182" s="40"/>
      <c r="R182" s="40"/>
      <c r="S182" s="40"/>
      <c r="T182" s="40"/>
      <c r="U182" s="30"/>
    </row>
    <row r="183" spans="1:21" ht="15.75" customHeight="1">
      <c r="A183" s="23"/>
      <c r="B183" s="30"/>
      <c r="C183" s="30"/>
      <c r="D183" s="30"/>
      <c r="E183" s="30"/>
      <c r="F183" s="30"/>
      <c r="G183" s="30"/>
      <c r="H183" s="30"/>
      <c r="I183" s="30"/>
      <c r="J183" s="30"/>
      <c r="N183" s="40"/>
      <c r="O183" s="40"/>
      <c r="P183" s="40"/>
      <c r="Q183" s="40"/>
      <c r="R183" s="40"/>
      <c r="S183" s="40"/>
      <c r="T183" s="40"/>
      <c r="U183" s="30"/>
    </row>
    <row r="184" spans="1:21" ht="15.75" customHeight="1">
      <c r="A184" s="23"/>
      <c r="B184" s="30"/>
      <c r="C184" s="30"/>
      <c r="D184" s="30"/>
      <c r="E184" s="30"/>
      <c r="F184" s="30"/>
      <c r="G184" s="30"/>
      <c r="H184" s="30"/>
      <c r="I184" s="30"/>
      <c r="J184" s="30"/>
      <c r="N184" s="40"/>
      <c r="O184" s="40"/>
      <c r="P184" s="40"/>
      <c r="Q184" s="40"/>
      <c r="R184" s="40"/>
      <c r="S184" s="40"/>
      <c r="T184" s="40"/>
      <c r="U184" s="30"/>
    </row>
    <row r="185" spans="1:21" ht="15.75" customHeight="1">
      <c r="A185" s="23"/>
      <c r="B185" s="30"/>
      <c r="C185" s="30"/>
      <c r="D185" s="30"/>
      <c r="E185" s="30"/>
      <c r="F185" s="30"/>
      <c r="G185" s="30"/>
      <c r="H185" s="30"/>
      <c r="I185" s="30"/>
      <c r="J185" s="30"/>
      <c r="N185" s="40"/>
      <c r="O185" s="40"/>
      <c r="P185" s="40"/>
      <c r="Q185" s="40"/>
      <c r="R185" s="40"/>
      <c r="S185" s="40"/>
      <c r="T185" s="40"/>
      <c r="U185" s="30"/>
    </row>
    <row r="186" spans="1:21" ht="15.75" customHeight="1">
      <c r="A186" s="23"/>
      <c r="B186" s="30"/>
      <c r="C186" s="30"/>
      <c r="D186" s="30"/>
      <c r="E186" s="30"/>
      <c r="F186" s="30"/>
      <c r="G186" s="30"/>
      <c r="H186" s="30"/>
      <c r="I186" s="30"/>
      <c r="J186" s="30"/>
      <c r="N186" s="40"/>
      <c r="O186" s="40"/>
      <c r="P186" s="40"/>
      <c r="Q186" s="40"/>
      <c r="R186" s="40"/>
      <c r="S186" s="40"/>
      <c r="T186" s="40"/>
      <c r="U186" s="30"/>
    </row>
    <row r="187" spans="1:21" ht="15.75" customHeight="1">
      <c r="A187" s="23"/>
      <c r="B187" s="30"/>
      <c r="C187" s="30"/>
      <c r="D187" s="30"/>
      <c r="E187" s="30"/>
      <c r="F187" s="30"/>
      <c r="G187" s="30"/>
      <c r="H187" s="30"/>
      <c r="I187" s="30"/>
      <c r="J187" s="30"/>
      <c r="N187" s="40"/>
      <c r="O187" s="40"/>
      <c r="P187" s="40"/>
      <c r="Q187" s="40"/>
      <c r="R187" s="40"/>
      <c r="S187" s="40"/>
      <c r="T187" s="40"/>
      <c r="U187" s="30"/>
    </row>
    <row r="188" spans="1:21" ht="15.75" customHeight="1">
      <c r="A188" s="23"/>
      <c r="B188" s="30"/>
      <c r="C188" s="30"/>
      <c r="D188" s="30"/>
      <c r="E188" s="30"/>
      <c r="F188" s="30"/>
      <c r="G188" s="30"/>
      <c r="H188" s="30"/>
      <c r="I188" s="30"/>
      <c r="J188" s="30"/>
      <c r="N188" s="40"/>
      <c r="O188" s="40"/>
      <c r="P188" s="40"/>
      <c r="Q188" s="40"/>
      <c r="R188" s="40"/>
      <c r="S188" s="40"/>
      <c r="T188" s="40"/>
      <c r="U188" s="30"/>
    </row>
    <row r="189" spans="1:21" ht="15.75" customHeight="1">
      <c r="A189" s="23"/>
      <c r="B189" s="30"/>
      <c r="C189" s="30"/>
      <c r="D189" s="30"/>
      <c r="E189" s="30"/>
      <c r="F189" s="30"/>
      <c r="G189" s="30"/>
      <c r="H189" s="30"/>
      <c r="I189" s="30"/>
      <c r="J189" s="30"/>
      <c r="N189" s="40"/>
      <c r="O189" s="40"/>
      <c r="P189" s="40"/>
      <c r="Q189" s="40"/>
      <c r="R189" s="40"/>
      <c r="S189" s="40"/>
      <c r="T189" s="40"/>
      <c r="U189" s="30"/>
    </row>
    <row r="190" spans="1:21" ht="15.75" customHeight="1">
      <c r="A190" s="23"/>
      <c r="B190" s="30"/>
      <c r="C190" s="30"/>
      <c r="D190" s="30"/>
      <c r="E190" s="30"/>
      <c r="F190" s="30"/>
      <c r="G190" s="30"/>
      <c r="H190" s="30"/>
      <c r="I190" s="30"/>
      <c r="J190" s="30"/>
      <c r="N190" s="40"/>
      <c r="O190" s="40"/>
      <c r="P190" s="40"/>
      <c r="Q190" s="40"/>
      <c r="R190" s="40"/>
      <c r="S190" s="40"/>
      <c r="T190" s="40"/>
      <c r="U190" s="30"/>
    </row>
    <row r="191" spans="1:21" ht="15.75" customHeight="1">
      <c r="A191" s="23"/>
      <c r="B191" s="30"/>
      <c r="C191" s="30"/>
      <c r="D191" s="30"/>
      <c r="E191" s="30"/>
      <c r="F191" s="30"/>
      <c r="G191" s="30"/>
      <c r="H191" s="30"/>
      <c r="I191" s="30"/>
      <c r="J191" s="30"/>
      <c r="N191" s="40"/>
      <c r="O191" s="40"/>
      <c r="P191" s="40"/>
      <c r="Q191" s="40"/>
      <c r="R191" s="40"/>
      <c r="S191" s="40"/>
      <c r="T191" s="40"/>
      <c r="U191" s="30"/>
    </row>
    <row r="192" spans="1:21" ht="15.75" customHeight="1">
      <c r="A192" s="23"/>
      <c r="B192" s="30"/>
      <c r="C192" s="30"/>
      <c r="D192" s="30"/>
      <c r="E192" s="30"/>
      <c r="F192" s="30"/>
      <c r="G192" s="30"/>
      <c r="H192" s="30"/>
      <c r="I192" s="30"/>
      <c r="J192" s="30"/>
      <c r="N192" s="40"/>
      <c r="O192" s="40"/>
      <c r="P192" s="40"/>
      <c r="Q192" s="40"/>
      <c r="R192" s="40"/>
      <c r="S192" s="40"/>
      <c r="T192" s="40"/>
      <c r="U192" s="30"/>
    </row>
    <row r="193" spans="1:21" ht="15.75" customHeight="1">
      <c r="A193" s="23"/>
      <c r="B193" s="30"/>
      <c r="C193" s="30"/>
      <c r="D193" s="30"/>
      <c r="E193" s="30"/>
      <c r="F193" s="30"/>
      <c r="G193" s="30"/>
      <c r="H193" s="30"/>
      <c r="I193" s="30"/>
      <c r="J193" s="30"/>
      <c r="N193" s="40"/>
      <c r="O193" s="40"/>
      <c r="P193" s="40"/>
      <c r="Q193" s="40"/>
      <c r="R193" s="40"/>
      <c r="S193" s="40"/>
      <c r="T193" s="40"/>
      <c r="U193" s="30"/>
    </row>
    <row r="194" spans="1:21" ht="15.75" customHeight="1">
      <c r="A194" s="23"/>
      <c r="B194" s="30"/>
      <c r="C194" s="30"/>
      <c r="D194" s="30"/>
      <c r="E194" s="30"/>
      <c r="F194" s="30"/>
      <c r="G194" s="30"/>
      <c r="H194" s="30"/>
      <c r="I194" s="30"/>
      <c r="J194" s="30"/>
      <c r="N194" s="40"/>
      <c r="O194" s="40"/>
      <c r="P194" s="40"/>
      <c r="Q194" s="40"/>
      <c r="R194" s="40"/>
      <c r="S194" s="40"/>
      <c r="T194" s="40"/>
      <c r="U194" s="30"/>
    </row>
    <row r="195" spans="1:21" ht="15.75" customHeight="1">
      <c r="A195" s="23"/>
      <c r="B195" s="30"/>
      <c r="C195" s="30"/>
      <c r="D195" s="30"/>
      <c r="E195" s="30"/>
      <c r="F195" s="30"/>
      <c r="G195" s="30"/>
      <c r="H195" s="30"/>
      <c r="I195" s="30"/>
      <c r="J195" s="30"/>
      <c r="N195" s="40"/>
      <c r="O195" s="40"/>
      <c r="P195" s="40"/>
      <c r="Q195" s="40"/>
      <c r="R195" s="40"/>
      <c r="S195" s="40"/>
      <c r="T195" s="40"/>
      <c r="U195" s="30"/>
    </row>
    <row r="196" spans="1:21" ht="15.75" customHeight="1">
      <c r="A196" s="23"/>
      <c r="B196" s="30"/>
      <c r="C196" s="30"/>
      <c r="D196" s="30"/>
      <c r="E196" s="30"/>
      <c r="F196" s="30"/>
      <c r="G196" s="30"/>
      <c r="H196" s="30"/>
      <c r="I196" s="30"/>
      <c r="J196" s="30"/>
      <c r="N196" s="40"/>
      <c r="O196" s="40"/>
      <c r="P196" s="40"/>
      <c r="Q196" s="40"/>
      <c r="R196" s="40"/>
      <c r="S196" s="40"/>
      <c r="T196" s="40"/>
      <c r="U196" s="30"/>
    </row>
    <row r="197" spans="1:21" ht="15.75" customHeight="1">
      <c r="A197" s="23"/>
      <c r="B197" s="30"/>
      <c r="C197" s="30"/>
      <c r="D197" s="30"/>
      <c r="E197" s="30"/>
      <c r="F197" s="30"/>
      <c r="G197" s="30"/>
      <c r="H197" s="30"/>
      <c r="I197" s="30"/>
      <c r="J197" s="30"/>
      <c r="N197" s="40"/>
      <c r="O197" s="40"/>
      <c r="P197" s="40"/>
      <c r="Q197" s="40"/>
      <c r="R197" s="40"/>
      <c r="S197" s="40"/>
      <c r="T197" s="40"/>
      <c r="U197" s="30"/>
    </row>
    <row r="198" spans="1:21" ht="15.75" customHeight="1">
      <c r="A198" s="23"/>
      <c r="B198" s="30"/>
      <c r="C198" s="30"/>
      <c r="D198" s="30"/>
      <c r="E198" s="30"/>
      <c r="F198" s="30"/>
      <c r="G198" s="30"/>
      <c r="H198" s="30"/>
      <c r="I198" s="30"/>
      <c r="J198" s="30"/>
      <c r="N198" s="40"/>
      <c r="O198" s="40"/>
      <c r="P198" s="40"/>
      <c r="Q198" s="40"/>
      <c r="R198" s="40"/>
      <c r="S198" s="40"/>
      <c r="T198" s="40"/>
      <c r="U198" s="30"/>
    </row>
    <row r="199" spans="1:21" ht="15.75" customHeight="1">
      <c r="A199" s="23"/>
      <c r="B199" s="30"/>
      <c r="C199" s="30"/>
      <c r="D199" s="30"/>
      <c r="E199" s="30"/>
      <c r="F199" s="30"/>
      <c r="G199" s="30"/>
      <c r="H199" s="30"/>
      <c r="I199" s="30"/>
      <c r="J199" s="30"/>
      <c r="N199" s="40"/>
      <c r="O199" s="40"/>
      <c r="P199" s="40"/>
      <c r="Q199" s="40"/>
      <c r="R199" s="40"/>
      <c r="S199" s="40"/>
      <c r="T199" s="40"/>
      <c r="U199" s="30"/>
    </row>
    <row r="200" spans="1:21" ht="15.75" customHeight="1">
      <c r="A200" s="23"/>
      <c r="B200" s="30"/>
      <c r="C200" s="30"/>
      <c r="D200" s="30"/>
      <c r="E200" s="30"/>
      <c r="F200" s="30"/>
      <c r="G200" s="30"/>
      <c r="H200" s="30"/>
      <c r="I200" s="30"/>
      <c r="J200" s="30"/>
      <c r="N200" s="40"/>
      <c r="O200" s="40"/>
      <c r="P200" s="40"/>
      <c r="Q200" s="40"/>
      <c r="R200" s="40"/>
      <c r="S200" s="40"/>
      <c r="T200" s="40"/>
      <c r="U200" s="30"/>
    </row>
    <row r="201" spans="1:21" ht="15.75" customHeight="1">
      <c r="A201" s="23"/>
      <c r="B201" s="30"/>
      <c r="C201" s="30"/>
      <c r="D201" s="30"/>
      <c r="E201" s="30"/>
      <c r="F201" s="30"/>
      <c r="G201" s="30"/>
      <c r="H201" s="30"/>
      <c r="I201" s="30"/>
      <c r="J201" s="30"/>
      <c r="N201" s="40"/>
      <c r="O201" s="40"/>
      <c r="P201" s="40"/>
      <c r="Q201" s="40"/>
      <c r="R201" s="40"/>
      <c r="S201" s="40"/>
      <c r="T201" s="40"/>
      <c r="U201" s="30"/>
    </row>
    <row r="202" spans="1:21" ht="15.75" customHeight="1">
      <c r="A202" s="23"/>
      <c r="B202" s="30"/>
      <c r="C202" s="30"/>
      <c r="D202" s="30"/>
      <c r="E202" s="30"/>
      <c r="F202" s="30"/>
      <c r="G202" s="30"/>
      <c r="H202" s="30"/>
      <c r="I202" s="30"/>
      <c r="J202" s="30"/>
      <c r="N202" s="40"/>
      <c r="O202" s="40"/>
      <c r="P202" s="40"/>
      <c r="Q202" s="40"/>
      <c r="R202" s="40"/>
      <c r="S202" s="40"/>
      <c r="T202" s="40"/>
      <c r="U202" s="30"/>
    </row>
    <row r="203" spans="1:21" ht="15.75" customHeight="1">
      <c r="A203" s="23"/>
      <c r="B203" s="30"/>
      <c r="C203" s="30"/>
      <c r="D203" s="30"/>
      <c r="E203" s="30"/>
      <c r="F203" s="30"/>
      <c r="G203" s="30"/>
      <c r="H203" s="30"/>
      <c r="I203" s="30"/>
      <c r="J203" s="30"/>
      <c r="N203" s="40"/>
      <c r="O203" s="40"/>
      <c r="P203" s="40"/>
      <c r="Q203" s="40"/>
      <c r="R203" s="40"/>
      <c r="S203" s="40"/>
      <c r="T203" s="40"/>
      <c r="U203" s="30"/>
    </row>
    <row r="204" spans="1:21" ht="15.75" customHeight="1">
      <c r="A204" s="23"/>
      <c r="B204" s="30"/>
      <c r="C204" s="30"/>
      <c r="D204" s="30"/>
      <c r="E204" s="30"/>
      <c r="F204" s="30"/>
      <c r="G204" s="30"/>
      <c r="H204" s="30"/>
      <c r="I204" s="30"/>
      <c r="J204" s="30"/>
      <c r="N204" s="40"/>
      <c r="O204" s="40"/>
      <c r="P204" s="40"/>
      <c r="Q204" s="40"/>
      <c r="R204" s="40"/>
      <c r="S204" s="40"/>
      <c r="T204" s="40"/>
      <c r="U204" s="30"/>
    </row>
    <row r="205" spans="1:21" ht="15.75" customHeight="1">
      <c r="A205" s="23"/>
      <c r="B205" s="30"/>
      <c r="C205" s="30"/>
      <c r="D205" s="30"/>
      <c r="E205" s="30"/>
      <c r="F205" s="30"/>
      <c r="G205" s="30"/>
      <c r="H205" s="30"/>
      <c r="I205" s="30"/>
      <c r="J205" s="30"/>
      <c r="N205" s="40"/>
      <c r="O205" s="40"/>
      <c r="P205" s="40"/>
      <c r="Q205" s="40"/>
      <c r="R205" s="40"/>
      <c r="S205" s="40"/>
      <c r="T205" s="40"/>
      <c r="U205" s="30"/>
    </row>
    <row r="206" spans="1:21" ht="15.75" customHeight="1">
      <c r="A206" s="23"/>
      <c r="B206" s="30"/>
      <c r="C206" s="30"/>
      <c r="D206" s="30"/>
      <c r="E206" s="30"/>
      <c r="F206" s="30"/>
      <c r="G206" s="30"/>
      <c r="H206" s="30"/>
      <c r="I206" s="30"/>
      <c r="J206" s="30"/>
      <c r="N206" s="40"/>
      <c r="O206" s="40"/>
      <c r="P206" s="40"/>
      <c r="Q206" s="40"/>
      <c r="R206" s="40"/>
      <c r="S206" s="40"/>
      <c r="T206" s="40"/>
      <c r="U206" s="30"/>
    </row>
    <row r="207" spans="1:21" ht="15.75" customHeight="1">
      <c r="A207" s="23"/>
      <c r="B207" s="30"/>
      <c r="C207" s="30"/>
      <c r="D207" s="30"/>
      <c r="E207" s="30"/>
      <c r="F207" s="30"/>
      <c r="G207" s="30"/>
      <c r="H207" s="30"/>
      <c r="I207" s="30"/>
      <c r="J207" s="30"/>
      <c r="N207" s="40"/>
      <c r="O207" s="40"/>
      <c r="P207" s="40"/>
      <c r="Q207" s="40"/>
      <c r="R207" s="40"/>
      <c r="S207" s="40"/>
      <c r="T207" s="40"/>
      <c r="U207" s="30"/>
    </row>
    <row r="208" spans="1:21" ht="15.75" customHeight="1">
      <c r="A208" s="23"/>
      <c r="B208" s="30"/>
      <c r="C208" s="30"/>
      <c r="D208" s="30"/>
      <c r="E208" s="30"/>
      <c r="F208" s="30"/>
      <c r="G208" s="30"/>
      <c r="H208" s="30"/>
      <c r="I208" s="30"/>
      <c r="J208" s="30"/>
      <c r="N208" s="40"/>
      <c r="O208" s="40"/>
      <c r="P208" s="40"/>
      <c r="Q208" s="40"/>
      <c r="R208" s="40"/>
      <c r="S208" s="40"/>
      <c r="T208" s="40"/>
      <c r="U208" s="30"/>
    </row>
    <row r="209" spans="1:21" ht="15.75" customHeight="1">
      <c r="A209" s="23"/>
      <c r="B209" s="30"/>
      <c r="C209" s="30"/>
      <c r="D209" s="30"/>
      <c r="E209" s="30"/>
      <c r="F209" s="30"/>
      <c r="G209" s="30"/>
      <c r="H209" s="30"/>
      <c r="I209" s="30"/>
      <c r="J209" s="30"/>
      <c r="N209" s="40"/>
      <c r="O209" s="40"/>
      <c r="P209" s="40"/>
      <c r="Q209" s="40"/>
      <c r="R209" s="40"/>
      <c r="S209" s="40"/>
      <c r="T209" s="40"/>
      <c r="U209" s="30"/>
    </row>
    <row r="210" spans="1:21" ht="15.75" customHeight="1">
      <c r="A210" s="23"/>
      <c r="B210" s="30"/>
      <c r="C210" s="30"/>
      <c r="D210" s="30"/>
      <c r="E210" s="30"/>
      <c r="F210" s="30"/>
      <c r="G210" s="30"/>
      <c r="H210" s="30"/>
      <c r="I210" s="30"/>
      <c r="J210" s="30"/>
      <c r="N210" s="40"/>
      <c r="O210" s="40"/>
      <c r="P210" s="40"/>
      <c r="Q210" s="40"/>
      <c r="R210" s="40"/>
      <c r="S210" s="40"/>
      <c r="T210" s="40"/>
      <c r="U210" s="30"/>
    </row>
    <row r="211" spans="1:21" ht="15.75" customHeight="1">
      <c r="A211" s="23"/>
      <c r="B211" s="30"/>
      <c r="C211" s="30"/>
      <c r="D211" s="30"/>
      <c r="E211" s="30"/>
      <c r="F211" s="30"/>
      <c r="G211" s="30"/>
      <c r="H211" s="30"/>
      <c r="I211" s="30"/>
      <c r="J211" s="30"/>
      <c r="N211" s="40"/>
      <c r="O211" s="40"/>
      <c r="P211" s="40"/>
      <c r="Q211" s="40"/>
      <c r="R211" s="40"/>
      <c r="S211" s="40"/>
      <c r="T211" s="40"/>
      <c r="U211" s="30"/>
    </row>
    <row r="212" spans="1:21" ht="15.75" customHeight="1">
      <c r="A212" s="23"/>
      <c r="B212" s="30"/>
      <c r="C212" s="30"/>
      <c r="D212" s="30"/>
      <c r="E212" s="30"/>
      <c r="F212" s="30"/>
      <c r="G212" s="30"/>
      <c r="H212" s="30"/>
      <c r="I212" s="30"/>
      <c r="J212" s="30"/>
      <c r="N212" s="40"/>
      <c r="O212" s="40"/>
      <c r="P212" s="40"/>
      <c r="Q212" s="40"/>
      <c r="R212" s="40"/>
      <c r="S212" s="40"/>
      <c r="T212" s="40"/>
      <c r="U212" s="30"/>
    </row>
    <row r="213" spans="1:21" ht="15.75" customHeight="1">
      <c r="A213" s="23"/>
      <c r="B213" s="30"/>
      <c r="C213" s="30"/>
      <c r="D213" s="30"/>
      <c r="E213" s="30"/>
      <c r="F213" s="30"/>
      <c r="G213" s="30"/>
      <c r="H213" s="30"/>
      <c r="I213" s="30"/>
      <c r="J213" s="30"/>
      <c r="N213" s="40"/>
      <c r="O213" s="40"/>
      <c r="P213" s="40"/>
      <c r="Q213" s="40"/>
      <c r="R213" s="40"/>
      <c r="S213" s="40"/>
      <c r="T213" s="40"/>
      <c r="U213" s="30"/>
    </row>
    <row r="214" spans="1:21" ht="15.75" customHeight="1">
      <c r="A214" s="23"/>
      <c r="B214" s="30"/>
      <c r="C214" s="30"/>
      <c r="D214" s="30"/>
      <c r="E214" s="30"/>
      <c r="F214" s="30"/>
      <c r="G214" s="30"/>
      <c r="H214" s="30"/>
      <c r="I214" s="30"/>
      <c r="J214" s="30"/>
      <c r="N214" s="40"/>
      <c r="O214" s="40"/>
      <c r="P214" s="40"/>
      <c r="Q214" s="40"/>
      <c r="R214" s="40"/>
      <c r="S214" s="40"/>
      <c r="T214" s="40"/>
      <c r="U214" s="30"/>
    </row>
    <row r="215" spans="1:21" ht="15.75" customHeight="1">
      <c r="A215" s="23"/>
      <c r="B215" s="30"/>
      <c r="C215" s="30"/>
      <c r="D215" s="30"/>
      <c r="E215" s="30"/>
      <c r="F215" s="30"/>
      <c r="G215" s="30"/>
      <c r="H215" s="30"/>
      <c r="I215" s="30"/>
      <c r="J215" s="30"/>
      <c r="N215" s="40"/>
      <c r="O215" s="40"/>
      <c r="P215" s="40"/>
      <c r="Q215" s="40"/>
      <c r="R215" s="40"/>
      <c r="S215" s="40"/>
      <c r="T215" s="40"/>
      <c r="U215" s="30"/>
    </row>
    <row r="216" spans="1:21" ht="15.75" customHeight="1">
      <c r="A216" s="23"/>
      <c r="B216" s="30"/>
      <c r="C216" s="30"/>
      <c r="D216" s="30"/>
      <c r="E216" s="30"/>
      <c r="F216" s="30"/>
      <c r="G216" s="30"/>
      <c r="H216" s="30"/>
      <c r="I216" s="30"/>
      <c r="J216" s="30"/>
      <c r="N216" s="40"/>
      <c r="O216" s="40"/>
      <c r="P216" s="40"/>
      <c r="Q216" s="40"/>
      <c r="R216" s="40"/>
      <c r="S216" s="40"/>
      <c r="T216" s="40"/>
      <c r="U216" s="30"/>
    </row>
    <row r="217" spans="1:21" ht="15.75" customHeight="1">
      <c r="A217" s="23"/>
      <c r="B217" s="30"/>
      <c r="C217" s="30"/>
      <c r="D217" s="30"/>
      <c r="E217" s="30"/>
      <c r="F217" s="30"/>
      <c r="G217" s="30"/>
      <c r="H217" s="30"/>
      <c r="I217" s="30"/>
      <c r="J217" s="30"/>
      <c r="N217" s="40"/>
      <c r="O217" s="40"/>
      <c r="P217" s="40"/>
      <c r="Q217" s="40"/>
      <c r="R217" s="40"/>
      <c r="S217" s="40"/>
      <c r="T217" s="40"/>
      <c r="U217" s="30"/>
    </row>
    <row r="218" spans="1:21" ht="15.75" customHeight="1">
      <c r="A218" s="23"/>
      <c r="B218" s="30"/>
      <c r="C218" s="30"/>
      <c r="D218" s="30"/>
      <c r="E218" s="30"/>
      <c r="F218" s="30"/>
      <c r="G218" s="30"/>
      <c r="H218" s="30"/>
      <c r="I218" s="30"/>
      <c r="J218" s="30"/>
      <c r="N218" s="40"/>
      <c r="O218" s="40"/>
      <c r="P218" s="40"/>
      <c r="Q218" s="40"/>
      <c r="R218" s="40"/>
      <c r="S218" s="40"/>
      <c r="T218" s="40"/>
      <c r="U218" s="30"/>
    </row>
    <row r="219" spans="1:21" ht="15.75" customHeight="1">
      <c r="A219" s="23"/>
      <c r="B219" s="30"/>
      <c r="C219" s="30"/>
      <c r="D219" s="30"/>
      <c r="E219" s="30"/>
      <c r="F219" s="30"/>
      <c r="G219" s="30"/>
      <c r="H219" s="30"/>
      <c r="I219" s="30"/>
      <c r="J219" s="30"/>
      <c r="N219" s="40"/>
      <c r="O219" s="40"/>
      <c r="P219" s="40"/>
      <c r="Q219" s="40"/>
      <c r="R219" s="40"/>
      <c r="S219" s="40"/>
      <c r="T219" s="40"/>
      <c r="U219" s="30"/>
    </row>
    <row r="220" spans="1:21" ht="15.75" customHeight="1">
      <c r="A220" s="23"/>
      <c r="B220" s="30"/>
      <c r="C220" s="30"/>
      <c r="D220" s="30"/>
      <c r="E220" s="30"/>
      <c r="F220" s="30"/>
      <c r="G220" s="30"/>
      <c r="H220" s="30"/>
      <c r="I220" s="30"/>
      <c r="J220" s="30"/>
      <c r="N220" s="40"/>
      <c r="O220" s="40"/>
      <c r="P220" s="40"/>
      <c r="Q220" s="40"/>
      <c r="R220" s="40"/>
      <c r="S220" s="40"/>
      <c r="T220" s="40"/>
      <c r="U220" s="30"/>
    </row>
    <row r="221" spans="1:21" ht="15.75" customHeight="1">
      <c r="A221" s="23"/>
      <c r="B221" s="30"/>
      <c r="C221" s="30"/>
      <c r="D221" s="30"/>
      <c r="E221" s="30"/>
      <c r="F221" s="30"/>
      <c r="G221" s="30"/>
      <c r="H221" s="30"/>
      <c r="I221" s="30"/>
      <c r="J221" s="30"/>
      <c r="N221" s="40"/>
      <c r="O221" s="40"/>
      <c r="P221" s="40"/>
      <c r="Q221" s="40"/>
      <c r="R221" s="40"/>
      <c r="S221" s="40"/>
      <c r="T221" s="40"/>
      <c r="U221" s="30"/>
    </row>
    <row r="222" spans="1:21" ht="15.75" customHeight="1">
      <c r="A222" s="23"/>
      <c r="B222" s="30"/>
      <c r="C222" s="30"/>
      <c r="D222" s="30"/>
      <c r="E222" s="30"/>
      <c r="F222" s="30"/>
      <c r="G222" s="30"/>
      <c r="H222" s="30"/>
      <c r="I222" s="30"/>
      <c r="J222" s="30"/>
      <c r="N222" s="40"/>
      <c r="O222" s="40"/>
      <c r="P222" s="40"/>
      <c r="Q222" s="40"/>
      <c r="R222" s="40"/>
      <c r="S222" s="40"/>
      <c r="T222" s="40"/>
      <c r="U222" s="30"/>
    </row>
    <row r="223" spans="1:21" ht="15.75" customHeight="1">
      <c r="A223" s="23"/>
      <c r="B223" s="30"/>
      <c r="C223" s="30"/>
      <c r="D223" s="30"/>
      <c r="E223" s="30"/>
      <c r="F223" s="30"/>
      <c r="G223" s="30"/>
      <c r="H223" s="30"/>
      <c r="I223" s="30"/>
      <c r="J223" s="30"/>
      <c r="N223" s="40"/>
      <c r="O223" s="40"/>
      <c r="P223" s="40"/>
      <c r="Q223" s="40"/>
      <c r="R223" s="40"/>
      <c r="S223" s="40"/>
      <c r="T223" s="40"/>
      <c r="U223" s="30"/>
    </row>
    <row r="224" spans="1:21" ht="15.75" customHeight="1">
      <c r="A224" s="23"/>
      <c r="B224" s="30"/>
      <c r="C224" s="30"/>
      <c r="D224" s="30"/>
      <c r="E224" s="30"/>
      <c r="F224" s="30"/>
      <c r="G224" s="30"/>
      <c r="H224" s="30"/>
      <c r="I224" s="30"/>
      <c r="J224" s="30"/>
      <c r="N224" s="40"/>
      <c r="O224" s="40"/>
      <c r="P224" s="40"/>
      <c r="Q224" s="40"/>
      <c r="R224" s="40"/>
      <c r="S224" s="40"/>
      <c r="T224" s="40"/>
      <c r="U224" s="30"/>
    </row>
    <row r="225" spans="1:21" ht="15.75" customHeight="1">
      <c r="A225" s="23"/>
      <c r="B225" s="30"/>
      <c r="C225" s="30"/>
      <c r="D225" s="30"/>
      <c r="E225" s="30"/>
      <c r="F225" s="30"/>
      <c r="G225" s="30"/>
      <c r="H225" s="30"/>
      <c r="I225" s="30"/>
      <c r="J225" s="30"/>
      <c r="N225" s="40"/>
      <c r="O225" s="40"/>
      <c r="P225" s="40"/>
      <c r="Q225" s="40"/>
      <c r="R225" s="40"/>
      <c r="S225" s="40"/>
      <c r="T225" s="40"/>
      <c r="U225" s="30"/>
    </row>
    <row r="226" spans="1:21" ht="15.75" customHeight="1">
      <c r="A226" s="23"/>
      <c r="B226" s="30"/>
      <c r="C226" s="30"/>
      <c r="D226" s="30"/>
      <c r="E226" s="30"/>
      <c r="F226" s="30"/>
      <c r="G226" s="30"/>
      <c r="H226" s="30"/>
      <c r="I226" s="30"/>
      <c r="J226" s="30"/>
      <c r="N226" s="40"/>
      <c r="O226" s="40"/>
      <c r="P226" s="40"/>
      <c r="Q226" s="40"/>
      <c r="R226" s="40"/>
      <c r="S226" s="40"/>
      <c r="T226" s="40"/>
      <c r="U226" s="30"/>
    </row>
    <row r="227" spans="1:21" ht="15.75" customHeight="1">
      <c r="A227" s="23"/>
      <c r="B227" s="30"/>
      <c r="C227" s="30"/>
      <c r="D227" s="30"/>
      <c r="E227" s="30"/>
      <c r="F227" s="30"/>
      <c r="G227" s="30"/>
      <c r="H227" s="30"/>
      <c r="I227" s="30"/>
      <c r="J227" s="30"/>
      <c r="N227" s="40"/>
      <c r="O227" s="40"/>
      <c r="P227" s="40"/>
      <c r="Q227" s="40"/>
      <c r="R227" s="40"/>
      <c r="S227" s="40"/>
      <c r="T227" s="40"/>
      <c r="U227" s="30"/>
    </row>
    <row r="228" spans="1:21" ht="15.75" customHeight="1">
      <c r="A228" s="23"/>
      <c r="B228" s="30"/>
      <c r="C228" s="30"/>
      <c r="D228" s="30"/>
      <c r="E228" s="30"/>
      <c r="F228" s="30"/>
      <c r="G228" s="30"/>
      <c r="H228" s="30"/>
      <c r="I228" s="30"/>
      <c r="J228" s="30"/>
      <c r="N228" s="40"/>
      <c r="O228" s="40"/>
      <c r="P228" s="40"/>
      <c r="Q228" s="40"/>
      <c r="R228" s="40"/>
      <c r="S228" s="40"/>
      <c r="T228" s="40"/>
      <c r="U228" s="30"/>
    </row>
    <row r="229" spans="1:21" ht="15.75" customHeight="1">
      <c r="A229" s="23"/>
      <c r="B229" s="30"/>
      <c r="C229" s="30"/>
      <c r="D229" s="30"/>
      <c r="E229" s="30"/>
      <c r="F229" s="30"/>
      <c r="G229" s="30"/>
      <c r="H229" s="30"/>
      <c r="I229" s="30"/>
      <c r="J229" s="30"/>
      <c r="N229" s="40"/>
      <c r="O229" s="40"/>
      <c r="P229" s="40"/>
      <c r="Q229" s="40"/>
      <c r="R229" s="40"/>
      <c r="S229" s="40"/>
      <c r="T229" s="40"/>
      <c r="U229" s="30"/>
    </row>
    <row r="230" spans="1:21" ht="15.75" customHeight="1">
      <c r="A230" s="23"/>
      <c r="B230" s="30"/>
      <c r="C230" s="30"/>
      <c r="D230" s="30"/>
      <c r="E230" s="30"/>
      <c r="F230" s="30"/>
      <c r="G230" s="30"/>
      <c r="H230" s="30"/>
      <c r="I230" s="30"/>
      <c r="J230" s="30"/>
      <c r="N230" s="40"/>
      <c r="O230" s="40"/>
      <c r="P230" s="40"/>
      <c r="Q230" s="40"/>
      <c r="R230" s="40"/>
      <c r="S230" s="40"/>
      <c r="T230" s="40"/>
      <c r="U230" s="30"/>
    </row>
    <row r="231" spans="1:21" ht="15.75" customHeight="1">
      <c r="A231" s="23"/>
      <c r="B231" s="30"/>
      <c r="C231" s="30"/>
      <c r="D231" s="30"/>
      <c r="E231" s="30"/>
      <c r="F231" s="30"/>
      <c r="G231" s="30"/>
      <c r="H231" s="30"/>
      <c r="I231" s="30"/>
      <c r="J231" s="30"/>
      <c r="N231" s="40"/>
      <c r="O231" s="40"/>
      <c r="P231" s="40"/>
      <c r="Q231" s="40"/>
      <c r="R231" s="40"/>
      <c r="S231" s="40"/>
      <c r="T231" s="40"/>
      <c r="U231" s="30"/>
    </row>
    <row r="232" spans="1:21" ht="15.75" customHeight="1">
      <c r="A232" s="23"/>
      <c r="B232" s="30"/>
      <c r="C232" s="30"/>
      <c r="D232" s="30"/>
      <c r="E232" s="30"/>
      <c r="F232" s="30"/>
      <c r="G232" s="30"/>
      <c r="H232" s="30"/>
      <c r="I232" s="30"/>
      <c r="J232" s="30"/>
      <c r="N232" s="40"/>
      <c r="O232" s="40"/>
      <c r="P232" s="40"/>
      <c r="Q232" s="40"/>
      <c r="R232" s="40"/>
      <c r="S232" s="40"/>
      <c r="T232" s="40"/>
      <c r="U232" s="30"/>
    </row>
    <row r="233" spans="1:21" ht="15.75" customHeight="1">
      <c r="A233" s="23"/>
      <c r="B233" s="30"/>
      <c r="C233" s="30"/>
      <c r="D233" s="30"/>
      <c r="E233" s="30"/>
      <c r="F233" s="30"/>
      <c r="G233" s="30"/>
      <c r="H233" s="30"/>
      <c r="I233" s="30"/>
      <c r="J233" s="30"/>
      <c r="N233" s="40"/>
      <c r="O233" s="40"/>
      <c r="P233" s="40"/>
      <c r="Q233" s="40"/>
      <c r="R233" s="40"/>
      <c r="S233" s="40"/>
      <c r="T233" s="40"/>
      <c r="U233" s="30"/>
    </row>
    <row r="234" spans="1:21" ht="15.75" customHeight="1">
      <c r="A234" s="23"/>
      <c r="B234" s="30"/>
      <c r="C234" s="30"/>
      <c r="D234" s="30"/>
      <c r="E234" s="30"/>
      <c r="F234" s="30"/>
      <c r="G234" s="30"/>
      <c r="H234" s="30"/>
      <c r="I234" s="30"/>
      <c r="J234" s="30"/>
      <c r="N234" s="40"/>
      <c r="O234" s="40"/>
      <c r="P234" s="40"/>
      <c r="Q234" s="40"/>
      <c r="R234" s="40"/>
      <c r="S234" s="40"/>
      <c r="T234" s="40"/>
      <c r="U234" s="30"/>
    </row>
    <row r="235" spans="1:21" ht="15.75" customHeight="1">
      <c r="A235" s="23"/>
      <c r="B235" s="30"/>
      <c r="C235" s="30"/>
      <c r="D235" s="30"/>
      <c r="E235" s="30"/>
      <c r="F235" s="30"/>
      <c r="G235" s="30"/>
      <c r="H235" s="30"/>
      <c r="I235" s="30"/>
      <c r="J235" s="30"/>
      <c r="N235" s="40"/>
      <c r="O235" s="40"/>
      <c r="P235" s="40"/>
      <c r="Q235" s="40"/>
      <c r="R235" s="40"/>
      <c r="S235" s="40"/>
      <c r="T235" s="40"/>
      <c r="U235" s="30"/>
    </row>
    <row r="236" spans="1:21" ht="15.75" customHeight="1">
      <c r="A236" s="23"/>
      <c r="B236" s="30"/>
      <c r="C236" s="30"/>
      <c r="D236" s="30"/>
      <c r="E236" s="30"/>
      <c r="F236" s="30"/>
      <c r="G236" s="30"/>
      <c r="H236" s="30"/>
      <c r="I236" s="30"/>
      <c r="J236" s="30"/>
      <c r="N236" s="40"/>
      <c r="O236" s="40"/>
      <c r="P236" s="40"/>
      <c r="Q236" s="40"/>
      <c r="R236" s="40"/>
      <c r="S236" s="40"/>
      <c r="T236" s="40"/>
      <c r="U236" s="30"/>
    </row>
    <row r="237" spans="1:21" ht="15.75" customHeight="1">
      <c r="A237" s="23"/>
      <c r="B237" s="30"/>
      <c r="C237" s="30"/>
      <c r="D237" s="30"/>
      <c r="E237" s="30"/>
      <c r="F237" s="30"/>
      <c r="G237" s="30"/>
      <c r="H237" s="30"/>
      <c r="I237" s="30"/>
      <c r="J237" s="30"/>
      <c r="N237" s="40"/>
      <c r="O237" s="40"/>
      <c r="P237" s="40"/>
      <c r="Q237" s="40"/>
      <c r="R237" s="40"/>
      <c r="S237" s="40"/>
      <c r="T237" s="40"/>
      <c r="U237" s="30"/>
    </row>
    <row r="238" spans="1:21" ht="15.75" customHeight="1">
      <c r="A238" s="23"/>
      <c r="B238" s="30"/>
      <c r="C238" s="30"/>
      <c r="D238" s="30"/>
      <c r="E238" s="30"/>
      <c r="F238" s="30"/>
      <c r="G238" s="30"/>
      <c r="H238" s="30"/>
      <c r="I238" s="30"/>
      <c r="J238" s="30"/>
      <c r="N238" s="40"/>
      <c r="O238" s="40"/>
      <c r="P238" s="40"/>
      <c r="Q238" s="40"/>
      <c r="R238" s="40"/>
      <c r="S238" s="40"/>
      <c r="T238" s="40"/>
      <c r="U238" s="30"/>
    </row>
    <row r="239" spans="1:21" ht="15.75" customHeight="1">
      <c r="A239" s="23"/>
      <c r="B239" s="30"/>
      <c r="C239" s="30"/>
      <c r="D239" s="30"/>
      <c r="E239" s="30"/>
      <c r="F239" s="30"/>
      <c r="G239" s="30"/>
      <c r="H239" s="30"/>
      <c r="I239" s="30"/>
      <c r="J239" s="30"/>
      <c r="N239" s="40"/>
      <c r="O239" s="40"/>
      <c r="P239" s="40"/>
      <c r="Q239" s="40"/>
      <c r="R239" s="40"/>
      <c r="S239" s="40"/>
      <c r="T239" s="40"/>
      <c r="U239" s="30"/>
    </row>
    <row r="240" spans="1:21" ht="15.75" customHeight="1">
      <c r="A240" s="23"/>
      <c r="B240" s="30"/>
      <c r="C240" s="30"/>
      <c r="D240" s="30"/>
      <c r="E240" s="30"/>
      <c r="F240" s="30"/>
      <c r="G240" s="30"/>
      <c r="H240" s="30"/>
      <c r="I240" s="30"/>
      <c r="J240" s="30"/>
      <c r="N240" s="40"/>
      <c r="O240" s="40"/>
      <c r="P240" s="40"/>
      <c r="Q240" s="40"/>
      <c r="R240" s="40"/>
      <c r="S240" s="40"/>
      <c r="T240" s="40"/>
      <c r="U240" s="30"/>
    </row>
    <row r="241" spans="1:21" ht="15.75" customHeight="1">
      <c r="A241" s="23"/>
      <c r="B241" s="30"/>
      <c r="C241" s="30"/>
      <c r="D241" s="30"/>
      <c r="E241" s="30"/>
      <c r="F241" s="30"/>
      <c r="G241" s="30"/>
      <c r="H241" s="30"/>
      <c r="I241" s="30"/>
      <c r="J241" s="30"/>
      <c r="N241" s="40"/>
      <c r="O241" s="40"/>
      <c r="P241" s="40"/>
      <c r="Q241" s="40"/>
      <c r="R241" s="40"/>
      <c r="S241" s="40"/>
      <c r="T241" s="40"/>
      <c r="U241" s="30"/>
    </row>
    <row r="242" spans="1:21" ht="15.75" customHeight="1">
      <c r="A242" s="23"/>
      <c r="B242" s="30"/>
      <c r="C242" s="30"/>
      <c r="D242" s="30"/>
      <c r="E242" s="30"/>
      <c r="F242" s="30"/>
      <c r="G242" s="30"/>
      <c r="H242" s="30"/>
      <c r="I242" s="30"/>
      <c r="J242" s="30"/>
      <c r="N242" s="40"/>
      <c r="O242" s="40"/>
      <c r="P242" s="40"/>
      <c r="Q242" s="40"/>
      <c r="R242" s="40"/>
      <c r="S242" s="40"/>
      <c r="T242" s="40"/>
      <c r="U242" s="30"/>
    </row>
    <row r="243" spans="1:21" ht="15.75" customHeight="1">
      <c r="A243" s="23"/>
      <c r="B243" s="30"/>
      <c r="C243" s="30"/>
      <c r="D243" s="30"/>
      <c r="E243" s="30"/>
      <c r="F243" s="30"/>
      <c r="G243" s="30"/>
      <c r="H243" s="30"/>
      <c r="I243" s="30"/>
      <c r="J243" s="30"/>
      <c r="N243" s="40"/>
      <c r="O243" s="40"/>
      <c r="P243" s="40"/>
      <c r="Q243" s="40"/>
      <c r="R243" s="40"/>
      <c r="S243" s="40"/>
      <c r="T243" s="40"/>
      <c r="U243" s="30"/>
    </row>
    <row r="244" spans="1:21" ht="15.75" customHeight="1">
      <c r="A244" s="23"/>
      <c r="B244" s="30"/>
      <c r="C244" s="30"/>
      <c r="D244" s="30"/>
      <c r="E244" s="30"/>
      <c r="F244" s="30"/>
      <c r="G244" s="30"/>
      <c r="H244" s="30"/>
      <c r="I244" s="30"/>
      <c r="J244" s="30"/>
      <c r="N244" s="40"/>
      <c r="O244" s="40"/>
      <c r="P244" s="40"/>
      <c r="Q244" s="40"/>
      <c r="R244" s="40"/>
      <c r="S244" s="40"/>
      <c r="T244" s="40"/>
      <c r="U244" s="30"/>
    </row>
    <row r="245" spans="1:21" ht="15.75" customHeight="1">
      <c r="A245" s="23"/>
      <c r="B245" s="30"/>
      <c r="C245" s="30"/>
      <c r="D245" s="30"/>
      <c r="E245" s="30"/>
      <c r="F245" s="30"/>
      <c r="G245" s="30"/>
      <c r="H245" s="30"/>
      <c r="I245" s="30"/>
      <c r="J245" s="30"/>
      <c r="N245" s="40"/>
      <c r="O245" s="40"/>
      <c r="P245" s="40"/>
      <c r="Q245" s="40"/>
      <c r="R245" s="40"/>
      <c r="S245" s="40"/>
      <c r="T245" s="40"/>
      <c r="U245" s="30"/>
    </row>
    <row r="246" spans="1:21" ht="15.75" customHeight="1">
      <c r="A246" s="23"/>
      <c r="B246" s="30"/>
      <c r="C246" s="30"/>
      <c r="D246" s="30"/>
      <c r="E246" s="30"/>
      <c r="F246" s="30"/>
      <c r="G246" s="30"/>
      <c r="H246" s="30"/>
      <c r="I246" s="30"/>
      <c r="J246" s="30"/>
      <c r="N246" s="40"/>
      <c r="O246" s="40"/>
      <c r="P246" s="40"/>
      <c r="Q246" s="40"/>
      <c r="R246" s="40"/>
      <c r="S246" s="40"/>
      <c r="T246" s="40"/>
      <c r="U246" s="30"/>
    </row>
    <row r="247" spans="1:21" ht="15.75" customHeight="1">
      <c r="A247" s="23"/>
      <c r="B247" s="30"/>
      <c r="C247" s="30"/>
      <c r="D247" s="30"/>
      <c r="E247" s="30"/>
      <c r="F247" s="30"/>
      <c r="G247" s="30"/>
      <c r="H247" s="30"/>
      <c r="I247" s="30"/>
      <c r="J247" s="30"/>
      <c r="N247" s="40"/>
      <c r="O247" s="40"/>
      <c r="P247" s="40"/>
      <c r="Q247" s="40"/>
      <c r="R247" s="40"/>
      <c r="S247" s="40"/>
      <c r="T247" s="40"/>
      <c r="U247" s="30"/>
    </row>
    <row r="248" spans="1:21" ht="15.75" customHeight="1">
      <c r="A248" s="23"/>
      <c r="B248" s="30"/>
      <c r="C248" s="30"/>
      <c r="D248" s="30"/>
      <c r="E248" s="30"/>
      <c r="F248" s="30"/>
      <c r="G248" s="30"/>
      <c r="H248" s="30"/>
      <c r="I248" s="30"/>
      <c r="J248" s="30"/>
      <c r="N248" s="40"/>
      <c r="O248" s="40"/>
      <c r="P248" s="40"/>
      <c r="Q248" s="40"/>
      <c r="R248" s="40"/>
      <c r="S248" s="40"/>
      <c r="T248" s="40"/>
      <c r="U248" s="30"/>
    </row>
    <row r="249" spans="1:21" ht="15.75" customHeight="1">
      <c r="A249" s="23"/>
      <c r="B249" s="30"/>
      <c r="C249" s="30"/>
      <c r="D249" s="30"/>
      <c r="E249" s="30"/>
      <c r="F249" s="30"/>
      <c r="G249" s="30"/>
      <c r="H249" s="30"/>
      <c r="I249" s="30"/>
      <c r="J249" s="30"/>
      <c r="N249" s="40"/>
      <c r="O249" s="40"/>
      <c r="P249" s="40"/>
      <c r="Q249" s="40"/>
      <c r="R249" s="40"/>
      <c r="S249" s="40"/>
      <c r="T249" s="40"/>
      <c r="U249" s="30"/>
    </row>
    <row r="250" spans="1:21" ht="15.75" customHeight="1">
      <c r="A250" s="23"/>
      <c r="B250" s="30"/>
      <c r="C250" s="30"/>
      <c r="D250" s="30"/>
      <c r="E250" s="30"/>
      <c r="F250" s="30"/>
      <c r="G250" s="30"/>
      <c r="H250" s="30"/>
      <c r="I250" s="30"/>
      <c r="J250" s="30"/>
      <c r="N250" s="40"/>
      <c r="O250" s="40"/>
      <c r="P250" s="40"/>
      <c r="Q250" s="40"/>
      <c r="R250" s="40"/>
      <c r="S250" s="40"/>
      <c r="T250" s="40"/>
      <c r="U250" s="30"/>
    </row>
    <row r="251" spans="1:21" ht="15.75" customHeight="1">
      <c r="A251" s="23"/>
      <c r="B251" s="30"/>
      <c r="C251" s="30"/>
      <c r="D251" s="30"/>
      <c r="E251" s="30"/>
      <c r="F251" s="30"/>
      <c r="G251" s="30"/>
      <c r="H251" s="30"/>
      <c r="I251" s="30"/>
      <c r="J251" s="30"/>
      <c r="N251" s="40"/>
      <c r="O251" s="40"/>
      <c r="P251" s="40"/>
      <c r="Q251" s="40"/>
      <c r="R251" s="40"/>
      <c r="S251" s="40"/>
      <c r="T251" s="40"/>
      <c r="U251" s="30"/>
    </row>
    <row r="252" spans="1:21" ht="15.75" customHeight="1">
      <c r="A252" s="23"/>
      <c r="B252" s="30"/>
      <c r="C252" s="30"/>
      <c r="D252" s="30"/>
      <c r="E252" s="30"/>
      <c r="F252" s="30"/>
      <c r="G252" s="30"/>
      <c r="H252" s="30"/>
      <c r="I252" s="30"/>
      <c r="J252" s="30"/>
      <c r="N252" s="40"/>
      <c r="O252" s="40"/>
      <c r="P252" s="40"/>
      <c r="Q252" s="40"/>
      <c r="R252" s="40"/>
      <c r="S252" s="40"/>
      <c r="T252" s="40"/>
      <c r="U252" s="30"/>
    </row>
    <row r="253" spans="1:21" ht="15.75" customHeight="1">
      <c r="A253" s="23"/>
      <c r="B253" s="30"/>
      <c r="C253" s="30"/>
      <c r="D253" s="30"/>
      <c r="E253" s="30"/>
      <c r="F253" s="30"/>
      <c r="G253" s="30"/>
      <c r="H253" s="30"/>
      <c r="I253" s="30"/>
      <c r="J253" s="30"/>
      <c r="N253" s="40"/>
      <c r="O253" s="40"/>
      <c r="P253" s="40"/>
      <c r="Q253" s="40"/>
      <c r="R253" s="40"/>
      <c r="S253" s="40"/>
      <c r="T253" s="40"/>
      <c r="U253" s="30"/>
    </row>
    <row r="254" spans="1:21" ht="15.75" customHeight="1">
      <c r="A254" s="23"/>
      <c r="B254" s="30"/>
      <c r="C254" s="30"/>
      <c r="D254" s="30"/>
      <c r="E254" s="30"/>
      <c r="F254" s="30"/>
      <c r="G254" s="30"/>
      <c r="H254" s="30"/>
      <c r="I254" s="30"/>
      <c r="J254" s="30"/>
      <c r="N254" s="40"/>
      <c r="O254" s="40"/>
      <c r="P254" s="40"/>
      <c r="Q254" s="40"/>
      <c r="R254" s="40"/>
      <c r="S254" s="40"/>
      <c r="T254" s="40"/>
      <c r="U254" s="30"/>
    </row>
    <row r="255" spans="1:21" ht="15.75" customHeight="1">
      <c r="A255" s="23"/>
      <c r="B255" s="30"/>
      <c r="C255" s="30"/>
      <c r="D255" s="30"/>
      <c r="E255" s="30"/>
      <c r="F255" s="30"/>
      <c r="G255" s="30"/>
      <c r="H255" s="30"/>
      <c r="I255" s="30"/>
      <c r="J255" s="30"/>
      <c r="N255" s="40"/>
      <c r="O255" s="40"/>
      <c r="P255" s="40"/>
      <c r="Q255" s="40"/>
      <c r="R255" s="40"/>
      <c r="S255" s="40"/>
      <c r="T255" s="40"/>
      <c r="U255" s="30"/>
    </row>
    <row r="256" spans="1:21" ht="15.75" customHeight="1">
      <c r="A256" s="23"/>
      <c r="B256" s="30"/>
      <c r="C256" s="30"/>
      <c r="D256" s="30"/>
      <c r="E256" s="30"/>
      <c r="F256" s="30"/>
      <c r="G256" s="30"/>
      <c r="H256" s="30"/>
      <c r="I256" s="30"/>
      <c r="J256" s="30"/>
      <c r="N256" s="40"/>
      <c r="O256" s="40"/>
      <c r="P256" s="40"/>
      <c r="Q256" s="40"/>
      <c r="R256" s="40"/>
      <c r="S256" s="40"/>
      <c r="T256" s="40"/>
      <c r="U256" s="30"/>
    </row>
    <row r="257" spans="1:21" ht="15.75" customHeight="1">
      <c r="A257" s="23"/>
      <c r="B257" s="30"/>
      <c r="C257" s="30"/>
      <c r="D257" s="30"/>
      <c r="E257" s="30"/>
      <c r="F257" s="30"/>
      <c r="G257" s="30"/>
      <c r="H257" s="30"/>
      <c r="I257" s="30"/>
      <c r="J257" s="30"/>
      <c r="N257" s="40"/>
      <c r="O257" s="40"/>
      <c r="P257" s="40"/>
      <c r="Q257" s="40"/>
      <c r="R257" s="40"/>
      <c r="S257" s="40"/>
      <c r="T257" s="40"/>
      <c r="U257" s="30"/>
    </row>
    <row r="258" spans="1:21" ht="15.75" customHeight="1">
      <c r="A258" s="23"/>
      <c r="B258" s="30"/>
      <c r="C258" s="30"/>
      <c r="D258" s="30"/>
      <c r="E258" s="30"/>
      <c r="F258" s="30"/>
      <c r="G258" s="30"/>
      <c r="H258" s="30"/>
      <c r="I258" s="30"/>
      <c r="J258" s="30"/>
      <c r="N258" s="40"/>
      <c r="O258" s="40"/>
      <c r="P258" s="40"/>
      <c r="Q258" s="40"/>
      <c r="R258" s="40"/>
      <c r="S258" s="40"/>
      <c r="T258" s="40"/>
      <c r="U258" s="30"/>
    </row>
    <row r="259" spans="1:21" ht="15.75" customHeight="1">
      <c r="A259" s="23"/>
      <c r="B259" s="30"/>
      <c r="C259" s="30"/>
      <c r="D259" s="30"/>
      <c r="E259" s="30"/>
      <c r="F259" s="30"/>
      <c r="G259" s="30"/>
      <c r="H259" s="30"/>
      <c r="I259" s="30"/>
      <c r="J259" s="30"/>
      <c r="N259" s="40"/>
      <c r="O259" s="40"/>
      <c r="P259" s="40"/>
      <c r="Q259" s="40"/>
      <c r="R259" s="40"/>
      <c r="S259" s="40"/>
      <c r="T259" s="40"/>
      <c r="U259" s="30"/>
    </row>
    <row r="260" spans="1:21" ht="15.75" customHeight="1">
      <c r="A260" s="23"/>
      <c r="B260" s="30"/>
      <c r="C260" s="30"/>
      <c r="D260" s="30"/>
      <c r="E260" s="30"/>
      <c r="F260" s="30"/>
      <c r="G260" s="30"/>
      <c r="H260" s="30"/>
      <c r="I260" s="30"/>
      <c r="J260" s="30"/>
      <c r="N260" s="40"/>
      <c r="O260" s="40"/>
      <c r="P260" s="40"/>
      <c r="Q260" s="40"/>
      <c r="R260" s="40"/>
      <c r="S260" s="40"/>
      <c r="T260" s="40"/>
      <c r="U260" s="30"/>
    </row>
    <row r="261" spans="1:21" ht="15.75" customHeight="1">
      <c r="A261" s="23"/>
      <c r="B261" s="30"/>
      <c r="C261" s="30"/>
      <c r="D261" s="30"/>
      <c r="E261" s="30"/>
      <c r="F261" s="30"/>
      <c r="G261" s="30"/>
      <c r="H261" s="30"/>
      <c r="I261" s="30"/>
      <c r="J261" s="30"/>
      <c r="N261" s="40"/>
      <c r="O261" s="40"/>
      <c r="P261" s="40"/>
      <c r="Q261" s="40"/>
      <c r="R261" s="40"/>
      <c r="S261" s="40"/>
      <c r="T261" s="40"/>
      <c r="U261" s="30"/>
    </row>
    <row r="262" spans="1:21" ht="15.75" customHeight="1"/>
    <row r="263" spans="1:21" ht="15.75" customHeight="1"/>
    <row r="264" spans="1:21" ht="15.75" customHeight="1"/>
    <row r="265" spans="1:21" ht="15.75" customHeight="1"/>
    <row r="266" spans="1:21" ht="15.75" customHeight="1"/>
    <row r="267" spans="1:21" ht="15.75" customHeight="1"/>
    <row r="268" spans="1:21" ht="15.75" customHeight="1"/>
    <row r="269" spans="1:21" ht="15.75" customHeight="1"/>
    <row r="270" spans="1:21" ht="15.75" customHeight="1"/>
    <row r="271" spans="1:21" ht="15.75" customHeight="1"/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1000"/>
  <sheetViews>
    <sheetView workbookViewId="0"/>
  </sheetViews>
  <sheetFormatPr defaultColWidth="14.44140625" defaultRowHeight="15" customHeight="1"/>
  <cols>
    <col min="1" max="1" width="26.44140625" customWidth="1"/>
    <col min="2" max="4" width="17.44140625" customWidth="1"/>
    <col min="5" max="5" width="22.44140625" customWidth="1"/>
    <col min="6" max="6" width="35.6640625" customWidth="1"/>
    <col min="9" max="9" width="26.6640625" customWidth="1"/>
    <col min="10" max="10" width="16.109375" customWidth="1"/>
    <col min="11" max="11" width="18.88671875" customWidth="1"/>
  </cols>
  <sheetData>
    <row r="1" spans="1:25" ht="15.75" customHeight="1">
      <c r="A1" s="7" t="s">
        <v>158</v>
      </c>
      <c r="B1" s="10" t="s">
        <v>1</v>
      </c>
      <c r="C1" s="10" t="s">
        <v>159</v>
      </c>
      <c r="D1" s="10" t="s">
        <v>160</v>
      </c>
      <c r="E1" s="7"/>
      <c r="F1" s="47" t="s">
        <v>161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" t="s">
        <v>72</v>
      </c>
      <c r="B2" s="37">
        <v>0</v>
      </c>
      <c r="C2" s="48">
        <v>1.4999999999999999E-2</v>
      </c>
      <c r="D2" s="37">
        <f t="shared" ref="D2:D33" si="0">B2*C2</f>
        <v>0</v>
      </c>
      <c r="E2" s="17"/>
      <c r="F2" s="7"/>
      <c r="G2" s="7"/>
      <c r="H2" s="7"/>
      <c r="I2" s="7"/>
      <c r="J2" s="7"/>
      <c r="K2" s="1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.75" customHeight="1">
      <c r="A3" s="7" t="s">
        <v>74</v>
      </c>
      <c r="B3" s="37">
        <v>0</v>
      </c>
      <c r="C3" s="49">
        <v>1.4999999999999999E-2</v>
      </c>
      <c r="D3" s="37">
        <f t="shared" si="0"/>
        <v>0</v>
      </c>
      <c r="E3" s="17"/>
      <c r="F3" s="7"/>
      <c r="G3" s="7"/>
      <c r="H3" s="7"/>
      <c r="I3" s="7"/>
      <c r="J3" s="7"/>
      <c r="K3" s="1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7" t="s">
        <v>76</v>
      </c>
      <c r="B4" s="37">
        <v>0</v>
      </c>
      <c r="C4" s="49">
        <v>1.4999999999999999E-2</v>
      </c>
      <c r="D4" s="37">
        <f t="shared" si="0"/>
        <v>0</v>
      </c>
      <c r="E4" s="17"/>
      <c r="F4" s="50"/>
      <c r="G4" s="50"/>
      <c r="H4" s="50"/>
      <c r="I4" s="51"/>
      <c r="J4" s="50"/>
      <c r="K4" s="5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7" t="s">
        <v>78</v>
      </c>
      <c r="B5" s="37">
        <v>0</v>
      </c>
      <c r="C5" s="49">
        <v>1.4999999999999999E-2</v>
      </c>
      <c r="D5" s="37">
        <f t="shared" si="0"/>
        <v>0</v>
      </c>
      <c r="E5" s="17"/>
      <c r="F5" s="7"/>
      <c r="G5" s="10"/>
      <c r="H5" s="37"/>
      <c r="I5" s="7"/>
      <c r="J5" s="10"/>
      <c r="K5" s="3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 t="s">
        <v>80</v>
      </c>
      <c r="B6" s="37">
        <v>0</v>
      </c>
      <c r="C6" s="49">
        <v>1.4999999999999999E-2</v>
      </c>
      <c r="D6" s="37">
        <f t="shared" si="0"/>
        <v>0</v>
      </c>
      <c r="E6" s="17"/>
      <c r="F6" s="7"/>
      <c r="G6" s="10"/>
      <c r="H6" s="37"/>
      <c r="I6" s="7"/>
      <c r="J6" s="10"/>
      <c r="K6" s="3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 t="s">
        <v>82</v>
      </c>
      <c r="B7" s="37">
        <v>0</v>
      </c>
      <c r="C7" s="49">
        <v>1.4999999999999999E-2</v>
      </c>
      <c r="D7" s="37">
        <f t="shared" si="0"/>
        <v>0</v>
      </c>
      <c r="E7" s="17"/>
      <c r="F7" s="7"/>
      <c r="G7" s="10"/>
      <c r="H7" s="37"/>
      <c r="I7" s="7"/>
      <c r="J7" s="10"/>
      <c r="K7" s="3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 t="s">
        <v>83</v>
      </c>
      <c r="B8" s="37">
        <v>0</v>
      </c>
      <c r="C8" s="52">
        <v>1.4999999999999999E-2</v>
      </c>
      <c r="D8" s="37">
        <f t="shared" si="0"/>
        <v>0</v>
      </c>
      <c r="E8" s="17"/>
      <c r="F8" s="7"/>
      <c r="G8" s="10"/>
      <c r="H8" s="37"/>
      <c r="I8" s="7"/>
      <c r="J8" s="10"/>
      <c r="K8" s="3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 t="s">
        <v>84</v>
      </c>
      <c r="B9" s="37">
        <v>67046300</v>
      </c>
      <c r="C9" s="48">
        <v>0.04</v>
      </c>
      <c r="D9" s="37">
        <f t="shared" si="0"/>
        <v>2681852</v>
      </c>
      <c r="E9" s="53"/>
      <c r="F9" s="54"/>
      <c r="G9" s="54"/>
      <c r="H9" s="5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 t="s">
        <v>85</v>
      </c>
      <c r="B10" s="37">
        <v>0</v>
      </c>
      <c r="C10" s="52">
        <v>1.4999999999999999E-2</v>
      </c>
      <c r="D10" s="37">
        <f t="shared" si="0"/>
        <v>0</v>
      </c>
      <c r="E10" s="28"/>
      <c r="F10" s="55"/>
      <c r="G10" s="55"/>
      <c r="H10" s="5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 t="s">
        <v>86</v>
      </c>
      <c r="B11" s="37">
        <v>8501100</v>
      </c>
      <c r="C11" s="48">
        <v>0.04</v>
      </c>
      <c r="D11" s="37">
        <f t="shared" si="0"/>
        <v>340044</v>
      </c>
      <c r="E11" s="28"/>
      <c r="F11" s="55"/>
      <c r="G11" s="55"/>
      <c r="H11" s="55"/>
      <c r="I11" s="51"/>
      <c r="J11" s="50"/>
      <c r="K11" s="5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 t="s">
        <v>87</v>
      </c>
      <c r="B12" s="37">
        <v>9377800</v>
      </c>
      <c r="C12" s="48">
        <v>0.04</v>
      </c>
      <c r="D12" s="37">
        <f t="shared" si="0"/>
        <v>375112</v>
      </c>
      <c r="E12" s="28"/>
      <c r="F12" s="55"/>
      <c r="G12" s="55"/>
      <c r="H12" s="55"/>
      <c r="I12" s="7"/>
      <c r="J12" s="10"/>
      <c r="K12" s="3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 t="s">
        <v>88</v>
      </c>
      <c r="B13" s="37">
        <v>0</v>
      </c>
      <c r="C13" s="10">
        <v>1.4999999999999999E-2</v>
      </c>
      <c r="D13" s="37">
        <f t="shared" si="0"/>
        <v>0</v>
      </c>
      <c r="E13" s="28"/>
      <c r="F13" s="55"/>
      <c r="G13" s="55"/>
      <c r="H13" s="55"/>
      <c r="I13" s="7"/>
      <c r="J13" s="10"/>
      <c r="K13" s="3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 t="s">
        <v>89</v>
      </c>
      <c r="B14" s="37">
        <v>92439700</v>
      </c>
      <c r="C14" s="48">
        <v>0.04</v>
      </c>
      <c r="D14" s="37">
        <f t="shared" si="0"/>
        <v>3697588</v>
      </c>
      <c r="E14" s="28"/>
      <c r="F14" s="55"/>
      <c r="G14" s="55"/>
      <c r="H14" s="55"/>
      <c r="I14" s="7"/>
      <c r="J14" s="10"/>
      <c r="K14" s="3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 t="s">
        <v>90</v>
      </c>
      <c r="B15" s="37">
        <v>58824400</v>
      </c>
      <c r="C15" s="48">
        <v>0.04</v>
      </c>
      <c r="D15" s="37">
        <f t="shared" si="0"/>
        <v>2352976</v>
      </c>
      <c r="E15" s="7"/>
      <c r="F15" s="7"/>
      <c r="G15" s="7"/>
      <c r="H15" s="7"/>
      <c r="I15" s="7"/>
      <c r="J15" s="10"/>
      <c r="K15" s="3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>
      <c r="A16" s="7" t="s">
        <v>91</v>
      </c>
      <c r="B16" s="37">
        <v>0</v>
      </c>
      <c r="C16" s="10">
        <v>1.4999999999999999E-2</v>
      </c>
      <c r="D16" s="37">
        <f t="shared" si="0"/>
        <v>0</v>
      </c>
      <c r="E16" s="7"/>
      <c r="F16" s="7"/>
      <c r="G16" s="7"/>
      <c r="H16" s="7"/>
      <c r="I16" s="7"/>
      <c r="J16" s="10"/>
      <c r="K16" s="3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7" t="s">
        <v>78</v>
      </c>
      <c r="B17" s="37">
        <v>0</v>
      </c>
      <c r="C17" s="10">
        <v>1.4999999999999999E-2</v>
      </c>
      <c r="D17" s="37">
        <f t="shared" si="0"/>
        <v>0</v>
      </c>
      <c r="E17" s="7"/>
      <c r="F17" s="7"/>
      <c r="G17" s="7"/>
      <c r="H17" s="7"/>
      <c r="I17" s="7"/>
      <c r="J17" s="10"/>
      <c r="K17" s="3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7" t="s">
        <v>92</v>
      </c>
      <c r="B18" s="37">
        <v>0</v>
      </c>
      <c r="C18" s="10">
        <v>1.4999999999999999E-2</v>
      </c>
      <c r="D18" s="37">
        <f t="shared" si="0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 t="s">
        <v>93</v>
      </c>
      <c r="B19" s="37">
        <v>0</v>
      </c>
      <c r="C19" s="10">
        <v>1.4999999999999999E-2</v>
      </c>
      <c r="D19" s="37">
        <f t="shared" si="0"/>
        <v>0</v>
      </c>
      <c r="E19" s="7"/>
      <c r="F19" s="7"/>
      <c r="G19" s="7"/>
      <c r="H19" s="7"/>
      <c r="I19" s="7"/>
      <c r="J19" s="10"/>
      <c r="K19" s="1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 t="s">
        <v>94</v>
      </c>
      <c r="B20" s="37">
        <v>0</v>
      </c>
      <c r="C20" s="10">
        <v>1.4999999999999999E-2</v>
      </c>
      <c r="D20" s="37">
        <f t="shared" si="0"/>
        <v>0</v>
      </c>
      <c r="E20" s="7"/>
      <c r="F20" s="7"/>
      <c r="G20" s="7"/>
      <c r="H20" s="7"/>
      <c r="I20" s="7"/>
      <c r="J20" s="10"/>
      <c r="K20" s="1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 t="s">
        <v>85</v>
      </c>
      <c r="B21" s="37">
        <v>0</v>
      </c>
      <c r="C21" s="10">
        <v>1.4999999999999999E-2</v>
      </c>
      <c r="D21" s="37">
        <f t="shared" si="0"/>
        <v>0</v>
      </c>
      <c r="E21" s="7"/>
      <c r="F21" s="7"/>
      <c r="G21" s="7"/>
      <c r="H21" s="7"/>
      <c r="I21" s="7"/>
      <c r="J21" s="10"/>
      <c r="K21" s="1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7" t="s">
        <v>96</v>
      </c>
      <c r="B22" s="37">
        <v>0</v>
      </c>
      <c r="C22" s="10">
        <v>1.4999999999999999E-2</v>
      </c>
      <c r="D22" s="37">
        <f t="shared" si="0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7" t="s">
        <v>97</v>
      </c>
      <c r="B23" s="37">
        <v>0</v>
      </c>
      <c r="C23" s="10">
        <v>1.4999999999999999E-2</v>
      </c>
      <c r="D23" s="37">
        <f t="shared" si="0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7" t="s">
        <v>98</v>
      </c>
      <c r="B24" s="37">
        <v>0</v>
      </c>
      <c r="C24" s="10">
        <v>1.4999999999999999E-2</v>
      </c>
      <c r="D24" s="37">
        <f t="shared" si="0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7" t="s">
        <v>88</v>
      </c>
      <c r="B25" s="37">
        <v>0</v>
      </c>
      <c r="C25" s="10">
        <v>1.4999999999999999E-2</v>
      </c>
      <c r="D25" s="37">
        <f t="shared" si="0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7" t="s">
        <v>100</v>
      </c>
      <c r="B26" s="37">
        <v>0</v>
      </c>
      <c r="C26" s="10">
        <v>1.4999999999999999E-2</v>
      </c>
      <c r="D26" s="37">
        <f t="shared" si="0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7" t="s">
        <v>92</v>
      </c>
      <c r="B27" s="37">
        <v>0</v>
      </c>
      <c r="C27" s="10">
        <v>1.4999999999999999E-2</v>
      </c>
      <c r="D27" s="37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7" t="s">
        <v>101</v>
      </c>
      <c r="B28" s="37">
        <v>0</v>
      </c>
      <c r="C28" s="10">
        <v>1.4999999999999999E-2</v>
      </c>
      <c r="D28" s="37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7" t="s">
        <v>103</v>
      </c>
      <c r="B29" s="37">
        <v>0</v>
      </c>
      <c r="C29" s="10">
        <v>1.4999999999999999E-2</v>
      </c>
      <c r="D29" s="37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7" t="s">
        <v>104</v>
      </c>
      <c r="B30" s="37">
        <v>0</v>
      </c>
      <c r="C30" s="10">
        <v>1.4999999999999999E-2</v>
      </c>
      <c r="D30" s="37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7" t="s">
        <v>105</v>
      </c>
      <c r="B31" s="37">
        <v>0</v>
      </c>
      <c r="C31" s="10">
        <v>1.4999999999999999E-2</v>
      </c>
      <c r="D31" s="37">
        <f t="shared" si="0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7" t="s">
        <v>106</v>
      </c>
      <c r="B32" s="37">
        <v>0</v>
      </c>
      <c r="C32" s="10">
        <v>1.4999999999999999E-2</v>
      </c>
      <c r="D32" s="37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7" t="s">
        <v>107</v>
      </c>
      <c r="B33" s="37">
        <v>0</v>
      </c>
      <c r="C33" s="10">
        <v>1.4999999999999999E-2</v>
      </c>
      <c r="D33" s="37">
        <f t="shared" si="0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7" t="s">
        <v>108</v>
      </c>
      <c r="B34" s="37">
        <v>0</v>
      </c>
      <c r="C34" s="10">
        <v>1.4999999999999999E-2</v>
      </c>
      <c r="D34" s="37">
        <f t="shared" ref="D34:D65" si="1">B34*C34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7" t="s">
        <v>109</v>
      </c>
      <c r="B35" s="37">
        <v>0</v>
      </c>
      <c r="C35" s="10">
        <v>1.4999999999999999E-2</v>
      </c>
      <c r="D35" s="3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7" t="s">
        <v>110</v>
      </c>
      <c r="B36" s="37">
        <v>0</v>
      </c>
      <c r="C36" s="10">
        <v>1.4999999999999999E-2</v>
      </c>
      <c r="D36" s="3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7" t="s">
        <v>111</v>
      </c>
      <c r="B37" s="37">
        <v>0</v>
      </c>
      <c r="C37" s="10">
        <v>1.4999999999999999E-2</v>
      </c>
      <c r="D37" s="3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7" t="s">
        <v>112</v>
      </c>
      <c r="B38" s="37">
        <v>0</v>
      </c>
      <c r="C38" s="10">
        <v>1.4999999999999999E-2</v>
      </c>
      <c r="D38" s="3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7" t="s">
        <v>88</v>
      </c>
      <c r="B39" s="37">
        <v>0</v>
      </c>
      <c r="C39" s="10">
        <v>1.4999999999999999E-2</v>
      </c>
      <c r="D39" s="3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7" t="s">
        <v>113</v>
      </c>
      <c r="B40" s="37">
        <v>0</v>
      </c>
      <c r="C40" s="10">
        <v>1.4999999999999999E-2</v>
      </c>
      <c r="D40" s="3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7" t="s">
        <v>92</v>
      </c>
      <c r="B41" s="37">
        <v>0</v>
      </c>
      <c r="C41" s="10">
        <v>1.4999999999999999E-2</v>
      </c>
      <c r="D41" s="3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7" t="s">
        <v>114</v>
      </c>
      <c r="B42" s="37">
        <v>0</v>
      </c>
      <c r="C42" s="10">
        <v>1.4999999999999999E-2</v>
      </c>
      <c r="D42" s="3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7" t="s">
        <v>115</v>
      </c>
      <c r="B43" s="37">
        <v>0</v>
      </c>
      <c r="C43" s="10">
        <v>1.4999999999999999E-2</v>
      </c>
      <c r="D43" s="3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7" t="s">
        <v>116</v>
      </c>
      <c r="B44" s="37">
        <v>0</v>
      </c>
      <c r="C44" s="10">
        <v>1.4999999999999999E-2</v>
      </c>
      <c r="D44" s="3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7" t="s">
        <v>117</v>
      </c>
      <c r="B45" s="37">
        <v>0</v>
      </c>
      <c r="C45" s="10">
        <v>1.4999999999999999E-2</v>
      </c>
      <c r="D45" s="3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7" t="s">
        <v>118</v>
      </c>
      <c r="B46" s="37">
        <v>0</v>
      </c>
      <c r="C46" s="10">
        <v>1.4999999999999999E-2</v>
      </c>
      <c r="D46" s="3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7" t="s">
        <v>119</v>
      </c>
      <c r="B47" s="37">
        <v>0</v>
      </c>
      <c r="C47" s="10">
        <v>1.4999999999999999E-2</v>
      </c>
      <c r="D47" s="3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7" t="s">
        <v>109</v>
      </c>
      <c r="B48" s="37">
        <v>0</v>
      </c>
      <c r="C48" s="10">
        <v>1.4999999999999999E-2</v>
      </c>
      <c r="D48" s="3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7" t="s">
        <v>120</v>
      </c>
      <c r="B49" s="37">
        <v>0</v>
      </c>
      <c r="C49" s="10">
        <v>1.4999999999999999E-2</v>
      </c>
      <c r="D49" s="3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7" t="s">
        <v>121</v>
      </c>
      <c r="B50" s="37">
        <v>0</v>
      </c>
      <c r="C50" s="10">
        <v>1.4999999999999999E-2</v>
      </c>
      <c r="D50" s="3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7" t="s">
        <v>107</v>
      </c>
      <c r="B51" s="37">
        <v>0</v>
      </c>
      <c r="C51" s="10">
        <v>1.4999999999999999E-2</v>
      </c>
      <c r="D51" s="3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7" t="s">
        <v>92</v>
      </c>
      <c r="B52" s="37">
        <v>0</v>
      </c>
      <c r="C52" s="10">
        <v>1.4999999999999999E-2</v>
      </c>
      <c r="D52" s="3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7" t="s">
        <v>122</v>
      </c>
      <c r="B53" s="37">
        <v>0</v>
      </c>
      <c r="C53" s="10">
        <v>1.4999999999999999E-2</v>
      </c>
      <c r="D53" s="3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7" t="s">
        <v>72</v>
      </c>
      <c r="B54" s="37">
        <v>0</v>
      </c>
      <c r="C54" s="10">
        <v>1.4999999999999999E-2</v>
      </c>
      <c r="D54" s="3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7" t="s">
        <v>74</v>
      </c>
      <c r="B55" s="37">
        <v>0</v>
      </c>
      <c r="C55" s="10">
        <v>1.4999999999999999E-2</v>
      </c>
      <c r="D55" s="3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7" t="s">
        <v>123</v>
      </c>
      <c r="B56" s="37">
        <v>0</v>
      </c>
      <c r="C56" s="10">
        <v>1.4999999999999999E-2</v>
      </c>
      <c r="D56" s="3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7" t="s">
        <v>124</v>
      </c>
      <c r="B57" s="37">
        <v>0</v>
      </c>
      <c r="C57" s="10">
        <v>1.4999999999999999E-2</v>
      </c>
      <c r="D57" s="3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7" t="s">
        <v>88</v>
      </c>
      <c r="B58" s="37">
        <v>0</v>
      </c>
      <c r="C58" s="10">
        <v>1.4999999999999999E-2</v>
      </c>
      <c r="D58" s="3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7" t="s">
        <v>100</v>
      </c>
      <c r="B59" s="37">
        <v>0</v>
      </c>
      <c r="C59" s="10">
        <v>1.4999999999999999E-2</v>
      </c>
      <c r="D59" s="3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7" t="s">
        <v>82</v>
      </c>
      <c r="B60" s="37">
        <v>0</v>
      </c>
      <c r="C60" s="10">
        <v>1.4999999999999999E-2</v>
      </c>
      <c r="D60" s="3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7" t="s">
        <v>125</v>
      </c>
      <c r="B61" s="37">
        <v>0</v>
      </c>
      <c r="C61" s="10">
        <v>1.4999999999999999E-2</v>
      </c>
      <c r="D61" s="3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7" t="s">
        <v>126</v>
      </c>
      <c r="B62" s="37">
        <v>0</v>
      </c>
      <c r="C62" s="10">
        <v>1.4999999999999999E-2</v>
      </c>
      <c r="D62" s="3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7" t="s">
        <v>127</v>
      </c>
      <c r="B63" s="37">
        <v>0</v>
      </c>
      <c r="C63" s="10">
        <v>1.4999999999999999E-2</v>
      </c>
      <c r="D63" s="3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7" t="s">
        <v>128</v>
      </c>
      <c r="B64" s="37">
        <v>0</v>
      </c>
      <c r="C64" s="10">
        <v>1.4999999999999999E-2</v>
      </c>
      <c r="D64" s="3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7" t="s">
        <v>129</v>
      </c>
      <c r="B65" s="37">
        <v>0</v>
      </c>
      <c r="C65" s="10">
        <v>1.4999999999999999E-2</v>
      </c>
      <c r="D65" s="3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7" t="s">
        <v>130</v>
      </c>
      <c r="B66" s="37">
        <v>0</v>
      </c>
      <c r="C66" s="10">
        <v>1.4999999999999999E-2</v>
      </c>
      <c r="D66" s="37">
        <f t="shared" ref="D66:D97" si="2">B66*C66</f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7" t="s">
        <v>131</v>
      </c>
      <c r="B67" s="37">
        <v>0</v>
      </c>
      <c r="C67" s="10">
        <v>1.4999999999999999E-2</v>
      </c>
      <c r="D67" s="37">
        <f t="shared" si="2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7" t="s">
        <v>132</v>
      </c>
      <c r="B68" s="37">
        <v>0</v>
      </c>
      <c r="C68" s="10">
        <v>1.4999999999999999E-2</v>
      </c>
      <c r="D68" s="37">
        <f t="shared" si="2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7" t="s">
        <v>133</v>
      </c>
      <c r="B69" s="37">
        <v>0</v>
      </c>
      <c r="C69" s="10">
        <v>1.4999999999999999E-2</v>
      </c>
      <c r="D69" s="37">
        <f t="shared" si="2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7" t="s">
        <v>134</v>
      </c>
      <c r="B70" s="37">
        <v>19489000</v>
      </c>
      <c r="C70" s="48">
        <v>1.4999999999999999E-2</v>
      </c>
      <c r="D70" s="37">
        <f t="shared" si="2"/>
        <v>292335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7" t="s">
        <v>135</v>
      </c>
      <c r="B71" s="37">
        <v>0</v>
      </c>
      <c r="C71" s="10">
        <v>1.4999999999999999E-2</v>
      </c>
      <c r="D71" s="37">
        <f t="shared" si="2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7"/>
      <c r="B72" s="10"/>
      <c r="C72" s="10"/>
      <c r="D72" s="1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7"/>
      <c r="B73" s="10"/>
      <c r="C73" s="10"/>
      <c r="D73" s="1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7"/>
      <c r="B74" s="10"/>
      <c r="C74" s="10"/>
      <c r="D74" s="1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7"/>
      <c r="B75" s="10"/>
      <c r="C75" s="10"/>
      <c r="D75" s="1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7"/>
      <c r="B76" s="10"/>
      <c r="C76" s="10"/>
      <c r="D76" s="1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7"/>
      <c r="B77" s="10"/>
      <c r="C77" s="10"/>
      <c r="D77" s="1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7"/>
      <c r="B78" s="10"/>
      <c r="C78" s="10"/>
      <c r="D78" s="1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7"/>
      <c r="B79" s="10"/>
      <c r="C79" s="10"/>
      <c r="D79" s="1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7"/>
      <c r="B80" s="10"/>
      <c r="C80" s="10"/>
      <c r="D80" s="1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7"/>
      <c r="B81" s="10"/>
      <c r="C81" s="10"/>
      <c r="D81" s="1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7"/>
      <c r="B82" s="10"/>
      <c r="C82" s="10"/>
      <c r="D82" s="1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7"/>
      <c r="B83" s="10"/>
      <c r="C83" s="10"/>
      <c r="D83" s="1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7"/>
      <c r="B84" s="10"/>
      <c r="C84" s="10"/>
      <c r="D84" s="1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7"/>
      <c r="B85" s="10"/>
      <c r="C85" s="10"/>
      <c r="D85" s="1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7"/>
      <c r="B86" s="10"/>
      <c r="C86" s="10"/>
      <c r="D86" s="1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7"/>
      <c r="B87" s="10"/>
      <c r="C87" s="10"/>
      <c r="D87" s="1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7"/>
      <c r="B88" s="10"/>
      <c r="C88" s="10"/>
      <c r="D88" s="1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7"/>
      <c r="B89" s="10"/>
      <c r="C89" s="10"/>
      <c r="D89" s="1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7"/>
      <c r="B90" s="10"/>
      <c r="C90" s="10"/>
      <c r="D90" s="1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7"/>
      <c r="B91" s="10"/>
      <c r="C91" s="10"/>
      <c r="D91" s="1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7"/>
      <c r="B92" s="10"/>
      <c r="C92" s="10"/>
      <c r="D92" s="1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7"/>
      <c r="B93" s="10"/>
      <c r="C93" s="10"/>
      <c r="D93" s="1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7"/>
      <c r="B94" s="10"/>
      <c r="C94" s="10"/>
      <c r="D94" s="1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7"/>
      <c r="B95" s="10"/>
      <c r="C95" s="10"/>
      <c r="D95" s="1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7"/>
      <c r="B96" s="10"/>
      <c r="C96" s="10"/>
      <c r="D96" s="1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7"/>
      <c r="B97" s="10"/>
      <c r="C97" s="10"/>
      <c r="D97" s="1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7"/>
      <c r="B98" s="10"/>
      <c r="C98" s="10"/>
      <c r="D98" s="1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7"/>
      <c r="B99" s="10"/>
      <c r="C99" s="10"/>
      <c r="D99" s="1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7"/>
      <c r="B100" s="10"/>
      <c r="C100" s="10"/>
      <c r="D100" s="1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7"/>
      <c r="B101" s="10"/>
      <c r="C101" s="10"/>
      <c r="D101" s="1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7"/>
      <c r="B102" s="10"/>
      <c r="C102" s="10"/>
      <c r="D102" s="1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7"/>
      <c r="B103" s="10"/>
      <c r="C103" s="10"/>
      <c r="D103" s="1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7"/>
      <c r="B104" s="10"/>
      <c r="C104" s="10"/>
      <c r="D104" s="1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7"/>
      <c r="B105" s="10"/>
      <c r="C105" s="10"/>
      <c r="D105" s="1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7"/>
      <c r="B106" s="10"/>
      <c r="C106" s="10"/>
      <c r="D106" s="1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7"/>
      <c r="B107" s="10"/>
      <c r="C107" s="10"/>
      <c r="D107" s="1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7"/>
      <c r="B108" s="10"/>
      <c r="C108" s="10"/>
      <c r="D108" s="1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7"/>
      <c r="B109" s="10"/>
      <c r="C109" s="10"/>
      <c r="D109" s="1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7"/>
      <c r="B110" s="10"/>
      <c r="C110" s="10"/>
      <c r="D110" s="1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7"/>
      <c r="B111" s="10"/>
      <c r="C111" s="10"/>
      <c r="D111" s="1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7"/>
      <c r="B112" s="10"/>
      <c r="C112" s="10"/>
      <c r="D112" s="1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7"/>
      <c r="B113" s="10"/>
      <c r="C113" s="10"/>
      <c r="D113" s="1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7"/>
      <c r="B114" s="10"/>
      <c r="C114" s="10"/>
      <c r="D114" s="1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7"/>
      <c r="B115" s="10"/>
      <c r="C115" s="10"/>
      <c r="D115" s="1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7"/>
      <c r="B116" s="10"/>
      <c r="C116" s="10"/>
      <c r="D116" s="1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7"/>
      <c r="B117" s="10"/>
      <c r="C117" s="10"/>
      <c r="D117" s="1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7"/>
      <c r="B118" s="10"/>
      <c r="C118" s="10"/>
      <c r="D118" s="1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7"/>
      <c r="B119" s="10"/>
      <c r="C119" s="10"/>
      <c r="D119" s="1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7"/>
      <c r="B120" s="10"/>
      <c r="C120" s="10"/>
      <c r="D120" s="1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7"/>
      <c r="B121" s="10"/>
      <c r="C121" s="10"/>
      <c r="D121" s="1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7"/>
      <c r="B122" s="10"/>
      <c r="C122" s="10"/>
      <c r="D122" s="1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7"/>
      <c r="B123" s="10"/>
      <c r="C123" s="10"/>
      <c r="D123" s="1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7"/>
      <c r="B124" s="10"/>
      <c r="C124" s="10"/>
      <c r="D124" s="1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7"/>
      <c r="B125" s="10"/>
      <c r="C125" s="10"/>
      <c r="D125" s="1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7"/>
      <c r="B126" s="10"/>
      <c r="C126" s="10"/>
      <c r="D126" s="1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7"/>
      <c r="B127" s="10"/>
      <c r="C127" s="10"/>
      <c r="D127" s="1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7"/>
      <c r="B128" s="10"/>
      <c r="C128" s="10"/>
      <c r="D128" s="1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7"/>
      <c r="B129" s="10"/>
      <c r="C129" s="10"/>
      <c r="D129" s="1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7"/>
      <c r="B130" s="10"/>
      <c r="C130" s="10"/>
      <c r="D130" s="1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7"/>
      <c r="B131" s="10"/>
      <c r="C131" s="10"/>
      <c r="D131" s="1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7"/>
      <c r="B132" s="10"/>
      <c r="C132" s="10"/>
      <c r="D132" s="1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7"/>
      <c r="B133" s="10"/>
      <c r="C133" s="10"/>
      <c r="D133" s="1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7"/>
      <c r="B134" s="10"/>
      <c r="C134" s="10"/>
      <c r="D134" s="1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7"/>
      <c r="B135" s="10"/>
      <c r="C135" s="10"/>
      <c r="D135" s="1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7"/>
      <c r="B136" s="10"/>
      <c r="C136" s="10"/>
      <c r="D136" s="1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7"/>
      <c r="B137" s="10"/>
      <c r="C137" s="10"/>
      <c r="D137" s="1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7"/>
      <c r="B138" s="10"/>
      <c r="C138" s="10"/>
      <c r="D138" s="1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7"/>
      <c r="B139" s="10"/>
      <c r="C139" s="10"/>
      <c r="D139" s="1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7"/>
      <c r="B140" s="10"/>
      <c r="C140" s="10"/>
      <c r="D140" s="1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7"/>
      <c r="B141" s="10"/>
      <c r="C141" s="10"/>
      <c r="D141" s="1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7"/>
      <c r="B142" s="10"/>
      <c r="C142" s="10"/>
      <c r="D142" s="1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7"/>
      <c r="B143" s="10"/>
      <c r="C143" s="10"/>
      <c r="D143" s="1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7"/>
      <c r="B144" s="10"/>
      <c r="C144" s="10"/>
      <c r="D144" s="1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7"/>
      <c r="B145" s="10"/>
      <c r="C145" s="10"/>
      <c r="D145" s="1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7"/>
      <c r="B146" s="10"/>
      <c r="C146" s="10"/>
      <c r="D146" s="1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7"/>
      <c r="B147" s="10"/>
      <c r="C147" s="10"/>
      <c r="D147" s="1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7"/>
      <c r="B148" s="10"/>
      <c r="C148" s="10"/>
      <c r="D148" s="1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7"/>
      <c r="B149" s="10"/>
      <c r="C149" s="10"/>
      <c r="D149" s="1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7"/>
      <c r="B150" s="10"/>
      <c r="C150" s="10"/>
      <c r="D150" s="1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7"/>
      <c r="B151" s="10"/>
      <c r="C151" s="10"/>
      <c r="D151" s="1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7"/>
      <c r="B152" s="10"/>
      <c r="C152" s="10"/>
      <c r="D152" s="1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7"/>
      <c r="B153" s="10"/>
      <c r="C153" s="10"/>
      <c r="D153" s="1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7"/>
      <c r="B154" s="10"/>
      <c r="C154" s="10"/>
      <c r="D154" s="1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7"/>
      <c r="B155" s="10"/>
      <c r="C155" s="10"/>
      <c r="D155" s="1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7"/>
      <c r="B156" s="10"/>
      <c r="C156" s="10"/>
      <c r="D156" s="1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7"/>
      <c r="B157" s="10"/>
      <c r="C157" s="10"/>
      <c r="D157" s="1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7"/>
      <c r="B158" s="10"/>
      <c r="C158" s="10"/>
      <c r="D158" s="1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7"/>
      <c r="B159" s="10"/>
      <c r="C159" s="10"/>
      <c r="D159" s="1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7"/>
      <c r="B160" s="10"/>
      <c r="C160" s="10"/>
      <c r="D160" s="1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7"/>
      <c r="B161" s="10"/>
      <c r="C161" s="10"/>
      <c r="D161" s="1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7"/>
      <c r="B162" s="10"/>
      <c r="C162" s="10"/>
      <c r="D162" s="1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7"/>
      <c r="B163" s="10"/>
      <c r="C163" s="10"/>
      <c r="D163" s="1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7"/>
      <c r="B164" s="10"/>
      <c r="C164" s="10"/>
      <c r="D164" s="1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7"/>
      <c r="B165" s="10"/>
      <c r="C165" s="10"/>
      <c r="D165" s="1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7"/>
      <c r="B166" s="10"/>
      <c r="C166" s="10"/>
      <c r="D166" s="1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7"/>
      <c r="B167" s="10"/>
      <c r="C167" s="10"/>
      <c r="D167" s="1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7"/>
      <c r="B168" s="10"/>
      <c r="C168" s="10"/>
      <c r="D168" s="1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7"/>
      <c r="B169" s="10"/>
      <c r="C169" s="10"/>
      <c r="D169" s="1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7"/>
      <c r="B170" s="10"/>
      <c r="C170" s="10"/>
      <c r="D170" s="1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7"/>
      <c r="B171" s="10"/>
      <c r="C171" s="10"/>
      <c r="D171" s="1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10"/>
      <c r="C172" s="10"/>
      <c r="D172" s="1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10"/>
      <c r="C173" s="10"/>
      <c r="D173" s="1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10"/>
      <c r="C174" s="10"/>
      <c r="D174" s="1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10"/>
      <c r="C175" s="10"/>
      <c r="D175" s="1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10"/>
      <c r="C176" s="10"/>
      <c r="D176" s="1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10"/>
      <c r="C177" s="10"/>
      <c r="D177" s="1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10"/>
      <c r="C178" s="10"/>
      <c r="D178" s="1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10"/>
      <c r="C179" s="10"/>
      <c r="D179" s="1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10"/>
      <c r="C180" s="10"/>
      <c r="D180" s="1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10"/>
      <c r="C181" s="10"/>
      <c r="D181" s="1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10"/>
      <c r="C182" s="10"/>
      <c r="D182" s="1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10"/>
      <c r="C183" s="10"/>
      <c r="D183" s="1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10"/>
      <c r="C184" s="10"/>
      <c r="D184" s="1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10"/>
      <c r="C185" s="10"/>
      <c r="D185" s="1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10"/>
      <c r="C186" s="10"/>
      <c r="D186" s="1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10"/>
      <c r="C187" s="10"/>
      <c r="D187" s="1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10"/>
      <c r="C188" s="10"/>
      <c r="D188" s="1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10"/>
      <c r="C189" s="10"/>
      <c r="D189" s="1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10"/>
      <c r="C190" s="10"/>
      <c r="D190" s="1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10"/>
      <c r="C191" s="10"/>
      <c r="D191" s="1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10"/>
      <c r="C192" s="10"/>
      <c r="D192" s="1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10"/>
      <c r="C193" s="10"/>
      <c r="D193" s="1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10"/>
      <c r="C194" s="10"/>
      <c r="D194" s="1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10"/>
      <c r="C195" s="10"/>
      <c r="D195" s="1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10"/>
      <c r="C196" s="10"/>
      <c r="D196" s="1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10"/>
      <c r="C197" s="10"/>
      <c r="D197" s="1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10"/>
      <c r="C198" s="10"/>
      <c r="D198" s="1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10"/>
      <c r="C199" s="10"/>
      <c r="D199" s="1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10"/>
      <c r="C200" s="10"/>
      <c r="D200" s="1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10"/>
      <c r="C201" s="10"/>
      <c r="D201" s="1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10"/>
      <c r="C202" s="10"/>
      <c r="D202" s="1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10"/>
      <c r="C203" s="10"/>
      <c r="D203" s="1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10"/>
      <c r="C204" s="10"/>
      <c r="D204" s="1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10"/>
      <c r="C205" s="10"/>
      <c r="D205" s="1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10"/>
      <c r="C206" s="10"/>
      <c r="D206" s="1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10"/>
      <c r="C207" s="10"/>
      <c r="D207" s="1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10"/>
      <c r="C208" s="10"/>
      <c r="D208" s="1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10"/>
      <c r="C209" s="10"/>
      <c r="D209" s="1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10"/>
      <c r="C210" s="10"/>
      <c r="D210" s="1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10"/>
      <c r="C211" s="10"/>
      <c r="D211" s="1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10"/>
      <c r="C212" s="10"/>
      <c r="D212" s="1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10"/>
      <c r="C213" s="10"/>
      <c r="D213" s="1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10"/>
      <c r="C214" s="10"/>
      <c r="D214" s="1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10"/>
      <c r="C215" s="10"/>
      <c r="D215" s="1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10"/>
      <c r="C216" s="10"/>
      <c r="D216" s="1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10"/>
      <c r="C217" s="10"/>
      <c r="D217" s="1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10"/>
      <c r="C218" s="10"/>
      <c r="D218" s="1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10"/>
      <c r="C219" s="10"/>
      <c r="D219" s="1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10"/>
      <c r="C220" s="10"/>
      <c r="D220" s="1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10"/>
      <c r="C221" s="10"/>
      <c r="D221" s="1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10"/>
      <c r="C222" s="10"/>
      <c r="D222" s="1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10"/>
      <c r="C223" s="10"/>
      <c r="D223" s="1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10"/>
      <c r="C224" s="10"/>
      <c r="D224" s="1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10"/>
      <c r="C225" s="10"/>
      <c r="D225" s="1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10"/>
      <c r="C226" s="10"/>
      <c r="D226" s="1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10"/>
      <c r="C227" s="10"/>
      <c r="D227" s="1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10"/>
      <c r="C228" s="10"/>
      <c r="D228" s="1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10"/>
      <c r="C229" s="10"/>
      <c r="D229" s="1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10"/>
      <c r="C230" s="10"/>
      <c r="D230" s="1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10"/>
      <c r="C231" s="10"/>
      <c r="D231" s="1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10"/>
      <c r="C232" s="10"/>
      <c r="D232" s="1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10"/>
      <c r="C233" s="10"/>
      <c r="D233" s="1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10"/>
      <c r="C234" s="10"/>
      <c r="D234" s="1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10"/>
      <c r="C235" s="10"/>
      <c r="D235" s="1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10"/>
      <c r="C236" s="10"/>
      <c r="D236" s="1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10"/>
      <c r="C237" s="10"/>
      <c r="D237" s="1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10"/>
      <c r="C238" s="10"/>
      <c r="D238" s="1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10"/>
      <c r="C239" s="10"/>
      <c r="D239" s="1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10"/>
      <c r="C240" s="10"/>
      <c r="D240" s="1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10"/>
      <c r="C241" s="10"/>
      <c r="D241" s="1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10"/>
      <c r="C242" s="10"/>
      <c r="D242" s="1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10"/>
      <c r="C243" s="10"/>
      <c r="D243" s="1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10"/>
      <c r="C244" s="10"/>
      <c r="D244" s="1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10"/>
      <c r="C245" s="10"/>
      <c r="D245" s="1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10"/>
      <c r="C246" s="10"/>
      <c r="D246" s="1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10"/>
      <c r="C247" s="10"/>
      <c r="D247" s="1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10"/>
      <c r="C248" s="10"/>
      <c r="D248" s="1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10"/>
      <c r="C249" s="10"/>
      <c r="D249" s="1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10"/>
      <c r="C250" s="10"/>
      <c r="D250" s="1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10"/>
      <c r="C251" s="10"/>
      <c r="D251" s="1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10"/>
      <c r="C252" s="10"/>
      <c r="D252" s="1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10"/>
      <c r="C253" s="10"/>
      <c r="D253" s="1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10"/>
      <c r="C254" s="10"/>
      <c r="D254" s="1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10"/>
      <c r="C255" s="10"/>
      <c r="D255" s="1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10"/>
      <c r="C256" s="10"/>
      <c r="D256" s="1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10"/>
      <c r="C257" s="10"/>
      <c r="D257" s="1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10"/>
      <c r="C258" s="10"/>
      <c r="D258" s="1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10"/>
      <c r="C259" s="10"/>
      <c r="D259" s="1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10"/>
      <c r="C260" s="10"/>
      <c r="D260" s="1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10"/>
      <c r="C261" s="10"/>
      <c r="D261" s="1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10"/>
      <c r="C262" s="10"/>
      <c r="D262" s="1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10"/>
      <c r="C263" s="10"/>
      <c r="D263" s="1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10"/>
      <c r="C264" s="10"/>
      <c r="D264" s="1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10"/>
      <c r="C265" s="10"/>
      <c r="D265" s="1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10"/>
      <c r="C266" s="10"/>
      <c r="D266" s="1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10"/>
      <c r="C267" s="10"/>
      <c r="D267" s="1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10"/>
      <c r="C268" s="10"/>
      <c r="D268" s="1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10"/>
      <c r="C269" s="10"/>
      <c r="D269" s="1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10"/>
      <c r="C270" s="10"/>
      <c r="D270" s="1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10"/>
      <c r="C271" s="10"/>
      <c r="D271" s="1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1" r:id="rId1" xr:uid="{00000000-0004-0000-0400-000000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0.109375" customWidth="1"/>
    <col min="3" max="3" width="21.6640625" customWidth="1"/>
    <col min="4" max="7" width="11" customWidth="1"/>
    <col min="8" max="8" width="25.88671875" customWidth="1"/>
    <col min="9" max="10" width="21.33203125" customWidth="1"/>
    <col min="11" max="11" width="18.109375" customWidth="1"/>
  </cols>
  <sheetData>
    <row r="1" spans="1:16" ht="33" customHeight="1">
      <c r="A1" s="57" t="s">
        <v>0</v>
      </c>
      <c r="B1" s="57" t="s">
        <v>162</v>
      </c>
      <c r="C1" s="58" t="s">
        <v>163</v>
      </c>
      <c r="D1" s="59"/>
      <c r="E1" s="59"/>
      <c r="F1" s="59"/>
      <c r="G1" s="59"/>
      <c r="H1" s="60" t="s">
        <v>162</v>
      </c>
      <c r="I1" s="61" t="s">
        <v>164</v>
      </c>
      <c r="J1" s="61" t="s">
        <v>165</v>
      </c>
      <c r="K1" s="62"/>
      <c r="L1" s="62"/>
      <c r="M1" s="7"/>
      <c r="N1" s="7"/>
      <c r="O1" s="7"/>
      <c r="P1" s="7"/>
    </row>
    <row r="2" spans="1:16" ht="15.75" customHeight="1">
      <c r="A2" s="35" t="s">
        <v>15</v>
      </c>
      <c r="B2" s="36" t="s">
        <v>72</v>
      </c>
      <c r="C2" s="65">
        <f t="shared" ref="C2:C33" si="0">IFERROR(INDEX(J:J, MATCH(B2, H:H, 0)), 0)</f>
        <v>0</v>
      </c>
      <c r="D2" s="59"/>
      <c r="E2" s="59"/>
      <c r="F2" s="59"/>
      <c r="G2" s="67"/>
      <c r="H2" s="68" t="s">
        <v>72</v>
      </c>
      <c r="I2" s="69">
        <v>0</v>
      </c>
      <c r="J2" s="70">
        <f t="shared" ref="J2:J33" si="1">ROUND(I2*5%, 0)</f>
        <v>0</v>
      </c>
      <c r="K2" s="68"/>
      <c r="L2" s="71"/>
      <c r="M2" s="7"/>
      <c r="N2" s="7"/>
      <c r="O2" s="7"/>
      <c r="P2" s="7"/>
    </row>
    <row r="3" spans="1:16" ht="15.75" customHeight="1">
      <c r="A3" s="35" t="s">
        <v>15</v>
      </c>
      <c r="B3" s="36" t="s">
        <v>74</v>
      </c>
      <c r="C3" s="65">
        <f t="shared" si="0"/>
        <v>6601</v>
      </c>
      <c r="D3" s="59"/>
      <c r="E3" s="72"/>
      <c r="F3" s="59"/>
      <c r="G3" s="67"/>
      <c r="H3" s="68" t="s">
        <v>74</v>
      </c>
      <c r="I3" s="69">
        <v>132013</v>
      </c>
      <c r="J3" s="70">
        <f t="shared" si="1"/>
        <v>6601</v>
      </c>
      <c r="K3" s="68"/>
      <c r="L3" s="71"/>
      <c r="M3" s="7"/>
      <c r="N3" s="7"/>
      <c r="O3" s="7"/>
      <c r="P3" s="7"/>
    </row>
    <row r="4" spans="1:16" ht="15.75" customHeight="1">
      <c r="A4" s="35" t="s">
        <v>15</v>
      </c>
      <c r="B4" s="44" t="s">
        <v>76</v>
      </c>
      <c r="C4" s="65">
        <f t="shared" si="0"/>
        <v>7700</v>
      </c>
      <c r="D4" s="75"/>
      <c r="E4" s="72"/>
      <c r="F4" s="75"/>
      <c r="G4" s="67"/>
      <c r="H4" s="68" t="s">
        <v>76</v>
      </c>
      <c r="I4" s="69">
        <v>154000</v>
      </c>
      <c r="J4" s="70">
        <f t="shared" si="1"/>
        <v>7700</v>
      </c>
      <c r="K4" s="68"/>
      <c r="L4" s="71"/>
      <c r="M4" s="7"/>
      <c r="N4" s="7"/>
      <c r="O4" s="7"/>
      <c r="P4" s="7"/>
    </row>
    <row r="5" spans="1:16" ht="15.75" customHeight="1">
      <c r="A5" s="35" t="s">
        <v>15</v>
      </c>
      <c r="B5" s="36" t="s">
        <v>78</v>
      </c>
      <c r="C5" s="65">
        <f t="shared" si="0"/>
        <v>11205</v>
      </c>
      <c r="D5" s="75"/>
      <c r="E5" s="72"/>
      <c r="F5" s="75"/>
      <c r="G5" s="67"/>
      <c r="H5" s="68" t="s">
        <v>78</v>
      </c>
      <c r="I5" s="69">
        <v>224100</v>
      </c>
      <c r="J5" s="70">
        <f t="shared" si="1"/>
        <v>11205</v>
      </c>
      <c r="K5" s="68"/>
      <c r="L5" s="71"/>
      <c r="M5" s="7"/>
      <c r="N5" s="7"/>
      <c r="O5" s="7"/>
      <c r="P5" s="7"/>
    </row>
    <row r="6" spans="1:16" ht="15.75" customHeight="1">
      <c r="A6" s="35" t="s">
        <v>15</v>
      </c>
      <c r="B6" s="36" t="s">
        <v>80</v>
      </c>
      <c r="C6" s="65">
        <f t="shared" si="0"/>
        <v>0</v>
      </c>
      <c r="D6" s="75"/>
      <c r="E6" s="72"/>
      <c r="F6" s="75"/>
      <c r="G6" s="67"/>
      <c r="H6" s="68" t="s">
        <v>80</v>
      </c>
      <c r="I6" s="69">
        <v>0</v>
      </c>
      <c r="J6" s="70">
        <f t="shared" si="1"/>
        <v>0</v>
      </c>
      <c r="K6" s="68"/>
      <c r="L6" s="71"/>
      <c r="M6" s="7"/>
      <c r="N6" s="7"/>
      <c r="O6" s="7"/>
      <c r="P6" s="7"/>
    </row>
    <row r="7" spans="1:16" ht="15.75" customHeight="1">
      <c r="A7" s="35" t="s">
        <v>15</v>
      </c>
      <c r="B7" s="36" t="s">
        <v>82</v>
      </c>
      <c r="C7" s="65">
        <f t="shared" si="0"/>
        <v>18300</v>
      </c>
      <c r="D7" s="75"/>
      <c r="E7" s="72"/>
      <c r="F7" s="75"/>
      <c r="G7" s="67"/>
      <c r="H7" s="68" t="s">
        <v>82</v>
      </c>
      <c r="I7" s="69">
        <v>366000</v>
      </c>
      <c r="J7" s="70">
        <f t="shared" si="1"/>
        <v>18300</v>
      </c>
      <c r="K7" s="76"/>
      <c r="L7" s="76"/>
      <c r="M7" s="7"/>
      <c r="N7" s="7"/>
      <c r="O7" s="7"/>
      <c r="P7" s="7"/>
    </row>
    <row r="8" spans="1:16" ht="15.75" customHeight="1">
      <c r="A8" s="35" t="s">
        <v>15</v>
      </c>
      <c r="B8" s="36" t="s">
        <v>83</v>
      </c>
      <c r="C8" s="65">
        <f t="shared" si="0"/>
        <v>46851</v>
      </c>
      <c r="D8" s="75"/>
      <c r="E8" s="72"/>
      <c r="F8" s="75"/>
      <c r="G8" s="67"/>
      <c r="H8" s="68" t="s">
        <v>83</v>
      </c>
      <c r="I8" s="69">
        <v>937027</v>
      </c>
      <c r="J8" s="70">
        <f t="shared" si="1"/>
        <v>46851</v>
      </c>
      <c r="K8" s="76"/>
      <c r="L8" s="76"/>
      <c r="M8" s="7"/>
      <c r="N8" s="7"/>
      <c r="O8" s="7"/>
      <c r="P8" s="7"/>
    </row>
    <row r="9" spans="1:16" ht="15.75" customHeight="1">
      <c r="A9" s="35" t="s">
        <v>17</v>
      </c>
      <c r="B9" s="36" t="s">
        <v>84</v>
      </c>
      <c r="C9" s="65">
        <f t="shared" si="0"/>
        <v>14067</v>
      </c>
      <c r="D9" s="75"/>
      <c r="E9" s="72"/>
      <c r="F9" s="75"/>
      <c r="G9" s="67"/>
      <c r="H9" s="68" t="s">
        <v>84</v>
      </c>
      <c r="I9" s="69">
        <v>281343</v>
      </c>
      <c r="J9" s="70">
        <f t="shared" si="1"/>
        <v>14067</v>
      </c>
      <c r="K9" s="76"/>
      <c r="L9" s="76"/>
      <c r="M9" s="7"/>
      <c r="N9" s="7"/>
      <c r="O9" s="7"/>
      <c r="P9" s="7"/>
    </row>
    <row r="10" spans="1:16" ht="15.75" customHeight="1">
      <c r="A10" s="35" t="s">
        <v>17</v>
      </c>
      <c r="B10" s="36" t="s">
        <v>85</v>
      </c>
      <c r="C10" s="65">
        <f t="shared" si="0"/>
        <v>0</v>
      </c>
      <c r="D10" s="75"/>
      <c r="E10" s="72"/>
      <c r="F10" s="75"/>
      <c r="G10" s="67"/>
      <c r="H10" s="68" t="s">
        <v>85</v>
      </c>
      <c r="I10" s="69">
        <v>0</v>
      </c>
      <c r="J10" s="70">
        <f t="shared" si="1"/>
        <v>0</v>
      </c>
      <c r="K10" s="76"/>
      <c r="L10" s="76"/>
      <c r="M10" s="7"/>
      <c r="N10" s="7"/>
      <c r="O10" s="7"/>
      <c r="P10" s="7"/>
    </row>
    <row r="11" spans="1:16" ht="15.75" customHeight="1">
      <c r="A11" s="35" t="s">
        <v>17</v>
      </c>
      <c r="B11" s="36" t="s">
        <v>86</v>
      </c>
      <c r="C11" s="65">
        <f t="shared" si="0"/>
        <v>7550</v>
      </c>
      <c r="D11" s="75"/>
      <c r="E11" s="72"/>
      <c r="F11" s="75"/>
      <c r="G11" s="67"/>
      <c r="H11" s="68" t="s">
        <v>86</v>
      </c>
      <c r="I11" s="69">
        <v>151000</v>
      </c>
      <c r="J11" s="70">
        <f t="shared" si="1"/>
        <v>7550</v>
      </c>
      <c r="K11" s="76"/>
      <c r="L11" s="76"/>
      <c r="M11" s="7"/>
      <c r="N11" s="7"/>
      <c r="O11" s="7"/>
      <c r="P11" s="7"/>
    </row>
    <row r="12" spans="1:16" ht="15.75" customHeight="1">
      <c r="A12" s="35" t="s">
        <v>17</v>
      </c>
      <c r="B12" s="44" t="s">
        <v>87</v>
      </c>
      <c r="C12" s="65">
        <f t="shared" si="0"/>
        <v>4035</v>
      </c>
      <c r="D12" s="75"/>
      <c r="E12" s="72"/>
      <c r="F12" s="75"/>
      <c r="G12" s="67"/>
      <c r="H12" s="68" t="s">
        <v>87</v>
      </c>
      <c r="I12" s="69">
        <v>80700</v>
      </c>
      <c r="J12" s="70">
        <f t="shared" si="1"/>
        <v>4035</v>
      </c>
      <c r="K12" s="76"/>
      <c r="L12" s="76"/>
      <c r="M12" s="7"/>
      <c r="N12" s="7"/>
      <c r="O12" s="7"/>
      <c r="P12" s="7"/>
    </row>
    <row r="13" spans="1:16" ht="15.75" customHeight="1">
      <c r="A13" s="35" t="s">
        <v>17</v>
      </c>
      <c r="B13" s="44" t="s">
        <v>88</v>
      </c>
      <c r="C13" s="65">
        <f t="shared" si="0"/>
        <v>0</v>
      </c>
      <c r="D13" s="75"/>
      <c r="E13" s="72"/>
      <c r="F13" s="75"/>
      <c r="G13" s="67"/>
      <c r="H13" s="68" t="s">
        <v>88</v>
      </c>
      <c r="I13" s="69">
        <v>0</v>
      </c>
      <c r="J13" s="70">
        <f t="shared" si="1"/>
        <v>0</v>
      </c>
      <c r="K13" s="76"/>
      <c r="L13" s="76"/>
      <c r="M13" s="7"/>
      <c r="N13" s="7"/>
      <c r="O13" s="7"/>
      <c r="P13" s="7"/>
    </row>
    <row r="14" spans="1:16" ht="15.75" customHeight="1">
      <c r="A14" s="35" t="s">
        <v>17</v>
      </c>
      <c r="B14" s="44" t="s">
        <v>89</v>
      </c>
      <c r="C14" s="65">
        <f t="shared" si="0"/>
        <v>40230</v>
      </c>
      <c r="D14" s="75"/>
      <c r="E14" s="72"/>
      <c r="F14" s="75"/>
      <c r="G14" s="67"/>
      <c r="H14" s="68" t="s">
        <v>89</v>
      </c>
      <c r="I14" s="69">
        <v>804600</v>
      </c>
      <c r="J14" s="70">
        <f t="shared" si="1"/>
        <v>40230</v>
      </c>
      <c r="K14" s="76"/>
      <c r="L14" s="76"/>
      <c r="M14" s="7"/>
      <c r="N14" s="7"/>
      <c r="O14" s="7"/>
      <c r="P14" s="7"/>
    </row>
    <row r="15" spans="1:16" ht="15.75" customHeight="1">
      <c r="A15" s="35" t="s">
        <v>17</v>
      </c>
      <c r="B15" s="44" t="s">
        <v>90</v>
      </c>
      <c r="C15" s="65">
        <f t="shared" si="0"/>
        <v>37807</v>
      </c>
      <c r="D15" s="75"/>
      <c r="E15" s="72"/>
      <c r="F15" s="75"/>
      <c r="G15" s="67"/>
      <c r="H15" s="68" t="s">
        <v>90</v>
      </c>
      <c r="I15" s="69">
        <v>756133</v>
      </c>
      <c r="J15" s="70">
        <f t="shared" si="1"/>
        <v>37807</v>
      </c>
      <c r="K15" s="76"/>
      <c r="L15" s="76"/>
      <c r="M15" s="7"/>
      <c r="N15" s="7"/>
      <c r="O15" s="7"/>
      <c r="P15" s="7"/>
    </row>
    <row r="16" spans="1:16" ht="15.75" customHeight="1">
      <c r="A16" s="35" t="s">
        <v>18</v>
      </c>
      <c r="B16" s="44" t="s">
        <v>91</v>
      </c>
      <c r="C16" s="65">
        <f t="shared" si="0"/>
        <v>107427</v>
      </c>
      <c r="D16" s="75"/>
      <c r="E16" s="72"/>
      <c r="F16" s="75"/>
      <c r="G16" s="67"/>
      <c r="H16" s="68" t="s">
        <v>91</v>
      </c>
      <c r="I16" s="69">
        <v>2148547</v>
      </c>
      <c r="J16" s="70">
        <f t="shared" si="1"/>
        <v>107427</v>
      </c>
      <c r="K16" s="76"/>
      <c r="L16" s="76"/>
      <c r="M16" s="7"/>
      <c r="N16" s="7"/>
      <c r="O16" s="7"/>
      <c r="P16" s="7"/>
    </row>
    <row r="17" spans="1:16" ht="15.75" customHeight="1">
      <c r="A17" s="35" t="s">
        <v>18</v>
      </c>
      <c r="B17" s="36" t="s">
        <v>78</v>
      </c>
      <c r="C17" s="65">
        <f t="shared" si="0"/>
        <v>11205</v>
      </c>
      <c r="D17" s="75"/>
      <c r="E17" s="72"/>
      <c r="F17" s="75"/>
      <c r="G17" s="67"/>
      <c r="H17" s="68" t="s">
        <v>78</v>
      </c>
      <c r="I17" s="69">
        <v>0</v>
      </c>
      <c r="J17" s="70">
        <f t="shared" si="1"/>
        <v>0</v>
      </c>
      <c r="K17" s="76"/>
      <c r="L17" s="76"/>
      <c r="M17" s="7"/>
      <c r="N17" s="7"/>
      <c r="O17" s="7"/>
      <c r="P17" s="7"/>
    </row>
    <row r="18" spans="1:16" ht="15.75" customHeight="1">
      <c r="A18" s="35" t="s">
        <v>18</v>
      </c>
      <c r="B18" s="36" t="s">
        <v>92</v>
      </c>
      <c r="C18" s="65">
        <f t="shared" si="0"/>
        <v>15362</v>
      </c>
      <c r="D18" s="75"/>
      <c r="E18" s="72"/>
      <c r="F18" s="75"/>
      <c r="G18" s="67"/>
      <c r="H18" s="68" t="s">
        <v>92</v>
      </c>
      <c r="I18" s="69">
        <v>307244</v>
      </c>
      <c r="J18" s="70">
        <f t="shared" si="1"/>
        <v>15362</v>
      </c>
      <c r="K18" s="76"/>
      <c r="L18" s="76"/>
      <c r="M18" s="7"/>
      <c r="N18" s="7"/>
      <c r="O18" s="7"/>
      <c r="P18" s="7"/>
    </row>
    <row r="19" spans="1:16" ht="15.75" customHeight="1">
      <c r="A19" s="35" t="s">
        <v>18</v>
      </c>
      <c r="B19" s="36" t="s">
        <v>93</v>
      </c>
      <c r="C19" s="65">
        <f t="shared" si="0"/>
        <v>68625</v>
      </c>
      <c r="D19" s="7"/>
      <c r="E19" s="72"/>
      <c r="F19" s="7"/>
      <c r="G19" s="67"/>
      <c r="H19" s="68" t="s">
        <v>93</v>
      </c>
      <c r="I19" s="70">
        <v>1372504</v>
      </c>
      <c r="J19" s="70">
        <f t="shared" si="1"/>
        <v>68625</v>
      </c>
      <c r="K19" s="76"/>
      <c r="L19" s="76"/>
      <c r="M19" s="7"/>
      <c r="N19" s="7"/>
      <c r="O19" s="7"/>
      <c r="P19" s="7"/>
    </row>
    <row r="20" spans="1:16" ht="15.75" customHeight="1">
      <c r="A20" s="35" t="s">
        <v>18</v>
      </c>
      <c r="B20" s="36" t="s">
        <v>94</v>
      </c>
      <c r="C20" s="65">
        <f t="shared" si="0"/>
        <v>0</v>
      </c>
      <c r="D20" s="7"/>
      <c r="E20" s="72"/>
      <c r="F20" s="7"/>
      <c r="G20" s="67"/>
      <c r="H20" s="76" t="s">
        <v>94</v>
      </c>
      <c r="I20" s="70">
        <v>0</v>
      </c>
      <c r="J20" s="70">
        <f t="shared" si="1"/>
        <v>0</v>
      </c>
      <c r="K20" s="76"/>
      <c r="L20" s="76"/>
      <c r="M20" s="7"/>
      <c r="N20" s="7"/>
      <c r="O20" s="7"/>
      <c r="P20" s="7"/>
    </row>
    <row r="21" spans="1:16" ht="15.75" customHeight="1">
      <c r="A21" s="35" t="s">
        <v>19</v>
      </c>
      <c r="B21" s="36" t="s">
        <v>85</v>
      </c>
      <c r="C21" s="65">
        <f t="shared" si="0"/>
        <v>0</v>
      </c>
      <c r="D21" s="7"/>
      <c r="E21" s="72"/>
      <c r="F21" s="7"/>
      <c r="G21" s="67"/>
      <c r="H21" s="76" t="s">
        <v>85</v>
      </c>
      <c r="I21" s="70">
        <v>0</v>
      </c>
      <c r="J21" s="70">
        <f t="shared" si="1"/>
        <v>0</v>
      </c>
      <c r="K21" s="76"/>
      <c r="L21" s="76"/>
      <c r="M21" s="7"/>
      <c r="N21" s="7"/>
      <c r="O21" s="7"/>
      <c r="P21" s="7"/>
    </row>
    <row r="22" spans="1:16" ht="15.75" customHeight="1">
      <c r="A22" s="35" t="s">
        <v>19</v>
      </c>
      <c r="B22" s="36" t="s">
        <v>96</v>
      </c>
      <c r="C22" s="65">
        <f t="shared" si="0"/>
        <v>28709</v>
      </c>
      <c r="D22" s="7"/>
      <c r="E22" s="72"/>
      <c r="F22" s="7"/>
      <c r="G22" s="67"/>
      <c r="H22" s="76" t="s">
        <v>96</v>
      </c>
      <c r="I22" s="70">
        <v>574171</v>
      </c>
      <c r="J22" s="70">
        <f t="shared" si="1"/>
        <v>28709</v>
      </c>
      <c r="K22" s="76"/>
      <c r="L22" s="76"/>
      <c r="M22" s="7"/>
      <c r="N22" s="7"/>
      <c r="O22" s="7"/>
      <c r="P22" s="7"/>
    </row>
    <row r="23" spans="1:16" ht="15.75" customHeight="1">
      <c r="A23" s="35" t="s">
        <v>19</v>
      </c>
      <c r="B23" s="36" t="s">
        <v>97</v>
      </c>
      <c r="C23" s="65">
        <f t="shared" si="0"/>
        <v>1690</v>
      </c>
      <c r="D23" s="7"/>
      <c r="E23" s="72"/>
      <c r="F23" s="7"/>
      <c r="G23" s="67"/>
      <c r="H23" s="76" t="s">
        <v>97</v>
      </c>
      <c r="I23" s="70">
        <v>33800</v>
      </c>
      <c r="J23" s="70">
        <f t="shared" si="1"/>
        <v>1690</v>
      </c>
      <c r="K23" s="76"/>
      <c r="L23" s="76"/>
      <c r="M23" s="7"/>
      <c r="N23" s="7"/>
      <c r="O23" s="7"/>
      <c r="P23" s="7"/>
    </row>
    <row r="24" spans="1:16" ht="15.75" customHeight="1">
      <c r="A24" s="35" t="s">
        <v>19</v>
      </c>
      <c r="B24" s="36" t="s">
        <v>98</v>
      </c>
      <c r="C24" s="65">
        <f t="shared" si="0"/>
        <v>46354</v>
      </c>
      <c r="D24" s="7"/>
      <c r="E24" s="72"/>
      <c r="F24" s="7"/>
      <c r="G24" s="67"/>
      <c r="H24" s="76" t="s">
        <v>98</v>
      </c>
      <c r="I24" s="70">
        <v>927075</v>
      </c>
      <c r="J24" s="70">
        <f t="shared" si="1"/>
        <v>46354</v>
      </c>
      <c r="K24" s="76"/>
      <c r="L24" s="76"/>
      <c r="M24" s="7"/>
      <c r="N24" s="7"/>
      <c r="O24" s="7"/>
      <c r="P24" s="7"/>
    </row>
    <row r="25" spans="1:16" ht="15.75" customHeight="1">
      <c r="A25" s="35" t="s">
        <v>19</v>
      </c>
      <c r="B25" s="36" t="s">
        <v>88</v>
      </c>
      <c r="C25" s="65">
        <f t="shared" si="0"/>
        <v>0</v>
      </c>
      <c r="D25" s="7"/>
      <c r="E25" s="72"/>
      <c r="F25" s="7"/>
      <c r="G25" s="67"/>
      <c r="H25" s="76" t="s">
        <v>88</v>
      </c>
      <c r="I25" s="70">
        <v>0</v>
      </c>
      <c r="J25" s="70">
        <f t="shared" si="1"/>
        <v>0</v>
      </c>
      <c r="K25" s="76"/>
      <c r="L25" s="76"/>
      <c r="M25" s="7"/>
      <c r="N25" s="7"/>
      <c r="O25" s="7"/>
      <c r="P25" s="7"/>
    </row>
    <row r="26" spans="1:16" ht="15.75" customHeight="1">
      <c r="A26" s="35" t="s">
        <v>19</v>
      </c>
      <c r="B26" s="36" t="s">
        <v>100</v>
      </c>
      <c r="C26" s="65">
        <f t="shared" si="0"/>
        <v>35008</v>
      </c>
      <c r="D26" s="7"/>
      <c r="E26" s="72"/>
      <c r="F26" s="7"/>
      <c r="G26" s="67"/>
      <c r="H26" s="76" t="s">
        <v>100</v>
      </c>
      <c r="I26" s="70">
        <v>700168</v>
      </c>
      <c r="J26" s="70">
        <f t="shared" si="1"/>
        <v>35008</v>
      </c>
      <c r="K26" s="76"/>
      <c r="L26" s="76"/>
      <c r="M26" s="7"/>
      <c r="N26" s="7"/>
      <c r="O26" s="7"/>
      <c r="P26" s="7"/>
    </row>
    <row r="27" spans="1:16" ht="15.75" customHeight="1">
      <c r="A27" s="35" t="s">
        <v>19</v>
      </c>
      <c r="B27" s="36" t="s">
        <v>92</v>
      </c>
      <c r="C27" s="65">
        <f t="shared" si="0"/>
        <v>15362</v>
      </c>
      <c r="D27" s="7"/>
      <c r="E27" s="72"/>
      <c r="F27" s="7"/>
      <c r="G27" s="67"/>
      <c r="H27" s="76" t="s">
        <v>92</v>
      </c>
      <c r="I27" s="70">
        <v>19000</v>
      </c>
      <c r="J27" s="70">
        <f t="shared" si="1"/>
        <v>950</v>
      </c>
      <c r="K27" s="76"/>
      <c r="L27" s="76"/>
      <c r="M27" s="7"/>
      <c r="N27" s="7"/>
      <c r="O27" s="7"/>
      <c r="P27" s="7"/>
    </row>
    <row r="28" spans="1:16" ht="15.75" customHeight="1">
      <c r="A28" s="35" t="s">
        <v>19</v>
      </c>
      <c r="B28" s="36" t="s">
        <v>101</v>
      </c>
      <c r="C28" s="65">
        <f t="shared" si="0"/>
        <v>0</v>
      </c>
      <c r="D28" s="7"/>
      <c r="E28" s="72"/>
      <c r="F28" s="7"/>
      <c r="G28" s="67"/>
      <c r="H28" s="76" t="s">
        <v>101</v>
      </c>
      <c r="I28" s="70">
        <v>0</v>
      </c>
      <c r="J28" s="70">
        <f t="shared" si="1"/>
        <v>0</v>
      </c>
      <c r="K28" s="76"/>
      <c r="L28" s="76"/>
      <c r="M28" s="7"/>
      <c r="N28" s="7"/>
      <c r="O28" s="7"/>
      <c r="P28" s="7"/>
    </row>
    <row r="29" spans="1:16" ht="15.75" customHeight="1">
      <c r="A29" s="35" t="s">
        <v>20</v>
      </c>
      <c r="B29" s="36" t="s">
        <v>103</v>
      </c>
      <c r="C29" s="65">
        <f t="shared" si="0"/>
        <v>12626</v>
      </c>
      <c r="D29" s="7"/>
      <c r="E29" s="72"/>
      <c r="F29" s="7"/>
      <c r="G29" s="67"/>
      <c r="H29" s="76" t="s">
        <v>103</v>
      </c>
      <c r="I29" s="70">
        <v>252514</v>
      </c>
      <c r="J29" s="70">
        <f t="shared" si="1"/>
        <v>12626</v>
      </c>
      <c r="K29" s="76"/>
      <c r="L29" s="76"/>
      <c r="M29" s="7"/>
      <c r="N29" s="7"/>
      <c r="O29" s="7"/>
      <c r="P29" s="7"/>
    </row>
    <row r="30" spans="1:16" ht="15.75" customHeight="1">
      <c r="A30" s="35" t="s">
        <v>20</v>
      </c>
      <c r="B30" s="36" t="s">
        <v>104</v>
      </c>
      <c r="C30" s="65">
        <f t="shared" si="0"/>
        <v>9105</v>
      </c>
      <c r="D30" s="7"/>
      <c r="E30" s="72"/>
      <c r="F30" s="7"/>
      <c r="G30" s="67"/>
      <c r="H30" s="76" t="s">
        <v>104</v>
      </c>
      <c r="I30" s="70">
        <v>182100</v>
      </c>
      <c r="J30" s="70">
        <f t="shared" si="1"/>
        <v>9105</v>
      </c>
      <c r="K30" s="76"/>
      <c r="L30" s="76"/>
      <c r="M30" s="7"/>
      <c r="N30" s="7"/>
      <c r="O30" s="7"/>
      <c r="P30" s="7"/>
    </row>
    <row r="31" spans="1:16" ht="15.75" customHeight="1">
      <c r="A31" s="35" t="s">
        <v>20</v>
      </c>
      <c r="B31" s="36" t="s">
        <v>105</v>
      </c>
      <c r="C31" s="65">
        <f t="shared" si="0"/>
        <v>2500</v>
      </c>
      <c r="D31" s="7"/>
      <c r="E31" s="72"/>
      <c r="F31" s="7"/>
      <c r="G31" s="67"/>
      <c r="H31" s="76" t="s">
        <v>105</v>
      </c>
      <c r="I31" s="70">
        <v>50000</v>
      </c>
      <c r="J31" s="70">
        <f t="shared" si="1"/>
        <v>2500</v>
      </c>
      <c r="K31" s="76"/>
      <c r="L31" s="76"/>
      <c r="M31" s="7"/>
      <c r="N31" s="7"/>
      <c r="O31" s="7"/>
      <c r="P31" s="7"/>
    </row>
    <row r="32" spans="1:16" ht="15.75" customHeight="1">
      <c r="A32" s="35" t="s">
        <v>20</v>
      </c>
      <c r="B32" s="36" t="s">
        <v>106</v>
      </c>
      <c r="C32" s="65">
        <f t="shared" si="0"/>
        <v>0</v>
      </c>
      <c r="D32" s="7"/>
      <c r="E32" s="72"/>
      <c r="F32" s="7"/>
      <c r="G32" s="67"/>
      <c r="H32" s="76" t="s">
        <v>106</v>
      </c>
      <c r="I32" s="70">
        <v>0</v>
      </c>
      <c r="J32" s="70">
        <f t="shared" si="1"/>
        <v>0</v>
      </c>
      <c r="K32" s="76"/>
      <c r="L32" s="76"/>
      <c r="M32" s="7"/>
      <c r="N32" s="7"/>
      <c r="O32" s="7"/>
      <c r="P32" s="7"/>
    </row>
    <row r="33" spans="1:16" ht="15.75" customHeight="1">
      <c r="A33" s="35" t="s">
        <v>20</v>
      </c>
      <c r="B33" s="36" t="s">
        <v>107</v>
      </c>
      <c r="C33" s="65">
        <f t="shared" si="0"/>
        <v>0</v>
      </c>
      <c r="D33" s="7"/>
      <c r="E33" s="72"/>
      <c r="F33" s="7"/>
      <c r="G33" s="67"/>
      <c r="H33" s="76" t="s">
        <v>107</v>
      </c>
      <c r="I33" s="70">
        <v>0</v>
      </c>
      <c r="J33" s="70">
        <f t="shared" si="1"/>
        <v>0</v>
      </c>
      <c r="K33" s="76"/>
      <c r="L33" s="76"/>
      <c r="M33" s="7"/>
      <c r="N33" s="7"/>
      <c r="O33" s="7"/>
      <c r="P33" s="7"/>
    </row>
    <row r="34" spans="1:16" ht="15.75" customHeight="1">
      <c r="A34" s="35" t="s">
        <v>20</v>
      </c>
      <c r="B34" s="36" t="s">
        <v>108</v>
      </c>
      <c r="C34" s="65">
        <f t="shared" ref="C34:C65" si="2">IFERROR(INDEX(J:J, MATCH(B34, H:H, 0)), 0)</f>
        <v>150484</v>
      </c>
      <c r="D34" s="7"/>
      <c r="E34" s="72"/>
      <c r="F34" s="7"/>
      <c r="G34" s="67"/>
      <c r="H34" s="76" t="s">
        <v>108</v>
      </c>
      <c r="I34" s="70">
        <v>3009676</v>
      </c>
      <c r="J34" s="70">
        <f t="shared" ref="J34:J65" si="3">ROUND(I34*5%, 0)</f>
        <v>150484</v>
      </c>
      <c r="K34" s="76"/>
      <c r="L34" s="76"/>
      <c r="M34" s="7"/>
      <c r="N34" s="7"/>
      <c r="O34" s="7"/>
      <c r="P34" s="7"/>
    </row>
    <row r="35" spans="1:16" ht="15.75" customHeight="1">
      <c r="A35" s="35" t="s">
        <v>21</v>
      </c>
      <c r="B35" s="36" t="s">
        <v>109</v>
      </c>
      <c r="C35" s="65">
        <f t="shared" si="2"/>
        <v>0</v>
      </c>
      <c r="D35" s="7"/>
      <c r="E35" s="72"/>
      <c r="F35" s="7"/>
      <c r="G35" s="67"/>
      <c r="H35" s="76" t="s">
        <v>109</v>
      </c>
      <c r="I35" s="70">
        <v>0</v>
      </c>
      <c r="J35" s="70">
        <f t="shared" si="3"/>
        <v>0</v>
      </c>
      <c r="K35" s="76"/>
      <c r="L35" s="76"/>
      <c r="M35" s="7"/>
      <c r="N35" s="7"/>
      <c r="O35" s="7"/>
      <c r="P35" s="7"/>
    </row>
    <row r="36" spans="1:16" ht="15.75" customHeight="1">
      <c r="A36" s="35" t="s">
        <v>21</v>
      </c>
      <c r="B36" s="36" t="s">
        <v>110</v>
      </c>
      <c r="C36" s="65">
        <f t="shared" si="2"/>
        <v>31259</v>
      </c>
      <c r="D36" s="7"/>
      <c r="E36" s="72"/>
      <c r="F36" s="7"/>
      <c r="G36" s="67"/>
      <c r="H36" s="76" t="s">
        <v>110</v>
      </c>
      <c r="I36" s="70">
        <v>625175</v>
      </c>
      <c r="J36" s="70">
        <f t="shared" si="3"/>
        <v>31259</v>
      </c>
      <c r="K36" s="76"/>
      <c r="L36" s="76"/>
      <c r="M36" s="7"/>
      <c r="N36" s="7"/>
      <c r="O36" s="7"/>
      <c r="P36" s="7"/>
    </row>
    <row r="37" spans="1:16" ht="15.75" customHeight="1">
      <c r="A37" s="35" t="s">
        <v>21</v>
      </c>
      <c r="B37" s="36" t="s">
        <v>111</v>
      </c>
      <c r="C37" s="65">
        <f t="shared" si="2"/>
        <v>130696</v>
      </c>
      <c r="D37" s="7"/>
      <c r="E37" s="72"/>
      <c r="F37" s="7"/>
      <c r="G37" s="67"/>
      <c r="H37" s="76" t="s">
        <v>111</v>
      </c>
      <c r="I37" s="70">
        <v>2613919</v>
      </c>
      <c r="J37" s="70">
        <f t="shared" si="3"/>
        <v>130696</v>
      </c>
      <c r="K37" s="76"/>
      <c r="L37" s="76"/>
      <c r="M37" s="7"/>
      <c r="N37" s="7"/>
      <c r="O37" s="7"/>
      <c r="P37" s="7"/>
    </row>
    <row r="38" spans="1:16" ht="15.75" customHeight="1">
      <c r="A38" s="35" t="s">
        <v>21</v>
      </c>
      <c r="B38" s="36" t="s">
        <v>112</v>
      </c>
      <c r="C38" s="65">
        <f t="shared" si="2"/>
        <v>29087</v>
      </c>
      <c r="D38" s="7"/>
      <c r="E38" s="72"/>
      <c r="F38" s="7"/>
      <c r="G38" s="67"/>
      <c r="H38" s="76" t="s">
        <v>112</v>
      </c>
      <c r="I38" s="70">
        <v>581741</v>
      </c>
      <c r="J38" s="70">
        <f t="shared" si="3"/>
        <v>29087</v>
      </c>
      <c r="K38" s="76"/>
      <c r="L38" s="76"/>
      <c r="M38" s="7"/>
      <c r="N38" s="7"/>
      <c r="O38" s="7"/>
      <c r="P38" s="7"/>
    </row>
    <row r="39" spans="1:16" ht="15.75" customHeight="1">
      <c r="A39" s="35" t="s">
        <v>21</v>
      </c>
      <c r="B39" s="36" t="s">
        <v>88</v>
      </c>
      <c r="C39" s="65">
        <f t="shared" si="2"/>
        <v>0</v>
      </c>
      <c r="D39" s="7"/>
      <c r="E39" s="72"/>
      <c r="F39" s="7"/>
      <c r="G39" s="67"/>
      <c r="H39" s="76" t="s">
        <v>88</v>
      </c>
      <c r="I39" s="70">
        <v>8400</v>
      </c>
      <c r="J39" s="70">
        <f t="shared" si="3"/>
        <v>420</v>
      </c>
      <c r="K39" s="76"/>
      <c r="L39" s="76"/>
      <c r="M39" s="7"/>
      <c r="N39" s="7"/>
      <c r="O39" s="7"/>
      <c r="P39" s="7"/>
    </row>
    <row r="40" spans="1:16" ht="15.75" customHeight="1">
      <c r="A40" s="35" t="s">
        <v>21</v>
      </c>
      <c r="B40" s="36" t="s">
        <v>113</v>
      </c>
      <c r="C40" s="65">
        <f t="shared" si="2"/>
        <v>13341</v>
      </c>
      <c r="D40" s="7"/>
      <c r="E40" s="72"/>
      <c r="F40" s="7"/>
      <c r="G40" s="67"/>
      <c r="H40" s="76" t="s">
        <v>113</v>
      </c>
      <c r="I40" s="70">
        <v>266821</v>
      </c>
      <c r="J40" s="70">
        <f t="shared" si="3"/>
        <v>13341</v>
      </c>
      <c r="K40" s="76"/>
      <c r="L40" s="76"/>
      <c r="M40" s="7"/>
      <c r="N40" s="7"/>
      <c r="O40" s="7"/>
      <c r="P40" s="7"/>
    </row>
    <row r="41" spans="1:16" ht="15.75" customHeight="1">
      <c r="A41" s="35" t="s">
        <v>21</v>
      </c>
      <c r="B41" s="36" t="s">
        <v>92</v>
      </c>
      <c r="C41" s="65">
        <f t="shared" si="2"/>
        <v>15362</v>
      </c>
      <c r="D41" s="7"/>
      <c r="E41" s="72"/>
      <c r="F41" s="7"/>
      <c r="G41" s="67"/>
      <c r="H41" s="76" t="s">
        <v>92</v>
      </c>
      <c r="I41" s="70">
        <v>0</v>
      </c>
      <c r="J41" s="70">
        <f t="shared" si="3"/>
        <v>0</v>
      </c>
      <c r="K41" s="76"/>
      <c r="L41" s="76"/>
      <c r="M41" s="7"/>
      <c r="N41" s="7"/>
      <c r="O41" s="7"/>
      <c r="P41" s="7"/>
    </row>
    <row r="42" spans="1:16" ht="15.75" customHeight="1">
      <c r="A42" s="35" t="s">
        <v>21</v>
      </c>
      <c r="B42" s="36" t="s">
        <v>114</v>
      </c>
      <c r="C42" s="65">
        <f t="shared" si="2"/>
        <v>0</v>
      </c>
      <c r="D42" s="7"/>
      <c r="E42" s="72"/>
      <c r="F42" s="7"/>
      <c r="G42" s="67"/>
      <c r="H42" s="76" t="s">
        <v>114</v>
      </c>
      <c r="I42" s="70">
        <v>0</v>
      </c>
      <c r="J42" s="70">
        <f t="shared" si="3"/>
        <v>0</v>
      </c>
      <c r="K42" s="76"/>
      <c r="L42" s="76"/>
      <c r="M42" s="7"/>
      <c r="N42" s="7"/>
      <c r="O42" s="7"/>
      <c r="P42" s="7"/>
    </row>
    <row r="43" spans="1:16" ht="15.75" customHeight="1">
      <c r="A43" s="35" t="s">
        <v>21</v>
      </c>
      <c r="B43" s="36" t="s">
        <v>115</v>
      </c>
      <c r="C43" s="65">
        <f t="shared" si="2"/>
        <v>0</v>
      </c>
      <c r="D43" s="7"/>
      <c r="E43" s="72"/>
      <c r="F43" s="7"/>
      <c r="G43" s="67"/>
      <c r="H43" s="76" t="s">
        <v>115</v>
      </c>
      <c r="I43" s="70">
        <v>0</v>
      </c>
      <c r="J43" s="70">
        <f t="shared" si="3"/>
        <v>0</v>
      </c>
      <c r="K43" s="76"/>
      <c r="L43" s="76"/>
      <c r="M43" s="7"/>
      <c r="N43" s="7"/>
      <c r="O43" s="7"/>
      <c r="P43" s="7"/>
    </row>
    <row r="44" spans="1:16" ht="15.75" customHeight="1">
      <c r="A44" s="35" t="s">
        <v>22</v>
      </c>
      <c r="B44" s="36" t="s">
        <v>116</v>
      </c>
      <c r="C44" s="65">
        <f t="shared" si="2"/>
        <v>7827</v>
      </c>
      <c r="D44" s="7"/>
      <c r="E44" s="72"/>
      <c r="F44" s="7"/>
      <c r="G44" s="67"/>
      <c r="H44" s="76" t="s">
        <v>116</v>
      </c>
      <c r="I44" s="70">
        <v>156544</v>
      </c>
      <c r="J44" s="70">
        <f t="shared" si="3"/>
        <v>7827</v>
      </c>
      <c r="K44" s="76"/>
      <c r="L44" s="76"/>
      <c r="M44" s="7"/>
      <c r="N44" s="7"/>
      <c r="O44" s="7"/>
      <c r="P44" s="7"/>
    </row>
    <row r="45" spans="1:16" ht="15.75" customHeight="1">
      <c r="A45" s="35" t="s">
        <v>22</v>
      </c>
      <c r="B45" s="36" t="s">
        <v>117</v>
      </c>
      <c r="C45" s="65">
        <f t="shared" si="2"/>
        <v>6740</v>
      </c>
      <c r="D45" s="7"/>
      <c r="E45" s="72"/>
      <c r="F45" s="7"/>
      <c r="G45" s="67"/>
      <c r="H45" s="76" t="s">
        <v>117</v>
      </c>
      <c r="I45" s="70">
        <v>134800</v>
      </c>
      <c r="J45" s="70">
        <f t="shared" si="3"/>
        <v>6740</v>
      </c>
      <c r="K45" s="76"/>
      <c r="L45" s="76"/>
      <c r="M45" s="7"/>
      <c r="N45" s="7"/>
      <c r="O45" s="7"/>
      <c r="P45" s="7"/>
    </row>
    <row r="46" spans="1:16" ht="15.75" customHeight="1">
      <c r="A46" s="35" t="s">
        <v>22</v>
      </c>
      <c r="B46" s="36" t="s">
        <v>118</v>
      </c>
      <c r="C46" s="65">
        <f t="shared" si="2"/>
        <v>7545</v>
      </c>
      <c r="D46" s="7"/>
      <c r="E46" s="72"/>
      <c r="F46" s="7"/>
      <c r="G46" s="67"/>
      <c r="H46" s="76" t="s">
        <v>118</v>
      </c>
      <c r="I46" s="70">
        <v>150900</v>
      </c>
      <c r="J46" s="70">
        <f t="shared" si="3"/>
        <v>7545</v>
      </c>
      <c r="K46" s="76"/>
      <c r="L46" s="76"/>
      <c r="M46" s="7"/>
      <c r="N46" s="7"/>
      <c r="O46" s="7"/>
      <c r="P46" s="7"/>
    </row>
    <row r="47" spans="1:16" ht="15.75" customHeight="1">
      <c r="A47" s="35" t="s">
        <v>22</v>
      </c>
      <c r="B47" s="36" t="s">
        <v>119</v>
      </c>
      <c r="C47" s="65">
        <f t="shared" si="2"/>
        <v>24405</v>
      </c>
      <c r="D47" s="7"/>
      <c r="E47" s="72"/>
      <c r="F47" s="7"/>
      <c r="G47" s="67"/>
      <c r="H47" s="76" t="s">
        <v>119</v>
      </c>
      <c r="I47" s="70">
        <v>488103</v>
      </c>
      <c r="J47" s="70">
        <f t="shared" si="3"/>
        <v>24405</v>
      </c>
      <c r="K47" s="76"/>
      <c r="L47" s="76"/>
      <c r="M47" s="7"/>
      <c r="N47" s="7"/>
      <c r="O47" s="7"/>
      <c r="P47" s="7"/>
    </row>
    <row r="48" spans="1:16" ht="15.75" customHeight="1">
      <c r="A48" s="35" t="s">
        <v>23</v>
      </c>
      <c r="B48" s="44" t="s">
        <v>109</v>
      </c>
      <c r="C48" s="65">
        <f t="shared" si="2"/>
        <v>0</v>
      </c>
      <c r="D48" s="7"/>
      <c r="E48" s="72"/>
      <c r="F48" s="7"/>
      <c r="G48" s="7"/>
      <c r="H48" s="76" t="s">
        <v>109</v>
      </c>
      <c r="I48" s="70">
        <v>437966</v>
      </c>
      <c r="J48" s="70">
        <f t="shared" si="3"/>
        <v>21898</v>
      </c>
      <c r="K48" s="76"/>
      <c r="L48" s="76"/>
      <c r="M48" s="7"/>
      <c r="N48" s="7"/>
      <c r="O48" s="7"/>
      <c r="P48" s="7"/>
    </row>
    <row r="49" spans="1:16" ht="15.75" customHeight="1">
      <c r="A49" s="35" t="s">
        <v>23</v>
      </c>
      <c r="B49" s="44" t="s">
        <v>120</v>
      </c>
      <c r="C49" s="65">
        <f t="shared" si="2"/>
        <v>9675</v>
      </c>
      <c r="D49" s="7"/>
      <c r="E49" s="72"/>
      <c r="F49" s="7"/>
      <c r="G49" s="7"/>
      <c r="H49" s="76" t="s">
        <v>120</v>
      </c>
      <c r="I49" s="70">
        <v>193500</v>
      </c>
      <c r="J49" s="70">
        <f t="shared" si="3"/>
        <v>9675</v>
      </c>
      <c r="K49" s="76"/>
      <c r="L49" s="76"/>
      <c r="M49" s="7"/>
      <c r="N49" s="7"/>
      <c r="O49" s="7"/>
      <c r="P49" s="7"/>
    </row>
    <row r="50" spans="1:16" ht="15.75" customHeight="1">
      <c r="A50" s="35" t="s">
        <v>23</v>
      </c>
      <c r="B50" s="36" t="s">
        <v>121</v>
      </c>
      <c r="C50" s="65">
        <f t="shared" si="2"/>
        <v>0</v>
      </c>
      <c r="D50" s="7"/>
      <c r="E50" s="72"/>
      <c r="F50" s="7"/>
      <c r="G50" s="7"/>
      <c r="H50" s="76" t="s">
        <v>121</v>
      </c>
      <c r="I50" s="70">
        <v>0</v>
      </c>
      <c r="J50" s="70">
        <f t="shared" si="3"/>
        <v>0</v>
      </c>
      <c r="K50" s="76"/>
      <c r="L50" s="76"/>
      <c r="M50" s="7"/>
      <c r="N50" s="7"/>
      <c r="O50" s="7"/>
      <c r="P50" s="7"/>
    </row>
    <row r="51" spans="1:16" ht="15.75" customHeight="1">
      <c r="A51" s="35" t="s">
        <v>23</v>
      </c>
      <c r="B51" s="36" t="s">
        <v>107</v>
      </c>
      <c r="C51" s="65">
        <f t="shared" si="2"/>
        <v>0</v>
      </c>
      <c r="D51" s="7"/>
      <c r="E51" s="72"/>
      <c r="F51" s="7"/>
      <c r="G51" s="7"/>
      <c r="H51" s="76" t="s">
        <v>107</v>
      </c>
      <c r="I51" s="70">
        <v>561000</v>
      </c>
      <c r="J51" s="70">
        <f t="shared" si="3"/>
        <v>28050</v>
      </c>
      <c r="K51" s="76"/>
      <c r="L51" s="76"/>
      <c r="M51" s="7"/>
      <c r="N51" s="7"/>
      <c r="O51" s="7"/>
      <c r="P51" s="7"/>
    </row>
    <row r="52" spans="1:16" ht="15.75" customHeight="1">
      <c r="A52" s="35" t="s">
        <v>23</v>
      </c>
      <c r="B52" s="36" t="s">
        <v>92</v>
      </c>
      <c r="C52" s="65">
        <f t="shared" si="2"/>
        <v>15362</v>
      </c>
      <c r="D52" s="7"/>
      <c r="E52" s="72"/>
      <c r="F52" s="7"/>
      <c r="G52" s="7"/>
      <c r="H52" s="76" t="s">
        <v>92</v>
      </c>
      <c r="I52" s="70">
        <v>0</v>
      </c>
      <c r="J52" s="70">
        <f t="shared" si="3"/>
        <v>0</v>
      </c>
      <c r="K52" s="76"/>
      <c r="L52" s="76"/>
      <c r="M52" s="7"/>
      <c r="N52" s="7"/>
      <c r="O52" s="7"/>
      <c r="P52" s="7"/>
    </row>
    <row r="53" spans="1:16" ht="15.75" customHeight="1">
      <c r="A53" s="35" t="s">
        <v>23</v>
      </c>
      <c r="B53" s="36" t="s">
        <v>122</v>
      </c>
      <c r="C53" s="65">
        <f t="shared" si="2"/>
        <v>223268</v>
      </c>
      <c r="D53" s="7"/>
      <c r="E53" s="72"/>
      <c r="F53" s="7"/>
      <c r="G53" s="7"/>
      <c r="H53" s="76" t="s">
        <v>122</v>
      </c>
      <c r="I53" s="70">
        <v>4465351</v>
      </c>
      <c r="J53" s="70">
        <f t="shared" si="3"/>
        <v>223268</v>
      </c>
      <c r="K53" s="76"/>
      <c r="L53" s="76"/>
      <c r="M53" s="7"/>
      <c r="N53" s="7"/>
      <c r="O53" s="7"/>
      <c r="P53" s="7"/>
    </row>
    <row r="54" spans="1:16" ht="15.75" customHeight="1">
      <c r="A54" s="35" t="s">
        <v>24</v>
      </c>
      <c r="B54" s="36" t="s">
        <v>72</v>
      </c>
      <c r="C54" s="65">
        <f t="shared" si="2"/>
        <v>0</v>
      </c>
      <c r="D54" s="7"/>
      <c r="E54" s="72"/>
      <c r="F54" s="7"/>
      <c r="G54" s="7"/>
      <c r="H54" s="76" t="s">
        <v>72</v>
      </c>
      <c r="I54" s="70">
        <v>0</v>
      </c>
      <c r="J54" s="70">
        <f t="shared" si="3"/>
        <v>0</v>
      </c>
      <c r="K54" s="76"/>
      <c r="L54" s="76"/>
      <c r="M54" s="7"/>
      <c r="N54" s="7"/>
      <c r="O54" s="7"/>
      <c r="P54" s="7"/>
    </row>
    <row r="55" spans="1:16" ht="15.75" customHeight="1">
      <c r="A55" s="35" t="s">
        <v>24</v>
      </c>
      <c r="B55" s="36" t="s">
        <v>74</v>
      </c>
      <c r="C55" s="65">
        <f t="shared" si="2"/>
        <v>6601</v>
      </c>
      <c r="D55" s="7"/>
      <c r="E55" s="72"/>
      <c r="F55" s="7"/>
      <c r="G55" s="7"/>
      <c r="H55" s="76" t="s">
        <v>74</v>
      </c>
      <c r="I55" s="70">
        <v>0</v>
      </c>
      <c r="J55" s="70">
        <f t="shared" si="3"/>
        <v>0</v>
      </c>
      <c r="K55" s="76"/>
      <c r="L55" s="76"/>
      <c r="M55" s="7"/>
      <c r="N55" s="7"/>
      <c r="O55" s="7"/>
      <c r="P55" s="7"/>
    </row>
    <row r="56" spans="1:16" ht="15.75" customHeight="1">
      <c r="A56" s="35" t="s">
        <v>24</v>
      </c>
      <c r="B56" s="36" t="s">
        <v>123</v>
      </c>
      <c r="C56" s="65">
        <f t="shared" si="2"/>
        <v>955</v>
      </c>
      <c r="D56" s="7"/>
      <c r="E56" s="72"/>
      <c r="F56" s="7"/>
      <c r="G56" s="7"/>
      <c r="H56" s="76" t="s">
        <v>123</v>
      </c>
      <c r="I56" s="70">
        <v>19095</v>
      </c>
      <c r="J56" s="70">
        <f t="shared" si="3"/>
        <v>955</v>
      </c>
      <c r="K56" s="76"/>
      <c r="L56" s="76"/>
      <c r="M56" s="7"/>
      <c r="N56" s="7"/>
      <c r="O56" s="7"/>
      <c r="P56" s="7"/>
    </row>
    <row r="57" spans="1:16" ht="15.75" customHeight="1">
      <c r="A57" s="35" t="s">
        <v>24</v>
      </c>
      <c r="B57" s="36" t="s">
        <v>124</v>
      </c>
      <c r="C57" s="65">
        <f t="shared" si="2"/>
        <v>0</v>
      </c>
      <c r="D57" s="7"/>
      <c r="E57" s="72"/>
      <c r="F57" s="7"/>
      <c r="G57" s="7"/>
      <c r="H57" s="76" t="s">
        <v>124</v>
      </c>
      <c r="I57" s="70">
        <v>0</v>
      </c>
      <c r="J57" s="70">
        <f t="shared" si="3"/>
        <v>0</v>
      </c>
      <c r="K57" s="76"/>
      <c r="L57" s="76"/>
      <c r="M57" s="7"/>
      <c r="N57" s="7"/>
      <c r="O57" s="7"/>
      <c r="P57" s="7"/>
    </row>
    <row r="58" spans="1:16" ht="15.75" customHeight="1">
      <c r="A58" s="35" t="s">
        <v>24</v>
      </c>
      <c r="B58" s="36" t="s">
        <v>88</v>
      </c>
      <c r="C58" s="65">
        <f t="shared" si="2"/>
        <v>0</v>
      </c>
      <c r="D58" s="7"/>
      <c r="E58" s="72"/>
      <c r="F58" s="7"/>
      <c r="G58" s="7"/>
      <c r="H58" s="76" t="s">
        <v>88</v>
      </c>
      <c r="I58" s="70">
        <v>209348</v>
      </c>
      <c r="J58" s="70">
        <f t="shared" si="3"/>
        <v>10467</v>
      </c>
      <c r="K58" s="76"/>
      <c r="L58" s="76"/>
      <c r="M58" s="7"/>
      <c r="N58" s="7"/>
      <c r="O58" s="7"/>
      <c r="P58" s="7"/>
    </row>
    <row r="59" spans="1:16" ht="15.75" customHeight="1">
      <c r="A59" s="35" t="s">
        <v>24</v>
      </c>
      <c r="B59" s="36" t="s">
        <v>100</v>
      </c>
      <c r="C59" s="65">
        <f t="shared" si="2"/>
        <v>35008</v>
      </c>
      <c r="D59" s="7"/>
      <c r="E59" s="72"/>
      <c r="F59" s="7"/>
      <c r="G59" s="7"/>
      <c r="H59" s="76" t="s">
        <v>100</v>
      </c>
      <c r="I59" s="70">
        <v>10000</v>
      </c>
      <c r="J59" s="70">
        <f t="shared" si="3"/>
        <v>500</v>
      </c>
      <c r="K59" s="76"/>
      <c r="L59" s="76"/>
      <c r="M59" s="7"/>
      <c r="N59" s="7"/>
      <c r="O59" s="7"/>
      <c r="P59" s="7"/>
    </row>
    <row r="60" spans="1:16" ht="15.75" customHeight="1">
      <c r="A60" s="35" t="s">
        <v>24</v>
      </c>
      <c r="B60" s="36" t="s">
        <v>82</v>
      </c>
      <c r="C60" s="65">
        <f t="shared" si="2"/>
        <v>18300</v>
      </c>
      <c r="D60" s="7"/>
      <c r="E60" s="72"/>
      <c r="F60" s="7"/>
      <c r="G60" s="7"/>
      <c r="H60" s="76" t="s">
        <v>82</v>
      </c>
      <c r="I60" s="70">
        <v>0</v>
      </c>
      <c r="J60" s="70">
        <f t="shared" si="3"/>
        <v>0</v>
      </c>
      <c r="K60" s="76"/>
      <c r="L60" s="76"/>
      <c r="M60" s="7"/>
      <c r="N60" s="7"/>
      <c r="O60" s="7"/>
      <c r="P60" s="7"/>
    </row>
    <row r="61" spans="1:16" ht="15.75" customHeight="1">
      <c r="A61" s="35" t="s">
        <v>24</v>
      </c>
      <c r="B61" s="36" t="s">
        <v>125</v>
      </c>
      <c r="C61" s="65">
        <f t="shared" si="2"/>
        <v>0</v>
      </c>
      <c r="D61" s="7"/>
      <c r="E61" s="72"/>
      <c r="F61" s="7"/>
      <c r="G61" s="7"/>
      <c r="H61" s="76" t="s">
        <v>125</v>
      </c>
      <c r="I61" s="70">
        <v>0</v>
      </c>
      <c r="J61" s="70">
        <f t="shared" si="3"/>
        <v>0</v>
      </c>
      <c r="K61" s="76"/>
      <c r="L61" s="76"/>
      <c r="M61" s="7"/>
      <c r="N61" s="7"/>
      <c r="O61" s="7"/>
      <c r="P61" s="7"/>
    </row>
    <row r="62" spans="1:16" ht="15.75" customHeight="1">
      <c r="A62" s="35" t="s">
        <v>25</v>
      </c>
      <c r="B62" s="36" t="s">
        <v>126</v>
      </c>
      <c r="C62" s="65">
        <f t="shared" si="2"/>
        <v>14636</v>
      </c>
      <c r="D62" s="7"/>
      <c r="E62" s="72"/>
      <c r="F62" s="7"/>
      <c r="G62" s="7"/>
      <c r="H62" s="76" t="s">
        <v>126</v>
      </c>
      <c r="I62" s="70">
        <v>292727</v>
      </c>
      <c r="J62" s="70">
        <f t="shared" si="3"/>
        <v>14636</v>
      </c>
      <c r="K62" s="76"/>
      <c r="L62" s="76"/>
      <c r="M62" s="7"/>
      <c r="N62" s="7"/>
      <c r="O62" s="7"/>
      <c r="P62" s="7"/>
    </row>
    <row r="63" spans="1:16" ht="15.75" customHeight="1">
      <c r="A63" s="7" t="s">
        <v>25</v>
      </c>
      <c r="B63" s="7" t="s">
        <v>127</v>
      </c>
      <c r="C63" s="17">
        <f t="shared" si="2"/>
        <v>36876</v>
      </c>
      <c r="D63" s="7"/>
      <c r="E63" s="72"/>
      <c r="F63" s="7"/>
      <c r="G63" s="7"/>
      <c r="H63" s="76" t="s">
        <v>127</v>
      </c>
      <c r="I63" s="70">
        <v>737511</v>
      </c>
      <c r="J63" s="70">
        <f t="shared" si="3"/>
        <v>36876</v>
      </c>
      <c r="K63" s="76"/>
      <c r="L63" s="76"/>
      <c r="M63" s="7"/>
      <c r="N63" s="7"/>
      <c r="O63" s="7"/>
      <c r="P63" s="7"/>
    </row>
    <row r="64" spans="1:16" ht="15.75" customHeight="1">
      <c r="A64" s="7" t="s">
        <v>25</v>
      </c>
      <c r="B64" s="7" t="s">
        <v>128</v>
      </c>
      <c r="C64" s="17">
        <f t="shared" si="2"/>
        <v>124767</v>
      </c>
      <c r="D64" s="7"/>
      <c r="E64" s="72"/>
      <c r="F64" s="7"/>
      <c r="G64" s="7"/>
      <c r="H64" s="76" t="s">
        <v>128</v>
      </c>
      <c r="I64" s="70">
        <v>2495341</v>
      </c>
      <c r="J64" s="70">
        <f t="shared" si="3"/>
        <v>124767</v>
      </c>
      <c r="K64" s="76"/>
      <c r="L64" s="76"/>
      <c r="M64" s="7"/>
      <c r="N64" s="7"/>
      <c r="O64" s="7"/>
      <c r="P64" s="7"/>
    </row>
    <row r="65" spans="1:16" ht="15.75" customHeight="1">
      <c r="A65" s="7" t="s">
        <v>25</v>
      </c>
      <c r="B65" s="7" t="s">
        <v>129</v>
      </c>
      <c r="C65" s="17">
        <f t="shared" si="2"/>
        <v>23664</v>
      </c>
      <c r="D65" s="7"/>
      <c r="E65" s="72"/>
      <c r="F65" s="7"/>
      <c r="G65" s="7"/>
      <c r="H65" s="76" t="s">
        <v>129</v>
      </c>
      <c r="I65" s="70">
        <v>473275</v>
      </c>
      <c r="J65" s="70">
        <f t="shared" si="3"/>
        <v>23664</v>
      </c>
      <c r="K65" s="76"/>
      <c r="L65" s="76"/>
      <c r="M65" s="7"/>
      <c r="N65" s="7"/>
      <c r="O65" s="7"/>
      <c r="P65" s="7"/>
    </row>
    <row r="66" spans="1:16" ht="15.75" customHeight="1">
      <c r="A66" s="7" t="s">
        <v>25</v>
      </c>
      <c r="B66" s="7" t="s">
        <v>130</v>
      </c>
      <c r="C66" s="17">
        <f t="shared" ref="C66:C97" si="4">IFERROR(INDEX(J:J, MATCH(B66, H:H, 0)), 0)</f>
        <v>170114</v>
      </c>
      <c r="D66" s="7"/>
      <c r="E66" s="72"/>
      <c r="F66" s="7"/>
      <c r="G66" s="7"/>
      <c r="H66" s="76" t="s">
        <v>130</v>
      </c>
      <c r="I66" s="70">
        <v>3402283</v>
      </c>
      <c r="J66" s="70">
        <f t="shared" ref="J66:J97" si="5">ROUND(I66*5%, 0)</f>
        <v>170114</v>
      </c>
      <c r="K66" s="76"/>
      <c r="L66" s="76"/>
      <c r="M66" s="7"/>
      <c r="N66" s="7"/>
      <c r="O66" s="7"/>
      <c r="P66" s="7"/>
    </row>
    <row r="67" spans="1:16" ht="15.75" customHeight="1">
      <c r="A67" s="7" t="s">
        <v>26</v>
      </c>
      <c r="B67" s="7" t="s">
        <v>131</v>
      </c>
      <c r="C67" s="17">
        <f t="shared" si="4"/>
        <v>23983</v>
      </c>
      <c r="D67" s="7"/>
      <c r="E67" s="72"/>
      <c r="F67" s="7"/>
      <c r="G67" s="7"/>
      <c r="H67" s="76" t="s">
        <v>131</v>
      </c>
      <c r="I67" s="70">
        <v>479660</v>
      </c>
      <c r="J67" s="70">
        <f t="shared" si="5"/>
        <v>23983</v>
      </c>
      <c r="K67" s="76"/>
      <c r="L67" s="76"/>
      <c r="M67" s="7"/>
      <c r="N67" s="7"/>
      <c r="O67" s="7"/>
      <c r="P67" s="7"/>
    </row>
    <row r="68" spans="1:16" ht="15.75" customHeight="1">
      <c r="A68" s="7" t="s">
        <v>26</v>
      </c>
      <c r="B68" s="7" t="s">
        <v>132</v>
      </c>
      <c r="C68" s="17">
        <f t="shared" si="4"/>
        <v>78869</v>
      </c>
      <c r="D68" s="7"/>
      <c r="E68" s="72"/>
      <c r="F68" s="7"/>
      <c r="G68" s="7"/>
      <c r="H68" s="76" t="s">
        <v>132</v>
      </c>
      <c r="I68" s="70">
        <v>1577380</v>
      </c>
      <c r="J68" s="70">
        <f t="shared" si="5"/>
        <v>78869</v>
      </c>
      <c r="K68" s="76"/>
      <c r="L68" s="76"/>
      <c r="M68" s="7"/>
      <c r="N68" s="7"/>
      <c r="O68" s="7"/>
      <c r="P68" s="7"/>
    </row>
    <row r="69" spans="1:16" ht="15.75" customHeight="1">
      <c r="A69" s="7" t="s">
        <v>26</v>
      </c>
      <c r="B69" s="7" t="s">
        <v>133</v>
      </c>
      <c r="C69" s="17">
        <f t="shared" si="4"/>
        <v>27571</v>
      </c>
      <c r="D69" s="7"/>
      <c r="E69" s="72"/>
      <c r="F69" s="7"/>
      <c r="G69" s="7"/>
      <c r="H69" s="76" t="s">
        <v>133</v>
      </c>
      <c r="I69" s="70">
        <v>551413</v>
      </c>
      <c r="J69" s="70">
        <f t="shared" si="5"/>
        <v>27571</v>
      </c>
      <c r="K69" s="76"/>
      <c r="L69" s="76"/>
      <c r="M69" s="7"/>
      <c r="N69" s="7"/>
      <c r="O69" s="7"/>
      <c r="P69" s="7"/>
    </row>
    <row r="70" spans="1:16" ht="15.75" customHeight="1">
      <c r="A70" s="7" t="s">
        <v>26</v>
      </c>
      <c r="B70" s="7" t="s">
        <v>134</v>
      </c>
      <c r="C70" s="17">
        <f t="shared" si="4"/>
        <v>104556</v>
      </c>
      <c r="D70" s="7"/>
      <c r="E70" s="72"/>
      <c r="F70" s="7"/>
      <c r="G70" s="7"/>
      <c r="H70" s="76" t="s">
        <v>134</v>
      </c>
      <c r="I70" s="70">
        <v>2091120</v>
      </c>
      <c r="J70" s="70">
        <f t="shared" si="5"/>
        <v>104556</v>
      </c>
      <c r="K70" s="76"/>
      <c r="L70" s="76"/>
      <c r="M70" s="7"/>
      <c r="N70" s="7"/>
      <c r="O70" s="7"/>
      <c r="P70" s="7"/>
    </row>
    <row r="71" spans="1:16" ht="15.75" customHeight="1">
      <c r="A71" s="7" t="s">
        <v>26</v>
      </c>
      <c r="B71" s="7" t="s">
        <v>135</v>
      </c>
      <c r="C71" s="17">
        <f t="shared" si="4"/>
        <v>0</v>
      </c>
      <c r="D71" s="7"/>
      <c r="E71" s="72"/>
      <c r="F71" s="7"/>
      <c r="G71" s="7"/>
      <c r="H71" s="76" t="s">
        <v>135</v>
      </c>
      <c r="I71" s="70">
        <v>0</v>
      </c>
      <c r="J71" s="70">
        <f t="shared" si="5"/>
        <v>0</v>
      </c>
      <c r="K71" s="76"/>
      <c r="L71" s="76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2"/>
      <c r="F72" s="7"/>
      <c r="G72" s="7"/>
      <c r="H72" s="76"/>
      <c r="I72" s="70"/>
      <c r="J72" s="70"/>
      <c r="K72" s="76"/>
      <c r="L72" s="76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2"/>
      <c r="F73" s="7"/>
      <c r="G73" s="7"/>
      <c r="H73" s="76"/>
      <c r="I73" s="70"/>
      <c r="J73" s="70"/>
      <c r="K73" s="76"/>
      <c r="L73" s="76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2"/>
      <c r="F74" s="7"/>
      <c r="G74" s="7"/>
      <c r="H74" s="76"/>
      <c r="I74" s="70"/>
      <c r="J74" s="70"/>
      <c r="K74" s="76"/>
      <c r="L74" s="76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2"/>
      <c r="F75" s="7"/>
      <c r="G75" s="7"/>
      <c r="H75" s="76"/>
      <c r="I75" s="70"/>
      <c r="J75" s="70"/>
      <c r="K75" s="76"/>
      <c r="L75" s="76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2"/>
      <c r="F76" s="7"/>
      <c r="G76" s="7"/>
      <c r="H76" s="76"/>
      <c r="I76" s="70"/>
      <c r="J76" s="70"/>
      <c r="K76" s="76"/>
      <c r="L76" s="76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2"/>
      <c r="F77" s="7"/>
      <c r="G77" s="7"/>
      <c r="H77" s="76"/>
      <c r="I77" s="70"/>
      <c r="J77" s="70"/>
      <c r="K77" s="76"/>
      <c r="L77" s="76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2"/>
      <c r="F78" s="7"/>
      <c r="G78" s="7"/>
      <c r="H78" s="76"/>
      <c r="I78" s="70"/>
      <c r="J78" s="70"/>
      <c r="K78" s="76"/>
      <c r="L78" s="76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2"/>
      <c r="F79" s="7"/>
      <c r="G79" s="7"/>
      <c r="H79" s="76"/>
      <c r="I79" s="70"/>
      <c r="J79" s="70"/>
      <c r="K79" s="76"/>
      <c r="L79" s="76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2"/>
      <c r="F80" s="7"/>
      <c r="G80" s="7"/>
      <c r="H80" s="76"/>
      <c r="I80" s="70"/>
      <c r="J80" s="70"/>
      <c r="K80" s="76"/>
      <c r="L80" s="76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2"/>
      <c r="F81" s="7"/>
      <c r="G81" s="7"/>
      <c r="H81" s="76"/>
      <c r="I81" s="70"/>
      <c r="J81" s="70"/>
      <c r="K81" s="76"/>
      <c r="L81" s="76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2"/>
      <c r="F82" s="7"/>
      <c r="G82" s="7"/>
      <c r="H82" s="76"/>
      <c r="I82" s="70"/>
      <c r="J82" s="70"/>
      <c r="K82" s="76"/>
      <c r="L82" s="76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2"/>
      <c r="F83" s="7"/>
      <c r="G83" s="7"/>
      <c r="H83" s="76"/>
      <c r="I83" s="70"/>
      <c r="J83" s="70"/>
      <c r="K83" s="76"/>
      <c r="L83" s="76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2"/>
      <c r="F84" s="7"/>
      <c r="G84" s="7"/>
      <c r="H84" s="76"/>
      <c r="I84" s="70"/>
      <c r="J84" s="70"/>
      <c r="K84" s="76"/>
      <c r="L84" s="76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2"/>
      <c r="F85" s="7"/>
      <c r="G85" s="7"/>
      <c r="H85" s="76"/>
      <c r="I85" s="70"/>
      <c r="J85" s="70"/>
      <c r="K85" s="76"/>
      <c r="L85" s="76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2"/>
      <c r="F86" s="7"/>
      <c r="G86" s="7"/>
      <c r="H86" s="76"/>
      <c r="I86" s="70"/>
      <c r="J86" s="70"/>
      <c r="K86" s="76"/>
      <c r="L86" s="76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2"/>
      <c r="F87" s="7"/>
      <c r="G87" s="7"/>
      <c r="H87" s="76"/>
      <c r="I87" s="70"/>
      <c r="J87" s="70"/>
      <c r="K87" s="76"/>
      <c r="L87" s="76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2"/>
      <c r="F88" s="7"/>
      <c r="G88" s="7"/>
      <c r="H88" s="76"/>
      <c r="I88" s="70"/>
      <c r="J88" s="70"/>
      <c r="K88" s="76"/>
      <c r="L88" s="76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2"/>
      <c r="F89" s="7"/>
      <c r="G89" s="7"/>
      <c r="H89" s="76"/>
      <c r="I89" s="70"/>
      <c r="J89" s="70"/>
      <c r="K89" s="76"/>
      <c r="L89" s="76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2"/>
      <c r="F90" s="7"/>
      <c r="G90" s="7"/>
      <c r="H90" s="76"/>
      <c r="I90" s="70"/>
      <c r="J90" s="70"/>
      <c r="K90" s="76"/>
      <c r="L90" s="76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2"/>
      <c r="F91" s="7"/>
      <c r="G91" s="7"/>
      <c r="H91" s="76"/>
      <c r="I91" s="70"/>
      <c r="J91" s="70"/>
      <c r="K91" s="76"/>
      <c r="L91" s="76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2"/>
      <c r="F92" s="7"/>
      <c r="G92" s="7"/>
      <c r="H92" s="76"/>
      <c r="I92" s="70"/>
      <c r="J92" s="70"/>
      <c r="K92" s="76"/>
      <c r="L92" s="76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2"/>
      <c r="F93" s="7"/>
      <c r="G93" s="7"/>
      <c r="H93" s="76"/>
      <c r="I93" s="70"/>
      <c r="J93" s="70"/>
      <c r="K93" s="76"/>
      <c r="L93" s="76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2"/>
      <c r="F94" s="7"/>
      <c r="G94" s="7"/>
      <c r="H94" s="76"/>
      <c r="I94" s="70"/>
      <c r="J94" s="70"/>
      <c r="K94" s="76"/>
      <c r="L94" s="76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2"/>
      <c r="F95" s="7"/>
      <c r="G95" s="7"/>
      <c r="H95" s="76"/>
      <c r="I95" s="70"/>
      <c r="J95" s="70"/>
      <c r="K95" s="76"/>
      <c r="L95" s="76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2"/>
      <c r="F96" s="7"/>
      <c r="G96" s="7"/>
      <c r="H96" s="76"/>
      <c r="I96" s="70"/>
      <c r="J96" s="70"/>
      <c r="K96" s="76"/>
      <c r="L96" s="76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2"/>
      <c r="F97" s="7"/>
      <c r="G97" s="7"/>
      <c r="H97" s="76"/>
      <c r="I97" s="70"/>
      <c r="J97" s="70"/>
      <c r="K97" s="76"/>
      <c r="L97" s="76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2"/>
      <c r="F98" s="7"/>
      <c r="G98" s="7"/>
      <c r="H98" s="76"/>
      <c r="I98" s="70"/>
      <c r="J98" s="70"/>
      <c r="K98" s="76"/>
      <c r="L98" s="76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2"/>
      <c r="F99" s="7"/>
      <c r="G99" s="7"/>
      <c r="H99" s="76"/>
      <c r="I99" s="70"/>
      <c r="J99" s="70"/>
      <c r="K99" s="76"/>
      <c r="L99" s="76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2"/>
      <c r="F100" s="7"/>
      <c r="G100" s="7"/>
      <c r="H100" s="76"/>
      <c r="I100" s="70"/>
      <c r="J100" s="70"/>
      <c r="K100" s="76"/>
      <c r="L100" s="76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2"/>
      <c r="F101" s="7"/>
      <c r="G101" s="7"/>
      <c r="H101" s="76"/>
      <c r="I101" s="70"/>
      <c r="J101" s="70"/>
      <c r="K101" s="76"/>
      <c r="L101" s="76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2"/>
      <c r="F102" s="7"/>
      <c r="G102" s="7"/>
      <c r="H102" s="76"/>
      <c r="I102" s="70"/>
      <c r="J102" s="70"/>
      <c r="K102" s="76"/>
      <c r="L102" s="76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2"/>
      <c r="F103" s="7"/>
      <c r="G103" s="7"/>
      <c r="H103" s="76"/>
      <c r="I103" s="70"/>
      <c r="J103" s="70"/>
      <c r="K103" s="76"/>
      <c r="L103" s="76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2"/>
      <c r="F104" s="7"/>
      <c r="G104" s="7"/>
      <c r="H104" s="76"/>
      <c r="I104" s="70"/>
      <c r="J104" s="70"/>
      <c r="K104" s="76"/>
      <c r="L104" s="76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2"/>
      <c r="F105" s="7"/>
      <c r="G105" s="7"/>
      <c r="H105" s="76"/>
      <c r="I105" s="70"/>
      <c r="J105" s="70"/>
      <c r="K105" s="76"/>
      <c r="L105" s="76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2"/>
      <c r="F106" s="7"/>
      <c r="G106" s="7"/>
      <c r="H106" s="76"/>
      <c r="I106" s="70"/>
      <c r="J106" s="70"/>
      <c r="K106" s="76"/>
      <c r="L106" s="76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2"/>
      <c r="F107" s="7"/>
      <c r="G107" s="7"/>
      <c r="H107" s="76"/>
      <c r="I107" s="70"/>
      <c r="J107" s="70"/>
      <c r="K107" s="76"/>
      <c r="L107" s="76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2"/>
      <c r="F108" s="7"/>
      <c r="G108" s="7"/>
      <c r="H108" s="76"/>
      <c r="I108" s="70"/>
      <c r="J108" s="70"/>
      <c r="K108" s="76"/>
      <c r="L108" s="76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2"/>
      <c r="F109" s="7"/>
      <c r="G109" s="7"/>
      <c r="H109" s="76"/>
      <c r="I109" s="70"/>
      <c r="J109" s="70"/>
      <c r="K109" s="76"/>
      <c r="L109" s="76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2"/>
      <c r="F110" s="7"/>
      <c r="G110" s="7"/>
      <c r="H110" s="76"/>
      <c r="I110" s="70"/>
      <c r="J110" s="70"/>
      <c r="K110" s="76"/>
      <c r="L110" s="76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2"/>
      <c r="F111" s="7"/>
      <c r="G111" s="7"/>
      <c r="H111" s="76"/>
      <c r="I111" s="70"/>
      <c r="J111" s="70"/>
      <c r="K111" s="76"/>
      <c r="L111" s="76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2"/>
      <c r="F112" s="7"/>
      <c r="G112" s="7"/>
      <c r="H112" s="76"/>
      <c r="I112" s="70"/>
      <c r="J112" s="70"/>
      <c r="K112" s="76"/>
      <c r="L112" s="76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2"/>
      <c r="F113" s="7"/>
      <c r="G113" s="7"/>
      <c r="H113" s="76"/>
      <c r="I113" s="70"/>
      <c r="J113" s="70"/>
      <c r="K113" s="76"/>
      <c r="L113" s="76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2"/>
      <c r="F114" s="7"/>
      <c r="G114" s="7"/>
      <c r="H114" s="76"/>
      <c r="I114" s="70"/>
      <c r="J114" s="70"/>
      <c r="K114" s="76"/>
      <c r="L114" s="76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2"/>
      <c r="F115" s="7"/>
      <c r="G115" s="7"/>
      <c r="H115" s="76"/>
      <c r="I115" s="70"/>
      <c r="J115" s="70"/>
      <c r="K115" s="76"/>
      <c r="L115" s="76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2"/>
      <c r="F116" s="7"/>
      <c r="G116" s="7"/>
      <c r="H116" s="76"/>
      <c r="I116" s="70"/>
      <c r="J116" s="70"/>
      <c r="K116" s="76"/>
      <c r="L116" s="76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2"/>
      <c r="F117" s="7"/>
      <c r="G117" s="7"/>
      <c r="H117" s="76"/>
      <c r="I117" s="70"/>
      <c r="J117" s="70"/>
      <c r="K117" s="76"/>
      <c r="L117" s="76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2"/>
      <c r="F118" s="7"/>
      <c r="G118" s="7"/>
      <c r="H118" s="76"/>
      <c r="I118" s="70"/>
      <c r="J118" s="70"/>
      <c r="K118" s="76"/>
      <c r="L118" s="76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2"/>
      <c r="F119" s="7"/>
      <c r="G119" s="7"/>
      <c r="H119" s="76"/>
      <c r="I119" s="70"/>
      <c r="J119" s="70"/>
      <c r="K119" s="76"/>
      <c r="L119" s="76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2"/>
      <c r="F120" s="7"/>
      <c r="G120" s="7"/>
      <c r="H120" s="76"/>
      <c r="I120" s="70"/>
      <c r="J120" s="70"/>
      <c r="K120" s="76"/>
      <c r="L120" s="76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2"/>
      <c r="F121" s="7"/>
      <c r="G121" s="7"/>
      <c r="H121" s="76"/>
      <c r="I121" s="70"/>
      <c r="J121" s="70"/>
      <c r="K121" s="76"/>
      <c r="L121" s="76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2"/>
      <c r="F122" s="7"/>
      <c r="G122" s="7"/>
      <c r="H122" s="76"/>
      <c r="I122" s="70"/>
      <c r="J122" s="70"/>
      <c r="K122" s="76"/>
      <c r="L122" s="76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2"/>
      <c r="F123" s="7"/>
      <c r="G123" s="7"/>
      <c r="H123" s="76"/>
      <c r="I123" s="70"/>
      <c r="J123" s="70"/>
      <c r="K123" s="76"/>
      <c r="L123" s="76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2"/>
      <c r="F124" s="7"/>
      <c r="G124" s="7"/>
      <c r="H124" s="76"/>
      <c r="I124" s="70"/>
      <c r="J124" s="70"/>
      <c r="K124" s="76"/>
      <c r="L124" s="76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2"/>
      <c r="F125" s="7"/>
      <c r="G125" s="7"/>
      <c r="H125" s="76"/>
      <c r="I125" s="70"/>
      <c r="J125" s="70"/>
      <c r="K125" s="76"/>
      <c r="L125" s="76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2"/>
      <c r="F126" s="7"/>
      <c r="G126" s="7"/>
      <c r="H126" s="76"/>
      <c r="I126" s="70"/>
      <c r="J126" s="70"/>
      <c r="K126" s="76"/>
      <c r="L126" s="76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2"/>
      <c r="F127" s="7"/>
      <c r="G127" s="7"/>
      <c r="H127" s="76"/>
      <c r="I127" s="70"/>
      <c r="J127" s="70"/>
      <c r="K127" s="76"/>
      <c r="L127" s="76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2"/>
      <c r="F128" s="7"/>
      <c r="G128" s="7"/>
      <c r="H128" s="76"/>
      <c r="I128" s="70"/>
      <c r="J128" s="70"/>
      <c r="K128" s="76"/>
      <c r="L128" s="76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2"/>
      <c r="F129" s="7"/>
      <c r="G129" s="7"/>
      <c r="H129" s="76"/>
      <c r="I129" s="70"/>
      <c r="J129" s="70"/>
      <c r="K129" s="76"/>
      <c r="L129" s="76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2"/>
      <c r="F130" s="7"/>
      <c r="G130" s="7"/>
      <c r="H130" s="76"/>
      <c r="I130" s="70"/>
      <c r="J130" s="70"/>
      <c r="K130" s="76"/>
      <c r="L130" s="76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2"/>
      <c r="F131" s="7"/>
      <c r="G131" s="7"/>
      <c r="H131" s="76"/>
      <c r="I131" s="70"/>
      <c r="J131" s="70"/>
      <c r="K131" s="76"/>
      <c r="L131" s="76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2"/>
      <c r="F132" s="7"/>
      <c r="G132" s="7"/>
      <c r="H132" s="76"/>
      <c r="I132" s="70"/>
      <c r="J132" s="70"/>
      <c r="K132" s="76"/>
      <c r="L132" s="76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2"/>
      <c r="F133" s="7"/>
      <c r="G133" s="7"/>
      <c r="H133" s="76"/>
      <c r="I133" s="70"/>
      <c r="J133" s="70"/>
      <c r="K133" s="76"/>
      <c r="L133" s="76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2"/>
      <c r="F134" s="7"/>
      <c r="G134" s="7"/>
      <c r="H134" s="76"/>
      <c r="I134" s="70"/>
      <c r="J134" s="70"/>
      <c r="K134" s="76"/>
      <c r="L134" s="76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2"/>
      <c r="F135" s="7"/>
      <c r="G135" s="7"/>
      <c r="H135" s="76"/>
      <c r="I135" s="70"/>
      <c r="J135" s="70"/>
      <c r="K135" s="76"/>
      <c r="L135" s="76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2"/>
      <c r="F136" s="7"/>
      <c r="G136" s="7"/>
      <c r="H136" s="76"/>
      <c r="I136" s="70"/>
      <c r="J136" s="70"/>
      <c r="K136" s="76"/>
      <c r="L136" s="76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2"/>
      <c r="F137" s="7"/>
      <c r="G137" s="7"/>
      <c r="H137" s="76"/>
      <c r="I137" s="70"/>
      <c r="J137" s="70"/>
      <c r="K137" s="76"/>
      <c r="L137" s="76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2"/>
      <c r="F138" s="7"/>
      <c r="G138" s="7"/>
      <c r="H138" s="76"/>
      <c r="I138" s="70"/>
      <c r="J138" s="70"/>
      <c r="K138" s="76"/>
      <c r="L138" s="76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2"/>
      <c r="F139" s="7"/>
      <c r="G139" s="7"/>
      <c r="H139" s="76"/>
      <c r="I139" s="70"/>
      <c r="J139" s="70"/>
      <c r="K139" s="76"/>
      <c r="L139" s="76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2"/>
      <c r="F140" s="7"/>
      <c r="G140" s="7"/>
      <c r="H140" s="76"/>
      <c r="I140" s="70"/>
      <c r="J140" s="70"/>
      <c r="K140" s="76"/>
      <c r="L140" s="76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2"/>
      <c r="F141" s="7"/>
      <c r="G141" s="7"/>
      <c r="H141" s="76"/>
      <c r="I141" s="70"/>
      <c r="J141" s="70"/>
      <c r="K141" s="76"/>
      <c r="L141" s="76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2"/>
      <c r="F142" s="7"/>
      <c r="G142" s="7"/>
      <c r="H142" s="76"/>
      <c r="I142" s="70"/>
      <c r="J142" s="70"/>
      <c r="K142" s="76"/>
      <c r="L142" s="76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2"/>
      <c r="F143" s="7"/>
      <c r="G143" s="7"/>
      <c r="H143" s="76"/>
      <c r="I143" s="70"/>
      <c r="J143" s="70"/>
      <c r="K143" s="76"/>
      <c r="L143" s="76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2"/>
      <c r="F144" s="7"/>
      <c r="G144" s="7"/>
      <c r="H144" s="76"/>
      <c r="I144" s="70"/>
      <c r="J144" s="70"/>
      <c r="K144" s="76"/>
      <c r="L144" s="76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2"/>
      <c r="F145" s="7"/>
      <c r="G145" s="7"/>
      <c r="H145" s="76"/>
      <c r="I145" s="70"/>
      <c r="J145" s="70"/>
      <c r="K145" s="76"/>
      <c r="L145" s="76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2"/>
      <c r="F146" s="7"/>
      <c r="G146" s="7"/>
      <c r="H146" s="76"/>
      <c r="I146" s="70"/>
      <c r="J146" s="70"/>
      <c r="K146" s="76"/>
      <c r="L146" s="76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2"/>
      <c r="F147" s="7"/>
      <c r="G147" s="7"/>
      <c r="H147" s="76"/>
      <c r="I147" s="70"/>
      <c r="J147" s="70"/>
      <c r="K147" s="76"/>
      <c r="L147" s="76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2"/>
      <c r="F148" s="7"/>
      <c r="G148" s="7"/>
      <c r="H148" s="76"/>
      <c r="I148" s="70"/>
      <c r="J148" s="70"/>
      <c r="K148" s="76"/>
      <c r="L148" s="76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2"/>
      <c r="F149" s="7"/>
      <c r="G149" s="7"/>
      <c r="H149" s="76"/>
      <c r="I149" s="70"/>
      <c r="J149" s="70"/>
      <c r="K149" s="76"/>
      <c r="L149" s="76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2"/>
      <c r="F150" s="7"/>
      <c r="G150" s="7"/>
      <c r="H150" s="76"/>
      <c r="I150" s="70"/>
      <c r="J150" s="70"/>
      <c r="K150" s="76"/>
      <c r="L150" s="76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2"/>
      <c r="F151" s="7"/>
      <c r="G151" s="7"/>
      <c r="H151" s="76"/>
      <c r="I151" s="70"/>
      <c r="J151" s="70"/>
      <c r="K151" s="76"/>
      <c r="L151" s="76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2"/>
      <c r="F152" s="7"/>
      <c r="G152" s="7"/>
      <c r="H152" s="76"/>
      <c r="I152" s="70"/>
      <c r="J152" s="70"/>
      <c r="K152" s="76"/>
      <c r="L152" s="76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2"/>
      <c r="F153" s="7"/>
      <c r="G153" s="7"/>
      <c r="H153" s="76"/>
      <c r="I153" s="70"/>
      <c r="J153" s="70"/>
      <c r="K153" s="76"/>
      <c r="L153" s="76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2"/>
      <c r="F154" s="7"/>
      <c r="G154" s="7"/>
      <c r="H154" s="76"/>
      <c r="I154" s="70"/>
      <c r="J154" s="70"/>
      <c r="K154" s="76"/>
      <c r="L154" s="76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2"/>
      <c r="F155" s="7"/>
      <c r="G155" s="7"/>
      <c r="H155" s="76"/>
      <c r="I155" s="70"/>
      <c r="J155" s="70"/>
      <c r="K155" s="76"/>
      <c r="L155" s="76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2"/>
      <c r="F156" s="7"/>
      <c r="G156" s="7"/>
      <c r="H156" s="76"/>
      <c r="I156" s="70"/>
      <c r="J156" s="70"/>
      <c r="K156" s="76"/>
      <c r="L156" s="76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2"/>
      <c r="F157" s="7"/>
      <c r="G157" s="7"/>
      <c r="H157" s="76"/>
      <c r="I157" s="70"/>
      <c r="J157" s="70"/>
      <c r="K157" s="76"/>
      <c r="L157" s="76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2"/>
      <c r="F158" s="7"/>
      <c r="G158" s="7"/>
      <c r="H158" s="76"/>
      <c r="I158" s="70"/>
      <c r="J158" s="70"/>
      <c r="K158" s="76"/>
      <c r="L158" s="76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2"/>
      <c r="F159" s="7"/>
      <c r="G159" s="7"/>
      <c r="H159" s="76"/>
      <c r="I159" s="70"/>
      <c r="J159" s="70"/>
      <c r="K159" s="76"/>
      <c r="L159" s="76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2"/>
      <c r="F160" s="7"/>
      <c r="G160" s="7"/>
      <c r="H160" s="76"/>
      <c r="I160" s="70"/>
      <c r="J160" s="70"/>
      <c r="K160" s="76"/>
      <c r="L160" s="76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2"/>
      <c r="F161" s="7"/>
      <c r="G161" s="7"/>
      <c r="H161" s="76"/>
      <c r="I161" s="70"/>
      <c r="J161" s="70"/>
      <c r="K161" s="76"/>
      <c r="L161" s="76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2"/>
      <c r="F162" s="7"/>
      <c r="G162" s="7"/>
      <c r="H162" s="76"/>
      <c r="I162" s="70"/>
      <c r="J162" s="70"/>
      <c r="K162" s="76"/>
      <c r="L162" s="76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2"/>
      <c r="F163" s="7"/>
      <c r="G163" s="7"/>
      <c r="H163" s="76"/>
      <c r="I163" s="70"/>
      <c r="J163" s="70"/>
      <c r="K163" s="76"/>
      <c r="L163" s="76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2"/>
      <c r="F164" s="7"/>
      <c r="G164" s="7"/>
      <c r="H164" s="76"/>
      <c r="I164" s="70"/>
      <c r="J164" s="70"/>
      <c r="K164" s="76"/>
      <c r="L164" s="76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2"/>
      <c r="F165" s="7"/>
      <c r="G165" s="7"/>
      <c r="H165" s="76"/>
      <c r="I165" s="70"/>
      <c r="J165" s="70"/>
      <c r="K165" s="76"/>
      <c r="L165" s="76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2"/>
      <c r="F166" s="7"/>
      <c r="G166" s="7"/>
      <c r="H166" s="76"/>
      <c r="I166" s="70"/>
      <c r="J166" s="70"/>
      <c r="K166" s="76"/>
      <c r="L166" s="76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2"/>
      <c r="F167" s="7"/>
      <c r="G167" s="7"/>
      <c r="H167" s="76"/>
      <c r="I167" s="70"/>
      <c r="J167" s="70"/>
      <c r="K167" s="76"/>
      <c r="L167" s="76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2"/>
      <c r="F168" s="7"/>
      <c r="G168" s="7"/>
      <c r="H168" s="76"/>
      <c r="I168" s="70"/>
      <c r="J168" s="70"/>
      <c r="K168" s="76"/>
      <c r="L168" s="76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2"/>
      <c r="F169" s="7"/>
      <c r="G169" s="7"/>
      <c r="H169" s="76"/>
      <c r="I169" s="70"/>
      <c r="J169" s="70"/>
      <c r="K169" s="76"/>
      <c r="L169" s="76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2"/>
      <c r="F170" s="7"/>
      <c r="G170" s="7"/>
      <c r="H170" s="76"/>
      <c r="I170" s="70"/>
      <c r="J170" s="70"/>
      <c r="K170" s="76"/>
      <c r="L170" s="76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2"/>
      <c r="F171" s="7"/>
      <c r="G171" s="7"/>
      <c r="H171" s="76"/>
      <c r="I171" s="70"/>
      <c r="J171" s="70"/>
      <c r="K171" s="76"/>
      <c r="L171" s="76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2"/>
      <c r="F172" s="7"/>
      <c r="G172" s="7"/>
      <c r="H172" s="76"/>
      <c r="I172" s="70"/>
      <c r="J172" s="70"/>
      <c r="K172" s="76"/>
      <c r="L172" s="76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2"/>
      <c r="F173" s="7"/>
      <c r="G173" s="7"/>
      <c r="H173" s="76"/>
      <c r="I173" s="70"/>
      <c r="J173" s="70"/>
      <c r="K173" s="76"/>
      <c r="L173" s="76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2"/>
      <c r="F174" s="7"/>
      <c r="G174" s="7"/>
      <c r="H174" s="76"/>
      <c r="I174" s="70"/>
      <c r="J174" s="70"/>
      <c r="K174" s="76"/>
      <c r="L174" s="76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2"/>
      <c r="F175" s="7"/>
      <c r="G175" s="7"/>
      <c r="H175" s="76"/>
      <c r="I175" s="70"/>
      <c r="J175" s="70"/>
      <c r="K175" s="76"/>
      <c r="L175" s="76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2"/>
      <c r="F176" s="7"/>
      <c r="G176" s="7"/>
      <c r="H176" s="76"/>
      <c r="I176" s="70"/>
      <c r="J176" s="70"/>
      <c r="K176" s="76"/>
      <c r="L176" s="76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2"/>
      <c r="F177" s="7"/>
      <c r="G177" s="7"/>
      <c r="H177" s="76"/>
      <c r="I177" s="70"/>
      <c r="J177" s="70"/>
      <c r="K177" s="76"/>
      <c r="L177" s="76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2"/>
      <c r="F178" s="7"/>
      <c r="G178" s="7"/>
      <c r="H178" s="76"/>
      <c r="I178" s="70"/>
      <c r="J178" s="70"/>
      <c r="K178" s="76"/>
      <c r="L178" s="76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2"/>
      <c r="F179" s="7"/>
      <c r="G179" s="7"/>
      <c r="H179" s="76"/>
      <c r="I179" s="70"/>
      <c r="J179" s="70"/>
      <c r="K179" s="76"/>
      <c r="L179" s="76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2"/>
      <c r="F180" s="7"/>
      <c r="G180" s="7"/>
      <c r="H180" s="76"/>
      <c r="I180" s="70"/>
      <c r="J180" s="70"/>
      <c r="K180" s="76"/>
      <c r="L180" s="76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2"/>
      <c r="F181" s="7"/>
      <c r="G181" s="7"/>
      <c r="H181" s="76"/>
      <c r="I181" s="70"/>
      <c r="J181" s="70"/>
      <c r="K181" s="76"/>
      <c r="L181" s="76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2"/>
      <c r="F182" s="7"/>
      <c r="G182" s="7"/>
      <c r="H182" s="76"/>
      <c r="I182" s="70"/>
      <c r="J182" s="70"/>
      <c r="K182" s="76"/>
      <c r="L182" s="76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2"/>
      <c r="F183" s="7"/>
      <c r="G183" s="7"/>
      <c r="H183" s="76"/>
      <c r="I183" s="70"/>
      <c r="J183" s="70"/>
      <c r="K183" s="76"/>
      <c r="L183" s="76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2"/>
      <c r="F184" s="7"/>
      <c r="G184" s="7"/>
      <c r="H184" s="76"/>
      <c r="I184" s="70"/>
      <c r="J184" s="70"/>
      <c r="K184" s="76"/>
      <c r="L184" s="76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2"/>
      <c r="F185" s="7"/>
      <c r="G185" s="7"/>
      <c r="H185" s="76"/>
      <c r="I185" s="70"/>
      <c r="J185" s="70"/>
      <c r="K185" s="76"/>
      <c r="L185" s="76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2"/>
      <c r="F186" s="7"/>
      <c r="G186" s="7"/>
      <c r="H186" s="76"/>
      <c r="I186" s="70"/>
      <c r="J186" s="70"/>
      <c r="K186" s="76"/>
      <c r="L186" s="76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2"/>
      <c r="F187" s="7"/>
      <c r="G187" s="7"/>
      <c r="H187" s="76"/>
      <c r="I187" s="70"/>
      <c r="J187" s="70"/>
      <c r="K187" s="76"/>
      <c r="L187" s="76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6"/>
      <c r="I188" s="70"/>
      <c r="J188" s="70"/>
      <c r="K188" s="76"/>
      <c r="L188" s="76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6"/>
      <c r="I189" s="70"/>
      <c r="J189" s="70"/>
      <c r="K189" s="76"/>
      <c r="L189" s="76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6"/>
      <c r="I190" s="70"/>
      <c r="J190" s="70"/>
      <c r="K190" s="76"/>
      <c r="L190" s="76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6"/>
      <c r="I191" s="70"/>
      <c r="J191" s="70"/>
      <c r="K191" s="76"/>
      <c r="L191" s="76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6"/>
      <c r="I192" s="70"/>
      <c r="J192" s="70"/>
      <c r="K192" s="76"/>
      <c r="L192" s="76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6"/>
      <c r="I193" s="70"/>
      <c r="J193" s="70"/>
      <c r="K193" s="76"/>
      <c r="L193" s="76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6"/>
      <c r="I194" s="70"/>
      <c r="J194" s="70"/>
      <c r="K194" s="76"/>
      <c r="L194" s="76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6"/>
      <c r="I195" s="70"/>
      <c r="J195" s="70"/>
      <c r="K195" s="76"/>
      <c r="L195" s="76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6"/>
      <c r="I196" s="70"/>
      <c r="J196" s="70"/>
      <c r="K196" s="76"/>
      <c r="L196" s="76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6"/>
      <c r="I197" s="70"/>
      <c r="J197" s="70"/>
      <c r="K197" s="76"/>
      <c r="L197" s="76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6"/>
      <c r="I198" s="70"/>
      <c r="J198" s="70"/>
      <c r="K198" s="76"/>
      <c r="L198" s="76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6"/>
      <c r="I199" s="70"/>
      <c r="J199" s="70"/>
      <c r="K199" s="76"/>
      <c r="L199" s="76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6"/>
      <c r="I200" s="70"/>
      <c r="J200" s="70"/>
      <c r="K200" s="76"/>
      <c r="L200" s="76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6"/>
      <c r="I201" s="70"/>
      <c r="J201" s="70"/>
      <c r="K201" s="76"/>
      <c r="L201" s="76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6"/>
      <c r="I202" s="70"/>
      <c r="J202" s="70"/>
      <c r="K202" s="76"/>
      <c r="L202" s="76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6"/>
      <c r="I203" s="70"/>
      <c r="J203" s="70"/>
      <c r="K203" s="76"/>
      <c r="L203" s="76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6"/>
      <c r="I204" s="70"/>
      <c r="J204" s="70"/>
      <c r="K204" s="76"/>
      <c r="L204" s="76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6"/>
      <c r="I205" s="70"/>
      <c r="J205" s="70"/>
      <c r="K205" s="76"/>
      <c r="L205" s="76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6"/>
      <c r="I206" s="70"/>
      <c r="J206" s="70"/>
      <c r="K206" s="76"/>
      <c r="L206" s="76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6"/>
      <c r="I207" s="70"/>
      <c r="J207" s="70"/>
      <c r="K207" s="76"/>
      <c r="L207" s="76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6"/>
      <c r="I208" s="70"/>
      <c r="J208" s="70"/>
      <c r="K208" s="76"/>
      <c r="L208" s="76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6"/>
      <c r="I209" s="70"/>
      <c r="J209" s="70"/>
      <c r="K209" s="76"/>
      <c r="L209" s="76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6"/>
      <c r="I210" s="70"/>
      <c r="J210" s="70"/>
      <c r="K210" s="76"/>
      <c r="L210" s="76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6"/>
      <c r="I211" s="70"/>
      <c r="J211" s="70"/>
      <c r="K211" s="76"/>
      <c r="L211" s="76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6"/>
      <c r="I212" s="70"/>
      <c r="J212" s="70"/>
      <c r="K212" s="76"/>
      <c r="L212" s="76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6"/>
      <c r="I213" s="70"/>
      <c r="J213" s="70"/>
      <c r="K213" s="76"/>
      <c r="L213" s="76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6"/>
      <c r="I214" s="70"/>
      <c r="J214" s="70"/>
      <c r="K214" s="76"/>
      <c r="L214" s="76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6"/>
      <c r="I215" s="70"/>
      <c r="J215" s="70"/>
      <c r="K215" s="76"/>
      <c r="L215" s="76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6"/>
      <c r="I216" s="70"/>
      <c r="J216" s="70"/>
      <c r="K216" s="76"/>
      <c r="L216" s="76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6"/>
      <c r="I217" s="70"/>
      <c r="J217" s="70"/>
      <c r="K217" s="76"/>
      <c r="L217" s="76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6"/>
      <c r="I218" s="70"/>
      <c r="J218" s="70"/>
      <c r="K218" s="76"/>
      <c r="L218" s="76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6"/>
      <c r="I219" s="70"/>
      <c r="J219" s="70"/>
      <c r="K219" s="76"/>
      <c r="L219" s="76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6"/>
      <c r="I220" s="70"/>
      <c r="J220" s="70"/>
      <c r="K220" s="76"/>
      <c r="L220" s="76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6"/>
      <c r="I221" s="70"/>
      <c r="J221" s="70"/>
      <c r="K221" s="76"/>
      <c r="L221" s="76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6"/>
      <c r="I222" s="70"/>
      <c r="J222" s="70"/>
      <c r="K222" s="76"/>
      <c r="L222" s="76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6"/>
      <c r="I223" s="70"/>
      <c r="J223" s="70"/>
      <c r="K223" s="76"/>
      <c r="L223" s="76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6"/>
      <c r="I224" s="70"/>
      <c r="J224" s="70"/>
      <c r="K224" s="76"/>
      <c r="L224" s="76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6"/>
      <c r="I225" s="70"/>
      <c r="J225" s="70"/>
      <c r="K225" s="76"/>
      <c r="L225" s="76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6"/>
      <c r="I226" s="70"/>
      <c r="J226" s="70"/>
      <c r="K226" s="76"/>
      <c r="L226" s="76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6"/>
      <c r="I227" s="70"/>
      <c r="J227" s="70"/>
      <c r="K227" s="76"/>
      <c r="L227" s="76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6"/>
      <c r="I228" s="70"/>
      <c r="J228" s="70"/>
      <c r="K228" s="76"/>
      <c r="L228" s="76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6"/>
      <c r="I229" s="70"/>
      <c r="J229" s="70"/>
      <c r="K229" s="76"/>
      <c r="L229" s="76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6"/>
      <c r="I230" s="70"/>
      <c r="J230" s="70"/>
      <c r="K230" s="76"/>
      <c r="L230" s="76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6"/>
      <c r="I231" s="70"/>
      <c r="J231" s="70"/>
      <c r="K231" s="76"/>
      <c r="L231" s="76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6"/>
      <c r="I232" s="70"/>
      <c r="J232" s="70"/>
      <c r="K232" s="76"/>
      <c r="L232" s="76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6"/>
      <c r="I233" s="70"/>
      <c r="J233" s="70"/>
      <c r="K233" s="76"/>
      <c r="L233" s="76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6"/>
      <c r="I234" s="70"/>
      <c r="J234" s="70"/>
      <c r="K234" s="76"/>
      <c r="L234" s="76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6"/>
      <c r="I235" s="70"/>
      <c r="J235" s="70"/>
      <c r="K235" s="76"/>
      <c r="L235" s="76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6"/>
      <c r="I236" s="70"/>
      <c r="J236" s="70"/>
      <c r="K236" s="76"/>
      <c r="L236" s="76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6"/>
      <c r="I237" s="70"/>
      <c r="J237" s="70"/>
      <c r="K237" s="76"/>
      <c r="L237" s="76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6"/>
      <c r="I238" s="70"/>
      <c r="J238" s="70"/>
      <c r="K238" s="76"/>
      <c r="L238" s="76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6"/>
      <c r="I239" s="70"/>
      <c r="J239" s="70"/>
      <c r="K239" s="76"/>
      <c r="L239" s="76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6"/>
      <c r="I240" s="70"/>
      <c r="J240" s="70"/>
      <c r="K240" s="76"/>
      <c r="L240" s="76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6"/>
      <c r="I241" s="70"/>
      <c r="J241" s="70"/>
      <c r="K241" s="76"/>
      <c r="L241" s="76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6"/>
      <c r="I242" s="70"/>
      <c r="J242" s="70"/>
      <c r="K242" s="76"/>
      <c r="L242" s="76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6"/>
      <c r="I243" s="70"/>
      <c r="J243" s="70"/>
      <c r="K243" s="76"/>
      <c r="L243" s="76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6"/>
      <c r="I244" s="70"/>
      <c r="J244" s="70"/>
      <c r="K244" s="76"/>
      <c r="L244" s="76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6"/>
      <c r="I245" s="70"/>
      <c r="J245" s="70"/>
      <c r="K245" s="76"/>
      <c r="L245" s="76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6"/>
      <c r="I246" s="70"/>
      <c r="J246" s="70"/>
      <c r="K246" s="76"/>
      <c r="L246" s="76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6"/>
      <c r="I247" s="70"/>
      <c r="J247" s="70"/>
      <c r="K247" s="76"/>
      <c r="L247" s="76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6"/>
      <c r="I248" s="70"/>
      <c r="J248" s="70"/>
      <c r="K248" s="76"/>
      <c r="L248" s="76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6"/>
      <c r="I249" s="70"/>
      <c r="J249" s="70"/>
      <c r="K249" s="76"/>
      <c r="L249" s="76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6"/>
      <c r="I250" s="70"/>
      <c r="J250" s="70"/>
      <c r="K250" s="76"/>
      <c r="L250" s="76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6"/>
      <c r="I251" s="70"/>
      <c r="J251" s="70"/>
      <c r="K251" s="76"/>
      <c r="L251" s="76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6"/>
      <c r="I252" s="70"/>
      <c r="J252" s="70"/>
      <c r="K252" s="76"/>
      <c r="L252" s="76"/>
      <c r="M252" s="7"/>
      <c r="N252" s="7"/>
      <c r="O252" s="7"/>
      <c r="P252" s="7"/>
    </row>
    <row r="253" spans="1:16" ht="15.75" customHeight="1">
      <c r="A253" s="7"/>
      <c r="B253" s="7"/>
      <c r="C253" s="17"/>
      <c r="D253" s="7"/>
      <c r="E253" s="7"/>
      <c r="F253" s="7"/>
      <c r="G253" s="7"/>
      <c r="H253" s="76"/>
      <c r="I253" s="70"/>
      <c r="J253" s="70"/>
      <c r="K253" s="76"/>
      <c r="L253" s="76"/>
      <c r="M253" s="7"/>
      <c r="N253" s="7"/>
      <c r="O253" s="7"/>
      <c r="P253" s="7"/>
    </row>
    <row r="254" spans="1:16" ht="15.75" customHeight="1">
      <c r="A254" s="7"/>
      <c r="B254" s="7"/>
      <c r="C254" s="17"/>
      <c r="D254" s="7"/>
      <c r="E254" s="7"/>
      <c r="F254" s="7"/>
      <c r="G254" s="7"/>
      <c r="H254" s="76"/>
      <c r="I254" s="70"/>
      <c r="J254" s="70"/>
      <c r="K254" s="76"/>
      <c r="L254" s="76"/>
      <c r="M254" s="7"/>
      <c r="N254" s="7"/>
      <c r="O254" s="7"/>
      <c r="P254" s="7"/>
    </row>
    <row r="255" spans="1:16" ht="15.75" customHeight="1">
      <c r="A255" s="7"/>
      <c r="B255" s="7"/>
      <c r="C255" s="17"/>
      <c r="D255" s="7"/>
      <c r="E255" s="7"/>
      <c r="F255" s="7"/>
      <c r="G255" s="7"/>
      <c r="H255" s="76"/>
      <c r="I255" s="70"/>
      <c r="J255" s="70"/>
      <c r="K255" s="76"/>
      <c r="L255" s="76"/>
      <c r="M255" s="7"/>
      <c r="N255" s="7"/>
      <c r="O255" s="7"/>
      <c r="P255" s="7"/>
    </row>
    <row r="256" spans="1:16" ht="15.75" customHeight="1">
      <c r="A256" s="7"/>
      <c r="B256" s="7"/>
      <c r="C256" s="17"/>
      <c r="D256" s="7"/>
      <c r="E256" s="7"/>
      <c r="F256" s="7"/>
      <c r="G256" s="7"/>
      <c r="H256" s="76"/>
      <c r="I256" s="70"/>
      <c r="J256" s="70"/>
      <c r="K256" s="76"/>
      <c r="L256" s="76"/>
      <c r="M256" s="7"/>
      <c r="N256" s="7"/>
      <c r="O256" s="7"/>
      <c r="P256" s="7"/>
    </row>
    <row r="257" spans="1:16" ht="15.75" customHeight="1">
      <c r="A257" s="7"/>
      <c r="B257" s="7"/>
      <c r="C257" s="17"/>
      <c r="D257" s="7"/>
      <c r="E257" s="7"/>
      <c r="F257" s="7"/>
      <c r="G257" s="7"/>
      <c r="H257" s="76"/>
      <c r="I257" s="70"/>
      <c r="J257" s="70"/>
      <c r="K257" s="76"/>
      <c r="L257" s="76"/>
      <c r="M257" s="7"/>
      <c r="N257" s="7"/>
      <c r="O257" s="7"/>
      <c r="P257" s="7"/>
    </row>
    <row r="258" spans="1:16" ht="15.75" customHeight="1">
      <c r="A258" s="7"/>
      <c r="B258" s="7"/>
      <c r="C258" s="17"/>
      <c r="D258" s="7"/>
      <c r="E258" s="7"/>
      <c r="F258" s="7"/>
      <c r="G258" s="7"/>
      <c r="H258" s="76"/>
      <c r="I258" s="70"/>
      <c r="J258" s="70"/>
      <c r="K258" s="76"/>
      <c r="L258" s="76"/>
      <c r="M258" s="7"/>
      <c r="N258" s="7"/>
      <c r="O258" s="7"/>
      <c r="P258" s="7"/>
    </row>
    <row r="259" spans="1:16" ht="15.75" customHeight="1">
      <c r="A259" s="7"/>
      <c r="B259" s="7"/>
      <c r="C259" s="17"/>
      <c r="D259" s="7"/>
      <c r="E259" s="7"/>
      <c r="F259" s="7"/>
      <c r="G259" s="7"/>
      <c r="H259" s="76"/>
      <c r="I259" s="70"/>
      <c r="J259" s="70"/>
      <c r="K259" s="76"/>
      <c r="L259" s="76"/>
      <c r="M259" s="7"/>
      <c r="N259" s="7"/>
      <c r="O259" s="7"/>
      <c r="P259" s="7"/>
    </row>
    <row r="260" spans="1:16" ht="15.75" customHeight="1">
      <c r="A260" s="7"/>
      <c r="B260" s="7"/>
      <c r="C260" s="17"/>
      <c r="D260" s="7"/>
      <c r="E260" s="7"/>
      <c r="F260" s="7"/>
      <c r="G260" s="7"/>
      <c r="H260" s="76"/>
      <c r="I260" s="70"/>
      <c r="J260" s="70"/>
      <c r="K260" s="76"/>
      <c r="L260" s="76"/>
      <c r="M260" s="7"/>
      <c r="N260" s="7"/>
      <c r="O260" s="7"/>
      <c r="P260" s="7"/>
    </row>
    <row r="261" spans="1:16" ht="15.75" customHeight="1">
      <c r="A261" s="7"/>
      <c r="B261" s="7"/>
      <c r="C261" s="17"/>
      <c r="D261" s="7"/>
      <c r="E261" s="7"/>
      <c r="F261" s="7"/>
      <c r="G261" s="7"/>
      <c r="H261" s="76"/>
      <c r="I261" s="70"/>
      <c r="J261" s="70"/>
      <c r="K261" s="76"/>
      <c r="L261" s="76"/>
      <c r="M261" s="7"/>
      <c r="N261" s="7"/>
      <c r="O261" s="7"/>
      <c r="P261" s="7"/>
    </row>
    <row r="262" spans="1:16" ht="15.75" customHeight="1">
      <c r="A262" s="7"/>
      <c r="B262" s="7"/>
      <c r="C262" s="17"/>
      <c r="D262" s="7"/>
      <c r="E262" s="7"/>
      <c r="F262" s="7"/>
      <c r="G262" s="7"/>
      <c r="H262" s="76"/>
      <c r="I262" s="70"/>
      <c r="J262" s="70"/>
      <c r="K262" s="76"/>
      <c r="L262" s="76"/>
      <c r="M262" s="7"/>
      <c r="N262" s="7"/>
      <c r="O262" s="7"/>
      <c r="P262" s="7"/>
    </row>
    <row r="263" spans="1:16" ht="15.75" customHeight="1">
      <c r="A263" s="7"/>
      <c r="B263" s="7"/>
      <c r="C263" s="17"/>
      <c r="D263" s="7"/>
      <c r="E263" s="7"/>
      <c r="F263" s="7"/>
      <c r="G263" s="7"/>
      <c r="H263" s="76"/>
      <c r="I263" s="70"/>
      <c r="J263" s="70"/>
      <c r="K263" s="76"/>
      <c r="L263" s="76"/>
      <c r="M263" s="7"/>
      <c r="N263" s="7"/>
      <c r="O263" s="7"/>
      <c r="P263" s="7"/>
    </row>
    <row r="264" spans="1:16" ht="15.75" customHeight="1">
      <c r="A264" s="7"/>
      <c r="B264" s="7"/>
      <c r="C264" s="17"/>
      <c r="D264" s="7"/>
      <c r="E264" s="7"/>
      <c r="F264" s="7"/>
      <c r="G264" s="7"/>
      <c r="H264" s="76"/>
      <c r="I264" s="70"/>
      <c r="J264" s="70"/>
      <c r="K264" s="76"/>
      <c r="L264" s="76"/>
      <c r="M264" s="7"/>
      <c r="N264" s="7"/>
      <c r="O264" s="7"/>
      <c r="P264" s="7"/>
    </row>
    <row r="265" spans="1:16" ht="15.75" customHeight="1">
      <c r="A265" s="7"/>
      <c r="B265" s="7"/>
      <c r="C265" s="17"/>
      <c r="D265" s="7"/>
      <c r="E265" s="7"/>
      <c r="F265" s="7"/>
      <c r="G265" s="7"/>
      <c r="H265" s="76"/>
      <c r="I265" s="70"/>
      <c r="J265" s="70"/>
      <c r="K265" s="76"/>
      <c r="L265" s="76"/>
      <c r="M265" s="7"/>
      <c r="N265" s="7"/>
      <c r="O265" s="7"/>
      <c r="P265" s="7"/>
    </row>
    <row r="266" spans="1:16" ht="15.75" customHeight="1">
      <c r="A266" s="7"/>
      <c r="B266" s="7"/>
      <c r="C266" s="17"/>
      <c r="D266" s="7"/>
      <c r="E266" s="7"/>
      <c r="F266" s="7"/>
      <c r="G266" s="7"/>
      <c r="H266" s="76"/>
      <c r="I266" s="70"/>
      <c r="J266" s="70"/>
      <c r="K266" s="76"/>
      <c r="L266" s="76"/>
      <c r="M266" s="7"/>
      <c r="N266" s="7"/>
      <c r="O266" s="7"/>
      <c r="P266" s="7"/>
    </row>
    <row r="267" spans="1:16" ht="15.75" customHeight="1">
      <c r="A267" s="7"/>
      <c r="B267" s="7"/>
      <c r="C267" s="17"/>
      <c r="D267" s="7"/>
      <c r="E267" s="7"/>
      <c r="F267" s="7"/>
      <c r="G267" s="7"/>
      <c r="H267" s="76"/>
      <c r="I267" s="70"/>
      <c r="J267" s="70"/>
      <c r="K267" s="76"/>
      <c r="L267" s="76"/>
      <c r="M267" s="7"/>
      <c r="N267" s="7"/>
      <c r="O267" s="7"/>
      <c r="P267" s="7"/>
    </row>
    <row r="268" spans="1:16" ht="15.75" customHeight="1">
      <c r="A268" s="7"/>
      <c r="B268" s="7"/>
      <c r="C268" s="17"/>
      <c r="D268" s="7"/>
      <c r="E268" s="7"/>
      <c r="F268" s="7"/>
      <c r="G268" s="7"/>
      <c r="H268" s="76"/>
      <c r="I268" s="70"/>
      <c r="J268" s="70"/>
      <c r="K268" s="76"/>
      <c r="L268" s="76"/>
      <c r="M268" s="7"/>
      <c r="N268" s="7"/>
      <c r="O268" s="7"/>
      <c r="P268" s="7"/>
    </row>
    <row r="269" spans="1:16" ht="15.75" customHeight="1">
      <c r="A269" s="7"/>
      <c r="B269" s="7"/>
      <c r="C269" s="17"/>
      <c r="D269" s="7"/>
      <c r="E269" s="7"/>
      <c r="F269" s="7"/>
      <c r="G269" s="7"/>
      <c r="H269" s="76"/>
      <c r="I269" s="70"/>
      <c r="J269" s="70"/>
      <c r="K269" s="76"/>
      <c r="L269" s="76"/>
      <c r="M269" s="7"/>
      <c r="N269" s="7"/>
      <c r="O269" s="7"/>
      <c r="P269" s="7"/>
    </row>
    <row r="270" spans="1:16" ht="15.75" customHeight="1">
      <c r="A270" s="7"/>
      <c r="B270" s="7"/>
      <c r="C270" s="17"/>
      <c r="D270" s="7"/>
      <c r="E270" s="7"/>
      <c r="F270" s="7"/>
      <c r="G270" s="7"/>
      <c r="H270" s="76"/>
      <c r="I270" s="70"/>
      <c r="J270" s="70"/>
      <c r="K270" s="76"/>
      <c r="L270" s="76"/>
      <c r="M270" s="7"/>
      <c r="N270" s="7"/>
      <c r="O270" s="7"/>
      <c r="P270" s="7"/>
    </row>
    <row r="271" spans="1:16" ht="15.75" customHeight="1">
      <c r="A271" s="7"/>
      <c r="B271" s="7"/>
      <c r="C271" s="17"/>
      <c r="D271" s="7"/>
      <c r="E271" s="7"/>
      <c r="F271" s="7"/>
      <c r="G271" s="7"/>
      <c r="H271" s="76"/>
      <c r="I271" s="70"/>
      <c r="J271" s="70"/>
      <c r="K271" s="76"/>
      <c r="L271" s="76"/>
      <c r="M271" s="7"/>
      <c r="N271" s="7"/>
      <c r="O271" s="7"/>
      <c r="P271" s="7"/>
    </row>
    <row r="272" spans="1:1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62" xr:uid="{00000000-0009-0000-0000-000005000000}"/>
  <conditionalFormatting sqref="B2">
    <cfRule type="expression" dxfId="1211" priority="1">
      <formula>COUNTIF($C$1:$C$1031, B2) &gt; 1</formula>
    </cfRule>
  </conditionalFormatting>
  <conditionalFormatting sqref="B2:B10">
    <cfRule type="expression" dxfId="1210" priority="2">
      <formula>B2=#REF!</formula>
    </cfRule>
  </conditionalFormatting>
  <conditionalFormatting sqref="B2:B19">
    <cfRule type="expression" dxfId="1209" priority="3">
      <formula>COUNTIF($C$1:$C$959, B2) &gt; 1</formula>
    </cfRule>
    <cfRule type="expression" dxfId="1208" priority="4">
      <formula>COUNTIF($B$2:$B$940, B2) &gt; 1</formula>
    </cfRule>
    <cfRule type="expression" dxfId="1207" priority="5">
      <formula>COUNTIF($C$1:$C$960, B2) &gt; 1</formula>
    </cfRule>
    <cfRule type="expression" dxfId="1206" priority="6">
      <formula>COUNTIF($B$2:$B$941, B2) &gt; 1</formula>
    </cfRule>
    <cfRule type="expression" dxfId="1205" priority="7">
      <formula>COUNTIF($C$1:$C$957, B2) &gt; 1</formula>
    </cfRule>
    <cfRule type="expression" dxfId="1204" priority="8">
      <formula>COUNTIF($B$2:$B$938, B2) &gt; 1</formula>
    </cfRule>
    <cfRule type="expression" dxfId="1203" priority="9">
      <formula>COUNTIF($B$2:$B$939, B2) &gt; 1</formula>
    </cfRule>
  </conditionalFormatting>
  <conditionalFormatting sqref="B2:B20">
    <cfRule type="expression" dxfId="1202" priority="10">
      <formula>COUNTIF($C$1:$C$962, B2) &gt; 1</formula>
    </cfRule>
    <cfRule type="expression" dxfId="1201" priority="11">
      <formula>COUNTIF($C$1:$C$958, B2) &gt; 1</formula>
    </cfRule>
  </conditionalFormatting>
  <conditionalFormatting sqref="B2:B21">
    <cfRule type="expression" dxfId="1200" priority="12">
      <formula>COUNTIF($C$1:$C$963, B2) &gt; 1</formula>
    </cfRule>
    <cfRule type="expression" dxfId="1199" priority="13">
      <formula>COUNTIF($B$2:$B$944, B2) &gt; 1</formula>
    </cfRule>
    <cfRule type="expression" dxfId="1198" priority="14">
      <formula>COUNTIF($B$2:$B$945, B2) &gt; 1</formula>
    </cfRule>
  </conditionalFormatting>
  <conditionalFormatting sqref="B2:B22">
    <cfRule type="expression" dxfId="1197" priority="15">
      <formula>COUNTIF($C$1:$C$965, B2) &gt; 1</formula>
    </cfRule>
    <cfRule type="expression" dxfId="1196" priority="16">
      <formula>COUNTIF($B$2:$B$946, B2) &gt; 1</formula>
    </cfRule>
    <cfRule type="expression" dxfId="1195" priority="17">
      <formula>COUNTIF($C$1:$C$966, B2) &gt; 1</formula>
    </cfRule>
    <cfRule type="expression" dxfId="1194" priority="18">
      <formula>COUNTIF($B$2:$B$947, B2) &gt; 1</formula>
    </cfRule>
  </conditionalFormatting>
  <conditionalFormatting sqref="B2:B24">
    <cfRule type="expression" dxfId="1193" priority="19">
      <formula>COUNTIF($C$1:$C$964, B2) &gt; 1</formula>
    </cfRule>
  </conditionalFormatting>
  <conditionalFormatting sqref="B2:B25 B27:B49">
    <cfRule type="expression" dxfId="1192" priority="20">
      <formula>COUNTIF($B$2:$B$991, B2) &gt; 1</formula>
    </cfRule>
  </conditionalFormatting>
  <conditionalFormatting sqref="B2:B25">
    <cfRule type="expression" dxfId="1191" priority="21">
      <formula>COUNTIF($B$2:$B$948, B2) &gt; 1</formula>
    </cfRule>
    <cfRule type="expression" dxfId="1190" priority="22">
      <formula>COUNTIF($B$2:$B$949, B2) &gt; 1</formula>
    </cfRule>
    <cfRule type="expression" dxfId="1189" priority="23">
      <formula>COUNTIF($C$1:$C$967, B2) &gt; 1</formula>
    </cfRule>
    <cfRule type="expression" dxfId="1188" priority="24">
      <formula>COUNTIF($C$1:$C$971, B2) &gt; 1</formula>
    </cfRule>
    <cfRule type="expression" dxfId="1187" priority="25">
      <formula>COUNTIF($B$2:$B$952, B2) &gt; 1</formula>
    </cfRule>
    <cfRule type="expression" dxfId="1186" priority="26">
      <formula>COUNTIF($B$2:$B$953, B2) &gt; 1</formula>
    </cfRule>
    <cfRule type="expression" dxfId="1185" priority="27">
      <formula>COUNTIF($C$1:$C$969, B2) &gt; 1</formula>
    </cfRule>
    <cfRule type="expression" dxfId="1184" priority="28">
      <formula>COUNTIF($B$2:$B$950, B2) &gt; 1</formula>
    </cfRule>
    <cfRule type="expression" dxfId="1183" priority="29">
      <formula>COUNTIF($B$2:$B$951, B2) &gt; 1</formula>
    </cfRule>
  </conditionalFormatting>
  <conditionalFormatting sqref="B2:B26">
    <cfRule type="expression" dxfId="1182" priority="30">
      <formula>COUNTIF($C$1:$C$968, B2) &gt; 1</formula>
    </cfRule>
    <cfRule type="expression" dxfId="1181" priority="31">
      <formula>COUNTIF($C$1:$C$972, B2) &gt; 1</formula>
    </cfRule>
    <cfRule type="expression" dxfId="1180" priority="32">
      <formula>COUNTIF($C$1:$C$970, B2) &gt; 1</formula>
    </cfRule>
  </conditionalFormatting>
  <conditionalFormatting sqref="B2:B27 B29:B54">
    <cfRule type="expression" dxfId="1179" priority="33">
      <formula>COUNTIF($B$2:$B$997, B2) &gt; 1</formula>
    </cfRule>
    <cfRule type="expression" dxfId="1178" priority="34">
      <formula>COUNTIF($B$2:$B$998, B2) &gt; 1</formula>
    </cfRule>
  </conditionalFormatting>
  <conditionalFormatting sqref="B2:B27">
    <cfRule type="expression" dxfId="1177" priority="35">
      <formula>COUNTIF($B$2:$B$954, B2) &gt; 1</formula>
    </cfRule>
    <cfRule type="expression" dxfId="1176" priority="36">
      <formula>COUNTIF($B$2:$B$955, B2) &gt; 1</formula>
    </cfRule>
    <cfRule type="expression" dxfId="1175" priority="37">
      <formula>COUNTIF($C$1:$C$973, B2) &gt; 1</formula>
    </cfRule>
    <cfRule type="expression" dxfId="1174" priority="38">
      <formula>COUNTIF($B$1:$B$967, B2) &gt; 1</formula>
    </cfRule>
  </conditionalFormatting>
  <conditionalFormatting sqref="B2:B28 B30:B52">
    <cfRule type="expression" dxfId="1173" priority="39">
      <formula>COUNTIF($C$1:$C$1013, B2) &gt; 1</formula>
    </cfRule>
  </conditionalFormatting>
  <conditionalFormatting sqref="B2:B28">
    <cfRule type="expression" dxfId="1172" priority="40">
      <formula>COUNTIF($B$1:$B$958, B2) &gt; 1</formula>
    </cfRule>
    <cfRule type="expression" dxfId="1171" priority="41">
      <formula>COUNTIF($B$1:$B$962, B2) &gt; 1</formula>
    </cfRule>
    <cfRule type="expression" dxfId="1170" priority="42">
      <formula>COUNTIF($B$2:$B$967, B2) &gt; 1</formula>
    </cfRule>
    <cfRule type="expression" dxfId="1169" priority="43">
      <formula>COUNTIF($B$2:$B$966, B2) &gt; 1</formula>
    </cfRule>
    <cfRule type="expression" dxfId="1168" priority="44">
      <formula>COUNTIF($C$1:$C$977, B2) &gt; 1</formula>
    </cfRule>
    <cfRule type="expression" dxfId="1167" priority="45">
      <formula>COUNTIF($B$2:$B$958, B2) &gt; 1</formula>
    </cfRule>
    <cfRule type="expression" dxfId="1166" priority="46">
      <formula>COUNTIF($C$1:$C$978, B2) &gt; 1</formula>
    </cfRule>
    <cfRule type="expression" dxfId="1165" priority="47">
      <formula>COUNTIF($B$2:$B$959, B2) &gt; 1</formula>
    </cfRule>
    <cfRule type="expression" dxfId="1164" priority="48">
      <formula>COUNTIF($C$1:$C$975, B2) &gt; 1</formula>
    </cfRule>
    <cfRule type="expression" dxfId="1163" priority="49">
      <formula>COUNTIF($B$2:$B$956, B2) &gt; 1</formula>
    </cfRule>
    <cfRule type="expression" dxfId="1162" priority="50">
      <formula>COUNTIF($B$2:$B$957, B2) &gt; 1</formula>
    </cfRule>
  </conditionalFormatting>
  <conditionalFormatting sqref="B2:B30">
    <cfRule type="expression" dxfId="1161" priority="51">
      <formula>COUNTIF($K$2:$K$65, B2) &gt; 1</formula>
    </cfRule>
    <cfRule type="expression" dxfId="1160" priority="52">
      <formula>COUNTIF($J$2:$J$65, B2) &gt; 1</formula>
    </cfRule>
    <cfRule type="expression" dxfId="1159" priority="53">
      <formula>COUNTIF($B$2:$B$66, B2) &gt; 1</formula>
    </cfRule>
  </conditionalFormatting>
  <conditionalFormatting sqref="B2:B31">
    <cfRule type="expression" dxfId="1158" priority="54">
      <formula>COUNTIF($B$2:$B$960, B2) &gt; 1</formula>
    </cfRule>
    <cfRule type="expression" dxfId="1157" priority="55">
      <formula>COUNTIF($C$1:$C$980, B2) &gt; 1</formula>
    </cfRule>
    <cfRule type="expression" dxfId="1156" priority="56">
      <formula>COUNTIF($B$2:$B$961, B2) &gt; 1</formula>
    </cfRule>
    <cfRule type="expression" dxfId="1155" priority="57">
      <formula>COUNTIF($C$1:$C$974, B2) &gt; 1</formula>
    </cfRule>
    <cfRule type="expression" dxfId="1154" priority="58">
      <formula>COUNTIF($C$1:$C$979, B2) &gt; 1</formula>
    </cfRule>
    <cfRule type="expression" dxfId="1153" priority="59">
      <formula>COUNTIF($B$2:$B$964, B2) &gt; 1</formula>
    </cfRule>
    <cfRule type="expression" dxfId="1152" priority="60">
      <formula>COUNTIF($B$2:$B$965, B2) &gt; 1</formula>
    </cfRule>
    <cfRule type="expression" dxfId="1151" priority="61">
      <formula>COUNTIF($B$2:$B$962, B2) &gt; 1</formula>
    </cfRule>
    <cfRule type="expression" dxfId="1150" priority="62">
      <formula>COUNTIF($C$1:$C$982, B2) &gt; 1</formula>
    </cfRule>
    <cfRule type="expression" dxfId="1149" priority="63">
      <formula>COUNTIF($B$2:$B$963, B2) &gt; 1</formula>
    </cfRule>
    <cfRule type="expression" dxfId="1148" priority="64">
      <formula>COUNTIF($C$1:$C$976, B2) &gt; 1</formula>
    </cfRule>
  </conditionalFormatting>
  <conditionalFormatting sqref="B2:B32">
    <cfRule type="expression" dxfId="1147" priority="65">
      <formula>COUNTIF($C$1:$C$986, B2) &gt; 1</formula>
    </cfRule>
    <cfRule type="expression" dxfId="1146" priority="66">
      <formula>COUNTIF($C$1:$C$984, B2) &gt; 1</formula>
    </cfRule>
    <cfRule type="expression" dxfId="1145" priority="67">
      <formula>COUNTIF($C$1:$C$981, B2) &gt; 1</formula>
    </cfRule>
    <cfRule type="expression" dxfId="1144" priority="68">
      <formula>COUNTIF($C$1:$C$983, B2) &gt; 1</formula>
    </cfRule>
  </conditionalFormatting>
  <conditionalFormatting sqref="B2:B33">
    <cfRule type="expression" dxfId="1143" priority="69">
      <formula>COUNTIF($C$1:$C$985, B2) &gt; 1</formula>
    </cfRule>
  </conditionalFormatting>
  <conditionalFormatting sqref="B2:B35">
    <cfRule type="expression" dxfId="1142" priority="70">
      <formula>COUNTIF($B$1:$B$980, B2) &gt; 1</formula>
    </cfRule>
    <cfRule type="expression" dxfId="1141" priority="71">
      <formula>COUNTIF($B$2:$B$974, B2) &gt; 1</formula>
    </cfRule>
  </conditionalFormatting>
  <conditionalFormatting sqref="B2:B36">
    <cfRule type="expression" dxfId="1140" priority="72">
      <formula>COUNTIF($B$1:$B$977, B2) &gt; 1</formula>
    </cfRule>
    <cfRule type="expression" dxfId="1139" priority="73">
      <formula>COUNTIF($B$2:$B$969, B2) &gt; 1</formula>
    </cfRule>
    <cfRule type="expression" dxfId="1138" priority="74">
      <formula>COUNTIF($C$1:$C$988, B2) &gt; 1</formula>
    </cfRule>
    <cfRule type="expression" dxfId="1137" priority="75">
      <formula>COUNTIF($B$2:$B$968, B2) &gt; 1</formula>
    </cfRule>
    <cfRule type="expression" dxfId="1136" priority="76">
      <formula>COUNTIF($B$1:$B$979, B2) &gt; 1</formula>
    </cfRule>
    <cfRule type="expression" dxfId="1135" priority="77">
      <formula>COUNTIF($C$1:$C$987, B2) &gt; 1</formula>
    </cfRule>
  </conditionalFormatting>
  <conditionalFormatting sqref="B2:B37">
    <cfRule type="expression" dxfId="1134" priority="78">
      <formula>COUNTIF($B$1:$B$968, B2) &gt; 1</formula>
    </cfRule>
    <cfRule type="expression" dxfId="1133" priority="79">
      <formula>COUNTIF($B$1:$B$972, B2) &gt; 1</formula>
    </cfRule>
    <cfRule type="expression" dxfId="1132" priority="80">
      <formula>COUNTIF($B$2:$B$977, B2) &gt; 1</formula>
    </cfRule>
    <cfRule type="expression" dxfId="1131" priority="81">
      <formula>COUNTIF($B$2:$B$975, B2) &gt; 1</formula>
    </cfRule>
    <cfRule type="expression" dxfId="1130" priority="82">
      <formula>COUNTIF($B$2:$B$976, B2) &gt; 1</formula>
    </cfRule>
    <cfRule type="expression" dxfId="1129" priority="83">
      <formula>COUNTIF($B$1:$B$987, B2) &gt; 1</formula>
    </cfRule>
    <cfRule type="expression" dxfId="1128" priority="84">
      <formula>COUNTIF($B$1:$B$990, B2) &gt; 1</formula>
    </cfRule>
    <cfRule type="expression" dxfId="1127" priority="85">
      <formula>COUNTIF($B$2:$B$978, B2) &gt; 1</formula>
    </cfRule>
    <cfRule type="expression" dxfId="1126" priority="86">
      <formula>COUNTIF($B$2:$B$979, B2) &gt; 1</formula>
    </cfRule>
    <cfRule type="expression" dxfId="1125" priority="87">
      <formula>COUNTIF($B$1:$B$970, B2) &gt; 1</formula>
    </cfRule>
    <cfRule type="expression" dxfId="1124" priority="88">
      <formula>COUNTIF($B$2:$B$972, B2) &gt; 1</formula>
    </cfRule>
    <cfRule type="expression" dxfId="1123" priority="89">
      <formula>COUNTIF($B$2:$B$973, B2) &gt; 1</formula>
    </cfRule>
    <cfRule type="expression" dxfId="1122" priority="90">
      <formula>COUNTIF($C$1:$C$989, B2) &gt; 1</formula>
    </cfRule>
    <cfRule type="expression" dxfId="1121" priority="91">
      <formula>COUNTIF($B$2:$B$970, B2) &gt; 1</formula>
    </cfRule>
    <cfRule type="expression" dxfId="1120" priority="92">
      <formula>COUNTIF($C$1:$C$990, B2) &gt; 1</formula>
    </cfRule>
    <cfRule type="expression" dxfId="1119" priority="93">
      <formula>COUNTIF($B$2:$B$971, B2) &gt; 1</formula>
    </cfRule>
  </conditionalFormatting>
  <conditionalFormatting sqref="B2:B38">
    <cfRule type="expression" dxfId="1118" priority="94">
      <formula>COUNTIF($B$1:$B$978, B2) &gt; 1</formula>
    </cfRule>
    <cfRule type="expression" dxfId="1117" priority="95">
      <formula>COUNTIF($C$1:$C$992, B2) &gt; 1</formula>
    </cfRule>
    <cfRule type="expression" dxfId="1116" priority="96">
      <formula>COUNTIF($C$1:$C$991, B2) &gt; 1</formula>
    </cfRule>
  </conditionalFormatting>
  <conditionalFormatting sqref="B2:B39">
    <cfRule type="expression" dxfId="1115" priority="97">
      <formula>COUNTIF($K$2:$K$75, B2) &gt; 1</formula>
    </cfRule>
    <cfRule type="expression" dxfId="1114" priority="98">
      <formula>COUNTIF($B$2:$B$76, B2) &gt; 1</formula>
    </cfRule>
    <cfRule type="expression" dxfId="1113" priority="99">
      <formula>COUNTIF($C$1:$C$998, B2) &gt; 1</formula>
    </cfRule>
    <cfRule type="expression" dxfId="1112" priority="100">
      <formula>COUNTIF($K$2:$K$77, B2) &gt; 1</formula>
    </cfRule>
    <cfRule type="expression" dxfId="1111" priority="101">
      <formula>COUNTIF($B$2:$B$78, B2) &gt; 1</formula>
    </cfRule>
  </conditionalFormatting>
  <conditionalFormatting sqref="B2:B40">
    <cfRule type="expression" dxfId="1110" priority="102">
      <formula>COUNTIF($B$2:$B$980, B2) &gt; 1</formula>
    </cfRule>
    <cfRule type="expression" dxfId="1109" priority="103">
      <formula>COUNTIF($B$1:$B$982, B2) &gt; 1</formula>
    </cfRule>
    <cfRule type="expression" dxfId="1108" priority="104">
      <formula>COUNTIF($C$1:$C$994, B2) &gt; 1</formula>
    </cfRule>
    <cfRule type="expression" dxfId="1107" priority="105">
      <formula>COUNTIF($C$1:$C$996, B2) &gt; 1</formula>
    </cfRule>
    <cfRule type="expression" dxfId="1106" priority="106">
      <formula>COUNTIF($C$1:$C$999, B2) &gt; 1</formula>
    </cfRule>
    <cfRule type="expression" dxfId="1105" priority="107">
      <formula>COUNTIF($C$1:$C$993, B2) &gt; 1</formula>
    </cfRule>
    <cfRule type="expression" dxfId="1104" priority="108">
      <formula>COUNTIF($C$1:$C$997, B2) &gt; 1</formula>
    </cfRule>
    <cfRule type="expression" dxfId="1103" priority="109">
      <formula>COUNTIF($C$1:$C$995, B2) &gt; 1</formula>
    </cfRule>
  </conditionalFormatting>
  <conditionalFormatting sqref="B2:B41">
    <cfRule type="expression" dxfId="1102" priority="110">
      <formula>COUNTIF($B$2:$B$981, B2) &gt; 1</formula>
    </cfRule>
    <cfRule type="expression" dxfId="1101" priority="111">
      <formula>COUNTIF($C$1:$C$1000, B2) &gt; 1</formula>
    </cfRule>
  </conditionalFormatting>
  <conditionalFormatting sqref="B2:B42">
    <cfRule type="expression" dxfId="1100" priority="112">
      <formula>COUNTIF($B$2:$B$982, B2) &gt; 1</formula>
    </cfRule>
    <cfRule type="expression" dxfId="1099" priority="113">
      <formula>COUNTIF($J$2:$J$85, B2) &gt; 1</formula>
    </cfRule>
    <cfRule type="expression" dxfId="1098" priority="114">
      <formula>COUNTIF($B$2:$B$86, B2) &gt; 1</formula>
    </cfRule>
    <cfRule type="expression" dxfId="1097" priority="115">
      <formula>COUNTIF($C$1:$C$1001, B2) &gt; 1</formula>
    </cfRule>
  </conditionalFormatting>
  <conditionalFormatting sqref="B2:B43">
    <cfRule type="expression" dxfId="1096" priority="116">
      <formula>COUNTIF($B$2:$B$983, B2) &gt; 1</formula>
    </cfRule>
    <cfRule type="expression" dxfId="1095" priority="117">
      <formula>COUNTIF($B$2:$B$984, B2) &gt; 1</formula>
    </cfRule>
    <cfRule type="expression" dxfId="1094" priority="118">
      <formula>COUNTIF($B$1:$B$994, B2) &gt; 1</formula>
    </cfRule>
    <cfRule type="expression" dxfId="1093" priority="119">
      <formula>COUNTIF($C$1:$C$1002, B2) &gt; 1</formula>
    </cfRule>
    <cfRule type="expression" dxfId="1092" priority="120">
      <formula>COUNTIF($C$1:$C$1004,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22">
      <formula>COUNTIF($C$1:$C$1005, B2) &gt; 1</formula>
    </cfRule>
    <cfRule type="expression" dxfId="1089" priority="123">
      <formula>COUNTIF($B$1:$B$964, B2) &gt; 1</formula>
    </cfRule>
    <cfRule type="expression" dxfId="1088" priority="124">
      <formula>COUNTIF($B$1:$B$985, B2) &gt; 1</formula>
    </cfRule>
    <cfRule type="expression" dxfId="1087" priority="125">
      <formula>COUNTIF($B$1:$B$989, B2) &gt; 1</formula>
    </cfRule>
    <cfRule type="expression" dxfId="1086" priority="126">
      <formula>COUNTIF($C$1:$C$1015, B2) &gt; 1</formula>
    </cfRule>
    <cfRule type="expression" dxfId="1085" priority="127">
      <formula>COUNTIF($H$2:$H$92, B2) &gt; 1</formula>
    </cfRule>
    <cfRule type="expression" dxfId="1084" priority="128">
      <formula>COUNTIF($B$2:$B$93, B2) &gt; 1</formula>
    </cfRule>
  </conditionalFormatting>
  <conditionalFormatting sqref="B2:B46">
    <cfRule type="expression" dxfId="1083" priority="129">
      <formula>COUNTIF($B$2:$B$987, B2) &gt; 1</formula>
    </cfRule>
    <cfRule type="expression" dxfId="1082" priority="130">
      <formula>COUNTIF($B$1:$B$1000, B2) &gt; 1</formula>
    </cfRule>
    <cfRule type="expression" dxfId="1081" priority="131">
      <formula>COUNTIF($C$1:$C$1006, B2) &gt; 1</formula>
    </cfRule>
  </conditionalFormatting>
  <conditionalFormatting sqref="B2:B47">
    <cfRule type="expression" dxfId="1080" priority="132">
      <formula>COUNTIF($B$2:$B$988, B2) &gt; 1</formula>
    </cfRule>
    <cfRule type="expression" dxfId="1079" priority="133">
      <formula>COUNTIF($B$1:$B$997, B2) &gt; 1</formula>
    </cfRule>
    <cfRule type="expression" dxfId="1078" priority="134">
      <formula>COUNTIF($C$1:$C$1007, B2) &gt; 1</formula>
    </cfRule>
  </conditionalFormatting>
  <conditionalFormatting sqref="B2:B48">
    <cfRule type="expression" dxfId="1077" priority="135">
      <formula>COUNTIF($B$1:$B$988, B2) &gt; 1</formula>
    </cfRule>
    <cfRule type="expression" dxfId="1076" priority="136">
      <formula>COUNTIF($B$2:$B$989, B2) &gt; 1</formula>
    </cfRule>
    <cfRule type="expression" dxfId="1075" priority="137">
      <formula>COUNTIF($C$1:$C$1008, B2) &gt; 1</formula>
    </cfRule>
  </conditionalFormatting>
  <conditionalFormatting sqref="B2:B49">
    <cfRule type="expression" dxfId="1074" priority="138">
      <formula>COUNTIF($B$1:$B$1010, B2) &gt; 1</formula>
    </cfRule>
    <cfRule type="expression" dxfId="1073" priority="139">
      <formula>COUNTIF($B$2:$B$990, B2) &gt; 1</formula>
    </cfRule>
    <cfRule type="expression" dxfId="1072" priority="140">
      <formula>COUNTIF($C$1:$C$1009, B2) &gt; 1</formula>
    </cfRule>
  </conditionalFormatting>
  <conditionalFormatting sqref="B2:B50">
    <cfRule type="expression" dxfId="1071" priority="141">
      <formula>COUNTIF($C$1:$C$1010, B2) &gt; 1</formula>
    </cfRule>
    <cfRule type="expression" dxfId="1070" priority="142">
      <formula>COUNTIF($B$1:$B$992, B2) &gt; 1</formula>
    </cfRule>
  </conditionalFormatting>
  <conditionalFormatting sqref="B2:B51">
    <cfRule type="expression" dxfId="1069" priority="143">
      <formula>COUNTIF($C$1:$C$1012, B2) &gt; 1</formula>
    </cfRule>
    <cfRule type="expression" dxfId="1068" priority="144">
      <formula>COUNTIF($C$1:$C$1011, B2) &gt; 1</formula>
    </cfRule>
  </conditionalFormatting>
  <conditionalFormatting sqref="B2:B52">
    <cfRule type="expression" dxfId="1067" priority="145">
      <formula>COUNTIF($K$2:$K$95, B2) &gt; 1</formula>
    </cfRule>
    <cfRule type="expression" dxfId="1066" priority="146">
      <formula>COUNTIF($B$2:$B$96, B2) &gt; 1</formula>
    </cfRule>
  </conditionalFormatting>
  <conditionalFormatting sqref="B2:B53">
    <cfRule type="expression" dxfId="1065" priority="147">
      <formula>COUNTIF($B$1:$B$1004, B2) &gt; 1</formula>
    </cfRule>
    <cfRule type="expression" dxfId="1064" priority="148">
      <formula>COUNTIF($B$2:$B$995, B2) &gt; 1</formula>
    </cfRule>
    <cfRule type="expression" dxfId="1063" priority="149">
      <formula>COUNTIF($B$1:$B$1007, B2) &gt; 1</formula>
    </cfRule>
    <cfRule type="expression" dxfId="1062" priority="150">
      <formula>COUNTIF($C$1:$C$1014, B2) &gt; 1</formula>
    </cfRule>
  </conditionalFormatting>
  <conditionalFormatting sqref="B2:B54">
    <cfRule type="expression" dxfId="1061" priority="151">
      <formula>COUNTIF($B$1:$B$995, B2) &gt; 1</formula>
    </cfRule>
    <cfRule type="expression" dxfId="1060" priority="152">
      <formula>COUNTIF($B$1:$B$999, B2) &gt; 1</formula>
    </cfRule>
    <cfRule type="expression" dxfId="1059" priority="153">
      <formula>COUNTIF($B$1:$B$1017, B2) &gt; 1</formula>
    </cfRule>
    <cfRule type="expression" dxfId="1058" priority="154">
      <formula>COUNTIF($C$1:$C$1016, B2) &gt; 1</formula>
    </cfRule>
    <cfRule type="expression" dxfId="1057" priority="155">
      <formula>COUNTIF($C$1:$C$1017, B2) &gt; 1</formula>
    </cfRule>
    <cfRule type="expression" dxfId="1056" priority="156">
      <formula>COUNTIF($C$1:$C$1018, B2) &gt; 1</formula>
    </cfRule>
    <cfRule type="expression" dxfId="1055" priority="157">
      <formula>COUNTIF($B$1:$B$974, B2) &gt; 1</formula>
    </cfRule>
  </conditionalFormatting>
  <conditionalFormatting sqref="B2:B55">
    <cfRule type="expression" dxfId="1054" priority="158">
      <formula>COUNTIF($C$1:$C$1019, B2) &gt; 1</formula>
    </cfRule>
  </conditionalFormatting>
  <conditionalFormatting sqref="B2:B56">
    <cfRule type="expression" dxfId="1053" priority="159">
      <formula>COUNTIF($C$1:$C$1020, B2) &gt; 1</formula>
    </cfRule>
  </conditionalFormatting>
  <conditionalFormatting sqref="B2:B1000">
    <cfRule type="expression" dxfId="1052" priority="160">
      <formula>COUNTIF($B$1:$B$976, B2) &gt; 1</formula>
    </cfRule>
  </conditionalFormatting>
  <conditionalFormatting sqref="B19 B54">
    <cfRule type="expression" dxfId="1051" priority="161">
      <formula>COUNTIF($C$1:$C$1021, B19) &gt; 1</formula>
    </cfRule>
  </conditionalFormatting>
  <conditionalFormatting sqref="B21">
    <cfRule type="expression" dxfId="1050" priority="162">
      <formula>COUNTIF($C$1:$C$1028, B21) &gt; 1</formula>
    </cfRule>
  </conditionalFormatting>
  <conditionalFormatting sqref="B54">
    <cfRule type="expression" dxfId="1049" priority="163">
      <formula>COUNTIF($C$1:$C$1025, B54) &gt; 1</formula>
    </cfRule>
    <cfRule type="expression" dxfId="1048" priority="164">
      <formula>COUNTIF($K$2:$K$102, B54) &gt; 1</formula>
    </cfRule>
    <cfRule type="expression" dxfId="1047" priority="165">
      <formula>COUNTIF($C$1:$C$1024, B54) &gt; 1</formula>
    </cfRule>
    <cfRule type="expression" dxfId="1046" priority="166">
      <formula>COUNTIF($B$2:$B$103, B54) &gt; 1</formula>
    </cfRule>
  </conditionalFormatting>
  <conditionalFormatting sqref="C2:C1000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4.6640625" customWidth="1"/>
    <col min="2" max="2" width="30.88671875" customWidth="1"/>
    <col min="3" max="3" width="23.88671875" customWidth="1"/>
    <col min="4" max="6" width="22" customWidth="1"/>
    <col min="7" max="7" width="22.88671875" customWidth="1"/>
    <col min="8" max="8" width="25.88671875" customWidth="1"/>
    <col min="9" max="9" width="15.6640625" customWidth="1"/>
    <col min="10" max="10" width="17.6640625" customWidth="1"/>
    <col min="11" max="11" width="13.109375" customWidth="1"/>
    <col min="12" max="13" width="19.6640625" customWidth="1"/>
    <col min="14" max="14" width="18.6640625" customWidth="1"/>
    <col min="15" max="15" width="22.44140625" customWidth="1"/>
    <col min="16" max="17" width="19.6640625" customWidth="1"/>
  </cols>
  <sheetData>
    <row r="1" spans="1:27" ht="36.75" customHeight="1">
      <c r="A1" s="1" t="s">
        <v>0</v>
      </c>
      <c r="B1" s="1" t="s">
        <v>162</v>
      </c>
      <c r="C1" s="63" t="s">
        <v>60</v>
      </c>
      <c r="D1" s="63"/>
      <c r="E1" s="63"/>
      <c r="F1" s="63"/>
      <c r="G1" s="64"/>
      <c r="H1" s="64" t="s">
        <v>162</v>
      </c>
      <c r="I1" s="64" t="s">
        <v>166</v>
      </c>
      <c r="J1" s="64" t="s">
        <v>167</v>
      </c>
      <c r="K1" s="64" t="s">
        <v>168</v>
      </c>
      <c r="L1" s="66" t="s">
        <v>60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5.75" customHeight="1">
      <c r="A2" s="35" t="s">
        <v>26</v>
      </c>
      <c r="B2" s="36" t="s">
        <v>131</v>
      </c>
      <c r="C2" s="37">
        <f t="shared" ref="C2:C33" si="0">IFERROR(INDEX(L:L, MATCH(B2, H:H, 0)), 0)</f>
        <v>4056950</v>
      </c>
      <c r="D2" s="37"/>
      <c r="E2" s="37"/>
      <c r="F2" s="37"/>
      <c r="G2" s="37"/>
      <c r="H2" s="73" t="s">
        <v>131</v>
      </c>
      <c r="I2" s="37">
        <v>8800000</v>
      </c>
      <c r="J2" s="37">
        <v>4324262</v>
      </c>
      <c r="K2" s="48">
        <v>0.80021367165354329</v>
      </c>
      <c r="L2" s="37">
        <v>4056950</v>
      </c>
      <c r="M2" s="10"/>
      <c r="N2" s="74"/>
      <c r="O2" s="73"/>
      <c r="P2" s="37"/>
      <c r="Q2" s="37"/>
      <c r="R2" s="48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>
      <c r="A3" s="35" t="s">
        <v>26</v>
      </c>
      <c r="B3" s="36" t="s">
        <v>133</v>
      </c>
      <c r="C3" s="37">
        <f t="shared" si="0"/>
        <v>4463159</v>
      </c>
      <c r="D3" s="37"/>
      <c r="E3" s="37"/>
      <c r="F3" s="37"/>
      <c r="G3" s="37"/>
      <c r="H3" s="73" t="s">
        <v>133</v>
      </c>
      <c r="I3" s="37">
        <v>11300000</v>
      </c>
      <c r="J3" s="37">
        <v>11074837</v>
      </c>
      <c r="K3" s="48">
        <v>0.98091413428571428</v>
      </c>
      <c r="L3" s="37">
        <v>4463159</v>
      </c>
      <c r="M3" s="10"/>
      <c r="N3" s="74"/>
      <c r="O3" s="74"/>
      <c r="P3" s="37"/>
      <c r="Q3" s="37"/>
      <c r="R3" s="48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>
      <c r="A4" s="35" t="s">
        <v>26</v>
      </c>
      <c r="B4" s="44" t="s">
        <v>132</v>
      </c>
      <c r="C4" s="37">
        <f t="shared" si="0"/>
        <v>0</v>
      </c>
      <c r="D4" s="37"/>
      <c r="E4" s="37"/>
      <c r="F4" s="37"/>
      <c r="G4" s="37"/>
      <c r="H4" s="73" t="s">
        <v>132</v>
      </c>
      <c r="I4" s="37">
        <v>9700000</v>
      </c>
      <c r="J4" s="37">
        <v>6854215</v>
      </c>
      <c r="K4" s="48">
        <v>0.70826890333333326</v>
      </c>
      <c r="L4" s="37">
        <v>0</v>
      </c>
      <c r="M4" s="10"/>
      <c r="N4" s="74"/>
      <c r="O4" s="73"/>
      <c r="P4" s="37"/>
      <c r="Q4" s="37"/>
      <c r="R4" s="48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>
      <c r="A5" s="35" t="s">
        <v>26</v>
      </c>
      <c r="B5" s="36" t="s">
        <v>134</v>
      </c>
      <c r="C5" s="37">
        <f t="shared" si="0"/>
        <v>4243442</v>
      </c>
      <c r="D5" s="37"/>
      <c r="E5" s="37"/>
      <c r="F5" s="37"/>
      <c r="G5" s="37"/>
      <c r="H5" s="73" t="s">
        <v>134</v>
      </c>
      <c r="I5" s="37">
        <v>11300000</v>
      </c>
      <c r="J5" s="37">
        <v>10529633</v>
      </c>
      <c r="K5" s="48">
        <v>0.93262460571428574</v>
      </c>
      <c r="L5" s="37">
        <v>4243442</v>
      </c>
      <c r="M5" s="10"/>
      <c r="N5" s="74"/>
      <c r="O5" s="73"/>
      <c r="P5" s="37"/>
      <c r="Q5" s="10"/>
      <c r="R5" s="48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>
      <c r="A6" s="35" t="s">
        <v>25</v>
      </c>
      <c r="B6" s="36" t="s">
        <v>126</v>
      </c>
      <c r="C6" s="37">
        <f t="shared" si="0"/>
        <v>3251929</v>
      </c>
      <c r="D6" s="37"/>
      <c r="E6" s="37"/>
      <c r="F6" s="37"/>
      <c r="G6" s="37"/>
      <c r="H6" s="73" t="s">
        <v>126</v>
      </c>
      <c r="I6" s="37">
        <v>3900000</v>
      </c>
      <c r="J6" s="37">
        <v>1000548</v>
      </c>
      <c r="K6" s="48">
        <v>0.80231173571428571</v>
      </c>
      <c r="L6" s="37">
        <v>3251929</v>
      </c>
      <c r="M6" s="10"/>
      <c r="N6" s="74"/>
      <c r="O6" s="74"/>
      <c r="P6" s="37"/>
      <c r="Q6" s="37"/>
      <c r="R6" s="48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>
      <c r="A7" s="35" t="s">
        <v>25</v>
      </c>
      <c r="B7" s="36" t="s">
        <v>127</v>
      </c>
      <c r="C7" s="37">
        <f t="shared" si="0"/>
        <v>1926300</v>
      </c>
      <c r="D7" s="37"/>
      <c r="E7" s="37"/>
      <c r="F7" s="37"/>
      <c r="G7" s="37"/>
      <c r="H7" s="73" t="s">
        <v>127</v>
      </c>
      <c r="I7" s="37">
        <v>7500000</v>
      </c>
      <c r="J7" s="37">
        <v>6213872</v>
      </c>
      <c r="K7" s="48">
        <v>0.83752189130434784</v>
      </c>
      <c r="L7" s="37">
        <v>1926300</v>
      </c>
      <c r="M7" s="10"/>
      <c r="N7" s="74"/>
      <c r="O7" s="73"/>
      <c r="P7" s="37"/>
      <c r="Q7" s="10"/>
      <c r="R7" s="48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>
      <c r="A8" s="35" t="s">
        <v>25</v>
      </c>
      <c r="B8" s="36" t="s">
        <v>129</v>
      </c>
      <c r="C8" s="37">
        <f t="shared" si="0"/>
        <v>2079796</v>
      </c>
      <c r="D8" s="37"/>
      <c r="E8" s="37"/>
      <c r="F8" s="37"/>
      <c r="G8" s="37"/>
      <c r="H8" s="73" t="s">
        <v>129</v>
      </c>
      <c r="I8" s="37">
        <v>6500000</v>
      </c>
      <c r="J8" s="37">
        <v>6099109</v>
      </c>
      <c r="K8" s="48">
        <v>0.94536192999999991</v>
      </c>
      <c r="L8" s="37">
        <v>2079796</v>
      </c>
      <c r="M8" s="10"/>
      <c r="N8" s="74"/>
      <c r="O8" s="44"/>
      <c r="P8" s="37"/>
      <c r="Q8" s="37"/>
      <c r="R8" s="48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>
      <c r="A9" s="35" t="s">
        <v>25</v>
      </c>
      <c r="B9" s="36" t="s">
        <v>128</v>
      </c>
      <c r="C9" s="37">
        <f t="shared" si="0"/>
        <v>2293837</v>
      </c>
      <c r="D9" s="37"/>
      <c r="E9" s="37"/>
      <c r="F9" s="37"/>
      <c r="G9" s="37"/>
      <c r="H9" s="73" t="s">
        <v>128</v>
      </c>
      <c r="I9" s="37">
        <v>7500000</v>
      </c>
      <c r="J9" s="37">
        <v>6726794</v>
      </c>
      <c r="K9" s="48">
        <v>0.9066547826086957</v>
      </c>
      <c r="L9" s="37">
        <v>2293837</v>
      </c>
      <c r="M9" s="10"/>
      <c r="N9" s="74"/>
      <c r="O9" s="44"/>
      <c r="P9" s="37"/>
      <c r="Q9" s="37"/>
      <c r="R9" s="48"/>
      <c r="S9" s="37"/>
      <c r="T9" s="10"/>
      <c r="U9" s="10"/>
      <c r="V9" s="10"/>
      <c r="W9" s="10"/>
      <c r="X9" s="10"/>
      <c r="Y9" s="10"/>
      <c r="Z9" s="10"/>
      <c r="AA9" s="10"/>
    </row>
    <row r="10" spans="1:27" ht="15.75" customHeight="1">
      <c r="A10" s="35" t="s">
        <v>25</v>
      </c>
      <c r="B10" s="36" t="s">
        <v>130</v>
      </c>
      <c r="C10" s="37">
        <f t="shared" si="0"/>
        <v>1979598</v>
      </c>
      <c r="D10" s="37"/>
      <c r="E10" s="37"/>
      <c r="F10" s="37"/>
      <c r="G10" s="37"/>
      <c r="H10" s="73" t="s">
        <v>130</v>
      </c>
      <c r="I10" s="37">
        <v>6500000</v>
      </c>
      <c r="J10" s="37">
        <v>5321499</v>
      </c>
      <c r="K10" s="48">
        <v>0.82483239999999991</v>
      </c>
      <c r="L10" s="37">
        <v>1979598</v>
      </c>
      <c r="M10" s="10"/>
      <c r="N10" s="74"/>
      <c r="O10" s="74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>
      <c r="A11" s="35" t="s">
        <v>15</v>
      </c>
      <c r="B11" s="36" t="s">
        <v>74</v>
      </c>
      <c r="C11" s="37">
        <f t="shared" si="0"/>
        <v>0</v>
      </c>
      <c r="D11" s="37"/>
      <c r="E11" s="37"/>
      <c r="F11" s="37"/>
      <c r="G11" s="37"/>
      <c r="H11" s="73" t="s">
        <v>74</v>
      </c>
      <c r="I11" s="37">
        <v>3600000</v>
      </c>
      <c r="J11" s="37">
        <v>2030810</v>
      </c>
      <c r="K11" s="48">
        <v>0.71968390000000004</v>
      </c>
      <c r="L11" s="37">
        <v>0</v>
      </c>
      <c r="M11" s="10"/>
      <c r="N11" s="74"/>
      <c r="O11" s="74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>
      <c r="A12" s="35" t="s">
        <v>15</v>
      </c>
      <c r="B12" s="44" t="s">
        <v>82</v>
      </c>
      <c r="C12" s="37">
        <f t="shared" si="0"/>
        <v>0</v>
      </c>
      <c r="D12" s="37"/>
      <c r="E12" s="37"/>
      <c r="F12" s="37"/>
      <c r="G12" s="37"/>
      <c r="H12" s="73" t="s">
        <v>82</v>
      </c>
      <c r="I12" s="37">
        <v>3800000</v>
      </c>
      <c r="J12" s="37">
        <v>2338182</v>
      </c>
      <c r="K12" s="48">
        <v>0.63029260869565218</v>
      </c>
      <c r="L12" s="37">
        <v>0</v>
      </c>
      <c r="M12" s="10"/>
      <c r="N12" s="74"/>
      <c r="O12" s="74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.75" customHeight="1">
      <c r="A13" s="35" t="s">
        <v>15</v>
      </c>
      <c r="B13" s="44" t="s">
        <v>76</v>
      </c>
      <c r="C13" s="37">
        <f t="shared" si="0"/>
        <v>0</v>
      </c>
      <c r="D13" s="37"/>
      <c r="E13" s="37"/>
      <c r="F13" s="37"/>
      <c r="G13" s="37"/>
      <c r="H13" s="73" t="s">
        <v>76</v>
      </c>
      <c r="I13" s="37">
        <v>3100000</v>
      </c>
      <c r="J13" s="37">
        <v>920963</v>
      </c>
      <c r="K13" s="48">
        <v>0.30052474736842111</v>
      </c>
      <c r="L13" s="37">
        <v>0</v>
      </c>
      <c r="M13" s="10"/>
      <c r="N13" s="74"/>
      <c r="O13" s="74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>
      <c r="A14" s="35" t="s">
        <v>15</v>
      </c>
      <c r="B14" s="44" t="s">
        <v>83</v>
      </c>
      <c r="C14" s="37">
        <f t="shared" si="0"/>
        <v>2472796</v>
      </c>
      <c r="D14" s="37"/>
      <c r="E14" s="37"/>
      <c r="F14" s="37"/>
      <c r="G14" s="37"/>
      <c r="H14" s="73" t="s">
        <v>83</v>
      </c>
      <c r="I14" s="37">
        <v>3800000</v>
      </c>
      <c r="J14" s="37">
        <v>5317842</v>
      </c>
      <c r="K14" s="48">
        <v>1.4335052173913041</v>
      </c>
      <c r="L14" s="37">
        <v>2472796</v>
      </c>
      <c r="M14" s="10"/>
      <c r="N14" s="74"/>
      <c r="O14" s="74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>
      <c r="A15" s="35" t="s">
        <v>15</v>
      </c>
      <c r="B15" s="44" t="s">
        <v>80</v>
      </c>
      <c r="C15" s="37">
        <f t="shared" si="0"/>
        <v>0</v>
      </c>
      <c r="D15" s="37"/>
      <c r="E15" s="37"/>
      <c r="F15" s="37"/>
      <c r="G15" s="37"/>
      <c r="H15" s="73" t="s">
        <v>80</v>
      </c>
      <c r="I15" s="37">
        <v>3300000</v>
      </c>
      <c r="J15" s="37">
        <v>1431048</v>
      </c>
      <c r="K15" s="48">
        <v>0.44362499999999999</v>
      </c>
      <c r="L15" s="37">
        <v>0</v>
      </c>
      <c r="M15" s="10"/>
      <c r="N15" s="74"/>
      <c r="O15" s="7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>
      <c r="A16" s="35" t="s">
        <v>17</v>
      </c>
      <c r="B16" s="44" t="s">
        <v>86</v>
      </c>
      <c r="C16" s="37">
        <f t="shared" si="0"/>
        <v>0</v>
      </c>
      <c r="D16" s="37"/>
      <c r="E16" s="37"/>
      <c r="F16" s="37"/>
      <c r="G16" s="37"/>
      <c r="H16" s="73" t="s">
        <v>86</v>
      </c>
      <c r="I16" s="37">
        <v>6500000</v>
      </c>
      <c r="J16" s="37">
        <v>4232439</v>
      </c>
      <c r="K16" s="48">
        <v>0.65602800000000006</v>
      </c>
      <c r="L16" s="37">
        <v>0</v>
      </c>
      <c r="M16" s="10"/>
      <c r="N16" s="74"/>
      <c r="O16" s="7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>
      <c r="A17" s="35" t="s">
        <v>17</v>
      </c>
      <c r="B17" s="36" t="s">
        <v>87</v>
      </c>
      <c r="C17" s="37">
        <f t="shared" si="0"/>
        <v>0</v>
      </c>
      <c r="D17" s="37"/>
      <c r="E17" s="37"/>
      <c r="F17" s="37"/>
      <c r="G17" s="37"/>
      <c r="H17" s="73" t="s">
        <v>87</v>
      </c>
      <c r="I17" s="37">
        <v>6500000</v>
      </c>
      <c r="J17" s="37">
        <v>4591415</v>
      </c>
      <c r="K17" s="48">
        <v>0.71166934999999998</v>
      </c>
      <c r="L17" s="37">
        <v>0</v>
      </c>
      <c r="M17" s="10"/>
      <c r="N17" s="74"/>
      <c r="O17" s="7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>
      <c r="A18" s="35" t="s">
        <v>17</v>
      </c>
      <c r="B18" s="36" t="s">
        <v>84</v>
      </c>
      <c r="C18" s="37">
        <f t="shared" si="0"/>
        <v>0</v>
      </c>
      <c r="D18" s="37"/>
      <c r="E18" s="37"/>
      <c r="F18" s="37"/>
      <c r="G18" s="37"/>
      <c r="H18" s="73" t="s">
        <v>84</v>
      </c>
      <c r="I18" s="37">
        <v>7800000</v>
      </c>
      <c r="J18" s="37">
        <v>6661648</v>
      </c>
      <c r="K18" s="48">
        <v>0.87673150909090902</v>
      </c>
      <c r="L18" s="37">
        <v>0</v>
      </c>
      <c r="M18" s="10"/>
      <c r="N18" s="74"/>
      <c r="O18" s="7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>
      <c r="A19" s="35" t="s">
        <v>17</v>
      </c>
      <c r="B19" s="36" t="s">
        <v>89</v>
      </c>
      <c r="C19" s="37">
        <f t="shared" si="0"/>
        <v>4372855</v>
      </c>
      <c r="D19" s="37"/>
      <c r="E19" s="37"/>
      <c r="F19" s="37"/>
      <c r="G19" s="37"/>
      <c r="H19" s="73" t="s">
        <v>89</v>
      </c>
      <c r="I19" s="37">
        <v>7500000</v>
      </c>
      <c r="J19" s="37">
        <v>9403990</v>
      </c>
      <c r="K19" s="48">
        <v>1.2674943000000001</v>
      </c>
      <c r="L19" s="37">
        <v>4372855</v>
      </c>
      <c r="M19" s="10"/>
      <c r="N19" s="74"/>
      <c r="O19" s="7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>
      <c r="A20" s="35" t="s">
        <v>17</v>
      </c>
      <c r="B20" s="36" t="s">
        <v>90</v>
      </c>
      <c r="C20" s="37">
        <f t="shared" si="0"/>
        <v>0</v>
      </c>
      <c r="D20" s="37"/>
      <c r="E20" s="37"/>
      <c r="F20" s="37"/>
      <c r="G20" s="37"/>
      <c r="H20" s="73" t="s">
        <v>90</v>
      </c>
      <c r="I20" s="37">
        <v>7500000</v>
      </c>
      <c r="J20" s="37">
        <v>5847494</v>
      </c>
      <c r="K20" s="48">
        <v>0.78814043478260876</v>
      </c>
      <c r="L20" s="37">
        <v>0</v>
      </c>
      <c r="M20" s="10"/>
      <c r="N20" s="74"/>
      <c r="O20" s="7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>
      <c r="A21" s="35" t="s">
        <v>18</v>
      </c>
      <c r="B21" s="36" t="s">
        <v>91</v>
      </c>
      <c r="C21" s="37">
        <f t="shared" si="0"/>
        <v>0</v>
      </c>
      <c r="D21" s="37"/>
      <c r="E21" s="37"/>
      <c r="F21" s="37"/>
      <c r="G21" s="37"/>
      <c r="H21" s="73" t="s">
        <v>91</v>
      </c>
      <c r="I21" s="37">
        <v>3900000</v>
      </c>
      <c r="J21" s="37">
        <v>2137189</v>
      </c>
      <c r="K21" s="48">
        <v>0.70131553043478267</v>
      </c>
      <c r="L21" s="37">
        <v>0</v>
      </c>
      <c r="M21" s="10"/>
      <c r="N21" s="74"/>
      <c r="O21" s="74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A22" s="35" t="s">
        <v>18</v>
      </c>
      <c r="B22" s="36" t="s">
        <v>93</v>
      </c>
      <c r="C22" s="37">
        <f t="shared" si="0"/>
        <v>972090</v>
      </c>
      <c r="D22" s="37"/>
      <c r="E22" s="37"/>
      <c r="F22" s="37"/>
      <c r="G22" s="37"/>
      <c r="H22" s="73" t="s">
        <v>93</v>
      </c>
      <c r="I22" s="37">
        <v>3900000</v>
      </c>
      <c r="J22" s="37">
        <v>3135774</v>
      </c>
      <c r="K22" s="48">
        <v>0.81007499999999999</v>
      </c>
      <c r="L22" s="37">
        <v>972090</v>
      </c>
      <c r="M22" s="10"/>
      <c r="N22" s="74"/>
      <c r="O22" s="74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A23" s="35" t="s">
        <v>18</v>
      </c>
      <c r="B23" s="36" t="s">
        <v>92</v>
      </c>
      <c r="C23" s="37">
        <f t="shared" si="0"/>
        <v>2145059</v>
      </c>
      <c r="D23" s="37"/>
      <c r="E23" s="37"/>
      <c r="F23" s="37"/>
      <c r="G23" s="37"/>
      <c r="H23" s="73" t="s">
        <v>92</v>
      </c>
      <c r="I23" s="37">
        <v>3900000</v>
      </c>
      <c r="J23" s="37">
        <v>4613030</v>
      </c>
      <c r="K23" s="48">
        <v>1.1916995333333329</v>
      </c>
      <c r="L23" s="37">
        <v>2145059</v>
      </c>
      <c r="M23" s="10"/>
      <c r="N23" s="74"/>
      <c r="O23" s="74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35" t="s">
        <v>18</v>
      </c>
      <c r="B24" s="36" t="s">
        <v>94</v>
      </c>
      <c r="C24" s="37">
        <f t="shared" si="0"/>
        <v>0</v>
      </c>
      <c r="D24" s="37"/>
      <c r="E24" s="37"/>
      <c r="F24" s="37"/>
      <c r="G24" s="37"/>
      <c r="H24" s="73" t="s">
        <v>94</v>
      </c>
      <c r="I24" s="37">
        <v>3300000</v>
      </c>
      <c r="J24" s="37">
        <v>384505</v>
      </c>
      <c r="K24" s="48">
        <v>0.1191965</v>
      </c>
      <c r="L24" s="37">
        <v>0</v>
      </c>
      <c r="M24" s="10"/>
      <c r="N24" s="74"/>
      <c r="O24" s="74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>
      <c r="A25" s="35" t="s">
        <v>18</v>
      </c>
      <c r="B25" s="36" t="s">
        <v>78</v>
      </c>
      <c r="C25" s="37">
        <f t="shared" si="0"/>
        <v>1409901</v>
      </c>
      <c r="D25" s="37"/>
      <c r="E25" s="37"/>
      <c r="F25" s="37"/>
      <c r="G25" s="37"/>
      <c r="H25" s="73" t="s">
        <v>78</v>
      </c>
      <c r="I25" s="37">
        <v>3800000</v>
      </c>
      <c r="J25" s="37">
        <v>3498513</v>
      </c>
      <c r="K25" s="48">
        <v>0.94307732173913039</v>
      </c>
      <c r="L25" s="37">
        <v>1409901</v>
      </c>
      <c r="M25" s="10"/>
      <c r="N25" s="74"/>
      <c r="O25" s="74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>
      <c r="A26" s="35" t="s">
        <v>19</v>
      </c>
      <c r="B26" s="36" t="s">
        <v>96</v>
      </c>
      <c r="C26" s="37">
        <f t="shared" si="0"/>
        <v>875349</v>
      </c>
      <c r="D26" s="37"/>
      <c r="E26" s="37"/>
      <c r="F26" s="37"/>
      <c r="G26" s="37"/>
      <c r="H26" s="73" t="s">
        <v>96</v>
      </c>
      <c r="I26" s="37">
        <v>3300000</v>
      </c>
      <c r="J26" s="37">
        <v>2823706</v>
      </c>
      <c r="K26" s="48">
        <v>0.87534900000000004</v>
      </c>
      <c r="L26" s="37">
        <v>875349</v>
      </c>
      <c r="M26" s="10"/>
      <c r="N26" s="74"/>
      <c r="O26" s="74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>
      <c r="A27" s="35" t="s">
        <v>19</v>
      </c>
      <c r="B27" s="36" t="s">
        <v>100</v>
      </c>
      <c r="C27" s="37">
        <f t="shared" si="0"/>
        <v>0</v>
      </c>
      <c r="D27" s="37"/>
      <c r="E27" s="37"/>
      <c r="F27" s="37"/>
      <c r="G27" s="37"/>
      <c r="H27" s="73" t="s">
        <v>100</v>
      </c>
      <c r="I27" s="37">
        <v>2000000</v>
      </c>
      <c r="J27" s="37">
        <v>1502223</v>
      </c>
      <c r="K27" s="48">
        <v>0.77614833333333333</v>
      </c>
      <c r="L27" s="37">
        <v>0</v>
      </c>
      <c r="M27" s="10"/>
      <c r="N27" s="74"/>
      <c r="O27" s="7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>
      <c r="A28" s="35" t="s">
        <v>19</v>
      </c>
      <c r="B28" s="36" t="s">
        <v>97</v>
      </c>
      <c r="C28" s="37">
        <f t="shared" si="0"/>
        <v>0</v>
      </c>
      <c r="D28" s="37"/>
      <c r="E28" s="37"/>
      <c r="F28" s="37"/>
      <c r="G28" s="37"/>
      <c r="H28" s="73" t="s">
        <v>97</v>
      </c>
      <c r="I28" s="37">
        <v>2000000</v>
      </c>
      <c r="J28" s="37">
        <v>485258</v>
      </c>
      <c r="K28" s="48">
        <v>0.2507166666666667</v>
      </c>
      <c r="L28" s="37">
        <v>0</v>
      </c>
      <c r="M28" s="10"/>
      <c r="N28" s="74"/>
      <c r="O28" s="7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>
      <c r="A29" s="35" t="s">
        <v>19</v>
      </c>
      <c r="B29" s="36" t="s">
        <v>85</v>
      </c>
      <c r="C29" s="37">
        <f t="shared" si="0"/>
        <v>0</v>
      </c>
      <c r="D29" s="37"/>
      <c r="E29" s="37"/>
      <c r="F29" s="37"/>
      <c r="G29" s="37"/>
      <c r="H29" s="73" t="s">
        <v>85</v>
      </c>
      <c r="I29" s="37">
        <v>1700000</v>
      </c>
      <c r="J29" s="37">
        <v>419174</v>
      </c>
      <c r="K29" s="48">
        <v>0.25988800000000001</v>
      </c>
      <c r="L29" s="37">
        <v>0</v>
      </c>
      <c r="M29" s="10"/>
      <c r="N29" s="74"/>
      <c r="O29" s="74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35" t="s">
        <v>19</v>
      </c>
      <c r="B30" s="36" t="s">
        <v>98</v>
      </c>
      <c r="C30" s="37">
        <f t="shared" si="0"/>
        <v>0</v>
      </c>
      <c r="D30" s="37"/>
      <c r="E30" s="37"/>
      <c r="F30" s="37"/>
      <c r="G30" s="37"/>
      <c r="H30" s="73" t="s">
        <v>98</v>
      </c>
      <c r="I30" s="37">
        <v>2000000</v>
      </c>
      <c r="J30" s="37">
        <v>1591919</v>
      </c>
      <c r="K30" s="48">
        <v>0.82249130000000015</v>
      </c>
      <c r="L30" s="37">
        <v>0</v>
      </c>
      <c r="M30" s="10"/>
      <c r="N30" s="74"/>
      <c r="O30" s="74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35" t="s">
        <v>20</v>
      </c>
      <c r="B31" s="36" t="s">
        <v>103</v>
      </c>
      <c r="C31" s="37">
        <f t="shared" si="0"/>
        <v>0</v>
      </c>
      <c r="D31" s="37"/>
      <c r="E31" s="37"/>
      <c r="F31" s="37"/>
      <c r="G31" s="37"/>
      <c r="H31" s="73" t="s">
        <v>103</v>
      </c>
      <c r="I31" s="37">
        <v>3900000</v>
      </c>
      <c r="J31" s="37">
        <v>4469674</v>
      </c>
      <c r="K31" s="48">
        <v>0.74184545454545447</v>
      </c>
      <c r="L31" s="37">
        <v>0</v>
      </c>
      <c r="M31" s="10"/>
      <c r="N31" s="74"/>
      <c r="O31" s="74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>
      <c r="A32" s="35" t="s">
        <v>20</v>
      </c>
      <c r="B32" s="36" t="s">
        <v>108</v>
      </c>
      <c r="C32" s="37">
        <f t="shared" si="0"/>
        <v>963433</v>
      </c>
      <c r="D32" s="37"/>
      <c r="E32" s="37"/>
      <c r="F32" s="37"/>
      <c r="G32" s="37"/>
      <c r="H32" s="73" t="s">
        <v>108</v>
      </c>
      <c r="I32" s="37">
        <v>3900000</v>
      </c>
      <c r="J32" s="37">
        <v>3107849</v>
      </c>
      <c r="K32" s="48">
        <v>0.80286104166666672</v>
      </c>
      <c r="L32" s="37">
        <v>963433</v>
      </c>
      <c r="M32" s="10"/>
      <c r="N32" s="74"/>
      <c r="O32" s="74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>
      <c r="A33" s="35" t="s">
        <v>20</v>
      </c>
      <c r="B33" s="36" t="s">
        <v>104</v>
      </c>
      <c r="C33" s="37">
        <f t="shared" si="0"/>
        <v>0</v>
      </c>
      <c r="D33" s="37"/>
      <c r="E33" s="37"/>
      <c r="F33" s="37"/>
      <c r="G33" s="37"/>
      <c r="H33" s="73" t="s">
        <v>104</v>
      </c>
      <c r="I33" s="37">
        <v>3900000</v>
      </c>
      <c r="J33" s="37">
        <v>2569242</v>
      </c>
      <c r="K33" s="48">
        <v>0.66372087499999999</v>
      </c>
      <c r="L33" s="37">
        <v>0</v>
      </c>
      <c r="M33" s="10"/>
      <c r="N33" s="74"/>
      <c r="O33" s="74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>
      <c r="A34" s="35" t="s">
        <v>20</v>
      </c>
      <c r="B34" s="36" t="s">
        <v>105</v>
      </c>
      <c r="C34" s="37">
        <f t="shared" ref="C34:C65" si="1">IFERROR(INDEX(L:L, MATCH(B34, H:H, 0)), 0)</f>
        <v>0</v>
      </c>
      <c r="D34" s="37"/>
      <c r="E34" s="37"/>
      <c r="F34" s="37"/>
      <c r="G34" s="37"/>
      <c r="H34" s="73" t="s">
        <v>105</v>
      </c>
      <c r="I34" s="37">
        <v>3900000</v>
      </c>
      <c r="J34" s="37">
        <v>2840689</v>
      </c>
      <c r="K34" s="48">
        <v>0.73384475000000005</v>
      </c>
      <c r="L34" s="37">
        <v>0</v>
      </c>
      <c r="M34" s="10"/>
      <c r="N34" s="74"/>
      <c r="O34" s="74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>
      <c r="A35" s="35" t="s">
        <v>20</v>
      </c>
      <c r="B35" s="36" t="s">
        <v>106</v>
      </c>
      <c r="C35" s="37">
        <f t="shared" si="1"/>
        <v>0</v>
      </c>
      <c r="D35" s="37"/>
      <c r="E35" s="37"/>
      <c r="F35" s="37"/>
      <c r="G35" s="37"/>
      <c r="H35" s="73" t="s">
        <v>106</v>
      </c>
      <c r="I35" s="37">
        <v>2300000</v>
      </c>
      <c r="J35" s="37">
        <v>0</v>
      </c>
      <c r="K35" s="48">
        <v>0</v>
      </c>
      <c r="L35" s="37">
        <v>0</v>
      </c>
      <c r="M35" s="10"/>
      <c r="N35" s="74"/>
      <c r="O35" s="74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>
      <c r="A36" s="35" t="s">
        <v>21</v>
      </c>
      <c r="B36" s="36" t="s">
        <v>112</v>
      </c>
      <c r="C36" s="37">
        <f t="shared" si="1"/>
        <v>0</v>
      </c>
      <c r="D36" s="37"/>
      <c r="E36" s="37"/>
      <c r="F36" s="37"/>
      <c r="G36" s="37"/>
      <c r="H36" s="73" t="s">
        <v>112</v>
      </c>
      <c r="I36" s="37">
        <v>4600000</v>
      </c>
      <c r="J36" s="37">
        <v>3417739</v>
      </c>
      <c r="K36" s="48">
        <v>0.75678499999999993</v>
      </c>
      <c r="L36" s="37">
        <v>0</v>
      </c>
      <c r="M36" s="10"/>
      <c r="N36" s="74"/>
      <c r="O36" s="74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>
      <c r="A37" s="35" t="s">
        <v>21</v>
      </c>
      <c r="B37" s="36" t="s">
        <v>110</v>
      </c>
      <c r="C37" s="37">
        <f t="shared" si="1"/>
        <v>0</v>
      </c>
      <c r="D37" s="37"/>
      <c r="E37" s="37"/>
      <c r="F37" s="37"/>
      <c r="G37" s="37"/>
      <c r="H37" s="73" t="s">
        <v>110</v>
      </c>
      <c r="I37" s="37">
        <v>4600000</v>
      </c>
      <c r="J37" s="37">
        <v>4193494</v>
      </c>
      <c r="K37" s="48">
        <v>0.74241498715596332</v>
      </c>
      <c r="L37" s="37">
        <v>0</v>
      </c>
      <c r="M37" s="10"/>
      <c r="N37" s="74"/>
      <c r="O37" s="74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>
      <c r="A38" s="35" t="s">
        <v>21</v>
      </c>
      <c r="B38" s="36" t="s">
        <v>113</v>
      </c>
      <c r="C38" s="37">
        <f t="shared" si="1"/>
        <v>0</v>
      </c>
      <c r="D38" s="37"/>
      <c r="E38" s="37"/>
      <c r="F38" s="37"/>
      <c r="G38" s="37"/>
      <c r="H38" s="73" t="s">
        <v>113</v>
      </c>
      <c r="I38" s="37">
        <v>4100000</v>
      </c>
      <c r="J38" s="37">
        <v>1290713</v>
      </c>
      <c r="K38" s="48">
        <v>0.32009680000000001</v>
      </c>
      <c r="L38" s="37">
        <v>0</v>
      </c>
      <c r="M38" s="10"/>
      <c r="N38" s="74"/>
      <c r="O38" s="74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>
      <c r="A39" s="35" t="s">
        <v>21</v>
      </c>
      <c r="B39" s="36" t="s">
        <v>111</v>
      </c>
      <c r="C39" s="37">
        <f t="shared" si="1"/>
        <v>1347392</v>
      </c>
      <c r="D39" s="37"/>
      <c r="E39" s="37"/>
      <c r="F39" s="37"/>
      <c r="G39" s="37"/>
      <c r="H39" s="73" t="s">
        <v>111</v>
      </c>
      <c r="I39" s="37">
        <v>4600000</v>
      </c>
      <c r="J39" s="37">
        <v>3622022</v>
      </c>
      <c r="K39" s="48">
        <v>0.80201905714285715</v>
      </c>
      <c r="L39" s="37">
        <v>1347392</v>
      </c>
      <c r="M39" s="10"/>
      <c r="N39" s="74"/>
      <c r="O39" s="74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A40" s="35" t="s">
        <v>21</v>
      </c>
      <c r="B40" s="36" t="s">
        <v>115</v>
      </c>
      <c r="C40" s="37">
        <f t="shared" si="1"/>
        <v>0</v>
      </c>
      <c r="D40" s="37"/>
      <c r="E40" s="37"/>
      <c r="F40" s="37"/>
      <c r="G40" s="37"/>
      <c r="H40" s="73" t="s">
        <v>115</v>
      </c>
      <c r="I40" s="37">
        <v>2300000</v>
      </c>
      <c r="J40" s="37">
        <v>0</v>
      </c>
      <c r="K40" s="48">
        <v>0</v>
      </c>
      <c r="L40" s="37">
        <v>0</v>
      </c>
      <c r="M40" s="10"/>
      <c r="N40" s="74"/>
      <c r="O40" s="74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>
      <c r="A41" s="35" t="s">
        <v>22</v>
      </c>
      <c r="B41" s="36" t="s">
        <v>117</v>
      </c>
      <c r="C41" s="37">
        <f t="shared" si="1"/>
        <v>0</v>
      </c>
      <c r="D41" s="37"/>
      <c r="E41" s="37"/>
      <c r="F41" s="37"/>
      <c r="G41" s="37"/>
      <c r="H41" s="73" t="s">
        <v>117</v>
      </c>
      <c r="I41" s="37">
        <v>3300000</v>
      </c>
      <c r="J41" s="37">
        <v>2127703</v>
      </c>
      <c r="K41" s="48">
        <v>0.65958799999999995</v>
      </c>
      <c r="L41" s="37">
        <v>0</v>
      </c>
      <c r="M41" s="10"/>
      <c r="N41" s="74"/>
      <c r="O41" s="74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>
      <c r="A42" s="35" t="s">
        <v>22</v>
      </c>
      <c r="B42" s="36" t="s">
        <v>116</v>
      </c>
      <c r="C42" s="37">
        <f t="shared" si="1"/>
        <v>0</v>
      </c>
      <c r="D42" s="37"/>
      <c r="E42" s="37"/>
      <c r="F42" s="37"/>
      <c r="G42" s="37"/>
      <c r="H42" s="73" t="s">
        <v>116</v>
      </c>
      <c r="I42" s="37">
        <v>3300000</v>
      </c>
      <c r="J42" s="37">
        <v>1531903</v>
      </c>
      <c r="K42" s="48">
        <v>0.68930787500000001</v>
      </c>
      <c r="L42" s="37">
        <v>0</v>
      </c>
      <c r="M42" s="10"/>
      <c r="N42" s="74"/>
      <c r="O42" s="74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>
      <c r="A43" s="35" t="s">
        <v>22</v>
      </c>
      <c r="B43" s="36" t="s">
        <v>118</v>
      </c>
      <c r="C43" s="37">
        <f t="shared" si="1"/>
        <v>876951</v>
      </c>
      <c r="D43" s="37"/>
      <c r="E43" s="37"/>
      <c r="F43" s="37"/>
      <c r="G43" s="37"/>
      <c r="H43" s="73" t="s">
        <v>118</v>
      </c>
      <c r="I43" s="37">
        <v>3300000</v>
      </c>
      <c r="J43" s="37">
        <v>2828874</v>
      </c>
      <c r="K43" s="48">
        <v>0.87695099999999993</v>
      </c>
      <c r="L43" s="37">
        <v>876951</v>
      </c>
      <c r="M43" s="10"/>
      <c r="N43" s="74"/>
      <c r="O43" s="74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>
      <c r="A44" s="35" t="s">
        <v>22</v>
      </c>
      <c r="B44" s="36" t="s">
        <v>119</v>
      </c>
      <c r="C44" s="37">
        <f t="shared" si="1"/>
        <v>0</v>
      </c>
      <c r="D44" s="37"/>
      <c r="E44" s="37"/>
      <c r="F44" s="37"/>
      <c r="G44" s="37"/>
      <c r="H44" s="73" t="s">
        <v>119</v>
      </c>
      <c r="I44" s="37">
        <v>3300000</v>
      </c>
      <c r="J44" s="37">
        <v>2375556</v>
      </c>
      <c r="K44" s="48">
        <v>0.73642249999999998</v>
      </c>
      <c r="L44" s="37">
        <v>0</v>
      </c>
      <c r="M44" s="10"/>
      <c r="N44" s="74"/>
      <c r="O44" s="74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>
      <c r="A45" s="35" t="s">
        <v>23</v>
      </c>
      <c r="B45" s="36" t="s">
        <v>109</v>
      </c>
      <c r="C45" s="37">
        <f t="shared" si="1"/>
        <v>1686872</v>
      </c>
      <c r="D45" s="37"/>
      <c r="E45" s="37"/>
      <c r="F45" s="37"/>
      <c r="G45" s="37"/>
      <c r="H45" s="73" t="s">
        <v>109</v>
      </c>
      <c r="I45" s="37">
        <v>4600000</v>
      </c>
      <c r="J45" s="37">
        <v>3177474</v>
      </c>
      <c r="K45" s="48">
        <v>0.8073959523809523</v>
      </c>
      <c r="L45" s="37">
        <v>1686872</v>
      </c>
      <c r="M45" s="10"/>
      <c r="N45" s="74"/>
      <c r="O45" s="74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>
      <c r="A46" s="35" t="s">
        <v>23</v>
      </c>
      <c r="B46" s="36" t="s">
        <v>120</v>
      </c>
      <c r="C46" s="37">
        <f t="shared" si="1"/>
        <v>0</v>
      </c>
      <c r="D46" s="37"/>
      <c r="E46" s="37"/>
      <c r="F46" s="37"/>
      <c r="G46" s="37"/>
      <c r="H46" s="73" t="s">
        <v>120</v>
      </c>
      <c r="I46" s="37">
        <v>3600000</v>
      </c>
      <c r="J46" s="37">
        <v>2391161</v>
      </c>
      <c r="K46" s="48">
        <v>0.67387272727272729</v>
      </c>
      <c r="L46" s="37">
        <v>0</v>
      </c>
      <c r="M46" s="10"/>
      <c r="N46" s="74"/>
      <c r="O46" s="74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>
      <c r="A47" s="35" t="s">
        <v>23</v>
      </c>
      <c r="B47" s="36" t="s">
        <v>107</v>
      </c>
      <c r="C47" s="37">
        <f t="shared" si="1"/>
        <v>0</v>
      </c>
      <c r="D47" s="37"/>
      <c r="E47" s="37"/>
      <c r="F47" s="37"/>
      <c r="G47" s="37"/>
      <c r="H47" s="73" t="s">
        <v>107</v>
      </c>
      <c r="I47" s="37">
        <v>1300000</v>
      </c>
      <c r="J47" s="37">
        <v>1638590</v>
      </c>
      <c r="K47" s="48">
        <v>1.2699075</v>
      </c>
      <c r="L47" s="37">
        <v>0</v>
      </c>
      <c r="M47" s="10"/>
      <c r="N47" s="74"/>
      <c r="O47" s="74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>
      <c r="A48" s="35" t="s">
        <v>23</v>
      </c>
      <c r="B48" s="44" t="s">
        <v>121</v>
      </c>
      <c r="C48" s="37">
        <f t="shared" si="1"/>
        <v>0</v>
      </c>
      <c r="D48" s="37"/>
      <c r="E48" s="37"/>
      <c r="F48" s="37"/>
      <c r="G48" s="37"/>
      <c r="H48" s="73" t="s">
        <v>121</v>
      </c>
      <c r="I48" s="37">
        <v>1800000</v>
      </c>
      <c r="J48" s="37">
        <v>145726</v>
      </c>
      <c r="K48" s="48">
        <v>8.2136363636363646E-2</v>
      </c>
      <c r="L48" s="37">
        <v>0</v>
      </c>
      <c r="M48" s="10"/>
      <c r="N48" s="74"/>
      <c r="O48" s="74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>
      <c r="A49" s="35" t="s">
        <v>23</v>
      </c>
      <c r="B49" s="44" t="s">
        <v>122</v>
      </c>
      <c r="C49" s="37">
        <f t="shared" si="1"/>
        <v>1284424</v>
      </c>
      <c r="D49" s="37"/>
      <c r="E49" s="37"/>
      <c r="F49" s="37"/>
      <c r="G49" s="37"/>
      <c r="H49" s="73" t="s">
        <v>122</v>
      </c>
      <c r="I49" s="37">
        <v>4200000</v>
      </c>
      <c r="J49" s="37">
        <v>3452752</v>
      </c>
      <c r="K49" s="48">
        <v>0.82334846153846153</v>
      </c>
      <c r="L49" s="37">
        <v>1284424</v>
      </c>
      <c r="M49" s="10"/>
      <c r="N49" s="74"/>
      <c r="O49" s="74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>
      <c r="A50" s="35" t="s">
        <v>24</v>
      </c>
      <c r="B50" s="36" t="s">
        <v>72</v>
      </c>
      <c r="C50" s="37">
        <f t="shared" si="1"/>
        <v>0</v>
      </c>
      <c r="D50" s="37"/>
      <c r="E50" s="37"/>
      <c r="F50" s="37"/>
      <c r="G50" s="37"/>
      <c r="H50" s="73" t="s">
        <v>72</v>
      </c>
      <c r="I50" s="37">
        <v>2800000</v>
      </c>
      <c r="J50" s="37">
        <v>1920004</v>
      </c>
      <c r="K50" s="48">
        <v>0.57323738863287255</v>
      </c>
      <c r="L50" s="37">
        <v>0</v>
      </c>
      <c r="M50" s="10"/>
      <c r="N50" s="74"/>
      <c r="O50" s="74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>
      <c r="A51" s="35" t="s">
        <v>24</v>
      </c>
      <c r="B51" s="36" t="s">
        <v>123</v>
      </c>
      <c r="C51" s="37">
        <f t="shared" si="1"/>
        <v>0</v>
      </c>
      <c r="D51" s="37"/>
      <c r="E51" s="37"/>
      <c r="F51" s="37"/>
      <c r="G51" s="37"/>
      <c r="H51" s="73" t="s">
        <v>123</v>
      </c>
      <c r="I51" s="37">
        <v>2600000</v>
      </c>
      <c r="J51" s="37">
        <v>926326</v>
      </c>
      <c r="K51" s="48">
        <v>0.35895125</v>
      </c>
      <c r="L51" s="37">
        <v>0</v>
      </c>
      <c r="M51" s="10"/>
      <c r="N51" s="74"/>
      <c r="O51" s="74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>
      <c r="A52" s="35" t="s">
        <v>24</v>
      </c>
      <c r="B52" s="36" t="s">
        <v>124</v>
      </c>
      <c r="C52" s="37">
        <f t="shared" si="1"/>
        <v>0</v>
      </c>
      <c r="D52" s="37"/>
      <c r="E52" s="37"/>
      <c r="F52" s="37"/>
      <c r="G52" s="37"/>
      <c r="H52" s="74" t="s">
        <v>124</v>
      </c>
      <c r="I52" s="37">
        <v>2600000</v>
      </c>
      <c r="J52" s="37">
        <v>1507708</v>
      </c>
      <c r="K52" s="48">
        <v>0.58423687499999999</v>
      </c>
      <c r="L52" s="37">
        <v>0</v>
      </c>
      <c r="M52" s="10"/>
      <c r="N52" s="74"/>
      <c r="O52" s="74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>
      <c r="A53" s="35" t="s">
        <v>24</v>
      </c>
      <c r="B53" s="36" t="s">
        <v>88</v>
      </c>
      <c r="C53" s="37">
        <f t="shared" si="1"/>
        <v>1035323</v>
      </c>
      <c r="D53" s="10"/>
      <c r="E53" s="10"/>
      <c r="F53" s="10"/>
      <c r="G53" s="37"/>
      <c r="H53" s="74" t="s">
        <v>88</v>
      </c>
      <c r="I53" s="37">
        <v>2600000</v>
      </c>
      <c r="J53" s="37">
        <v>2569039</v>
      </c>
      <c r="K53" s="48">
        <v>0.99550249999999996</v>
      </c>
      <c r="L53" s="37">
        <v>1035323</v>
      </c>
      <c r="M53" s="10"/>
      <c r="N53" s="74"/>
      <c r="O53" s="74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35" t="s">
        <v>24</v>
      </c>
      <c r="B54" s="36" t="s">
        <v>125</v>
      </c>
      <c r="C54" s="37">
        <f t="shared" si="1"/>
        <v>0</v>
      </c>
      <c r="D54" s="10"/>
      <c r="E54" s="10"/>
      <c r="F54" s="10"/>
      <c r="G54" s="37"/>
      <c r="H54" s="74" t="s">
        <v>125</v>
      </c>
      <c r="I54" s="37">
        <v>1800000</v>
      </c>
      <c r="J54" s="37">
        <v>0</v>
      </c>
      <c r="K54" s="48">
        <v>0</v>
      </c>
      <c r="L54" s="37">
        <v>0</v>
      </c>
      <c r="M54" s="10"/>
      <c r="N54" s="74"/>
      <c r="O54" s="74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35"/>
      <c r="B55" s="36"/>
      <c r="C55" s="37"/>
      <c r="D55" s="10"/>
      <c r="E55" s="10"/>
      <c r="F55" s="10"/>
      <c r="G55" s="37"/>
      <c r="H55" s="74"/>
      <c r="I55" s="10"/>
      <c r="J55" s="10"/>
      <c r="K55" s="10"/>
      <c r="L55" s="37"/>
      <c r="M55" s="10"/>
      <c r="N55" s="74"/>
      <c r="O55" s="74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35"/>
      <c r="B56" s="36"/>
      <c r="C56" s="37"/>
      <c r="D56" s="10"/>
      <c r="E56" s="10"/>
      <c r="F56" s="10"/>
      <c r="G56" s="37"/>
      <c r="H56" s="74"/>
      <c r="I56" s="10"/>
      <c r="J56" s="10"/>
      <c r="K56" s="10"/>
      <c r="L56" s="37"/>
      <c r="M56" s="10"/>
      <c r="N56" s="74"/>
      <c r="O56" s="74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>
      <c r="A57" s="35"/>
      <c r="B57" s="36"/>
      <c r="C57" s="10"/>
      <c r="D57" s="10"/>
      <c r="E57" s="10"/>
      <c r="F57" s="10"/>
      <c r="G57" s="37"/>
      <c r="H57" s="74"/>
      <c r="I57" s="10"/>
      <c r="J57" s="10"/>
      <c r="K57" s="10"/>
      <c r="L57" s="37"/>
      <c r="M57" s="10"/>
      <c r="N57" s="74"/>
      <c r="O57" s="74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>
      <c r="A58" s="35"/>
      <c r="B58" s="36"/>
      <c r="C58" s="37"/>
      <c r="D58" s="10"/>
      <c r="E58" s="10"/>
      <c r="F58" s="10"/>
      <c r="G58" s="37"/>
      <c r="H58" s="74"/>
      <c r="I58" s="10"/>
      <c r="J58" s="10"/>
      <c r="K58" s="10"/>
      <c r="L58" s="37"/>
      <c r="M58" s="10"/>
      <c r="N58" s="74"/>
      <c r="O58" s="74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>
      <c r="A59" s="35"/>
      <c r="B59" s="36"/>
      <c r="C59" s="10"/>
      <c r="D59" s="10"/>
      <c r="E59" s="10"/>
      <c r="F59" s="10"/>
      <c r="G59" s="37"/>
      <c r="H59" s="74"/>
      <c r="I59" s="10"/>
      <c r="J59" s="10"/>
      <c r="K59" s="10"/>
      <c r="L59" s="37"/>
      <c r="M59" s="10"/>
      <c r="N59" s="74"/>
      <c r="O59" s="74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>
      <c r="A60" s="35"/>
      <c r="B60" s="36"/>
      <c r="C60" s="37"/>
      <c r="D60" s="10"/>
      <c r="E60" s="10"/>
      <c r="F60" s="10"/>
      <c r="G60" s="37"/>
      <c r="H60" s="74"/>
      <c r="I60" s="10"/>
      <c r="J60" s="10"/>
      <c r="K60" s="10"/>
      <c r="L60" s="37"/>
      <c r="M60" s="10"/>
      <c r="N60" s="74"/>
      <c r="O60" s="74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>
      <c r="A61" s="35"/>
      <c r="B61" s="36"/>
      <c r="C61" s="10"/>
      <c r="D61" s="10"/>
      <c r="E61" s="10"/>
      <c r="F61" s="10"/>
      <c r="G61" s="37"/>
      <c r="H61" s="74"/>
      <c r="I61" s="10"/>
      <c r="J61" s="10"/>
      <c r="K61" s="10"/>
      <c r="L61" s="37"/>
      <c r="M61" s="10"/>
      <c r="N61" s="74"/>
      <c r="O61" s="74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>
      <c r="A62" s="35"/>
      <c r="B62" s="36"/>
      <c r="C62" s="10"/>
      <c r="D62" s="10"/>
      <c r="E62" s="10"/>
      <c r="F62" s="10"/>
      <c r="G62" s="37"/>
      <c r="H62" s="74"/>
      <c r="I62" s="10"/>
      <c r="J62" s="10"/>
      <c r="K62" s="10"/>
      <c r="L62" s="37"/>
      <c r="M62" s="10"/>
      <c r="N62" s="74"/>
      <c r="O62" s="74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>
      <c r="A63" s="10"/>
      <c r="B63" s="74"/>
      <c r="C63" s="10"/>
      <c r="D63" s="10"/>
      <c r="E63" s="10"/>
      <c r="F63" s="10"/>
      <c r="G63" s="37"/>
      <c r="H63" s="74"/>
      <c r="I63" s="10"/>
      <c r="J63" s="10"/>
      <c r="K63" s="10"/>
      <c r="L63" s="37"/>
      <c r="M63" s="10"/>
      <c r="N63" s="74"/>
      <c r="O63" s="74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>
      <c r="A64" s="10"/>
      <c r="B64" s="74"/>
      <c r="C64" s="10"/>
      <c r="D64" s="10"/>
      <c r="E64" s="10"/>
      <c r="F64" s="10"/>
      <c r="G64" s="37"/>
      <c r="H64" s="74"/>
      <c r="I64" s="10"/>
      <c r="J64" s="10"/>
      <c r="K64" s="10"/>
      <c r="L64" s="37"/>
      <c r="M64" s="10"/>
      <c r="N64" s="74"/>
      <c r="O64" s="74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>
      <c r="A65" s="10"/>
      <c r="B65" s="74"/>
      <c r="C65" s="10"/>
      <c r="D65" s="10"/>
      <c r="E65" s="10"/>
      <c r="F65" s="10"/>
      <c r="G65" s="37"/>
      <c r="H65" s="74"/>
      <c r="I65" s="10"/>
      <c r="J65" s="10"/>
      <c r="K65" s="10"/>
      <c r="L65" s="37"/>
      <c r="M65" s="10"/>
      <c r="N65" s="74"/>
      <c r="O65" s="74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>
      <c r="A66" s="10"/>
      <c r="B66" s="74"/>
      <c r="C66" s="10"/>
      <c r="D66" s="10"/>
      <c r="E66" s="10"/>
      <c r="F66" s="10"/>
      <c r="G66" s="37"/>
      <c r="H66" s="74"/>
      <c r="I66" s="10"/>
      <c r="J66" s="10"/>
      <c r="K66" s="10"/>
      <c r="L66" s="37"/>
      <c r="M66" s="10"/>
      <c r="N66" s="74"/>
      <c r="O66" s="74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>
      <c r="A67" s="10"/>
      <c r="B67" s="74"/>
      <c r="C67" s="10"/>
      <c r="D67" s="10"/>
      <c r="E67" s="10"/>
      <c r="F67" s="10"/>
      <c r="G67" s="37"/>
      <c r="H67" s="74"/>
      <c r="I67" s="10"/>
      <c r="J67" s="10"/>
      <c r="K67" s="10"/>
      <c r="L67" s="37"/>
      <c r="M67" s="10"/>
      <c r="N67" s="74"/>
      <c r="O67" s="74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>
      <c r="A68" s="10"/>
      <c r="B68" s="74"/>
      <c r="C68" s="10"/>
      <c r="D68" s="10"/>
      <c r="E68" s="10"/>
      <c r="F68" s="10"/>
      <c r="G68" s="37"/>
      <c r="H68" s="74"/>
      <c r="I68" s="10"/>
      <c r="J68" s="10"/>
      <c r="K68" s="10"/>
      <c r="L68" s="37"/>
      <c r="M68" s="10"/>
      <c r="N68" s="74"/>
      <c r="O68" s="74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>
      <c r="A69" s="10"/>
      <c r="B69" s="74"/>
      <c r="C69" s="10"/>
      <c r="D69" s="10"/>
      <c r="E69" s="10"/>
      <c r="F69" s="10"/>
      <c r="G69" s="37"/>
      <c r="H69" s="74"/>
      <c r="I69" s="10"/>
      <c r="J69" s="10"/>
      <c r="K69" s="10"/>
      <c r="L69" s="37"/>
      <c r="M69" s="10"/>
      <c r="N69" s="74"/>
      <c r="O69" s="74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>
      <c r="A70" s="10"/>
      <c r="B70" s="74"/>
      <c r="C70" s="10"/>
      <c r="D70" s="10"/>
      <c r="E70" s="10"/>
      <c r="F70" s="10"/>
      <c r="G70" s="37"/>
      <c r="H70" s="74"/>
      <c r="I70" s="10"/>
      <c r="J70" s="10"/>
      <c r="K70" s="10"/>
      <c r="L70" s="37"/>
      <c r="M70" s="10"/>
      <c r="N70" s="74"/>
      <c r="O70" s="74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>
      <c r="A71" s="10"/>
      <c r="B71" s="74"/>
      <c r="C71" s="10"/>
      <c r="D71" s="10"/>
      <c r="E71" s="10"/>
      <c r="F71" s="10"/>
      <c r="G71" s="37"/>
      <c r="H71" s="74"/>
      <c r="I71" s="10"/>
      <c r="J71" s="10"/>
      <c r="K71" s="10"/>
      <c r="L71" s="37"/>
      <c r="M71" s="10"/>
      <c r="N71" s="74"/>
      <c r="O71" s="74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>
      <c r="A72" s="10"/>
      <c r="B72" s="74"/>
      <c r="C72" s="10"/>
      <c r="D72" s="10"/>
      <c r="E72" s="10"/>
      <c r="F72" s="10"/>
      <c r="G72" s="37"/>
      <c r="H72" s="74"/>
      <c r="I72" s="10"/>
      <c r="J72" s="10"/>
      <c r="K72" s="10"/>
      <c r="L72" s="37"/>
      <c r="M72" s="10"/>
      <c r="N72" s="74"/>
      <c r="O72" s="74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>
      <c r="A73" s="10"/>
      <c r="B73" s="74"/>
      <c r="C73" s="10"/>
      <c r="D73" s="10"/>
      <c r="E73" s="10"/>
      <c r="F73" s="10"/>
      <c r="G73" s="37"/>
      <c r="H73" s="74"/>
      <c r="I73" s="10"/>
      <c r="J73" s="10"/>
      <c r="K73" s="10"/>
      <c r="L73" s="37"/>
      <c r="M73" s="10"/>
      <c r="N73" s="74"/>
      <c r="O73" s="74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>
      <c r="A74" s="10"/>
      <c r="B74" s="74"/>
      <c r="C74" s="10"/>
      <c r="D74" s="10"/>
      <c r="E74" s="10"/>
      <c r="F74" s="10"/>
      <c r="G74" s="37"/>
      <c r="H74" s="74"/>
      <c r="I74" s="10"/>
      <c r="J74" s="10"/>
      <c r="K74" s="10"/>
      <c r="L74" s="37"/>
      <c r="M74" s="10"/>
      <c r="N74" s="74"/>
      <c r="O74" s="74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>
      <c r="A75" s="10"/>
      <c r="B75" s="74"/>
      <c r="C75" s="10"/>
      <c r="D75" s="10"/>
      <c r="E75" s="10"/>
      <c r="F75" s="10"/>
      <c r="G75" s="37"/>
      <c r="H75" s="74"/>
      <c r="I75" s="10"/>
      <c r="J75" s="10"/>
      <c r="K75" s="10"/>
      <c r="L75" s="37"/>
      <c r="M75" s="10"/>
      <c r="N75" s="74"/>
      <c r="O75" s="74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>
      <c r="A76" s="10"/>
      <c r="B76" s="74"/>
      <c r="C76" s="10"/>
      <c r="D76" s="10"/>
      <c r="E76" s="10"/>
      <c r="F76" s="10"/>
      <c r="G76" s="37"/>
      <c r="H76" s="74"/>
      <c r="I76" s="10"/>
      <c r="J76" s="10"/>
      <c r="K76" s="10"/>
      <c r="L76" s="37"/>
      <c r="M76" s="10"/>
      <c r="N76" s="74"/>
      <c r="O76" s="74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>
      <c r="A77" s="10"/>
      <c r="B77" s="74"/>
      <c r="C77" s="10"/>
      <c r="D77" s="10"/>
      <c r="E77" s="10"/>
      <c r="F77" s="10"/>
      <c r="G77" s="37"/>
      <c r="H77" s="74"/>
      <c r="I77" s="10"/>
      <c r="J77" s="10"/>
      <c r="K77" s="10"/>
      <c r="L77" s="37"/>
      <c r="M77" s="10"/>
      <c r="N77" s="74"/>
      <c r="O77" s="74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>
      <c r="A78" s="10"/>
      <c r="B78" s="74"/>
      <c r="C78" s="10"/>
      <c r="D78" s="10"/>
      <c r="E78" s="10"/>
      <c r="F78" s="10"/>
      <c r="G78" s="37"/>
      <c r="H78" s="74"/>
      <c r="I78" s="10"/>
      <c r="J78" s="10"/>
      <c r="K78" s="10"/>
      <c r="L78" s="37"/>
      <c r="M78" s="10"/>
      <c r="N78" s="74"/>
      <c r="O78" s="74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>
      <c r="A79" s="10"/>
      <c r="B79" s="74"/>
      <c r="C79" s="10"/>
      <c r="D79" s="10"/>
      <c r="E79" s="10"/>
      <c r="F79" s="10"/>
      <c r="G79" s="37"/>
      <c r="H79" s="74"/>
      <c r="I79" s="10"/>
      <c r="J79" s="10"/>
      <c r="K79" s="10"/>
      <c r="L79" s="37"/>
      <c r="M79" s="10"/>
      <c r="N79" s="74"/>
      <c r="O79" s="74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>
      <c r="A80" s="10"/>
      <c r="B80" s="74"/>
      <c r="C80" s="10"/>
      <c r="D80" s="10"/>
      <c r="E80" s="10"/>
      <c r="F80" s="10"/>
      <c r="G80" s="37"/>
      <c r="H80" s="74"/>
      <c r="I80" s="10"/>
      <c r="J80" s="10"/>
      <c r="K80" s="10"/>
      <c r="L80" s="37"/>
      <c r="M80" s="10"/>
      <c r="N80" s="74"/>
      <c r="O80" s="74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>
      <c r="A81" s="10"/>
      <c r="B81" s="74"/>
      <c r="C81" s="10"/>
      <c r="D81" s="10"/>
      <c r="E81" s="10"/>
      <c r="F81" s="10"/>
      <c r="G81" s="37"/>
      <c r="H81" s="74"/>
      <c r="I81" s="10"/>
      <c r="J81" s="10"/>
      <c r="K81" s="10"/>
      <c r="L81" s="37"/>
      <c r="M81" s="10"/>
      <c r="N81" s="74"/>
      <c r="O81" s="74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>
      <c r="A82" s="10"/>
      <c r="B82" s="74"/>
      <c r="C82" s="10"/>
      <c r="D82" s="10"/>
      <c r="E82" s="10"/>
      <c r="F82" s="10"/>
      <c r="G82" s="37"/>
      <c r="H82" s="74"/>
      <c r="I82" s="10"/>
      <c r="J82" s="10"/>
      <c r="K82" s="10"/>
      <c r="L82" s="37"/>
      <c r="M82" s="10"/>
      <c r="N82" s="74"/>
      <c r="O82" s="74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>
      <c r="A83" s="10"/>
      <c r="B83" s="74"/>
      <c r="C83" s="10"/>
      <c r="D83" s="10"/>
      <c r="E83" s="10"/>
      <c r="F83" s="10"/>
      <c r="G83" s="37"/>
      <c r="H83" s="74"/>
      <c r="I83" s="10"/>
      <c r="J83" s="10"/>
      <c r="K83" s="10"/>
      <c r="L83" s="37"/>
      <c r="M83" s="10"/>
      <c r="N83" s="74"/>
      <c r="O83" s="74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>
      <c r="A84" s="10"/>
      <c r="B84" s="74"/>
      <c r="C84" s="10"/>
      <c r="D84" s="10"/>
      <c r="E84" s="10"/>
      <c r="F84" s="10"/>
      <c r="G84" s="37"/>
      <c r="H84" s="74"/>
      <c r="I84" s="10"/>
      <c r="J84" s="10"/>
      <c r="K84" s="10"/>
      <c r="L84" s="37"/>
      <c r="M84" s="10"/>
      <c r="N84" s="74"/>
      <c r="O84" s="74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>
      <c r="A85" s="10"/>
      <c r="B85" s="74"/>
      <c r="C85" s="10"/>
      <c r="D85" s="10"/>
      <c r="E85" s="10"/>
      <c r="F85" s="10"/>
      <c r="G85" s="37"/>
      <c r="H85" s="74"/>
      <c r="I85" s="10"/>
      <c r="J85" s="10"/>
      <c r="K85" s="10"/>
      <c r="L85" s="37"/>
      <c r="M85" s="10"/>
      <c r="N85" s="74"/>
      <c r="O85" s="74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>
      <c r="A86" s="10"/>
      <c r="B86" s="74"/>
      <c r="C86" s="10"/>
      <c r="D86" s="10"/>
      <c r="E86" s="10"/>
      <c r="F86" s="10"/>
      <c r="G86" s="37"/>
      <c r="H86" s="74"/>
      <c r="I86" s="10"/>
      <c r="J86" s="10"/>
      <c r="K86" s="10"/>
      <c r="L86" s="37"/>
      <c r="M86" s="10"/>
      <c r="N86" s="74"/>
      <c r="O86" s="74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>
      <c r="A87" s="10"/>
      <c r="B87" s="74"/>
      <c r="C87" s="10"/>
      <c r="D87" s="10"/>
      <c r="E87" s="10"/>
      <c r="F87" s="10"/>
      <c r="G87" s="37"/>
      <c r="H87" s="74"/>
      <c r="I87" s="10"/>
      <c r="J87" s="10"/>
      <c r="K87" s="10"/>
      <c r="L87" s="37"/>
      <c r="M87" s="10"/>
      <c r="N87" s="74"/>
      <c r="O87" s="74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>
      <c r="A88" s="10"/>
      <c r="B88" s="74"/>
      <c r="C88" s="10"/>
      <c r="D88" s="10"/>
      <c r="E88" s="10"/>
      <c r="F88" s="10"/>
      <c r="G88" s="37"/>
      <c r="H88" s="74"/>
      <c r="I88" s="10"/>
      <c r="J88" s="10"/>
      <c r="K88" s="10"/>
      <c r="L88" s="37"/>
      <c r="M88" s="10"/>
      <c r="N88" s="74"/>
      <c r="O88" s="74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>
      <c r="A89" s="10"/>
      <c r="B89" s="74"/>
      <c r="C89" s="10"/>
      <c r="D89" s="10"/>
      <c r="E89" s="10"/>
      <c r="F89" s="10"/>
      <c r="G89" s="37"/>
      <c r="H89" s="74"/>
      <c r="I89" s="10"/>
      <c r="J89" s="10"/>
      <c r="K89" s="10"/>
      <c r="L89" s="37"/>
      <c r="M89" s="10"/>
      <c r="N89" s="74"/>
      <c r="O89" s="74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>
      <c r="A90" s="10"/>
      <c r="B90" s="74"/>
      <c r="C90" s="10"/>
      <c r="D90" s="10"/>
      <c r="E90" s="10"/>
      <c r="F90" s="10"/>
      <c r="G90" s="37"/>
      <c r="H90" s="74"/>
      <c r="I90" s="10"/>
      <c r="J90" s="10"/>
      <c r="K90" s="10"/>
      <c r="L90" s="37"/>
      <c r="M90" s="10"/>
      <c r="N90" s="74"/>
      <c r="O90" s="74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>
      <c r="A91" s="10"/>
      <c r="B91" s="74"/>
      <c r="C91" s="10"/>
      <c r="D91" s="10"/>
      <c r="E91" s="10"/>
      <c r="F91" s="10"/>
      <c r="G91" s="37"/>
      <c r="H91" s="74"/>
      <c r="I91" s="10"/>
      <c r="J91" s="10"/>
      <c r="K91" s="10"/>
      <c r="L91" s="37"/>
      <c r="M91" s="10"/>
      <c r="N91" s="74"/>
      <c r="O91" s="74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>
      <c r="A92" s="10"/>
      <c r="B92" s="74"/>
      <c r="C92" s="10"/>
      <c r="D92" s="10"/>
      <c r="E92" s="10"/>
      <c r="F92" s="10"/>
      <c r="G92" s="37"/>
      <c r="H92" s="74"/>
      <c r="I92" s="10"/>
      <c r="J92" s="10"/>
      <c r="K92" s="10"/>
      <c r="L92" s="37"/>
      <c r="M92" s="10"/>
      <c r="N92" s="74"/>
      <c r="O92" s="74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>
      <c r="A93" s="10"/>
      <c r="B93" s="74"/>
      <c r="C93" s="10"/>
      <c r="D93" s="10"/>
      <c r="E93" s="10"/>
      <c r="F93" s="10"/>
      <c r="G93" s="37"/>
      <c r="H93" s="74"/>
      <c r="I93" s="10"/>
      <c r="J93" s="10"/>
      <c r="K93" s="10"/>
      <c r="L93" s="37"/>
      <c r="M93" s="10"/>
      <c r="N93" s="74"/>
      <c r="O93" s="74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>
      <c r="A94" s="10"/>
      <c r="B94" s="74"/>
      <c r="C94" s="10"/>
      <c r="D94" s="10"/>
      <c r="E94" s="10"/>
      <c r="F94" s="10"/>
      <c r="G94" s="37"/>
      <c r="H94" s="74"/>
      <c r="I94" s="10"/>
      <c r="J94" s="10"/>
      <c r="K94" s="10"/>
      <c r="L94" s="37"/>
      <c r="M94" s="10"/>
      <c r="N94" s="74"/>
      <c r="O94" s="74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>
      <c r="A95" s="10"/>
      <c r="B95" s="74"/>
      <c r="C95" s="10"/>
      <c r="D95" s="10"/>
      <c r="E95" s="10"/>
      <c r="F95" s="10"/>
      <c r="G95" s="37"/>
      <c r="H95" s="74"/>
      <c r="I95" s="10"/>
      <c r="J95" s="10"/>
      <c r="K95" s="10"/>
      <c r="L95" s="37"/>
      <c r="M95" s="10"/>
      <c r="N95" s="74"/>
      <c r="O95" s="74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>
      <c r="A96" s="10"/>
      <c r="B96" s="74"/>
      <c r="C96" s="10"/>
      <c r="D96" s="10"/>
      <c r="E96" s="10"/>
      <c r="F96" s="10"/>
      <c r="G96" s="37"/>
      <c r="H96" s="74"/>
      <c r="I96" s="10"/>
      <c r="J96" s="10"/>
      <c r="K96" s="10"/>
      <c r="L96" s="37"/>
      <c r="M96" s="10"/>
      <c r="N96" s="74"/>
      <c r="O96" s="74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75" customHeight="1">
      <c r="A97" s="10"/>
      <c r="B97" s="74"/>
      <c r="C97" s="10"/>
      <c r="D97" s="10"/>
      <c r="E97" s="10"/>
      <c r="F97" s="10"/>
      <c r="G97" s="37"/>
      <c r="H97" s="74"/>
      <c r="I97" s="10"/>
      <c r="J97" s="10"/>
      <c r="K97" s="10"/>
      <c r="L97" s="37"/>
      <c r="M97" s="10"/>
      <c r="N97" s="74"/>
      <c r="O97" s="74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>
      <c r="A98" s="10"/>
      <c r="B98" s="74"/>
      <c r="C98" s="10"/>
      <c r="D98" s="10"/>
      <c r="E98" s="10"/>
      <c r="F98" s="10"/>
      <c r="G98" s="37"/>
      <c r="H98" s="74"/>
      <c r="I98" s="10"/>
      <c r="J98" s="10"/>
      <c r="K98" s="10"/>
      <c r="L98" s="37"/>
      <c r="M98" s="10"/>
      <c r="N98" s="74"/>
      <c r="O98" s="74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>
      <c r="A99" s="10"/>
      <c r="B99" s="74"/>
      <c r="C99" s="10"/>
      <c r="D99" s="10"/>
      <c r="E99" s="10"/>
      <c r="F99" s="10"/>
      <c r="G99" s="37"/>
      <c r="H99" s="74"/>
      <c r="I99" s="10"/>
      <c r="J99" s="10"/>
      <c r="K99" s="10"/>
      <c r="L99" s="37"/>
      <c r="M99" s="10"/>
      <c r="N99" s="74"/>
      <c r="O99" s="74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>
      <c r="A100" s="10"/>
      <c r="B100" s="74"/>
      <c r="C100" s="10"/>
      <c r="D100" s="10"/>
      <c r="E100" s="10"/>
      <c r="F100" s="10"/>
      <c r="G100" s="37"/>
      <c r="H100" s="74"/>
      <c r="I100" s="10"/>
      <c r="J100" s="10"/>
      <c r="K100" s="10"/>
      <c r="L100" s="37"/>
      <c r="M100" s="10"/>
      <c r="N100" s="74"/>
      <c r="O100" s="74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>
      <c r="A101" s="10"/>
      <c r="B101" s="74"/>
      <c r="C101" s="10"/>
      <c r="D101" s="10"/>
      <c r="E101" s="10"/>
      <c r="F101" s="10"/>
      <c r="G101" s="37"/>
      <c r="H101" s="74"/>
      <c r="I101" s="10"/>
      <c r="J101" s="10"/>
      <c r="K101" s="10"/>
      <c r="L101" s="37"/>
      <c r="M101" s="10"/>
      <c r="N101" s="74"/>
      <c r="O101" s="74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>
      <c r="A102" s="10"/>
      <c r="B102" s="74"/>
      <c r="C102" s="10"/>
      <c r="D102" s="10"/>
      <c r="E102" s="10"/>
      <c r="F102" s="10"/>
      <c r="G102" s="37"/>
      <c r="H102" s="74"/>
      <c r="I102" s="10"/>
      <c r="J102" s="10"/>
      <c r="K102" s="10"/>
      <c r="L102" s="37"/>
      <c r="M102" s="10"/>
      <c r="N102" s="74"/>
      <c r="O102" s="74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>
      <c r="A103" s="10"/>
      <c r="B103" s="74"/>
      <c r="C103" s="10"/>
      <c r="D103" s="10"/>
      <c r="E103" s="10"/>
      <c r="F103" s="10"/>
      <c r="G103" s="37"/>
      <c r="H103" s="74"/>
      <c r="I103" s="10"/>
      <c r="J103" s="10"/>
      <c r="K103" s="10"/>
      <c r="L103" s="37"/>
      <c r="M103" s="10"/>
      <c r="N103" s="74"/>
      <c r="O103" s="74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>
      <c r="A104" s="10"/>
      <c r="B104" s="74"/>
      <c r="C104" s="10"/>
      <c r="D104" s="10"/>
      <c r="E104" s="10"/>
      <c r="F104" s="10"/>
      <c r="G104" s="37"/>
      <c r="H104" s="74"/>
      <c r="I104" s="10"/>
      <c r="J104" s="10"/>
      <c r="K104" s="10"/>
      <c r="L104" s="37"/>
      <c r="M104" s="10"/>
      <c r="N104" s="74"/>
      <c r="O104" s="74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>
      <c r="A105" s="10"/>
      <c r="B105" s="74"/>
      <c r="C105" s="10"/>
      <c r="D105" s="10"/>
      <c r="E105" s="10"/>
      <c r="F105" s="10"/>
      <c r="G105" s="37"/>
      <c r="H105" s="74"/>
      <c r="I105" s="10"/>
      <c r="J105" s="10"/>
      <c r="K105" s="10"/>
      <c r="L105" s="37"/>
      <c r="M105" s="10"/>
      <c r="N105" s="74"/>
      <c r="O105" s="74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>
      <c r="A106" s="10"/>
      <c r="B106" s="74"/>
      <c r="C106" s="10"/>
      <c r="D106" s="10"/>
      <c r="E106" s="10"/>
      <c r="F106" s="10"/>
      <c r="G106" s="37"/>
      <c r="H106" s="74"/>
      <c r="I106" s="10"/>
      <c r="J106" s="10"/>
      <c r="K106" s="10"/>
      <c r="L106" s="37"/>
      <c r="M106" s="10"/>
      <c r="N106" s="74"/>
      <c r="O106" s="74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>
      <c r="A107" s="10"/>
      <c r="B107" s="74"/>
      <c r="C107" s="10"/>
      <c r="D107" s="10"/>
      <c r="E107" s="10"/>
      <c r="F107" s="10"/>
      <c r="G107" s="37"/>
      <c r="H107" s="74"/>
      <c r="I107" s="10"/>
      <c r="J107" s="10"/>
      <c r="K107" s="10"/>
      <c r="L107" s="37"/>
      <c r="M107" s="10"/>
      <c r="N107" s="74"/>
      <c r="O107" s="74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>
      <c r="A108" s="10"/>
      <c r="B108" s="74"/>
      <c r="C108" s="10"/>
      <c r="D108" s="10"/>
      <c r="E108" s="10"/>
      <c r="F108" s="10"/>
      <c r="G108" s="37"/>
      <c r="H108" s="74"/>
      <c r="I108" s="10"/>
      <c r="J108" s="10"/>
      <c r="K108" s="10"/>
      <c r="L108" s="37"/>
      <c r="M108" s="10"/>
      <c r="N108" s="74"/>
      <c r="O108" s="74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>
      <c r="A109" s="10"/>
      <c r="B109" s="74"/>
      <c r="C109" s="10"/>
      <c r="D109" s="10"/>
      <c r="E109" s="10"/>
      <c r="F109" s="10"/>
      <c r="G109" s="37"/>
      <c r="H109" s="74"/>
      <c r="I109" s="10"/>
      <c r="J109" s="10"/>
      <c r="K109" s="10"/>
      <c r="L109" s="37"/>
      <c r="M109" s="10"/>
      <c r="N109" s="74"/>
      <c r="O109" s="74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>
      <c r="A110" s="10"/>
      <c r="B110" s="74"/>
      <c r="C110" s="10"/>
      <c r="D110" s="10"/>
      <c r="E110" s="10"/>
      <c r="F110" s="10"/>
      <c r="G110" s="37"/>
      <c r="H110" s="74"/>
      <c r="I110" s="10"/>
      <c r="J110" s="10"/>
      <c r="K110" s="10"/>
      <c r="L110" s="37"/>
      <c r="M110" s="10"/>
      <c r="N110" s="74"/>
      <c r="O110" s="74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>
      <c r="A111" s="10"/>
      <c r="B111" s="74"/>
      <c r="C111" s="10"/>
      <c r="D111" s="10"/>
      <c r="E111" s="10"/>
      <c r="F111" s="10"/>
      <c r="G111" s="37"/>
      <c r="H111" s="74"/>
      <c r="I111" s="10"/>
      <c r="J111" s="10"/>
      <c r="K111" s="10"/>
      <c r="L111" s="37"/>
      <c r="M111" s="10"/>
      <c r="N111" s="74"/>
      <c r="O111" s="74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>
      <c r="A112" s="10"/>
      <c r="B112" s="74"/>
      <c r="C112" s="10"/>
      <c r="D112" s="10"/>
      <c r="E112" s="10"/>
      <c r="F112" s="10"/>
      <c r="G112" s="37"/>
      <c r="H112" s="74"/>
      <c r="I112" s="10"/>
      <c r="J112" s="10"/>
      <c r="K112" s="10"/>
      <c r="L112" s="37"/>
      <c r="M112" s="10"/>
      <c r="N112" s="74"/>
      <c r="O112" s="74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>
      <c r="A113" s="10"/>
      <c r="B113" s="74"/>
      <c r="C113" s="10"/>
      <c r="D113" s="10"/>
      <c r="E113" s="10"/>
      <c r="F113" s="10"/>
      <c r="G113" s="37"/>
      <c r="H113" s="74"/>
      <c r="I113" s="10"/>
      <c r="J113" s="10"/>
      <c r="K113" s="10"/>
      <c r="L113" s="37"/>
      <c r="M113" s="10"/>
      <c r="N113" s="74"/>
      <c r="O113" s="74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>
      <c r="A114" s="10"/>
      <c r="B114" s="74"/>
      <c r="C114" s="10"/>
      <c r="D114" s="10"/>
      <c r="E114" s="10"/>
      <c r="F114" s="10"/>
      <c r="G114" s="37"/>
      <c r="H114" s="74"/>
      <c r="I114" s="10"/>
      <c r="J114" s="10"/>
      <c r="K114" s="10"/>
      <c r="L114" s="37"/>
      <c r="M114" s="10"/>
      <c r="N114" s="74"/>
      <c r="O114" s="74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>
      <c r="A115" s="10"/>
      <c r="B115" s="74"/>
      <c r="C115" s="10"/>
      <c r="D115" s="10"/>
      <c r="E115" s="10"/>
      <c r="F115" s="10"/>
      <c r="G115" s="37"/>
      <c r="H115" s="74"/>
      <c r="I115" s="10"/>
      <c r="J115" s="10"/>
      <c r="K115" s="10"/>
      <c r="L115" s="37"/>
      <c r="M115" s="10"/>
      <c r="N115" s="74"/>
      <c r="O115" s="74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>
      <c r="A116" s="10"/>
      <c r="B116" s="74"/>
      <c r="C116" s="10"/>
      <c r="D116" s="10"/>
      <c r="E116" s="10"/>
      <c r="F116" s="10"/>
      <c r="G116" s="37"/>
      <c r="H116" s="74"/>
      <c r="I116" s="10"/>
      <c r="J116" s="10"/>
      <c r="K116" s="10"/>
      <c r="L116" s="37"/>
      <c r="M116" s="10"/>
      <c r="N116" s="74"/>
      <c r="O116" s="74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>
      <c r="A117" s="10"/>
      <c r="B117" s="74"/>
      <c r="C117" s="10"/>
      <c r="D117" s="10"/>
      <c r="E117" s="10"/>
      <c r="F117" s="10"/>
      <c r="G117" s="37"/>
      <c r="H117" s="74"/>
      <c r="I117" s="10"/>
      <c r="J117" s="10"/>
      <c r="K117" s="10"/>
      <c r="L117" s="37"/>
      <c r="M117" s="10"/>
      <c r="N117" s="74"/>
      <c r="O117" s="74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>
      <c r="A118" s="10"/>
      <c r="B118" s="74"/>
      <c r="C118" s="10"/>
      <c r="D118" s="10"/>
      <c r="E118" s="10"/>
      <c r="F118" s="10"/>
      <c r="G118" s="37"/>
      <c r="H118" s="74"/>
      <c r="I118" s="10"/>
      <c r="J118" s="10"/>
      <c r="K118" s="10"/>
      <c r="L118" s="37"/>
      <c r="M118" s="10"/>
      <c r="N118" s="74"/>
      <c r="O118" s="74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>
      <c r="A119" s="10"/>
      <c r="B119" s="74"/>
      <c r="C119" s="10"/>
      <c r="D119" s="10"/>
      <c r="E119" s="10"/>
      <c r="F119" s="10"/>
      <c r="G119" s="37"/>
      <c r="H119" s="74"/>
      <c r="I119" s="10"/>
      <c r="J119" s="10"/>
      <c r="K119" s="10"/>
      <c r="L119" s="37"/>
      <c r="M119" s="10"/>
      <c r="N119" s="74"/>
      <c r="O119" s="74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>
      <c r="A120" s="10"/>
      <c r="B120" s="74"/>
      <c r="C120" s="10"/>
      <c r="D120" s="10"/>
      <c r="E120" s="10"/>
      <c r="F120" s="10"/>
      <c r="G120" s="37"/>
      <c r="H120" s="74"/>
      <c r="I120" s="10"/>
      <c r="J120" s="10"/>
      <c r="K120" s="10"/>
      <c r="L120" s="37"/>
      <c r="M120" s="10"/>
      <c r="N120" s="74"/>
      <c r="O120" s="74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>
      <c r="A121" s="10"/>
      <c r="B121" s="74"/>
      <c r="C121" s="10"/>
      <c r="D121" s="10"/>
      <c r="E121" s="10"/>
      <c r="F121" s="10"/>
      <c r="G121" s="37"/>
      <c r="H121" s="74"/>
      <c r="I121" s="10"/>
      <c r="J121" s="10"/>
      <c r="K121" s="10"/>
      <c r="L121" s="37"/>
      <c r="M121" s="10"/>
      <c r="N121" s="74"/>
      <c r="O121" s="74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>
      <c r="A122" s="10"/>
      <c r="B122" s="74"/>
      <c r="C122" s="10"/>
      <c r="D122" s="10"/>
      <c r="E122" s="10"/>
      <c r="F122" s="10"/>
      <c r="G122" s="37"/>
      <c r="H122" s="74"/>
      <c r="I122" s="10"/>
      <c r="J122" s="10"/>
      <c r="K122" s="10"/>
      <c r="L122" s="37"/>
      <c r="M122" s="10"/>
      <c r="N122" s="74"/>
      <c r="O122" s="74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>
      <c r="A123" s="10"/>
      <c r="B123" s="74"/>
      <c r="C123" s="10"/>
      <c r="D123" s="10"/>
      <c r="E123" s="10"/>
      <c r="F123" s="10"/>
      <c r="G123" s="37"/>
      <c r="H123" s="74"/>
      <c r="I123" s="10"/>
      <c r="J123" s="10"/>
      <c r="K123" s="10"/>
      <c r="L123" s="37"/>
      <c r="M123" s="10"/>
      <c r="N123" s="74"/>
      <c r="O123" s="74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>
      <c r="A124" s="10"/>
      <c r="B124" s="74"/>
      <c r="C124" s="10"/>
      <c r="D124" s="10"/>
      <c r="E124" s="10"/>
      <c r="F124" s="10"/>
      <c r="G124" s="37"/>
      <c r="H124" s="74"/>
      <c r="I124" s="10"/>
      <c r="J124" s="10"/>
      <c r="K124" s="10"/>
      <c r="L124" s="37"/>
      <c r="M124" s="10"/>
      <c r="N124" s="74"/>
      <c r="O124" s="74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>
      <c r="A125" s="10"/>
      <c r="B125" s="74"/>
      <c r="C125" s="10"/>
      <c r="D125" s="10"/>
      <c r="E125" s="10"/>
      <c r="F125" s="10"/>
      <c r="G125" s="37"/>
      <c r="H125" s="74"/>
      <c r="I125" s="10"/>
      <c r="J125" s="10"/>
      <c r="K125" s="10"/>
      <c r="L125" s="37"/>
      <c r="M125" s="10"/>
      <c r="N125" s="74"/>
      <c r="O125" s="74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>
      <c r="A126" s="10"/>
      <c r="B126" s="74"/>
      <c r="C126" s="10"/>
      <c r="D126" s="10"/>
      <c r="E126" s="10"/>
      <c r="F126" s="10"/>
      <c r="G126" s="37"/>
      <c r="H126" s="74"/>
      <c r="I126" s="10"/>
      <c r="J126" s="10"/>
      <c r="K126" s="10"/>
      <c r="L126" s="37"/>
      <c r="M126" s="10"/>
      <c r="N126" s="74"/>
      <c r="O126" s="74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>
      <c r="A127" s="10"/>
      <c r="B127" s="74"/>
      <c r="C127" s="10"/>
      <c r="D127" s="10"/>
      <c r="E127" s="10"/>
      <c r="F127" s="10"/>
      <c r="G127" s="37"/>
      <c r="H127" s="74"/>
      <c r="I127" s="10"/>
      <c r="J127" s="10"/>
      <c r="K127" s="10"/>
      <c r="L127" s="37"/>
      <c r="M127" s="10"/>
      <c r="N127" s="74"/>
      <c r="O127" s="74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>
      <c r="A128" s="10"/>
      <c r="B128" s="74"/>
      <c r="C128" s="10"/>
      <c r="D128" s="10"/>
      <c r="E128" s="10"/>
      <c r="F128" s="10"/>
      <c r="G128" s="37"/>
      <c r="H128" s="74"/>
      <c r="I128" s="10"/>
      <c r="J128" s="10"/>
      <c r="K128" s="10"/>
      <c r="L128" s="37"/>
      <c r="M128" s="10"/>
      <c r="N128" s="74"/>
      <c r="O128" s="74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>
      <c r="A129" s="10"/>
      <c r="B129" s="74"/>
      <c r="C129" s="10"/>
      <c r="D129" s="10"/>
      <c r="E129" s="10"/>
      <c r="F129" s="10"/>
      <c r="G129" s="37"/>
      <c r="H129" s="74"/>
      <c r="I129" s="10"/>
      <c r="J129" s="10"/>
      <c r="K129" s="10"/>
      <c r="L129" s="37"/>
      <c r="M129" s="10"/>
      <c r="N129" s="74"/>
      <c r="O129" s="74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>
      <c r="A130" s="10"/>
      <c r="B130" s="74"/>
      <c r="C130" s="10"/>
      <c r="D130" s="10"/>
      <c r="E130" s="10"/>
      <c r="F130" s="10"/>
      <c r="G130" s="37"/>
      <c r="H130" s="74"/>
      <c r="I130" s="10"/>
      <c r="J130" s="10"/>
      <c r="K130" s="10"/>
      <c r="L130" s="37"/>
      <c r="M130" s="10"/>
      <c r="N130" s="74"/>
      <c r="O130" s="74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>
      <c r="A131" s="10"/>
      <c r="B131" s="74"/>
      <c r="C131" s="10"/>
      <c r="D131" s="10"/>
      <c r="E131" s="10"/>
      <c r="F131" s="10"/>
      <c r="G131" s="37"/>
      <c r="H131" s="74"/>
      <c r="I131" s="10"/>
      <c r="J131" s="10"/>
      <c r="K131" s="10"/>
      <c r="L131" s="37"/>
      <c r="M131" s="10"/>
      <c r="N131" s="74"/>
      <c r="O131" s="74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>
      <c r="A132" s="10"/>
      <c r="B132" s="74"/>
      <c r="C132" s="10"/>
      <c r="D132" s="10"/>
      <c r="E132" s="10"/>
      <c r="F132" s="10"/>
      <c r="G132" s="37"/>
      <c r="H132" s="74"/>
      <c r="I132" s="10"/>
      <c r="J132" s="10"/>
      <c r="K132" s="10"/>
      <c r="L132" s="37"/>
      <c r="M132" s="10"/>
      <c r="N132" s="74"/>
      <c r="O132" s="74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>
      <c r="A133" s="10"/>
      <c r="B133" s="74"/>
      <c r="C133" s="10"/>
      <c r="D133" s="10"/>
      <c r="E133" s="10"/>
      <c r="F133" s="10"/>
      <c r="G133" s="37"/>
      <c r="H133" s="74"/>
      <c r="I133" s="10"/>
      <c r="J133" s="10"/>
      <c r="K133" s="10"/>
      <c r="L133" s="37"/>
      <c r="M133" s="10"/>
      <c r="N133" s="74"/>
      <c r="O133" s="74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>
      <c r="A134" s="10"/>
      <c r="B134" s="74"/>
      <c r="C134" s="10"/>
      <c r="D134" s="10"/>
      <c r="E134" s="10"/>
      <c r="F134" s="10"/>
      <c r="G134" s="37"/>
      <c r="H134" s="74"/>
      <c r="I134" s="10"/>
      <c r="J134" s="10"/>
      <c r="K134" s="10"/>
      <c r="L134" s="37"/>
      <c r="M134" s="10"/>
      <c r="N134" s="74"/>
      <c r="O134" s="74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>
      <c r="A135" s="10"/>
      <c r="B135" s="74"/>
      <c r="C135" s="10"/>
      <c r="D135" s="10"/>
      <c r="E135" s="10"/>
      <c r="F135" s="10"/>
      <c r="G135" s="37"/>
      <c r="H135" s="74"/>
      <c r="I135" s="10"/>
      <c r="J135" s="10"/>
      <c r="K135" s="10"/>
      <c r="L135" s="37"/>
      <c r="M135" s="10"/>
      <c r="N135" s="74"/>
      <c r="O135" s="74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>
      <c r="A136" s="10"/>
      <c r="B136" s="74"/>
      <c r="C136" s="10"/>
      <c r="D136" s="10"/>
      <c r="E136" s="10"/>
      <c r="F136" s="10"/>
      <c r="G136" s="37"/>
      <c r="H136" s="74"/>
      <c r="I136" s="10"/>
      <c r="J136" s="10"/>
      <c r="K136" s="10"/>
      <c r="L136" s="37"/>
      <c r="M136" s="10"/>
      <c r="N136" s="74"/>
      <c r="O136" s="74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>
      <c r="A137" s="10"/>
      <c r="B137" s="74"/>
      <c r="C137" s="10"/>
      <c r="D137" s="10"/>
      <c r="E137" s="10"/>
      <c r="F137" s="10"/>
      <c r="G137" s="37"/>
      <c r="H137" s="74"/>
      <c r="I137" s="10"/>
      <c r="J137" s="10"/>
      <c r="K137" s="10"/>
      <c r="L137" s="37"/>
      <c r="M137" s="10"/>
      <c r="N137" s="74"/>
      <c r="O137" s="74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>
      <c r="A138" s="10"/>
      <c r="B138" s="74"/>
      <c r="C138" s="10"/>
      <c r="D138" s="10"/>
      <c r="E138" s="10"/>
      <c r="F138" s="10"/>
      <c r="G138" s="37"/>
      <c r="H138" s="74"/>
      <c r="I138" s="10"/>
      <c r="J138" s="10"/>
      <c r="K138" s="10"/>
      <c r="L138" s="37"/>
      <c r="M138" s="10"/>
      <c r="N138" s="74"/>
      <c r="O138" s="74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>
      <c r="A139" s="10"/>
      <c r="B139" s="74"/>
      <c r="C139" s="10"/>
      <c r="D139" s="10"/>
      <c r="E139" s="10"/>
      <c r="F139" s="10"/>
      <c r="G139" s="37"/>
      <c r="H139" s="74"/>
      <c r="I139" s="10"/>
      <c r="J139" s="10"/>
      <c r="K139" s="10"/>
      <c r="L139" s="37"/>
      <c r="M139" s="10"/>
      <c r="N139" s="74"/>
      <c r="O139" s="74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>
      <c r="A140" s="10"/>
      <c r="B140" s="74"/>
      <c r="C140" s="10"/>
      <c r="D140" s="10"/>
      <c r="E140" s="10"/>
      <c r="F140" s="10"/>
      <c r="G140" s="37"/>
      <c r="H140" s="74"/>
      <c r="I140" s="10"/>
      <c r="J140" s="10"/>
      <c r="K140" s="10"/>
      <c r="L140" s="37"/>
      <c r="M140" s="10"/>
      <c r="N140" s="74"/>
      <c r="O140" s="74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>
      <c r="A141" s="10"/>
      <c r="B141" s="74"/>
      <c r="C141" s="10"/>
      <c r="D141" s="10"/>
      <c r="E141" s="10"/>
      <c r="F141" s="10"/>
      <c r="G141" s="37"/>
      <c r="H141" s="74"/>
      <c r="I141" s="10"/>
      <c r="J141" s="10"/>
      <c r="K141" s="10"/>
      <c r="L141" s="37"/>
      <c r="M141" s="10"/>
      <c r="N141" s="74"/>
      <c r="O141" s="74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>
      <c r="A142" s="10"/>
      <c r="B142" s="74"/>
      <c r="C142" s="10"/>
      <c r="D142" s="10"/>
      <c r="E142" s="10"/>
      <c r="F142" s="10"/>
      <c r="G142" s="37"/>
      <c r="H142" s="74"/>
      <c r="I142" s="10"/>
      <c r="J142" s="10"/>
      <c r="K142" s="10"/>
      <c r="L142" s="37"/>
      <c r="M142" s="10"/>
      <c r="N142" s="74"/>
      <c r="O142" s="74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>
      <c r="A143" s="10"/>
      <c r="B143" s="74"/>
      <c r="C143" s="10"/>
      <c r="D143" s="10"/>
      <c r="E143" s="10"/>
      <c r="F143" s="10"/>
      <c r="G143" s="37"/>
      <c r="H143" s="74"/>
      <c r="I143" s="10"/>
      <c r="J143" s="10"/>
      <c r="K143" s="10"/>
      <c r="L143" s="37"/>
      <c r="M143" s="10"/>
      <c r="N143" s="74"/>
      <c r="O143" s="74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>
      <c r="A144" s="10"/>
      <c r="B144" s="74"/>
      <c r="C144" s="10"/>
      <c r="D144" s="10"/>
      <c r="E144" s="10"/>
      <c r="F144" s="10"/>
      <c r="G144" s="37"/>
      <c r="H144" s="74"/>
      <c r="I144" s="10"/>
      <c r="J144" s="10"/>
      <c r="K144" s="10"/>
      <c r="L144" s="37"/>
      <c r="M144" s="10"/>
      <c r="N144" s="74"/>
      <c r="O144" s="74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>
      <c r="A145" s="10"/>
      <c r="B145" s="74"/>
      <c r="C145" s="10"/>
      <c r="D145" s="10"/>
      <c r="E145" s="10"/>
      <c r="F145" s="10"/>
      <c r="G145" s="37"/>
      <c r="H145" s="74"/>
      <c r="I145" s="10"/>
      <c r="J145" s="10"/>
      <c r="K145" s="10"/>
      <c r="L145" s="37"/>
      <c r="M145" s="10"/>
      <c r="N145" s="74"/>
      <c r="O145" s="74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>
      <c r="A146" s="10"/>
      <c r="B146" s="74"/>
      <c r="C146" s="10"/>
      <c r="D146" s="10"/>
      <c r="E146" s="10"/>
      <c r="F146" s="10"/>
      <c r="G146" s="37"/>
      <c r="H146" s="74"/>
      <c r="I146" s="10"/>
      <c r="J146" s="10"/>
      <c r="K146" s="10"/>
      <c r="L146" s="37"/>
      <c r="M146" s="10"/>
      <c r="N146" s="74"/>
      <c r="O146" s="74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>
      <c r="A147" s="10"/>
      <c r="B147" s="74"/>
      <c r="C147" s="10"/>
      <c r="D147" s="10"/>
      <c r="E147" s="10"/>
      <c r="F147" s="10"/>
      <c r="G147" s="37"/>
      <c r="H147" s="74"/>
      <c r="I147" s="10"/>
      <c r="J147" s="10"/>
      <c r="K147" s="10"/>
      <c r="L147" s="37"/>
      <c r="M147" s="10"/>
      <c r="N147" s="74"/>
      <c r="O147" s="74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>
      <c r="A148" s="10"/>
      <c r="B148" s="74"/>
      <c r="C148" s="10"/>
      <c r="D148" s="10"/>
      <c r="E148" s="10"/>
      <c r="F148" s="10"/>
      <c r="G148" s="37"/>
      <c r="H148" s="74"/>
      <c r="I148" s="10"/>
      <c r="J148" s="10"/>
      <c r="K148" s="10"/>
      <c r="L148" s="37"/>
      <c r="M148" s="10"/>
      <c r="N148" s="74"/>
      <c r="O148" s="74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>
      <c r="A149" s="10"/>
      <c r="B149" s="74"/>
      <c r="C149" s="10"/>
      <c r="D149" s="10"/>
      <c r="E149" s="10"/>
      <c r="F149" s="10"/>
      <c r="G149" s="37"/>
      <c r="H149" s="74"/>
      <c r="I149" s="10"/>
      <c r="J149" s="10"/>
      <c r="K149" s="10"/>
      <c r="L149" s="37"/>
      <c r="M149" s="10"/>
      <c r="N149" s="74"/>
      <c r="O149" s="74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>
      <c r="A150" s="10"/>
      <c r="B150" s="74"/>
      <c r="C150" s="10"/>
      <c r="D150" s="10"/>
      <c r="E150" s="10"/>
      <c r="F150" s="10"/>
      <c r="G150" s="37"/>
      <c r="H150" s="74"/>
      <c r="I150" s="10"/>
      <c r="J150" s="10"/>
      <c r="K150" s="10"/>
      <c r="L150" s="37"/>
      <c r="M150" s="10"/>
      <c r="N150" s="74"/>
      <c r="O150" s="74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>
      <c r="A151" s="10"/>
      <c r="B151" s="74"/>
      <c r="C151" s="10"/>
      <c r="D151" s="10"/>
      <c r="E151" s="10"/>
      <c r="F151" s="10"/>
      <c r="G151" s="37"/>
      <c r="H151" s="74"/>
      <c r="I151" s="10"/>
      <c r="J151" s="10"/>
      <c r="K151" s="10"/>
      <c r="L151" s="37"/>
      <c r="M151" s="10"/>
      <c r="N151" s="74"/>
      <c r="O151" s="74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>
      <c r="A152" s="10"/>
      <c r="B152" s="74"/>
      <c r="C152" s="10"/>
      <c r="D152" s="10"/>
      <c r="E152" s="10"/>
      <c r="F152" s="10"/>
      <c r="G152" s="37"/>
      <c r="H152" s="74"/>
      <c r="I152" s="10"/>
      <c r="J152" s="10"/>
      <c r="K152" s="10"/>
      <c r="L152" s="37"/>
      <c r="M152" s="10"/>
      <c r="N152" s="74"/>
      <c r="O152" s="74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>
      <c r="A153" s="10"/>
      <c r="B153" s="74"/>
      <c r="C153" s="10"/>
      <c r="D153" s="10"/>
      <c r="E153" s="10"/>
      <c r="F153" s="10"/>
      <c r="G153" s="37"/>
      <c r="H153" s="74"/>
      <c r="I153" s="10"/>
      <c r="J153" s="10"/>
      <c r="K153" s="10"/>
      <c r="L153" s="37"/>
      <c r="M153" s="10"/>
      <c r="N153" s="74"/>
      <c r="O153" s="74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>
      <c r="A154" s="10"/>
      <c r="B154" s="74"/>
      <c r="C154" s="10"/>
      <c r="D154" s="10"/>
      <c r="E154" s="10"/>
      <c r="F154" s="10"/>
      <c r="G154" s="37"/>
      <c r="H154" s="74"/>
      <c r="I154" s="10"/>
      <c r="J154" s="10"/>
      <c r="K154" s="10"/>
      <c r="L154" s="37"/>
      <c r="M154" s="10"/>
      <c r="N154" s="74"/>
      <c r="O154" s="74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>
      <c r="A155" s="10"/>
      <c r="B155" s="74"/>
      <c r="C155" s="10"/>
      <c r="D155" s="10"/>
      <c r="E155" s="10"/>
      <c r="F155" s="10"/>
      <c r="G155" s="37"/>
      <c r="H155" s="74"/>
      <c r="I155" s="10"/>
      <c r="J155" s="10"/>
      <c r="K155" s="10"/>
      <c r="L155" s="37"/>
      <c r="M155" s="10"/>
      <c r="N155" s="74"/>
      <c r="O155" s="74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>
      <c r="A156" s="10"/>
      <c r="B156" s="74"/>
      <c r="C156" s="10"/>
      <c r="D156" s="10"/>
      <c r="E156" s="10"/>
      <c r="F156" s="10"/>
      <c r="G156" s="37"/>
      <c r="H156" s="74"/>
      <c r="I156" s="10"/>
      <c r="J156" s="10"/>
      <c r="K156" s="10"/>
      <c r="L156" s="37"/>
      <c r="M156" s="10"/>
      <c r="N156" s="74"/>
      <c r="O156" s="74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>
      <c r="A157" s="10"/>
      <c r="B157" s="74"/>
      <c r="C157" s="10"/>
      <c r="D157" s="10"/>
      <c r="E157" s="10"/>
      <c r="F157" s="10"/>
      <c r="G157" s="37"/>
      <c r="H157" s="74"/>
      <c r="I157" s="10"/>
      <c r="J157" s="10"/>
      <c r="K157" s="10"/>
      <c r="L157" s="37"/>
      <c r="M157" s="10"/>
      <c r="N157" s="74"/>
      <c r="O157" s="74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>
      <c r="A158" s="10"/>
      <c r="B158" s="74"/>
      <c r="C158" s="10"/>
      <c r="D158" s="10"/>
      <c r="E158" s="10"/>
      <c r="F158" s="10"/>
      <c r="G158" s="37"/>
      <c r="H158" s="74"/>
      <c r="I158" s="10"/>
      <c r="J158" s="10"/>
      <c r="K158" s="10"/>
      <c r="L158" s="37"/>
      <c r="M158" s="10"/>
      <c r="N158" s="74"/>
      <c r="O158" s="74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>
      <c r="A159" s="10"/>
      <c r="B159" s="74"/>
      <c r="C159" s="10"/>
      <c r="D159" s="10"/>
      <c r="E159" s="10"/>
      <c r="F159" s="10"/>
      <c r="G159" s="37"/>
      <c r="H159" s="74"/>
      <c r="I159" s="10"/>
      <c r="J159" s="10"/>
      <c r="K159" s="10"/>
      <c r="L159" s="37"/>
      <c r="M159" s="10"/>
      <c r="N159" s="74"/>
      <c r="O159" s="74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>
      <c r="A160" s="10"/>
      <c r="B160" s="74"/>
      <c r="C160" s="10"/>
      <c r="D160" s="10"/>
      <c r="E160" s="10"/>
      <c r="F160" s="10"/>
      <c r="G160" s="37"/>
      <c r="H160" s="74"/>
      <c r="I160" s="10"/>
      <c r="J160" s="10"/>
      <c r="K160" s="10"/>
      <c r="L160" s="37"/>
      <c r="M160" s="10"/>
      <c r="N160" s="74"/>
      <c r="O160" s="74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>
      <c r="A161" s="10"/>
      <c r="B161" s="74"/>
      <c r="C161" s="10"/>
      <c r="D161" s="10"/>
      <c r="E161" s="10"/>
      <c r="F161" s="10"/>
      <c r="G161" s="37"/>
      <c r="H161" s="74"/>
      <c r="I161" s="10"/>
      <c r="J161" s="10"/>
      <c r="K161" s="10"/>
      <c r="L161" s="37"/>
      <c r="M161" s="10"/>
      <c r="N161" s="74"/>
      <c r="O161" s="74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>
      <c r="A162" s="10"/>
      <c r="B162" s="74"/>
      <c r="C162" s="10"/>
      <c r="D162" s="10"/>
      <c r="E162" s="10"/>
      <c r="F162" s="10"/>
      <c r="G162" s="37"/>
      <c r="H162" s="74"/>
      <c r="I162" s="10"/>
      <c r="J162" s="10"/>
      <c r="K162" s="10"/>
      <c r="L162" s="37"/>
      <c r="M162" s="10"/>
      <c r="N162" s="74"/>
      <c r="O162" s="74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>
      <c r="A163" s="10"/>
      <c r="B163" s="74"/>
      <c r="C163" s="10"/>
      <c r="D163" s="10"/>
      <c r="E163" s="10"/>
      <c r="F163" s="10"/>
      <c r="G163" s="37"/>
      <c r="H163" s="74"/>
      <c r="I163" s="10"/>
      <c r="J163" s="10"/>
      <c r="K163" s="10"/>
      <c r="L163" s="37"/>
      <c r="M163" s="10"/>
      <c r="N163" s="74"/>
      <c r="O163" s="74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>
      <c r="A164" s="10"/>
      <c r="B164" s="74"/>
      <c r="C164" s="10"/>
      <c r="D164" s="10"/>
      <c r="E164" s="10"/>
      <c r="F164" s="10"/>
      <c r="G164" s="37"/>
      <c r="H164" s="74"/>
      <c r="I164" s="10"/>
      <c r="J164" s="10"/>
      <c r="K164" s="10"/>
      <c r="L164" s="37"/>
      <c r="M164" s="10"/>
      <c r="N164" s="74"/>
      <c r="O164" s="74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>
      <c r="A165" s="10"/>
      <c r="B165" s="74"/>
      <c r="C165" s="10"/>
      <c r="D165" s="10"/>
      <c r="E165" s="10"/>
      <c r="F165" s="10"/>
      <c r="G165" s="37"/>
      <c r="H165" s="74"/>
      <c r="I165" s="10"/>
      <c r="J165" s="10"/>
      <c r="K165" s="10"/>
      <c r="L165" s="37"/>
      <c r="M165" s="10"/>
      <c r="N165" s="74"/>
      <c r="O165" s="74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>
      <c r="A166" s="10"/>
      <c r="B166" s="74"/>
      <c r="C166" s="10"/>
      <c r="D166" s="10"/>
      <c r="E166" s="10"/>
      <c r="F166" s="10"/>
      <c r="G166" s="37"/>
      <c r="H166" s="74"/>
      <c r="I166" s="10"/>
      <c r="J166" s="10"/>
      <c r="K166" s="10"/>
      <c r="L166" s="37"/>
      <c r="M166" s="10"/>
      <c r="N166" s="74"/>
      <c r="O166" s="74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>
      <c r="A167" s="10"/>
      <c r="B167" s="74"/>
      <c r="C167" s="10"/>
      <c r="D167" s="10"/>
      <c r="E167" s="10"/>
      <c r="F167" s="10"/>
      <c r="G167" s="37"/>
      <c r="H167" s="74"/>
      <c r="I167" s="10"/>
      <c r="J167" s="10"/>
      <c r="K167" s="10"/>
      <c r="L167" s="37"/>
      <c r="M167" s="10"/>
      <c r="N167" s="74"/>
      <c r="O167" s="74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>
      <c r="A168" s="10"/>
      <c r="B168" s="74"/>
      <c r="C168" s="10"/>
      <c r="D168" s="10"/>
      <c r="E168" s="10"/>
      <c r="F168" s="10"/>
      <c r="G168" s="37"/>
      <c r="H168" s="74"/>
      <c r="I168" s="10"/>
      <c r="J168" s="10"/>
      <c r="K168" s="10"/>
      <c r="L168" s="37"/>
      <c r="M168" s="10"/>
      <c r="N168" s="74"/>
      <c r="O168" s="74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>
      <c r="A169" s="10"/>
      <c r="B169" s="74"/>
      <c r="C169" s="10"/>
      <c r="D169" s="10"/>
      <c r="E169" s="10"/>
      <c r="F169" s="10"/>
      <c r="G169" s="37"/>
      <c r="H169" s="74"/>
      <c r="I169" s="10"/>
      <c r="J169" s="10"/>
      <c r="K169" s="10"/>
      <c r="L169" s="37"/>
      <c r="M169" s="10"/>
      <c r="N169" s="74"/>
      <c r="O169" s="74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>
      <c r="A170" s="10"/>
      <c r="B170" s="74"/>
      <c r="C170" s="10"/>
      <c r="D170" s="10"/>
      <c r="E170" s="10"/>
      <c r="F170" s="10"/>
      <c r="G170" s="37"/>
      <c r="H170" s="74"/>
      <c r="I170" s="10"/>
      <c r="J170" s="10"/>
      <c r="K170" s="10"/>
      <c r="L170" s="37"/>
      <c r="M170" s="10"/>
      <c r="N170" s="74"/>
      <c r="O170" s="74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>
      <c r="A171" s="10"/>
      <c r="B171" s="74"/>
      <c r="C171" s="10"/>
      <c r="D171" s="10"/>
      <c r="E171" s="10"/>
      <c r="F171" s="10"/>
      <c r="G171" s="37"/>
      <c r="H171" s="74"/>
      <c r="I171" s="10"/>
      <c r="J171" s="10"/>
      <c r="K171" s="10"/>
      <c r="L171" s="37"/>
      <c r="M171" s="10"/>
      <c r="N171" s="74"/>
      <c r="O171" s="74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>
      <c r="A172" s="10"/>
      <c r="B172" s="74"/>
      <c r="C172" s="10"/>
      <c r="D172" s="10"/>
      <c r="E172" s="10"/>
      <c r="F172" s="10"/>
      <c r="G172" s="37"/>
      <c r="H172" s="74"/>
      <c r="I172" s="10"/>
      <c r="J172" s="10"/>
      <c r="K172" s="10"/>
      <c r="L172" s="37"/>
      <c r="M172" s="10"/>
      <c r="N172" s="74"/>
      <c r="O172" s="74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>
      <c r="A173" s="10"/>
      <c r="B173" s="74"/>
      <c r="C173" s="10"/>
      <c r="D173" s="10"/>
      <c r="E173" s="10"/>
      <c r="F173" s="10"/>
      <c r="G173" s="37"/>
      <c r="H173" s="74"/>
      <c r="I173" s="10"/>
      <c r="J173" s="10"/>
      <c r="K173" s="10"/>
      <c r="L173" s="37"/>
      <c r="M173" s="10"/>
      <c r="N173" s="74"/>
      <c r="O173" s="74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>
      <c r="A174" s="10"/>
      <c r="B174" s="74"/>
      <c r="C174" s="10"/>
      <c r="D174" s="10"/>
      <c r="E174" s="10"/>
      <c r="F174" s="10"/>
      <c r="G174" s="37"/>
      <c r="H174" s="74"/>
      <c r="I174" s="10"/>
      <c r="J174" s="10"/>
      <c r="K174" s="10"/>
      <c r="L174" s="37"/>
      <c r="M174" s="10"/>
      <c r="N174" s="74"/>
      <c r="O174" s="74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>
      <c r="A175" s="10"/>
      <c r="B175" s="74"/>
      <c r="C175" s="10"/>
      <c r="D175" s="10"/>
      <c r="E175" s="10"/>
      <c r="F175" s="10"/>
      <c r="G175" s="37"/>
      <c r="H175" s="74"/>
      <c r="I175" s="10"/>
      <c r="J175" s="10"/>
      <c r="K175" s="10"/>
      <c r="L175" s="37"/>
      <c r="M175" s="10"/>
      <c r="N175" s="74"/>
      <c r="O175" s="74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>
      <c r="A176" s="10"/>
      <c r="B176" s="74"/>
      <c r="C176" s="10"/>
      <c r="D176" s="10"/>
      <c r="E176" s="10"/>
      <c r="F176" s="10"/>
      <c r="G176" s="37"/>
      <c r="H176" s="74"/>
      <c r="I176" s="10"/>
      <c r="J176" s="10"/>
      <c r="K176" s="10"/>
      <c r="L176" s="37"/>
      <c r="M176" s="10"/>
      <c r="N176" s="74"/>
      <c r="O176" s="74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>
      <c r="A177" s="10"/>
      <c r="B177" s="74"/>
      <c r="C177" s="10"/>
      <c r="D177" s="10"/>
      <c r="E177" s="10"/>
      <c r="F177" s="10"/>
      <c r="G177" s="37"/>
      <c r="H177" s="74"/>
      <c r="I177" s="10"/>
      <c r="J177" s="10"/>
      <c r="K177" s="10"/>
      <c r="L177" s="37"/>
      <c r="M177" s="10"/>
      <c r="N177" s="74"/>
      <c r="O177" s="74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>
      <c r="A178" s="10"/>
      <c r="B178" s="74"/>
      <c r="C178" s="10"/>
      <c r="D178" s="10"/>
      <c r="E178" s="10"/>
      <c r="F178" s="10"/>
      <c r="G178" s="37"/>
      <c r="H178" s="74"/>
      <c r="I178" s="10"/>
      <c r="J178" s="10"/>
      <c r="K178" s="10"/>
      <c r="L178" s="37"/>
      <c r="M178" s="10"/>
      <c r="N178" s="74"/>
      <c r="O178" s="74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>
      <c r="A179" s="10"/>
      <c r="B179" s="74"/>
      <c r="C179" s="10"/>
      <c r="D179" s="10"/>
      <c r="E179" s="10"/>
      <c r="F179" s="10"/>
      <c r="G179" s="37"/>
      <c r="H179" s="74"/>
      <c r="I179" s="10"/>
      <c r="J179" s="10"/>
      <c r="K179" s="10"/>
      <c r="L179" s="37"/>
      <c r="M179" s="10"/>
      <c r="N179" s="74"/>
      <c r="O179" s="74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>
      <c r="A180" s="10"/>
      <c r="B180" s="74"/>
      <c r="C180" s="10"/>
      <c r="D180" s="10"/>
      <c r="E180" s="10"/>
      <c r="F180" s="10"/>
      <c r="G180" s="37"/>
      <c r="H180" s="74"/>
      <c r="I180" s="10"/>
      <c r="J180" s="10"/>
      <c r="K180" s="10"/>
      <c r="L180" s="37"/>
      <c r="M180" s="10"/>
      <c r="N180" s="74"/>
      <c r="O180" s="74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>
      <c r="A181" s="10"/>
      <c r="B181" s="74"/>
      <c r="C181" s="10"/>
      <c r="D181" s="10"/>
      <c r="E181" s="10"/>
      <c r="F181" s="10"/>
      <c r="G181" s="37"/>
      <c r="H181" s="74"/>
      <c r="I181" s="10"/>
      <c r="J181" s="10"/>
      <c r="K181" s="10"/>
      <c r="L181" s="37"/>
      <c r="M181" s="10"/>
      <c r="N181" s="74"/>
      <c r="O181" s="74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>
      <c r="A182" s="10"/>
      <c r="B182" s="74"/>
      <c r="C182" s="10"/>
      <c r="D182" s="10"/>
      <c r="E182" s="10"/>
      <c r="F182" s="10"/>
      <c r="G182" s="37"/>
      <c r="H182" s="74"/>
      <c r="I182" s="10"/>
      <c r="J182" s="10"/>
      <c r="K182" s="10"/>
      <c r="L182" s="37"/>
      <c r="M182" s="10"/>
      <c r="N182" s="74"/>
      <c r="O182" s="74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>
      <c r="A183" s="10"/>
      <c r="B183" s="74"/>
      <c r="C183" s="10"/>
      <c r="D183" s="10"/>
      <c r="E183" s="10"/>
      <c r="F183" s="10"/>
      <c r="G183" s="37"/>
      <c r="H183" s="74"/>
      <c r="I183" s="10"/>
      <c r="J183" s="10"/>
      <c r="K183" s="10"/>
      <c r="L183" s="37"/>
      <c r="M183" s="10"/>
      <c r="N183" s="74"/>
      <c r="O183" s="74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>
      <c r="A184" s="10"/>
      <c r="B184" s="74"/>
      <c r="C184" s="10"/>
      <c r="D184" s="10"/>
      <c r="E184" s="10"/>
      <c r="F184" s="10"/>
      <c r="G184" s="37"/>
      <c r="H184" s="74"/>
      <c r="I184" s="10"/>
      <c r="J184" s="10"/>
      <c r="K184" s="10"/>
      <c r="L184" s="37"/>
      <c r="M184" s="10"/>
      <c r="N184" s="74"/>
      <c r="O184" s="74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>
      <c r="A185" s="10"/>
      <c r="B185" s="74"/>
      <c r="C185" s="10"/>
      <c r="D185" s="10"/>
      <c r="E185" s="10"/>
      <c r="F185" s="10"/>
      <c r="G185" s="37"/>
      <c r="H185" s="74"/>
      <c r="I185" s="10"/>
      <c r="J185" s="10"/>
      <c r="K185" s="10"/>
      <c r="L185" s="37"/>
      <c r="M185" s="10"/>
      <c r="N185" s="74"/>
      <c r="O185" s="74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>
      <c r="A186" s="10"/>
      <c r="B186" s="74"/>
      <c r="C186" s="10"/>
      <c r="D186" s="10"/>
      <c r="E186" s="10"/>
      <c r="F186" s="10"/>
      <c r="G186" s="37"/>
      <c r="H186" s="74"/>
      <c r="I186" s="10"/>
      <c r="J186" s="10"/>
      <c r="K186" s="10"/>
      <c r="L186" s="37"/>
      <c r="M186" s="10"/>
      <c r="N186" s="74"/>
      <c r="O186" s="74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>
      <c r="A187" s="10"/>
      <c r="B187" s="74"/>
      <c r="C187" s="10"/>
      <c r="D187" s="10"/>
      <c r="E187" s="10"/>
      <c r="F187" s="10"/>
      <c r="G187" s="37"/>
      <c r="H187" s="74"/>
      <c r="I187" s="10"/>
      <c r="J187" s="10"/>
      <c r="K187" s="10"/>
      <c r="L187" s="37"/>
      <c r="M187" s="10"/>
      <c r="N187" s="74"/>
      <c r="O187" s="74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>
      <c r="A188" s="10"/>
      <c r="B188" s="74"/>
      <c r="C188" s="10"/>
      <c r="D188" s="10"/>
      <c r="E188" s="10"/>
      <c r="F188" s="10"/>
      <c r="G188" s="37"/>
      <c r="H188" s="74"/>
      <c r="I188" s="10"/>
      <c r="J188" s="10"/>
      <c r="K188" s="10"/>
      <c r="L188" s="37"/>
      <c r="M188" s="10"/>
      <c r="N188" s="74"/>
      <c r="O188" s="74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>
      <c r="A189" s="10"/>
      <c r="B189" s="74"/>
      <c r="C189" s="10"/>
      <c r="D189" s="10"/>
      <c r="E189" s="10"/>
      <c r="F189" s="10"/>
      <c r="G189" s="37"/>
      <c r="H189" s="74"/>
      <c r="I189" s="10"/>
      <c r="J189" s="10"/>
      <c r="K189" s="10"/>
      <c r="L189" s="37"/>
      <c r="M189" s="10"/>
      <c r="N189" s="74"/>
      <c r="O189" s="74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>
      <c r="A190" s="10"/>
      <c r="B190" s="74"/>
      <c r="C190" s="10"/>
      <c r="D190" s="10"/>
      <c r="E190" s="10"/>
      <c r="F190" s="10"/>
      <c r="G190" s="37"/>
      <c r="H190" s="74"/>
      <c r="I190" s="10"/>
      <c r="J190" s="10"/>
      <c r="K190" s="10"/>
      <c r="L190" s="37"/>
      <c r="M190" s="10"/>
      <c r="N190" s="74"/>
      <c r="O190" s="74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>
      <c r="A191" s="10"/>
      <c r="B191" s="74"/>
      <c r="C191" s="10"/>
      <c r="D191" s="10"/>
      <c r="E191" s="10"/>
      <c r="F191" s="10"/>
      <c r="G191" s="37"/>
      <c r="H191" s="74"/>
      <c r="I191" s="10"/>
      <c r="J191" s="10"/>
      <c r="K191" s="10"/>
      <c r="L191" s="37"/>
      <c r="M191" s="10"/>
      <c r="N191" s="74"/>
      <c r="O191" s="74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>
      <c r="A192" s="10"/>
      <c r="B192" s="74"/>
      <c r="C192" s="10"/>
      <c r="D192" s="10"/>
      <c r="E192" s="10"/>
      <c r="F192" s="10"/>
      <c r="G192" s="37"/>
      <c r="H192" s="74"/>
      <c r="I192" s="10"/>
      <c r="J192" s="10"/>
      <c r="K192" s="10"/>
      <c r="L192" s="37"/>
      <c r="M192" s="10"/>
      <c r="N192" s="74"/>
      <c r="O192" s="74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>
      <c r="A193" s="10"/>
      <c r="B193" s="74"/>
      <c r="C193" s="10"/>
      <c r="D193" s="10"/>
      <c r="E193" s="10"/>
      <c r="F193" s="10"/>
      <c r="G193" s="37"/>
      <c r="H193" s="74"/>
      <c r="I193" s="10"/>
      <c r="J193" s="10"/>
      <c r="K193" s="10"/>
      <c r="L193" s="37"/>
      <c r="M193" s="10"/>
      <c r="N193" s="74"/>
      <c r="O193" s="74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>
      <c r="A194" s="10"/>
      <c r="B194" s="74"/>
      <c r="C194" s="10"/>
      <c r="D194" s="10"/>
      <c r="E194" s="10"/>
      <c r="F194" s="10"/>
      <c r="G194" s="37"/>
      <c r="H194" s="74"/>
      <c r="I194" s="10"/>
      <c r="J194" s="10"/>
      <c r="K194" s="10"/>
      <c r="L194" s="37"/>
      <c r="M194" s="10"/>
      <c r="N194" s="74"/>
      <c r="O194" s="74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>
      <c r="A195" s="10"/>
      <c r="B195" s="74"/>
      <c r="C195" s="10"/>
      <c r="D195" s="10"/>
      <c r="E195" s="10"/>
      <c r="F195" s="10"/>
      <c r="G195" s="37"/>
      <c r="H195" s="74"/>
      <c r="I195" s="10"/>
      <c r="J195" s="10"/>
      <c r="K195" s="10"/>
      <c r="L195" s="37"/>
      <c r="M195" s="10"/>
      <c r="N195" s="74"/>
      <c r="O195" s="74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>
      <c r="A196" s="10"/>
      <c r="B196" s="74"/>
      <c r="C196" s="10"/>
      <c r="D196" s="10"/>
      <c r="E196" s="10"/>
      <c r="F196" s="10"/>
      <c r="G196" s="37"/>
      <c r="H196" s="74"/>
      <c r="I196" s="10"/>
      <c r="J196" s="10"/>
      <c r="K196" s="10"/>
      <c r="L196" s="37"/>
      <c r="M196" s="10"/>
      <c r="N196" s="74"/>
      <c r="O196" s="74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>
      <c r="A197" s="10"/>
      <c r="B197" s="74"/>
      <c r="C197" s="10"/>
      <c r="D197" s="10"/>
      <c r="E197" s="10"/>
      <c r="F197" s="10"/>
      <c r="G197" s="37"/>
      <c r="H197" s="74"/>
      <c r="I197" s="10"/>
      <c r="J197" s="10"/>
      <c r="K197" s="10"/>
      <c r="L197" s="37"/>
      <c r="M197" s="10"/>
      <c r="N197" s="74"/>
      <c r="O197" s="74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>
      <c r="A198" s="10"/>
      <c r="B198" s="74"/>
      <c r="C198" s="10"/>
      <c r="D198" s="10"/>
      <c r="E198" s="10"/>
      <c r="F198" s="10"/>
      <c r="G198" s="37"/>
      <c r="H198" s="74"/>
      <c r="I198" s="10"/>
      <c r="J198" s="10"/>
      <c r="K198" s="10"/>
      <c r="L198" s="37"/>
      <c r="M198" s="10"/>
      <c r="N198" s="74"/>
      <c r="O198" s="74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>
      <c r="A199" s="10"/>
      <c r="B199" s="74"/>
      <c r="C199" s="10"/>
      <c r="D199" s="10"/>
      <c r="E199" s="10"/>
      <c r="F199" s="10"/>
      <c r="G199" s="37"/>
      <c r="H199" s="74"/>
      <c r="I199" s="10"/>
      <c r="J199" s="10"/>
      <c r="K199" s="10"/>
      <c r="L199" s="37"/>
      <c r="M199" s="10"/>
      <c r="N199" s="74"/>
      <c r="O199" s="74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>
      <c r="A200" s="10"/>
      <c r="B200" s="74"/>
      <c r="C200" s="10"/>
      <c r="D200" s="10"/>
      <c r="E200" s="10"/>
      <c r="F200" s="10"/>
      <c r="G200" s="37"/>
      <c r="H200" s="74"/>
      <c r="I200" s="10"/>
      <c r="J200" s="10"/>
      <c r="K200" s="10"/>
      <c r="L200" s="37"/>
      <c r="M200" s="10"/>
      <c r="N200" s="74"/>
      <c r="O200" s="74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>
      <c r="A201" s="10"/>
      <c r="B201" s="74"/>
      <c r="C201" s="10"/>
      <c r="D201" s="10"/>
      <c r="E201" s="10"/>
      <c r="F201" s="10"/>
      <c r="G201" s="37"/>
      <c r="H201" s="74"/>
      <c r="I201" s="10"/>
      <c r="J201" s="10"/>
      <c r="K201" s="10"/>
      <c r="L201" s="37"/>
      <c r="M201" s="10"/>
      <c r="N201" s="74"/>
      <c r="O201" s="74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>
      <c r="A202" s="10"/>
      <c r="B202" s="74"/>
      <c r="C202" s="10"/>
      <c r="D202" s="10"/>
      <c r="E202" s="10"/>
      <c r="F202" s="10"/>
      <c r="G202" s="37"/>
      <c r="H202" s="74"/>
      <c r="I202" s="10"/>
      <c r="J202" s="10"/>
      <c r="K202" s="10"/>
      <c r="L202" s="37"/>
      <c r="M202" s="10"/>
      <c r="N202" s="74"/>
      <c r="O202" s="74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>
      <c r="A203" s="10"/>
      <c r="B203" s="74"/>
      <c r="C203" s="10"/>
      <c r="D203" s="10"/>
      <c r="E203" s="10"/>
      <c r="F203" s="10"/>
      <c r="G203" s="37"/>
      <c r="H203" s="74"/>
      <c r="I203" s="10"/>
      <c r="J203" s="10"/>
      <c r="K203" s="10"/>
      <c r="L203" s="37"/>
      <c r="M203" s="10"/>
      <c r="N203" s="74"/>
      <c r="O203" s="74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>
      <c r="A204" s="10"/>
      <c r="B204" s="74"/>
      <c r="C204" s="10"/>
      <c r="D204" s="10"/>
      <c r="E204" s="10"/>
      <c r="F204" s="10"/>
      <c r="G204" s="37"/>
      <c r="H204" s="74"/>
      <c r="I204" s="10"/>
      <c r="J204" s="10"/>
      <c r="K204" s="10"/>
      <c r="L204" s="37"/>
      <c r="M204" s="10"/>
      <c r="N204" s="74"/>
      <c r="O204" s="74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>
      <c r="A205" s="10"/>
      <c r="B205" s="74"/>
      <c r="C205" s="10"/>
      <c r="D205" s="10"/>
      <c r="E205" s="10"/>
      <c r="F205" s="10"/>
      <c r="G205" s="37"/>
      <c r="H205" s="74"/>
      <c r="I205" s="10"/>
      <c r="J205" s="10"/>
      <c r="K205" s="10"/>
      <c r="L205" s="37"/>
      <c r="M205" s="10"/>
      <c r="N205" s="74"/>
      <c r="O205" s="74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>
      <c r="A206" s="10"/>
      <c r="B206" s="74"/>
      <c r="C206" s="10"/>
      <c r="D206" s="10"/>
      <c r="E206" s="10"/>
      <c r="F206" s="10"/>
      <c r="G206" s="37"/>
      <c r="H206" s="74"/>
      <c r="I206" s="10"/>
      <c r="J206" s="10"/>
      <c r="K206" s="10"/>
      <c r="L206" s="37"/>
      <c r="M206" s="10"/>
      <c r="N206" s="74"/>
      <c r="O206" s="74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>
      <c r="A207" s="10"/>
      <c r="B207" s="74"/>
      <c r="C207" s="10"/>
      <c r="D207" s="10"/>
      <c r="E207" s="10"/>
      <c r="F207" s="10"/>
      <c r="G207" s="37"/>
      <c r="H207" s="74"/>
      <c r="I207" s="10"/>
      <c r="J207" s="10"/>
      <c r="K207" s="10"/>
      <c r="L207" s="37"/>
      <c r="M207" s="10"/>
      <c r="N207" s="74"/>
      <c r="O207" s="74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>
      <c r="A208" s="10"/>
      <c r="B208" s="74"/>
      <c r="C208" s="10"/>
      <c r="D208" s="10"/>
      <c r="E208" s="10"/>
      <c r="F208" s="10"/>
      <c r="G208" s="37"/>
      <c r="H208" s="74"/>
      <c r="I208" s="10"/>
      <c r="J208" s="10"/>
      <c r="K208" s="10"/>
      <c r="L208" s="37"/>
      <c r="M208" s="10"/>
      <c r="N208" s="74"/>
      <c r="O208" s="74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>
      <c r="A209" s="10"/>
      <c r="B209" s="74"/>
      <c r="C209" s="10"/>
      <c r="D209" s="10"/>
      <c r="E209" s="10"/>
      <c r="F209" s="10"/>
      <c r="G209" s="37"/>
      <c r="H209" s="74"/>
      <c r="I209" s="10"/>
      <c r="J209" s="10"/>
      <c r="K209" s="10"/>
      <c r="L209" s="37"/>
      <c r="M209" s="10"/>
      <c r="N209" s="74"/>
      <c r="O209" s="74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>
      <c r="A210" s="10"/>
      <c r="B210" s="74"/>
      <c r="C210" s="10"/>
      <c r="D210" s="10"/>
      <c r="E210" s="10"/>
      <c r="F210" s="10"/>
      <c r="G210" s="37"/>
      <c r="H210" s="74"/>
      <c r="I210" s="10"/>
      <c r="J210" s="10"/>
      <c r="K210" s="10"/>
      <c r="L210" s="37"/>
      <c r="M210" s="10"/>
      <c r="N210" s="74"/>
      <c r="O210" s="74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>
      <c r="A211" s="10"/>
      <c r="B211" s="74"/>
      <c r="C211" s="10"/>
      <c r="D211" s="10"/>
      <c r="E211" s="10"/>
      <c r="F211" s="10"/>
      <c r="G211" s="37"/>
      <c r="H211" s="74"/>
      <c r="I211" s="10"/>
      <c r="J211" s="10"/>
      <c r="K211" s="10"/>
      <c r="L211" s="37"/>
      <c r="M211" s="10"/>
      <c r="N211" s="74"/>
      <c r="O211" s="74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>
      <c r="A212" s="10"/>
      <c r="B212" s="74"/>
      <c r="C212" s="10"/>
      <c r="D212" s="10"/>
      <c r="E212" s="10"/>
      <c r="F212" s="10"/>
      <c r="G212" s="37"/>
      <c r="H212" s="74"/>
      <c r="I212" s="10"/>
      <c r="J212" s="10"/>
      <c r="K212" s="10"/>
      <c r="L212" s="37"/>
      <c r="M212" s="10"/>
      <c r="N212" s="74"/>
      <c r="O212" s="74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>
      <c r="A213" s="10"/>
      <c r="B213" s="74"/>
      <c r="C213" s="10"/>
      <c r="D213" s="10"/>
      <c r="E213" s="10"/>
      <c r="F213" s="10"/>
      <c r="G213" s="37"/>
      <c r="H213" s="74"/>
      <c r="I213" s="10"/>
      <c r="J213" s="10"/>
      <c r="K213" s="10"/>
      <c r="L213" s="37"/>
      <c r="M213" s="10"/>
      <c r="N213" s="74"/>
      <c r="O213" s="74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>
      <c r="A214" s="10"/>
      <c r="B214" s="74"/>
      <c r="C214" s="10"/>
      <c r="D214" s="10"/>
      <c r="E214" s="10"/>
      <c r="F214" s="10"/>
      <c r="G214" s="37"/>
      <c r="H214" s="74"/>
      <c r="I214" s="10"/>
      <c r="J214" s="10"/>
      <c r="K214" s="10"/>
      <c r="L214" s="37"/>
      <c r="M214" s="10"/>
      <c r="N214" s="74"/>
      <c r="O214" s="74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>
      <c r="A215" s="10"/>
      <c r="B215" s="74"/>
      <c r="C215" s="10"/>
      <c r="D215" s="10"/>
      <c r="E215" s="10"/>
      <c r="F215" s="10"/>
      <c r="G215" s="37"/>
      <c r="H215" s="74"/>
      <c r="I215" s="10"/>
      <c r="J215" s="10"/>
      <c r="K215" s="10"/>
      <c r="L215" s="37"/>
      <c r="M215" s="10"/>
      <c r="N215" s="74"/>
      <c r="O215" s="74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>
      <c r="A216" s="10"/>
      <c r="B216" s="74"/>
      <c r="C216" s="10"/>
      <c r="D216" s="10"/>
      <c r="E216" s="10"/>
      <c r="F216" s="10"/>
      <c r="G216" s="37"/>
      <c r="H216" s="74"/>
      <c r="I216" s="10"/>
      <c r="J216" s="10"/>
      <c r="K216" s="10"/>
      <c r="L216" s="37"/>
      <c r="M216" s="10"/>
      <c r="N216" s="74"/>
      <c r="O216" s="74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>
      <c r="A217" s="10"/>
      <c r="B217" s="74"/>
      <c r="C217" s="10"/>
      <c r="D217" s="10"/>
      <c r="E217" s="10"/>
      <c r="F217" s="10"/>
      <c r="G217" s="37"/>
      <c r="H217" s="74"/>
      <c r="I217" s="10"/>
      <c r="J217" s="10"/>
      <c r="K217" s="10"/>
      <c r="L217" s="37"/>
      <c r="M217" s="10"/>
      <c r="N217" s="74"/>
      <c r="O217" s="74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>
      <c r="A218" s="10"/>
      <c r="B218" s="74"/>
      <c r="C218" s="10"/>
      <c r="D218" s="10"/>
      <c r="E218" s="10"/>
      <c r="F218" s="10"/>
      <c r="G218" s="37"/>
      <c r="H218" s="74"/>
      <c r="I218" s="10"/>
      <c r="J218" s="10"/>
      <c r="K218" s="10"/>
      <c r="L218" s="37"/>
      <c r="M218" s="10"/>
      <c r="N218" s="74"/>
      <c r="O218" s="74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>
      <c r="A219" s="10"/>
      <c r="B219" s="74"/>
      <c r="C219" s="10"/>
      <c r="D219" s="10"/>
      <c r="E219" s="10"/>
      <c r="F219" s="10"/>
      <c r="G219" s="37"/>
      <c r="H219" s="74"/>
      <c r="I219" s="10"/>
      <c r="J219" s="10"/>
      <c r="K219" s="10"/>
      <c r="L219" s="37"/>
      <c r="M219" s="10"/>
      <c r="N219" s="74"/>
      <c r="O219" s="74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>
      <c r="A220" s="10"/>
      <c r="B220" s="74"/>
      <c r="C220" s="10"/>
      <c r="D220" s="10"/>
      <c r="E220" s="10"/>
      <c r="F220" s="10"/>
      <c r="G220" s="37"/>
      <c r="H220" s="74"/>
      <c r="I220" s="10"/>
      <c r="J220" s="10"/>
      <c r="K220" s="10"/>
      <c r="L220" s="37"/>
      <c r="M220" s="10"/>
      <c r="N220" s="74"/>
      <c r="O220" s="74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>
      <c r="A221" s="10"/>
      <c r="B221" s="74"/>
      <c r="C221" s="10"/>
      <c r="D221" s="10"/>
      <c r="E221" s="10"/>
      <c r="F221" s="10"/>
      <c r="G221" s="37"/>
      <c r="H221" s="74"/>
      <c r="I221" s="10"/>
      <c r="J221" s="10"/>
      <c r="K221" s="10"/>
      <c r="L221" s="37"/>
      <c r="M221" s="10"/>
      <c r="N221" s="74"/>
      <c r="O221" s="74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>
      <c r="A222" s="10"/>
      <c r="B222" s="74"/>
      <c r="C222" s="10"/>
      <c r="D222" s="10"/>
      <c r="E222" s="10"/>
      <c r="F222" s="10"/>
      <c r="G222" s="37"/>
      <c r="H222" s="74"/>
      <c r="I222" s="10"/>
      <c r="J222" s="10"/>
      <c r="K222" s="10"/>
      <c r="L222" s="37"/>
      <c r="M222" s="10"/>
      <c r="N222" s="74"/>
      <c r="O222" s="74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>
      <c r="A223" s="10"/>
      <c r="B223" s="74"/>
      <c r="C223" s="10"/>
      <c r="D223" s="10"/>
      <c r="E223" s="10"/>
      <c r="F223" s="10"/>
      <c r="G223" s="37"/>
      <c r="H223" s="74"/>
      <c r="I223" s="10"/>
      <c r="J223" s="10"/>
      <c r="K223" s="10"/>
      <c r="L223" s="37"/>
      <c r="M223" s="10"/>
      <c r="N223" s="74"/>
      <c r="O223" s="74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>
      <c r="A224" s="10"/>
      <c r="B224" s="74"/>
      <c r="C224" s="10"/>
      <c r="D224" s="10"/>
      <c r="E224" s="10"/>
      <c r="F224" s="10"/>
      <c r="G224" s="37"/>
      <c r="H224" s="74"/>
      <c r="I224" s="10"/>
      <c r="J224" s="10"/>
      <c r="K224" s="10"/>
      <c r="L224" s="37"/>
      <c r="M224" s="10"/>
      <c r="N224" s="74"/>
      <c r="O224" s="74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>
      <c r="A225" s="10"/>
      <c r="B225" s="74"/>
      <c r="C225" s="10"/>
      <c r="D225" s="10"/>
      <c r="E225" s="10"/>
      <c r="F225" s="10"/>
      <c r="G225" s="37"/>
      <c r="H225" s="74"/>
      <c r="I225" s="10"/>
      <c r="J225" s="10"/>
      <c r="K225" s="10"/>
      <c r="L225" s="37"/>
      <c r="M225" s="10"/>
      <c r="N225" s="74"/>
      <c r="O225" s="74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>
      <c r="A226" s="10"/>
      <c r="B226" s="74"/>
      <c r="C226" s="10"/>
      <c r="D226" s="10"/>
      <c r="E226" s="10"/>
      <c r="F226" s="10"/>
      <c r="G226" s="37"/>
      <c r="H226" s="74"/>
      <c r="I226" s="10"/>
      <c r="J226" s="10"/>
      <c r="K226" s="10"/>
      <c r="L226" s="37"/>
      <c r="M226" s="10"/>
      <c r="N226" s="74"/>
      <c r="O226" s="74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>
      <c r="A227" s="10"/>
      <c r="B227" s="74"/>
      <c r="C227" s="10"/>
      <c r="D227" s="10"/>
      <c r="E227" s="10"/>
      <c r="F227" s="10"/>
      <c r="G227" s="37"/>
      <c r="H227" s="74"/>
      <c r="I227" s="10"/>
      <c r="J227" s="10"/>
      <c r="K227" s="10"/>
      <c r="L227" s="37"/>
      <c r="M227" s="10"/>
      <c r="N227" s="74"/>
      <c r="O227" s="74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>
      <c r="A228" s="10"/>
      <c r="B228" s="74"/>
      <c r="C228" s="10"/>
      <c r="D228" s="10"/>
      <c r="E228" s="10"/>
      <c r="F228" s="10"/>
      <c r="G228" s="37"/>
      <c r="H228" s="74"/>
      <c r="I228" s="10"/>
      <c r="J228" s="10"/>
      <c r="K228" s="10"/>
      <c r="L228" s="37"/>
      <c r="M228" s="10"/>
      <c r="N228" s="74"/>
      <c r="O228" s="74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>
      <c r="A229" s="10"/>
      <c r="B229" s="74"/>
      <c r="C229" s="10"/>
      <c r="D229" s="10"/>
      <c r="E229" s="10"/>
      <c r="F229" s="10"/>
      <c r="G229" s="37"/>
      <c r="H229" s="74"/>
      <c r="I229" s="10"/>
      <c r="J229" s="10"/>
      <c r="K229" s="10"/>
      <c r="L229" s="37"/>
      <c r="M229" s="10"/>
      <c r="N229" s="74"/>
      <c r="O229" s="74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>
      <c r="A230" s="10"/>
      <c r="B230" s="74"/>
      <c r="C230" s="10"/>
      <c r="D230" s="10"/>
      <c r="E230" s="10"/>
      <c r="F230" s="10"/>
      <c r="G230" s="37"/>
      <c r="H230" s="74"/>
      <c r="I230" s="10"/>
      <c r="J230" s="10"/>
      <c r="K230" s="10"/>
      <c r="L230" s="37"/>
      <c r="M230" s="10"/>
      <c r="N230" s="74"/>
      <c r="O230" s="74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>
      <c r="A231" s="10"/>
      <c r="B231" s="74"/>
      <c r="C231" s="10"/>
      <c r="D231" s="10"/>
      <c r="E231" s="10"/>
      <c r="F231" s="10"/>
      <c r="G231" s="37"/>
      <c r="H231" s="74"/>
      <c r="I231" s="10"/>
      <c r="J231" s="10"/>
      <c r="K231" s="10"/>
      <c r="L231" s="37"/>
      <c r="M231" s="10"/>
      <c r="N231" s="74"/>
      <c r="O231" s="74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>
      <c r="A232" s="10"/>
      <c r="B232" s="74"/>
      <c r="C232" s="10"/>
      <c r="D232" s="10"/>
      <c r="E232" s="10"/>
      <c r="F232" s="10"/>
      <c r="G232" s="37"/>
      <c r="H232" s="74"/>
      <c r="I232" s="10"/>
      <c r="J232" s="10"/>
      <c r="K232" s="10"/>
      <c r="L232" s="37"/>
      <c r="M232" s="10"/>
      <c r="N232" s="74"/>
      <c r="O232" s="74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>
      <c r="A233" s="10"/>
      <c r="B233" s="74"/>
      <c r="C233" s="10"/>
      <c r="D233" s="10"/>
      <c r="E233" s="10"/>
      <c r="F233" s="10"/>
      <c r="G233" s="37"/>
      <c r="H233" s="74"/>
      <c r="I233" s="10"/>
      <c r="J233" s="10"/>
      <c r="K233" s="10"/>
      <c r="L233" s="37"/>
      <c r="M233" s="10"/>
      <c r="N233" s="74"/>
      <c r="O233" s="74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>
      <c r="A234" s="10"/>
      <c r="B234" s="74"/>
      <c r="C234" s="10"/>
      <c r="D234" s="10"/>
      <c r="E234" s="10"/>
      <c r="F234" s="10"/>
      <c r="G234" s="37"/>
      <c r="H234" s="74"/>
      <c r="I234" s="10"/>
      <c r="J234" s="10"/>
      <c r="K234" s="10"/>
      <c r="L234" s="37"/>
      <c r="M234" s="10"/>
      <c r="N234" s="74"/>
      <c r="O234" s="74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>
      <c r="A235" s="10"/>
      <c r="B235" s="74"/>
      <c r="C235" s="10"/>
      <c r="D235" s="10"/>
      <c r="E235" s="10"/>
      <c r="F235" s="10"/>
      <c r="G235" s="37"/>
      <c r="H235" s="74"/>
      <c r="I235" s="10"/>
      <c r="J235" s="10"/>
      <c r="K235" s="10"/>
      <c r="L235" s="37"/>
      <c r="M235" s="10"/>
      <c r="N235" s="74"/>
      <c r="O235" s="74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>
      <c r="A236" s="10"/>
      <c r="B236" s="74"/>
      <c r="C236" s="10"/>
      <c r="D236" s="10"/>
      <c r="E236" s="10"/>
      <c r="F236" s="10"/>
      <c r="G236" s="37"/>
      <c r="H236" s="74"/>
      <c r="I236" s="10"/>
      <c r="J236" s="10"/>
      <c r="K236" s="10"/>
      <c r="L236" s="37"/>
      <c r="M236" s="10"/>
      <c r="N236" s="74"/>
      <c r="O236" s="74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>
      <c r="A237" s="10"/>
      <c r="B237" s="74"/>
      <c r="C237" s="10"/>
      <c r="D237" s="10"/>
      <c r="E237" s="10"/>
      <c r="F237" s="10"/>
      <c r="G237" s="37"/>
      <c r="H237" s="74"/>
      <c r="I237" s="10"/>
      <c r="J237" s="10"/>
      <c r="K237" s="10"/>
      <c r="L237" s="37"/>
      <c r="M237" s="10"/>
      <c r="N237" s="74"/>
      <c r="O237" s="74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>
      <c r="A238" s="10"/>
      <c r="B238" s="74"/>
      <c r="C238" s="10"/>
      <c r="D238" s="10"/>
      <c r="E238" s="10"/>
      <c r="F238" s="10"/>
      <c r="G238" s="37"/>
      <c r="H238" s="74"/>
      <c r="I238" s="10"/>
      <c r="J238" s="10"/>
      <c r="K238" s="10"/>
      <c r="L238" s="37"/>
      <c r="M238" s="10"/>
      <c r="N238" s="74"/>
      <c r="O238" s="74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>
      <c r="A239" s="10"/>
      <c r="B239" s="74"/>
      <c r="C239" s="10"/>
      <c r="D239" s="10"/>
      <c r="E239" s="10"/>
      <c r="F239" s="10"/>
      <c r="G239" s="37"/>
      <c r="H239" s="74"/>
      <c r="I239" s="10"/>
      <c r="J239" s="10"/>
      <c r="K239" s="10"/>
      <c r="L239" s="37"/>
      <c r="M239" s="10"/>
      <c r="N239" s="74"/>
      <c r="O239" s="74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>
      <c r="A240" s="10"/>
      <c r="B240" s="74"/>
      <c r="C240" s="10"/>
      <c r="D240" s="10"/>
      <c r="E240" s="10"/>
      <c r="F240" s="10"/>
      <c r="G240" s="37"/>
      <c r="H240" s="74"/>
      <c r="I240" s="10"/>
      <c r="J240" s="10"/>
      <c r="K240" s="10"/>
      <c r="L240" s="37"/>
      <c r="M240" s="10"/>
      <c r="N240" s="74"/>
      <c r="O240" s="74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>
      <c r="A241" s="10"/>
      <c r="B241" s="74"/>
      <c r="C241" s="10"/>
      <c r="D241" s="10"/>
      <c r="E241" s="10"/>
      <c r="F241" s="10"/>
      <c r="G241" s="37"/>
      <c r="H241" s="74"/>
      <c r="I241" s="10"/>
      <c r="J241" s="10"/>
      <c r="K241" s="10"/>
      <c r="L241" s="37"/>
      <c r="M241" s="10"/>
      <c r="N241" s="74"/>
      <c r="O241" s="74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>
      <c r="A242" s="10"/>
      <c r="B242" s="74"/>
      <c r="C242" s="10"/>
      <c r="D242" s="10"/>
      <c r="E242" s="10"/>
      <c r="F242" s="10"/>
      <c r="G242" s="37"/>
      <c r="H242" s="74"/>
      <c r="I242" s="10"/>
      <c r="J242" s="10"/>
      <c r="K242" s="10"/>
      <c r="L242" s="37"/>
      <c r="M242" s="10"/>
      <c r="N242" s="74"/>
      <c r="O242" s="74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>
      <c r="A243" s="10"/>
      <c r="B243" s="74"/>
      <c r="C243" s="10"/>
      <c r="D243" s="10"/>
      <c r="E243" s="10"/>
      <c r="F243" s="10"/>
      <c r="G243" s="37"/>
      <c r="H243" s="74"/>
      <c r="I243" s="10"/>
      <c r="J243" s="10"/>
      <c r="K243" s="10"/>
      <c r="L243" s="37"/>
      <c r="M243" s="10"/>
      <c r="N243" s="74"/>
      <c r="O243" s="74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>
      <c r="A244" s="10"/>
      <c r="B244" s="74"/>
      <c r="C244" s="10"/>
      <c r="D244" s="10"/>
      <c r="E244" s="10"/>
      <c r="F244" s="10"/>
      <c r="G244" s="37"/>
      <c r="H244" s="74"/>
      <c r="I244" s="10"/>
      <c r="J244" s="10"/>
      <c r="K244" s="10"/>
      <c r="L244" s="37"/>
      <c r="M244" s="10"/>
      <c r="N244" s="74"/>
      <c r="O244" s="74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>
      <c r="A245" s="10"/>
      <c r="B245" s="74"/>
      <c r="C245" s="10"/>
      <c r="D245" s="10"/>
      <c r="E245" s="10"/>
      <c r="F245" s="10"/>
      <c r="G245" s="37"/>
      <c r="H245" s="74"/>
      <c r="I245" s="10"/>
      <c r="J245" s="10"/>
      <c r="K245" s="10"/>
      <c r="L245" s="37"/>
      <c r="M245" s="10"/>
      <c r="N245" s="74"/>
      <c r="O245" s="74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>
      <c r="A246" s="10"/>
      <c r="B246" s="74"/>
      <c r="C246" s="10"/>
      <c r="D246" s="10"/>
      <c r="E246" s="10"/>
      <c r="F246" s="10"/>
      <c r="G246" s="37"/>
      <c r="H246" s="74"/>
      <c r="I246" s="10"/>
      <c r="J246" s="10"/>
      <c r="K246" s="10"/>
      <c r="L246" s="37"/>
      <c r="M246" s="10"/>
      <c r="N246" s="74"/>
      <c r="O246" s="74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>
      <c r="A247" s="10"/>
      <c r="B247" s="74"/>
      <c r="C247" s="10"/>
      <c r="D247" s="10"/>
      <c r="E247" s="10"/>
      <c r="F247" s="10"/>
      <c r="G247" s="37"/>
      <c r="H247" s="74"/>
      <c r="I247" s="10"/>
      <c r="J247" s="10"/>
      <c r="K247" s="10"/>
      <c r="L247" s="37"/>
      <c r="M247" s="10"/>
      <c r="N247" s="74"/>
      <c r="O247" s="74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>
      <c r="A248" s="10"/>
      <c r="B248" s="74"/>
      <c r="C248" s="10"/>
      <c r="D248" s="10"/>
      <c r="E248" s="10"/>
      <c r="F248" s="10"/>
      <c r="G248" s="37"/>
      <c r="H248" s="74"/>
      <c r="I248" s="10"/>
      <c r="J248" s="10"/>
      <c r="K248" s="10"/>
      <c r="L248" s="37"/>
      <c r="M248" s="10"/>
      <c r="N248" s="74"/>
      <c r="O248" s="74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>
      <c r="A249" s="10"/>
      <c r="B249" s="74"/>
      <c r="C249" s="10"/>
      <c r="D249" s="10"/>
      <c r="E249" s="10"/>
      <c r="F249" s="10"/>
      <c r="G249" s="37"/>
      <c r="H249" s="74"/>
      <c r="I249" s="10"/>
      <c r="J249" s="10"/>
      <c r="K249" s="10"/>
      <c r="L249" s="37"/>
      <c r="M249" s="10"/>
      <c r="N249" s="74"/>
      <c r="O249" s="74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>
      <c r="A250" s="10"/>
      <c r="B250" s="74"/>
      <c r="C250" s="10"/>
      <c r="D250" s="10"/>
      <c r="E250" s="10"/>
      <c r="F250" s="10"/>
      <c r="G250" s="37"/>
      <c r="H250" s="74"/>
      <c r="I250" s="10"/>
      <c r="J250" s="10"/>
      <c r="K250" s="10"/>
      <c r="L250" s="37"/>
      <c r="M250" s="10"/>
      <c r="N250" s="74"/>
      <c r="O250" s="74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>
      <c r="A251" s="10"/>
      <c r="B251" s="74"/>
      <c r="C251" s="10"/>
      <c r="D251" s="10"/>
      <c r="E251" s="10"/>
      <c r="F251" s="10"/>
      <c r="G251" s="37"/>
      <c r="H251" s="74"/>
      <c r="I251" s="10"/>
      <c r="J251" s="10"/>
      <c r="K251" s="10"/>
      <c r="L251" s="37"/>
      <c r="M251" s="10"/>
      <c r="N251" s="74"/>
      <c r="O251" s="74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>
      <c r="A252" s="10"/>
      <c r="B252" s="74"/>
      <c r="C252" s="10"/>
      <c r="D252" s="10"/>
      <c r="E252" s="10"/>
      <c r="F252" s="10"/>
      <c r="G252" s="37"/>
      <c r="H252" s="74"/>
      <c r="I252" s="10"/>
      <c r="J252" s="10"/>
      <c r="K252" s="10"/>
      <c r="L252" s="37"/>
      <c r="M252" s="10"/>
      <c r="N252" s="74"/>
      <c r="O252" s="74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>
      <c r="A253" s="10"/>
      <c r="B253" s="74"/>
      <c r="C253" s="10"/>
      <c r="D253" s="10"/>
      <c r="E253" s="10"/>
      <c r="F253" s="10"/>
      <c r="G253" s="37"/>
      <c r="H253" s="74"/>
      <c r="I253" s="10"/>
      <c r="J253" s="10"/>
      <c r="K253" s="10"/>
      <c r="L253" s="37"/>
      <c r="M253" s="10"/>
      <c r="N253" s="74"/>
      <c r="O253" s="74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>
      <c r="A254" s="10"/>
      <c r="B254" s="74"/>
      <c r="C254" s="10"/>
      <c r="D254" s="10"/>
      <c r="E254" s="10"/>
      <c r="F254" s="10"/>
      <c r="G254" s="37"/>
      <c r="H254" s="74"/>
      <c r="I254" s="10"/>
      <c r="J254" s="10"/>
      <c r="K254" s="10"/>
      <c r="L254" s="37"/>
      <c r="M254" s="10"/>
      <c r="N254" s="74"/>
      <c r="O254" s="74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>
      <c r="K255" s="56"/>
    </row>
    <row r="256" spans="1:27" ht="15.75" customHeight="1">
      <c r="K256" s="56"/>
    </row>
    <row r="257" spans="11:11" ht="15.75" customHeight="1">
      <c r="K257" s="56"/>
    </row>
    <row r="258" spans="11:11" ht="15.75" customHeight="1">
      <c r="K258" s="56"/>
    </row>
    <row r="259" spans="11:11" ht="15.75" customHeight="1">
      <c r="K259" s="56"/>
    </row>
    <row r="260" spans="11:11" ht="15.75" customHeight="1">
      <c r="K260" s="56"/>
    </row>
    <row r="261" spans="11:11" ht="15.75" customHeight="1">
      <c r="K261" s="56"/>
    </row>
    <row r="262" spans="11:11" ht="15.75" customHeight="1">
      <c r="K262" s="56"/>
    </row>
    <row r="263" spans="11:11" ht="15.75" customHeight="1">
      <c r="K263" s="56"/>
    </row>
    <row r="264" spans="11:11" ht="15.75" customHeight="1">
      <c r="K264" s="56"/>
    </row>
    <row r="265" spans="11:11" ht="15.75" customHeight="1">
      <c r="K265" s="56"/>
    </row>
    <row r="266" spans="11:11" ht="15.75" customHeight="1">
      <c r="K266" s="56"/>
    </row>
    <row r="267" spans="11:11" ht="15.75" customHeight="1">
      <c r="K267" s="56"/>
    </row>
    <row r="268" spans="11:11" ht="15.75" customHeight="1">
      <c r="K268" s="56"/>
    </row>
    <row r="269" spans="11:11" ht="15.75" customHeight="1">
      <c r="K269" s="56"/>
    </row>
    <row r="270" spans="11:11" ht="15.75" customHeight="1">
      <c r="K270" s="56"/>
    </row>
    <row r="271" spans="11:11" ht="15.75" customHeight="1">
      <c r="K271" s="56"/>
    </row>
    <row r="272" spans="11:11" ht="15.75" customHeight="1">
      <c r="K272" s="56"/>
    </row>
    <row r="273" spans="11:11" ht="15.75" customHeight="1">
      <c r="K273" s="56"/>
    </row>
    <row r="274" spans="11:11" ht="15.75" customHeight="1">
      <c r="K274" s="56"/>
    </row>
    <row r="275" spans="11:11" ht="15.75" customHeight="1">
      <c r="K275" s="56"/>
    </row>
    <row r="276" spans="11:11" ht="15.75" customHeight="1">
      <c r="K276" s="56"/>
    </row>
    <row r="277" spans="11:11" ht="15.75" customHeight="1">
      <c r="K277" s="56"/>
    </row>
    <row r="278" spans="11:11" ht="15.75" customHeight="1">
      <c r="K278" s="56"/>
    </row>
    <row r="279" spans="11:11" ht="15.75" customHeight="1">
      <c r="K279" s="56"/>
    </row>
    <row r="280" spans="11:11" ht="15.75" customHeight="1">
      <c r="K280" s="56"/>
    </row>
    <row r="281" spans="11:11" ht="15.75" customHeight="1">
      <c r="K281" s="56"/>
    </row>
    <row r="282" spans="11:11" ht="15.75" customHeight="1">
      <c r="K282" s="56"/>
    </row>
    <row r="283" spans="11:11" ht="15.75" customHeight="1">
      <c r="K283" s="56"/>
    </row>
    <row r="284" spans="11:11" ht="15.75" customHeight="1">
      <c r="K284" s="56"/>
    </row>
    <row r="285" spans="11:11" ht="15.75" customHeight="1">
      <c r="K285" s="56"/>
    </row>
    <row r="286" spans="11:11" ht="15.75" customHeight="1">
      <c r="K286" s="56"/>
    </row>
    <row r="287" spans="11:11" ht="15.75" customHeight="1">
      <c r="K287" s="56"/>
    </row>
    <row r="288" spans="11:11" ht="15.75" customHeight="1">
      <c r="K288" s="56"/>
    </row>
    <row r="289" spans="11:11" ht="15.75" customHeight="1">
      <c r="K289" s="56"/>
    </row>
    <row r="290" spans="11:11" ht="15.75" customHeight="1">
      <c r="K290" s="56"/>
    </row>
    <row r="291" spans="11:11" ht="15.75" customHeight="1">
      <c r="K291" s="56"/>
    </row>
    <row r="292" spans="11:11" ht="15.75" customHeight="1">
      <c r="K292" s="56"/>
    </row>
    <row r="293" spans="11:11" ht="15.75" customHeight="1">
      <c r="K293" s="56"/>
    </row>
    <row r="294" spans="11:11" ht="15.75" customHeight="1">
      <c r="K294" s="56"/>
    </row>
    <row r="295" spans="11:11" ht="15.75" customHeight="1">
      <c r="K295" s="56"/>
    </row>
    <row r="296" spans="11:11" ht="15.75" customHeight="1">
      <c r="K296" s="56"/>
    </row>
    <row r="297" spans="11:11" ht="15.75" customHeight="1">
      <c r="K297" s="56"/>
    </row>
    <row r="298" spans="11:11" ht="15.75" customHeight="1">
      <c r="K298" s="56"/>
    </row>
    <row r="299" spans="11:11" ht="15.75" customHeight="1">
      <c r="K299" s="56"/>
    </row>
    <row r="300" spans="11:11" ht="15.75" customHeight="1">
      <c r="K300" s="56"/>
    </row>
    <row r="301" spans="11:11" ht="15.75" customHeight="1">
      <c r="K301" s="56"/>
    </row>
    <row r="302" spans="11:11" ht="15.75" customHeight="1">
      <c r="K302" s="56"/>
    </row>
    <row r="303" spans="11:11" ht="15.75" customHeight="1">
      <c r="K303" s="56"/>
    </row>
    <row r="304" spans="11:11" ht="15.75" customHeight="1">
      <c r="K304" s="56"/>
    </row>
    <row r="305" spans="11:11" ht="15.75" customHeight="1">
      <c r="K305" s="56"/>
    </row>
    <row r="306" spans="11:11" ht="15.75" customHeight="1">
      <c r="K306" s="56"/>
    </row>
    <row r="307" spans="11:11" ht="15.75" customHeight="1">
      <c r="K307" s="56"/>
    </row>
    <row r="308" spans="11:11" ht="15.75" customHeight="1">
      <c r="K308" s="56"/>
    </row>
    <row r="309" spans="11:11" ht="15.75" customHeight="1">
      <c r="K309" s="56"/>
    </row>
    <row r="310" spans="11:11" ht="15.75" customHeight="1">
      <c r="K310" s="56"/>
    </row>
    <row r="311" spans="11:11" ht="15.75" customHeight="1">
      <c r="K311" s="56"/>
    </row>
    <row r="312" spans="11:11" ht="15.75" customHeight="1">
      <c r="K312" s="56"/>
    </row>
    <row r="313" spans="11:11" ht="15.75" customHeight="1">
      <c r="K313" s="56"/>
    </row>
    <row r="314" spans="11:11" ht="15.75" customHeight="1">
      <c r="K314" s="56"/>
    </row>
    <row r="315" spans="11:11" ht="15.75" customHeight="1">
      <c r="K315" s="56"/>
    </row>
    <row r="316" spans="11:11" ht="15.75" customHeight="1">
      <c r="K316" s="56"/>
    </row>
    <row r="317" spans="11:11" ht="15.75" customHeight="1">
      <c r="K317" s="56"/>
    </row>
    <row r="318" spans="11:11" ht="15.75" customHeight="1">
      <c r="K318" s="56"/>
    </row>
    <row r="319" spans="11:11" ht="15.75" customHeight="1">
      <c r="K319" s="56"/>
    </row>
    <row r="320" spans="11:11" ht="15.75" customHeight="1">
      <c r="K320" s="56"/>
    </row>
    <row r="321" spans="11:11" ht="15.75" customHeight="1">
      <c r="K321" s="56"/>
    </row>
    <row r="322" spans="11:11" ht="15.75" customHeight="1">
      <c r="K322" s="56"/>
    </row>
    <row r="323" spans="11:11" ht="15.75" customHeight="1">
      <c r="K323" s="56"/>
    </row>
    <row r="324" spans="11:11" ht="15.75" customHeight="1">
      <c r="K324" s="56"/>
    </row>
    <row r="325" spans="11:11" ht="15.75" customHeight="1">
      <c r="K325" s="56"/>
    </row>
    <row r="326" spans="11:11" ht="15.75" customHeight="1">
      <c r="K326" s="56"/>
    </row>
    <row r="327" spans="11:11" ht="15.75" customHeight="1">
      <c r="K327" s="56"/>
    </row>
    <row r="328" spans="11:11" ht="15.75" customHeight="1">
      <c r="K328" s="56"/>
    </row>
    <row r="329" spans="11:11" ht="15.75" customHeight="1">
      <c r="K329" s="56"/>
    </row>
    <row r="330" spans="11:11" ht="15.75" customHeight="1">
      <c r="K330" s="56"/>
    </row>
    <row r="331" spans="11:11" ht="15.75" customHeight="1">
      <c r="K331" s="56"/>
    </row>
    <row r="332" spans="11:11" ht="15.75" customHeight="1">
      <c r="K332" s="56"/>
    </row>
    <row r="333" spans="11:11" ht="15.75" customHeight="1">
      <c r="K333" s="56"/>
    </row>
    <row r="334" spans="11:11" ht="15.75" customHeight="1">
      <c r="K334" s="56"/>
    </row>
    <row r="335" spans="11:11" ht="15.75" customHeight="1">
      <c r="K335" s="56"/>
    </row>
    <row r="336" spans="11:11" ht="15.75" customHeight="1">
      <c r="K336" s="56"/>
    </row>
    <row r="337" spans="11:11" ht="15.75" customHeight="1">
      <c r="K337" s="56"/>
    </row>
    <row r="338" spans="11:11" ht="15.75" customHeight="1">
      <c r="K338" s="56"/>
    </row>
    <row r="339" spans="11:11" ht="15.75" customHeight="1">
      <c r="K339" s="56"/>
    </row>
    <row r="340" spans="11:11" ht="15.75" customHeight="1">
      <c r="K340" s="56"/>
    </row>
    <row r="341" spans="11:11" ht="15.75" customHeight="1">
      <c r="K341" s="56"/>
    </row>
    <row r="342" spans="11:11" ht="15.75" customHeight="1">
      <c r="K342" s="56"/>
    </row>
    <row r="343" spans="11:11" ht="15.75" customHeight="1">
      <c r="K343" s="56"/>
    </row>
    <row r="344" spans="11:11" ht="15.75" customHeight="1">
      <c r="K344" s="56"/>
    </row>
    <row r="345" spans="11:11" ht="15.75" customHeight="1">
      <c r="K345" s="56"/>
    </row>
    <row r="346" spans="11:11" ht="15.75" customHeight="1">
      <c r="K346" s="56"/>
    </row>
    <row r="347" spans="11:11" ht="15.75" customHeight="1">
      <c r="K347" s="56"/>
    </row>
    <row r="348" spans="11:11" ht="15.75" customHeight="1">
      <c r="K348" s="56"/>
    </row>
    <row r="349" spans="11:11" ht="15.75" customHeight="1">
      <c r="K349" s="56"/>
    </row>
    <row r="350" spans="11:11" ht="15.75" customHeight="1">
      <c r="K350" s="56"/>
    </row>
    <row r="351" spans="11:11" ht="15.75" customHeight="1">
      <c r="K351" s="56"/>
    </row>
    <row r="352" spans="11:11" ht="15.75" customHeight="1">
      <c r="K352" s="56"/>
    </row>
    <row r="353" spans="11:11" ht="15.75" customHeight="1">
      <c r="K353" s="56"/>
    </row>
    <row r="354" spans="11:11" ht="15.75" customHeight="1">
      <c r="K354" s="56"/>
    </row>
    <row r="355" spans="11:11" ht="15.75" customHeight="1">
      <c r="K355" s="56"/>
    </row>
    <row r="356" spans="11:11" ht="15.75" customHeight="1">
      <c r="K356" s="56"/>
    </row>
    <row r="357" spans="11:11" ht="15.75" customHeight="1">
      <c r="K357" s="56"/>
    </row>
    <row r="358" spans="11:11" ht="15.75" customHeight="1">
      <c r="K358" s="56"/>
    </row>
    <row r="359" spans="11:11" ht="15.75" customHeight="1">
      <c r="K359" s="56"/>
    </row>
    <row r="360" spans="11:11" ht="15.75" customHeight="1">
      <c r="K360" s="56"/>
    </row>
    <row r="361" spans="11:11" ht="15.75" customHeight="1">
      <c r="K361" s="56"/>
    </row>
    <row r="362" spans="11:11" ht="15.75" customHeight="1">
      <c r="K362" s="56"/>
    </row>
    <row r="363" spans="11:11" ht="15.75" customHeight="1">
      <c r="K363" s="56"/>
    </row>
    <row r="364" spans="11:11" ht="15.75" customHeight="1">
      <c r="K364" s="56"/>
    </row>
    <row r="365" spans="11:11" ht="15.75" customHeight="1">
      <c r="K365" s="56"/>
    </row>
    <row r="366" spans="11:11" ht="15.75" customHeight="1">
      <c r="K366" s="56"/>
    </row>
    <row r="367" spans="11:11" ht="15.75" customHeight="1">
      <c r="K367" s="56"/>
    </row>
    <row r="368" spans="11:11" ht="15.75" customHeight="1">
      <c r="K368" s="56"/>
    </row>
    <row r="369" spans="11:11" ht="15.75" customHeight="1">
      <c r="K369" s="56"/>
    </row>
    <row r="370" spans="11:11" ht="15.75" customHeight="1">
      <c r="K370" s="56"/>
    </row>
    <row r="371" spans="11:11" ht="15.75" customHeight="1">
      <c r="K371" s="56"/>
    </row>
    <row r="372" spans="11:11" ht="15.75" customHeight="1">
      <c r="K372" s="56"/>
    </row>
    <row r="373" spans="11:11" ht="15.75" customHeight="1">
      <c r="K373" s="56"/>
    </row>
    <row r="374" spans="11:11" ht="15.75" customHeight="1">
      <c r="K374" s="56"/>
    </row>
    <row r="375" spans="11:11" ht="15.75" customHeight="1">
      <c r="K375" s="56"/>
    </row>
    <row r="376" spans="11:11" ht="15.75" customHeight="1">
      <c r="K376" s="56"/>
    </row>
    <row r="377" spans="11:11" ht="15.75" customHeight="1">
      <c r="K377" s="56"/>
    </row>
    <row r="378" spans="11:11" ht="15.75" customHeight="1">
      <c r="K378" s="56"/>
    </row>
    <row r="379" spans="11:11" ht="15.75" customHeight="1">
      <c r="K379" s="56"/>
    </row>
    <row r="380" spans="11:11" ht="15.75" customHeight="1">
      <c r="K380" s="56"/>
    </row>
    <row r="381" spans="11:11" ht="15.75" customHeight="1">
      <c r="K381" s="56"/>
    </row>
    <row r="382" spans="11:11" ht="15.75" customHeight="1">
      <c r="K382" s="56"/>
    </row>
    <row r="383" spans="11:11" ht="15.75" customHeight="1">
      <c r="K383" s="56"/>
    </row>
    <row r="384" spans="11:11" ht="15.75" customHeight="1">
      <c r="K384" s="56"/>
    </row>
    <row r="385" spans="11:11" ht="15.75" customHeight="1">
      <c r="K385" s="56"/>
    </row>
    <row r="386" spans="11:11" ht="15.75" customHeight="1">
      <c r="K386" s="56"/>
    </row>
    <row r="387" spans="11:11" ht="15.75" customHeight="1">
      <c r="K387" s="56"/>
    </row>
    <row r="388" spans="11:11" ht="15.75" customHeight="1">
      <c r="K388" s="56"/>
    </row>
    <row r="389" spans="11:11" ht="15.75" customHeight="1">
      <c r="K389" s="56"/>
    </row>
    <row r="390" spans="11:11" ht="15.75" customHeight="1">
      <c r="K390" s="56"/>
    </row>
    <row r="391" spans="11:11" ht="15.75" customHeight="1">
      <c r="K391" s="56"/>
    </row>
    <row r="392" spans="11:11" ht="15.75" customHeight="1">
      <c r="K392" s="56"/>
    </row>
    <row r="393" spans="11:11" ht="15.75" customHeight="1">
      <c r="K393" s="56"/>
    </row>
    <row r="394" spans="11:11" ht="15.75" customHeight="1">
      <c r="K394" s="56"/>
    </row>
    <row r="395" spans="11:11" ht="15.75" customHeight="1">
      <c r="K395" s="56"/>
    </row>
    <row r="396" spans="11:11" ht="15.75" customHeight="1">
      <c r="K396" s="56"/>
    </row>
    <row r="397" spans="11:11" ht="15.75" customHeight="1">
      <c r="K397" s="56"/>
    </row>
    <row r="398" spans="11:11" ht="15.75" customHeight="1">
      <c r="K398" s="56"/>
    </row>
    <row r="399" spans="11:11" ht="15.75" customHeight="1">
      <c r="K399" s="56"/>
    </row>
    <row r="400" spans="11:11" ht="15.75" customHeight="1">
      <c r="K400" s="56"/>
    </row>
    <row r="401" spans="11:11" ht="15.75" customHeight="1">
      <c r="K401" s="56"/>
    </row>
    <row r="402" spans="11:11" ht="15.75" customHeight="1">
      <c r="K402" s="56"/>
    </row>
    <row r="403" spans="11:11" ht="15.75" customHeight="1">
      <c r="K403" s="56"/>
    </row>
    <row r="404" spans="11:11" ht="15.75" customHeight="1">
      <c r="K404" s="56"/>
    </row>
    <row r="405" spans="11:11" ht="15.75" customHeight="1">
      <c r="K405" s="56"/>
    </row>
    <row r="406" spans="11:11" ht="15.75" customHeight="1">
      <c r="K406" s="56"/>
    </row>
    <row r="407" spans="11:11" ht="15.75" customHeight="1">
      <c r="K407" s="56"/>
    </row>
    <row r="408" spans="11:11" ht="15.75" customHeight="1">
      <c r="K408" s="56"/>
    </row>
    <row r="409" spans="11:11" ht="15.75" customHeight="1">
      <c r="K409" s="56"/>
    </row>
    <row r="410" spans="11:11" ht="15.75" customHeight="1">
      <c r="K410" s="56"/>
    </row>
    <row r="411" spans="11:11" ht="15.75" customHeight="1">
      <c r="K411" s="56"/>
    </row>
    <row r="412" spans="11:11" ht="15.75" customHeight="1">
      <c r="K412" s="56"/>
    </row>
    <row r="413" spans="11:11" ht="15.75" customHeight="1">
      <c r="K413" s="56"/>
    </row>
    <row r="414" spans="11:11" ht="15.75" customHeight="1">
      <c r="K414" s="56"/>
    </row>
    <row r="415" spans="11:11" ht="15.75" customHeight="1">
      <c r="K415" s="56"/>
    </row>
    <row r="416" spans="11:11" ht="15.75" customHeight="1">
      <c r="K416" s="56"/>
    </row>
    <row r="417" spans="11:11" ht="15.75" customHeight="1">
      <c r="K417" s="56"/>
    </row>
    <row r="418" spans="11:11" ht="15.75" customHeight="1">
      <c r="K418" s="56"/>
    </row>
    <row r="419" spans="11:11" ht="15.75" customHeight="1">
      <c r="K419" s="56"/>
    </row>
    <row r="420" spans="11:11" ht="15.75" customHeight="1">
      <c r="K420" s="56"/>
    </row>
    <row r="421" spans="11:11" ht="15.75" customHeight="1">
      <c r="K421" s="56"/>
    </row>
    <row r="422" spans="11:11" ht="15.75" customHeight="1">
      <c r="K422" s="56"/>
    </row>
    <row r="423" spans="11:11" ht="15.75" customHeight="1">
      <c r="K423" s="56"/>
    </row>
    <row r="424" spans="11:11" ht="15.75" customHeight="1">
      <c r="K424" s="56"/>
    </row>
    <row r="425" spans="11:11" ht="15.75" customHeight="1">
      <c r="K425" s="56"/>
    </row>
    <row r="426" spans="11:11" ht="15.75" customHeight="1">
      <c r="K426" s="56"/>
    </row>
    <row r="427" spans="11:11" ht="15.75" customHeight="1">
      <c r="K427" s="56"/>
    </row>
    <row r="428" spans="11:11" ht="15.75" customHeight="1">
      <c r="K428" s="56"/>
    </row>
    <row r="429" spans="11:11" ht="15.75" customHeight="1">
      <c r="K429" s="56"/>
    </row>
    <row r="430" spans="11:11" ht="15.75" customHeight="1">
      <c r="K430" s="56"/>
    </row>
    <row r="431" spans="11:11" ht="15.75" customHeight="1">
      <c r="K431" s="56"/>
    </row>
    <row r="432" spans="11:11" ht="15.75" customHeight="1">
      <c r="K432" s="56"/>
    </row>
    <row r="433" spans="11:11" ht="15.75" customHeight="1">
      <c r="K433" s="56"/>
    </row>
    <row r="434" spans="11:11" ht="15.75" customHeight="1">
      <c r="K434" s="56"/>
    </row>
    <row r="435" spans="11:11" ht="15.75" customHeight="1">
      <c r="K435" s="56"/>
    </row>
    <row r="436" spans="11:11" ht="15.75" customHeight="1">
      <c r="K436" s="56"/>
    </row>
    <row r="437" spans="11:11" ht="15.75" customHeight="1">
      <c r="K437" s="56"/>
    </row>
    <row r="438" spans="11:11" ht="15.75" customHeight="1">
      <c r="K438" s="56"/>
    </row>
    <row r="439" spans="11:11" ht="15.75" customHeight="1">
      <c r="K439" s="56"/>
    </row>
    <row r="440" spans="11:11" ht="15.75" customHeight="1">
      <c r="K440" s="56"/>
    </row>
    <row r="441" spans="11:11" ht="15.75" customHeight="1">
      <c r="K441" s="56"/>
    </row>
    <row r="442" spans="11:11" ht="15.75" customHeight="1">
      <c r="K442" s="56"/>
    </row>
    <row r="443" spans="11:11" ht="15.75" customHeight="1">
      <c r="K443" s="56"/>
    </row>
    <row r="444" spans="11:11" ht="15.75" customHeight="1">
      <c r="K444" s="56"/>
    </row>
    <row r="445" spans="11:11" ht="15.75" customHeight="1">
      <c r="K445" s="56"/>
    </row>
    <row r="446" spans="11:11" ht="15.75" customHeight="1">
      <c r="K446" s="56"/>
    </row>
    <row r="447" spans="11:11" ht="15.75" customHeight="1">
      <c r="K447" s="56"/>
    </row>
    <row r="448" spans="11:11" ht="15.75" customHeight="1">
      <c r="K448" s="56"/>
    </row>
    <row r="449" spans="11:11" ht="15.75" customHeight="1">
      <c r="K449" s="56"/>
    </row>
    <row r="450" spans="11:11" ht="15.75" customHeight="1">
      <c r="K450" s="56"/>
    </row>
    <row r="451" spans="11:11" ht="15.75" customHeight="1">
      <c r="K451" s="56"/>
    </row>
    <row r="452" spans="11:11" ht="15.75" customHeight="1">
      <c r="K452" s="56"/>
    </row>
    <row r="453" spans="11:11" ht="15.75" customHeight="1">
      <c r="K453" s="56"/>
    </row>
    <row r="454" spans="11:11" ht="15.75" customHeight="1">
      <c r="K454" s="56"/>
    </row>
    <row r="455" spans="11:11" ht="15.75" customHeight="1">
      <c r="K455" s="56"/>
    </row>
    <row r="456" spans="11:11" ht="15.75" customHeight="1">
      <c r="K456" s="56"/>
    </row>
    <row r="457" spans="11:11" ht="15.75" customHeight="1">
      <c r="K457" s="56"/>
    </row>
    <row r="458" spans="11:11" ht="15.75" customHeight="1">
      <c r="K458" s="56"/>
    </row>
    <row r="459" spans="11:11" ht="15.75" customHeight="1">
      <c r="K459" s="56"/>
    </row>
    <row r="460" spans="11:11" ht="15.75" customHeight="1">
      <c r="K460" s="56"/>
    </row>
    <row r="461" spans="11:11" ht="15.75" customHeight="1">
      <c r="K461" s="56"/>
    </row>
    <row r="462" spans="11:11" ht="15.75" customHeight="1">
      <c r="K462" s="56"/>
    </row>
    <row r="463" spans="11:11" ht="15.75" customHeight="1">
      <c r="K463" s="56"/>
    </row>
    <row r="464" spans="11:11" ht="15.75" customHeight="1">
      <c r="K464" s="56"/>
    </row>
    <row r="465" spans="11:11" ht="15.75" customHeight="1">
      <c r="K465" s="56"/>
    </row>
    <row r="466" spans="11:11" ht="15.75" customHeight="1">
      <c r="K466" s="56"/>
    </row>
    <row r="467" spans="11:11" ht="15.75" customHeight="1">
      <c r="K467" s="56"/>
    </row>
    <row r="468" spans="11:11" ht="15.75" customHeight="1">
      <c r="K468" s="56"/>
    </row>
    <row r="469" spans="11:11" ht="15.75" customHeight="1">
      <c r="K469" s="56"/>
    </row>
    <row r="470" spans="11:11" ht="15.75" customHeight="1">
      <c r="K470" s="56"/>
    </row>
    <row r="471" spans="11:11" ht="15.75" customHeight="1">
      <c r="K471" s="56"/>
    </row>
    <row r="472" spans="11:11" ht="15.75" customHeight="1">
      <c r="K472" s="56"/>
    </row>
    <row r="473" spans="11:11" ht="15.75" customHeight="1">
      <c r="K473" s="56"/>
    </row>
    <row r="474" spans="11:11" ht="15.75" customHeight="1">
      <c r="K474" s="56"/>
    </row>
    <row r="475" spans="11:11" ht="15.75" customHeight="1">
      <c r="K475" s="56"/>
    </row>
    <row r="476" spans="11:11" ht="15.75" customHeight="1">
      <c r="K476" s="56"/>
    </row>
    <row r="477" spans="11:11" ht="15.75" customHeight="1">
      <c r="K477" s="56"/>
    </row>
    <row r="478" spans="11:11" ht="15.75" customHeight="1">
      <c r="K478" s="56"/>
    </row>
    <row r="479" spans="11:11" ht="15.75" customHeight="1">
      <c r="K479" s="56"/>
    </row>
    <row r="480" spans="11:11" ht="15.75" customHeight="1">
      <c r="K480" s="56"/>
    </row>
    <row r="481" spans="11:11" ht="15.75" customHeight="1">
      <c r="K481" s="56"/>
    </row>
    <row r="482" spans="11:11" ht="15.75" customHeight="1">
      <c r="K482" s="56"/>
    </row>
    <row r="483" spans="11:11" ht="15.75" customHeight="1">
      <c r="K483" s="56"/>
    </row>
    <row r="484" spans="11:11" ht="15.75" customHeight="1">
      <c r="K484" s="56"/>
    </row>
    <row r="485" spans="11:11" ht="15.75" customHeight="1">
      <c r="K485" s="56"/>
    </row>
    <row r="486" spans="11:11" ht="15.75" customHeight="1">
      <c r="K486" s="56"/>
    </row>
    <row r="487" spans="11:11" ht="15.75" customHeight="1">
      <c r="K487" s="56"/>
    </row>
    <row r="488" spans="11:11" ht="15.75" customHeight="1">
      <c r="K488" s="56"/>
    </row>
    <row r="489" spans="11:11" ht="15.75" customHeight="1">
      <c r="K489" s="56"/>
    </row>
    <row r="490" spans="11:11" ht="15.75" customHeight="1">
      <c r="K490" s="56"/>
    </row>
    <row r="491" spans="11:11" ht="15.75" customHeight="1">
      <c r="K491" s="56"/>
    </row>
    <row r="492" spans="11:11" ht="15.75" customHeight="1">
      <c r="K492" s="56"/>
    </row>
    <row r="493" spans="11:11" ht="15.75" customHeight="1">
      <c r="K493" s="56"/>
    </row>
    <row r="494" spans="11:11" ht="15.75" customHeight="1">
      <c r="K494" s="56"/>
    </row>
    <row r="495" spans="11:11" ht="15.75" customHeight="1">
      <c r="K495" s="56"/>
    </row>
    <row r="496" spans="11:11" ht="15.75" customHeight="1">
      <c r="K496" s="56"/>
    </row>
    <row r="497" spans="11:11" ht="15.75" customHeight="1">
      <c r="K497" s="56"/>
    </row>
    <row r="498" spans="11:11" ht="15.75" customHeight="1">
      <c r="K498" s="56"/>
    </row>
    <row r="499" spans="11:11" ht="15.75" customHeight="1">
      <c r="K499" s="56"/>
    </row>
    <row r="500" spans="11:11" ht="15.75" customHeight="1">
      <c r="K500" s="56"/>
    </row>
    <row r="501" spans="11:11" ht="15.75" customHeight="1">
      <c r="K501" s="56"/>
    </row>
    <row r="502" spans="11:11" ht="15.75" customHeight="1">
      <c r="K502" s="56"/>
    </row>
    <row r="503" spans="11:11" ht="15.75" customHeight="1">
      <c r="K503" s="56"/>
    </row>
    <row r="504" spans="11:11" ht="15.75" customHeight="1">
      <c r="K504" s="56"/>
    </row>
    <row r="505" spans="11:11" ht="15.75" customHeight="1">
      <c r="K505" s="56"/>
    </row>
    <row r="506" spans="11:11" ht="15.75" customHeight="1">
      <c r="K506" s="56"/>
    </row>
    <row r="507" spans="11:11" ht="15.75" customHeight="1">
      <c r="K507" s="56"/>
    </row>
    <row r="508" spans="11:11" ht="15.75" customHeight="1">
      <c r="K508" s="56"/>
    </row>
    <row r="509" spans="11:11" ht="15.75" customHeight="1">
      <c r="K509" s="56"/>
    </row>
    <row r="510" spans="11:11" ht="15.75" customHeight="1">
      <c r="K510" s="56"/>
    </row>
    <row r="511" spans="11:11" ht="15.75" customHeight="1">
      <c r="K511" s="56"/>
    </row>
    <row r="512" spans="11:11" ht="15.75" customHeight="1">
      <c r="K512" s="56"/>
    </row>
    <row r="513" spans="11:11" ht="15.75" customHeight="1">
      <c r="K513" s="56"/>
    </row>
    <row r="514" spans="11:11" ht="15.75" customHeight="1">
      <c r="K514" s="56"/>
    </row>
    <row r="515" spans="11:11" ht="15.75" customHeight="1">
      <c r="K515" s="56"/>
    </row>
    <row r="516" spans="11:11" ht="15.75" customHeight="1">
      <c r="K516" s="56"/>
    </row>
    <row r="517" spans="11:11" ht="15.75" customHeight="1">
      <c r="K517" s="56"/>
    </row>
    <row r="518" spans="11:11" ht="15.75" customHeight="1">
      <c r="K518" s="56"/>
    </row>
    <row r="519" spans="11:11" ht="15.75" customHeight="1">
      <c r="K519" s="56"/>
    </row>
    <row r="520" spans="11:11" ht="15.75" customHeight="1">
      <c r="K520" s="56"/>
    </row>
    <row r="521" spans="11:11" ht="15.75" customHeight="1">
      <c r="K521" s="56"/>
    </row>
    <row r="522" spans="11:11" ht="15.75" customHeight="1">
      <c r="K522" s="56"/>
    </row>
    <row r="523" spans="11:11" ht="15.75" customHeight="1">
      <c r="K523" s="56"/>
    </row>
    <row r="524" spans="11:11" ht="15.75" customHeight="1">
      <c r="K524" s="56"/>
    </row>
    <row r="525" spans="11:11" ht="15.75" customHeight="1">
      <c r="K525" s="56"/>
    </row>
    <row r="526" spans="11:11" ht="15.75" customHeight="1">
      <c r="K526" s="56"/>
    </row>
    <row r="527" spans="11:11" ht="15.75" customHeight="1">
      <c r="K527" s="56"/>
    </row>
    <row r="528" spans="11:11" ht="15.75" customHeight="1">
      <c r="K528" s="56"/>
    </row>
    <row r="529" spans="11:11" ht="15.75" customHeight="1">
      <c r="K529" s="56"/>
    </row>
    <row r="530" spans="11:11" ht="15.75" customHeight="1">
      <c r="K530" s="56"/>
    </row>
    <row r="531" spans="11:11" ht="15.75" customHeight="1">
      <c r="K531" s="56"/>
    </row>
    <row r="532" spans="11:11" ht="15.75" customHeight="1">
      <c r="K532" s="56"/>
    </row>
    <row r="533" spans="11:11" ht="15.75" customHeight="1">
      <c r="K533" s="56"/>
    </row>
    <row r="534" spans="11:11" ht="15.75" customHeight="1">
      <c r="K534" s="56"/>
    </row>
    <row r="535" spans="11:11" ht="15.75" customHeight="1">
      <c r="K535" s="56"/>
    </row>
    <row r="536" spans="11:11" ht="15.75" customHeight="1">
      <c r="K536" s="56"/>
    </row>
    <row r="537" spans="11:11" ht="15.75" customHeight="1">
      <c r="K537" s="56"/>
    </row>
    <row r="538" spans="11:11" ht="15.75" customHeight="1">
      <c r="K538" s="56"/>
    </row>
    <row r="539" spans="11:11" ht="15.75" customHeight="1">
      <c r="K539" s="56"/>
    </row>
    <row r="540" spans="11:11" ht="15.75" customHeight="1">
      <c r="K540" s="56"/>
    </row>
    <row r="541" spans="11:11" ht="15.75" customHeight="1">
      <c r="K541" s="56"/>
    </row>
    <row r="542" spans="11:11" ht="15.75" customHeight="1">
      <c r="K542" s="56"/>
    </row>
    <row r="543" spans="11:11" ht="15.75" customHeight="1">
      <c r="K543" s="56"/>
    </row>
    <row r="544" spans="11:11" ht="15.75" customHeight="1">
      <c r="K544" s="56"/>
    </row>
    <row r="545" spans="11:11" ht="15.75" customHeight="1">
      <c r="K545" s="56"/>
    </row>
    <row r="546" spans="11:11" ht="15.75" customHeight="1">
      <c r="K546" s="56"/>
    </row>
    <row r="547" spans="11:11" ht="15.75" customHeight="1">
      <c r="K547" s="56"/>
    </row>
    <row r="548" spans="11:11" ht="15.75" customHeight="1">
      <c r="K548" s="56"/>
    </row>
    <row r="549" spans="11:11" ht="15.75" customHeight="1">
      <c r="K549" s="56"/>
    </row>
    <row r="550" spans="11:11" ht="15.75" customHeight="1">
      <c r="K550" s="56"/>
    </row>
    <row r="551" spans="11:11" ht="15.75" customHeight="1">
      <c r="K551" s="56"/>
    </row>
    <row r="552" spans="11:11" ht="15.75" customHeight="1">
      <c r="K552" s="56"/>
    </row>
    <row r="553" spans="11:11" ht="15.75" customHeight="1">
      <c r="K553" s="56"/>
    </row>
    <row r="554" spans="11:11" ht="15.75" customHeight="1">
      <c r="K554" s="56"/>
    </row>
    <row r="555" spans="11:11" ht="15.75" customHeight="1">
      <c r="K555" s="56"/>
    </row>
    <row r="556" spans="11:11" ht="15.75" customHeight="1">
      <c r="K556" s="56"/>
    </row>
    <row r="557" spans="11:11" ht="15.75" customHeight="1">
      <c r="K557" s="56"/>
    </row>
    <row r="558" spans="11:11" ht="15.75" customHeight="1">
      <c r="K558" s="56"/>
    </row>
    <row r="559" spans="11:11" ht="15.75" customHeight="1">
      <c r="K559" s="56"/>
    </row>
    <row r="560" spans="11:11" ht="15.75" customHeight="1">
      <c r="K560" s="56"/>
    </row>
    <row r="561" spans="11:11" ht="15.75" customHeight="1">
      <c r="K561" s="56"/>
    </row>
    <row r="562" spans="11:11" ht="15.75" customHeight="1">
      <c r="K562" s="56"/>
    </row>
    <row r="563" spans="11:11" ht="15.75" customHeight="1">
      <c r="K563" s="56"/>
    </row>
    <row r="564" spans="11:11" ht="15.75" customHeight="1">
      <c r="K564" s="56"/>
    </row>
    <row r="565" spans="11:11" ht="15.75" customHeight="1">
      <c r="K565" s="56"/>
    </row>
    <row r="566" spans="11:11" ht="15.75" customHeight="1">
      <c r="K566" s="56"/>
    </row>
    <row r="567" spans="11:11" ht="15.75" customHeight="1">
      <c r="K567" s="56"/>
    </row>
    <row r="568" spans="11:11" ht="15.75" customHeight="1">
      <c r="K568" s="56"/>
    </row>
    <row r="569" spans="11:11" ht="15.75" customHeight="1">
      <c r="K569" s="56"/>
    </row>
    <row r="570" spans="11:11" ht="15.75" customHeight="1">
      <c r="K570" s="56"/>
    </row>
    <row r="571" spans="11:11" ht="15.75" customHeight="1">
      <c r="K571" s="56"/>
    </row>
    <row r="572" spans="11:11" ht="15.75" customHeight="1">
      <c r="K572" s="56"/>
    </row>
    <row r="573" spans="11:11" ht="15.75" customHeight="1">
      <c r="K573" s="56"/>
    </row>
    <row r="574" spans="11:11" ht="15.75" customHeight="1">
      <c r="K574" s="56"/>
    </row>
    <row r="575" spans="11:11" ht="15.75" customHeight="1">
      <c r="K575" s="56"/>
    </row>
    <row r="576" spans="11:11" ht="15.75" customHeight="1">
      <c r="K576" s="56"/>
    </row>
    <row r="577" spans="11:11" ht="15.75" customHeight="1">
      <c r="K577" s="56"/>
    </row>
    <row r="578" spans="11:11" ht="15.75" customHeight="1">
      <c r="K578" s="56"/>
    </row>
    <row r="579" spans="11:11" ht="15.75" customHeight="1">
      <c r="K579" s="56"/>
    </row>
    <row r="580" spans="11:11" ht="15.75" customHeight="1">
      <c r="K580" s="56"/>
    </row>
    <row r="581" spans="11:11" ht="15.75" customHeight="1">
      <c r="K581" s="56"/>
    </row>
    <row r="582" spans="11:11" ht="15.75" customHeight="1">
      <c r="K582" s="56"/>
    </row>
    <row r="583" spans="11:11" ht="15.75" customHeight="1">
      <c r="K583" s="56"/>
    </row>
    <row r="584" spans="11:11" ht="15.75" customHeight="1">
      <c r="K584" s="56"/>
    </row>
    <row r="585" spans="11:11" ht="15.75" customHeight="1">
      <c r="K585" s="56"/>
    </row>
    <row r="586" spans="11:11" ht="15.75" customHeight="1">
      <c r="K586" s="56"/>
    </row>
    <row r="587" spans="11:11" ht="15.75" customHeight="1">
      <c r="K587" s="56"/>
    </row>
    <row r="588" spans="11:11" ht="15.75" customHeight="1">
      <c r="K588" s="56"/>
    </row>
    <row r="589" spans="11:11" ht="15.75" customHeight="1">
      <c r="K589" s="56"/>
    </row>
    <row r="590" spans="11:11" ht="15.75" customHeight="1">
      <c r="K590" s="56"/>
    </row>
    <row r="591" spans="11:11" ht="15.75" customHeight="1">
      <c r="K591" s="56"/>
    </row>
    <row r="592" spans="11:11" ht="15.75" customHeight="1">
      <c r="K592" s="56"/>
    </row>
    <row r="593" spans="11:11" ht="15.75" customHeight="1">
      <c r="K593" s="56"/>
    </row>
    <row r="594" spans="11:11" ht="15.75" customHeight="1">
      <c r="K594" s="56"/>
    </row>
    <row r="595" spans="11:11" ht="15.75" customHeight="1">
      <c r="K595" s="56"/>
    </row>
    <row r="596" spans="11:11" ht="15.75" customHeight="1">
      <c r="K596" s="56"/>
    </row>
    <row r="597" spans="11:11" ht="15.75" customHeight="1">
      <c r="K597" s="56"/>
    </row>
    <row r="598" spans="11:11" ht="15.75" customHeight="1">
      <c r="K598" s="56"/>
    </row>
    <row r="599" spans="11:11" ht="15.75" customHeight="1">
      <c r="K599" s="56"/>
    </row>
    <row r="600" spans="11:11" ht="15.75" customHeight="1">
      <c r="K600" s="56"/>
    </row>
    <row r="601" spans="11:11" ht="15.75" customHeight="1">
      <c r="K601" s="56"/>
    </row>
    <row r="602" spans="11:11" ht="15.75" customHeight="1">
      <c r="K602" s="56"/>
    </row>
    <row r="603" spans="11:11" ht="15.75" customHeight="1">
      <c r="K603" s="56"/>
    </row>
    <row r="604" spans="11:11" ht="15.75" customHeight="1">
      <c r="K604" s="56"/>
    </row>
    <row r="605" spans="11:11" ht="15.75" customHeight="1">
      <c r="K605" s="56"/>
    </row>
    <row r="606" spans="11:11" ht="15.75" customHeight="1">
      <c r="K606" s="56"/>
    </row>
    <row r="607" spans="11:11" ht="15.75" customHeight="1">
      <c r="K607" s="56"/>
    </row>
    <row r="608" spans="11:11" ht="15.75" customHeight="1">
      <c r="K608" s="56"/>
    </row>
    <row r="609" spans="11:11" ht="15.75" customHeight="1">
      <c r="K609" s="56"/>
    </row>
    <row r="610" spans="11:11" ht="15.75" customHeight="1">
      <c r="K610" s="56"/>
    </row>
    <row r="611" spans="11:11" ht="15.75" customHeight="1">
      <c r="K611" s="56"/>
    </row>
    <row r="612" spans="11:11" ht="15.75" customHeight="1">
      <c r="K612" s="56"/>
    </row>
    <row r="613" spans="11:11" ht="15.75" customHeight="1">
      <c r="K613" s="56"/>
    </row>
    <row r="614" spans="11:11" ht="15.75" customHeight="1">
      <c r="K614" s="56"/>
    </row>
    <row r="615" spans="11:11" ht="15.75" customHeight="1">
      <c r="K615" s="56"/>
    </row>
    <row r="616" spans="11:11" ht="15.75" customHeight="1">
      <c r="K616" s="56"/>
    </row>
    <row r="617" spans="11:11" ht="15.75" customHeight="1">
      <c r="K617" s="56"/>
    </row>
    <row r="618" spans="11:11" ht="15.75" customHeight="1">
      <c r="K618" s="56"/>
    </row>
    <row r="619" spans="11:11" ht="15.75" customHeight="1">
      <c r="K619" s="56"/>
    </row>
    <row r="620" spans="11:11" ht="15.75" customHeight="1">
      <c r="K620" s="56"/>
    </row>
    <row r="621" spans="11:11" ht="15.75" customHeight="1">
      <c r="K621" s="56"/>
    </row>
    <row r="622" spans="11:11" ht="15.75" customHeight="1">
      <c r="K622" s="56"/>
    </row>
    <row r="623" spans="11:11" ht="15.75" customHeight="1">
      <c r="K623" s="56"/>
    </row>
    <row r="624" spans="11:11" ht="15.75" customHeight="1">
      <c r="K624" s="56"/>
    </row>
    <row r="625" spans="11:11" ht="15.75" customHeight="1">
      <c r="K625" s="56"/>
    </row>
    <row r="626" spans="11:11" ht="15.75" customHeight="1">
      <c r="K626" s="56"/>
    </row>
    <row r="627" spans="11:11" ht="15.75" customHeight="1">
      <c r="K627" s="56"/>
    </row>
    <row r="628" spans="11:11" ht="15.75" customHeight="1">
      <c r="K628" s="56"/>
    </row>
    <row r="629" spans="11:11" ht="15.75" customHeight="1">
      <c r="K629" s="56"/>
    </row>
    <row r="630" spans="11:11" ht="15.75" customHeight="1">
      <c r="K630" s="56"/>
    </row>
    <row r="631" spans="11:11" ht="15.75" customHeight="1">
      <c r="K631" s="56"/>
    </row>
    <row r="632" spans="11:11" ht="15.75" customHeight="1">
      <c r="K632" s="56"/>
    </row>
    <row r="633" spans="11:11" ht="15.75" customHeight="1">
      <c r="K633" s="56"/>
    </row>
    <row r="634" spans="11:11" ht="15.75" customHeight="1">
      <c r="K634" s="56"/>
    </row>
    <row r="635" spans="11:11" ht="15.75" customHeight="1">
      <c r="K635" s="56"/>
    </row>
    <row r="636" spans="11:11" ht="15.75" customHeight="1">
      <c r="K636" s="56"/>
    </row>
    <row r="637" spans="11:11" ht="15.75" customHeight="1">
      <c r="K637" s="56"/>
    </row>
    <row r="638" spans="11:11" ht="15.75" customHeight="1">
      <c r="K638" s="56"/>
    </row>
    <row r="639" spans="11:11" ht="15.75" customHeight="1">
      <c r="K639" s="56"/>
    </row>
    <row r="640" spans="11:11" ht="15.75" customHeight="1">
      <c r="K640" s="56"/>
    </row>
    <row r="641" spans="11:11" ht="15.75" customHeight="1">
      <c r="K641" s="56"/>
    </row>
    <row r="642" spans="11:11" ht="15.75" customHeight="1">
      <c r="K642" s="56"/>
    </row>
    <row r="643" spans="11:11" ht="15.75" customHeight="1">
      <c r="K643" s="56"/>
    </row>
    <row r="644" spans="11:11" ht="15.75" customHeight="1">
      <c r="K644" s="56"/>
    </row>
    <row r="645" spans="11:11" ht="15.75" customHeight="1">
      <c r="K645" s="56"/>
    </row>
    <row r="646" spans="11:11" ht="15.75" customHeight="1">
      <c r="K646" s="56"/>
    </row>
    <row r="647" spans="11:11" ht="15.75" customHeight="1">
      <c r="K647" s="56"/>
    </row>
    <row r="648" spans="11:11" ht="15.75" customHeight="1">
      <c r="K648" s="56"/>
    </row>
    <row r="649" spans="11:11" ht="15.75" customHeight="1">
      <c r="K649" s="56"/>
    </row>
    <row r="650" spans="11:11" ht="15.75" customHeight="1">
      <c r="K650" s="56"/>
    </row>
    <row r="651" spans="11:11" ht="15.75" customHeight="1">
      <c r="K651" s="56"/>
    </row>
    <row r="652" spans="11:11" ht="15.75" customHeight="1">
      <c r="K652" s="56"/>
    </row>
    <row r="653" spans="11:11" ht="15.75" customHeight="1">
      <c r="K653" s="56"/>
    </row>
    <row r="654" spans="11:11" ht="15.75" customHeight="1">
      <c r="K654" s="56"/>
    </row>
    <row r="655" spans="11:11" ht="15.75" customHeight="1">
      <c r="K655" s="56"/>
    </row>
    <row r="656" spans="11:11" ht="15.75" customHeight="1">
      <c r="K656" s="56"/>
    </row>
    <row r="657" spans="11:11" ht="15.75" customHeight="1">
      <c r="K657" s="56"/>
    </row>
    <row r="658" spans="11:11" ht="15.75" customHeight="1">
      <c r="K658" s="56"/>
    </row>
    <row r="659" spans="11:11" ht="15.75" customHeight="1">
      <c r="K659" s="56"/>
    </row>
    <row r="660" spans="11:11" ht="15.75" customHeight="1">
      <c r="K660" s="56"/>
    </row>
    <row r="661" spans="11:11" ht="15.75" customHeight="1">
      <c r="K661" s="56"/>
    </row>
    <row r="662" spans="11:11" ht="15.75" customHeight="1">
      <c r="K662" s="56"/>
    </row>
    <row r="663" spans="11:11" ht="15.75" customHeight="1">
      <c r="K663" s="56"/>
    </row>
    <row r="664" spans="11:11" ht="15.75" customHeight="1">
      <c r="K664" s="56"/>
    </row>
    <row r="665" spans="11:11" ht="15.75" customHeight="1">
      <c r="K665" s="56"/>
    </row>
    <row r="666" spans="11:11" ht="15.75" customHeight="1">
      <c r="K666" s="56"/>
    </row>
    <row r="667" spans="11:11" ht="15.75" customHeight="1">
      <c r="K667" s="56"/>
    </row>
    <row r="668" spans="11:11" ht="15.75" customHeight="1">
      <c r="K668" s="56"/>
    </row>
    <row r="669" spans="11:11" ht="15.75" customHeight="1">
      <c r="K669" s="56"/>
    </row>
    <row r="670" spans="11:11" ht="15.75" customHeight="1">
      <c r="K670" s="56"/>
    </row>
    <row r="671" spans="11:11" ht="15.75" customHeight="1">
      <c r="K671" s="56"/>
    </row>
    <row r="672" spans="11:11" ht="15.75" customHeight="1">
      <c r="K672" s="56"/>
    </row>
    <row r="673" spans="11:11" ht="15.75" customHeight="1">
      <c r="K673" s="56"/>
    </row>
    <row r="674" spans="11:11" ht="15.75" customHeight="1">
      <c r="K674" s="56"/>
    </row>
    <row r="675" spans="11:11" ht="15.75" customHeight="1">
      <c r="K675" s="56"/>
    </row>
    <row r="676" spans="11:11" ht="15.75" customHeight="1">
      <c r="K676" s="56"/>
    </row>
    <row r="677" spans="11:11" ht="15.75" customHeight="1">
      <c r="K677" s="56"/>
    </row>
    <row r="678" spans="11:11" ht="15.75" customHeight="1">
      <c r="K678" s="56"/>
    </row>
    <row r="679" spans="11:11" ht="15.75" customHeight="1">
      <c r="K679" s="56"/>
    </row>
    <row r="680" spans="11:11" ht="15.75" customHeight="1">
      <c r="K680" s="56"/>
    </row>
    <row r="681" spans="11:11" ht="15.75" customHeight="1">
      <c r="K681" s="56"/>
    </row>
    <row r="682" spans="11:11" ht="15.75" customHeight="1">
      <c r="K682" s="56"/>
    </row>
    <row r="683" spans="11:11" ht="15.75" customHeight="1">
      <c r="K683" s="56"/>
    </row>
    <row r="684" spans="11:11" ht="15.75" customHeight="1">
      <c r="K684" s="56"/>
    </row>
    <row r="685" spans="11:11" ht="15.75" customHeight="1">
      <c r="K685" s="56"/>
    </row>
    <row r="686" spans="11:11" ht="15.75" customHeight="1">
      <c r="K686" s="56"/>
    </row>
    <row r="687" spans="11:11" ht="15.75" customHeight="1">
      <c r="K687" s="56"/>
    </row>
    <row r="688" spans="11:11" ht="15.75" customHeight="1">
      <c r="K688" s="56"/>
    </row>
    <row r="689" spans="11:11" ht="15.75" customHeight="1">
      <c r="K689" s="56"/>
    </row>
    <row r="690" spans="11:11" ht="15.75" customHeight="1">
      <c r="K690" s="56"/>
    </row>
    <row r="691" spans="11:11" ht="15.75" customHeight="1">
      <c r="K691" s="56"/>
    </row>
    <row r="692" spans="11:11" ht="15.75" customHeight="1">
      <c r="K692" s="56"/>
    </row>
    <row r="693" spans="11:11" ht="15.75" customHeight="1">
      <c r="K693" s="56"/>
    </row>
    <row r="694" spans="11:11" ht="15.75" customHeight="1">
      <c r="K694" s="56"/>
    </row>
    <row r="695" spans="11:11" ht="15.75" customHeight="1">
      <c r="K695" s="56"/>
    </row>
    <row r="696" spans="11:11" ht="15.75" customHeight="1">
      <c r="K696" s="56"/>
    </row>
    <row r="697" spans="11:11" ht="15.75" customHeight="1">
      <c r="K697" s="56"/>
    </row>
    <row r="698" spans="11:11" ht="15.75" customHeight="1">
      <c r="K698" s="56"/>
    </row>
    <row r="699" spans="11:11" ht="15.75" customHeight="1">
      <c r="K699" s="56"/>
    </row>
    <row r="700" spans="11:11" ht="15.75" customHeight="1">
      <c r="K700" s="56"/>
    </row>
    <row r="701" spans="11:11" ht="15.75" customHeight="1">
      <c r="K701" s="56"/>
    </row>
    <row r="702" spans="11:11" ht="15.75" customHeight="1">
      <c r="K702" s="56"/>
    </row>
    <row r="703" spans="11:11" ht="15.75" customHeight="1">
      <c r="K703" s="56"/>
    </row>
    <row r="704" spans="11:11" ht="15.75" customHeight="1">
      <c r="K704" s="56"/>
    </row>
    <row r="705" spans="11:11" ht="15.75" customHeight="1">
      <c r="K705" s="56"/>
    </row>
    <row r="706" spans="11:11" ht="15.75" customHeight="1">
      <c r="K706" s="56"/>
    </row>
    <row r="707" spans="11:11" ht="15.75" customHeight="1">
      <c r="K707" s="56"/>
    </row>
    <row r="708" spans="11:11" ht="15.75" customHeight="1">
      <c r="K708" s="56"/>
    </row>
    <row r="709" spans="11:11" ht="15.75" customHeight="1">
      <c r="K709" s="56"/>
    </row>
    <row r="710" spans="11:11" ht="15.75" customHeight="1">
      <c r="K710" s="56"/>
    </row>
    <row r="711" spans="11:11" ht="15.75" customHeight="1">
      <c r="K711" s="56"/>
    </row>
    <row r="712" spans="11:11" ht="15.75" customHeight="1">
      <c r="K712" s="56"/>
    </row>
    <row r="713" spans="11:11" ht="15.75" customHeight="1">
      <c r="K713" s="56"/>
    </row>
    <row r="714" spans="11:11" ht="15.75" customHeight="1">
      <c r="K714" s="56"/>
    </row>
    <row r="715" spans="11:11" ht="15.75" customHeight="1">
      <c r="K715" s="56"/>
    </row>
    <row r="716" spans="11:11" ht="15.75" customHeight="1">
      <c r="K716" s="56"/>
    </row>
    <row r="717" spans="11:11" ht="15.75" customHeight="1">
      <c r="K717" s="56"/>
    </row>
    <row r="718" spans="11:11" ht="15.75" customHeight="1">
      <c r="K718" s="56"/>
    </row>
    <row r="719" spans="11:11" ht="15.75" customHeight="1">
      <c r="K719" s="56"/>
    </row>
    <row r="720" spans="11:11" ht="15.75" customHeight="1">
      <c r="K720" s="56"/>
    </row>
    <row r="721" spans="11:11" ht="15.75" customHeight="1">
      <c r="K721" s="56"/>
    </row>
    <row r="722" spans="11:11" ht="15.75" customHeight="1">
      <c r="K722" s="56"/>
    </row>
    <row r="723" spans="11:11" ht="15.75" customHeight="1">
      <c r="K723" s="56"/>
    </row>
    <row r="724" spans="11:11" ht="15.75" customHeight="1">
      <c r="K724" s="56"/>
    </row>
    <row r="725" spans="11:11" ht="15.75" customHeight="1">
      <c r="K725" s="56"/>
    </row>
    <row r="726" spans="11:11" ht="15.75" customHeight="1">
      <c r="K726" s="56"/>
    </row>
    <row r="727" spans="11:11" ht="15.75" customHeight="1">
      <c r="K727" s="56"/>
    </row>
    <row r="728" spans="11:11" ht="15.75" customHeight="1">
      <c r="K728" s="56"/>
    </row>
    <row r="729" spans="11:11" ht="15.75" customHeight="1">
      <c r="K729" s="56"/>
    </row>
    <row r="730" spans="11:11" ht="15.75" customHeight="1">
      <c r="K730" s="56"/>
    </row>
    <row r="731" spans="11:11" ht="15.75" customHeight="1">
      <c r="K731" s="56"/>
    </row>
    <row r="732" spans="11:11" ht="15.75" customHeight="1">
      <c r="K732" s="56"/>
    </row>
    <row r="733" spans="11:11" ht="15.75" customHeight="1">
      <c r="K733" s="56"/>
    </row>
    <row r="734" spans="11:11" ht="15.75" customHeight="1">
      <c r="K734" s="56"/>
    </row>
    <row r="735" spans="11:11" ht="15.75" customHeight="1">
      <c r="K735" s="56"/>
    </row>
    <row r="736" spans="11:11" ht="15.75" customHeight="1">
      <c r="K736" s="56"/>
    </row>
    <row r="737" spans="11:11" ht="15.75" customHeight="1">
      <c r="K737" s="56"/>
    </row>
    <row r="738" spans="11:11" ht="15.75" customHeight="1">
      <c r="K738" s="56"/>
    </row>
    <row r="739" spans="11:11" ht="15.75" customHeight="1">
      <c r="K739" s="56"/>
    </row>
    <row r="740" spans="11:11" ht="15.75" customHeight="1">
      <c r="K740" s="56"/>
    </row>
    <row r="741" spans="11:11" ht="15.75" customHeight="1">
      <c r="K741" s="56"/>
    </row>
    <row r="742" spans="11:11" ht="15.75" customHeight="1">
      <c r="K742" s="56"/>
    </row>
    <row r="743" spans="11:11" ht="15.75" customHeight="1">
      <c r="K743" s="56"/>
    </row>
    <row r="744" spans="11:11" ht="15.75" customHeight="1">
      <c r="K744" s="56"/>
    </row>
    <row r="745" spans="11:11" ht="15.75" customHeight="1">
      <c r="K745" s="56"/>
    </row>
    <row r="746" spans="11:11" ht="15.75" customHeight="1">
      <c r="K746" s="56"/>
    </row>
    <row r="747" spans="11:11" ht="15.75" customHeight="1">
      <c r="K747" s="56"/>
    </row>
    <row r="748" spans="11:11" ht="15.75" customHeight="1">
      <c r="K748" s="56"/>
    </row>
    <row r="749" spans="11:11" ht="15.75" customHeight="1">
      <c r="K749" s="56"/>
    </row>
    <row r="750" spans="11:11" ht="15.75" customHeight="1">
      <c r="K750" s="56"/>
    </row>
    <row r="751" spans="11:11" ht="15.75" customHeight="1">
      <c r="K751" s="56"/>
    </row>
    <row r="752" spans="11:11" ht="15.75" customHeight="1">
      <c r="K752" s="56"/>
    </row>
    <row r="753" spans="11:11" ht="15.75" customHeight="1">
      <c r="K753" s="56"/>
    </row>
    <row r="754" spans="11:11" ht="15.75" customHeight="1">
      <c r="K754" s="56"/>
    </row>
    <row r="755" spans="11:11" ht="15.75" customHeight="1">
      <c r="K755" s="56"/>
    </row>
    <row r="756" spans="11:11" ht="15.75" customHeight="1">
      <c r="K756" s="56"/>
    </row>
    <row r="757" spans="11:11" ht="15.75" customHeight="1">
      <c r="K757" s="56"/>
    </row>
    <row r="758" spans="11:11" ht="15.75" customHeight="1">
      <c r="K758" s="56"/>
    </row>
    <row r="759" spans="11:11" ht="15.75" customHeight="1">
      <c r="K759" s="56"/>
    </row>
    <row r="760" spans="11:11" ht="15.75" customHeight="1">
      <c r="K760" s="56"/>
    </row>
    <row r="761" spans="11:11" ht="15.75" customHeight="1">
      <c r="K761" s="56"/>
    </row>
    <row r="762" spans="11:11" ht="15.75" customHeight="1">
      <c r="K762" s="56"/>
    </row>
    <row r="763" spans="11:11" ht="15.75" customHeight="1">
      <c r="K763" s="56"/>
    </row>
    <row r="764" spans="11:11" ht="15.75" customHeight="1">
      <c r="K764" s="56"/>
    </row>
    <row r="765" spans="11:11" ht="15.75" customHeight="1">
      <c r="K765" s="56"/>
    </row>
    <row r="766" spans="11:11" ht="15.75" customHeight="1">
      <c r="K766" s="56"/>
    </row>
    <row r="767" spans="11:11" ht="15.75" customHeight="1">
      <c r="K767" s="56"/>
    </row>
    <row r="768" spans="11:11" ht="15.75" customHeight="1">
      <c r="K768" s="56"/>
    </row>
    <row r="769" spans="11:11" ht="15.75" customHeight="1">
      <c r="K769" s="56"/>
    </row>
    <row r="770" spans="11:11" ht="15.75" customHeight="1">
      <c r="K770" s="56"/>
    </row>
    <row r="771" spans="11:11" ht="15.75" customHeight="1">
      <c r="K771" s="56"/>
    </row>
    <row r="772" spans="11:11" ht="15.75" customHeight="1">
      <c r="K772" s="56"/>
    </row>
    <row r="773" spans="11:11" ht="15.75" customHeight="1">
      <c r="K773" s="56"/>
    </row>
    <row r="774" spans="11:11" ht="15.75" customHeight="1">
      <c r="K774" s="56"/>
    </row>
    <row r="775" spans="11:11" ht="15.75" customHeight="1">
      <c r="K775" s="56"/>
    </row>
    <row r="776" spans="11:11" ht="15.75" customHeight="1">
      <c r="K776" s="56"/>
    </row>
    <row r="777" spans="11:11" ht="15.75" customHeight="1">
      <c r="K777" s="56"/>
    </row>
    <row r="778" spans="11:11" ht="15.75" customHeight="1">
      <c r="K778" s="56"/>
    </row>
    <row r="779" spans="11:11" ht="15.75" customHeight="1">
      <c r="K779" s="56"/>
    </row>
    <row r="780" spans="11:11" ht="15.75" customHeight="1">
      <c r="K780" s="56"/>
    </row>
    <row r="781" spans="11:11" ht="15.75" customHeight="1">
      <c r="K781" s="56"/>
    </row>
    <row r="782" spans="11:11" ht="15.75" customHeight="1">
      <c r="K782" s="56"/>
    </row>
    <row r="783" spans="11:11" ht="15.75" customHeight="1">
      <c r="K783" s="56"/>
    </row>
    <row r="784" spans="11:11" ht="15.75" customHeight="1">
      <c r="K784" s="56"/>
    </row>
    <row r="785" spans="11:11" ht="15.75" customHeight="1">
      <c r="K785" s="56"/>
    </row>
    <row r="786" spans="11:11" ht="15.75" customHeight="1">
      <c r="K786" s="56"/>
    </row>
    <row r="787" spans="11:11" ht="15.75" customHeight="1">
      <c r="K787" s="56"/>
    </row>
    <row r="788" spans="11:11" ht="15.75" customHeight="1">
      <c r="K788" s="56"/>
    </row>
    <row r="789" spans="11:11" ht="15.75" customHeight="1">
      <c r="K789" s="56"/>
    </row>
    <row r="790" spans="11:11" ht="15.75" customHeight="1">
      <c r="K790" s="56"/>
    </row>
    <row r="791" spans="11:11" ht="15.75" customHeight="1">
      <c r="K791" s="56"/>
    </row>
    <row r="792" spans="11:11" ht="15.75" customHeight="1">
      <c r="K792" s="56"/>
    </row>
    <row r="793" spans="11:11" ht="15.75" customHeight="1">
      <c r="K793" s="56"/>
    </row>
    <row r="794" spans="11:11" ht="15.75" customHeight="1">
      <c r="K794" s="56"/>
    </row>
    <row r="795" spans="11:11" ht="15.75" customHeight="1">
      <c r="K795" s="56"/>
    </row>
    <row r="796" spans="11:11" ht="15.75" customHeight="1">
      <c r="K796" s="56"/>
    </row>
    <row r="797" spans="11:11" ht="15.75" customHeight="1">
      <c r="K797" s="56"/>
    </row>
    <row r="798" spans="11:11" ht="15.75" customHeight="1">
      <c r="K798" s="56"/>
    </row>
    <row r="799" spans="11:11" ht="15.75" customHeight="1">
      <c r="K799" s="56"/>
    </row>
    <row r="800" spans="11:11" ht="15.75" customHeight="1">
      <c r="K800" s="56"/>
    </row>
    <row r="801" spans="11:11" ht="15.75" customHeight="1">
      <c r="K801" s="56"/>
    </row>
    <row r="802" spans="11:11" ht="15.75" customHeight="1">
      <c r="K802" s="56"/>
    </row>
    <row r="803" spans="11:11" ht="15.75" customHeight="1">
      <c r="K803" s="56"/>
    </row>
    <row r="804" spans="11:11" ht="15.75" customHeight="1">
      <c r="K804" s="56"/>
    </row>
    <row r="805" spans="11:11" ht="15.75" customHeight="1">
      <c r="K805" s="56"/>
    </row>
    <row r="806" spans="11:11" ht="15.75" customHeight="1">
      <c r="K806" s="56"/>
    </row>
    <row r="807" spans="11:11" ht="15.75" customHeight="1">
      <c r="K807" s="56"/>
    </row>
    <row r="808" spans="11:11" ht="15.75" customHeight="1">
      <c r="K808" s="56"/>
    </row>
    <row r="809" spans="11:11" ht="15.75" customHeight="1">
      <c r="K809" s="56"/>
    </row>
    <row r="810" spans="11:11" ht="15.75" customHeight="1">
      <c r="K810" s="56"/>
    </row>
    <row r="811" spans="11:11" ht="15.75" customHeight="1">
      <c r="K811" s="56"/>
    </row>
    <row r="812" spans="11:11" ht="15.75" customHeight="1">
      <c r="K812" s="56"/>
    </row>
    <row r="813" spans="11:11" ht="15.75" customHeight="1">
      <c r="K813" s="56"/>
    </row>
    <row r="814" spans="11:11" ht="15.75" customHeight="1">
      <c r="K814" s="56"/>
    </row>
    <row r="815" spans="11:11" ht="15.75" customHeight="1">
      <c r="K815" s="56"/>
    </row>
    <row r="816" spans="11:11" ht="15.75" customHeight="1">
      <c r="K816" s="56"/>
    </row>
    <row r="817" spans="11:11" ht="15.75" customHeight="1">
      <c r="K817" s="56"/>
    </row>
    <row r="818" spans="11:11" ht="15.75" customHeight="1">
      <c r="K818" s="56"/>
    </row>
    <row r="819" spans="11:11" ht="15.75" customHeight="1">
      <c r="K819" s="56"/>
    </row>
    <row r="820" spans="11:11" ht="15.75" customHeight="1">
      <c r="K820" s="56"/>
    </row>
    <row r="821" spans="11:11" ht="15.75" customHeight="1">
      <c r="K821" s="56"/>
    </row>
    <row r="822" spans="11:11" ht="15.75" customHeight="1">
      <c r="K822" s="56"/>
    </row>
    <row r="823" spans="11:11" ht="15.75" customHeight="1">
      <c r="K823" s="56"/>
    </row>
    <row r="824" spans="11:11" ht="15.75" customHeight="1">
      <c r="K824" s="56"/>
    </row>
    <row r="825" spans="11:11" ht="15.75" customHeight="1">
      <c r="K825" s="56"/>
    </row>
    <row r="826" spans="11:11" ht="15.75" customHeight="1">
      <c r="K826" s="56"/>
    </row>
    <row r="827" spans="11:11" ht="15.75" customHeight="1">
      <c r="K827" s="56"/>
    </row>
    <row r="828" spans="11:11" ht="15.75" customHeight="1">
      <c r="K828" s="56"/>
    </row>
    <row r="829" spans="11:11" ht="15.75" customHeight="1">
      <c r="K829" s="56"/>
    </row>
    <row r="830" spans="11:11" ht="15.75" customHeight="1">
      <c r="K830" s="56"/>
    </row>
    <row r="831" spans="11:11" ht="15.75" customHeight="1">
      <c r="K831" s="56"/>
    </row>
    <row r="832" spans="11:11" ht="15.75" customHeight="1">
      <c r="K832" s="56"/>
    </row>
    <row r="833" spans="11:11" ht="15.75" customHeight="1">
      <c r="K833" s="56"/>
    </row>
    <row r="834" spans="11:11" ht="15.75" customHeight="1">
      <c r="K834" s="56"/>
    </row>
    <row r="835" spans="11:11" ht="15.75" customHeight="1">
      <c r="K835" s="56"/>
    </row>
    <row r="836" spans="11:11" ht="15.75" customHeight="1">
      <c r="K836" s="56"/>
    </row>
    <row r="837" spans="11:11" ht="15.75" customHeight="1">
      <c r="K837" s="56"/>
    </row>
    <row r="838" spans="11:11" ht="15.75" customHeight="1">
      <c r="K838" s="56"/>
    </row>
    <row r="839" spans="11:11" ht="15.75" customHeight="1">
      <c r="K839" s="56"/>
    </row>
    <row r="840" spans="11:11" ht="15.75" customHeight="1">
      <c r="K840" s="56"/>
    </row>
    <row r="841" spans="11:11" ht="15.75" customHeight="1">
      <c r="K841" s="56"/>
    </row>
    <row r="842" spans="11:11" ht="15.75" customHeight="1">
      <c r="K842" s="56"/>
    </row>
    <row r="843" spans="11:11" ht="15.75" customHeight="1">
      <c r="K843" s="56"/>
    </row>
    <row r="844" spans="11:11" ht="15.75" customHeight="1">
      <c r="K844" s="56"/>
    </row>
    <row r="845" spans="11:11" ht="15.75" customHeight="1">
      <c r="K845" s="56"/>
    </row>
    <row r="846" spans="11:11" ht="15.75" customHeight="1">
      <c r="K846" s="56"/>
    </row>
    <row r="847" spans="11:11" ht="15.75" customHeight="1">
      <c r="K847" s="56"/>
    </row>
    <row r="848" spans="11:11" ht="15.75" customHeight="1">
      <c r="K848" s="56"/>
    </row>
    <row r="849" spans="11:11" ht="15.75" customHeight="1">
      <c r="K849" s="56"/>
    </row>
    <row r="850" spans="11:11" ht="15.75" customHeight="1">
      <c r="K850" s="56"/>
    </row>
    <row r="851" spans="11:11" ht="15.75" customHeight="1">
      <c r="K851" s="56"/>
    </row>
    <row r="852" spans="11:11" ht="15.75" customHeight="1">
      <c r="K852" s="56"/>
    </row>
    <row r="853" spans="11:11" ht="15.75" customHeight="1">
      <c r="K853" s="56"/>
    </row>
    <row r="854" spans="11:11" ht="15.75" customHeight="1">
      <c r="K854" s="56"/>
    </row>
    <row r="855" spans="11:11" ht="15.75" customHeight="1">
      <c r="K855" s="56"/>
    </row>
    <row r="856" spans="11:11" ht="15.75" customHeight="1">
      <c r="K856" s="56"/>
    </row>
    <row r="857" spans="11:11" ht="15.75" customHeight="1">
      <c r="K857" s="56"/>
    </row>
    <row r="858" spans="11:11" ht="15.75" customHeight="1">
      <c r="K858" s="56"/>
    </row>
    <row r="859" spans="11:11" ht="15.75" customHeight="1">
      <c r="K859" s="56"/>
    </row>
    <row r="860" spans="11:11" ht="15.75" customHeight="1">
      <c r="K860" s="56"/>
    </row>
    <row r="861" spans="11:11" ht="15.75" customHeight="1">
      <c r="K861" s="56"/>
    </row>
    <row r="862" spans="11:11" ht="15.75" customHeight="1">
      <c r="K862" s="56"/>
    </row>
    <row r="863" spans="11:11" ht="15.75" customHeight="1">
      <c r="K863" s="56"/>
    </row>
    <row r="864" spans="11:11" ht="15.75" customHeight="1">
      <c r="K864" s="56"/>
    </row>
    <row r="865" spans="11:11" ht="15.75" customHeight="1">
      <c r="K865" s="56"/>
    </row>
    <row r="866" spans="11:11" ht="15.75" customHeight="1">
      <c r="K866" s="56"/>
    </row>
    <row r="867" spans="11:11" ht="15.75" customHeight="1">
      <c r="K867" s="56"/>
    </row>
    <row r="868" spans="11:11" ht="15.75" customHeight="1">
      <c r="K868" s="56"/>
    </row>
    <row r="869" spans="11:11" ht="15.75" customHeight="1">
      <c r="K869" s="56"/>
    </row>
    <row r="870" spans="11:11" ht="15.75" customHeight="1">
      <c r="K870" s="56"/>
    </row>
    <row r="871" spans="11:11" ht="15.75" customHeight="1">
      <c r="K871" s="56"/>
    </row>
    <row r="872" spans="11:11" ht="15.75" customHeight="1">
      <c r="K872" s="56"/>
    </row>
    <row r="873" spans="11:11" ht="15.75" customHeight="1">
      <c r="K873" s="56"/>
    </row>
    <row r="874" spans="11:11" ht="15.75" customHeight="1">
      <c r="K874" s="56"/>
    </row>
    <row r="875" spans="11:11" ht="15.75" customHeight="1">
      <c r="K875" s="56"/>
    </row>
    <row r="876" spans="11:11" ht="15.75" customHeight="1">
      <c r="K876" s="56"/>
    </row>
    <row r="877" spans="11:11" ht="15.75" customHeight="1">
      <c r="K877" s="56"/>
    </row>
    <row r="878" spans="11:11" ht="15.75" customHeight="1">
      <c r="K878" s="56"/>
    </row>
    <row r="879" spans="11:11" ht="15.75" customHeight="1">
      <c r="K879" s="56"/>
    </row>
    <row r="880" spans="11:11" ht="15.75" customHeight="1">
      <c r="K880" s="56"/>
    </row>
    <row r="881" spans="11:11" ht="15.75" customHeight="1">
      <c r="K881" s="56"/>
    </row>
    <row r="882" spans="11:11" ht="15.75" customHeight="1">
      <c r="K882" s="56"/>
    </row>
    <row r="883" spans="11:11" ht="15.75" customHeight="1">
      <c r="K883" s="56"/>
    </row>
    <row r="884" spans="11:11" ht="15.75" customHeight="1">
      <c r="K884" s="56"/>
    </row>
    <row r="885" spans="11:11" ht="15.75" customHeight="1">
      <c r="K885" s="56"/>
    </row>
    <row r="886" spans="11:11" ht="15.75" customHeight="1">
      <c r="K886" s="56"/>
    </row>
    <row r="887" spans="11:11" ht="15.75" customHeight="1">
      <c r="K887" s="56"/>
    </row>
    <row r="888" spans="11:11" ht="15.75" customHeight="1">
      <c r="K888" s="56"/>
    </row>
    <row r="889" spans="11:11" ht="15.75" customHeight="1">
      <c r="K889" s="56"/>
    </row>
    <row r="890" spans="11:11" ht="15.75" customHeight="1">
      <c r="K890" s="56"/>
    </row>
    <row r="891" spans="11:11" ht="15.75" customHeight="1">
      <c r="K891" s="56"/>
    </row>
    <row r="892" spans="11:11" ht="15.75" customHeight="1">
      <c r="K892" s="56"/>
    </row>
    <row r="893" spans="11:11" ht="15.75" customHeight="1">
      <c r="K893" s="56"/>
    </row>
    <row r="894" spans="11:11" ht="15.75" customHeight="1">
      <c r="K894" s="56"/>
    </row>
    <row r="895" spans="11:11" ht="15.75" customHeight="1">
      <c r="K895" s="56"/>
    </row>
    <row r="896" spans="11:11" ht="15.75" customHeight="1">
      <c r="K896" s="56"/>
    </row>
    <row r="897" spans="11:11" ht="15.75" customHeight="1">
      <c r="K897" s="56"/>
    </row>
    <row r="898" spans="11:11" ht="15.75" customHeight="1">
      <c r="K898" s="56"/>
    </row>
    <row r="899" spans="11:11" ht="15.75" customHeight="1">
      <c r="K899" s="56"/>
    </row>
    <row r="900" spans="11:11" ht="15.75" customHeight="1">
      <c r="K900" s="56"/>
    </row>
    <row r="901" spans="11:11" ht="15.75" customHeight="1">
      <c r="K901" s="56"/>
    </row>
    <row r="902" spans="11:11" ht="15.75" customHeight="1">
      <c r="K902" s="56"/>
    </row>
    <row r="903" spans="11:11" ht="15.75" customHeight="1">
      <c r="K903" s="56"/>
    </row>
    <row r="904" spans="11:11" ht="15.75" customHeight="1">
      <c r="K904" s="56"/>
    </row>
    <row r="905" spans="11:11" ht="15.75" customHeight="1">
      <c r="K905" s="56"/>
    </row>
    <row r="906" spans="11:11" ht="15.75" customHeight="1">
      <c r="K906" s="56"/>
    </row>
    <row r="907" spans="11:11" ht="15.75" customHeight="1">
      <c r="K907" s="56"/>
    </row>
    <row r="908" spans="11:11" ht="15.75" customHeight="1">
      <c r="K908" s="56"/>
    </row>
    <row r="909" spans="11:11" ht="15.75" customHeight="1">
      <c r="K909" s="56"/>
    </row>
    <row r="910" spans="11:11" ht="15.75" customHeight="1">
      <c r="K910" s="56"/>
    </row>
    <row r="911" spans="11:11" ht="15.75" customHeight="1">
      <c r="K911" s="56"/>
    </row>
    <row r="912" spans="11:11" ht="15.75" customHeight="1">
      <c r="K912" s="56"/>
    </row>
    <row r="913" spans="11:11" ht="15.75" customHeight="1">
      <c r="K913" s="56"/>
    </row>
    <row r="914" spans="11:11" ht="15.75" customHeight="1">
      <c r="K914" s="56"/>
    </row>
    <row r="915" spans="11:11" ht="15.75" customHeight="1">
      <c r="K915" s="56"/>
    </row>
    <row r="916" spans="11:11" ht="15.75" customHeight="1">
      <c r="K916" s="56"/>
    </row>
    <row r="917" spans="11:11" ht="15.75" customHeight="1">
      <c r="K917" s="56"/>
    </row>
    <row r="918" spans="11:11" ht="15.75" customHeight="1">
      <c r="K918" s="56"/>
    </row>
    <row r="919" spans="11:11" ht="15.75" customHeight="1">
      <c r="K919" s="56"/>
    </row>
    <row r="920" spans="11:11" ht="15.75" customHeight="1">
      <c r="K920" s="56"/>
    </row>
    <row r="921" spans="11:11" ht="15.75" customHeight="1">
      <c r="K921" s="56"/>
    </row>
    <row r="922" spans="11:11" ht="15.75" customHeight="1">
      <c r="K922" s="56"/>
    </row>
    <row r="923" spans="11:11" ht="15.75" customHeight="1">
      <c r="K923" s="56"/>
    </row>
    <row r="924" spans="11:11" ht="15.75" customHeight="1">
      <c r="K924" s="56"/>
    </row>
    <row r="925" spans="11:11" ht="15.75" customHeight="1">
      <c r="K925" s="56"/>
    </row>
    <row r="926" spans="11:11" ht="15.75" customHeight="1">
      <c r="K926" s="56"/>
    </row>
    <row r="927" spans="11:11" ht="15.75" customHeight="1">
      <c r="K927" s="56"/>
    </row>
    <row r="928" spans="11:11" ht="15.75" customHeight="1">
      <c r="K928" s="56"/>
    </row>
    <row r="929" spans="11:11" ht="15.75" customHeight="1">
      <c r="K929" s="56"/>
    </row>
    <row r="930" spans="11:11" ht="15.75" customHeight="1">
      <c r="K930" s="56"/>
    </row>
    <row r="931" spans="11:11" ht="15.75" customHeight="1">
      <c r="K931" s="56"/>
    </row>
    <row r="932" spans="11:11" ht="15.75" customHeight="1">
      <c r="K932" s="56"/>
    </row>
    <row r="933" spans="11:11" ht="15.75" customHeight="1">
      <c r="K933" s="56"/>
    </row>
    <row r="934" spans="11:11" ht="15.75" customHeight="1">
      <c r="K934" s="56"/>
    </row>
    <row r="935" spans="11:11" ht="15.75" customHeight="1">
      <c r="K935" s="56"/>
    </row>
    <row r="936" spans="11:11" ht="15.75" customHeight="1">
      <c r="K936" s="56"/>
    </row>
    <row r="937" spans="11:11" ht="15.75" customHeight="1">
      <c r="K937" s="56"/>
    </row>
    <row r="938" spans="11:11" ht="15.75" customHeight="1">
      <c r="K938" s="56"/>
    </row>
    <row r="939" spans="11:11" ht="15.75" customHeight="1">
      <c r="K939" s="56"/>
    </row>
    <row r="940" spans="11:11" ht="15.75" customHeight="1">
      <c r="K940" s="56"/>
    </row>
    <row r="941" spans="11:11" ht="15.75" customHeight="1">
      <c r="K941" s="56"/>
    </row>
    <row r="942" spans="11:11" ht="15.75" customHeight="1">
      <c r="K942" s="56"/>
    </row>
    <row r="943" spans="11:11" ht="15.75" customHeight="1">
      <c r="K943" s="56"/>
    </row>
    <row r="944" spans="11:11" ht="15.75" customHeight="1">
      <c r="K944" s="56"/>
    </row>
    <row r="945" spans="11:11" ht="15.75" customHeight="1">
      <c r="K945" s="56"/>
    </row>
    <row r="946" spans="11:11" ht="15.75" customHeight="1">
      <c r="K946" s="56"/>
    </row>
    <row r="947" spans="11:11" ht="15.75" customHeight="1">
      <c r="K947" s="56"/>
    </row>
    <row r="948" spans="11:11" ht="15.75" customHeight="1">
      <c r="K948" s="56"/>
    </row>
    <row r="949" spans="11:11" ht="15.75" customHeight="1">
      <c r="K949" s="56"/>
    </row>
    <row r="950" spans="11:11" ht="15.75" customHeight="1">
      <c r="K950" s="56"/>
    </row>
    <row r="951" spans="11:11" ht="15.75" customHeight="1">
      <c r="K951" s="56"/>
    </row>
    <row r="952" spans="11:11" ht="15.75" customHeight="1">
      <c r="K952" s="56"/>
    </row>
    <row r="953" spans="11:11" ht="15.75" customHeight="1">
      <c r="K953" s="56"/>
    </row>
    <row r="954" spans="11:11" ht="15.75" customHeight="1">
      <c r="K954" s="56"/>
    </row>
    <row r="955" spans="11:11" ht="15.75" customHeight="1">
      <c r="K955" s="56"/>
    </row>
    <row r="956" spans="11:11" ht="15.75" customHeight="1">
      <c r="K956" s="56"/>
    </row>
    <row r="957" spans="11:11" ht="15.75" customHeight="1">
      <c r="K957" s="56"/>
    </row>
    <row r="958" spans="11:11" ht="15.75" customHeight="1">
      <c r="K958" s="56"/>
    </row>
    <row r="959" spans="11:11" ht="15.75" customHeight="1">
      <c r="K959" s="56"/>
    </row>
    <row r="960" spans="11:11" ht="15.75" customHeight="1">
      <c r="K960" s="56"/>
    </row>
    <row r="961" spans="11:11" ht="15.75" customHeight="1">
      <c r="K961" s="56"/>
    </row>
    <row r="962" spans="11:11" ht="15.75" customHeight="1">
      <c r="K962" s="56"/>
    </row>
    <row r="963" spans="11:11" ht="15.75" customHeight="1">
      <c r="K963" s="56"/>
    </row>
    <row r="964" spans="11:11" ht="15.75" customHeight="1">
      <c r="K964" s="56"/>
    </row>
    <row r="965" spans="11:11" ht="15.75" customHeight="1">
      <c r="K965" s="56"/>
    </row>
    <row r="966" spans="11:11" ht="15.75" customHeight="1">
      <c r="K966" s="56"/>
    </row>
    <row r="967" spans="11:11" ht="15.75" customHeight="1">
      <c r="K967" s="56"/>
    </row>
    <row r="968" spans="11:11" ht="15.75" customHeight="1">
      <c r="K968" s="56"/>
    </row>
    <row r="969" spans="11:11" ht="15.75" customHeight="1">
      <c r="K969" s="56"/>
    </row>
    <row r="970" spans="11:11" ht="15.75" customHeight="1">
      <c r="K970" s="56"/>
    </row>
    <row r="971" spans="11:11" ht="15.75" customHeight="1">
      <c r="K971" s="56"/>
    </row>
    <row r="972" spans="11:11" ht="15.75" customHeight="1">
      <c r="K972" s="56"/>
    </row>
    <row r="973" spans="11:11" ht="15.75" customHeight="1">
      <c r="K973" s="56"/>
    </row>
    <row r="974" spans="11:11" ht="15.75" customHeight="1">
      <c r="K974" s="56"/>
    </row>
    <row r="975" spans="11:11" ht="15.75" customHeight="1">
      <c r="K975" s="56"/>
    </row>
    <row r="976" spans="11:11" ht="15.75" customHeight="1">
      <c r="K976" s="56"/>
    </row>
    <row r="977" spans="11:11" ht="15.75" customHeight="1">
      <c r="K977" s="56"/>
    </row>
    <row r="978" spans="11:11" ht="15.75" customHeight="1">
      <c r="K978" s="56"/>
    </row>
    <row r="979" spans="11:11" ht="15.75" customHeight="1">
      <c r="K979" s="56"/>
    </row>
    <row r="980" spans="11:11" ht="15.75" customHeight="1">
      <c r="K980" s="56"/>
    </row>
    <row r="981" spans="11:11" ht="15.75" customHeight="1">
      <c r="K981" s="56"/>
    </row>
    <row r="982" spans="11:11" ht="15.75" customHeight="1">
      <c r="K982" s="56"/>
    </row>
    <row r="983" spans="11:11" ht="15.75" customHeight="1">
      <c r="K983" s="56"/>
    </row>
    <row r="984" spans="11:11" ht="15.75" customHeight="1">
      <c r="K984" s="56"/>
    </row>
    <row r="985" spans="11:11" ht="15.75" customHeight="1">
      <c r="K985" s="56"/>
    </row>
    <row r="986" spans="11:11" ht="15.75" customHeight="1">
      <c r="K986" s="56"/>
    </row>
    <row r="987" spans="11:11" ht="15.75" customHeight="1">
      <c r="K987" s="56"/>
    </row>
    <row r="988" spans="11:11" ht="15.75" customHeight="1">
      <c r="K988" s="56"/>
    </row>
    <row r="989" spans="11:11" ht="15.75" customHeight="1">
      <c r="K989" s="56"/>
    </row>
    <row r="990" spans="11:11" ht="15.75" customHeight="1">
      <c r="K990" s="56"/>
    </row>
    <row r="991" spans="11:11" ht="15.75" customHeight="1">
      <c r="K991" s="56"/>
    </row>
    <row r="992" spans="11:11" ht="15.75" customHeight="1">
      <c r="K992" s="56"/>
    </row>
    <row r="993" spans="11:11" ht="15.75" customHeight="1">
      <c r="K993" s="56"/>
    </row>
    <row r="994" spans="11:11" ht="15.75" customHeight="1">
      <c r="K994" s="56"/>
    </row>
    <row r="995" spans="11:11" ht="15.75" customHeight="1">
      <c r="K995" s="56"/>
    </row>
    <row r="996" spans="11:11" ht="15.75" customHeight="1">
      <c r="K996" s="56"/>
    </row>
    <row r="997" spans="11:11" ht="15.75" customHeight="1">
      <c r="K997" s="56"/>
    </row>
    <row r="998" spans="11:11" ht="15.75" customHeight="1">
      <c r="K998" s="56"/>
    </row>
    <row r="999" spans="11:11" ht="15.75" customHeight="1">
      <c r="K999" s="56"/>
    </row>
    <row r="1000" spans="11:11" ht="15.75" customHeight="1">
      <c r="K1000" s="56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2">
      <formula>B2=#REF!</formula>
    </cfRule>
  </conditionalFormatting>
  <conditionalFormatting sqref="B2:B19">
    <cfRule type="expression" dxfId="1042" priority="3">
      <formula>COUNTIF($C$1:$C$959, B2) &gt; 1</formula>
    </cfRule>
    <cfRule type="expression" dxfId="1041" priority="4">
      <formula>COUNTIF($B$2:$B$940, B2) &gt; 1</formula>
    </cfRule>
    <cfRule type="expression" dxfId="1040" priority="5">
      <formula>COUNTIF($C$1:$C$960, B2) &gt; 1</formula>
    </cfRule>
    <cfRule type="expression" dxfId="1039" priority="6">
      <formula>COUNTIF($B$2:$B$941, B2) &gt; 1</formula>
    </cfRule>
    <cfRule type="expression" dxfId="1038" priority="7">
      <formula>COUNTIF($C$1:$C$957, B2) &gt; 1</formula>
    </cfRule>
    <cfRule type="expression" dxfId="1037" priority="8">
      <formula>COUNTIF($B$2:$B$938, B2) &gt; 1</formula>
    </cfRule>
    <cfRule type="expression" dxfId="1036" priority="9">
      <formula>COUNTIF($B$2:$B$939, B2) &gt; 1</formula>
    </cfRule>
  </conditionalFormatting>
  <conditionalFormatting sqref="B2:B20">
    <cfRule type="expression" dxfId="1035" priority="10">
      <formula>COUNTIF($C$1:$C$962, B2) &gt; 1</formula>
    </cfRule>
    <cfRule type="expression" dxfId="1034" priority="11">
      <formula>COUNTIF($C$1:$C$958, B2) &gt; 1</formula>
    </cfRule>
  </conditionalFormatting>
  <conditionalFormatting sqref="B2:B21">
    <cfRule type="expression" dxfId="1033" priority="12">
      <formula>COUNTIF($C$1:$C$963, B2) &gt; 1</formula>
    </cfRule>
    <cfRule type="expression" dxfId="1032" priority="13">
      <formula>COUNTIF($B$2:$B$944, B2) &gt; 1</formula>
    </cfRule>
    <cfRule type="expression" dxfId="1031" priority="14">
      <formula>COUNTIF($B$2:$B$945, B2) &gt; 1</formula>
    </cfRule>
  </conditionalFormatting>
  <conditionalFormatting sqref="B2:B22">
    <cfRule type="expression" dxfId="1030" priority="15">
      <formula>COUNTIF($C$1:$C$965, B2) &gt; 1</formula>
    </cfRule>
    <cfRule type="expression" dxfId="1029" priority="16">
      <formula>COUNTIF($B$2:$B$946, B2) &gt; 1</formula>
    </cfRule>
  </conditionalFormatting>
  <conditionalFormatting sqref="B2:B24">
    <cfRule type="expression" dxfId="1028" priority="17">
      <formula>COUNTIF($B$2:$B$952, B2) &gt; 1</formula>
    </cfRule>
    <cfRule type="expression" dxfId="1027" priority="18">
      <formula>COUNTIF($C$1:$C$964, B2) &gt; 1</formula>
    </cfRule>
  </conditionalFormatting>
  <conditionalFormatting sqref="B2:B25 B27:B49">
    <cfRule type="expression" dxfId="1026" priority="19">
      <formula>COUNTIF($B$2:$B$991, B2) &gt; 1</formula>
    </cfRule>
  </conditionalFormatting>
  <conditionalFormatting sqref="B2:B25">
    <cfRule type="expression" dxfId="1025" priority="20">
      <formula>COUNTIF($B$2:$B$948, B2) &gt; 1</formula>
    </cfRule>
    <cfRule type="expression" dxfId="1024" priority="21">
      <formula>COUNTIF($B$2:$B$949, B2) &gt; 1</formula>
    </cfRule>
    <cfRule type="expression" dxfId="1023" priority="22">
      <formula>COUNTIF($C$1:$C$966, B2) &gt; 1</formula>
    </cfRule>
    <cfRule type="expression" dxfId="1022" priority="23">
      <formula>COUNTIF($B$2:$B$947, B2) &gt; 1</formula>
    </cfRule>
    <cfRule type="expression" dxfId="1021" priority="24">
      <formula>COUNTIF($C$1:$C$969, B2) &gt; 1</formula>
    </cfRule>
    <cfRule type="expression" dxfId="1020" priority="25">
      <formula>COUNTIF($B$2:$B$950, B2) &gt; 1</formula>
    </cfRule>
    <cfRule type="expression" dxfId="1019" priority="26">
      <formula>COUNTIF($C$1:$C$970, B2) &gt; 1</formula>
    </cfRule>
    <cfRule type="expression" dxfId="1018" priority="27">
      <formula>COUNTIF($B$2:$B$951, B2) &gt; 1</formula>
    </cfRule>
  </conditionalFormatting>
  <conditionalFormatting sqref="B2:B26">
    <cfRule type="expression" dxfId="1017" priority="28">
      <formula>COUNTIF($C$1:$C$968, B2) &gt; 1</formula>
    </cfRule>
    <cfRule type="expression" dxfId="1016" priority="29">
      <formula>COUNTIF($C$1:$C$967, B2) &gt; 1</formula>
    </cfRule>
    <cfRule type="expression" dxfId="1015" priority="30">
      <formula>COUNTIF($B$1:$B$970, B2) &gt; 1</formula>
    </cfRule>
    <cfRule type="expression" dxfId="1014" priority="31">
      <formula>COUNTIF($C$1:$C$971, B2) &gt; 1</formula>
    </cfRule>
    <cfRule type="expression" dxfId="1013" priority="32">
      <formula>COUNTIF($B$2:$B$964, B2) &gt; 1</formula>
    </cfRule>
  </conditionalFormatting>
  <conditionalFormatting sqref="B2:B27 B29:B54">
    <cfRule type="expression" dxfId="1012" priority="33">
      <formula>COUNTIF($B$2:$B$997, B2) &gt; 1</formula>
    </cfRule>
    <cfRule type="expression" dxfId="1011" priority="34">
      <formula>COUNTIF($B$2:$B$998, B2) &gt; 1</formula>
    </cfRule>
  </conditionalFormatting>
  <conditionalFormatting sqref="B2:B27">
    <cfRule type="expression" dxfId="1010" priority="35">
      <formula>COUNTIF($B$2:$B$954, B2) &gt; 1</formula>
    </cfRule>
    <cfRule type="expression" dxfId="1009" priority="36">
      <formula>COUNTIF($C$1:$C$972, B2) &gt; 1</formula>
    </cfRule>
    <cfRule type="expression" dxfId="1008" priority="37">
      <formula>COUNTIF($B$2:$B$953, B2) &gt; 1</formula>
    </cfRule>
    <cfRule type="expression" dxfId="1007" priority="38">
      <formula>COUNTIF($B$2:$B$958, B2) &gt; 1</formula>
    </cfRule>
  </conditionalFormatting>
  <conditionalFormatting sqref="B2:B28 B30:B52">
    <cfRule type="expression" dxfId="1006" priority="39">
      <formula>COUNTIF($C$1:$C$1013, B2) &gt; 1</formula>
    </cfRule>
  </conditionalFormatting>
  <conditionalFormatting sqref="B2:B28">
    <cfRule type="expression" dxfId="1005" priority="40">
      <formula>COUNTIF($B$2:$B$956, B2) &gt; 1</formula>
    </cfRule>
    <cfRule type="expression" dxfId="1004" priority="41">
      <formula>COUNTIF($C$1:$C$976, B2) &gt; 1</formula>
    </cfRule>
    <cfRule type="expression" dxfId="1003" priority="42">
      <formula>COUNTIF($B$2:$B$957, B2) &gt; 1</formula>
    </cfRule>
    <cfRule type="expression" dxfId="1002" priority="43">
      <formula>COUNTIF($B$2:$B$955, B2) &gt; 1</formula>
    </cfRule>
    <cfRule type="expression" dxfId="1001" priority="44">
      <formula>COUNTIF($B$1:$B$958, B2) &gt; 1</formula>
    </cfRule>
    <cfRule type="expression" dxfId="1000" priority="45">
      <formula>COUNTIF($B$1:$B$962, B2) &gt; 1</formula>
    </cfRule>
    <cfRule type="expression" dxfId="999" priority="46">
      <formula>COUNTIF($C$1:$C$975, B2) &gt; 1</formula>
    </cfRule>
    <cfRule type="expression" dxfId="998" priority="47">
      <formula>COUNTIF($C$1:$C$977, B2) &gt; 1</formula>
    </cfRule>
    <cfRule type="expression" dxfId="997" priority="48">
      <formula>COUNTIF($B$2:$B$965, B2) &gt; 1</formula>
    </cfRule>
    <cfRule type="expression" dxfId="996" priority="49">
      <formula>COUNTIF($B$2:$B$966, B2) &gt; 1</formula>
    </cfRule>
  </conditionalFormatting>
  <conditionalFormatting sqref="B2:B30">
    <cfRule type="expression" dxfId="995" priority="50">
      <formula>COUNTIF($K$2:$K$65, B2) &gt; 1</formula>
    </cfRule>
    <cfRule type="expression" dxfId="994" priority="51">
      <formula>COUNTIF($J$2:$J$65, B2) &gt; 1</formula>
    </cfRule>
    <cfRule type="expression" dxfId="993" priority="52">
      <formula>COUNTIF($B$2:$B$66, B2) &gt; 1</formula>
    </cfRule>
  </conditionalFormatting>
  <conditionalFormatting sqref="B2:B31">
    <cfRule type="expression" dxfId="992" priority="53">
      <formula>COUNTIF($B$2:$B$962, B2) &gt; 1</formula>
    </cfRule>
    <cfRule type="expression" dxfId="991" priority="54">
      <formula>COUNTIF($B$2:$B$963, B2) &gt; 1</formula>
    </cfRule>
    <cfRule type="expression" dxfId="990" priority="55">
      <formula>COUNTIF($C$1:$C$973, B2) &gt; 1</formula>
    </cfRule>
    <cfRule type="expression" dxfId="989" priority="56">
      <formula>COUNTIF($C$1:$C$974, B2) &gt; 1</formula>
    </cfRule>
    <cfRule type="expression" dxfId="988" priority="57">
      <formula>COUNTIF($C$1:$C$982, B2) &gt; 1</formula>
    </cfRule>
    <cfRule type="expression" dxfId="987" priority="58">
      <formula>COUNTIF($C$1:$C$979, B2) &gt; 1</formula>
    </cfRule>
    <cfRule type="expression" dxfId="986" priority="59">
      <formula>COUNTIF($B$2:$B$960, B2) &gt; 1</formula>
    </cfRule>
    <cfRule type="expression" dxfId="985" priority="60">
      <formula>COUNTIF($B$2:$B$961, B2) &gt; 1</formula>
    </cfRule>
    <cfRule type="expression" dxfId="984" priority="61">
      <formula>COUNTIF($C$1:$C$978, B2) &gt; 1</formula>
    </cfRule>
    <cfRule type="expression" dxfId="983" priority="62">
      <formula>COUNTIF($B$2:$B$959, B2) &gt; 1</formula>
    </cfRule>
  </conditionalFormatting>
  <conditionalFormatting sqref="B2:B32">
    <cfRule type="expression" dxfId="982" priority="63">
      <formula>COUNTIF($C$1:$C$981, B2) &gt; 1</formula>
    </cfRule>
    <cfRule type="expression" dxfId="981" priority="64">
      <formula>COUNTIF($C$1:$C$980, B2) &gt; 1</formula>
    </cfRule>
    <cfRule type="expression" dxfId="980" priority="65">
      <formula>COUNTIF($C$1:$C$983, B2) &gt; 1</formula>
    </cfRule>
  </conditionalFormatting>
  <conditionalFormatting sqref="B2:B33 O8:O9">
    <cfRule type="expression" dxfId="979" priority="66">
      <formula>COUNTIF($B$2:$B$972, B2) &gt; 1</formula>
    </cfRule>
  </conditionalFormatting>
  <conditionalFormatting sqref="B2:B33">
    <cfRule type="expression" dxfId="978" priority="67">
      <formula>COUNTIF($C$1:$C$984, B2) &gt; 1</formula>
    </cfRule>
    <cfRule type="expression" dxfId="977" priority="68">
      <formula>COUNTIF($C$1:$C$985, B2) &gt; 1</formula>
    </cfRule>
  </conditionalFormatting>
  <conditionalFormatting sqref="B2:B34 O8:O9">
    <cfRule type="expression" dxfId="976" priority="69">
      <formula>COUNTIF($B$2:$B$973, B2) &gt; 1</formula>
    </cfRule>
  </conditionalFormatting>
  <conditionalFormatting sqref="B2:B35 O8:O9">
    <cfRule type="expression" dxfId="975" priority="70">
      <formula>COUNTIF($B$2:$B$974, B2) &gt; 1</formula>
    </cfRule>
  </conditionalFormatting>
  <conditionalFormatting sqref="B2:B35">
    <cfRule type="expression" dxfId="974" priority="71">
      <formula>COUNTIF($B$1:$B$979, B2) &gt; 1</formula>
    </cfRule>
    <cfRule type="expression" dxfId="973" priority="72">
      <formula>COUNTIF($B$1:$B$980, B2) &gt; 1</formula>
    </cfRule>
  </conditionalFormatting>
  <conditionalFormatting sqref="B2:B36">
    <cfRule type="expression" dxfId="972" priority="73">
      <formula>COUNTIF($B$1:$B$976, B2) &gt; 1</formula>
    </cfRule>
    <cfRule type="expression" dxfId="971" priority="74">
      <formula>COUNTIF($B$1:$B$977, B2) &gt; 1</formula>
    </cfRule>
    <cfRule type="expression" dxfId="970" priority="75">
      <formula>COUNTIF($C$1:$C$986, B2) &gt; 1</formula>
    </cfRule>
    <cfRule type="expression" dxfId="969" priority="76">
      <formula>COUNTIF($B$2:$B$967, B2) &gt; 1</formula>
    </cfRule>
    <cfRule type="expression" dxfId="968" priority="77">
      <formula>COUNTIF($C$1:$C$987, B2) &gt; 1</formula>
    </cfRule>
    <cfRule type="expression" dxfId="967" priority="78">
      <formula>COUNTIF($B$2:$B$968, B2) &gt; 1</formula>
    </cfRule>
  </conditionalFormatting>
  <conditionalFormatting sqref="B2:B37 O8:O9">
    <cfRule type="expression" dxfId="966" priority="79">
      <formula>COUNTIF($B$2:$B$971, B2) &gt; 1</formula>
    </cfRule>
  </conditionalFormatting>
  <conditionalFormatting sqref="B2:B37">
    <cfRule type="expression" dxfId="965" priority="80">
      <formula>COUNTIF($B$1:$B$971, B2) &gt; 1</formula>
    </cfRule>
    <cfRule type="expression" dxfId="964" priority="81">
      <formula>COUNTIF($B$1:$B$968, B2) &gt; 1</formula>
    </cfRule>
    <cfRule type="expression" dxfId="963" priority="82">
      <formula>COUNTIF($B$1:$B$972, B2) &gt; 1</formula>
    </cfRule>
    <cfRule type="expression" dxfId="962" priority="83">
      <formula>COUNTIF($B$2:$B$969, B2) &gt; 1</formula>
    </cfRule>
    <cfRule type="expression" dxfId="961" priority="84">
      <formula>COUNTIF($B$2:$B$977, B2) &gt; 1</formula>
    </cfRule>
    <cfRule type="expression" dxfId="960" priority="85">
      <formula>COUNTIF($B$2:$B$975, B2) &gt; 1</formula>
    </cfRule>
    <cfRule type="expression" dxfId="959" priority="86">
      <formula>COUNTIF($B$2:$B$976, B2) &gt; 1</formula>
    </cfRule>
    <cfRule type="expression" dxfId="958" priority="87">
      <formula>COUNTIF($B$1:$B$967, B2) &gt; 1</formula>
    </cfRule>
    <cfRule type="expression" dxfId="957" priority="88">
      <formula>COUNTIF($C$1:$C$988, B2) &gt; 1</formula>
    </cfRule>
    <cfRule type="expression" dxfId="956" priority="89">
      <formula>COUNTIF($B$1:$B$987, B2) &gt; 1</formula>
    </cfRule>
    <cfRule type="expression" dxfId="955" priority="90">
      <formula>COUNTIF($B$1:$B$990, B2) &gt; 1</formula>
    </cfRule>
    <cfRule type="expression" dxfId="954" priority="91">
      <formula>COUNTIF($B$2:$B$970, B2) &gt; 1</formula>
    </cfRule>
    <cfRule type="expression" dxfId="953" priority="92">
      <formula>COUNTIF($B$2:$B$978, B2) &gt; 1</formula>
    </cfRule>
    <cfRule type="expression" dxfId="952" priority="93">
      <formula>COUNTIF($B$2:$B$979, B2) &gt; 1</formula>
    </cfRule>
    <cfRule type="expression" dxfId="951" priority="94">
      <formula>COUNTIF($C$1:$C$989, B2) &gt; 1</formula>
    </cfRule>
  </conditionalFormatting>
  <conditionalFormatting sqref="B2:B38 O8:O9">
    <cfRule type="expression" dxfId="950" priority="95">
      <formula>COUNTIF($C$1:$C$990, B2) &gt; 1</formula>
    </cfRule>
    <cfRule type="expression" dxfId="949" priority="96">
      <formula>COUNTIF($C$1:$C$991, B2) &gt; 1</formula>
    </cfRule>
  </conditionalFormatting>
  <conditionalFormatting sqref="B2:B38">
    <cfRule type="expression" dxfId="948" priority="97">
      <formula>COUNTIF($B$1:$B$978, B2) &gt; 1</formula>
    </cfRule>
  </conditionalFormatting>
  <conditionalFormatting sqref="B2:B39 O8:O9">
    <cfRule type="expression" dxfId="947" priority="98">
      <formula>COUNTIF($C$1:$C$996, B2) &gt; 1</formula>
    </cfRule>
  </conditionalFormatting>
  <conditionalFormatting sqref="B2:B39">
    <cfRule type="expression" dxfId="946" priority="99">
      <formula>COUNTIF($K$2:$K$74, B2) &gt; 1</formula>
    </cfRule>
    <cfRule type="expression" dxfId="945" priority="100">
      <formula>COUNTIF($B$2:$B$75, B2) &gt; 1</formula>
    </cfRule>
    <cfRule type="expression" dxfId="944" priority="101">
      <formula>COUNTIF($K$2:$K$75, B2) &gt; 1</formula>
    </cfRule>
    <cfRule type="expression" dxfId="943" priority="102">
      <formula>COUNTIF($B$2:$B$76, B2) &gt; 1</formula>
    </cfRule>
    <cfRule type="expression" dxfId="942" priority="103">
      <formula>COUNTIF($C$1:$C$998, B2) &gt; 1</formula>
    </cfRule>
    <cfRule type="expression" dxfId="941" priority="104">
      <formula>COUNTIF($C$1:$C$997, B2) &gt; 1</formula>
    </cfRule>
  </conditionalFormatting>
  <conditionalFormatting sqref="B2:B40 O8:O9">
    <cfRule type="expression" dxfId="940" priority="105">
      <formula>COUNTIF($C$1:$C$992, B2) &gt; 1</formula>
    </cfRule>
    <cfRule type="expression" dxfId="939" priority="106">
      <formula>COUNTIF($C$1:$C$993, B2) &gt; 1</formula>
    </cfRule>
  </conditionalFormatting>
  <conditionalFormatting sqref="B2:B40">
    <cfRule type="expression" dxfId="938" priority="107">
      <formula>COUNTIF($B$1:$B$982, B2) &gt; 1</formula>
    </cfRule>
    <cfRule type="expression" dxfId="937" priority="108">
      <formula>COUNTIF($C$1:$C$995, B2) &gt; 1</formula>
    </cfRule>
    <cfRule type="expression" dxfId="936" priority="109">
      <formula>COUNTIF($C$1:$C$999, B2) &gt; 1</formula>
    </cfRule>
    <cfRule type="expression" dxfId="935" priority="110">
      <formula>COUNTIF($B$2:$B$980, B2) &gt; 1</formula>
    </cfRule>
    <cfRule type="expression" dxfId="934" priority="111">
      <formula>COUNTIF($C$1:$C$994, B2) &gt; 1</formula>
    </cfRule>
  </conditionalFormatting>
  <conditionalFormatting sqref="B2:B41">
    <cfRule type="expression" dxfId="933" priority="112">
      <formula>COUNTIF($B$2:$B$981, B2) &gt; 1</formula>
    </cfRule>
    <cfRule type="expression" dxfId="932" priority="113">
      <formula>COUNTIF($C$1:$C$1000, B2) &gt; 1</formula>
    </cfRule>
  </conditionalFormatting>
  <conditionalFormatting sqref="B2:B42">
    <cfRule type="expression" dxfId="931" priority="114">
      <formula>COUNTIF($B$2:$B$982, B2) &gt; 1</formula>
    </cfRule>
    <cfRule type="expression" dxfId="930" priority="115">
      <formula>COUNTIF($J$2:$J$85, B2) &gt; 1</formula>
    </cfRule>
    <cfRule type="expression" dxfId="929" priority="116">
      <formula>COUNTIF($B$2:$B$86, B2) &gt; 1</formula>
    </cfRule>
    <cfRule type="expression" dxfId="928" priority="117">
      <formula>COUNTIF($C$1:$C$1001, B2) &gt; 1</formula>
    </cfRule>
  </conditionalFormatting>
  <conditionalFormatting sqref="B2:B43 O8:O9">
    <cfRule type="expression" dxfId="927" priority="118">
      <formula>COUNTIF($C$1:$C$1002, B2) &gt; 1</formula>
    </cfRule>
    <cfRule type="expression" dxfId="926" priority="119">
      <formula>COUNTIF($C$1:$C$1004, B2) &gt; 1</formula>
    </cfRule>
  </conditionalFormatting>
  <conditionalFormatting sqref="B2:B43">
    <cfRule type="expression" dxfId="925" priority="120">
      <formula>COUNTIF($B$2:$B$983, B2) &gt; 1</formula>
    </cfRule>
    <cfRule type="expression" dxfId="924" priority="121">
      <formula>COUNTIF($B$2:$B$984, B2) &gt; 1</formula>
    </cfRule>
    <cfRule type="expression" dxfId="923" priority="122">
      <formula>COUNTIF($C$1:$C$1003, B2) &gt; 1</formula>
    </cfRule>
    <cfRule type="expression" dxfId="922" priority="123">
      <formula>COUNTIF($B$1:$B$994, B2) &gt; 1</formula>
    </cfRule>
  </conditionalFormatting>
  <conditionalFormatting sqref="B2:B44">
    <cfRule type="expression" dxfId="921" priority="124">
      <formula>COUNTIF($B$1:$B$973, B2) &gt; 1</formula>
    </cfRule>
    <cfRule type="expression" dxfId="920" priority="125">
      <formula>COUNTIF($C$1:$C$1005, B2) &gt; 1</formula>
    </cfRule>
    <cfRule type="expression" dxfId="919" priority="126">
      <formula>COUNTIF($B$1:$B$964, B2) &gt; 1</formula>
    </cfRule>
    <cfRule type="expression" dxfId="918" priority="127">
      <formula>COUNTIF($B$1:$B$985, B2) &gt; 1</formula>
    </cfRule>
    <cfRule type="expression" dxfId="917" priority="128">
      <formula>COUNTIF($B$1:$B$989, B2) &gt; 1</formula>
    </cfRule>
  </conditionalFormatting>
  <conditionalFormatting sqref="B2:B46 O8:O9">
    <cfRule type="expression" dxfId="916" priority="129">
      <formula>COUNTIF($C$1:$C$1006, B2) &gt; 1</formula>
    </cfRule>
  </conditionalFormatting>
  <conditionalFormatting sqref="B2:B46">
    <cfRule type="expression" dxfId="915" priority="130">
      <formula>COUNTIF($B$2:$B$987, B2) &gt; 1</formula>
    </cfRule>
    <cfRule type="expression" dxfId="914" priority="131">
      <formula>COUNTIF($B$1:$B$1000, B2) &gt; 1</formula>
    </cfRule>
  </conditionalFormatting>
  <conditionalFormatting sqref="B2:B47 O8:O9">
    <cfRule type="expression" dxfId="913" priority="132">
      <formula>COUNTIF($C$1:$C$1007, B2) &gt; 1</formula>
    </cfRule>
  </conditionalFormatting>
  <conditionalFormatting sqref="B2:B47">
    <cfRule type="expression" dxfId="912" priority="133">
      <formula>COUNTIF($B$2:$B$988, B2) &gt; 1</formula>
    </cfRule>
    <cfRule type="expression" dxfId="911" priority="134">
      <formula>COUNTIF($B$1:$B$997, B2) &gt; 1</formula>
    </cfRule>
  </conditionalFormatting>
  <conditionalFormatting sqref="B2:B48 O8:O9">
    <cfRule type="expression" dxfId="910" priority="135">
      <formula>COUNTIF($C$1:$C$1008, B2) &gt; 1</formula>
    </cfRule>
  </conditionalFormatting>
  <conditionalFormatting sqref="B2:B48">
    <cfRule type="expression" dxfId="909" priority="136">
      <formula>COUNTIF($B$1:$B$988, B2) &gt; 1</formula>
    </cfRule>
    <cfRule type="expression" dxfId="908" priority="137">
      <formula>COUNTIF($B$2:$B$989, B2) &gt; 1</formula>
    </cfRule>
  </conditionalFormatting>
  <conditionalFormatting sqref="B2:B49">
    <cfRule type="expression" dxfId="907" priority="138">
      <formula>COUNTIF($B$1:$B$1010, B2) &gt; 1</formula>
    </cfRule>
    <cfRule type="expression" dxfId="906" priority="139">
      <formula>COUNTIF($B$2:$B$990, B2) &gt; 1</formula>
    </cfRule>
    <cfRule type="expression" dxfId="905" priority="140">
      <formula>COUNTIF($C$1:$C$1009, B2) &gt; 1</formula>
    </cfRule>
  </conditionalFormatting>
  <conditionalFormatting sqref="B2:B50 O8:O9">
    <cfRule type="expression" dxfId="904" priority="141">
      <formula>COUNTIF($C$1:$C$1010, B2) &gt; 1</formula>
    </cfRule>
  </conditionalFormatting>
  <conditionalFormatting sqref="B2:B50">
    <cfRule type="expression" dxfId="903" priority="142">
      <formula>COUNTIF($B$1:$B$992, B2) &gt; 1</formula>
    </cfRule>
  </conditionalFormatting>
  <conditionalFormatting sqref="B2:B51 O8:O9">
    <cfRule type="expression" dxfId="902" priority="143">
      <formula>COUNTIF($C$1:$C$1011, B2) &gt; 1</formula>
    </cfRule>
    <cfRule type="expression" dxfId="901" priority="144">
      <formula>COUNTIF($C$1:$C$1015, B2) &gt; 1</formula>
    </cfRule>
    <cfRule type="expression" dxfId="900" priority="145">
      <formula>COUNTIF($H$2:$H$92, B2) &gt; 1</formula>
    </cfRule>
  </conditionalFormatting>
  <conditionalFormatting sqref="B2:B51">
    <cfRule type="expression" dxfId="899" priority="146">
      <formula>COUNTIF($C$1:$C$1012, B2) &gt; 1</formula>
    </cfRule>
  </conditionalFormatting>
  <conditionalFormatting sqref="B2:B52">
    <cfRule type="expression" dxfId="898" priority="147">
      <formula>COUNTIF($K$2:$K$95, B2) &gt; 1</formula>
    </cfRule>
    <cfRule type="expression" dxfId="897" priority="148">
      <formula>COUNTIF($B$2:$B$96, B2) &gt; 1</formula>
    </cfRule>
  </conditionalFormatting>
  <conditionalFormatting sqref="B2:B53 O8:O9">
    <cfRule type="expression" dxfId="896" priority="149">
      <formula>COUNTIF($C$1:$C$1014, B2) &gt; 1</formula>
    </cfRule>
  </conditionalFormatting>
  <conditionalFormatting sqref="B2:B53">
    <cfRule type="expression" dxfId="895" priority="150">
      <formula>COUNTIF($B$2:$B$995, B2) &gt; 1</formula>
    </cfRule>
    <cfRule type="expression" dxfId="894" priority="151">
      <formula>COUNTIF($B$1:$B$1004, B2) &gt; 1</formula>
    </cfRule>
    <cfRule type="expression" dxfId="893" priority="152">
      <formula>COUNTIF($B$1:$B$1007, B2) &gt; 1</formula>
    </cfRule>
  </conditionalFormatting>
  <conditionalFormatting sqref="B2:B54">
    <cfRule type="expression" dxfId="892" priority="153">
      <formula>COUNTIF($B$1:$B$974, B2) &gt; 1</formula>
    </cfRule>
    <cfRule type="expression" dxfId="891" priority="154">
      <formula>COUNTIF($B$1:$B$995, B2) &gt; 1</formula>
    </cfRule>
    <cfRule type="expression" dxfId="890" priority="155">
      <formula>COUNTIF($B$1:$B$999, B2) &gt; 1</formula>
    </cfRule>
    <cfRule type="expression" dxfId="889" priority="156">
      <formula>COUNTIF($C$1:$C$1016, B2) &gt; 1</formula>
    </cfRule>
    <cfRule type="expression" dxfId="888" priority="157">
      <formula>COUNTIF($C$1:$C$1017, B2) &gt; 1</formula>
    </cfRule>
    <cfRule type="expression" dxfId="887" priority="158">
      <formula>COUNTIF($B$1:$B$1017, B2) &gt; 1</formula>
    </cfRule>
    <cfRule type="expression" dxfId="886" priority="159">
      <formula>COUNTIF($C$1:$C$1018, B2) &gt; 1</formula>
    </cfRule>
  </conditionalFormatting>
  <conditionalFormatting sqref="B2:B55">
    <cfRule type="expression" dxfId="885" priority="160">
      <formula>COUNTIF($C$1:$C$1019, B2) &gt; 1</formula>
    </cfRule>
  </conditionalFormatting>
  <conditionalFormatting sqref="B2:B1000 O8:O9">
    <cfRule type="expression" dxfId="884" priority="161">
      <formula>COUNTIF($B$2:$B$93, B2) &gt; 1</formula>
    </cfRule>
  </conditionalFormatting>
  <conditionalFormatting sqref="B7 B54">
    <cfRule type="expression" dxfId="883" priority="162">
      <formula>COUNTIF($C$1:$C$1020, B7) &gt; 1</formula>
    </cfRule>
  </conditionalFormatting>
  <conditionalFormatting sqref="B19 B54">
    <cfRule type="expression" dxfId="882" priority="163">
      <formula>COUNTIF($C$1:$C$1021, B19) &gt; 1</formula>
    </cfRule>
  </conditionalFormatting>
  <conditionalFormatting sqref="B21">
    <cfRule type="expression" dxfId="881" priority="164">
      <formula>COUNTIF($C$1:$C$1028, B21) &gt; 1</formula>
    </cfRule>
  </conditionalFormatting>
  <conditionalFormatting sqref="B54">
    <cfRule type="expression" dxfId="880" priority="165">
      <formula>COUNTIF($C$1:$C$1025, B54) &gt; 1</formula>
    </cfRule>
    <cfRule type="expression" dxfId="879" priority="166">
      <formula>COUNTIF($K$2:$K$102, B54) &gt; 1</formula>
    </cfRule>
    <cfRule type="expression" dxfId="878" priority="167">
      <formula>COUNTIF($C$1:$C$1024, B54) &gt; 1</formula>
    </cfRule>
    <cfRule type="expression" dxfId="877" priority="168">
      <formula>COUNTIF($B$2:$B$103, B54) &gt; 1</formula>
    </cfRule>
  </conditionalFormatting>
  <conditionalFormatting sqref="C2:C1000">
    <cfRule type="expression" dxfId="876" priority="169">
      <formula>C2 &gt; 0</formula>
    </cfRule>
  </conditionalFormatting>
  <conditionalFormatting sqref="K2:K1000">
    <cfRule type="expression" dxfId="875" priority="170">
      <formula>K2&gt;=80%</formula>
    </cfRule>
    <cfRule type="expression" dxfId="874" priority="171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" customHeight="1"/>
  <cols>
    <col min="1" max="1" width="24.6640625" customWidth="1"/>
    <col min="2" max="2" width="31.5546875" customWidth="1"/>
    <col min="3" max="3" width="18" customWidth="1"/>
    <col min="4" max="4" width="15.6640625" customWidth="1"/>
    <col min="5" max="5" width="19.88671875" customWidth="1"/>
    <col min="6" max="7" width="16.109375" customWidth="1"/>
    <col min="8" max="8" width="25.88671875" customWidth="1"/>
    <col min="9" max="9" width="14" customWidth="1"/>
    <col min="10" max="10" width="14.44140625" customWidth="1"/>
    <col min="11" max="11" width="15.33203125" customWidth="1"/>
    <col min="12" max="12" width="18.6640625" customWidth="1"/>
    <col min="13" max="14" width="11" customWidth="1"/>
  </cols>
  <sheetData>
    <row r="1" spans="1:22" ht="30" customHeight="1">
      <c r="A1" s="57" t="s">
        <v>0</v>
      </c>
      <c r="B1" s="57" t="s">
        <v>162</v>
      </c>
      <c r="C1" s="58" t="s">
        <v>169</v>
      </c>
      <c r="D1" s="78" t="s">
        <v>159</v>
      </c>
      <c r="E1" s="58" t="s">
        <v>170</v>
      </c>
      <c r="F1" s="59"/>
      <c r="G1" s="79"/>
      <c r="H1" s="60" t="s">
        <v>162</v>
      </c>
      <c r="I1" s="60" t="s">
        <v>169</v>
      </c>
      <c r="J1" s="60" t="s">
        <v>171</v>
      </c>
      <c r="K1" s="60" t="s">
        <v>172</v>
      </c>
      <c r="L1" s="60" t="s">
        <v>173</v>
      </c>
      <c r="M1" s="59"/>
      <c r="N1" s="59"/>
      <c r="O1" s="7"/>
      <c r="P1" s="7"/>
      <c r="Q1" s="7"/>
      <c r="R1" s="7"/>
      <c r="S1" s="7"/>
      <c r="T1" s="7"/>
      <c r="U1" s="7"/>
      <c r="V1" s="7"/>
    </row>
    <row r="2" spans="1:22" ht="15.75" customHeight="1">
      <c r="A2" s="35" t="s">
        <v>26</v>
      </c>
      <c r="B2" s="36" t="s">
        <v>131</v>
      </c>
      <c r="C2" s="80">
        <f t="shared" ref="C2:C33" si="0">E2*D2</f>
        <v>5423800</v>
      </c>
      <c r="D2" s="211">
        <f t="shared" ref="D2:D33" si="1">IFERROR(INDEX(L:L, MATCH(B2, H:H, 0)), 1)</f>
        <v>1</v>
      </c>
      <c r="E2" s="82">
        <v>5423800</v>
      </c>
      <c r="F2" s="83"/>
      <c r="G2" s="84"/>
      <c r="H2" s="68" t="s">
        <v>131</v>
      </c>
      <c r="I2" s="69">
        <f t="shared" ref="I2:I33" si="2">IFERROR(INDEX(C:C, MATCH(H2, B:B, 0)), 0)</f>
        <v>5423800</v>
      </c>
      <c r="J2" s="85">
        <v>1</v>
      </c>
      <c r="K2" s="69">
        <f>IFERROR(INDEX('Dự án'!$I:$I, MATCH(H2, 'Dự án'!$H:$H, 0)), 0)</f>
        <v>650000</v>
      </c>
      <c r="L2" s="212">
        <f t="shared" ref="L2:L33" si="3">IF(AND(J2=0.8, K2=0), 0.9, 1)</f>
        <v>1</v>
      </c>
      <c r="M2" s="59"/>
      <c r="N2" s="59"/>
      <c r="O2" s="7"/>
      <c r="P2" s="7"/>
      <c r="Q2" s="7"/>
      <c r="R2" s="7"/>
      <c r="S2" s="7"/>
      <c r="T2" s="7"/>
      <c r="U2" s="7"/>
      <c r="V2" s="7"/>
    </row>
    <row r="3" spans="1:22" ht="15.75" customHeight="1">
      <c r="A3" s="35" t="s">
        <v>26</v>
      </c>
      <c r="B3" s="36" t="s">
        <v>133</v>
      </c>
      <c r="C3" s="80">
        <f t="shared" si="0"/>
        <v>6838500</v>
      </c>
      <c r="D3" s="211">
        <f t="shared" si="1"/>
        <v>1</v>
      </c>
      <c r="E3" s="82">
        <v>6838500</v>
      </c>
      <c r="F3" s="83"/>
      <c r="G3" s="84"/>
      <c r="H3" s="68" t="s">
        <v>133</v>
      </c>
      <c r="I3" s="69">
        <f t="shared" si="2"/>
        <v>6838500</v>
      </c>
      <c r="J3" s="85">
        <v>1</v>
      </c>
      <c r="K3" s="69">
        <f>IFERROR(INDEX('Dự án'!$I:$I, MATCH(H3, 'Dự án'!$H:$H, 0)), 0)</f>
        <v>2150000</v>
      </c>
      <c r="L3" s="212">
        <f t="shared" si="3"/>
        <v>1</v>
      </c>
      <c r="M3" s="59"/>
      <c r="N3" s="59"/>
      <c r="O3" s="7"/>
      <c r="P3" s="7"/>
      <c r="Q3" s="7"/>
      <c r="R3" s="7"/>
      <c r="S3" s="7"/>
      <c r="T3" s="7"/>
      <c r="U3" s="7"/>
      <c r="V3" s="7"/>
    </row>
    <row r="4" spans="1:22" ht="15.75" customHeight="1">
      <c r="A4" s="35" t="s">
        <v>26</v>
      </c>
      <c r="B4" s="44" t="s">
        <v>132</v>
      </c>
      <c r="C4" s="80">
        <f t="shared" si="0"/>
        <v>4697300</v>
      </c>
      <c r="D4" s="211">
        <f t="shared" si="1"/>
        <v>1</v>
      </c>
      <c r="E4" s="86">
        <v>4697300</v>
      </c>
      <c r="F4" s="83"/>
      <c r="G4" s="84"/>
      <c r="H4" s="68" t="s">
        <v>132</v>
      </c>
      <c r="I4" s="69">
        <f t="shared" si="2"/>
        <v>4697300</v>
      </c>
      <c r="J4" s="85">
        <v>1</v>
      </c>
      <c r="K4" s="69">
        <f>IFERROR(INDEX('Dự án'!$I:$I, MATCH(H4, 'Dự án'!$H:$H, 0)), 0)</f>
        <v>100000</v>
      </c>
      <c r="L4" s="212">
        <f t="shared" si="3"/>
        <v>1</v>
      </c>
      <c r="M4" s="75"/>
      <c r="N4" s="75"/>
      <c r="O4" s="7"/>
      <c r="P4" s="7"/>
      <c r="Q4" s="7"/>
      <c r="R4" s="7"/>
      <c r="S4" s="7"/>
      <c r="T4" s="7"/>
      <c r="U4" s="7"/>
      <c r="V4" s="7"/>
    </row>
    <row r="5" spans="1:22" ht="15.75" customHeight="1">
      <c r="A5" s="35" t="s">
        <v>26</v>
      </c>
      <c r="B5" s="36" t="s">
        <v>134</v>
      </c>
      <c r="C5" s="80">
        <f t="shared" si="0"/>
        <v>7370500</v>
      </c>
      <c r="D5" s="211">
        <f t="shared" si="1"/>
        <v>1</v>
      </c>
      <c r="E5" s="82">
        <v>7370500</v>
      </c>
      <c r="F5" s="83"/>
      <c r="G5" s="84"/>
      <c r="H5" s="68" t="s">
        <v>134</v>
      </c>
      <c r="I5" s="69">
        <f t="shared" si="2"/>
        <v>7370500</v>
      </c>
      <c r="J5" s="85">
        <v>1</v>
      </c>
      <c r="K5" s="69">
        <f>IFERROR(INDEX('Dự án'!$I:$I, MATCH(H5, 'Dự án'!$H:$H, 0)), 0)</f>
        <v>950000</v>
      </c>
      <c r="L5" s="212">
        <f t="shared" si="3"/>
        <v>1</v>
      </c>
      <c r="M5" s="75"/>
      <c r="N5" s="75"/>
      <c r="O5" s="7"/>
      <c r="P5" s="7"/>
      <c r="Q5" s="7"/>
      <c r="R5" s="7"/>
      <c r="S5" s="7"/>
      <c r="T5" s="7"/>
      <c r="U5" s="7"/>
      <c r="V5" s="7"/>
    </row>
    <row r="6" spans="1:22" ht="15.75" customHeight="1">
      <c r="A6" s="35" t="s">
        <v>25</v>
      </c>
      <c r="B6" s="36" t="s">
        <v>126</v>
      </c>
      <c r="C6" s="80">
        <f t="shared" si="0"/>
        <v>472750</v>
      </c>
      <c r="D6" s="211">
        <f t="shared" si="1"/>
        <v>1</v>
      </c>
      <c r="E6" s="82">
        <v>472750</v>
      </c>
      <c r="F6" s="83"/>
      <c r="G6" s="84"/>
      <c r="H6" s="68" t="s">
        <v>126</v>
      </c>
      <c r="I6" s="69">
        <f t="shared" si="2"/>
        <v>472750</v>
      </c>
      <c r="J6" s="85">
        <v>1</v>
      </c>
      <c r="K6" s="69">
        <f>IFERROR(INDEX('Dự án'!$I:$I, MATCH(H6, 'Dự án'!$H:$H, 0)), 0)</f>
        <v>0</v>
      </c>
      <c r="L6" s="212">
        <f t="shared" si="3"/>
        <v>1</v>
      </c>
      <c r="M6" s="75"/>
      <c r="N6" s="75"/>
      <c r="O6" s="7"/>
      <c r="P6" s="7"/>
      <c r="Q6" s="7"/>
      <c r="R6" s="7"/>
      <c r="S6" s="7"/>
      <c r="T6" s="7"/>
      <c r="U6" s="7"/>
      <c r="V6" s="7"/>
    </row>
    <row r="7" spans="1:22" ht="15.75" customHeight="1">
      <c r="A7" s="35" t="s">
        <v>25</v>
      </c>
      <c r="B7" s="36" t="s">
        <v>127</v>
      </c>
      <c r="C7" s="80">
        <f t="shared" si="0"/>
        <v>6729100</v>
      </c>
      <c r="D7" s="211">
        <f t="shared" si="1"/>
        <v>1</v>
      </c>
      <c r="E7" s="87">
        <v>6729100</v>
      </c>
      <c r="F7" s="88"/>
      <c r="G7" s="84"/>
      <c r="H7" s="68" t="s">
        <v>127</v>
      </c>
      <c r="I7" s="69">
        <f t="shared" si="2"/>
        <v>6729100</v>
      </c>
      <c r="J7" s="85">
        <v>1</v>
      </c>
      <c r="K7" s="70">
        <f>IFERROR(INDEX('Dự án'!$I:$I, MATCH(H7, 'Dự án'!$H:$H, 0)), 0)</f>
        <v>1650000</v>
      </c>
      <c r="L7" s="212">
        <f t="shared" si="3"/>
        <v>1</v>
      </c>
      <c r="M7" s="75"/>
      <c r="N7" s="75"/>
      <c r="O7" s="7"/>
      <c r="P7" s="7"/>
      <c r="Q7" s="7"/>
      <c r="R7" s="7"/>
      <c r="S7" s="7"/>
      <c r="T7" s="7"/>
      <c r="U7" s="7"/>
      <c r="V7" s="7"/>
    </row>
    <row r="8" spans="1:22" ht="15.75" customHeight="1">
      <c r="A8" s="35" t="s">
        <v>25</v>
      </c>
      <c r="B8" s="36" t="s">
        <v>129</v>
      </c>
      <c r="C8" s="80">
        <f t="shared" si="0"/>
        <v>5186750</v>
      </c>
      <c r="D8" s="211">
        <f t="shared" si="1"/>
        <v>1</v>
      </c>
      <c r="E8" s="87">
        <v>5186750</v>
      </c>
      <c r="F8" s="88"/>
      <c r="G8" s="84"/>
      <c r="H8" s="68" t="s">
        <v>129</v>
      </c>
      <c r="I8" s="69">
        <f t="shared" si="2"/>
        <v>5186750</v>
      </c>
      <c r="J8" s="85">
        <v>1</v>
      </c>
      <c r="K8" s="70">
        <f>IFERROR(INDEX('Dự án'!$I:$I, MATCH(H8, 'Dự án'!$H:$H, 0)), 0)</f>
        <v>1150000</v>
      </c>
      <c r="L8" s="212">
        <f t="shared" si="3"/>
        <v>1</v>
      </c>
      <c r="M8" s="75"/>
      <c r="N8" s="75"/>
      <c r="O8" s="7"/>
      <c r="P8" s="7"/>
      <c r="Q8" s="7"/>
      <c r="R8" s="7"/>
      <c r="S8" s="7"/>
      <c r="T8" s="7"/>
      <c r="U8" s="7"/>
      <c r="V8" s="7"/>
    </row>
    <row r="9" spans="1:22" ht="15.75" customHeight="1">
      <c r="A9" s="35" t="s">
        <v>25</v>
      </c>
      <c r="B9" s="36" t="s">
        <v>128</v>
      </c>
      <c r="C9" s="80">
        <f t="shared" si="0"/>
        <v>4555900</v>
      </c>
      <c r="D9" s="211">
        <f t="shared" si="1"/>
        <v>1</v>
      </c>
      <c r="E9" s="89">
        <v>4555900</v>
      </c>
      <c r="F9" s="88"/>
      <c r="G9" s="84"/>
      <c r="H9" s="68" t="s">
        <v>128</v>
      </c>
      <c r="I9" s="69">
        <f t="shared" si="2"/>
        <v>4555900</v>
      </c>
      <c r="J9" s="85">
        <v>1</v>
      </c>
      <c r="K9" s="70">
        <f>IFERROR(INDEX('Dự án'!$I:$I, MATCH(H9, 'Dự án'!$H:$H, 0)), 0)</f>
        <v>1550000</v>
      </c>
      <c r="L9" s="212">
        <f t="shared" si="3"/>
        <v>1</v>
      </c>
      <c r="M9" s="75"/>
      <c r="N9" s="75"/>
      <c r="O9" s="7"/>
      <c r="P9" s="7"/>
      <c r="Q9" s="7"/>
      <c r="R9" s="7"/>
      <c r="S9" s="7"/>
      <c r="T9" s="7"/>
      <c r="U9" s="7"/>
      <c r="V9" s="7"/>
    </row>
    <row r="10" spans="1:22" ht="15.75" customHeight="1">
      <c r="A10" s="35" t="s">
        <v>25</v>
      </c>
      <c r="B10" s="44" t="s">
        <v>130</v>
      </c>
      <c r="C10" s="80">
        <f t="shared" si="0"/>
        <v>1520650</v>
      </c>
      <c r="D10" s="211">
        <f t="shared" si="1"/>
        <v>1</v>
      </c>
      <c r="E10" s="87">
        <v>1520650</v>
      </c>
      <c r="F10" s="88"/>
      <c r="G10" s="84"/>
      <c r="H10" s="68" t="s">
        <v>130</v>
      </c>
      <c r="I10" s="69">
        <f t="shared" si="2"/>
        <v>1520650</v>
      </c>
      <c r="J10" s="85">
        <v>1</v>
      </c>
      <c r="K10" s="70">
        <f>IFERROR(INDEX('Dự án'!$I:$I, MATCH(H10, 'Dự án'!$H:$H, 0)), 0)</f>
        <v>0</v>
      </c>
      <c r="L10" s="212">
        <f t="shared" si="3"/>
        <v>1</v>
      </c>
      <c r="M10" s="75"/>
      <c r="N10" s="75"/>
      <c r="O10" s="7"/>
      <c r="P10" s="7"/>
      <c r="Q10" s="7"/>
      <c r="R10" s="7"/>
      <c r="S10" s="7"/>
      <c r="T10" s="7"/>
      <c r="U10" s="7"/>
      <c r="V10" s="7"/>
    </row>
    <row r="11" spans="1:22" ht="15.75" customHeight="1">
      <c r="A11" s="35" t="s">
        <v>15</v>
      </c>
      <c r="B11" s="44" t="s">
        <v>74</v>
      </c>
      <c r="C11" s="80">
        <f t="shared" si="0"/>
        <v>1280200</v>
      </c>
      <c r="D11" s="211">
        <f t="shared" si="1"/>
        <v>1</v>
      </c>
      <c r="E11" s="87">
        <v>1280200</v>
      </c>
      <c r="F11" s="88"/>
      <c r="G11" s="84"/>
      <c r="H11" s="68" t="s">
        <v>74</v>
      </c>
      <c r="I11" s="69">
        <f t="shared" si="2"/>
        <v>1280200</v>
      </c>
      <c r="J11" s="85">
        <v>1</v>
      </c>
      <c r="K11" s="70">
        <f>IFERROR(INDEX('Dự án'!$I:$I, MATCH(H11, 'Dự án'!$H:$H, 0)), 0)</f>
        <v>0</v>
      </c>
      <c r="L11" s="212">
        <f t="shared" si="3"/>
        <v>1</v>
      </c>
      <c r="M11" s="75"/>
      <c r="N11" s="75"/>
      <c r="O11" s="7"/>
      <c r="P11" s="7"/>
      <c r="Q11" s="7"/>
      <c r="R11" s="7"/>
      <c r="S11" s="7"/>
      <c r="T11" s="7"/>
      <c r="U11" s="7"/>
      <c r="V11" s="7"/>
    </row>
    <row r="12" spans="1:22" ht="15.75" customHeight="1">
      <c r="A12" s="35" t="s">
        <v>15</v>
      </c>
      <c r="B12" s="44" t="s">
        <v>82</v>
      </c>
      <c r="C12" s="80">
        <f t="shared" si="0"/>
        <v>1686900</v>
      </c>
      <c r="D12" s="211">
        <f t="shared" si="1"/>
        <v>1</v>
      </c>
      <c r="E12" s="87">
        <v>1686900</v>
      </c>
      <c r="F12" s="88"/>
      <c r="G12" s="84"/>
      <c r="H12" s="68" t="s">
        <v>82</v>
      </c>
      <c r="I12" s="69">
        <f t="shared" si="2"/>
        <v>1686900</v>
      </c>
      <c r="J12" s="85">
        <v>1</v>
      </c>
      <c r="K12" s="70">
        <f>IFERROR(INDEX('Dự án'!$I:$I, MATCH(H12, 'Dự án'!$H:$H, 0)), 0)</f>
        <v>0</v>
      </c>
      <c r="L12" s="212">
        <f t="shared" si="3"/>
        <v>1</v>
      </c>
      <c r="M12" s="75"/>
      <c r="N12" s="75"/>
      <c r="O12" s="7"/>
      <c r="P12" s="7"/>
      <c r="Q12" s="7"/>
      <c r="R12" s="7"/>
      <c r="S12" s="7"/>
      <c r="T12" s="7"/>
      <c r="U12" s="7"/>
      <c r="V12" s="7"/>
    </row>
    <row r="13" spans="1:22" ht="15.75" customHeight="1">
      <c r="A13" s="35" t="s">
        <v>15</v>
      </c>
      <c r="B13" s="44" t="s">
        <v>76</v>
      </c>
      <c r="C13" s="80">
        <f t="shared" si="0"/>
        <v>579960</v>
      </c>
      <c r="D13" s="211">
        <f t="shared" si="1"/>
        <v>0.9</v>
      </c>
      <c r="E13" s="87">
        <v>644400</v>
      </c>
      <c r="F13" s="88"/>
      <c r="G13" s="84"/>
      <c r="H13" s="68" t="s">
        <v>76</v>
      </c>
      <c r="I13" s="69">
        <f t="shared" si="2"/>
        <v>579960</v>
      </c>
      <c r="J13" s="85">
        <v>0.8</v>
      </c>
      <c r="K13" s="70">
        <f>IFERROR(INDEX('Dự án'!$I:$I, MATCH(H13, 'Dự án'!$H:$H, 0)), 0)</f>
        <v>0</v>
      </c>
      <c r="L13" s="212">
        <f t="shared" si="3"/>
        <v>0.9</v>
      </c>
      <c r="M13" s="75"/>
      <c r="N13" s="75"/>
      <c r="O13" s="7"/>
      <c r="P13" s="7"/>
      <c r="Q13" s="7"/>
      <c r="R13" s="7"/>
      <c r="S13" s="7"/>
      <c r="T13" s="7"/>
      <c r="U13" s="7"/>
      <c r="V13" s="7"/>
    </row>
    <row r="14" spans="1:22" ht="15.75" customHeight="1">
      <c r="A14" s="35" t="s">
        <v>15</v>
      </c>
      <c r="B14" s="36" t="s">
        <v>83</v>
      </c>
      <c r="C14" s="80">
        <f t="shared" si="0"/>
        <v>3808150</v>
      </c>
      <c r="D14" s="211">
        <f t="shared" si="1"/>
        <v>1</v>
      </c>
      <c r="E14" s="90">
        <v>3808150</v>
      </c>
      <c r="F14" s="83"/>
      <c r="G14" s="84"/>
      <c r="H14" s="68" t="s">
        <v>83</v>
      </c>
      <c r="I14" s="69">
        <f t="shared" si="2"/>
        <v>3808150</v>
      </c>
      <c r="J14" s="85">
        <v>1</v>
      </c>
      <c r="K14" s="70">
        <f>IFERROR(INDEX('Dự án'!$I:$I, MATCH(H14, 'Dự án'!$H:$H, 0)), 0)</f>
        <v>2800000</v>
      </c>
      <c r="L14" s="212">
        <f t="shared" si="3"/>
        <v>1</v>
      </c>
      <c r="M14" s="75"/>
      <c r="N14" s="75"/>
      <c r="O14" s="7"/>
      <c r="P14" s="7"/>
      <c r="Q14" s="7"/>
      <c r="R14" s="7"/>
      <c r="S14" s="7"/>
      <c r="T14" s="7"/>
      <c r="U14" s="7"/>
      <c r="V14" s="7"/>
    </row>
    <row r="15" spans="1:22" ht="15.75" customHeight="1">
      <c r="A15" s="35" t="s">
        <v>15</v>
      </c>
      <c r="B15" s="36" t="s">
        <v>80</v>
      </c>
      <c r="C15" s="80">
        <f t="shared" si="0"/>
        <v>1011600</v>
      </c>
      <c r="D15" s="211">
        <f t="shared" si="1"/>
        <v>0.9</v>
      </c>
      <c r="E15" s="82">
        <v>1124000</v>
      </c>
      <c r="F15" s="83"/>
      <c r="G15" s="84"/>
      <c r="H15" s="68" t="s">
        <v>80</v>
      </c>
      <c r="I15" s="69">
        <f t="shared" si="2"/>
        <v>1011600</v>
      </c>
      <c r="J15" s="85">
        <v>0.8</v>
      </c>
      <c r="K15" s="70">
        <f>IFERROR(INDEX('Dự án'!$I:$I, MATCH(H15, 'Dự án'!$H:$H, 0)), 0)</f>
        <v>0</v>
      </c>
      <c r="L15" s="212">
        <f t="shared" si="3"/>
        <v>0.9</v>
      </c>
      <c r="M15" s="75"/>
      <c r="N15" s="75"/>
      <c r="O15" s="7"/>
      <c r="P15" s="7"/>
      <c r="Q15" s="7"/>
      <c r="R15" s="7"/>
      <c r="S15" s="7"/>
      <c r="T15" s="7"/>
      <c r="U15" s="7"/>
      <c r="V15" s="7"/>
    </row>
    <row r="16" spans="1:22" ht="15.75" customHeight="1">
      <c r="A16" s="35" t="s">
        <v>15</v>
      </c>
      <c r="B16" s="36" t="s">
        <v>78</v>
      </c>
      <c r="C16" s="80">
        <f t="shared" si="0"/>
        <v>3537750</v>
      </c>
      <c r="D16" s="211">
        <f t="shared" si="1"/>
        <v>1</v>
      </c>
      <c r="E16" s="82">
        <v>3537750</v>
      </c>
      <c r="F16" s="83"/>
      <c r="G16" s="84"/>
      <c r="H16" s="68" t="s">
        <v>78</v>
      </c>
      <c r="I16" s="69">
        <f t="shared" si="2"/>
        <v>3537750</v>
      </c>
      <c r="J16" s="85">
        <v>1</v>
      </c>
      <c r="K16" s="70">
        <f>IFERROR(INDEX('Dự án'!$I:$I, MATCH(H16, 'Dự án'!$H:$H, 0)), 0)</f>
        <v>2200000</v>
      </c>
      <c r="L16" s="212">
        <f t="shared" si="3"/>
        <v>1</v>
      </c>
      <c r="M16" s="75"/>
      <c r="N16" s="75"/>
      <c r="O16" s="7"/>
      <c r="P16" s="7"/>
      <c r="Q16" s="7"/>
      <c r="R16" s="7"/>
      <c r="S16" s="7"/>
      <c r="T16" s="7"/>
      <c r="U16" s="7"/>
      <c r="V16" s="7"/>
    </row>
    <row r="17" spans="1:22" ht="15.75" customHeight="1">
      <c r="A17" s="35" t="s">
        <v>17</v>
      </c>
      <c r="B17" s="36" t="s">
        <v>86</v>
      </c>
      <c r="C17" s="80">
        <f t="shared" si="0"/>
        <v>629100</v>
      </c>
      <c r="D17" s="211">
        <f t="shared" si="1"/>
        <v>1</v>
      </c>
      <c r="E17" s="82">
        <v>629100</v>
      </c>
      <c r="F17" s="83"/>
      <c r="G17" s="84"/>
      <c r="H17" s="68" t="s">
        <v>86</v>
      </c>
      <c r="I17" s="69">
        <f t="shared" si="2"/>
        <v>629100</v>
      </c>
      <c r="J17" s="85">
        <v>1</v>
      </c>
      <c r="K17" s="70">
        <f>IFERROR(INDEX('Dự án'!$I:$I, MATCH(H17, 'Dự án'!$H:$H, 0)), 0)</f>
        <v>0</v>
      </c>
      <c r="L17" s="212">
        <f t="shared" si="3"/>
        <v>1</v>
      </c>
      <c r="M17" s="75"/>
      <c r="N17" s="75"/>
      <c r="O17" s="7"/>
      <c r="P17" s="7"/>
      <c r="Q17" s="7"/>
      <c r="R17" s="7"/>
      <c r="S17" s="7"/>
      <c r="T17" s="7"/>
      <c r="U17" s="7"/>
      <c r="V17" s="7"/>
    </row>
    <row r="18" spans="1:22" ht="15.75" customHeight="1">
      <c r="A18" s="35" t="s">
        <v>17</v>
      </c>
      <c r="B18" s="36" t="s">
        <v>87</v>
      </c>
      <c r="C18" s="80">
        <f t="shared" si="0"/>
        <v>867600</v>
      </c>
      <c r="D18" s="211">
        <f t="shared" si="1"/>
        <v>1</v>
      </c>
      <c r="E18" s="82">
        <v>867600</v>
      </c>
      <c r="F18" s="83"/>
      <c r="G18" s="84"/>
      <c r="H18" s="68" t="s">
        <v>87</v>
      </c>
      <c r="I18" s="69">
        <f t="shared" si="2"/>
        <v>867600</v>
      </c>
      <c r="J18" s="85">
        <v>1</v>
      </c>
      <c r="K18" s="70">
        <f>IFERROR(INDEX('Dự án'!$I:$I, MATCH(H18, 'Dự án'!$H:$H, 0)), 0)</f>
        <v>0</v>
      </c>
      <c r="L18" s="212">
        <f t="shared" si="3"/>
        <v>1</v>
      </c>
      <c r="M18" s="75"/>
      <c r="N18" s="75"/>
      <c r="O18" s="7"/>
      <c r="P18" s="7"/>
      <c r="Q18" s="7"/>
      <c r="R18" s="7"/>
      <c r="S18" s="7"/>
      <c r="T18" s="7"/>
      <c r="U18" s="7"/>
      <c r="V18" s="7"/>
    </row>
    <row r="19" spans="1:22" ht="15.75" customHeight="1">
      <c r="A19" s="35" t="s">
        <v>17</v>
      </c>
      <c r="B19" s="36" t="s">
        <v>84</v>
      </c>
      <c r="C19" s="80">
        <f t="shared" si="0"/>
        <v>688400</v>
      </c>
      <c r="D19" s="211">
        <f t="shared" si="1"/>
        <v>1</v>
      </c>
      <c r="E19" s="82">
        <v>688400</v>
      </c>
      <c r="F19" s="83"/>
      <c r="G19" s="84"/>
      <c r="H19" s="68" t="s">
        <v>84</v>
      </c>
      <c r="I19" s="69">
        <f t="shared" si="2"/>
        <v>688400</v>
      </c>
      <c r="J19" s="85">
        <v>1</v>
      </c>
      <c r="K19" s="70">
        <f>IFERROR(INDEX('Dự án'!$I:$I, MATCH(H19, 'Dự án'!$H:$H, 0)), 0)</f>
        <v>0</v>
      </c>
      <c r="L19" s="212">
        <f t="shared" si="3"/>
        <v>1</v>
      </c>
      <c r="M19" s="75"/>
      <c r="N19" s="75"/>
      <c r="O19" s="7"/>
      <c r="P19" s="7"/>
      <c r="Q19" s="7"/>
      <c r="R19" s="7"/>
      <c r="S19" s="7"/>
      <c r="T19" s="7"/>
      <c r="U19" s="7"/>
      <c r="V19" s="7"/>
    </row>
    <row r="20" spans="1:22" ht="15.75" customHeight="1">
      <c r="A20" s="35" t="s">
        <v>17</v>
      </c>
      <c r="B20" s="36" t="s">
        <v>89</v>
      </c>
      <c r="C20" s="80">
        <f t="shared" si="0"/>
        <v>1723400</v>
      </c>
      <c r="D20" s="211">
        <f t="shared" si="1"/>
        <v>1</v>
      </c>
      <c r="E20" s="82">
        <v>1723400</v>
      </c>
      <c r="F20" s="83"/>
      <c r="G20" s="84"/>
      <c r="H20" s="68" t="s">
        <v>89</v>
      </c>
      <c r="I20" s="69">
        <f t="shared" si="2"/>
        <v>1723400</v>
      </c>
      <c r="J20" s="85">
        <v>1</v>
      </c>
      <c r="K20" s="70">
        <f>IFERROR(INDEX('Dự án'!$I:$I, MATCH(H20, 'Dự án'!$H:$H, 0)), 0)</f>
        <v>0</v>
      </c>
      <c r="L20" s="212">
        <f t="shared" si="3"/>
        <v>1</v>
      </c>
      <c r="M20" s="75"/>
      <c r="N20" s="75"/>
      <c r="O20" s="7"/>
      <c r="P20" s="7"/>
      <c r="Q20" s="7"/>
      <c r="R20" s="7"/>
      <c r="S20" s="7"/>
      <c r="T20" s="7"/>
      <c r="U20" s="7"/>
      <c r="V20" s="7"/>
    </row>
    <row r="21" spans="1:22" ht="15.75" customHeight="1">
      <c r="A21" s="35" t="s">
        <v>17</v>
      </c>
      <c r="B21" s="36" t="s">
        <v>90</v>
      </c>
      <c r="C21" s="80">
        <f t="shared" si="0"/>
        <v>1139700</v>
      </c>
      <c r="D21" s="211">
        <f t="shared" si="1"/>
        <v>1</v>
      </c>
      <c r="E21" s="82">
        <v>1139700</v>
      </c>
      <c r="F21" s="83"/>
      <c r="G21" s="84"/>
      <c r="H21" s="68" t="s">
        <v>90</v>
      </c>
      <c r="I21" s="69">
        <f t="shared" si="2"/>
        <v>1139700</v>
      </c>
      <c r="J21" s="85">
        <v>1</v>
      </c>
      <c r="K21" s="70">
        <f>IFERROR(INDEX('Dự án'!$I:$I, MATCH(H21, 'Dự án'!$H:$H, 0)), 0)</f>
        <v>0</v>
      </c>
      <c r="L21" s="212">
        <f t="shared" si="3"/>
        <v>1</v>
      </c>
      <c r="M21" s="75"/>
      <c r="N21" s="75"/>
      <c r="O21" s="7"/>
      <c r="P21" s="7"/>
      <c r="Q21" s="7"/>
      <c r="R21" s="7"/>
      <c r="S21" s="7"/>
      <c r="T21" s="7"/>
      <c r="U21" s="7"/>
      <c r="V21" s="7"/>
    </row>
    <row r="22" spans="1:22" ht="15.75" customHeight="1">
      <c r="A22" s="35" t="s">
        <v>18</v>
      </c>
      <c r="B22" s="36" t="s">
        <v>91</v>
      </c>
      <c r="C22" s="80">
        <f t="shared" si="0"/>
        <v>1446150</v>
      </c>
      <c r="D22" s="211">
        <f t="shared" si="1"/>
        <v>1</v>
      </c>
      <c r="E22" s="82">
        <v>1446150</v>
      </c>
      <c r="F22" s="83"/>
      <c r="G22" s="84"/>
      <c r="H22" s="68" t="s">
        <v>91</v>
      </c>
      <c r="I22" s="69">
        <f t="shared" si="2"/>
        <v>1446150</v>
      </c>
      <c r="J22" s="85">
        <v>1</v>
      </c>
      <c r="K22" s="70">
        <f>IFERROR(INDEX('Dự án'!$I:$I, MATCH(H22, 'Dự án'!$H:$H, 0)), 0)</f>
        <v>0</v>
      </c>
      <c r="L22" s="212">
        <f t="shared" si="3"/>
        <v>1</v>
      </c>
      <c r="M22" s="75"/>
      <c r="N22" s="75"/>
      <c r="O22" s="7"/>
      <c r="P22" s="7"/>
      <c r="Q22" s="7"/>
      <c r="R22" s="7"/>
      <c r="S22" s="7"/>
      <c r="T22" s="7"/>
      <c r="U22" s="7"/>
      <c r="V22" s="7"/>
    </row>
    <row r="23" spans="1:22" ht="15.75" customHeight="1">
      <c r="A23" s="35" t="s">
        <v>18</v>
      </c>
      <c r="B23" s="36" t="s">
        <v>93</v>
      </c>
      <c r="C23" s="80">
        <f t="shared" si="0"/>
        <v>3048900</v>
      </c>
      <c r="D23" s="211">
        <f t="shared" si="1"/>
        <v>1</v>
      </c>
      <c r="E23" s="82">
        <v>3048900</v>
      </c>
      <c r="F23" s="83"/>
      <c r="G23" s="84"/>
      <c r="H23" s="68" t="s">
        <v>93</v>
      </c>
      <c r="I23" s="69">
        <f t="shared" si="2"/>
        <v>3048900</v>
      </c>
      <c r="J23" s="85">
        <v>1</v>
      </c>
      <c r="K23" s="70">
        <f>IFERROR(INDEX('Dự án'!$I:$I, MATCH(H23, 'Dự án'!$H:$H, 0)), 0)</f>
        <v>1000000</v>
      </c>
      <c r="L23" s="212">
        <f t="shared" si="3"/>
        <v>1</v>
      </c>
      <c r="M23" s="91"/>
      <c r="N23" s="91"/>
      <c r="O23" s="92"/>
      <c r="P23" s="92"/>
      <c r="Q23" s="92"/>
      <c r="R23" s="92"/>
      <c r="S23" s="92"/>
      <c r="T23" s="92"/>
      <c r="U23" s="92"/>
      <c r="V23" s="92"/>
    </row>
    <row r="24" spans="1:22" ht="15.75" customHeight="1">
      <c r="A24" s="35" t="s">
        <v>18</v>
      </c>
      <c r="B24" s="36" t="s">
        <v>92</v>
      </c>
      <c r="C24" s="80">
        <f t="shared" si="0"/>
        <v>4854450</v>
      </c>
      <c r="D24" s="211">
        <f t="shared" si="1"/>
        <v>1</v>
      </c>
      <c r="E24" s="82">
        <v>4854450</v>
      </c>
      <c r="F24" s="83"/>
      <c r="G24" s="84"/>
      <c r="H24" s="68" t="s">
        <v>92</v>
      </c>
      <c r="I24" s="69">
        <f t="shared" si="2"/>
        <v>4854450</v>
      </c>
      <c r="J24" s="85">
        <v>1</v>
      </c>
      <c r="K24" s="70">
        <f>IFERROR(INDEX('Dự án'!$I:$I, MATCH(H24, 'Dự án'!$H:$H, 0)), 0)</f>
        <v>4000000</v>
      </c>
      <c r="L24" s="212">
        <f t="shared" si="3"/>
        <v>1</v>
      </c>
      <c r="M24" s="75"/>
      <c r="N24" s="75"/>
      <c r="O24" s="7"/>
      <c r="P24" s="7"/>
      <c r="Q24" s="7"/>
      <c r="R24" s="7"/>
      <c r="S24" s="7"/>
      <c r="T24" s="7"/>
      <c r="U24" s="7"/>
      <c r="V24" s="7"/>
    </row>
    <row r="25" spans="1:22" ht="15.75" customHeight="1">
      <c r="A25" s="35" t="s">
        <v>18</v>
      </c>
      <c r="B25" s="36" t="s">
        <v>94</v>
      </c>
      <c r="C25" s="80">
        <f t="shared" si="0"/>
        <v>380880</v>
      </c>
      <c r="D25" s="211">
        <f t="shared" si="1"/>
        <v>0.9</v>
      </c>
      <c r="E25" s="82">
        <v>423200</v>
      </c>
      <c r="F25" s="83"/>
      <c r="G25" s="84"/>
      <c r="H25" s="68" t="s">
        <v>94</v>
      </c>
      <c r="I25" s="69">
        <f t="shared" si="2"/>
        <v>380880</v>
      </c>
      <c r="J25" s="85">
        <v>0.8</v>
      </c>
      <c r="K25" s="70">
        <f>IFERROR(INDEX('Dự án'!$I:$I, MATCH(H25, 'Dự án'!$H:$H, 0)), 0)</f>
        <v>0</v>
      </c>
      <c r="L25" s="212">
        <f t="shared" si="3"/>
        <v>0.9</v>
      </c>
      <c r="M25" s="75"/>
      <c r="N25" s="75"/>
      <c r="O25" s="7"/>
      <c r="P25" s="7"/>
      <c r="Q25" s="7"/>
      <c r="R25" s="7"/>
      <c r="S25" s="7"/>
      <c r="T25" s="7"/>
      <c r="U25" s="7"/>
      <c r="V25" s="7"/>
    </row>
    <row r="26" spans="1:22" ht="15.75" customHeight="1">
      <c r="A26" s="35" t="s">
        <v>19</v>
      </c>
      <c r="B26" s="36" t="s">
        <v>96</v>
      </c>
      <c r="C26" s="80">
        <f t="shared" si="0"/>
        <v>2444050</v>
      </c>
      <c r="D26" s="211">
        <f t="shared" si="1"/>
        <v>1</v>
      </c>
      <c r="E26" s="87">
        <v>2444050</v>
      </c>
      <c r="F26" s="88"/>
      <c r="G26" s="84"/>
      <c r="H26" s="68" t="s">
        <v>96</v>
      </c>
      <c r="I26" s="69">
        <f t="shared" si="2"/>
        <v>2444050</v>
      </c>
      <c r="J26" s="85">
        <v>1</v>
      </c>
      <c r="K26" s="70">
        <f>IFERROR(INDEX('Dự án'!$I:$I, MATCH(H26, 'Dự án'!$H:$H, 0)), 0)</f>
        <v>1600000</v>
      </c>
      <c r="L26" s="212">
        <f t="shared" si="3"/>
        <v>1</v>
      </c>
      <c r="M26" s="75"/>
      <c r="N26" s="75"/>
      <c r="O26" s="7"/>
      <c r="P26" s="7"/>
      <c r="Q26" s="7"/>
      <c r="R26" s="7"/>
      <c r="S26" s="7"/>
      <c r="T26" s="7"/>
      <c r="U26" s="7"/>
      <c r="V26" s="7"/>
    </row>
    <row r="27" spans="1:22" ht="15.75" customHeight="1">
      <c r="A27" s="35" t="s">
        <v>19</v>
      </c>
      <c r="B27" s="36" t="s">
        <v>100</v>
      </c>
      <c r="C27" s="80">
        <f t="shared" si="0"/>
        <v>751700</v>
      </c>
      <c r="D27" s="211">
        <f t="shared" si="1"/>
        <v>1</v>
      </c>
      <c r="E27" s="87">
        <v>751700</v>
      </c>
      <c r="F27" s="88"/>
      <c r="G27" s="7"/>
      <c r="H27" s="76" t="s">
        <v>100</v>
      </c>
      <c r="I27" s="69">
        <f t="shared" si="2"/>
        <v>751700</v>
      </c>
      <c r="J27" s="85">
        <v>1</v>
      </c>
      <c r="K27" s="70">
        <f>IFERROR(INDEX('Dự án'!$I:$I, MATCH(H27, 'Dự án'!$H:$H, 0)), 0)</f>
        <v>0</v>
      </c>
      <c r="L27" s="212">
        <f t="shared" si="3"/>
        <v>1</v>
      </c>
      <c r="M27" s="75"/>
      <c r="N27" s="75"/>
      <c r="O27" s="7"/>
      <c r="P27" s="7"/>
      <c r="Q27" s="7"/>
      <c r="R27" s="7"/>
      <c r="S27" s="7"/>
      <c r="T27" s="7"/>
      <c r="U27" s="7"/>
      <c r="V27" s="7"/>
    </row>
    <row r="28" spans="1:22" ht="15.75" customHeight="1">
      <c r="A28" s="35" t="s">
        <v>19</v>
      </c>
      <c r="B28" s="36" t="s">
        <v>97</v>
      </c>
      <c r="C28" s="80">
        <f t="shared" si="0"/>
        <v>354690</v>
      </c>
      <c r="D28" s="211">
        <f t="shared" si="1"/>
        <v>0.9</v>
      </c>
      <c r="E28" s="87">
        <v>394100</v>
      </c>
      <c r="F28" s="88"/>
      <c r="G28" s="7"/>
      <c r="H28" s="76" t="s">
        <v>97</v>
      </c>
      <c r="I28" s="69">
        <f t="shared" si="2"/>
        <v>354690</v>
      </c>
      <c r="J28" s="85">
        <v>0.8</v>
      </c>
      <c r="K28" s="70">
        <f>IFERROR(INDEX('Dự án'!$I:$I, MATCH(H28, 'Dự án'!$H:$H, 0)), 0)</f>
        <v>0</v>
      </c>
      <c r="L28" s="212">
        <f t="shared" si="3"/>
        <v>0.9</v>
      </c>
      <c r="M28" s="75"/>
      <c r="N28" s="75"/>
      <c r="O28" s="7"/>
      <c r="P28" s="7"/>
      <c r="Q28" s="7"/>
      <c r="R28" s="7"/>
      <c r="S28" s="7"/>
      <c r="T28" s="7"/>
      <c r="U28" s="7"/>
      <c r="V28" s="7"/>
    </row>
    <row r="29" spans="1:22" ht="15.75" customHeight="1">
      <c r="A29" s="35" t="s">
        <v>19</v>
      </c>
      <c r="B29" s="36" t="s">
        <v>85</v>
      </c>
      <c r="C29" s="80">
        <f t="shared" si="0"/>
        <v>221850</v>
      </c>
      <c r="D29" s="211">
        <f t="shared" si="1"/>
        <v>0.9</v>
      </c>
      <c r="E29" s="90">
        <v>246500</v>
      </c>
      <c r="F29" s="83"/>
      <c r="G29" s="7"/>
      <c r="H29" s="76" t="s">
        <v>85</v>
      </c>
      <c r="I29" s="69">
        <f t="shared" si="2"/>
        <v>221850</v>
      </c>
      <c r="J29" s="85">
        <v>0.8</v>
      </c>
      <c r="K29" s="70">
        <f>IFERROR(INDEX('Dự án'!$I:$I, MATCH(H29, 'Dự án'!$H:$H, 0)), 0)</f>
        <v>0</v>
      </c>
      <c r="L29" s="212">
        <f t="shared" si="3"/>
        <v>0.9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75" customHeight="1">
      <c r="A30" s="35" t="s">
        <v>19</v>
      </c>
      <c r="B30" s="36" t="s">
        <v>98</v>
      </c>
      <c r="C30" s="80">
        <f t="shared" si="0"/>
        <v>857800</v>
      </c>
      <c r="D30" s="211">
        <f t="shared" si="1"/>
        <v>1</v>
      </c>
      <c r="E30" s="87">
        <v>857800</v>
      </c>
      <c r="F30" s="88"/>
      <c r="G30" s="7"/>
      <c r="H30" s="76" t="s">
        <v>98</v>
      </c>
      <c r="I30" s="69">
        <f t="shared" si="2"/>
        <v>857800</v>
      </c>
      <c r="J30" s="85">
        <v>1</v>
      </c>
      <c r="K30" s="70">
        <f>IFERROR(INDEX('Dự án'!$I:$I, MATCH(H30, 'Dự án'!$H:$H, 0)), 0)</f>
        <v>0</v>
      </c>
      <c r="L30" s="212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75" customHeight="1">
      <c r="A31" s="35" t="s">
        <v>20</v>
      </c>
      <c r="B31" s="36" t="s">
        <v>103</v>
      </c>
      <c r="C31" s="80">
        <f t="shared" si="0"/>
        <v>629300</v>
      </c>
      <c r="D31" s="211">
        <f t="shared" si="1"/>
        <v>1</v>
      </c>
      <c r="E31" s="90">
        <v>629300</v>
      </c>
      <c r="F31" s="93"/>
      <c r="G31" s="7"/>
      <c r="H31" s="76" t="s">
        <v>103</v>
      </c>
      <c r="I31" s="69">
        <f t="shared" si="2"/>
        <v>629300</v>
      </c>
      <c r="J31" s="85">
        <v>1</v>
      </c>
      <c r="K31" s="70">
        <f>IFERROR(INDEX('Dự án'!$I:$I, MATCH(H31, 'Dự án'!$H:$H, 0)), 0)</f>
        <v>0</v>
      </c>
      <c r="L31" s="212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75" customHeight="1">
      <c r="A32" s="35" t="s">
        <v>20</v>
      </c>
      <c r="B32" s="36" t="s">
        <v>108</v>
      </c>
      <c r="C32" s="80">
        <f t="shared" si="0"/>
        <v>1511400</v>
      </c>
      <c r="D32" s="211">
        <f t="shared" si="1"/>
        <v>1</v>
      </c>
      <c r="E32" s="82">
        <v>1511400</v>
      </c>
      <c r="F32" s="83"/>
      <c r="G32" s="7"/>
      <c r="H32" s="76" t="s">
        <v>108</v>
      </c>
      <c r="I32" s="69">
        <f t="shared" si="2"/>
        <v>1511400</v>
      </c>
      <c r="J32" s="85">
        <v>1</v>
      </c>
      <c r="K32" s="70">
        <f>IFERROR(INDEX('Dự án'!$I:$I, MATCH(H32, 'Dự án'!$H:$H, 0)), 0)</f>
        <v>0</v>
      </c>
      <c r="L32" s="212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75" customHeight="1">
      <c r="A33" s="35" t="s">
        <v>20</v>
      </c>
      <c r="B33" s="36" t="s">
        <v>104</v>
      </c>
      <c r="C33" s="80">
        <f t="shared" si="0"/>
        <v>1651900</v>
      </c>
      <c r="D33" s="211">
        <f t="shared" si="1"/>
        <v>1</v>
      </c>
      <c r="E33" s="86">
        <v>1651900</v>
      </c>
      <c r="F33" s="54"/>
      <c r="G33" s="7"/>
      <c r="H33" s="76" t="s">
        <v>104</v>
      </c>
      <c r="I33" s="69">
        <f t="shared" si="2"/>
        <v>1651900</v>
      </c>
      <c r="J33" s="85">
        <v>1</v>
      </c>
      <c r="K33" s="70">
        <f>IFERROR(INDEX('Dự án'!$I:$I, MATCH(H33, 'Dự án'!$H:$H, 0)), 0)</f>
        <v>0</v>
      </c>
      <c r="L33" s="212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.75" customHeight="1">
      <c r="A34" s="35" t="s">
        <v>20</v>
      </c>
      <c r="B34" s="36" t="s">
        <v>105</v>
      </c>
      <c r="C34" s="80">
        <f t="shared" ref="C34:C65" si="4">E34*D34</f>
        <v>2122400</v>
      </c>
      <c r="D34" s="211">
        <f t="shared" ref="D34:D52" si="5">IFERROR(INDEX(L:L, MATCH(B34, H:H, 0)), 1)</f>
        <v>1</v>
      </c>
      <c r="E34" s="82">
        <v>2122400</v>
      </c>
      <c r="F34" s="83"/>
      <c r="G34" s="7"/>
      <c r="H34" s="76" t="s">
        <v>105</v>
      </c>
      <c r="I34" s="69">
        <f t="shared" ref="I34:I65" si="6">IFERROR(INDEX(C:C, MATCH(H34, B:B, 0)), 0)</f>
        <v>2122400</v>
      </c>
      <c r="J34" s="85">
        <v>1</v>
      </c>
      <c r="K34" s="70">
        <f>IFERROR(INDEX('Dự án'!$I:$I, MATCH(H34, 'Dự án'!$H:$H, 0)), 0)</f>
        <v>500000</v>
      </c>
      <c r="L34" s="212">
        <f t="shared" ref="L34:L65" si="7">IF(AND(J34=0.8, K34=0), 0.9, 1)</f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.75" customHeight="1">
      <c r="A35" s="35" t="s">
        <v>20</v>
      </c>
      <c r="B35" s="36" t="s">
        <v>106</v>
      </c>
      <c r="C35" s="80">
        <f t="shared" si="4"/>
        <v>0</v>
      </c>
      <c r="D35" s="211">
        <f t="shared" si="5"/>
        <v>0.9</v>
      </c>
      <c r="E35" s="86">
        <v>0</v>
      </c>
      <c r="F35" s="54"/>
      <c r="G35" s="7"/>
      <c r="H35" s="76" t="s">
        <v>106</v>
      </c>
      <c r="I35" s="69">
        <f t="shared" si="6"/>
        <v>0</v>
      </c>
      <c r="J35" s="85">
        <v>0.8</v>
      </c>
      <c r="K35" s="70">
        <f>IFERROR(INDEX('Dự án'!$I:$I, MATCH(H35, 'Dự án'!$H:$H, 0)), 0)</f>
        <v>0</v>
      </c>
      <c r="L35" s="212">
        <f t="shared" si="7"/>
        <v>0.9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.75" customHeight="1">
      <c r="A36" s="35" t="s">
        <v>21</v>
      </c>
      <c r="B36" s="36" t="s">
        <v>112</v>
      </c>
      <c r="C36" s="80">
        <f t="shared" si="4"/>
        <v>1922350</v>
      </c>
      <c r="D36" s="211">
        <f t="shared" si="5"/>
        <v>1</v>
      </c>
      <c r="E36" s="65">
        <v>1922350</v>
      </c>
      <c r="F36" s="54"/>
      <c r="G36" s="7"/>
      <c r="H36" s="76" t="s">
        <v>112</v>
      </c>
      <c r="I36" s="69">
        <f t="shared" si="6"/>
        <v>1922350</v>
      </c>
      <c r="J36" s="85">
        <v>1</v>
      </c>
      <c r="K36" s="70">
        <f>IFERROR(INDEX('Dự án'!$I:$I, MATCH(H36, 'Dự án'!$H:$H, 0)), 0)</f>
        <v>0</v>
      </c>
      <c r="L36" s="212">
        <f t="shared" si="7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.75" customHeight="1">
      <c r="A37" s="35" t="s">
        <v>21</v>
      </c>
      <c r="B37" s="36" t="s">
        <v>110</v>
      </c>
      <c r="C37" s="80">
        <f t="shared" si="4"/>
        <v>1574500</v>
      </c>
      <c r="D37" s="211">
        <f t="shared" si="5"/>
        <v>1</v>
      </c>
      <c r="E37" s="94">
        <v>1574500</v>
      </c>
      <c r="F37" s="93"/>
      <c r="G37" s="7"/>
      <c r="H37" s="76" t="s">
        <v>110</v>
      </c>
      <c r="I37" s="69">
        <f t="shared" si="6"/>
        <v>1574500</v>
      </c>
      <c r="J37" s="85">
        <v>1</v>
      </c>
      <c r="K37" s="70">
        <f>IFERROR(INDEX('Dự án'!$I:$I, MATCH(H37, 'Dự án'!$H:$H, 0)), 0)</f>
        <v>0</v>
      </c>
      <c r="L37" s="212">
        <f t="shared" si="7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.75" customHeight="1">
      <c r="A38" s="35" t="s">
        <v>21</v>
      </c>
      <c r="B38" s="44" t="s">
        <v>113</v>
      </c>
      <c r="C38" s="80">
        <f t="shared" si="4"/>
        <v>609435</v>
      </c>
      <c r="D38" s="211">
        <f t="shared" si="5"/>
        <v>0.9</v>
      </c>
      <c r="E38" s="82">
        <v>677150</v>
      </c>
      <c r="F38" s="83"/>
      <c r="G38" s="7"/>
      <c r="H38" s="76" t="s">
        <v>113</v>
      </c>
      <c r="I38" s="69">
        <f t="shared" si="6"/>
        <v>609435</v>
      </c>
      <c r="J38" s="85">
        <v>0.8</v>
      </c>
      <c r="K38" s="70">
        <f>IFERROR(INDEX('Dự án'!$I:$I, MATCH(H38, 'Dự án'!$H:$H, 0)), 0)</f>
        <v>0</v>
      </c>
      <c r="L38" s="212">
        <f t="shared" si="7"/>
        <v>0.9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.75" customHeight="1">
      <c r="A39" s="35" t="s">
        <v>21</v>
      </c>
      <c r="B39" s="44" t="s">
        <v>111</v>
      </c>
      <c r="C39" s="80">
        <f t="shared" si="4"/>
        <v>2214100</v>
      </c>
      <c r="D39" s="211">
        <f t="shared" si="5"/>
        <v>1</v>
      </c>
      <c r="E39" s="86">
        <v>2214100</v>
      </c>
      <c r="F39" s="93"/>
      <c r="G39" s="7"/>
      <c r="H39" s="76" t="s">
        <v>111</v>
      </c>
      <c r="I39" s="69">
        <f t="shared" si="6"/>
        <v>2214100</v>
      </c>
      <c r="J39" s="85">
        <v>1</v>
      </c>
      <c r="K39" s="70">
        <f>IFERROR(INDEX('Dự án'!$I:$I, MATCH(H39, 'Dự án'!$H:$H, 0)), 0)</f>
        <v>500000</v>
      </c>
      <c r="L39" s="212">
        <f t="shared" si="7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.75" customHeight="1">
      <c r="A40" s="35" t="s">
        <v>22</v>
      </c>
      <c r="B40" s="36" t="s">
        <v>117</v>
      </c>
      <c r="C40" s="80">
        <f t="shared" si="4"/>
        <v>2337900</v>
      </c>
      <c r="D40" s="211">
        <f t="shared" si="5"/>
        <v>1</v>
      </c>
      <c r="E40" s="94">
        <v>2337900</v>
      </c>
      <c r="F40" s="93"/>
      <c r="G40" s="7"/>
      <c r="H40" s="76" t="s">
        <v>117</v>
      </c>
      <c r="I40" s="69">
        <f t="shared" si="6"/>
        <v>2337900</v>
      </c>
      <c r="J40" s="85">
        <v>1</v>
      </c>
      <c r="K40" s="70">
        <f>IFERROR(INDEX('Dự án'!$I:$I, MATCH(H40, 'Dự án'!$H:$H, 0)), 0)</f>
        <v>1000000</v>
      </c>
      <c r="L40" s="212">
        <f t="shared" si="7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.75" customHeight="1">
      <c r="A41" s="35" t="s">
        <v>22</v>
      </c>
      <c r="B41" s="36" t="s">
        <v>116</v>
      </c>
      <c r="C41" s="80">
        <f t="shared" si="4"/>
        <v>1313900</v>
      </c>
      <c r="D41" s="211">
        <f t="shared" si="5"/>
        <v>1</v>
      </c>
      <c r="E41" s="94">
        <v>1313900</v>
      </c>
      <c r="F41" s="93"/>
      <c r="G41" s="7"/>
      <c r="H41" s="76" t="s">
        <v>116</v>
      </c>
      <c r="I41" s="69">
        <f t="shared" si="6"/>
        <v>1313900</v>
      </c>
      <c r="J41" s="85">
        <v>1</v>
      </c>
      <c r="K41" s="70">
        <f>IFERROR(INDEX('Dự án'!$I:$I, MATCH(H41, 'Dự án'!$H:$H, 0)), 0)</f>
        <v>0</v>
      </c>
      <c r="L41" s="212">
        <f t="shared" si="7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.75" customHeight="1">
      <c r="A42" s="35" t="s">
        <v>22</v>
      </c>
      <c r="B42" s="36" t="s">
        <v>118</v>
      </c>
      <c r="C42" s="80">
        <f t="shared" si="4"/>
        <v>2493200</v>
      </c>
      <c r="D42" s="211">
        <f t="shared" si="5"/>
        <v>1</v>
      </c>
      <c r="E42" s="94">
        <v>2493200</v>
      </c>
      <c r="F42" s="93"/>
      <c r="G42" s="7"/>
      <c r="H42" s="71" t="s">
        <v>118</v>
      </c>
      <c r="I42" s="69">
        <f t="shared" si="6"/>
        <v>2493200</v>
      </c>
      <c r="J42" s="85">
        <v>1</v>
      </c>
      <c r="K42" s="70">
        <f>IFERROR(INDEX('Dự án'!$I:$I, MATCH(H42, 'Dự án'!$H:$H, 0)), 0)</f>
        <v>1000000</v>
      </c>
      <c r="L42" s="212">
        <f t="shared" si="7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.75" customHeight="1">
      <c r="A43" s="35" t="s">
        <v>22</v>
      </c>
      <c r="B43" s="36" t="s">
        <v>119</v>
      </c>
      <c r="C43" s="80">
        <f t="shared" si="4"/>
        <v>1875900</v>
      </c>
      <c r="D43" s="211">
        <f t="shared" si="5"/>
        <v>1</v>
      </c>
      <c r="E43" s="94">
        <v>1875900</v>
      </c>
      <c r="F43" s="93"/>
      <c r="G43" s="34"/>
      <c r="H43" s="95" t="s">
        <v>119</v>
      </c>
      <c r="I43" s="69">
        <f t="shared" si="6"/>
        <v>1875900</v>
      </c>
      <c r="J43" s="96">
        <v>1</v>
      </c>
      <c r="K43" s="97">
        <f>IFERROR(INDEX('Dự án'!$I:$I, MATCH(H43, 'Dự án'!$H:$H, 0)), 0)</f>
        <v>500000</v>
      </c>
      <c r="L43" s="212">
        <f t="shared" si="7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.75" customHeight="1">
      <c r="A44" s="35" t="s">
        <v>23</v>
      </c>
      <c r="B44" s="36" t="s">
        <v>109</v>
      </c>
      <c r="C44" s="80">
        <f t="shared" si="4"/>
        <v>1776600</v>
      </c>
      <c r="D44" s="211">
        <f t="shared" si="5"/>
        <v>1</v>
      </c>
      <c r="E44" s="82">
        <v>1776600</v>
      </c>
      <c r="F44" s="83"/>
      <c r="G44" s="34"/>
      <c r="H44" s="95" t="s">
        <v>109</v>
      </c>
      <c r="I44" s="69">
        <f t="shared" si="6"/>
        <v>1776600</v>
      </c>
      <c r="J44" s="96">
        <v>1</v>
      </c>
      <c r="K44" s="97">
        <f>IFERROR(INDEX('Dự án'!$I:$I, MATCH(H44, 'Dự án'!$H:$H, 0)), 0)</f>
        <v>0</v>
      </c>
      <c r="L44" s="212">
        <f t="shared" si="7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.75" customHeight="1">
      <c r="A45" s="35" t="s">
        <v>23</v>
      </c>
      <c r="B45" s="36" t="s">
        <v>120</v>
      </c>
      <c r="C45" s="80">
        <f t="shared" si="4"/>
        <v>2191150</v>
      </c>
      <c r="D45" s="211">
        <f t="shared" si="5"/>
        <v>1</v>
      </c>
      <c r="E45" s="86">
        <v>2191150</v>
      </c>
      <c r="F45" s="93"/>
      <c r="G45" s="34"/>
      <c r="H45" s="98" t="s">
        <v>120</v>
      </c>
      <c r="I45" s="69">
        <f t="shared" si="6"/>
        <v>2191150</v>
      </c>
      <c r="J45" s="96">
        <v>1</v>
      </c>
      <c r="K45" s="97">
        <f>IFERROR(INDEX('Dự án'!$I:$I, MATCH(H45, 'Dự án'!$H:$H, 0)), 0)</f>
        <v>500000</v>
      </c>
      <c r="L45" s="212">
        <f t="shared" si="7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.75" customHeight="1">
      <c r="A46" s="35" t="s">
        <v>23</v>
      </c>
      <c r="B46" s="36" t="s">
        <v>107</v>
      </c>
      <c r="C46" s="80">
        <f t="shared" si="4"/>
        <v>1590500</v>
      </c>
      <c r="D46" s="211">
        <f t="shared" si="5"/>
        <v>1</v>
      </c>
      <c r="E46" s="94">
        <v>1590500</v>
      </c>
      <c r="F46" s="93"/>
      <c r="G46" s="10"/>
      <c r="H46" s="71" t="s">
        <v>107</v>
      </c>
      <c r="I46" s="69">
        <f t="shared" si="6"/>
        <v>1590500</v>
      </c>
      <c r="J46" s="96">
        <v>1</v>
      </c>
      <c r="K46" s="97">
        <f>IFERROR(INDEX('Dự án'!$I:$I, MATCH(H46, 'Dự án'!$H:$H, 0)), 0)</f>
        <v>0</v>
      </c>
      <c r="L46" s="212">
        <f t="shared" si="7"/>
        <v>1</v>
      </c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.75" customHeight="1">
      <c r="A47" s="35" t="s">
        <v>23</v>
      </c>
      <c r="B47" s="36" t="s">
        <v>121</v>
      </c>
      <c r="C47" s="80">
        <f t="shared" si="4"/>
        <v>123570</v>
      </c>
      <c r="D47" s="211">
        <f t="shared" si="5"/>
        <v>0.9</v>
      </c>
      <c r="E47" s="82">
        <v>137300</v>
      </c>
      <c r="F47" s="83"/>
      <c r="G47" s="10"/>
      <c r="H47" s="71" t="s">
        <v>121</v>
      </c>
      <c r="I47" s="69">
        <f t="shared" si="6"/>
        <v>123570</v>
      </c>
      <c r="J47" s="96">
        <v>0.8</v>
      </c>
      <c r="K47" s="97">
        <f>IFERROR(INDEX('Dự án'!$I:$I, MATCH(H47, 'Dự án'!$H:$H, 0)), 0)</f>
        <v>0</v>
      </c>
      <c r="L47" s="212">
        <f t="shared" si="7"/>
        <v>0.9</v>
      </c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.75" customHeight="1">
      <c r="A48" s="35" t="s">
        <v>23</v>
      </c>
      <c r="B48" s="44" t="s">
        <v>122</v>
      </c>
      <c r="C48" s="80">
        <f t="shared" si="4"/>
        <v>1392300</v>
      </c>
      <c r="D48" s="211">
        <f t="shared" si="5"/>
        <v>1</v>
      </c>
      <c r="E48" s="82">
        <v>1392300</v>
      </c>
      <c r="F48" s="83"/>
      <c r="G48" s="10"/>
      <c r="H48" s="71" t="s">
        <v>122</v>
      </c>
      <c r="I48" s="69">
        <f t="shared" si="6"/>
        <v>1392300</v>
      </c>
      <c r="J48" s="96">
        <v>1</v>
      </c>
      <c r="K48" s="97">
        <f>IFERROR(INDEX('Dự án'!$I:$I, MATCH(H48, 'Dự án'!$H:$H, 0)), 0)</f>
        <v>0</v>
      </c>
      <c r="L48" s="212">
        <f t="shared" si="7"/>
        <v>1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.75" customHeight="1">
      <c r="A49" s="35" t="s">
        <v>24</v>
      </c>
      <c r="B49" s="44" t="s">
        <v>72</v>
      </c>
      <c r="C49" s="80">
        <f t="shared" si="4"/>
        <v>1265850</v>
      </c>
      <c r="D49" s="211">
        <f t="shared" si="5"/>
        <v>0.9</v>
      </c>
      <c r="E49" s="82">
        <v>1406500</v>
      </c>
      <c r="F49" s="83"/>
      <c r="G49" s="10"/>
      <c r="H49" s="71" t="s">
        <v>72</v>
      </c>
      <c r="I49" s="69">
        <f t="shared" si="6"/>
        <v>1265850</v>
      </c>
      <c r="J49" s="96">
        <v>0.8</v>
      </c>
      <c r="K49" s="97">
        <f>IFERROR(INDEX('Dự án'!$I:$I, MATCH(H49, 'Dự án'!$H:$H, 0)), 0)</f>
        <v>0</v>
      </c>
      <c r="L49" s="212">
        <f t="shared" si="7"/>
        <v>0.9</v>
      </c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.75" customHeight="1">
      <c r="A50" s="35" t="s">
        <v>24</v>
      </c>
      <c r="B50" s="36" t="s">
        <v>123</v>
      </c>
      <c r="C50" s="80">
        <f t="shared" si="4"/>
        <v>846900</v>
      </c>
      <c r="D50" s="211">
        <f t="shared" si="5"/>
        <v>0.9</v>
      </c>
      <c r="E50" s="86">
        <v>941000</v>
      </c>
      <c r="F50" s="54"/>
      <c r="G50" s="10"/>
      <c r="H50" s="74" t="s">
        <v>123</v>
      </c>
      <c r="I50" s="37">
        <f t="shared" si="6"/>
        <v>846900</v>
      </c>
      <c r="J50" s="99">
        <v>0.8</v>
      </c>
      <c r="K50" s="42">
        <f>IFERROR(INDEX('Dự án'!$I:$I, MATCH(H50, 'Dự án'!$H:$H, 0)), 0)</f>
        <v>0</v>
      </c>
      <c r="L50" s="152">
        <f t="shared" si="7"/>
        <v>0.9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.75" customHeight="1">
      <c r="A51" s="35" t="s">
        <v>24</v>
      </c>
      <c r="B51" s="36" t="s">
        <v>124</v>
      </c>
      <c r="C51" s="80">
        <f t="shared" si="4"/>
        <v>1106640</v>
      </c>
      <c r="D51" s="211">
        <f t="shared" si="5"/>
        <v>0.9</v>
      </c>
      <c r="E51" s="82">
        <v>1229600</v>
      </c>
      <c r="F51" s="83"/>
      <c r="G51" s="10"/>
      <c r="H51" s="74" t="s">
        <v>124</v>
      </c>
      <c r="I51" s="37">
        <f t="shared" si="6"/>
        <v>1106640</v>
      </c>
      <c r="J51" s="99">
        <v>0.8</v>
      </c>
      <c r="K51" s="42">
        <f>IFERROR(INDEX('Dự án'!$I:$I, MATCH(H51, 'Dự án'!$H:$H, 0)), 0)</f>
        <v>0</v>
      </c>
      <c r="L51" s="152">
        <f t="shared" si="7"/>
        <v>0.9</v>
      </c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.75" customHeight="1">
      <c r="A52" s="35" t="s">
        <v>24</v>
      </c>
      <c r="B52" s="36" t="s">
        <v>88</v>
      </c>
      <c r="C52" s="80">
        <f t="shared" si="4"/>
        <v>1187050</v>
      </c>
      <c r="D52" s="211">
        <f t="shared" si="5"/>
        <v>1</v>
      </c>
      <c r="E52" s="82">
        <v>1187050</v>
      </c>
      <c r="F52" s="83"/>
      <c r="G52" s="10"/>
      <c r="H52" s="74" t="s">
        <v>88</v>
      </c>
      <c r="I52" s="37">
        <f t="shared" si="6"/>
        <v>1187050</v>
      </c>
      <c r="J52" s="99">
        <v>1</v>
      </c>
      <c r="K52" s="42">
        <f>IFERROR(INDEX('Dự án'!$I:$I, MATCH(H52, 'Dự án'!$H:$H, 0)), 0)</f>
        <v>0</v>
      </c>
      <c r="L52" s="99">
        <f t="shared" si="7"/>
        <v>1</v>
      </c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.75" customHeight="1">
      <c r="A53" s="35"/>
      <c r="B53" s="36"/>
      <c r="C53" s="80"/>
      <c r="D53" s="81"/>
      <c r="E53" s="82"/>
      <c r="F53" s="83"/>
      <c r="G53" s="10"/>
      <c r="H53" s="10"/>
      <c r="I53" s="10"/>
      <c r="J53" s="10"/>
      <c r="K53" s="35"/>
      <c r="L53" s="10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.75" customHeight="1">
      <c r="A54" s="35"/>
      <c r="B54" s="36"/>
      <c r="C54" s="80"/>
      <c r="D54" s="81"/>
      <c r="E54" s="86"/>
      <c r="F54" s="54"/>
      <c r="G54" s="10"/>
      <c r="H54" s="10"/>
      <c r="I54" s="10"/>
      <c r="J54" s="10"/>
      <c r="K54" s="35"/>
      <c r="L54" s="10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75" customHeight="1">
      <c r="A55" s="35"/>
      <c r="B55" s="7"/>
      <c r="C55" s="80"/>
      <c r="D55" s="81"/>
      <c r="E55" s="37"/>
      <c r="F55" s="54"/>
      <c r="G55" s="10"/>
      <c r="H55" s="10"/>
      <c r="I55" s="10"/>
      <c r="J55" s="10"/>
      <c r="K55" s="10"/>
      <c r="L55" s="10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.75" customHeight="1">
      <c r="A56" s="35"/>
      <c r="B56" s="7"/>
      <c r="C56" s="80"/>
      <c r="D56" s="81"/>
      <c r="E56" s="37"/>
      <c r="F56" s="54"/>
      <c r="G56" s="10"/>
      <c r="H56" s="10"/>
      <c r="I56" s="10"/>
      <c r="J56" s="10"/>
      <c r="K56" s="10"/>
      <c r="L56" s="10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.75" customHeight="1">
      <c r="A57" s="35"/>
      <c r="B57" s="7"/>
      <c r="C57" s="80"/>
      <c r="D57" s="81"/>
      <c r="E57" s="37"/>
      <c r="F57" s="54"/>
      <c r="G57" s="10"/>
      <c r="H57" s="10"/>
      <c r="I57" s="10"/>
      <c r="J57" s="10"/>
      <c r="K57" s="10"/>
      <c r="L57" s="10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.75" customHeight="1">
      <c r="A58" s="35"/>
      <c r="B58" s="7"/>
      <c r="C58" s="80"/>
      <c r="D58" s="81"/>
      <c r="E58" s="37"/>
      <c r="F58" s="54"/>
      <c r="G58" s="10"/>
      <c r="H58" s="10"/>
      <c r="I58" s="10"/>
      <c r="J58" s="10"/>
      <c r="K58" s="10"/>
      <c r="L58" s="10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.75" customHeight="1">
      <c r="A59" s="35"/>
      <c r="B59" s="7"/>
      <c r="C59" s="80"/>
      <c r="D59" s="81"/>
      <c r="E59" s="37"/>
      <c r="F59" s="54"/>
      <c r="G59" s="10"/>
      <c r="H59" s="10"/>
      <c r="I59" s="10"/>
      <c r="J59" s="10"/>
      <c r="K59" s="10"/>
      <c r="L59" s="10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.75" customHeight="1">
      <c r="A60" s="35"/>
      <c r="B60" s="7"/>
      <c r="C60" s="80"/>
      <c r="D60" s="81"/>
      <c r="E60" s="37"/>
      <c r="F60" s="54"/>
      <c r="G60" s="10"/>
      <c r="H60" s="10"/>
      <c r="I60" s="10"/>
      <c r="J60" s="10"/>
      <c r="K60" s="10"/>
      <c r="L60" s="10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.75" customHeight="1">
      <c r="A61" s="35"/>
      <c r="B61" s="7"/>
      <c r="C61" s="80"/>
      <c r="D61" s="81"/>
      <c r="E61" s="10"/>
      <c r="F61" s="54"/>
      <c r="G61" s="10"/>
      <c r="H61" s="10"/>
      <c r="I61" s="10"/>
      <c r="J61" s="10"/>
      <c r="K61" s="10"/>
      <c r="L61" s="10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.75" customHeight="1">
      <c r="A62" s="35"/>
      <c r="B62" s="7"/>
      <c r="C62" s="80"/>
      <c r="D62" s="81"/>
      <c r="E62" s="10"/>
      <c r="F62" s="54"/>
      <c r="G62" s="10"/>
      <c r="H62" s="10"/>
      <c r="I62" s="10"/>
      <c r="J62" s="10"/>
      <c r="K62" s="10"/>
      <c r="L62" s="10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.75" customHeight="1">
      <c r="A63" s="7"/>
      <c r="B63" s="7"/>
      <c r="C63" s="37"/>
      <c r="D63" s="10"/>
      <c r="E63" s="10"/>
      <c r="F63" s="54"/>
      <c r="G63" s="10"/>
      <c r="H63" s="10"/>
      <c r="I63" s="10"/>
      <c r="J63" s="10"/>
      <c r="K63" s="10"/>
      <c r="L63" s="10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.75" customHeight="1">
      <c r="A64" s="7"/>
      <c r="B64" s="7"/>
      <c r="C64" s="37"/>
      <c r="D64" s="10"/>
      <c r="E64" s="10"/>
      <c r="F64" s="54"/>
      <c r="G64" s="10"/>
      <c r="H64" s="10"/>
      <c r="I64" s="10"/>
      <c r="J64" s="10"/>
      <c r="K64" s="10"/>
      <c r="L64" s="10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.75" customHeight="1">
      <c r="A65" s="7"/>
      <c r="B65" s="7"/>
      <c r="C65" s="37"/>
      <c r="D65" s="10"/>
      <c r="E65" s="10"/>
      <c r="F65" s="54"/>
      <c r="G65" s="10"/>
      <c r="H65" s="10"/>
      <c r="I65" s="10"/>
      <c r="J65" s="10"/>
      <c r="K65" s="10"/>
      <c r="L65" s="10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.75" customHeight="1">
      <c r="A66" s="7"/>
      <c r="B66" s="7"/>
      <c r="C66" s="37"/>
      <c r="D66" s="10"/>
      <c r="E66" s="10"/>
      <c r="F66" s="54"/>
      <c r="G66" s="10"/>
      <c r="H66" s="10"/>
      <c r="I66" s="10"/>
      <c r="J66" s="10"/>
      <c r="K66" s="10"/>
      <c r="L66" s="10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.75" customHeight="1">
      <c r="A67" s="7"/>
      <c r="B67" s="7"/>
      <c r="C67" s="37"/>
      <c r="D67" s="10"/>
      <c r="E67" s="10"/>
      <c r="F67" s="54"/>
      <c r="G67" s="10"/>
      <c r="H67" s="10"/>
      <c r="I67" s="10"/>
      <c r="J67" s="10"/>
      <c r="K67" s="10"/>
      <c r="L67" s="10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.75" customHeight="1">
      <c r="A68" s="7"/>
      <c r="B68" s="7"/>
      <c r="C68" s="37"/>
      <c r="D68" s="10"/>
      <c r="E68" s="10"/>
      <c r="F68" s="54"/>
      <c r="G68" s="10"/>
      <c r="H68" s="10"/>
      <c r="I68" s="10"/>
      <c r="J68" s="10"/>
      <c r="K68" s="10"/>
      <c r="L68" s="10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.75" customHeight="1">
      <c r="A69" s="7"/>
      <c r="B69" s="7"/>
      <c r="C69" s="37"/>
      <c r="D69" s="10"/>
      <c r="E69" s="10"/>
      <c r="F69" s="54"/>
      <c r="G69" s="10"/>
      <c r="H69" s="10"/>
      <c r="I69" s="10"/>
      <c r="J69" s="10"/>
      <c r="K69" s="10"/>
      <c r="L69" s="10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.75" customHeight="1">
      <c r="A70" s="7"/>
      <c r="B70" s="7"/>
      <c r="C70" s="37"/>
      <c r="D70" s="10"/>
      <c r="E70" s="10"/>
      <c r="F70" s="54"/>
      <c r="G70" s="10"/>
      <c r="H70" s="10"/>
      <c r="I70" s="10"/>
      <c r="J70" s="10"/>
      <c r="K70" s="10"/>
      <c r="L70" s="10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.75" customHeight="1">
      <c r="A71" s="7"/>
      <c r="B71" s="7"/>
      <c r="C71" s="37"/>
      <c r="D71" s="10"/>
      <c r="E71" s="10"/>
      <c r="F71" s="54"/>
      <c r="G71" s="10"/>
      <c r="H71" s="10"/>
      <c r="I71" s="10"/>
      <c r="J71" s="10"/>
      <c r="K71" s="10"/>
      <c r="L71" s="10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.75" customHeight="1">
      <c r="A72" s="7"/>
      <c r="B72" s="7"/>
      <c r="C72" s="37"/>
      <c r="D72" s="10"/>
      <c r="E72" s="10"/>
      <c r="F72" s="54"/>
      <c r="G72" s="10"/>
      <c r="H72" s="10"/>
      <c r="I72" s="10"/>
      <c r="J72" s="10"/>
      <c r="K72" s="10"/>
      <c r="L72" s="10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.75" customHeight="1">
      <c r="A73" s="7"/>
      <c r="B73" s="7"/>
      <c r="C73" s="37"/>
      <c r="D73" s="10"/>
      <c r="E73" s="10"/>
      <c r="F73" s="54"/>
      <c r="G73" s="10"/>
      <c r="H73" s="10"/>
      <c r="I73" s="10"/>
      <c r="J73" s="10"/>
      <c r="K73" s="10"/>
      <c r="L73" s="10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.75" customHeight="1">
      <c r="A74" s="7"/>
      <c r="B74" s="7"/>
      <c r="C74" s="37"/>
      <c r="D74" s="10"/>
      <c r="E74" s="10"/>
      <c r="F74" s="54"/>
      <c r="G74" s="10"/>
      <c r="H74" s="10"/>
      <c r="I74" s="10"/>
      <c r="J74" s="10"/>
      <c r="K74" s="10"/>
      <c r="L74" s="10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.75" customHeight="1">
      <c r="A75" s="7"/>
      <c r="B75" s="7"/>
      <c r="C75" s="37"/>
      <c r="D75" s="10"/>
      <c r="E75" s="10"/>
      <c r="F75" s="54"/>
      <c r="G75" s="10"/>
      <c r="H75" s="10"/>
      <c r="I75" s="10"/>
      <c r="J75" s="10"/>
      <c r="K75" s="10"/>
      <c r="L75" s="10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.75" customHeight="1">
      <c r="A76" s="7"/>
      <c r="B76" s="7"/>
      <c r="C76" s="37"/>
      <c r="D76" s="10"/>
      <c r="E76" s="10"/>
      <c r="F76" s="54"/>
      <c r="G76" s="10"/>
      <c r="H76" s="10"/>
      <c r="I76" s="10"/>
      <c r="J76" s="10"/>
      <c r="K76" s="10"/>
      <c r="L76" s="10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.75" customHeight="1">
      <c r="A77" s="7"/>
      <c r="B77" s="7"/>
      <c r="C77" s="37"/>
      <c r="D77" s="10"/>
      <c r="E77" s="10"/>
      <c r="F77" s="54"/>
      <c r="G77" s="10"/>
      <c r="H77" s="10"/>
      <c r="I77" s="10"/>
      <c r="J77" s="10"/>
      <c r="K77" s="10"/>
      <c r="L77" s="10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.75" customHeight="1">
      <c r="A78" s="7"/>
      <c r="B78" s="7"/>
      <c r="C78" s="37"/>
      <c r="D78" s="10"/>
      <c r="E78" s="10"/>
      <c r="F78" s="54"/>
      <c r="G78" s="10"/>
      <c r="H78" s="10"/>
      <c r="I78" s="10"/>
      <c r="J78" s="10"/>
      <c r="K78" s="10"/>
      <c r="L78" s="10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.75" customHeight="1">
      <c r="A79" s="7"/>
      <c r="B79" s="7"/>
      <c r="C79" s="37"/>
      <c r="D79" s="10"/>
      <c r="E79" s="10"/>
      <c r="F79" s="54"/>
      <c r="G79" s="10"/>
      <c r="H79" s="10"/>
      <c r="I79" s="10"/>
      <c r="J79" s="10"/>
      <c r="K79" s="10"/>
      <c r="L79" s="10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.75" customHeight="1">
      <c r="A80" s="7"/>
      <c r="B80" s="7"/>
      <c r="C80" s="37"/>
      <c r="D80" s="10"/>
      <c r="E80" s="10"/>
      <c r="F80" s="54"/>
      <c r="G80" s="10"/>
      <c r="H80" s="10"/>
      <c r="I80" s="10"/>
      <c r="J80" s="10"/>
      <c r="K80" s="10"/>
      <c r="L80" s="10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.75" customHeight="1">
      <c r="A81" s="7"/>
      <c r="B81" s="7"/>
      <c r="C81" s="37"/>
      <c r="D81" s="10"/>
      <c r="E81" s="10"/>
      <c r="F81" s="54"/>
      <c r="G81" s="10"/>
      <c r="H81" s="10"/>
      <c r="I81" s="10"/>
      <c r="J81" s="10"/>
      <c r="K81" s="10"/>
      <c r="L81" s="10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.75" customHeight="1">
      <c r="A82" s="7"/>
      <c r="B82" s="7"/>
      <c r="C82" s="37"/>
      <c r="D82" s="10"/>
      <c r="E82" s="10"/>
      <c r="F82" s="54"/>
      <c r="G82" s="10"/>
      <c r="H82" s="10"/>
      <c r="I82" s="10"/>
      <c r="J82" s="10"/>
      <c r="K82" s="10"/>
      <c r="L82" s="10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.75" customHeight="1">
      <c r="A83" s="7"/>
      <c r="B83" s="7"/>
      <c r="C83" s="37"/>
      <c r="D83" s="10"/>
      <c r="E83" s="10"/>
      <c r="F83" s="54"/>
      <c r="G83" s="10"/>
      <c r="H83" s="10"/>
      <c r="I83" s="10"/>
      <c r="J83" s="10"/>
      <c r="K83" s="10"/>
      <c r="L83" s="10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.75" customHeight="1">
      <c r="A84" s="7"/>
      <c r="B84" s="7"/>
      <c r="C84" s="37"/>
      <c r="D84" s="10"/>
      <c r="E84" s="10"/>
      <c r="F84" s="54"/>
      <c r="G84" s="10"/>
      <c r="H84" s="10"/>
      <c r="I84" s="10"/>
      <c r="J84" s="10"/>
      <c r="K84" s="10"/>
      <c r="L84" s="10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.75" customHeight="1">
      <c r="A85" s="7"/>
      <c r="B85" s="7"/>
      <c r="C85" s="37"/>
      <c r="D85" s="10"/>
      <c r="E85" s="10"/>
      <c r="F85" s="54"/>
      <c r="G85" s="10"/>
      <c r="H85" s="10"/>
      <c r="I85" s="10"/>
      <c r="J85" s="10"/>
      <c r="K85" s="10"/>
      <c r="L85" s="10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.75" customHeight="1">
      <c r="A86" s="7"/>
      <c r="B86" s="7"/>
      <c r="C86" s="37"/>
      <c r="D86" s="10"/>
      <c r="E86" s="10"/>
      <c r="F86" s="54"/>
      <c r="G86" s="10"/>
      <c r="H86" s="10"/>
      <c r="I86" s="10"/>
      <c r="J86" s="10"/>
      <c r="K86" s="10"/>
      <c r="L86" s="10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.75" customHeight="1">
      <c r="A87" s="7"/>
      <c r="B87" s="7"/>
      <c r="C87" s="37"/>
      <c r="D87" s="10"/>
      <c r="E87" s="10"/>
      <c r="F87" s="54"/>
      <c r="G87" s="10"/>
      <c r="H87" s="10"/>
      <c r="I87" s="10"/>
      <c r="J87" s="10"/>
      <c r="K87" s="10"/>
      <c r="L87" s="10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.75" customHeight="1">
      <c r="A88" s="7"/>
      <c r="B88" s="7"/>
      <c r="C88" s="37"/>
      <c r="D88" s="10"/>
      <c r="E88" s="10"/>
      <c r="F88" s="54"/>
      <c r="G88" s="10"/>
      <c r="H88" s="10"/>
      <c r="I88" s="10"/>
      <c r="J88" s="10"/>
      <c r="K88" s="10"/>
      <c r="L88" s="10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.75" customHeight="1">
      <c r="A89" s="7"/>
      <c r="B89" s="7"/>
      <c r="C89" s="37"/>
      <c r="D89" s="10"/>
      <c r="E89" s="10"/>
      <c r="F89" s="54"/>
      <c r="G89" s="10"/>
      <c r="H89" s="10"/>
      <c r="I89" s="10"/>
      <c r="J89" s="10"/>
      <c r="K89" s="10"/>
      <c r="L89" s="10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.75" customHeight="1">
      <c r="A90" s="7"/>
      <c r="B90" s="7"/>
      <c r="C90" s="37"/>
      <c r="D90" s="10"/>
      <c r="E90" s="10"/>
      <c r="F90" s="54"/>
      <c r="G90" s="10"/>
      <c r="H90" s="10"/>
      <c r="I90" s="10"/>
      <c r="J90" s="10"/>
      <c r="K90" s="10"/>
      <c r="L90" s="10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.75" customHeight="1">
      <c r="A91" s="7"/>
      <c r="B91" s="7"/>
      <c r="C91" s="37"/>
      <c r="D91" s="10"/>
      <c r="E91" s="10"/>
      <c r="F91" s="54"/>
      <c r="G91" s="10"/>
      <c r="H91" s="10"/>
      <c r="I91" s="10"/>
      <c r="J91" s="10"/>
      <c r="K91" s="10"/>
      <c r="L91" s="10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.75" customHeight="1">
      <c r="A92" s="7"/>
      <c r="B92" s="7"/>
      <c r="C92" s="37"/>
      <c r="D92" s="10"/>
      <c r="E92" s="10"/>
      <c r="F92" s="54"/>
      <c r="G92" s="10"/>
      <c r="H92" s="10"/>
      <c r="I92" s="10"/>
      <c r="J92" s="10"/>
      <c r="K92" s="10"/>
      <c r="L92" s="10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.75" customHeight="1">
      <c r="A93" s="7"/>
      <c r="B93" s="7"/>
      <c r="C93" s="37"/>
      <c r="D93" s="10"/>
      <c r="E93" s="10"/>
      <c r="F93" s="54"/>
      <c r="G93" s="10"/>
      <c r="H93" s="10"/>
      <c r="I93" s="10"/>
      <c r="J93" s="10"/>
      <c r="K93" s="10"/>
      <c r="L93" s="10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.75" customHeight="1">
      <c r="A94" s="7"/>
      <c r="B94" s="7"/>
      <c r="C94" s="37"/>
      <c r="D94" s="10"/>
      <c r="E94" s="10"/>
      <c r="F94" s="54"/>
      <c r="G94" s="10"/>
      <c r="H94" s="10"/>
      <c r="I94" s="10"/>
      <c r="J94" s="10"/>
      <c r="K94" s="10"/>
      <c r="L94" s="10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75" customHeight="1">
      <c r="A95" s="7"/>
      <c r="B95" s="7"/>
      <c r="C95" s="37"/>
      <c r="D95" s="10"/>
      <c r="E95" s="10"/>
      <c r="F95" s="54"/>
      <c r="G95" s="10"/>
      <c r="H95" s="10"/>
      <c r="I95" s="10"/>
      <c r="J95" s="10"/>
      <c r="K95" s="10"/>
      <c r="L95" s="10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.75" customHeight="1">
      <c r="A96" s="7"/>
      <c r="B96" s="7"/>
      <c r="C96" s="37"/>
      <c r="D96" s="10"/>
      <c r="E96" s="10"/>
      <c r="F96" s="54"/>
      <c r="G96" s="10"/>
      <c r="H96" s="10"/>
      <c r="I96" s="10"/>
      <c r="J96" s="10"/>
      <c r="K96" s="10"/>
      <c r="L96" s="10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.75" customHeight="1">
      <c r="A97" s="7"/>
      <c r="B97" s="7"/>
      <c r="C97" s="37"/>
      <c r="D97" s="10"/>
      <c r="E97" s="10"/>
      <c r="F97" s="54"/>
      <c r="G97" s="10"/>
      <c r="H97" s="10"/>
      <c r="I97" s="10"/>
      <c r="J97" s="10"/>
      <c r="K97" s="10"/>
      <c r="L97" s="10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.75" customHeight="1">
      <c r="A98" s="7"/>
      <c r="B98" s="7"/>
      <c r="C98" s="37"/>
      <c r="D98" s="10"/>
      <c r="E98" s="10"/>
      <c r="F98" s="54"/>
      <c r="G98" s="10"/>
      <c r="H98" s="10"/>
      <c r="I98" s="10"/>
      <c r="J98" s="10"/>
      <c r="K98" s="10"/>
      <c r="L98" s="10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.75" customHeight="1">
      <c r="A99" s="7"/>
      <c r="B99" s="7"/>
      <c r="C99" s="37"/>
      <c r="D99" s="10"/>
      <c r="E99" s="10"/>
      <c r="F99" s="54"/>
      <c r="G99" s="10"/>
      <c r="H99" s="10"/>
      <c r="I99" s="10"/>
      <c r="J99" s="10"/>
      <c r="K99" s="10"/>
      <c r="L99" s="10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.75" customHeight="1">
      <c r="A100" s="7"/>
      <c r="B100" s="7"/>
      <c r="C100" s="37"/>
      <c r="D100" s="10"/>
      <c r="E100" s="10"/>
      <c r="F100" s="54"/>
      <c r="G100" s="10"/>
      <c r="H100" s="10"/>
      <c r="I100" s="10"/>
      <c r="J100" s="10"/>
      <c r="K100" s="10"/>
      <c r="L100" s="10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.75" customHeight="1">
      <c r="A101" s="7"/>
      <c r="B101" s="7"/>
      <c r="C101" s="37"/>
      <c r="D101" s="10"/>
      <c r="E101" s="10"/>
      <c r="F101" s="54"/>
      <c r="G101" s="10"/>
      <c r="H101" s="10"/>
      <c r="I101" s="10"/>
      <c r="J101" s="10"/>
      <c r="K101" s="10"/>
      <c r="L101" s="10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.75" customHeight="1">
      <c r="A102" s="7"/>
      <c r="B102" s="7"/>
      <c r="C102" s="37"/>
      <c r="D102" s="10"/>
      <c r="E102" s="10"/>
      <c r="F102" s="54"/>
      <c r="G102" s="10"/>
      <c r="H102" s="10"/>
      <c r="I102" s="10"/>
      <c r="J102" s="10"/>
      <c r="K102" s="10"/>
      <c r="L102" s="10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.75" customHeight="1">
      <c r="A103" s="7"/>
      <c r="B103" s="7"/>
      <c r="C103" s="37"/>
      <c r="D103" s="10"/>
      <c r="E103" s="10"/>
      <c r="F103" s="54"/>
      <c r="G103" s="10"/>
      <c r="H103" s="10"/>
      <c r="I103" s="10"/>
      <c r="J103" s="10"/>
      <c r="K103" s="10"/>
      <c r="L103" s="10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.75" customHeight="1">
      <c r="A104" s="7"/>
      <c r="B104" s="7"/>
      <c r="C104" s="37"/>
      <c r="D104" s="10"/>
      <c r="E104" s="10"/>
      <c r="F104" s="54"/>
      <c r="G104" s="10"/>
      <c r="H104" s="10"/>
      <c r="I104" s="10"/>
      <c r="J104" s="10"/>
      <c r="K104" s="10"/>
      <c r="L104" s="10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75" customHeight="1">
      <c r="A105" s="7"/>
      <c r="B105" s="7"/>
      <c r="C105" s="37"/>
      <c r="D105" s="10"/>
      <c r="E105" s="10"/>
      <c r="F105" s="54"/>
      <c r="G105" s="10"/>
      <c r="H105" s="10"/>
      <c r="I105" s="10"/>
      <c r="J105" s="10"/>
      <c r="K105" s="10"/>
      <c r="L105" s="10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75" customHeight="1">
      <c r="A106" s="7"/>
      <c r="B106" s="7"/>
      <c r="C106" s="37"/>
      <c r="D106" s="10"/>
      <c r="E106" s="10"/>
      <c r="F106" s="54"/>
      <c r="G106" s="10"/>
      <c r="H106" s="10"/>
      <c r="I106" s="10"/>
      <c r="J106" s="10"/>
      <c r="K106" s="10"/>
      <c r="L106" s="10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75" customHeight="1">
      <c r="A107" s="7"/>
      <c r="B107" s="7"/>
      <c r="C107" s="37"/>
      <c r="D107" s="10"/>
      <c r="E107" s="10"/>
      <c r="F107" s="54"/>
      <c r="G107" s="10"/>
      <c r="H107" s="10"/>
      <c r="I107" s="10"/>
      <c r="J107" s="10"/>
      <c r="K107" s="10"/>
      <c r="L107" s="10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.75" customHeight="1">
      <c r="A108" s="7"/>
      <c r="B108" s="7"/>
      <c r="C108" s="37"/>
      <c r="D108" s="10"/>
      <c r="E108" s="10"/>
      <c r="F108" s="54"/>
      <c r="G108" s="10"/>
      <c r="H108" s="10"/>
      <c r="I108" s="10"/>
      <c r="J108" s="10"/>
      <c r="K108" s="10"/>
      <c r="L108" s="10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.75" customHeight="1">
      <c r="A109" s="7"/>
      <c r="B109" s="7"/>
      <c r="C109" s="37"/>
      <c r="D109" s="10"/>
      <c r="E109" s="10"/>
      <c r="F109" s="54"/>
      <c r="G109" s="10"/>
      <c r="H109" s="10"/>
      <c r="I109" s="10"/>
      <c r="J109" s="10"/>
      <c r="K109" s="10"/>
      <c r="L109" s="10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.75" customHeight="1">
      <c r="A110" s="7"/>
      <c r="B110" s="7"/>
      <c r="C110" s="37"/>
      <c r="D110" s="10"/>
      <c r="E110" s="10"/>
      <c r="F110" s="54"/>
      <c r="G110" s="10"/>
      <c r="H110" s="10"/>
      <c r="I110" s="10"/>
      <c r="J110" s="10"/>
      <c r="K110" s="10"/>
      <c r="L110" s="10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.75" customHeight="1">
      <c r="A111" s="7"/>
      <c r="B111" s="7"/>
      <c r="C111" s="37"/>
      <c r="D111" s="10"/>
      <c r="E111" s="10"/>
      <c r="F111" s="54"/>
      <c r="G111" s="10"/>
      <c r="H111" s="10"/>
      <c r="I111" s="10"/>
      <c r="J111" s="10"/>
      <c r="K111" s="10"/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75" customHeight="1">
      <c r="A112" s="7"/>
      <c r="B112" s="7"/>
      <c r="C112" s="37"/>
      <c r="D112" s="10"/>
      <c r="E112" s="10"/>
      <c r="F112" s="54"/>
      <c r="G112" s="10"/>
      <c r="H112" s="10"/>
      <c r="I112" s="10"/>
      <c r="J112" s="10"/>
      <c r="K112" s="10"/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.75" customHeight="1">
      <c r="A113" s="7"/>
      <c r="B113" s="7"/>
      <c r="C113" s="37"/>
      <c r="D113" s="10"/>
      <c r="E113" s="10"/>
      <c r="F113" s="54"/>
      <c r="G113" s="10"/>
      <c r="H113" s="10"/>
      <c r="I113" s="10"/>
      <c r="J113" s="10"/>
      <c r="K113" s="10"/>
      <c r="L113" s="10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.75" customHeight="1">
      <c r="A114" s="7"/>
      <c r="B114" s="7"/>
      <c r="C114" s="37"/>
      <c r="D114" s="10"/>
      <c r="E114" s="10"/>
      <c r="F114" s="54"/>
      <c r="G114" s="10"/>
      <c r="H114" s="10"/>
      <c r="I114" s="10"/>
      <c r="J114" s="10"/>
      <c r="K114" s="10"/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.75" customHeight="1">
      <c r="A115" s="7"/>
      <c r="B115" s="7"/>
      <c r="C115" s="37"/>
      <c r="D115" s="10"/>
      <c r="E115" s="10"/>
      <c r="F115" s="54"/>
      <c r="G115" s="10"/>
      <c r="H115" s="10"/>
      <c r="I115" s="10"/>
      <c r="J115" s="10"/>
      <c r="K115" s="10"/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.75" customHeight="1">
      <c r="A116" s="7"/>
      <c r="B116" s="7"/>
      <c r="C116" s="37"/>
      <c r="D116" s="10"/>
      <c r="E116" s="10"/>
      <c r="F116" s="54"/>
      <c r="G116" s="10"/>
      <c r="H116" s="10"/>
      <c r="I116" s="10"/>
      <c r="J116" s="10"/>
      <c r="K116" s="10"/>
      <c r="L116" s="10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.75" customHeight="1">
      <c r="A117" s="7"/>
      <c r="B117" s="7"/>
      <c r="C117" s="37"/>
      <c r="D117" s="10"/>
      <c r="E117" s="10"/>
      <c r="F117" s="54"/>
      <c r="G117" s="10"/>
      <c r="H117" s="10"/>
      <c r="I117" s="10"/>
      <c r="J117" s="10"/>
      <c r="K117" s="10"/>
      <c r="L117" s="10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75" customHeight="1">
      <c r="A118" s="7"/>
      <c r="B118" s="7"/>
      <c r="C118" s="37"/>
      <c r="D118" s="10"/>
      <c r="E118" s="10"/>
      <c r="F118" s="54"/>
      <c r="G118" s="10"/>
      <c r="H118" s="10"/>
      <c r="I118" s="10"/>
      <c r="J118" s="10"/>
      <c r="K118" s="10"/>
      <c r="L118" s="10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75" customHeight="1">
      <c r="A119" s="7"/>
      <c r="B119" s="7"/>
      <c r="C119" s="37"/>
      <c r="D119" s="10"/>
      <c r="E119" s="10"/>
      <c r="F119" s="54"/>
      <c r="G119" s="10"/>
      <c r="H119" s="10"/>
      <c r="I119" s="10"/>
      <c r="J119" s="10"/>
      <c r="K119" s="10"/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.75" customHeight="1">
      <c r="A120" s="7"/>
      <c r="B120" s="7"/>
      <c r="C120" s="37"/>
      <c r="D120" s="10"/>
      <c r="E120" s="10"/>
      <c r="F120" s="54"/>
      <c r="G120" s="10"/>
      <c r="H120" s="10"/>
      <c r="I120" s="10"/>
      <c r="J120" s="10"/>
      <c r="K120" s="10"/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.75" customHeight="1">
      <c r="A121" s="7"/>
      <c r="B121" s="7"/>
      <c r="C121" s="37"/>
      <c r="D121" s="10"/>
      <c r="E121" s="10"/>
      <c r="F121" s="54"/>
      <c r="G121" s="10"/>
      <c r="H121" s="10"/>
      <c r="I121" s="10"/>
      <c r="J121" s="10"/>
      <c r="K121" s="10"/>
      <c r="L121" s="10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.75" customHeight="1">
      <c r="A122" s="7"/>
      <c r="B122" s="7"/>
      <c r="C122" s="37"/>
      <c r="D122" s="10"/>
      <c r="E122" s="10"/>
      <c r="F122" s="54"/>
      <c r="G122" s="10"/>
      <c r="H122" s="10"/>
      <c r="I122" s="10"/>
      <c r="J122" s="10"/>
      <c r="K122" s="10"/>
      <c r="L122" s="10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.75" customHeight="1">
      <c r="A123" s="7"/>
      <c r="B123" s="7"/>
      <c r="C123" s="37"/>
      <c r="D123" s="10"/>
      <c r="E123" s="10"/>
      <c r="F123" s="54"/>
      <c r="G123" s="10"/>
      <c r="H123" s="10"/>
      <c r="I123" s="10"/>
      <c r="J123" s="10"/>
      <c r="K123" s="10"/>
      <c r="L123" s="10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.75" customHeight="1">
      <c r="A124" s="7"/>
      <c r="B124" s="7"/>
      <c r="C124" s="37"/>
      <c r="D124" s="10"/>
      <c r="E124" s="10"/>
      <c r="F124" s="54"/>
      <c r="G124" s="10"/>
      <c r="H124" s="10"/>
      <c r="I124" s="10"/>
      <c r="J124" s="10"/>
      <c r="K124" s="10"/>
      <c r="L124" s="10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.75" customHeight="1">
      <c r="A125" s="7"/>
      <c r="B125" s="7"/>
      <c r="C125" s="37"/>
      <c r="D125" s="10"/>
      <c r="E125" s="10"/>
      <c r="F125" s="54"/>
      <c r="G125" s="10"/>
      <c r="H125" s="10"/>
      <c r="I125" s="10"/>
      <c r="J125" s="10"/>
      <c r="K125" s="10"/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.75" customHeight="1">
      <c r="A126" s="7"/>
      <c r="B126" s="7"/>
      <c r="C126" s="37"/>
      <c r="D126" s="10"/>
      <c r="E126" s="10"/>
      <c r="F126" s="54"/>
      <c r="G126" s="10"/>
      <c r="H126" s="10"/>
      <c r="I126" s="10"/>
      <c r="J126" s="10"/>
      <c r="K126" s="10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.75" customHeight="1">
      <c r="A127" s="7"/>
      <c r="B127" s="7"/>
      <c r="C127" s="37"/>
      <c r="D127" s="10"/>
      <c r="E127" s="10"/>
      <c r="F127" s="54"/>
      <c r="G127" s="10"/>
      <c r="H127" s="10"/>
      <c r="I127" s="10"/>
      <c r="J127" s="10"/>
      <c r="K127" s="10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.75" customHeight="1">
      <c r="A128" s="7"/>
      <c r="B128" s="7"/>
      <c r="C128" s="37"/>
      <c r="D128" s="10"/>
      <c r="E128" s="10"/>
      <c r="F128" s="54"/>
      <c r="G128" s="10"/>
      <c r="H128" s="10"/>
      <c r="I128" s="10"/>
      <c r="J128" s="10"/>
      <c r="K128" s="10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.75" customHeight="1">
      <c r="A129" s="7"/>
      <c r="B129" s="7"/>
      <c r="C129" s="37"/>
      <c r="D129" s="10"/>
      <c r="E129" s="10"/>
      <c r="F129" s="54"/>
      <c r="G129" s="10"/>
      <c r="H129" s="10"/>
      <c r="I129" s="10"/>
      <c r="J129" s="10"/>
      <c r="K129" s="10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.75" customHeight="1">
      <c r="A130" s="7"/>
      <c r="B130" s="7"/>
      <c r="C130" s="37"/>
      <c r="D130" s="10"/>
      <c r="E130" s="10"/>
      <c r="F130" s="54"/>
      <c r="G130" s="10"/>
      <c r="H130" s="10"/>
      <c r="I130" s="10"/>
      <c r="J130" s="10"/>
      <c r="K130" s="10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.75" customHeight="1">
      <c r="A131" s="7"/>
      <c r="B131" s="7"/>
      <c r="C131" s="37"/>
      <c r="D131" s="10"/>
      <c r="E131" s="10"/>
      <c r="F131" s="54"/>
      <c r="G131" s="10"/>
      <c r="H131" s="10"/>
      <c r="I131" s="10"/>
      <c r="J131" s="10"/>
      <c r="K131" s="10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.75" customHeight="1">
      <c r="A132" s="7"/>
      <c r="B132" s="7"/>
      <c r="C132" s="37"/>
      <c r="D132" s="10"/>
      <c r="E132" s="10"/>
      <c r="F132" s="54"/>
      <c r="G132" s="10"/>
      <c r="H132" s="10"/>
      <c r="I132" s="10"/>
      <c r="J132" s="10"/>
      <c r="K132" s="10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.75" customHeight="1">
      <c r="A133" s="7"/>
      <c r="B133" s="7"/>
      <c r="C133" s="37"/>
      <c r="D133" s="10"/>
      <c r="E133" s="10"/>
      <c r="F133" s="54"/>
      <c r="G133" s="10"/>
      <c r="H133" s="10"/>
      <c r="I133" s="10"/>
      <c r="J133" s="10"/>
      <c r="K133" s="10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.75" customHeight="1">
      <c r="A134" s="7"/>
      <c r="B134" s="7"/>
      <c r="C134" s="37"/>
      <c r="D134" s="10"/>
      <c r="E134" s="10"/>
      <c r="F134" s="54"/>
      <c r="G134" s="10"/>
      <c r="H134" s="10"/>
      <c r="I134" s="10"/>
      <c r="J134" s="10"/>
      <c r="K134" s="10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.75" customHeight="1">
      <c r="A135" s="7"/>
      <c r="B135" s="7"/>
      <c r="C135" s="37"/>
      <c r="D135" s="10"/>
      <c r="E135" s="10"/>
      <c r="F135" s="54"/>
      <c r="G135" s="10"/>
      <c r="H135" s="10"/>
      <c r="I135" s="10"/>
      <c r="J135" s="10"/>
      <c r="K135" s="10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.75" customHeight="1">
      <c r="A136" s="7"/>
      <c r="B136" s="7"/>
      <c r="C136" s="37"/>
      <c r="D136" s="10"/>
      <c r="E136" s="10"/>
      <c r="F136" s="54"/>
      <c r="G136" s="10"/>
      <c r="H136" s="10"/>
      <c r="I136" s="10"/>
      <c r="J136" s="10"/>
      <c r="K136" s="10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.75" customHeight="1">
      <c r="A137" s="7"/>
      <c r="B137" s="7"/>
      <c r="C137" s="37"/>
      <c r="D137" s="10"/>
      <c r="E137" s="10"/>
      <c r="F137" s="54"/>
      <c r="G137" s="10"/>
      <c r="H137" s="10"/>
      <c r="I137" s="10"/>
      <c r="J137" s="10"/>
      <c r="K137" s="10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.75" customHeight="1">
      <c r="A138" s="7"/>
      <c r="B138" s="7"/>
      <c r="C138" s="37"/>
      <c r="D138" s="10"/>
      <c r="E138" s="10"/>
      <c r="F138" s="54"/>
      <c r="G138" s="10"/>
      <c r="H138" s="10"/>
      <c r="I138" s="10"/>
      <c r="J138" s="10"/>
      <c r="K138" s="10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.75" customHeight="1">
      <c r="A139" s="7"/>
      <c r="B139" s="7"/>
      <c r="C139" s="37"/>
      <c r="D139" s="10"/>
      <c r="E139" s="10"/>
      <c r="F139" s="54"/>
      <c r="G139" s="10"/>
      <c r="H139" s="10"/>
      <c r="I139" s="10"/>
      <c r="J139" s="10"/>
      <c r="K139" s="10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.75" customHeight="1">
      <c r="A140" s="7"/>
      <c r="B140" s="7"/>
      <c r="C140" s="37"/>
      <c r="D140" s="10"/>
      <c r="E140" s="10"/>
      <c r="F140" s="54"/>
      <c r="G140" s="10"/>
      <c r="H140" s="10"/>
      <c r="I140" s="10"/>
      <c r="J140" s="10"/>
      <c r="K140" s="10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.75" customHeight="1">
      <c r="A141" s="7"/>
      <c r="B141" s="7"/>
      <c r="C141" s="37"/>
      <c r="D141" s="10"/>
      <c r="E141" s="10"/>
      <c r="F141" s="54"/>
      <c r="G141" s="10"/>
      <c r="H141" s="10"/>
      <c r="I141" s="10"/>
      <c r="J141" s="10"/>
      <c r="K141" s="10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.75" customHeight="1">
      <c r="A142" s="7"/>
      <c r="B142" s="7"/>
      <c r="C142" s="37"/>
      <c r="D142" s="10"/>
      <c r="E142" s="10"/>
      <c r="F142" s="54"/>
      <c r="G142" s="10"/>
      <c r="H142" s="10"/>
      <c r="I142" s="10"/>
      <c r="J142" s="10"/>
      <c r="K142" s="10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.75" customHeight="1">
      <c r="A143" s="7"/>
      <c r="B143" s="7"/>
      <c r="C143" s="37"/>
      <c r="D143" s="10"/>
      <c r="E143" s="10"/>
      <c r="F143" s="54"/>
      <c r="G143" s="10"/>
      <c r="H143" s="10"/>
      <c r="I143" s="10"/>
      <c r="J143" s="10"/>
      <c r="K143" s="10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.75" customHeight="1">
      <c r="A144" s="7"/>
      <c r="B144" s="7"/>
      <c r="C144" s="37"/>
      <c r="D144" s="10"/>
      <c r="E144" s="10"/>
      <c r="F144" s="54"/>
      <c r="G144" s="10"/>
      <c r="H144" s="10"/>
      <c r="I144" s="10"/>
      <c r="J144" s="10"/>
      <c r="K144" s="10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.75" customHeight="1">
      <c r="A145" s="7"/>
      <c r="B145" s="7"/>
      <c r="C145" s="37"/>
      <c r="D145" s="10"/>
      <c r="E145" s="10"/>
      <c r="F145" s="54"/>
      <c r="G145" s="10"/>
      <c r="H145" s="10"/>
      <c r="I145" s="10"/>
      <c r="J145" s="10"/>
      <c r="K145" s="10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.75" customHeight="1">
      <c r="A146" s="7"/>
      <c r="B146" s="7"/>
      <c r="C146" s="37"/>
      <c r="D146" s="10"/>
      <c r="E146" s="10"/>
      <c r="F146" s="54"/>
      <c r="G146" s="10"/>
      <c r="H146" s="10"/>
      <c r="I146" s="10"/>
      <c r="J146" s="10"/>
      <c r="K146" s="10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.75" customHeight="1">
      <c r="A147" s="7"/>
      <c r="B147" s="7"/>
      <c r="C147" s="37"/>
      <c r="D147" s="10"/>
      <c r="E147" s="10"/>
      <c r="F147" s="54"/>
      <c r="G147" s="10"/>
      <c r="H147" s="10"/>
      <c r="I147" s="10"/>
      <c r="J147" s="10"/>
      <c r="K147" s="10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.75" customHeight="1">
      <c r="A148" s="7"/>
      <c r="B148" s="7"/>
      <c r="C148" s="37"/>
      <c r="D148" s="10"/>
      <c r="E148" s="10"/>
      <c r="F148" s="54"/>
      <c r="G148" s="10"/>
      <c r="H148" s="10"/>
      <c r="I148" s="10"/>
      <c r="J148" s="10"/>
      <c r="K148" s="10"/>
      <c r="L148" s="10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.75" customHeight="1">
      <c r="A149" s="7"/>
      <c r="B149" s="7"/>
      <c r="C149" s="37"/>
      <c r="D149" s="10"/>
      <c r="E149" s="10"/>
      <c r="F149" s="54"/>
      <c r="G149" s="10"/>
      <c r="H149" s="10"/>
      <c r="I149" s="10"/>
      <c r="J149" s="10"/>
      <c r="K149" s="10"/>
      <c r="L149" s="10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.75" customHeight="1">
      <c r="A150" s="7"/>
      <c r="B150" s="7"/>
      <c r="C150" s="37"/>
      <c r="D150" s="10"/>
      <c r="E150" s="10"/>
      <c r="F150" s="54"/>
      <c r="G150" s="10"/>
      <c r="H150" s="10"/>
      <c r="I150" s="10"/>
      <c r="J150" s="10"/>
      <c r="K150" s="10"/>
      <c r="L150" s="10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.75" customHeight="1">
      <c r="A151" s="7"/>
      <c r="B151" s="7"/>
      <c r="C151" s="37"/>
      <c r="D151" s="10"/>
      <c r="E151" s="10"/>
      <c r="F151" s="54"/>
      <c r="G151" s="10"/>
      <c r="H151" s="10"/>
      <c r="I151" s="10"/>
      <c r="J151" s="10"/>
      <c r="K151" s="10"/>
      <c r="L151" s="10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.75" customHeight="1">
      <c r="A152" s="7"/>
      <c r="B152" s="7"/>
      <c r="C152" s="37"/>
      <c r="D152" s="10"/>
      <c r="E152" s="10"/>
      <c r="F152" s="54"/>
      <c r="G152" s="10"/>
      <c r="H152" s="10"/>
      <c r="I152" s="10"/>
      <c r="J152" s="10"/>
      <c r="K152" s="10"/>
      <c r="L152" s="10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.75" customHeight="1">
      <c r="A153" s="7"/>
      <c r="B153" s="7"/>
      <c r="C153" s="37"/>
      <c r="D153" s="10"/>
      <c r="E153" s="10"/>
      <c r="F153" s="54"/>
      <c r="G153" s="10"/>
      <c r="H153" s="10"/>
      <c r="I153" s="10"/>
      <c r="J153" s="10"/>
      <c r="K153" s="10"/>
      <c r="L153" s="10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.75" customHeight="1">
      <c r="A154" s="7"/>
      <c r="B154" s="7"/>
      <c r="C154" s="37"/>
      <c r="D154" s="10"/>
      <c r="E154" s="10"/>
      <c r="F154" s="54"/>
      <c r="G154" s="10"/>
      <c r="H154" s="10"/>
      <c r="I154" s="10"/>
      <c r="J154" s="10"/>
      <c r="K154" s="10"/>
      <c r="L154" s="10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.75" customHeight="1">
      <c r="A155" s="7"/>
      <c r="B155" s="7"/>
      <c r="C155" s="37"/>
      <c r="D155" s="10"/>
      <c r="E155" s="10"/>
      <c r="F155" s="54"/>
      <c r="G155" s="10"/>
      <c r="H155" s="10"/>
      <c r="I155" s="10"/>
      <c r="J155" s="10"/>
      <c r="K155" s="10"/>
      <c r="L155" s="10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.75" customHeight="1">
      <c r="A156" s="7"/>
      <c r="B156" s="7"/>
      <c r="C156" s="37"/>
      <c r="D156" s="10"/>
      <c r="E156" s="10"/>
      <c r="F156" s="54"/>
      <c r="G156" s="10"/>
      <c r="H156" s="10"/>
      <c r="I156" s="10"/>
      <c r="J156" s="10"/>
      <c r="K156" s="10"/>
      <c r="L156" s="10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.75" customHeight="1">
      <c r="A157" s="7"/>
      <c r="B157" s="7"/>
      <c r="C157" s="37"/>
      <c r="D157" s="10"/>
      <c r="E157" s="10"/>
      <c r="F157" s="54"/>
      <c r="G157" s="10"/>
      <c r="H157" s="10"/>
      <c r="I157" s="10"/>
      <c r="J157" s="10"/>
      <c r="K157" s="10"/>
      <c r="L157" s="10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.75" customHeight="1">
      <c r="A158" s="7"/>
      <c r="B158" s="7"/>
      <c r="C158" s="37"/>
      <c r="D158" s="10"/>
      <c r="E158" s="10"/>
      <c r="F158" s="54"/>
      <c r="G158" s="10"/>
      <c r="H158" s="10"/>
      <c r="I158" s="10"/>
      <c r="J158" s="10"/>
      <c r="K158" s="10"/>
      <c r="L158" s="10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.75" customHeight="1">
      <c r="A159" s="7"/>
      <c r="B159" s="7"/>
      <c r="C159" s="37"/>
      <c r="D159" s="10"/>
      <c r="E159" s="10"/>
      <c r="F159" s="54"/>
      <c r="G159" s="10"/>
      <c r="H159" s="10"/>
      <c r="I159" s="10"/>
      <c r="J159" s="10"/>
      <c r="K159" s="10"/>
      <c r="L159" s="10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.75" customHeight="1">
      <c r="A160" s="7"/>
      <c r="B160" s="7"/>
      <c r="C160" s="37"/>
      <c r="D160" s="10"/>
      <c r="E160" s="10"/>
      <c r="F160" s="54"/>
      <c r="G160" s="10"/>
      <c r="H160" s="10"/>
      <c r="I160" s="10"/>
      <c r="J160" s="10"/>
      <c r="K160" s="10"/>
      <c r="L160" s="10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.75" customHeight="1">
      <c r="A161" s="7"/>
      <c r="B161" s="7"/>
      <c r="C161" s="37"/>
      <c r="D161" s="10"/>
      <c r="E161" s="10"/>
      <c r="F161" s="54"/>
      <c r="G161" s="10"/>
      <c r="H161" s="10"/>
      <c r="I161" s="10"/>
      <c r="J161" s="10"/>
      <c r="K161" s="10"/>
      <c r="L161" s="10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.75" customHeight="1">
      <c r="A162" s="7"/>
      <c r="B162" s="7"/>
      <c r="C162" s="37"/>
      <c r="D162" s="10"/>
      <c r="E162" s="10"/>
      <c r="F162" s="54"/>
      <c r="G162" s="10"/>
      <c r="H162" s="10"/>
      <c r="I162" s="10"/>
      <c r="J162" s="10"/>
      <c r="K162" s="10"/>
      <c r="L162" s="10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.75" customHeight="1">
      <c r="A163" s="7"/>
      <c r="B163" s="7"/>
      <c r="C163" s="37"/>
      <c r="D163" s="10"/>
      <c r="E163" s="10"/>
      <c r="F163" s="54"/>
      <c r="G163" s="10"/>
      <c r="H163" s="10"/>
      <c r="I163" s="10"/>
      <c r="J163" s="10"/>
      <c r="K163" s="10"/>
      <c r="L163" s="10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.75" customHeight="1">
      <c r="A164" s="7"/>
      <c r="B164" s="7"/>
      <c r="C164" s="37"/>
      <c r="D164" s="10"/>
      <c r="E164" s="10"/>
      <c r="F164" s="54"/>
      <c r="G164" s="10"/>
      <c r="H164" s="10"/>
      <c r="I164" s="10"/>
      <c r="J164" s="10"/>
      <c r="K164" s="10"/>
      <c r="L164" s="10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.75" customHeight="1">
      <c r="A165" s="7"/>
      <c r="B165" s="7"/>
      <c r="C165" s="37"/>
      <c r="D165" s="10"/>
      <c r="E165" s="10"/>
      <c r="F165" s="54"/>
      <c r="G165" s="10"/>
      <c r="H165" s="10"/>
      <c r="I165" s="10"/>
      <c r="J165" s="10"/>
      <c r="K165" s="10"/>
      <c r="L165" s="10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.75" customHeight="1">
      <c r="A166" s="7"/>
      <c r="B166" s="7"/>
      <c r="C166" s="37"/>
      <c r="D166" s="10"/>
      <c r="E166" s="10"/>
      <c r="F166" s="54"/>
      <c r="G166" s="10"/>
      <c r="H166" s="10"/>
      <c r="I166" s="10"/>
      <c r="J166" s="10"/>
      <c r="K166" s="10"/>
      <c r="L166" s="10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.75" customHeight="1">
      <c r="A167" s="7"/>
      <c r="B167" s="7"/>
      <c r="C167" s="37"/>
      <c r="D167" s="10"/>
      <c r="E167" s="10"/>
      <c r="F167" s="54"/>
      <c r="G167" s="10"/>
      <c r="H167" s="10"/>
      <c r="I167" s="10"/>
      <c r="J167" s="10"/>
      <c r="K167" s="10"/>
      <c r="L167" s="10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75" customHeight="1">
      <c r="A168" s="7"/>
      <c r="B168" s="7"/>
      <c r="C168" s="37"/>
      <c r="D168" s="10"/>
      <c r="E168" s="10"/>
      <c r="F168" s="54"/>
      <c r="G168" s="10"/>
      <c r="H168" s="10"/>
      <c r="I168" s="10"/>
      <c r="J168" s="10"/>
      <c r="K168" s="10"/>
      <c r="L168" s="10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75" customHeight="1">
      <c r="A169" s="7"/>
      <c r="B169" s="7"/>
      <c r="C169" s="37"/>
      <c r="D169" s="10"/>
      <c r="E169" s="10"/>
      <c r="F169" s="54"/>
      <c r="G169" s="10"/>
      <c r="H169" s="10"/>
      <c r="I169" s="10"/>
      <c r="J169" s="10"/>
      <c r="K169" s="10"/>
      <c r="L169" s="10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.75" customHeight="1">
      <c r="A170" s="7"/>
      <c r="B170" s="7"/>
      <c r="C170" s="37"/>
      <c r="D170" s="10"/>
      <c r="E170" s="10"/>
      <c r="F170" s="54"/>
      <c r="G170" s="10"/>
      <c r="H170" s="10"/>
      <c r="I170" s="10"/>
      <c r="J170" s="10"/>
      <c r="K170" s="10"/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.75" customHeight="1">
      <c r="A171" s="7"/>
      <c r="B171" s="7"/>
      <c r="C171" s="37"/>
      <c r="D171" s="10"/>
      <c r="E171" s="10"/>
      <c r="F171" s="54"/>
      <c r="G171" s="10"/>
      <c r="H171" s="10"/>
      <c r="I171" s="10"/>
      <c r="J171" s="10"/>
      <c r="K171" s="10"/>
      <c r="L171" s="10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.75" customHeight="1">
      <c r="A172" s="7"/>
      <c r="B172" s="7"/>
      <c r="C172" s="37"/>
      <c r="D172" s="10"/>
      <c r="E172" s="10"/>
      <c r="F172" s="54"/>
      <c r="G172" s="10"/>
      <c r="H172" s="10"/>
      <c r="I172" s="10"/>
      <c r="J172" s="10"/>
      <c r="K172" s="10"/>
      <c r="L172" s="10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.75" customHeight="1">
      <c r="A173" s="7"/>
      <c r="B173" s="7"/>
      <c r="C173" s="37"/>
      <c r="D173" s="10"/>
      <c r="E173" s="10"/>
      <c r="F173" s="54"/>
      <c r="G173" s="10"/>
      <c r="H173" s="10"/>
      <c r="I173" s="10"/>
      <c r="J173" s="10"/>
      <c r="K173" s="10"/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75" customHeight="1">
      <c r="A174" s="7"/>
      <c r="B174" s="7"/>
      <c r="C174" s="37"/>
      <c r="D174" s="10"/>
      <c r="E174" s="10"/>
      <c r="F174" s="54"/>
      <c r="G174" s="10"/>
      <c r="H174" s="10"/>
      <c r="I174" s="10"/>
      <c r="J174" s="10"/>
      <c r="K174" s="10"/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75" customHeight="1">
      <c r="A175" s="7"/>
      <c r="B175" s="7"/>
      <c r="C175" s="37"/>
      <c r="D175" s="10"/>
      <c r="E175" s="10"/>
      <c r="F175" s="54"/>
      <c r="G175" s="10"/>
      <c r="H175" s="10"/>
      <c r="I175" s="10"/>
      <c r="J175" s="10"/>
      <c r="K175" s="10"/>
      <c r="L175" s="10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.75" customHeight="1">
      <c r="A176" s="7"/>
      <c r="B176" s="7"/>
      <c r="C176" s="37"/>
      <c r="D176" s="10"/>
      <c r="E176" s="10"/>
      <c r="F176" s="54"/>
      <c r="G176" s="10"/>
      <c r="H176" s="10"/>
      <c r="I176" s="10"/>
      <c r="J176" s="10"/>
      <c r="K176" s="10"/>
      <c r="L176" s="10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.75" customHeight="1">
      <c r="A177" s="7"/>
      <c r="B177" s="7"/>
      <c r="C177" s="37"/>
      <c r="D177" s="10"/>
      <c r="E177" s="10"/>
      <c r="F177" s="54"/>
      <c r="G177" s="10"/>
      <c r="H177" s="10"/>
      <c r="I177" s="10"/>
      <c r="J177" s="10"/>
      <c r="K177" s="10"/>
      <c r="L177" s="10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.75" customHeight="1">
      <c r="A178" s="7"/>
      <c r="B178" s="7"/>
      <c r="C178" s="37"/>
      <c r="D178" s="10"/>
      <c r="E178" s="10"/>
      <c r="F178" s="54"/>
      <c r="G178" s="10"/>
      <c r="H178" s="10"/>
      <c r="I178" s="10"/>
      <c r="J178" s="10"/>
      <c r="K178" s="10"/>
      <c r="L178" s="10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.75" customHeight="1">
      <c r="A179" s="7"/>
      <c r="B179" s="7"/>
      <c r="C179" s="37"/>
      <c r="D179" s="10"/>
      <c r="E179" s="10"/>
      <c r="F179" s="54"/>
      <c r="G179" s="10"/>
      <c r="H179" s="10"/>
      <c r="I179" s="10"/>
      <c r="J179" s="10"/>
      <c r="K179" s="10"/>
      <c r="L179" s="10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.75" customHeight="1">
      <c r="A180" s="7"/>
      <c r="B180" s="7"/>
      <c r="C180" s="37"/>
      <c r="D180" s="10"/>
      <c r="E180" s="10"/>
      <c r="F180" s="54"/>
      <c r="G180" s="10"/>
      <c r="H180" s="10"/>
      <c r="I180" s="10"/>
      <c r="J180" s="10"/>
      <c r="K180" s="10"/>
      <c r="L180" s="10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75" customHeight="1">
      <c r="A181" s="7"/>
      <c r="B181" s="7"/>
      <c r="C181" s="37"/>
      <c r="D181" s="10"/>
      <c r="E181" s="10"/>
      <c r="F181" s="54"/>
      <c r="G181" s="10"/>
      <c r="H181" s="10"/>
      <c r="I181" s="10"/>
      <c r="J181" s="10"/>
      <c r="K181" s="10"/>
      <c r="L181" s="10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.75" customHeight="1">
      <c r="A182" s="7"/>
      <c r="B182" s="7"/>
      <c r="C182" s="37"/>
      <c r="D182" s="10"/>
      <c r="E182" s="10"/>
      <c r="F182" s="54"/>
      <c r="G182" s="10"/>
      <c r="H182" s="10"/>
      <c r="I182" s="10"/>
      <c r="J182" s="10"/>
      <c r="K182" s="10"/>
      <c r="L182" s="10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.75" customHeight="1">
      <c r="A183" s="7"/>
      <c r="B183" s="7"/>
      <c r="C183" s="37"/>
      <c r="D183" s="10"/>
      <c r="E183" s="10"/>
      <c r="F183" s="54"/>
      <c r="G183" s="10"/>
      <c r="H183" s="10"/>
      <c r="I183" s="10"/>
      <c r="J183" s="10"/>
      <c r="K183" s="10"/>
      <c r="L183" s="10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.75" customHeight="1">
      <c r="A184" s="7"/>
      <c r="B184" s="7"/>
      <c r="C184" s="37"/>
      <c r="D184" s="10"/>
      <c r="E184" s="10"/>
      <c r="F184" s="54"/>
      <c r="G184" s="10"/>
      <c r="H184" s="10"/>
      <c r="I184" s="10"/>
      <c r="J184" s="10"/>
      <c r="K184" s="10"/>
      <c r="L184" s="10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.75" customHeight="1">
      <c r="A185" s="7"/>
      <c r="B185" s="7"/>
      <c r="C185" s="37"/>
      <c r="D185" s="10"/>
      <c r="E185" s="10"/>
      <c r="F185" s="54"/>
      <c r="G185" s="10"/>
      <c r="H185" s="10"/>
      <c r="I185" s="10"/>
      <c r="J185" s="10"/>
      <c r="K185" s="10"/>
      <c r="L185" s="10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.75" customHeight="1">
      <c r="A186" s="7"/>
      <c r="B186" s="7"/>
      <c r="C186" s="37"/>
      <c r="D186" s="10"/>
      <c r="E186" s="10"/>
      <c r="F186" s="54"/>
      <c r="G186" s="10"/>
      <c r="H186" s="10"/>
      <c r="I186" s="10"/>
      <c r="J186" s="10"/>
      <c r="K186" s="10"/>
      <c r="L186" s="10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.75" customHeight="1">
      <c r="A187" s="7"/>
      <c r="B187" s="7"/>
      <c r="C187" s="37"/>
      <c r="D187" s="10"/>
      <c r="E187" s="10"/>
      <c r="F187" s="54"/>
      <c r="G187" s="10"/>
      <c r="H187" s="10"/>
      <c r="I187" s="10"/>
      <c r="J187" s="10"/>
      <c r="K187" s="10"/>
      <c r="L187" s="10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.75" customHeight="1">
      <c r="A188" s="7"/>
      <c r="B188" s="7"/>
      <c r="C188" s="37"/>
      <c r="D188" s="10"/>
      <c r="E188" s="10"/>
      <c r="F188" s="54"/>
      <c r="G188" s="10"/>
      <c r="H188" s="10"/>
      <c r="I188" s="10"/>
      <c r="J188" s="10"/>
      <c r="K188" s="10"/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.75" customHeight="1">
      <c r="A189" s="7"/>
      <c r="B189" s="7"/>
      <c r="C189" s="37"/>
      <c r="D189" s="10"/>
      <c r="E189" s="10"/>
      <c r="F189" s="54"/>
      <c r="G189" s="10"/>
      <c r="H189" s="10"/>
      <c r="I189" s="10"/>
      <c r="J189" s="10"/>
      <c r="K189" s="10"/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.75" customHeight="1">
      <c r="A190" s="7"/>
      <c r="B190" s="7"/>
      <c r="C190" s="37"/>
      <c r="D190" s="10"/>
      <c r="E190" s="10"/>
      <c r="F190" s="54"/>
      <c r="G190" s="10"/>
      <c r="H190" s="10"/>
      <c r="I190" s="10"/>
      <c r="J190" s="10"/>
      <c r="K190" s="10"/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.75" customHeight="1">
      <c r="A191" s="7"/>
      <c r="B191" s="7"/>
      <c r="C191" s="37"/>
      <c r="D191" s="10"/>
      <c r="E191" s="10"/>
      <c r="F191" s="54"/>
      <c r="G191" s="10"/>
      <c r="H191" s="10"/>
      <c r="I191" s="10"/>
      <c r="J191" s="10"/>
      <c r="K191" s="10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.75" customHeight="1">
      <c r="A192" s="7"/>
      <c r="B192" s="7"/>
      <c r="C192" s="37"/>
      <c r="D192" s="10"/>
      <c r="E192" s="10"/>
      <c r="F192" s="54"/>
      <c r="G192" s="10"/>
      <c r="H192" s="10"/>
      <c r="I192" s="10"/>
      <c r="J192" s="10"/>
      <c r="K192" s="10"/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.75" customHeight="1">
      <c r="A193" s="7"/>
      <c r="B193" s="7"/>
      <c r="C193" s="37"/>
      <c r="D193" s="10"/>
      <c r="E193" s="10"/>
      <c r="F193" s="54"/>
      <c r="G193" s="10"/>
      <c r="H193" s="10"/>
      <c r="I193" s="10"/>
      <c r="J193" s="10"/>
      <c r="K193" s="10"/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.75" customHeight="1">
      <c r="A194" s="7"/>
      <c r="B194" s="7"/>
      <c r="C194" s="37"/>
      <c r="D194" s="10"/>
      <c r="E194" s="10"/>
      <c r="F194" s="54"/>
      <c r="G194" s="10"/>
      <c r="H194" s="10"/>
      <c r="I194" s="10"/>
      <c r="J194" s="10"/>
      <c r="K194" s="10"/>
      <c r="L194" s="10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.75" customHeight="1">
      <c r="A195" s="7"/>
      <c r="B195" s="7"/>
      <c r="C195" s="37"/>
      <c r="D195" s="10"/>
      <c r="E195" s="10"/>
      <c r="F195" s="54"/>
      <c r="G195" s="10"/>
      <c r="H195" s="10"/>
      <c r="I195" s="10"/>
      <c r="J195" s="10"/>
      <c r="K195" s="10"/>
      <c r="L195" s="10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.75" customHeight="1">
      <c r="A196" s="7"/>
      <c r="B196" s="7"/>
      <c r="C196" s="37"/>
      <c r="D196" s="10"/>
      <c r="E196" s="10"/>
      <c r="F196" s="54"/>
      <c r="G196" s="10"/>
      <c r="H196" s="10"/>
      <c r="I196" s="10"/>
      <c r="J196" s="10"/>
      <c r="K196" s="10"/>
      <c r="L196" s="10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.75" customHeight="1">
      <c r="A197" s="7"/>
      <c r="B197" s="7"/>
      <c r="C197" s="37"/>
      <c r="D197" s="10"/>
      <c r="E197" s="10"/>
      <c r="F197" s="54"/>
      <c r="G197" s="10"/>
      <c r="H197" s="10"/>
      <c r="I197" s="10"/>
      <c r="J197" s="10"/>
      <c r="K197" s="10"/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.75" customHeight="1">
      <c r="A198" s="7"/>
      <c r="B198" s="7"/>
      <c r="C198" s="37"/>
      <c r="D198" s="10"/>
      <c r="E198" s="10"/>
      <c r="F198" s="54"/>
      <c r="G198" s="10"/>
      <c r="H198" s="10"/>
      <c r="I198" s="10"/>
      <c r="J198" s="10"/>
      <c r="K198" s="10"/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.75" customHeight="1">
      <c r="A199" s="7"/>
      <c r="B199" s="7"/>
      <c r="C199" s="37"/>
      <c r="D199" s="10"/>
      <c r="E199" s="10"/>
      <c r="F199" s="54"/>
      <c r="G199" s="10"/>
      <c r="H199" s="10"/>
      <c r="I199" s="10"/>
      <c r="J199" s="10"/>
      <c r="K199" s="10"/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.75" customHeight="1">
      <c r="A200" s="7"/>
      <c r="B200" s="7"/>
      <c r="C200" s="37"/>
      <c r="D200" s="10"/>
      <c r="E200" s="10"/>
      <c r="F200" s="54"/>
      <c r="G200" s="10"/>
      <c r="H200" s="10"/>
      <c r="I200" s="10"/>
      <c r="J200" s="10"/>
      <c r="K200" s="10"/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.75" customHeight="1">
      <c r="A201" s="7"/>
      <c r="B201" s="7"/>
      <c r="C201" s="37"/>
      <c r="D201" s="10"/>
      <c r="E201" s="10"/>
      <c r="F201" s="54"/>
      <c r="G201" s="10"/>
      <c r="H201" s="10"/>
      <c r="I201" s="10"/>
      <c r="J201" s="10"/>
      <c r="K201" s="10"/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.75" customHeight="1">
      <c r="A202" s="7"/>
      <c r="B202" s="7"/>
      <c r="C202" s="37"/>
      <c r="D202" s="10"/>
      <c r="E202" s="10"/>
      <c r="F202" s="54"/>
      <c r="G202" s="10"/>
      <c r="H202" s="10"/>
      <c r="I202" s="10"/>
      <c r="J202" s="10"/>
      <c r="K202" s="10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.75" customHeight="1">
      <c r="A203" s="7"/>
      <c r="B203" s="7"/>
      <c r="C203" s="37"/>
      <c r="D203" s="10"/>
      <c r="E203" s="10"/>
      <c r="F203" s="54"/>
      <c r="G203" s="10"/>
      <c r="H203" s="10"/>
      <c r="I203" s="10"/>
      <c r="J203" s="10"/>
      <c r="K203" s="10"/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.75" customHeight="1">
      <c r="A204" s="7"/>
      <c r="B204" s="7"/>
      <c r="C204" s="37"/>
      <c r="D204" s="10"/>
      <c r="E204" s="10"/>
      <c r="F204" s="54"/>
      <c r="G204" s="10"/>
      <c r="H204" s="10"/>
      <c r="I204" s="10"/>
      <c r="J204" s="10"/>
      <c r="K204" s="10"/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.75" customHeight="1">
      <c r="A205" s="7"/>
      <c r="B205" s="7"/>
      <c r="C205" s="37"/>
      <c r="D205" s="10"/>
      <c r="E205" s="10"/>
      <c r="F205" s="54"/>
      <c r="G205" s="10"/>
      <c r="H205" s="10"/>
      <c r="I205" s="10"/>
      <c r="J205" s="10"/>
      <c r="K205" s="10"/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.75" customHeight="1">
      <c r="A206" s="7"/>
      <c r="B206" s="7"/>
      <c r="C206" s="37"/>
      <c r="D206" s="10"/>
      <c r="E206" s="10"/>
      <c r="F206" s="54"/>
      <c r="G206" s="10"/>
      <c r="H206" s="10"/>
      <c r="I206" s="10"/>
      <c r="J206" s="10"/>
      <c r="K206" s="10"/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.75" customHeight="1">
      <c r="A207" s="7"/>
      <c r="B207" s="7"/>
      <c r="C207" s="37"/>
      <c r="D207" s="10"/>
      <c r="E207" s="10"/>
      <c r="F207" s="54"/>
      <c r="G207" s="10"/>
      <c r="H207" s="10"/>
      <c r="I207" s="10"/>
      <c r="J207" s="10"/>
      <c r="K207" s="10"/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.75" customHeight="1">
      <c r="A208" s="7"/>
      <c r="B208" s="7"/>
      <c r="C208" s="37"/>
      <c r="D208" s="10"/>
      <c r="E208" s="10"/>
      <c r="F208" s="54"/>
      <c r="G208" s="10"/>
      <c r="H208" s="10"/>
      <c r="I208" s="10"/>
      <c r="J208" s="10"/>
      <c r="K208" s="10"/>
      <c r="L208" s="10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.75" customHeight="1">
      <c r="A209" s="7"/>
      <c r="B209" s="7"/>
      <c r="C209" s="37"/>
      <c r="D209" s="10"/>
      <c r="E209" s="10"/>
      <c r="F209" s="54"/>
      <c r="G209" s="10"/>
      <c r="H209" s="10"/>
      <c r="I209" s="10"/>
      <c r="J209" s="10"/>
      <c r="K209" s="10"/>
      <c r="L209" s="10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.75" customHeight="1">
      <c r="A210" s="7"/>
      <c r="B210" s="7"/>
      <c r="C210" s="37"/>
      <c r="D210" s="10"/>
      <c r="E210" s="10"/>
      <c r="F210" s="54"/>
      <c r="G210" s="10"/>
      <c r="H210" s="10"/>
      <c r="I210" s="10"/>
      <c r="J210" s="10"/>
      <c r="K210" s="10"/>
      <c r="L210" s="10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.75" customHeight="1">
      <c r="A211" s="7"/>
      <c r="B211" s="7"/>
      <c r="C211" s="37"/>
      <c r="D211" s="10"/>
      <c r="E211" s="10"/>
      <c r="F211" s="54"/>
      <c r="G211" s="10"/>
      <c r="H211" s="10"/>
      <c r="I211" s="10"/>
      <c r="J211" s="10"/>
      <c r="K211" s="10"/>
      <c r="L211" s="10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.75" customHeight="1">
      <c r="A212" s="7"/>
      <c r="B212" s="7"/>
      <c r="C212" s="37"/>
      <c r="D212" s="10"/>
      <c r="E212" s="10"/>
      <c r="F212" s="54"/>
      <c r="G212" s="10"/>
      <c r="H212" s="10"/>
      <c r="I212" s="10"/>
      <c r="J212" s="10"/>
      <c r="K212" s="10"/>
      <c r="L212" s="10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.75" customHeight="1">
      <c r="A213" s="7"/>
      <c r="B213" s="7"/>
      <c r="C213" s="37"/>
      <c r="D213" s="10"/>
      <c r="E213" s="10"/>
      <c r="F213" s="54"/>
      <c r="G213" s="10"/>
      <c r="H213" s="10"/>
      <c r="I213" s="10"/>
      <c r="J213" s="10"/>
      <c r="K213" s="10"/>
      <c r="L213" s="10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.75" customHeight="1">
      <c r="A214" s="7"/>
      <c r="B214" s="7"/>
      <c r="C214" s="37"/>
      <c r="D214" s="10"/>
      <c r="E214" s="10"/>
      <c r="F214" s="54"/>
      <c r="G214" s="10"/>
      <c r="H214" s="10"/>
      <c r="I214" s="10"/>
      <c r="J214" s="10"/>
      <c r="K214" s="10"/>
      <c r="L214" s="10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.75" customHeight="1">
      <c r="A215" s="7"/>
      <c r="B215" s="7"/>
      <c r="C215" s="37"/>
      <c r="D215" s="10"/>
      <c r="E215" s="10"/>
      <c r="F215" s="54"/>
      <c r="G215" s="10"/>
      <c r="H215" s="10"/>
      <c r="I215" s="10"/>
      <c r="J215" s="10"/>
      <c r="K215" s="10"/>
      <c r="L215" s="10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.75" customHeight="1">
      <c r="A216" s="7"/>
      <c r="B216" s="7"/>
      <c r="C216" s="37"/>
      <c r="D216" s="10"/>
      <c r="E216" s="10"/>
      <c r="F216" s="54"/>
      <c r="G216" s="10"/>
      <c r="H216" s="10"/>
      <c r="I216" s="10"/>
      <c r="J216" s="10"/>
      <c r="K216" s="10"/>
      <c r="L216" s="10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.75" customHeight="1">
      <c r="A217" s="7"/>
      <c r="B217" s="7"/>
      <c r="C217" s="37"/>
      <c r="D217" s="10"/>
      <c r="E217" s="10"/>
      <c r="F217" s="54"/>
      <c r="G217" s="10"/>
      <c r="H217" s="10"/>
      <c r="I217" s="10"/>
      <c r="J217" s="10"/>
      <c r="K217" s="10"/>
      <c r="L217" s="10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.75" customHeight="1">
      <c r="A218" s="7"/>
      <c r="B218" s="7"/>
      <c r="C218" s="37"/>
      <c r="D218" s="10"/>
      <c r="E218" s="10"/>
      <c r="F218" s="54"/>
      <c r="G218" s="10"/>
      <c r="H218" s="10"/>
      <c r="I218" s="10"/>
      <c r="J218" s="10"/>
      <c r="K218" s="10"/>
      <c r="L218" s="10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.75" customHeight="1">
      <c r="A219" s="7"/>
      <c r="B219" s="7"/>
      <c r="C219" s="37"/>
      <c r="D219" s="10"/>
      <c r="E219" s="10"/>
      <c r="F219" s="54"/>
      <c r="G219" s="10"/>
      <c r="H219" s="10"/>
      <c r="I219" s="10"/>
      <c r="J219" s="10"/>
      <c r="K219" s="10"/>
      <c r="L219" s="10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.75" customHeight="1">
      <c r="A220" s="7"/>
      <c r="B220" s="7"/>
      <c r="C220" s="37"/>
      <c r="D220" s="10"/>
      <c r="E220" s="10"/>
      <c r="F220" s="54"/>
      <c r="G220" s="10"/>
      <c r="H220" s="10"/>
      <c r="I220" s="10"/>
      <c r="J220" s="10"/>
      <c r="K220" s="10"/>
      <c r="L220" s="10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.75" customHeight="1">
      <c r="A221" s="7"/>
      <c r="B221" s="7"/>
      <c r="C221" s="37"/>
      <c r="D221" s="10"/>
      <c r="E221" s="10"/>
      <c r="F221" s="54"/>
      <c r="G221" s="10"/>
      <c r="H221" s="10"/>
      <c r="I221" s="10"/>
      <c r="J221" s="10"/>
      <c r="K221" s="10"/>
      <c r="L221" s="10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.75" customHeight="1">
      <c r="A222" s="7"/>
      <c r="B222" s="7"/>
      <c r="C222" s="37"/>
      <c r="D222" s="10"/>
      <c r="E222" s="10"/>
      <c r="F222" s="54"/>
      <c r="G222" s="10"/>
      <c r="H222" s="10"/>
      <c r="I222" s="10"/>
      <c r="J222" s="10"/>
      <c r="K222" s="10"/>
      <c r="L222" s="10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.75" customHeight="1">
      <c r="A223" s="7"/>
      <c r="B223" s="7"/>
      <c r="C223" s="37"/>
      <c r="D223" s="10"/>
      <c r="E223" s="10"/>
      <c r="F223" s="54"/>
      <c r="G223" s="10"/>
      <c r="H223" s="10"/>
      <c r="I223" s="10"/>
      <c r="J223" s="10"/>
      <c r="K223" s="10"/>
      <c r="L223" s="10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.75" customHeight="1">
      <c r="A224" s="7"/>
      <c r="B224" s="7"/>
      <c r="C224" s="37"/>
      <c r="D224" s="10"/>
      <c r="E224" s="10"/>
      <c r="F224" s="54"/>
      <c r="G224" s="10"/>
      <c r="H224" s="10"/>
      <c r="I224" s="10"/>
      <c r="J224" s="10"/>
      <c r="K224" s="10"/>
      <c r="L224" s="10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.75" customHeight="1">
      <c r="A225" s="7"/>
      <c r="B225" s="7"/>
      <c r="C225" s="37"/>
      <c r="D225" s="10"/>
      <c r="E225" s="10"/>
      <c r="F225" s="54"/>
      <c r="G225" s="10"/>
      <c r="H225" s="10"/>
      <c r="I225" s="10"/>
      <c r="J225" s="10"/>
      <c r="K225" s="10"/>
      <c r="L225" s="10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.75" customHeight="1">
      <c r="A226" s="7"/>
      <c r="B226" s="7"/>
      <c r="C226" s="37"/>
      <c r="D226" s="10"/>
      <c r="E226" s="10"/>
      <c r="F226" s="54"/>
      <c r="G226" s="10"/>
      <c r="H226" s="10"/>
      <c r="I226" s="10"/>
      <c r="J226" s="10"/>
      <c r="K226" s="10"/>
      <c r="L226" s="10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.75" customHeight="1">
      <c r="A227" s="7"/>
      <c r="B227" s="7"/>
      <c r="C227" s="37"/>
      <c r="D227" s="10"/>
      <c r="E227" s="10"/>
      <c r="F227" s="54"/>
      <c r="G227" s="10"/>
      <c r="H227" s="10"/>
      <c r="I227" s="10"/>
      <c r="J227" s="10"/>
      <c r="K227" s="10"/>
      <c r="L227" s="10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.75" customHeight="1">
      <c r="A228" s="7"/>
      <c r="B228" s="7"/>
      <c r="C228" s="37"/>
      <c r="D228" s="10"/>
      <c r="E228" s="10"/>
      <c r="F228" s="54"/>
      <c r="G228" s="10"/>
      <c r="H228" s="10"/>
      <c r="I228" s="10"/>
      <c r="J228" s="10"/>
      <c r="K228" s="10"/>
      <c r="L228" s="10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.75" customHeight="1">
      <c r="A229" s="7"/>
      <c r="B229" s="7"/>
      <c r="C229" s="37"/>
      <c r="D229" s="10"/>
      <c r="E229" s="10"/>
      <c r="F229" s="54"/>
      <c r="G229" s="10"/>
      <c r="H229" s="10"/>
      <c r="I229" s="10"/>
      <c r="J229" s="10"/>
      <c r="K229" s="10"/>
      <c r="L229" s="10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.75" customHeight="1">
      <c r="A230" s="7"/>
      <c r="B230" s="7"/>
      <c r="C230" s="37"/>
      <c r="D230" s="10"/>
      <c r="E230" s="10"/>
      <c r="F230" s="54"/>
      <c r="G230" s="10"/>
      <c r="H230" s="10"/>
      <c r="I230" s="10"/>
      <c r="J230" s="10"/>
      <c r="K230" s="10"/>
      <c r="L230" s="10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.75" customHeight="1">
      <c r="A231" s="7"/>
      <c r="B231" s="7"/>
      <c r="C231" s="37"/>
      <c r="D231" s="10"/>
      <c r="E231" s="10"/>
      <c r="F231" s="54"/>
      <c r="G231" s="10"/>
      <c r="H231" s="10"/>
      <c r="I231" s="10"/>
      <c r="J231" s="10"/>
      <c r="K231" s="10"/>
      <c r="L231" s="10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.75" customHeight="1">
      <c r="A232" s="7"/>
      <c r="B232" s="7"/>
      <c r="C232" s="37"/>
      <c r="D232" s="10"/>
      <c r="E232" s="10"/>
      <c r="F232" s="54"/>
      <c r="G232" s="10"/>
      <c r="H232" s="10"/>
      <c r="I232" s="10"/>
      <c r="J232" s="10"/>
      <c r="K232" s="10"/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.75" customHeight="1">
      <c r="A233" s="7"/>
      <c r="B233" s="7"/>
      <c r="C233" s="37"/>
      <c r="D233" s="10"/>
      <c r="E233" s="10"/>
      <c r="F233" s="54"/>
      <c r="G233" s="10"/>
      <c r="H233" s="10"/>
      <c r="I233" s="10"/>
      <c r="J233" s="10"/>
      <c r="K233" s="10"/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.75" customHeight="1">
      <c r="A234" s="7"/>
      <c r="B234" s="7"/>
      <c r="C234" s="37"/>
      <c r="D234" s="10"/>
      <c r="E234" s="10"/>
      <c r="F234" s="54"/>
      <c r="G234" s="10"/>
      <c r="H234" s="10"/>
      <c r="I234" s="10"/>
      <c r="J234" s="10"/>
      <c r="K234" s="10"/>
      <c r="L234" s="10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.75" customHeight="1">
      <c r="A235" s="7"/>
      <c r="B235" s="7"/>
      <c r="C235" s="37"/>
      <c r="D235" s="10"/>
      <c r="E235" s="10"/>
      <c r="F235" s="54"/>
      <c r="G235" s="10"/>
      <c r="H235" s="10"/>
      <c r="I235" s="10"/>
      <c r="J235" s="10"/>
      <c r="K235" s="10"/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.75" customHeight="1">
      <c r="A236" s="7"/>
      <c r="B236" s="7"/>
      <c r="C236" s="37"/>
      <c r="D236" s="10"/>
      <c r="E236" s="10"/>
      <c r="F236" s="54"/>
      <c r="G236" s="10"/>
      <c r="H236" s="10"/>
      <c r="I236" s="10"/>
      <c r="J236" s="10"/>
      <c r="K236" s="10"/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.75" customHeight="1">
      <c r="A237" s="7"/>
      <c r="B237" s="7"/>
      <c r="C237" s="37"/>
      <c r="D237" s="10"/>
      <c r="E237" s="10"/>
      <c r="F237" s="54"/>
      <c r="G237" s="10"/>
      <c r="H237" s="10"/>
      <c r="I237" s="10"/>
      <c r="J237" s="10"/>
      <c r="K237" s="10"/>
      <c r="L237" s="10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.75" customHeight="1">
      <c r="A238" s="7"/>
      <c r="B238" s="7"/>
      <c r="C238" s="37"/>
      <c r="D238" s="10"/>
      <c r="E238" s="10"/>
      <c r="F238" s="54"/>
      <c r="G238" s="10"/>
      <c r="H238" s="10"/>
      <c r="I238" s="10"/>
      <c r="J238" s="10"/>
      <c r="K238" s="10"/>
      <c r="L238" s="10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.75" customHeight="1">
      <c r="A239" s="7"/>
      <c r="B239" s="7"/>
      <c r="C239" s="37"/>
      <c r="D239" s="10"/>
      <c r="E239" s="10"/>
      <c r="F239" s="54"/>
      <c r="G239" s="10"/>
      <c r="H239" s="10"/>
      <c r="I239" s="10"/>
      <c r="J239" s="10"/>
      <c r="K239" s="10"/>
      <c r="L239" s="10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.75" customHeight="1">
      <c r="A240" s="7"/>
      <c r="B240" s="7"/>
      <c r="C240" s="37"/>
      <c r="D240" s="10"/>
      <c r="E240" s="10"/>
      <c r="F240" s="54"/>
      <c r="G240" s="10"/>
      <c r="H240" s="10"/>
      <c r="I240" s="10"/>
      <c r="J240" s="10"/>
      <c r="K240" s="10"/>
      <c r="L240" s="10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.75" customHeight="1">
      <c r="A241" s="7"/>
      <c r="B241" s="7"/>
      <c r="C241" s="37"/>
      <c r="D241" s="10"/>
      <c r="E241" s="10"/>
      <c r="F241" s="54"/>
      <c r="G241" s="10"/>
      <c r="H241" s="10"/>
      <c r="I241" s="10"/>
      <c r="J241" s="10"/>
      <c r="K241" s="10"/>
      <c r="L241" s="10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.75" customHeight="1">
      <c r="A242" s="7"/>
      <c r="B242" s="7"/>
      <c r="C242" s="37"/>
      <c r="D242" s="10"/>
      <c r="E242" s="10"/>
      <c r="F242" s="54"/>
      <c r="G242" s="10"/>
      <c r="H242" s="10"/>
      <c r="I242" s="10"/>
      <c r="J242" s="10"/>
      <c r="K242" s="10"/>
      <c r="L242" s="10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.75" customHeight="1">
      <c r="A243" s="7"/>
      <c r="B243" s="7"/>
      <c r="C243" s="37"/>
      <c r="D243" s="10"/>
      <c r="E243" s="10"/>
      <c r="F243" s="54"/>
      <c r="G243" s="10"/>
      <c r="H243" s="10"/>
      <c r="I243" s="10"/>
      <c r="J243" s="10"/>
      <c r="K243" s="10"/>
      <c r="L243" s="10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.75" customHeight="1">
      <c r="A244" s="7"/>
      <c r="B244" s="7"/>
      <c r="C244" s="37"/>
      <c r="D244" s="10"/>
      <c r="E244" s="10"/>
      <c r="F244" s="54"/>
      <c r="G244" s="10"/>
      <c r="H244" s="10"/>
      <c r="I244" s="10"/>
      <c r="J244" s="10"/>
      <c r="K244" s="10"/>
      <c r="L244" s="10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.75" customHeight="1">
      <c r="A245" s="7"/>
      <c r="B245" s="7"/>
      <c r="C245" s="37"/>
      <c r="D245" s="10"/>
      <c r="E245" s="10"/>
      <c r="F245" s="54"/>
      <c r="G245" s="10"/>
      <c r="H245" s="10"/>
      <c r="I245" s="10"/>
      <c r="J245" s="10"/>
      <c r="K245" s="10"/>
      <c r="L245" s="10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.75" customHeight="1">
      <c r="A246" s="7"/>
      <c r="B246" s="7"/>
      <c r="C246" s="37"/>
      <c r="D246" s="10"/>
      <c r="E246" s="10"/>
      <c r="F246" s="54"/>
      <c r="G246" s="10"/>
      <c r="H246" s="10"/>
      <c r="I246" s="10"/>
      <c r="J246" s="10"/>
      <c r="K246" s="10"/>
      <c r="L246" s="10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.75" customHeight="1">
      <c r="A247" s="7"/>
      <c r="B247" s="7"/>
      <c r="C247" s="37"/>
      <c r="D247" s="10"/>
      <c r="E247" s="10"/>
      <c r="F247" s="54"/>
      <c r="G247" s="10"/>
      <c r="H247" s="10"/>
      <c r="I247" s="10"/>
      <c r="J247" s="10"/>
      <c r="K247" s="10"/>
      <c r="L247" s="10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.75" customHeight="1">
      <c r="A248" s="7"/>
      <c r="B248" s="7"/>
      <c r="C248" s="37"/>
      <c r="D248" s="10"/>
      <c r="E248" s="10"/>
      <c r="F248" s="54"/>
      <c r="G248" s="10"/>
      <c r="H248" s="10"/>
      <c r="I248" s="10"/>
      <c r="J248" s="10"/>
      <c r="K248" s="10"/>
      <c r="L248" s="10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.75" customHeight="1">
      <c r="A249" s="7"/>
      <c r="B249" s="7"/>
      <c r="C249" s="37"/>
      <c r="D249" s="10"/>
      <c r="E249" s="10"/>
      <c r="F249" s="54"/>
      <c r="G249" s="10"/>
      <c r="H249" s="10"/>
      <c r="I249" s="10"/>
      <c r="J249" s="10"/>
      <c r="K249" s="10"/>
      <c r="L249" s="10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.75" customHeight="1">
      <c r="A250" s="7"/>
      <c r="B250" s="7"/>
      <c r="C250" s="37"/>
      <c r="D250" s="10"/>
      <c r="E250" s="10"/>
      <c r="F250" s="54"/>
      <c r="G250" s="10"/>
      <c r="H250" s="10"/>
      <c r="I250" s="10"/>
      <c r="J250" s="10"/>
      <c r="K250" s="10"/>
      <c r="L250" s="10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.75" customHeight="1">
      <c r="A251" s="7"/>
      <c r="B251" s="7"/>
      <c r="C251" s="37"/>
      <c r="D251" s="10"/>
      <c r="E251" s="10"/>
      <c r="F251" s="54"/>
      <c r="G251" s="10"/>
      <c r="H251" s="10"/>
      <c r="I251" s="10"/>
      <c r="J251" s="10"/>
      <c r="K251" s="10"/>
      <c r="L251" s="10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.75" customHeight="1">
      <c r="A252" s="7"/>
      <c r="B252" s="7"/>
      <c r="C252" s="37"/>
      <c r="D252" s="10"/>
      <c r="E252" s="10"/>
      <c r="F252" s="54"/>
      <c r="G252" s="10"/>
      <c r="H252" s="10"/>
      <c r="I252" s="10"/>
      <c r="J252" s="10"/>
      <c r="K252" s="10"/>
      <c r="L252" s="10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.75" customHeight="1"/>
    <row r="254" spans="1:22" ht="15.75" customHeight="1"/>
    <row r="255" spans="1:22" ht="15.75" customHeight="1"/>
    <row r="256" spans="1:2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62" xr:uid="{00000000-0009-0000-0000-000007000000}"/>
  <conditionalFormatting sqref="B2:B8">
    <cfRule type="expression" dxfId="873" priority="1">
      <formula>B2=#REF!</formula>
    </cfRule>
  </conditionalFormatting>
  <conditionalFormatting sqref="B2:B19">
    <cfRule type="expression" dxfId="872" priority="2">
      <formula>COUNTIF($C$1:$C$959, B2) &gt; 1</formula>
    </cfRule>
    <cfRule type="expression" dxfId="871" priority="3">
      <formula>COUNTIF($B$2:$B$940, B2) &gt; 1</formula>
    </cfRule>
    <cfRule type="expression" dxfId="870" priority="4">
      <formula>COUNTIF($C$1:$C$960, B2) &gt; 1</formula>
    </cfRule>
    <cfRule type="expression" dxfId="869" priority="5">
      <formula>COUNTIF($B$2:$B$941, B2) &gt; 1</formula>
    </cfRule>
    <cfRule type="expression" dxfId="868" priority="6">
      <formula>COUNTIF($C$1:$C$957, B2) &gt; 1</formula>
    </cfRule>
    <cfRule type="expression" dxfId="867" priority="7">
      <formula>COUNTIF($B$2:$B$938, B2) &gt; 1</formula>
    </cfRule>
    <cfRule type="expression" dxfId="866" priority="8">
      <formula>COUNTIF($B$2:$B$939, B2) &gt; 1</formula>
    </cfRule>
  </conditionalFormatting>
  <conditionalFormatting sqref="B2:B20">
    <cfRule type="expression" dxfId="865" priority="9">
      <formula>COUNTIF($C$1:$C$962, B2) &gt; 1</formula>
    </cfRule>
    <cfRule type="expression" dxfId="864" priority="10">
      <formula>COUNTIF($C$1:$C$958, B2) &gt; 1</formula>
    </cfRule>
  </conditionalFormatting>
  <conditionalFormatting sqref="B2:B21">
    <cfRule type="expression" dxfId="863" priority="11">
      <formula>COUNTIF($C$1:$C$963, B2) &gt; 1</formula>
    </cfRule>
    <cfRule type="expression" dxfId="862" priority="12">
      <formula>COUNTIF($B$2:$B$944, B2) &gt; 1</formula>
    </cfRule>
    <cfRule type="expression" dxfId="861" priority="13">
      <formula>COUNTIF($B$2:$B$945, B2) &gt; 1</formula>
    </cfRule>
  </conditionalFormatting>
  <conditionalFormatting sqref="B2:B22">
    <cfRule type="expression" dxfId="860" priority="14">
      <formula>COUNTIF($C$1:$C$965, B2) &gt; 1</formula>
    </cfRule>
    <cfRule type="expression" dxfId="859" priority="15">
      <formula>COUNTIF($B$2:$B$946, B2) &gt; 1</formula>
    </cfRule>
  </conditionalFormatting>
  <conditionalFormatting sqref="B2:B24">
    <cfRule type="expression" dxfId="858" priority="16">
      <formula>COUNTIF($B$2:$B$952, B2) &gt; 1</formula>
    </cfRule>
    <cfRule type="expression" dxfId="857" priority="17">
      <formula>COUNTIF($C$1:$C$964, B2) &gt; 1</formula>
    </cfRule>
  </conditionalFormatting>
  <conditionalFormatting sqref="B2:B25 B27:B49">
    <cfRule type="expression" dxfId="856" priority="18">
      <formula>COUNTIF($B$2:$B$990, B2) &gt; 1</formula>
    </cfRule>
    <cfRule type="expression" dxfId="855" priority="19">
      <formula>COUNTIF($B$2:$B$991, B2) &gt; 1</formula>
    </cfRule>
  </conditionalFormatting>
  <conditionalFormatting sqref="B2:B25">
    <cfRule type="expression" dxfId="854" priority="20">
      <formula>COUNTIF($C$1:$C$970, B2) &gt; 1</formula>
    </cfRule>
    <cfRule type="expression" dxfId="853" priority="21">
      <formula>COUNTIF($B$2:$B$951, B2) &gt; 1</formula>
    </cfRule>
    <cfRule type="expression" dxfId="852" priority="22">
      <formula>COUNTIF($B$2:$B$949, B2) &gt; 1</formula>
    </cfRule>
    <cfRule type="expression" dxfId="851" priority="23">
      <formula>COUNTIF($C$1:$C$969, B2) &gt; 1</formula>
    </cfRule>
    <cfRule type="expression" dxfId="850" priority="24">
      <formula>COUNTIF($B$2:$B$950, B2) &gt; 1</formula>
    </cfRule>
    <cfRule type="expression" dxfId="849" priority="25">
      <formula>COUNTIF($C$1:$C$966, B2) &gt; 1</formula>
    </cfRule>
    <cfRule type="expression" dxfId="848" priority="26">
      <formula>COUNTIF($B$2:$B$947, B2) &gt; 1</formula>
    </cfRule>
    <cfRule type="expression" dxfId="847" priority="27">
      <formula>COUNTIF($B$2:$B$948, B2) &gt; 1</formula>
    </cfRule>
  </conditionalFormatting>
  <conditionalFormatting sqref="B2:B26">
    <cfRule type="expression" dxfId="846" priority="28">
      <formula>COUNTIF($B$1:$B$970, B2) &gt; 1</formula>
    </cfRule>
    <cfRule type="expression" dxfId="845" priority="29">
      <formula>COUNTIF($B$2:$B$964, B2) &gt; 1</formula>
    </cfRule>
    <cfRule type="expression" dxfId="844" priority="30">
      <formula>COUNTIF($C$1:$C$971, B2) &gt; 1</formula>
    </cfRule>
    <cfRule type="expression" dxfId="843" priority="31">
      <formula>COUNTIF($C$1:$C$968, B2) &gt; 1</formula>
    </cfRule>
    <cfRule type="expression" dxfId="842" priority="32">
      <formula>COUNTIF($C$1:$C$967, B2) &gt; 1</formula>
    </cfRule>
  </conditionalFormatting>
  <conditionalFormatting sqref="B2:B27">
    <cfRule type="expression" dxfId="841" priority="33">
      <formula>COUNTIF($B$2:$B$958, B2) &gt; 1</formula>
    </cfRule>
    <cfRule type="expression" dxfId="840" priority="34">
      <formula>COUNTIF($C$1:$C$972, B2) &gt; 1</formula>
    </cfRule>
    <cfRule type="expression" dxfId="839" priority="35">
      <formula>COUNTIF($B$2:$B$953, B2) &gt; 1</formula>
    </cfRule>
    <cfRule type="expression" dxfId="838" priority="36">
      <formula>COUNTIF($B$2:$B$954, B2) &gt; 1</formula>
    </cfRule>
  </conditionalFormatting>
  <conditionalFormatting sqref="B2:B28 B30:B52">
    <cfRule type="expression" dxfId="837" priority="37">
      <formula>COUNTIF($C$1:$C$1013, B2) &gt; 1</formula>
    </cfRule>
  </conditionalFormatting>
  <conditionalFormatting sqref="B2:B28">
    <cfRule type="expression" dxfId="836" priority="38">
      <formula>COUNTIF($B$1:$B$958, B2) &gt; 1</formula>
    </cfRule>
    <cfRule type="expression" dxfId="835" priority="39">
      <formula>COUNTIF($B$1:$B$962, B2) &gt; 1</formula>
    </cfRule>
    <cfRule type="expression" dxfId="834" priority="40">
      <formula>COUNTIF($B$2:$B$965, B2) &gt; 1</formula>
    </cfRule>
    <cfRule type="expression" dxfId="833" priority="41">
      <formula>COUNTIF($B$2:$B$966, B2) &gt; 1</formula>
    </cfRule>
    <cfRule type="expression" dxfId="832" priority="42">
      <formula>COUNTIF($C$1:$C$977, B2) &gt; 1</formula>
    </cfRule>
    <cfRule type="expression" dxfId="831" priority="43">
      <formula>COUNTIF($B$2:$B$957, B2) &gt; 1</formula>
    </cfRule>
    <cfRule type="expression" dxfId="830" priority="44">
      <formula>COUNTIF($C$1:$C$976, B2) &gt; 1</formula>
    </cfRule>
    <cfRule type="expression" dxfId="829" priority="45">
      <formula>COUNTIF($B$2:$B$955, B2) &gt; 1</formula>
    </cfRule>
    <cfRule type="expression" dxfId="828" priority="46">
      <formula>COUNTIF($C$1:$C$975, B2) &gt; 1</formula>
    </cfRule>
    <cfRule type="expression" dxfId="827" priority="47">
      <formula>COUNTIF($B$2:$B$956, B2) &gt; 1</formula>
    </cfRule>
  </conditionalFormatting>
  <conditionalFormatting sqref="B2:B30">
    <cfRule type="expression" dxfId="826" priority="48">
      <formula>COUNTIF($K$2:$K$65, B2) &gt; 1</formula>
    </cfRule>
    <cfRule type="expression" dxfId="825" priority="49">
      <formula>COUNTIF($J$2:$J$65, B2) &gt; 1</formula>
    </cfRule>
    <cfRule type="expression" dxfId="824" priority="50">
      <formula>COUNTIF($B$2:$B$66, B2) &gt; 1</formula>
    </cfRule>
  </conditionalFormatting>
  <conditionalFormatting sqref="B2:B31">
    <cfRule type="expression" dxfId="823" priority="51">
      <formula>COUNTIF($B$2:$B$963, B2) &gt; 1</formula>
    </cfRule>
    <cfRule type="expression" dxfId="822" priority="52">
      <formula>COUNTIF($C$1:$C$982, B2) &gt; 1</formula>
    </cfRule>
    <cfRule type="expression" dxfId="821" priority="53">
      <formula>COUNTIF($C$1:$C$974, B2) &gt; 1</formula>
    </cfRule>
    <cfRule type="expression" dxfId="820" priority="54">
      <formula>COUNTIF($B$2:$B$961, B2) &gt; 1</formula>
    </cfRule>
    <cfRule type="expression" dxfId="819" priority="55">
      <formula>COUNTIF($B$2:$B$962, B2) &gt; 1</formula>
    </cfRule>
    <cfRule type="expression" dxfId="818" priority="56">
      <formula>COUNTIF($C$1:$C$978, B2) &gt; 1</formula>
    </cfRule>
    <cfRule type="expression" dxfId="817" priority="57">
      <formula>COUNTIF($B$2:$B$959, B2) &gt; 1</formula>
    </cfRule>
    <cfRule type="expression" dxfId="816" priority="58">
      <formula>COUNTIF($C$1:$C$979, B2) &gt; 1</formula>
    </cfRule>
    <cfRule type="expression" dxfId="815" priority="59">
      <formula>COUNTIF($B$2:$B$960, B2) &gt; 1</formula>
    </cfRule>
    <cfRule type="expression" dxfId="814" priority="60">
      <formula>COUNTIF($C$1:$C$973, B2) &gt; 1</formula>
    </cfRule>
  </conditionalFormatting>
  <conditionalFormatting sqref="B2:B32">
    <cfRule type="expression" dxfId="813" priority="61">
      <formula>COUNTIF($C$1:$C$983, B2) &gt; 1</formula>
    </cfRule>
    <cfRule type="expression" dxfId="812" priority="62">
      <formula>COUNTIF($C$1:$C$981, B2) &gt; 1</formula>
    </cfRule>
    <cfRule type="expression" dxfId="811" priority="63">
      <formula>COUNTIF($C$1:$C$980, B2) &gt; 1</formula>
    </cfRule>
  </conditionalFormatting>
  <conditionalFormatting sqref="B2:B33">
    <cfRule type="expression" dxfId="810" priority="64">
      <formula>COUNTIF($B$2:$B$972, B2) &gt; 1</formula>
    </cfRule>
    <cfRule type="expression" dxfId="809" priority="65">
      <formula>COUNTIF($C$1:$C$985, B2) &gt; 1</formula>
    </cfRule>
    <cfRule type="expression" dxfId="808" priority="66">
      <formula>COUNTIF($C$1:$C$984, B2) &gt; 1</formula>
    </cfRule>
  </conditionalFormatting>
  <conditionalFormatting sqref="B2:B34">
    <cfRule type="expression" dxfId="807" priority="67">
      <formula>COUNTIF($B$2:$B$973, B2) &gt; 1</formula>
    </cfRule>
  </conditionalFormatting>
  <conditionalFormatting sqref="B2:B35">
    <cfRule type="expression" dxfId="806" priority="68">
      <formula>COUNTIF($B$1:$B$980, B2) &gt; 1</formula>
    </cfRule>
    <cfRule type="expression" dxfId="805" priority="69">
      <formula>COUNTIF($B$1:$B$979, B2) &gt; 1</formula>
    </cfRule>
    <cfRule type="expression" dxfId="804" priority="70">
      <formula>COUNTIF($B$2:$B$974, B2) &gt; 1</formula>
    </cfRule>
    <cfRule type="expression" dxfId="803" priority="71">
      <formula>COUNTIF($B$2:$B$975, B2) &gt; 1</formula>
    </cfRule>
  </conditionalFormatting>
  <conditionalFormatting sqref="B2:B36">
    <cfRule type="expression" dxfId="802" priority="72">
      <formula>COUNTIF($B$1:$B$977, B2) &gt; 1</formula>
    </cfRule>
    <cfRule type="expression" dxfId="801" priority="73">
      <formula>COUNTIF($B$1:$B$976, B2) &gt; 1</formula>
    </cfRule>
    <cfRule type="expression" dxfId="800" priority="74">
      <formula>COUNTIF($C$1:$C$986, B2) &gt; 1</formula>
    </cfRule>
    <cfRule type="expression" dxfId="799" priority="75">
      <formula>COUNTIF($B$2:$B$967, B2) &gt; 1</formula>
    </cfRule>
    <cfRule type="expression" dxfId="798" priority="76">
      <formula>COUNTIF($C$1:$C$987, B2) &gt; 1</formula>
    </cfRule>
    <cfRule type="expression" dxfId="797" priority="77">
      <formula>COUNTIF($B$2:$B$968, B2) &gt; 1</formula>
    </cfRule>
  </conditionalFormatting>
  <conditionalFormatting sqref="B2:B37">
    <cfRule type="expression" dxfId="796" priority="78">
      <formula>COUNTIF($B$1:$B$987, B2) &gt; 1</formula>
    </cfRule>
    <cfRule type="expression" dxfId="795" priority="79">
      <formula>COUNTIF($B$2:$B$978, B2) &gt; 1</formula>
    </cfRule>
    <cfRule type="expression" dxfId="794" priority="80">
      <formula>COUNTIF($B$2:$B$979, B2) &gt; 1</formula>
    </cfRule>
    <cfRule type="expression" dxfId="793" priority="81">
      <formula>COUNTIF($B$1:$B$968, B2) &gt; 1</formula>
    </cfRule>
    <cfRule type="expression" dxfId="792" priority="82">
      <formula>COUNTIF($B$1:$B$972, B2) &gt; 1</formula>
    </cfRule>
    <cfRule type="expression" dxfId="791" priority="83">
      <formula>COUNTIF($B$1:$B$990, B2) &gt; 1</formula>
    </cfRule>
    <cfRule type="expression" dxfId="790" priority="84">
      <formula>COUNTIF($B$1:$B$967, B2) &gt; 1</formula>
    </cfRule>
    <cfRule type="expression" dxfId="789" priority="85">
      <formula>COUNTIF($B$1:$B$971, B2) &gt; 1</formula>
    </cfRule>
    <cfRule type="expression" dxfId="788" priority="86">
      <formula>COUNTIF($C$1:$C$989, B2) &gt; 1</formula>
    </cfRule>
    <cfRule type="expression" dxfId="787" priority="87">
      <formula>COUNTIF($B$2:$B$970, B2) &gt; 1</formula>
    </cfRule>
    <cfRule type="expression" dxfId="786" priority="88">
      <formula>COUNTIF($B$2:$B$971, B2) &gt; 1</formula>
    </cfRule>
    <cfRule type="expression" dxfId="785" priority="89">
      <formula>COUNTIF($C$1:$C$988, B2) &gt; 1</formula>
    </cfRule>
    <cfRule type="expression" dxfId="784" priority="90">
      <formula>COUNTIF($B$2:$B$969, B2) &gt; 1</formula>
    </cfRule>
    <cfRule type="expression" dxfId="783" priority="91">
      <formula>COUNTIF($B$2:$B$976, B2) &gt; 1</formula>
    </cfRule>
    <cfRule type="expression" dxfId="782" priority="92">
      <formula>COUNTIF($B$2:$B$977, B2) &gt; 1</formula>
    </cfRule>
  </conditionalFormatting>
  <conditionalFormatting sqref="B2:B38">
    <cfRule type="expression" dxfId="781" priority="93">
      <formula>COUNTIF($B$1:$B$978, B2) &gt; 1</formula>
    </cfRule>
    <cfRule type="expression" dxfId="780" priority="94">
      <formula>COUNTIF($C$1:$C$991, B2) &gt; 1</formula>
    </cfRule>
    <cfRule type="expression" dxfId="779" priority="95">
      <formula>COUNTIF($C$1:$C$990, B2) &gt; 1</formula>
    </cfRule>
  </conditionalFormatting>
  <conditionalFormatting sqref="B2:B39">
    <cfRule type="expression" dxfId="778" priority="96">
      <formula>COUNTIF($C$1:$C$998, B2) &gt; 1</formula>
    </cfRule>
    <cfRule type="expression" dxfId="777" priority="97">
      <formula>COUNTIF($K$2:$K$75, B2) &gt; 1</formula>
    </cfRule>
    <cfRule type="expression" dxfId="776" priority="98">
      <formula>COUNTIF($B$2:$B$76, B2) &gt; 1</formula>
    </cfRule>
    <cfRule type="expression" dxfId="775" priority="99">
      <formula>COUNTIF($K$2:$K$74, B2) &gt; 1</formula>
    </cfRule>
    <cfRule type="expression" dxfId="774" priority="100">
      <formula>COUNTIF($B$2:$B$75, B2) &gt; 1</formula>
    </cfRule>
    <cfRule type="expression" dxfId="773" priority="101">
      <formula>COUNTIF($C$1:$C$997, B2) &gt; 1</formula>
    </cfRule>
    <cfRule type="expression" dxfId="772" priority="102">
      <formula>COUNTIF($C$1:$C$996, B2) &gt; 1</formula>
    </cfRule>
  </conditionalFormatting>
  <conditionalFormatting sqref="B2:B40">
    <cfRule type="expression" dxfId="771" priority="103">
      <formula>COUNTIF($B$1:$B$982, B2) &gt; 1</formula>
    </cfRule>
    <cfRule type="expression" dxfId="770" priority="104">
      <formula>COUNTIF($C$1:$C$992, B2) &gt; 1</formula>
    </cfRule>
    <cfRule type="expression" dxfId="769" priority="105">
      <formula>COUNTIF($C$1:$C$995, B2) &gt; 1</formula>
    </cfRule>
    <cfRule type="expression" dxfId="768" priority="106">
      <formula>COUNTIF($C$1:$C$993, B2) &gt; 1</formula>
    </cfRule>
    <cfRule type="expression" dxfId="767" priority="107">
      <formula>COUNTIF($C$1:$C$994, B2) &gt; 1</formula>
    </cfRule>
    <cfRule type="expression" dxfId="766" priority="108">
      <formula>COUNTIF($C$1:$C$999, B2) &gt; 1</formula>
    </cfRule>
    <cfRule type="expression" dxfId="765" priority="109">
      <formula>COUNTIF($B$2:$B$980, B2) &gt; 1</formula>
    </cfRule>
    <cfRule type="expression" dxfId="764" priority="110">
      <formula>COUNTIF($C$1:$C$1000, B2) &gt; 1</formula>
    </cfRule>
    <cfRule type="expression" dxfId="763" priority="111">
      <formula>COUNTIF($B$2:$B$981, B2) &gt; 1</formula>
    </cfRule>
  </conditionalFormatting>
  <conditionalFormatting sqref="B2:B42">
    <cfRule type="expression" dxfId="762" priority="112">
      <formula>COUNTIF($J$2:$J$85, B2) &gt; 1</formula>
    </cfRule>
    <cfRule type="expression" dxfId="761" priority="113">
      <formula>COUNTIF($B$2:$B$86, B2) &gt; 1</formula>
    </cfRule>
    <cfRule type="expression" dxfId="760" priority="114">
      <formula>COUNTIF($C$1:$C$1003, B2) &gt; 1</formula>
    </cfRule>
    <cfRule type="expression" dxfId="759" priority="115">
      <formula>COUNTIF($C$1:$C$1001, B2) &gt; 1</formula>
    </cfRule>
    <cfRule type="expression" dxfId="758" priority="116">
      <formula>COUNTIF($B$2:$B$982, B2) &gt; 1</formula>
    </cfRule>
    <cfRule type="expression" dxfId="757" priority="117">
      <formula>COUNTIF($C$1:$C$1002, B2) &gt; 1</formula>
    </cfRule>
    <cfRule type="expression" dxfId="756" priority="118">
      <formula>COUNTIF($B$2:$B$983, B2) &gt; 1</formula>
    </cfRule>
  </conditionalFormatting>
  <conditionalFormatting sqref="B2:B43">
    <cfRule type="expression" dxfId="755" priority="119">
      <formula>COUNTIF($B$1:$B$994, B2) &gt; 1</formula>
    </cfRule>
    <cfRule type="expression" dxfId="754" priority="120">
      <formula>COUNTIF($C$1:$C$1004, B2) &gt; 1</formula>
    </cfRule>
  </conditionalFormatting>
  <conditionalFormatting sqref="B2:B44">
    <cfRule type="expression" dxfId="753" priority="121">
      <formula>COUNTIF($B$1:$B$964, B2) &gt; 1</formula>
    </cfRule>
    <cfRule type="expression" dxfId="752" priority="122">
      <formula>COUNTIF($B$1:$B$985, B2) &gt; 1</formula>
    </cfRule>
    <cfRule type="expression" dxfId="751" priority="123">
      <formula>COUNTIF($B$1:$B$1007, B2) &gt; 1</formula>
    </cfRule>
    <cfRule type="expression" dxfId="750" priority="124">
      <formula>COUNTIF($C$1:$C$1015, B2) &gt; 1</formula>
    </cfRule>
    <cfRule type="expression" dxfId="749" priority="125">
      <formula>COUNTIF($H$2:$H$92, B2) &gt; 1</formula>
    </cfRule>
    <cfRule type="expression" dxfId="748" priority="126">
      <formula>COUNTIF($C$1:$C$1006, B2) &gt; 1</formula>
    </cfRule>
    <cfRule type="expression" dxfId="747" priority="127">
      <formula>COUNTIF($B$2:$B$93, B2) &gt; 1</formula>
    </cfRule>
    <cfRule type="expression" dxfId="746" priority="128">
      <formula>COUNTIF($B$1:$B$989, B2) &gt; 1</formula>
    </cfRule>
    <cfRule type="expression" dxfId="745" priority="129">
      <formula>COUNTIF($C$1:$C$1005, B2) &gt; 1</formula>
    </cfRule>
  </conditionalFormatting>
  <conditionalFormatting sqref="B2:B46">
    <cfRule type="expression" dxfId="744" priority="130">
      <formula>COUNTIF($B$1:$B$1000, B2) &gt; 1</formula>
    </cfRule>
  </conditionalFormatting>
  <conditionalFormatting sqref="B2:B47">
    <cfRule type="expression" dxfId="743" priority="131">
      <formula>COUNTIF($B$1:$B$997, B2) &gt; 1</formula>
    </cfRule>
    <cfRule type="expression" dxfId="742" priority="132">
      <formula>COUNTIF($C$1:$C$1007, B2) &gt; 1</formula>
    </cfRule>
    <cfRule type="expression" dxfId="741" priority="133">
      <formula>COUNTIF($B$2:$B$988, B2) &gt; 1</formula>
    </cfRule>
    <cfRule type="expression" dxfId="740" priority="134">
      <formula>COUNTIF($C$1:$C$1008, B2) &gt; 1</formula>
    </cfRule>
    <cfRule type="expression" dxfId="739" priority="135">
      <formula>COUNTIF($B$2:$B$989, B2) &gt; 1</formula>
    </cfRule>
  </conditionalFormatting>
  <conditionalFormatting sqref="B2:B48">
    <cfRule type="expression" dxfId="738" priority="136">
      <formula>COUNTIF($B$1:$B$988, B2) &gt; 1</formula>
    </cfRule>
  </conditionalFormatting>
  <conditionalFormatting sqref="B2:B49">
    <cfRule type="expression" dxfId="737" priority="137">
      <formula>COUNTIF($B$1:$B$1010, B2) &gt; 1</formula>
    </cfRule>
    <cfRule type="expression" dxfId="736" priority="138">
      <formula>COUNTIF($C$1:$C$1009, B2) &gt; 1</formula>
    </cfRule>
  </conditionalFormatting>
  <conditionalFormatting sqref="B2:B50">
    <cfRule type="expression" dxfId="735" priority="139">
      <formula>COUNTIF($B$1:$B$992, B2) &gt; 1</formula>
    </cfRule>
    <cfRule type="expression" dxfId="734" priority="140">
      <formula>COUNTIF($C$1:$C$1010, B2) &gt; 1</formula>
    </cfRule>
  </conditionalFormatting>
  <conditionalFormatting sqref="B2:B51">
    <cfRule type="expression" dxfId="733" priority="141">
      <formula>COUNTIF($C$1:$C$1012, B2) &gt; 1</formula>
    </cfRule>
    <cfRule type="expression" dxfId="732" priority="142">
      <formula>COUNTIF($C$1:$C$1011, B2) &gt; 1</formula>
    </cfRule>
  </conditionalFormatting>
  <conditionalFormatting sqref="B2:B52">
    <cfRule type="expression" dxfId="731" priority="143">
      <formula>COUNTIF($K$2:$K$95, B2) &gt; 1</formula>
    </cfRule>
    <cfRule type="expression" dxfId="730" priority="144">
      <formula>COUNTIF($B$2:$B$96, B2) &gt; 1</formula>
    </cfRule>
  </conditionalFormatting>
  <conditionalFormatting sqref="B2:B53">
    <cfRule type="expression" dxfId="729" priority="145">
      <formula>COUNTIF($C$1:$C$1014, B2) &gt; 1</formula>
    </cfRule>
  </conditionalFormatting>
  <conditionalFormatting sqref="B2:B54">
    <cfRule type="expression" dxfId="728" priority="146">
      <formula>COUNTIF($C$1:$C$1016, B2) &gt; 1</formula>
    </cfRule>
    <cfRule type="expression" dxfId="727" priority="147">
      <formula>COUNTIF($B$1:$B$974, B2) &gt; 1</formula>
    </cfRule>
    <cfRule type="expression" dxfId="726" priority="148">
      <formula>COUNTIF($B$1:$B$973, B2) &gt; 1</formula>
    </cfRule>
    <cfRule type="expression" dxfId="725" priority="149">
      <formula>COUNTIF($C$1:$C$1018, B2) &gt; 1</formula>
    </cfRule>
    <cfRule type="expression" dxfId="724" priority="150">
      <formula>COUNTIF($C$1:$C$1017, B2) &gt; 1</formula>
    </cfRule>
  </conditionalFormatting>
  <conditionalFormatting sqref="B19">
    <cfRule type="expression" dxfId="723" priority="151">
      <formula>COUNTIF($C$1:$C$1021, B19) &gt; 1</formula>
    </cfRule>
  </conditionalFormatting>
  <conditionalFormatting sqref="C2:C1000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2" customWidth="1"/>
    <col min="3" max="3" width="21.6640625" customWidth="1"/>
    <col min="4" max="7" width="11" customWidth="1"/>
    <col min="8" max="8" width="25.88671875" customWidth="1"/>
    <col min="11" max="11" width="15.109375" customWidth="1"/>
  </cols>
  <sheetData>
    <row r="1" spans="1:16" ht="33" customHeight="1">
      <c r="A1" s="57" t="s">
        <v>0</v>
      </c>
      <c r="B1" s="57" t="s">
        <v>162</v>
      </c>
      <c r="C1" s="58" t="s">
        <v>174</v>
      </c>
      <c r="D1" s="59"/>
      <c r="E1" s="59"/>
      <c r="F1" s="59"/>
      <c r="G1" s="59"/>
      <c r="H1" s="60" t="s">
        <v>175</v>
      </c>
      <c r="I1" s="60" t="s">
        <v>169</v>
      </c>
      <c r="J1" s="60" t="s">
        <v>171</v>
      </c>
      <c r="K1" s="60" t="s">
        <v>172</v>
      </c>
      <c r="L1" s="60" t="s">
        <v>176</v>
      </c>
      <c r="M1" s="7"/>
      <c r="N1" s="7"/>
      <c r="O1" s="7"/>
      <c r="P1" s="7"/>
    </row>
    <row r="2" spans="1:16" ht="15.75" customHeight="1">
      <c r="A2" s="35" t="s">
        <v>26</v>
      </c>
      <c r="B2" s="36" t="s">
        <v>131</v>
      </c>
      <c r="C2" s="65">
        <f t="shared" ref="C2:C33" si="0">IFERROR(INDEX(I:I, MATCH(B2, H:H, 0)), 0)</f>
        <v>650000</v>
      </c>
      <c r="D2" s="59"/>
      <c r="E2" s="59"/>
      <c r="F2" s="59"/>
      <c r="G2" s="59"/>
      <c r="H2" s="68" t="s">
        <v>131</v>
      </c>
      <c r="I2" s="69">
        <v>650000</v>
      </c>
      <c r="J2" s="85">
        <v>1</v>
      </c>
      <c r="K2" s="69">
        <v>500000</v>
      </c>
      <c r="L2" s="85">
        <v>1</v>
      </c>
      <c r="M2" s="7"/>
      <c r="N2" s="7"/>
      <c r="O2" s="7"/>
      <c r="P2" s="7"/>
    </row>
    <row r="3" spans="1:16" ht="15.75" customHeight="1">
      <c r="A3" s="35" t="s">
        <v>26</v>
      </c>
      <c r="B3" s="36" t="s">
        <v>133</v>
      </c>
      <c r="C3" s="65">
        <f t="shared" si="0"/>
        <v>2150000</v>
      </c>
      <c r="D3" s="59"/>
      <c r="E3" s="59"/>
      <c r="F3" s="59"/>
      <c r="G3" s="59"/>
      <c r="H3" s="68" t="s">
        <v>133</v>
      </c>
      <c r="I3" s="69">
        <v>2150000</v>
      </c>
      <c r="J3" s="85">
        <v>1</v>
      </c>
      <c r="K3" s="69">
        <v>1000000</v>
      </c>
      <c r="L3" s="85">
        <v>1</v>
      </c>
      <c r="M3" s="7"/>
      <c r="N3" s="7"/>
      <c r="O3" s="7"/>
      <c r="P3" s="7"/>
    </row>
    <row r="4" spans="1:16" ht="15.75" customHeight="1">
      <c r="A4" s="35" t="s">
        <v>26</v>
      </c>
      <c r="B4" s="44" t="s">
        <v>132</v>
      </c>
      <c r="C4" s="65">
        <f t="shared" si="0"/>
        <v>100000</v>
      </c>
      <c r="D4" s="75"/>
      <c r="E4" s="59"/>
      <c r="F4" s="75"/>
      <c r="G4" s="75"/>
      <c r="H4" s="68" t="s">
        <v>132</v>
      </c>
      <c r="I4" s="69">
        <v>100000</v>
      </c>
      <c r="J4" s="85">
        <v>1</v>
      </c>
      <c r="K4" s="69">
        <v>0</v>
      </c>
      <c r="L4" s="85">
        <v>1</v>
      </c>
      <c r="M4" s="7"/>
      <c r="N4" s="7"/>
      <c r="O4" s="7"/>
      <c r="P4" s="7"/>
    </row>
    <row r="5" spans="1:16" ht="15.75" customHeight="1">
      <c r="A5" s="35" t="s">
        <v>26</v>
      </c>
      <c r="B5" s="36" t="s">
        <v>134</v>
      </c>
      <c r="C5" s="65">
        <f t="shared" si="0"/>
        <v>950000</v>
      </c>
      <c r="D5" s="75"/>
      <c r="E5" s="59"/>
      <c r="F5" s="75"/>
      <c r="G5" s="75"/>
      <c r="H5" s="68" t="s">
        <v>134</v>
      </c>
      <c r="I5" s="69">
        <v>950000</v>
      </c>
      <c r="J5" s="85">
        <v>1</v>
      </c>
      <c r="K5" s="69">
        <v>500000</v>
      </c>
      <c r="L5" s="85">
        <v>1</v>
      </c>
      <c r="M5" s="7"/>
      <c r="N5" s="7"/>
      <c r="O5" s="7"/>
      <c r="P5" s="7"/>
    </row>
    <row r="6" spans="1:16" ht="15.75" customHeight="1">
      <c r="A6" s="35" t="s">
        <v>25</v>
      </c>
      <c r="B6" s="36" t="s">
        <v>126</v>
      </c>
      <c r="C6" s="65">
        <f t="shared" si="0"/>
        <v>0</v>
      </c>
      <c r="D6" s="75"/>
      <c r="E6" s="59"/>
      <c r="F6" s="75"/>
      <c r="G6" s="75"/>
      <c r="H6" s="68" t="s">
        <v>126</v>
      </c>
      <c r="I6" s="69">
        <v>0</v>
      </c>
      <c r="J6" s="85">
        <v>1</v>
      </c>
      <c r="K6" s="69">
        <v>0</v>
      </c>
      <c r="L6" s="85">
        <v>1</v>
      </c>
      <c r="M6" s="7"/>
      <c r="N6" s="7"/>
      <c r="O6" s="7"/>
      <c r="P6" s="7"/>
    </row>
    <row r="7" spans="1:16" ht="15.75" customHeight="1">
      <c r="A7" s="35" t="s">
        <v>25</v>
      </c>
      <c r="B7" s="36" t="s">
        <v>127</v>
      </c>
      <c r="C7" s="65">
        <f t="shared" si="0"/>
        <v>1650000</v>
      </c>
      <c r="D7" s="75"/>
      <c r="E7" s="59"/>
      <c r="F7" s="75"/>
      <c r="G7" s="75"/>
      <c r="H7" s="68" t="s">
        <v>127</v>
      </c>
      <c r="I7" s="69">
        <v>1650000</v>
      </c>
      <c r="J7" s="85">
        <v>1</v>
      </c>
      <c r="K7" s="70">
        <v>1600000</v>
      </c>
      <c r="L7" s="85">
        <v>1</v>
      </c>
      <c r="M7" s="7"/>
      <c r="N7" s="7"/>
      <c r="O7" s="7"/>
      <c r="P7" s="7"/>
    </row>
    <row r="8" spans="1:16" ht="15.75" customHeight="1">
      <c r="A8" s="35" t="s">
        <v>25</v>
      </c>
      <c r="B8" s="36" t="s">
        <v>129</v>
      </c>
      <c r="C8" s="65">
        <f t="shared" si="0"/>
        <v>1150000</v>
      </c>
      <c r="D8" s="75"/>
      <c r="E8" s="59"/>
      <c r="F8" s="75"/>
      <c r="G8" s="75"/>
      <c r="H8" s="68" t="s">
        <v>129</v>
      </c>
      <c r="I8" s="69">
        <v>1150000</v>
      </c>
      <c r="J8" s="85">
        <v>1</v>
      </c>
      <c r="K8" s="70">
        <v>1000000</v>
      </c>
      <c r="L8" s="85">
        <v>1</v>
      </c>
      <c r="M8" s="7"/>
      <c r="N8" s="7"/>
      <c r="O8" s="7"/>
      <c r="P8" s="7"/>
    </row>
    <row r="9" spans="1:16" ht="15.75" customHeight="1">
      <c r="A9" s="35" t="s">
        <v>25</v>
      </c>
      <c r="B9" s="36" t="s">
        <v>128</v>
      </c>
      <c r="C9" s="65">
        <f t="shared" si="0"/>
        <v>1550000</v>
      </c>
      <c r="D9" s="75"/>
      <c r="E9" s="59"/>
      <c r="F9" s="75"/>
      <c r="G9" s="75"/>
      <c r="H9" s="68" t="s">
        <v>128</v>
      </c>
      <c r="I9" s="69">
        <v>1550000</v>
      </c>
      <c r="J9" s="85">
        <v>1</v>
      </c>
      <c r="K9" s="70">
        <v>1000000</v>
      </c>
      <c r="L9" s="85">
        <v>1</v>
      </c>
      <c r="M9" s="7"/>
      <c r="N9" s="7"/>
      <c r="O9" s="7"/>
      <c r="P9" s="7"/>
    </row>
    <row r="10" spans="1:16" ht="15.75" customHeight="1">
      <c r="A10" s="35" t="s">
        <v>25</v>
      </c>
      <c r="B10" s="36" t="s">
        <v>130</v>
      </c>
      <c r="C10" s="65">
        <f t="shared" si="0"/>
        <v>0</v>
      </c>
      <c r="D10" s="75"/>
      <c r="E10" s="59"/>
      <c r="F10" s="75"/>
      <c r="G10" s="75"/>
      <c r="H10" s="68" t="s">
        <v>130</v>
      </c>
      <c r="I10" s="69">
        <v>0</v>
      </c>
      <c r="J10" s="85">
        <v>1</v>
      </c>
      <c r="K10" s="70">
        <v>0</v>
      </c>
      <c r="L10" s="85">
        <v>1</v>
      </c>
      <c r="M10" s="7"/>
      <c r="N10" s="7"/>
      <c r="O10" s="7"/>
      <c r="P10" s="7"/>
    </row>
    <row r="11" spans="1:16" ht="15.75" customHeight="1">
      <c r="A11" s="35" t="s">
        <v>15</v>
      </c>
      <c r="B11" s="36" t="s">
        <v>74</v>
      </c>
      <c r="C11" s="65">
        <f t="shared" si="0"/>
        <v>0</v>
      </c>
      <c r="D11" s="75"/>
      <c r="E11" s="59"/>
      <c r="F11" s="75"/>
      <c r="G11" s="75"/>
      <c r="H11" s="68" t="s">
        <v>74</v>
      </c>
      <c r="I11" s="69">
        <v>0</v>
      </c>
      <c r="J11" s="85">
        <v>1</v>
      </c>
      <c r="K11" s="70">
        <v>0</v>
      </c>
      <c r="L11" s="85">
        <v>1</v>
      </c>
      <c r="M11" s="7"/>
      <c r="N11" s="7"/>
      <c r="O11" s="7"/>
      <c r="P11" s="7"/>
    </row>
    <row r="12" spans="1:16" ht="15.75" customHeight="1">
      <c r="A12" s="35" t="s">
        <v>15</v>
      </c>
      <c r="B12" s="44" t="s">
        <v>82</v>
      </c>
      <c r="C12" s="65">
        <f t="shared" si="0"/>
        <v>0</v>
      </c>
      <c r="D12" s="75"/>
      <c r="E12" s="59"/>
      <c r="F12" s="75"/>
      <c r="G12" s="75"/>
      <c r="H12" s="68" t="s">
        <v>82</v>
      </c>
      <c r="I12" s="69">
        <v>0</v>
      </c>
      <c r="J12" s="85">
        <v>1</v>
      </c>
      <c r="K12" s="70">
        <v>0</v>
      </c>
      <c r="L12" s="85">
        <v>1</v>
      </c>
      <c r="M12" s="7"/>
      <c r="N12" s="7"/>
      <c r="O12" s="7"/>
      <c r="P12" s="7"/>
    </row>
    <row r="13" spans="1:16" ht="15.75" customHeight="1">
      <c r="A13" s="35" t="s">
        <v>15</v>
      </c>
      <c r="B13" s="44" t="s">
        <v>76</v>
      </c>
      <c r="C13" s="65">
        <f t="shared" si="0"/>
        <v>0</v>
      </c>
      <c r="D13" s="75"/>
      <c r="E13" s="59"/>
      <c r="F13" s="75"/>
      <c r="G13" s="75"/>
      <c r="H13" s="68" t="s">
        <v>76</v>
      </c>
      <c r="I13" s="69">
        <v>0</v>
      </c>
      <c r="J13" s="85">
        <v>0.8</v>
      </c>
      <c r="K13" s="70">
        <v>0</v>
      </c>
      <c r="L13" s="85">
        <v>1</v>
      </c>
      <c r="M13" s="7"/>
      <c r="N13" s="7"/>
      <c r="O13" s="7"/>
      <c r="P13" s="7"/>
    </row>
    <row r="14" spans="1:16" ht="15.75" customHeight="1">
      <c r="A14" s="35" t="s">
        <v>15</v>
      </c>
      <c r="B14" s="44" t="s">
        <v>83</v>
      </c>
      <c r="C14" s="65">
        <f t="shared" si="0"/>
        <v>2800000</v>
      </c>
      <c r="D14" s="75"/>
      <c r="E14" s="59"/>
      <c r="F14" s="75"/>
      <c r="G14" s="75"/>
      <c r="H14" s="68" t="s">
        <v>83</v>
      </c>
      <c r="I14" s="69">
        <v>2800000</v>
      </c>
      <c r="J14" s="85">
        <v>1</v>
      </c>
      <c r="K14" s="70">
        <v>2800000</v>
      </c>
      <c r="L14" s="85">
        <v>1</v>
      </c>
      <c r="M14" s="7"/>
      <c r="N14" s="7"/>
      <c r="O14" s="7"/>
      <c r="P14" s="7"/>
    </row>
    <row r="15" spans="1:16" ht="15.75" customHeight="1">
      <c r="A15" s="35" t="s">
        <v>15</v>
      </c>
      <c r="B15" s="44" t="s">
        <v>80</v>
      </c>
      <c r="C15" s="65">
        <f t="shared" si="0"/>
        <v>0</v>
      </c>
      <c r="D15" s="75"/>
      <c r="E15" s="59"/>
      <c r="F15" s="75"/>
      <c r="G15" s="75"/>
      <c r="H15" s="68" t="s">
        <v>80</v>
      </c>
      <c r="I15" s="69">
        <v>0</v>
      </c>
      <c r="J15" s="85">
        <v>0.8</v>
      </c>
      <c r="K15" s="70">
        <v>0</v>
      </c>
      <c r="L15" s="85">
        <v>1</v>
      </c>
      <c r="M15" s="7"/>
      <c r="N15" s="7"/>
      <c r="O15" s="7"/>
      <c r="P15" s="7"/>
    </row>
    <row r="16" spans="1:16" ht="15.75" customHeight="1">
      <c r="A16" s="35" t="s">
        <v>15</v>
      </c>
      <c r="B16" s="44" t="s">
        <v>78</v>
      </c>
      <c r="C16" s="65">
        <f t="shared" si="0"/>
        <v>2200000</v>
      </c>
      <c r="D16" s="75"/>
      <c r="E16" s="59"/>
      <c r="F16" s="75"/>
      <c r="G16" s="75"/>
      <c r="H16" s="68" t="s">
        <v>78</v>
      </c>
      <c r="I16" s="69">
        <v>2200000</v>
      </c>
      <c r="J16" s="85">
        <v>1</v>
      </c>
      <c r="K16" s="70">
        <v>2200000</v>
      </c>
      <c r="L16" s="85">
        <v>1</v>
      </c>
      <c r="M16" s="7"/>
      <c r="N16" s="7"/>
      <c r="O16" s="7"/>
      <c r="P16" s="7"/>
    </row>
    <row r="17" spans="1:16" ht="15.75" customHeight="1">
      <c r="A17" s="35" t="s">
        <v>17</v>
      </c>
      <c r="B17" s="36" t="s">
        <v>86</v>
      </c>
      <c r="C17" s="65">
        <f t="shared" si="0"/>
        <v>0</v>
      </c>
      <c r="D17" s="75"/>
      <c r="E17" s="59"/>
      <c r="F17" s="75"/>
      <c r="G17" s="75"/>
      <c r="H17" s="68" t="s">
        <v>86</v>
      </c>
      <c r="I17" s="69">
        <v>0</v>
      </c>
      <c r="J17" s="85">
        <v>1</v>
      </c>
      <c r="K17" s="70">
        <v>0</v>
      </c>
      <c r="L17" s="85">
        <v>1</v>
      </c>
      <c r="M17" s="7"/>
      <c r="N17" s="7"/>
      <c r="O17" s="7"/>
      <c r="P17" s="7"/>
    </row>
    <row r="18" spans="1:16" ht="15.75" customHeight="1">
      <c r="A18" s="35" t="s">
        <v>17</v>
      </c>
      <c r="B18" s="36" t="s">
        <v>87</v>
      </c>
      <c r="C18" s="65">
        <f t="shared" si="0"/>
        <v>0</v>
      </c>
      <c r="D18" s="75"/>
      <c r="E18" s="59"/>
      <c r="F18" s="75"/>
      <c r="G18" s="75"/>
      <c r="H18" s="68" t="s">
        <v>87</v>
      </c>
      <c r="I18" s="69">
        <v>0</v>
      </c>
      <c r="J18" s="85">
        <v>1</v>
      </c>
      <c r="K18" s="70">
        <v>0</v>
      </c>
      <c r="L18" s="85">
        <v>1</v>
      </c>
      <c r="M18" s="7"/>
      <c r="N18" s="7"/>
      <c r="O18" s="7"/>
      <c r="P18" s="7"/>
    </row>
    <row r="19" spans="1:16" ht="15.75" customHeight="1">
      <c r="A19" s="35" t="s">
        <v>17</v>
      </c>
      <c r="B19" s="36" t="s">
        <v>84</v>
      </c>
      <c r="C19" s="65">
        <f t="shared" si="0"/>
        <v>0</v>
      </c>
      <c r="D19" s="75"/>
      <c r="E19" s="59"/>
      <c r="F19" s="75"/>
      <c r="G19" s="75"/>
      <c r="H19" s="68" t="s">
        <v>84</v>
      </c>
      <c r="I19" s="69">
        <v>0</v>
      </c>
      <c r="J19" s="85">
        <v>1</v>
      </c>
      <c r="K19" s="70">
        <v>0</v>
      </c>
      <c r="L19" s="85">
        <v>1</v>
      </c>
      <c r="M19" s="7"/>
      <c r="N19" s="7"/>
      <c r="O19" s="7"/>
      <c r="P19" s="7"/>
    </row>
    <row r="20" spans="1:16" ht="15.75" customHeight="1">
      <c r="A20" s="35" t="s">
        <v>17</v>
      </c>
      <c r="B20" s="36" t="s">
        <v>89</v>
      </c>
      <c r="C20" s="65">
        <f t="shared" si="0"/>
        <v>0</v>
      </c>
      <c r="D20" s="75"/>
      <c r="E20" s="59"/>
      <c r="F20" s="75"/>
      <c r="G20" s="75"/>
      <c r="H20" s="68" t="s">
        <v>89</v>
      </c>
      <c r="I20" s="69">
        <v>0</v>
      </c>
      <c r="J20" s="85">
        <v>1</v>
      </c>
      <c r="K20" s="70">
        <v>0</v>
      </c>
      <c r="L20" s="85">
        <v>1</v>
      </c>
      <c r="M20" s="7"/>
      <c r="N20" s="7"/>
      <c r="O20" s="7"/>
      <c r="P20" s="7"/>
    </row>
    <row r="21" spans="1:16" ht="15.75" customHeight="1">
      <c r="A21" s="35" t="s">
        <v>17</v>
      </c>
      <c r="B21" s="36" t="s">
        <v>90</v>
      </c>
      <c r="C21" s="65">
        <f t="shared" si="0"/>
        <v>0</v>
      </c>
      <c r="D21" s="75"/>
      <c r="E21" s="59"/>
      <c r="F21" s="75"/>
      <c r="G21" s="75"/>
      <c r="H21" s="68" t="s">
        <v>90</v>
      </c>
      <c r="I21" s="69">
        <v>0</v>
      </c>
      <c r="J21" s="85">
        <v>1</v>
      </c>
      <c r="K21" s="70">
        <v>0</v>
      </c>
      <c r="L21" s="85">
        <v>1</v>
      </c>
      <c r="M21" s="7"/>
      <c r="N21" s="7"/>
      <c r="O21" s="7"/>
      <c r="P21" s="7"/>
    </row>
    <row r="22" spans="1:16" ht="15.75" customHeight="1">
      <c r="A22" s="35" t="s">
        <v>18</v>
      </c>
      <c r="B22" s="36" t="s">
        <v>91</v>
      </c>
      <c r="C22" s="65">
        <f t="shared" si="0"/>
        <v>0</v>
      </c>
      <c r="D22" s="75"/>
      <c r="E22" s="59"/>
      <c r="F22" s="75"/>
      <c r="G22" s="75"/>
      <c r="H22" s="68" t="s">
        <v>91</v>
      </c>
      <c r="I22" s="69">
        <v>0</v>
      </c>
      <c r="J22" s="85">
        <v>1</v>
      </c>
      <c r="K22" s="70">
        <v>0</v>
      </c>
      <c r="L22" s="85">
        <v>1</v>
      </c>
      <c r="M22" s="7"/>
      <c r="N22" s="7"/>
      <c r="O22" s="7"/>
      <c r="P22" s="7"/>
    </row>
    <row r="23" spans="1:16" ht="15.75" customHeight="1">
      <c r="A23" s="35" t="s">
        <v>18</v>
      </c>
      <c r="B23" s="36" t="s">
        <v>93</v>
      </c>
      <c r="C23" s="65">
        <f t="shared" si="0"/>
        <v>1000000</v>
      </c>
      <c r="D23" s="75"/>
      <c r="E23" s="59"/>
      <c r="F23" s="75"/>
      <c r="G23" s="75"/>
      <c r="H23" s="68" t="s">
        <v>93</v>
      </c>
      <c r="I23" s="69">
        <v>1000000</v>
      </c>
      <c r="J23" s="85">
        <v>1</v>
      </c>
      <c r="K23" s="70">
        <v>1000000</v>
      </c>
      <c r="L23" s="85">
        <v>1</v>
      </c>
      <c r="M23" s="7"/>
      <c r="N23" s="7"/>
      <c r="O23" s="7"/>
      <c r="P23" s="7"/>
    </row>
    <row r="24" spans="1:16" ht="15.75" customHeight="1">
      <c r="A24" s="35" t="s">
        <v>18</v>
      </c>
      <c r="B24" s="36" t="s">
        <v>92</v>
      </c>
      <c r="C24" s="65">
        <f t="shared" si="0"/>
        <v>4000000</v>
      </c>
      <c r="D24" s="75"/>
      <c r="E24" s="59"/>
      <c r="F24" s="75"/>
      <c r="G24" s="75"/>
      <c r="H24" s="68" t="s">
        <v>92</v>
      </c>
      <c r="I24" s="69">
        <v>4000000</v>
      </c>
      <c r="J24" s="85">
        <v>1</v>
      </c>
      <c r="K24" s="70">
        <v>4000000</v>
      </c>
      <c r="L24" s="85">
        <v>1</v>
      </c>
      <c r="M24" s="7"/>
      <c r="N24" s="7"/>
      <c r="O24" s="7"/>
      <c r="P24" s="7"/>
    </row>
    <row r="25" spans="1:16" ht="15.75" customHeight="1">
      <c r="A25" s="35" t="s">
        <v>18</v>
      </c>
      <c r="B25" s="36" t="s">
        <v>94</v>
      </c>
      <c r="C25" s="65">
        <f t="shared" si="0"/>
        <v>0</v>
      </c>
      <c r="D25" s="75"/>
      <c r="E25" s="59"/>
      <c r="F25" s="75"/>
      <c r="G25" s="75"/>
      <c r="H25" s="68" t="s">
        <v>94</v>
      </c>
      <c r="I25" s="69">
        <v>0</v>
      </c>
      <c r="J25" s="85">
        <v>0.8</v>
      </c>
      <c r="K25" s="70">
        <v>0</v>
      </c>
      <c r="L25" s="85">
        <v>1</v>
      </c>
      <c r="M25" s="7"/>
      <c r="N25" s="7"/>
      <c r="O25" s="7"/>
      <c r="P25" s="7"/>
    </row>
    <row r="26" spans="1:16" ht="15.75" customHeight="1">
      <c r="A26" s="35" t="s">
        <v>19</v>
      </c>
      <c r="B26" s="36" t="s">
        <v>96</v>
      </c>
      <c r="C26" s="65">
        <f t="shared" si="0"/>
        <v>1600000</v>
      </c>
      <c r="D26" s="75"/>
      <c r="E26" s="59"/>
      <c r="F26" s="75"/>
      <c r="G26" s="75"/>
      <c r="H26" s="68" t="s">
        <v>96</v>
      </c>
      <c r="I26" s="69">
        <v>1600000</v>
      </c>
      <c r="J26" s="85">
        <v>1</v>
      </c>
      <c r="K26" s="70">
        <v>1600000</v>
      </c>
      <c r="L26" s="85">
        <v>1</v>
      </c>
      <c r="M26" s="100"/>
      <c r="N26" s="7"/>
      <c r="O26" s="7"/>
      <c r="P26" s="7"/>
    </row>
    <row r="27" spans="1:16" ht="15.75" customHeight="1">
      <c r="A27" s="35" t="s">
        <v>19</v>
      </c>
      <c r="B27" s="36" t="s">
        <v>100</v>
      </c>
      <c r="C27" s="65">
        <f t="shared" si="0"/>
        <v>0</v>
      </c>
      <c r="D27" s="75"/>
      <c r="E27" s="59"/>
      <c r="F27" s="75"/>
      <c r="G27" s="75"/>
      <c r="H27" s="68" t="s">
        <v>100</v>
      </c>
      <c r="I27" s="69">
        <v>0</v>
      </c>
      <c r="J27" s="85">
        <v>1</v>
      </c>
      <c r="K27" s="70">
        <v>0</v>
      </c>
      <c r="L27" s="85">
        <v>1</v>
      </c>
      <c r="M27" s="100"/>
      <c r="N27" s="7"/>
      <c r="O27" s="7"/>
      <c r="P27" s="7"/>
    </row>
    <row r="28" spans="1:16" ht="15.75" customHeight="1">
      <c r="A28" s="35" t="s">
        <v>19</v>
      </c>
      <c r="B28" s="36" t="s">
        <v>97</v>
      </c>
      <c r="C28" s="65">
        <f t="shared" si="0"/>
        <v>0</v>
      </c>
      <c r="D28" s="75"/>
      <c r="E28" s="59"/>
      <c r="F28" s="75"/>
      <c r="G28" s="75"/>
      <c r="H28" s="68" t="s">
        <v>97</v>
      </c>
      <c r="I28" s="69">
        <v>0</v>
      </c>
      <c r="J28" s="85">
        <v>0.8</v>
      </c>
      <c r="K28" s="70">
        <v>0</v>
      </c>
      <c r="L28" s="85">
        <v>1</v>
      </c>
      <c r="M28" s="100"/>
      <c r="N28" s="7"/>
      <c r="O28" s="7"/>
      <c r="P28" s="7"/>
    </row>
    <row r="29" spans="1:16" ht="15.75" customHeight="1">
      <c r="A29" s="35" t="s">
        <v>19</v>
      </c>
      <c r="B29" s="36" t="s">
        <v>85</v>
      </c>
      <c r="C29" s="65">
        <f t="shared" si="0"/>
        <v>0</v>
      </c>
      <c r="D29" s="75"/>
      <c r="E29" s="59"/>
      <c r="F29" s="75"/>
      <c r="G29" s="75"/>
      <c r="H29" s="68" t="s">
        <v>85</v>
      </c>
      <c r="I29" s="69">
        <v>0</v>
      </c>
      <c r="J29" s="85">
        <v>0.8</v>
      </c>
      <c r="K29" s="70">
        <v>0</v>
      </c>
      <c r="L29" s="85">
        <v>1</v>
      </c>
      <c r="M29" s="100"/>
      <c r="N29" s="7"/>
      <c r="O29" s="7"/>
      <c r="P29" s="7"/>
    </row>
    <row r="30" spans="1:16" ht="15.75" customHeight="1">
      <c r="A30" s="35" t="s">
        <v>19</v>
      </c>
      <c r="B30" s="36" t="s">
        <v>98</v>
      </c>
      <c r="C30" s="65">
        <f t="shared" si="0"/>
        <v>0</v>
      </c>
      <c r="D30" s="7"/>
      <c r="E30" s="59"/>
      <c r="F30" s="7"/>
      <c r="G30" s="7"/>
      <c r="H30" s="68" t="s">
        <v>98</v>
      </c>
      <c r="I30" s="69">
        <v>0</v>
      </c>
      <c r="J30" s="85">
        <v>1</v>
      </c>
      <c r="K30" s="70">
        <v>0</v>
      </c>
      <c r="L30" s="85">
        <v>1</v>
      </c>
      <c r="M30" s="7"/>
      <c r="N30" s="7"/>
      <c r="O30" s="7"/>
      <c r="P30" s="7"/>
    </row>
    <row r="31" spans="1:16" ht="15.75" customHeight="1">
      <c r="A31" s="35" t="s">
        <v>20</v>
      </c>
      <c r="B31" s="36" t="s">
        <v>103</v>
      </c>
      <c r="C31" s="65">
        <f t="shared" si="0"/>
        <v>0</v>
      </c>
      <c r="D31" s="7"/>
      <c r="E31" s="59"/>
      <c r="F31" s="7"/>
      <c r="G31" s="7"/>
      <c r="H31" s="68" t="s">
        <v>103</v>
      </c>
      <c r="I31" s="69">
        <v>0</v>
      </c>
      <c r="J31" s="85">
        <v>1</v>
      </c>
      <c r="K31" s="70">
        <v>0</v>
      </c>
      <c r="L31" s="85">
        <v>1</v>
      </c>
      <c r="M31" s="7"/>
      <c r="N31" s="7"/>
      <c r="O31" s="7"/>
      <c r="P31" s="7"/>
    </row>
    <row r="32" spans="1:16" ht="15.75" customHeight="1">
      <c r="A32" s="35" t="s">
        <v>20</v>
      </c>
      <c r="B32" s="36" t="s">
        <v>108</v>
      </c>
      <c r="C32" s="65">
        <f t="shared" si="0"/>
        <v>0</v>
      </c>
      <c r="D32" s="7"/>
      <c r="E32" s="59"/>
      <c r="F32" s="7"/>
      <c r="G32" s="7"/>
      <c r="H32" s="76" t="s">
        <v>108</v>
      </c>
      <c r="I32" s="69">
        <v>0</v>
      </c>
      <c r="J32" s="85">
        <v>1</v>
      </c>
      <c r="K32" s="70">
        <v>0</v>
      </c>
      <c r="L32" s="85">
        <v>1</v>
      </c>
      <c r="M32" s="7"/>
      <c r="N32" s="7"/>
      <c r="O32" s="7"/>
      <c r="P32" s="7"/>
    </row>
    <row r="33" spans="1:16" ht="15.75" customHeight="1">
      <c r="A33" s="35" t="s">
        <v>20</v>
      </c>
      <c r="B33" s="36" t="s">
        <v>104</v>
      </c>
      <c r="C33" s="65">
        <f t="shared" si="0"/>
        <v>0</v>
      </c>
      <c r="D33" s="7"/>
      <c r="E33" s="59"/>
      <c r="F33" s="7"/>
      <c r="G33" s="7"/>
      <c r="H33" s="76" t="s">
        <v>104</v>
      </c>
      <c r="I33" s="69">
        <v>0</v>
      </c>
      <c r="J33" s="85">
        <v>1</v>
      </c>
      <c r="K33" s="70">
        <v>0</v>
      </c>
      <c r="L33" s="85">
        <v>1</v>
      </c>
      <c r="M33" s="7"/>
      <c r="N33" s="7"/>
      <c r="O33" s="7"/>
      <c r="P33" s="7"/>
    </row>
    <row r="34" spans="1:16" ht="15.75" customHeight="1">
      <c r="A34" s="35" t="s">
        <v>20</v>
      </c>
      <c r="B34" s="36" t="s">
        <v>105</v>
      </c>
      <c r="C34" s="65">
        <f t="shared" ref="C34:C65" si="1">IFERROR(INDEX(I:I, MATCH(B34, H:H, 0)), 0)</f>
        <v>500000</v>
      </c>
      <c r="D34" s="7"/>
      <c r="E34" s="59"/>
      <c r="F34" s="7"/>
      <c r="G34" s="7"/>
      <c r="H34" s="76" t="s">
        <v>105</v>
      </c>
      <c r="I34" s="69">
        <v>500000</v>
      </c>
      <c r="J34" s="85">
        <v>1</v>
      </c>
      <c r="K34" s="70">
        <v>500000</v>
      </c>
      <c r="L34" s="85">
        <v>1</v>
      </c>
      <c r="M34" s="7"/>
      <c r="N34" s="7"/>
      <c r="O34" s="7"/>
      <c r="P34" s="7"/>
    </row>
    <row r="35" spans="1:16" ht="15.75" customHeight="1">
      <c r="A35" s="35" t="s">
        <v>20</v>
      </c>
      <c r="B35" s="36" t="s">
        <v>106</v>
      </c>
      <c r="C35" s="65">
        <f t="shared" si="1"/>
        <v>0</v>
      </c>
      <c r="D35" s="7"/>
      <c r="E35" s="59"/>
      <c r="F35" s="7"/>
      <c r="G35" s="7"/>
      <c r="H35" s="76" t="s">
        <v>106</v>
      </c>
      <c r="I35" s="69">
        <v>0</v>
      </c>
      <c r="J35" s="85">
        <v>0.8</v>
      </c>
      <c r="K35" s="70">
        <v>0</v>
      </c>
      <c r="L35" s="85">
        <v>1</v>
      </c>
      <c r="M35" s="7"/>
      <c r="N35" s="7"/>
      <c r="O35" s="7"/>
      <c r="P35" s="7"/>
    </row>
    <row r="36" spans="1:16" ht="15.75" customHeight="1">
      <c r="A36" s="35" t="s">
        <v>21</v>
      </c>
      <c r="B36" s="36" t="s">
        <v>112</v>
      </c>
      <c r="C36" s="65">
        <f t="shared" si="1"/>
        <v>0</v>
      </c>
      <c r="D36" s="7"/>
      <c r="E36" s="59"/>
      <c r="F36" s="7"/>
      <c r="G36" s="7"/>
      <c r="H36" s="76" t="s">
        <v>112</v>
      </c>
      <c r="I36" s="69">
        <v>0</v>
      </c>
      <c r="J36" s="85">
        <v>1</v>
      </c>
      <c r="K36" s="70">
        <v>0</v>
      </c>
      <c r="L36" s="85">
        <v>1</v>
      </c>
      <c r="M36" s="7"/>
      <c r="N36" s="7"/>
      <c r="O36" s="7"/>
      <c r="P36" s="7"/>
    </row>
    <row r="37" spans="1:16" ht="15.75" customHeight="1">
      <c r="A37" s="35" t="s">
        <v>21</v>
      </c>
      <c r="B37" s="36" t="s">
        <v>110</v>
      </c>
      <c r="C37" s="65">
        <f t="shared" si="1"/>
        <v>0</v>
      </c>
      <c r="D37" s="7"/>
      <c r="E37" s="59"/>
      <c r="F37" s="7"/>
      <c r="G37" s="7"/>
      <c r="H37" s="76" t="s">
        <v>110</v>
      </c>
      <c r="I37" s="69">
        <v>0</v>
      </c>
      <c r="J37" s="85">
        <v>1</v>
      </c>
      <c r="K37" s="70">
        <v>0</v>
      </c>
      <c r="L37" s="85">
        <v>1</v>
      </c>
      <c r="M37" s="7"/>
      <c r="N37" s="7"/>
      <c r="O37" s="7"/>
      <c r="P37" s="7"/>
    </row>
    <row r="38" spans="1:16" ht="15.75" customHeight="1">
      <c r="A38" s="35" t="s">
        <v>21</v>
      </c>
      <c r="B38" s="36" t="s">
        <v>113</v>
      </c>
      <c r="C38" s="65">
        <f t="shared" si="1"/>
        <v>0</v>
      </c>
      <c r="D38" s="7"/>
      <c r="E38" s="59"/>
      <c r="F38" s="7"/>
      <c r="G38" s="7"/>
      <c r="H38" s="76" t="s">
        <v>113</v>
      </c>
      <c r="I38" s="69">
        <v>0</v>
      </c>
      <c r="J38" s="85">
        <v>0.8</v>
      </c>
      <c r="K38" s="70">
        <v>0</v>
      </c>
      <c r="L38" s="85">
        <v>1</v>
      </c>
      <c r="M38" s="7"/>
      <c r="N38" s="7"/>
      <c r="O38" s="7"/>
      <c r="P38" s="7"/>
    </row>
    <row r="39" spans="1:16" ht="15.75" customHeight="1">
      <c r="A39" s="35" t="s">
        <v>21</v>
      </c>
      <c r="B39" s="36" t="s">
        <v>111</v>
      </c>
      <c r="C39" s="65">
        <f t="shared" si="1"/>
        <v>500000</v>
      </c>
      <c r="D39" s="7"/>
      <c r="E39" s="59"/>
      <c r="F39" s="7"/>
      <c r="G39" s="7"/>
      <c r="H39" s="76" t="s">
        <v>111</v>
      </c>
      <c r="I39" s="69">
        <v>500000</v>
      </c>
      <c r="J39" s="85">
        <v>1</v>
      </c>
      <c r="K39" s="70">
        <v>500000</v>
      </c>
      <c r="L39" s="85">
        <v>1</v>
      </c>
      <c r="M39" s="7"/>
      <c r="N39" s="7"/>
      <c r="O39" s="7"/>
      <c r="P39" s="7"/>
    </row>
    <row r="40" spans="1:16" ht="15.75" customHeight="1">
      <c r="A40" s="35" t="s">
        <v>22</v>
      </c>
      <c r="B40" s="36" t="s">
        <v>117</v>
      </c>
      <c r="C40" s="65">
        <f t="shared" si="1"/>
        <v>1000000</v>
      </c>
      <c r="D40" s="7"/>
      <c r="E40" s="59"/>
      <c r="F40" s="7"/>
      <c r="G40" s="7"/>
      <c r="H40" s="76" t="s">
        <v>117</v>
      </c>
      <c r="I40" s="69">
        <v>1000000</v>
      </c>
      <c r="J40" s="85">
        <v>1</v>
      </c>
      <c r="K40" s="70">
        <v>1000000</v>
      </c>
      <c r="L40" s="85">
        <v>1</v>
      </c>
      <c r="M40" s="100"/>
      <c r="N40" s="7"/>
      <c r="O40" s="7"/>
      <c r="P40" s="7"/>
    </row>
    <row r="41" spans="1:16" ht="15.75" customHeight="1">
      <c r="A41" s="35" t="s">
        <v>22</v>
      </c>
      <c r="B41" s="36" t="s">
        <v>116</v>
      </c>
      <c r="C41" s="65">
        <f t="shared" si="1"/>
        <v>0</v>
      </c>
      <c r="D41" s="7"/>
      <c r="E41" s="59"/>
      <c r="F41" s="7"/>
      <c r="G41" s="7"/>
      <c r="H41" s="76" t="s">
        <v>116</v>
      </c>
      <c r="I41" s="69">
        <v>0</v>
      </c>
      <c r="J41" s="85">
        <v>1</v>
      </c>
      <c r="K41" s="70">
        <v>0</v>
      </c>
      <c r="L41" s="85">
        <v>1</v>
      </c>
      <c r="M41" s="100"/>
      <c r="N41" s="7"/>
      <c r="O41" s="7"/>
      <c r="P41" s="7"/>
    </row>
    <row r="42" spans="1:16" ht="15.75" customHeight="1">
      <c r="A42" s="35" t="s">
        <v>22</v>
      </c>
      <c r="B42" s="36" t="s">
        <v>118</v>
      </c>
      <c r="C42" s="65">
        <f t="shared" si="1"/>
        <v>1000000</v>
      </c>
      <c r="D42" s="7"/>
      <c r="E42" s="59"/>
      <c r="F42" s="7"/>
      <c r="G42" s="7"/>
      <c r="H42" s="76" t="s">
        <v>118</v>
      </c>
      <c r="I42" s="69">
        <v>1000000</v>
      </c>
      <c r="J42" s="85">
        <v>1</v>
      </c>
      <c r="K42" s="70">
        <v>1000000</v>
      </c>
      <c r="L42" s="85">
        <v>1</v>
      </c>
      <c r="M42" s="100"/>
      <c r="N42" s="7"/>
      <c r="O42" s="7"/>
      <c r="P42" s="7"/>
    </row>
    <row r="43" spans="1:16" ht="15.75" customHeight="1">
      <c r="A43" s="35" t="s">
        <v>22</v>
      </c>
      <c r="B43" s="36" t="s">
        <v>119</v>
      </c>
      <c r="C43" s="65">
        <f t="shared" si="1"/>
        <v>500000</v>
      </c>
      <c r="D43" s="7"/>
      <c r="E43" s="59"/>
      <c r="F43" s="7"/>
      <c r="G43" s="7"/>
      <c r="H43" s="76" t="s">
        <v>119</v>
      </c>
      <c r="I43" s="69">
        <v>500000</v>
      </c>
      <c r="J43" s="85">
        <v>1</v>
      </c>
      <c r="K43" s="70">
        <v>500000</v>
      </c>
      <c r="L43" s="85">
        <v>1</v>
      </c>
      <c r="M43" s="100"/>
      <c r="N43" s="7"/>
      <c r="O43" s="7"/>
      <c r="P43" s="7"/>
    </row>
    <row r="44" spans="1:16" ht="15.75" customHeight="1">
      <c r="A44" s="35" t="s">
        <v>23</v>
      </c>
      <c r="B44" s="36" t="s">
        <v>109</v>
      </c>
      <c r="C44" s="65">
        <f t="shared" si="1"/>
        <v>0</v>
      </c>
      <c r="D44" s="7"/>
      <c r="E44" s="59"/>
      <c r="F44" s="7"/>
      <c r="G44" s="7"/>
      <c r="H44" s="76" t="s">
        <v>109</v>
      </c>
      <c r="I44" s="69">
        <v>0</v>
      </c>
      <c r="J44" s="85">
        <v>1</v>
      </c>
      <c r="K44" s="70">
        <v>0</v>
      </c>
      <c r="L44" s="85">
        <v>1</v>
      </c>
      <c r="M44" s="7"/>
      <c r="N44" s="7"/>
      <c r="O44" s="7"/>
      <c r="P44" s="7"/>
    </row>
    <row r="45" spans="1:16" ht="15.75" customHeight="1">
      <c r="A45" s="35" t="s">
        <v>23</v>
      </c>
      <c r="B45" s="36" t="s">
        <v>120</v>
      </c>
      <c r="C45" s="65">
        <f t="shared" si="1"/>
        <v>500000</v>
      </c>
      <c r="D45" s="7"/>
      <c r="E45" s="7"/>
      <c r="F45" s="7"/>
      <c r="G45" s="7"/>
      <c r="H45" s="76" t="s">
        <v>120</v>
      </c>
      <c r="I45" s="69">
        <v>500000</v>
      </c>
      <c r="J45" s="85">
        <v>1</v>
      </c>
      <c r="K45" s="70">
        <v>500000</v>
      </c>
      <c r="L45" s="85">
        <v>1</v>
      </c>
      <c r="M45" s="7"/>
      <c r="N45" s="7"/>
      <c r="O45" s="7"/>
      <c r="P45" s="7"/>
    </row>
    <row r="46" spans="1:16" ht="15.75" customHeight="1">
      <c r="A46" s="35" t="s">
        <v>23</v>
      </c>
      <c r="B46" s="36" t="s">
        <v>107</v>
      </c>
      <c r="C46" s="65">
        <f t="shared" si="1"/>
        <v>0</v>
      </c>
      <c r="D46" s="7"/>
      <c r="E46" s="7"/>
      <c r="F46" s="7"/>
      <c r="G46" s="7"/>
      <c r="H46" s="76" t="s">
        <v>107</v>
      </c>
      <c r="I46" s="69">
        <v>0</v>
      </c>
      <c r="J46" s="85">
        <v>1</v>
      </c>
      <c r="K46" s="70">
        <v>0</v>
      </c>
      <c r="L46" s="85">
        <v>1</v>
      </c>
      <c r="M46" s="7"/>
      <c r="N46" s="7"/>
      <c r="O46" s="7"/>
      <c r="P46" s="7"/>
    </row>
    <row r="47" spans="1:16" ht="15.75" customHeight="1">
      <c r="A47" s="35" t="s">
        <v>23</v>
      </c>
      <c r="B47" s="36" t="s">
        <v>121</v>
      </c>
      <c r="C47" s="65">
        <f t="shared" si="1"/>
        <v>0</v>
      </c>
      <c r="D47" s="7"/>
      <c r="E47" s="7"/>
      <c r="F47" s="7"/>
      <c r="G47" s="7"/>
      <c r="H47" s="76" t="s">
        <v>121</v>
      </c>
      <c r="I47" s="69">
        <v>0</v>
      </c>
      <c r="J47" s="85">
        <v>0.8</v>
      </c>
      <c r="K47" s="70">
        <v>0</v>
      </c>
      <c r="L47" s="85">
        <v>1</v>
      </c>
      <c r="M47" s="7"/>
      <c r="N47" s="7"/>
      <c r="O47" s="7"/>
      <c r="P47" s="7"/>
    </row>
    <row r="48" spans="1:16" ht="15.75" customHeight="1">
      <c r="A48" s="35" t="s">
        <v>23</v>
      </c>
      <c r="B48" s="44" t="s">
        <v>122</v>
      </c>
      <c r="C48" s="65">
        <f t="shared" si="1"/>
        <v>0</v>
      </c>
      <c r="D48" s="7"/>
      <c r="E48" s="7"/>
      <c r="F48" s="7"/>
      <c r="G48" s="7"/>
      <c r="H48" s="76" t="s">
        <v>122</v>
      </c>
      <c r="I48" s="69">
        <v>0</v>
      </c>
      <c r="J48" s="85">
        <v>1</v>
      </c>
      <c r="K48" s="70">
        <v>0</v>
      </c>
      <c r="L48" s="85">
        <v>1</v>
      </c>
      <c r="M48" s="7"/>
      <c r="N48" s="7"/>
      <c r="O48" s="7"/>
      <c r="P48" s="7"/>
    </row>
    <row r="49" spans="1:16" ht="15.75" customHeight="1">
      <c r="A49" s="35" t="s">
        <v>24</v>
      </c>
      <c r="B49" s="44" t="s">
        <v>72</v>
      </c>
      <c r="C49" s="65">
        <f t="shared" si="1"/>
        <v>0</v>
      </c>
      <c r="D49" s="7"/>
      <c r="E49" s="7"/>
      <c r="F49" s="7"/>
      <c r="G49" s="7"/>
      <c r="H49" s="76" t="s">
        <v>72</v>
      </c>
      <c r="I49" s="69">
        <v>0</v>
      </c>
      <c r="J49" s="85">
        <v>0.8</v>
      </c>
      <c r="K49" s="70">
        <v>0</v>
      </c>
      <c r="L49" s="85">
        <v>1</v>
      </c>
      <c r="M49" s="7"/>
      <c r="N49" s="7"/>
      <c r="O49" s="7"/>
      <c r="P49" s="7"/>
    </row>
    <row r="50" spans="1:16" ht="15.75" customHeight="1">
      <c r="A50" s="35" t="s">
        <v>24</v>
      </c>
      <c r="B50" s="36" t="s">
        <v>123</v>
      </c>
      <c r="C50" s="65">
        <f t="shared" si="1"/>
        <v>0</v>
      </c>
      <c r="D50" s="7"/>
      <c r="E50" s="7"/>
      <c r="F50" s="7"/>
      <c r="G50" s="7"/>
      <c r="H50" s="76" t="s">
        <v>123</v>
      </c>
      <c r="I50" s="69">
        <v>0</v>
      </c>
      <c r="J50" s="85">
        <v>0.8</v>
      </c>
      <c r="K50" s="70">
        <v>0</v>
      </c>
      <c r="L50" s="85">
        <v>1</v>
      </c>
      <c r="M50" s="7"/>
      <c r="N50" s="7"/>
      <c r="O50" s="7"/>
      <c r="P50" s="7"/>
    </row>
    <row r="51" spans="1:16" ht="15.75" customHeight="1">
      <c r="A51" s="35" t="s">
        <v>24</v>
      </c>
      <c r="B51" s="36" t="s">
        <v>124</v>
      </c>
      <c r="C51" s="65">
        <f t="shared" si="1"/>
        <v>0</v>
      </c>
      <c r="D51" s="7"/>
      <c r="E51" s="7"/>
      <c r="F51" s="7"/>
      <c r="G51" s="7"/>
      <c r="H51" s="76" t="s">
        <v>124</v>
      </c>
      <c r="I51" s="69">
        <v>0</v>
      </c>
      <c r="J51" s="85">
        <v>0.8</v>
      </c>
      <c r="K51" s="70">
        <v>0</v>
      </c>
      <c r="L51" s="85">
        <v>1</v>
      </c>
      <c r="M51" s="7"/>
      <c r="N51" s="7"/>
      <c r="O51" s="7"/>
      <c r="P51" s="7"/>
    </row>
    <row r="52" spans="1:16" ht="15.75" customHeight="1">
      <c r="A52" s="35" t="s">
        <v>24</v>
      </c>
      <c r="B52" s="36" t="s">
        <v>88</v>
      </c>
      <c r="C52" s="65">
        <f t="shared" si="1"/>
        <v>0</v>
      </c>
      <c r="D52" s="7"/>
      <c r="E52" s="7"/>
      <c r="F52" s="7"/>
      <c r="G52" s="7"/>
      <c r="H52" s="76" t="s">
        <v>88</v>
      </c>
      <c r="I52" s="69">
        <v>0</v>
      </c>
      <c r="J52" s="85">
        <v>1</v>
      </c>
      <c r="K52" s="70">
        <v>0</v>
      </c>
      <c r="L52" s="85">
        <v>1</v>
      </c>
      <c r="M52" s="7"/>
      <c r="N52" s="7"/>
      <c r="O52" s="7"/>
      <c r="P52" s="7"/>
    </row>
    <row r="53" spans="1:16" ht="15.75" customHeight="1">
      <c r="A53" s="35"/>
      <c r="B53" s="36"/>
      <c r="C53" s="65"/>
      <c r="D53" s="7"/>
      <c r="E53" s="7"/>
      <c r="F53" s="7"/>
      <c r="G53" s="7"/>
      <c r="H53" s="76"/>
      <c r="I53" s="108"/>
      <c r="J53" s="108"/>
      <c r="K53" s="108"/>
      <c r="L53" s="76"/>
      <c r="M53" s="7"/>
      <c r="N53" s="7"/>
      <c r="O53" s="7"/>
      <c r="P53" s="7"/>
    </row>
    <row r="54" spans="1:16" ht="15.75" customHeight="1">
      <c r="A54" s="35"/>
      <c r="B54" s="36"/>
      <c r="C54" s="65"/>
      <c r="D54" s="7"/>
      <c r="E54" s="7"/>
      <c r="F54" s="7"/>
      <c r="G54" s="7"/>
      <c r="H54" s="76"/>
      <c r="I54" s="108"/>
      <c r="J54" s="108"/>
      <c r="K54" s="108"/>
      <c r="L54" s="76"/>
      <c r="M54" s="7"/>
      <c r="N54" s="7"/>
      <c r="O54" s="7"/>
      <c r="P54" s="7"/>
    </row>
    <row r="55" spans="1:16" ht="15.75" customHeight="1">
      <c r="A55" s="35"/>
      <c r="B55" s="36"/>
      <c r="C55" s="65"/>
      <c r="D55" s="7"/>
      <c r="E55" s="7"/>
      <c r="F55" s="7"/>
      <c r="G55" s="7"/>
      <c r="H55" s="76"/>
      <c r="I55" s="108"/>
      <c r="J55" s="108"/>
      <c r="K55" s="108"/>
      <c r="L55" s="76"/>
      <c r="M55" s="7"/>
      <c r="N55" s="7"/>
      <c r="O55" s="7"/>
      <c r="P55" s="7"/>
    </row>
    <row r="56" spans="1:16" ht="15.75" customHeight="1">
      <c r="A56" s="35"/>
      <c r="B56" s="36"/>
      <c r="C56" s="65"/>
      <c r="D56" s="7"/>
      <c r="E56" s="7"/>
      <c r="F56" s="7"/>
      <c r="G56" s="7"/>
      <c r="H56" s="76"/>
      <c r="I56" s="108"/>
      <c r="J56" s="108"/>
      <c r="K56" s="108"/>
      <c r="L56" s="76"/>
      <c r="M56" s="7"/>
      <c r="N56" s="7"/>
      <c r="O56" s="7"/>
      <c r="P56" s="7"/>
    </row>
    <row r="57" spans="1:16" ht="15.75" customHeight="1">
      <c r="A57" s="35"/>
      <c r="B57" s="36"/>
      <c r="C57" s="65"/>
      <c r="D57" s="7"/>
      <c r="E57" s="7"/>
      <c r="F57" s="7"/>
      <c r="G57" s="7"/>
      <c r="H57" s="76"/>
      <c r="I57" s="108"/>
      <c r="J57" s="108"/>
      <c r="K57" s="108"/>
      <c r="L57" s="76"/>
      <c r="M57" s="7"/>
      <c r="N57" s="7"/>
      <c r="O57" s="7"/>
      <c r="P57" s="7"/>
    </row>
    <row r="58" spans="1:16" ht="15.75" customHeight="1">
      <c r="A58" s="35"/>
      <c r="B58" s="36"/>
      <c r="C58" s="65"/>
      <c r="D58" s="7"/>
      <c r="E58" s="7"/>
      <c r="F58" s="7"/>
      <c r="G58" s="7"/>
      <c r="H58" s="76"/>
      <c r="I58" s="108"/>
      <c r="J58" s="108"/>
      <c r="K58" s="108"/>
      <c r="L58" s="76"/>
      <c r="M58" s="7"/>
      <c r="N58" s="7"/>
      <c r="O58" s="7"/>
      <c r="P58" s="7"/>
    </row>
    <row r="59" spans="1:16" ht="15.75" customHeight="1">
      <c r="A59" s="35"/>
      <c r="B59" s="36"/>
      <c r="C59" s="65"/>
      <c r="D59" s="7"/>
      <c r="E59" s="7"/>
      <c r="F59" s="7"/>
      <c r="G59" s="7"/>
      <c r="H59" s="76"/>
      <c r="I59" s="108"/>
      <c r="J59" s="108"/>
      <c r="K59" s="108"/>
      <c r="L59" s="76"/>
      <c r="M59" s="7"/>
      <c r="N59" s="7"/>
      <c r="O59" s="7"/>
      <c r="P59" s="7"/>
    </row>
    <row r="60" spans="1:16" ht="15.75" customHeight="1">
      <c r="A60" s="35"/>
      <c r="B60" s="36"/>
      <c r="C60" s="65"/>
      <c r="D60" s="7"/>
      <c r="E60" s="7"/>
      <c r="F60" s="7"/>
      <c r="G60" s="7"/>
      <c r="H60" s="76"/>
      <c r="I60" s="108"/>
      <c r="J60" s="108"/>
      <c r="K60" s="108"/>
      <c r="L60" s="76"/>
      <c r="M60" s="7"/>
      <c r="N60" s="7"/>
      <c r="O60" s="7"/>
      <c r="P60" s="7"/>
    </row>
    <row r="61" spans="1:16" ht="15.75" customHeight="1">
      <c r="A61" s="35"/>
      <c r="B61" s="36"/>
      <c r="C61" s="65"/>
      <c r="D61" s="7"/>
      <c r="E61" s="7"/>
      <c r="F61" s="7"/>
      <c r="G61" s="7"/>
      <c r="H61" s="76"/>
      <c r="I61" s="108"/>
      <c r="J61" s="108"/>
      <c r="K61" s="108"/>
      <c r="L61" s="76"/>
      <c r="M61" s="7"/>
      <c r="N61" s="7"/>
      <c r="O61" s="7"/>
      <c r="P61" s="7"/>
    </row>
    <row r="62" spans="1:16" ht="15.75" customHeight="1">
      <c r="A62" s="35"/>
      <c r="B62" s="36"/>
      <c r="C62" s="65"/>
      <c r="D62" s="7"/>
      <c r="E62" s="7"/>
      <c r="F62" s="7"/>
      <c r="G62" s="7"/>
      <c r="H62" s="76"/>
      <c r="I62" s="108"/>
      <c r="J62" s="108"/>
      <c r="K62" s="108"/>
      <c r="L62" s="76"/>
      <c r="M62" s="7"/>
      <c r="N62" s="7"/>
      <c r="O62" s="7"/>
      <c r="P62" s="7"/>
    </row>
    <row r="63" spans="1:16" ht="15.75" customHeight="1">
      <c r="A63" s="10"/>
      <c r="B63" s="7"/>
      <c r="C63" s="65"/>
      <c r="D63" s="7"/>
      <c r="E63" s="7"/>
      <c r="F63" s="7"/>
      <c r="G63" s="7"/>
      <c r="H63" s="76"/>
      <c r="I63" s="108"/>
      <c r="J63" s="108"/>
      <c r="K63" s="108"/>
      <c r="L63" s="76"/>
      <c r="M63" s="7"/>
      <c r="N63" s="7"/>
      <c r="O63" s="7"/>
      <c r="P63" s="7"/>
    </row>
    <row r="64" spans="1:16" ht="15.75" customHeight="1">
      <c r="A64" s="10"/>
      <c r="B64" s="7"/>
      <c r="C64" s="65"/>
      <c r="D64" s="7"/>
      <c r="E64" s="7"/>
      <c r="F64" s="7"/>
      <c r="G64" s="7"/>
      <c r="H64" s="76"/>
      <c r="I64" s="108"/>
      <c r="J64" s="108"/>
      <c r="K64" s="108"/>
      <c r="L64" s="76"/>
      <c r="M64" s="7"/>
      <c r="N64" s="7"/>
      <c r="O64" s="7"/>
      <c r="P64" s="7"/>
    </row>
    <row r="65" spans="1:16" ht="15.75" customHeight="1">
      <c r="A65" s="10"/>
      <c r="B65" s="7"/>
      <c r="C65" s="65"/>
      <c r="D65" s="7"/>
      <c r="E65" s="7"/>
      <c r="F65" s="7"/>
      <c r="G65" s="7"/>
      <c r="H65" s="76"/>
      <c r="I65" s="108"/>
      <c r="J65" s="108"/>
      <c r="K65" s="108"/>
      <c r="L65" s="76"/>
      <c r="M65" s="7"/>
      <c r="N65" s="7"/>
      <c r="O65" s="7"/>
      <c r="P65" s="7"/>
    </row>
    <row r="66" spans="1:16" ht="15.75" customHeight="1">
      <c r="A66" s="10"/>
      <c r="B66" s="7"/>
      <c r="C66" s="65"/>
      <c r="D66" s="7"/>
      <c r="E66" s="7"/>
      <c r="F66" s="7"/>
      <c r="G66" s="7"/>
      <c r="H66" s="76"/>
      <c r="I66" s="108"/>
      <c r="J66" s="108"/>
      <c r="K66" s="108"/>
      <c r="L66" s="76"/>
      <c r="M66" s="7"/>
      <c r="N66" s="7"/>
      <c r="O66" s="7"/>
      <c r="P66" s="7"/>
    </row>
    <row r="67" spans="1:16" ht="15.75" customHeight="1">
      <c r="A67" s="10"/>
      <c r="B67" s="7"/>
      <c r="C67" s="65"/>
      <c r="D67" s="7"/>
      <c r="E67" s="7"/>
      <c r="F67" s="7"/>
      <c r="G67" s="7"/>
      <c r="H67" s="76"/>
      <c r="I67" s="108"/>
      <c r="J67" s="108"/>
      <c r="K67" s="108"/>
      <c r="L67" s="76"/>
      <c r="M67" s="7"/>
      <c r="N67" s="7"/>
      <c r="O67" s="7"/>
      <c r="P67" s="7"/>
    </row>
    <row r="68" spans="1:16" ht="15.75" customHeight="1">
      <c r="A68" s="10"/>
      <c r="B68" s="7"/>
      <c r="C68" s="65"/>
      <c r="D68" s="7"/>
      <c r="E68" s="7"/>
      <c r="F68" s="7"/>
      <c r="G68" s="7"/>
      <c r="H68" s="76"/>
      <c r="I68" s="108"/>
      <c r="J68" s="108"/>
      <c r="K68" s="108"/>
      <c r="L68" s="76"/>
      <c r="M68" s="7"/>
      <c r="N68" s="7"/>
      <c r="O68" s="7"/>
      <c r="P68" s="7"/>
    </row>
    <row r="69" spans="1:16" ht="15.75" customHeight="1">
      <c r="A69" s="10"/>
      <c r="B69" s="7"/>
      <c r="C69" s="65"/>
      <c r="D69" s="7"/>
      <c r="E69" s="7"/>
      <c r="F69" s="7"/>
      <c r="G69" s="7"/>
      <c r="H69" s="76"/>
      <c r="I69" s="108"/>
      <c r="J69" s="108"/>
      <c r="K69" s="108"/>
      <c r="L69" s="76"/>
      <c r="M69" s="7"/>
      <c r="N69" s="7"/>
      <c r="O69" s="7"/>
      <c r="P69" s="7"/>
    </row>
    <row r="70" spans="1:16" ht="15.75" customHeight="1">
      <c r="A70" s="10"/>
      <c r="B70" s="7"/>
      <c r="C70" s="65"/>
      <c r="D70" s="7"/>
      <c r="E70" s="7"/>
      <c r="F70" s="7"/>
      <c r="G70" s="7"/>
      <c r="H70" s="76"/>
      <c r="I70" s="108"/>
      <c r="J70" s="108"/>
      <c r="K70" s="108"/>
      <c r="L70" s="76"/>
      <c r="M70" s="7"/>
      <c r="N70" s="7"/>
      <c r="O70" s="7"/>
      <c r="P70" s="7"/>
    </row>
    <row r="71" spans="1:16" ht="15.75" customHeight="1">
      <c r="A71" s="10"/>
      <c r="B71" s="7"/>
      <c r="C71" s="65"/>
      <c r="D71" s="7"/>
      <c r="E71" s="7"/>
      <c r="F71" s="7"/>
      <c r="G71" s="7"/>
      <c r="H71" s="76"/>
      <c r="I71" s="108"/>
      <c r="J71" s="108"/>
      <c r="K71" s="108"/>
      <c r="L71" s="76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"/>
      <c r="F72" s="7"/>
      <c r="G72" s="7"/>
      <c r="H72" s="76"/>
      <c r="I72" s="108"/>
      <c r="J72" s="108"/>
      <c r="K72" s="108"/>
      <c r="L72" s="76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"/>
      <c r="F73" s="7"/>
      <c r="G73" s="7"/>
      <c r="H73" s="76"/>
      <c r="I73" s="108"/>
      <c r="J73" s="108"/>
      <c r="K73" s="108"/>
      <c r="L73" s="76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"/>
      <c r="F74" s="7"/>
      <c r="G74" s="7"/>
      <c r="H74" s="76"/>
      <c r="I74" s="108"/>
      <c r="J74" s="108"/>
      <c r="K74" s="108"/>
      <c r="L74" s="76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"/>
      <c r="F75" s="7"/>
      <c r="G75" s="7"/>
      <c r="H75" s="76"/>
      <c r="I75" s="108"/>
      <c r="J75" s="108"/>
      <c r="K75" s="108"/>
      <c r="L75" s="76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"/>
      <c r="F76" s="7"/>
      <c r="G76" s="7"/>
      <c r="H76" s="76"/>
      <c r="I76" s="108"/>
      <c r="J76" s="108"/>
      <c r="K76" s="108"/>
      <c r="L76" s="76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"/>
      <c r="F77" s="7"/>
      <c r="G77" s="7"/>
      <c r="H77" s="76"/>
      <c r="I77" s="108"/>
      <c r="J77" s="108"/>
      <c r="K77" s="108"/>
      <c r="L77" s="76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"/>
      <c r="F78" s="7"/>
      <c r="G78" s="7"/>
      <c r="H78" s="76"/>
      <c r="I78" s="108"/>
      <c r="J78" s="108"/>
      <c r="K78" s="108"/>
      <c r="L78" s="76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"/>
      <c r="F79" s="7"/>
      <c r="G79" s="7"/>
      <c r="H79" s="76"/>
      <c r="I79" s="108"/>
      <c r="J79" s="108"/>
      <c r="K79" s="108"/>
      <c r="L79" s="76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"/>
      <c r="F80" s="7"/>
      <c r="G80" s="7"/>
      <c r="H80" s="76"/>
      <c r="I80" s="108"/>
      <c r="J80" s="108"/>
      <c r="K80" s="108"/>
      <c r="L80" s="76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"/>
      <c r="F81" s="7"/>
      <c r="G81" s="7"/>
      <c r="H81" s="76"/>
      <c r="I81" s="108"/>
      <c r="J81" s="108"/>
      <c r="K81" s="108"/>
      <c r="L81" s="76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"/>
      <c r="F82" s="7"/>
      <c r="G82" s="7"/>
      <c r="H82" s="76"/>
      <c r="I82" s="108"/>
      <c r="J82" s="108"/>
      <c r="K82" s="108"/>
      <c r="L82" s="76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"/>
      <c r="F83" s="7"/>
      <c r="G83" s="7"/>
      <c r="H83" s="76"/>
      <c r="I83" s="108"/>
      <c r="J83" s="108"/>
      <c r="K83" s="108"/>
      <c r="L83" s="76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"/>
      <c r="F84" s="7"/>
      <c r="G84" s="7"/>
      <c r="H84" s="76"/>
      <c r="I84" s="108"/>
      <c r="J84" s="108"/>
      <c r="K84" s="108"/>
      <c r="L84" s="76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"/>
      <c r="F85" s="7"/>
      <c r="G85" s="7"/>
      <c r="H85" s="76"/>
      <c r="I85" s="108"/>
      <c r="J85" s="108"/>
      <c r="K85" s="108"/>
      <c r="L85" s="76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"/>
      <c r="F86" s="7"/>
      <c r="G86" s="7"/>
      <c r="H86" s="76"/>
      <c r="I86" s="108"/>
      <c r="J86" s="108"/>
      <c r="K86" s="108"/>
      <c r="L86" s="76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"/>
      <c r="F87" s="7"/>
      <c r="G87" s="7"/>
      <c r="H87" s="76"/>
      <c r="I87" s="108"/>
      <c r="J87" s="108"/>
      <c r="K87" s="108"/>
      <c r="L87" s="76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"/>
      <c r="F88" s="7"/>
      <c r="G88" s="7"/>
      <c r="H88" s="76"/>
      <c r="I88" s="108"/>
      <c r="J88" s="108"/>
      <c r="K88" s="108"/>
      <c r="L88" s="76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"/>
      <c r="F89" s="7"/>
      <c r="G89" s="7"/>
      <c r="H89" s="76"/>
      <c r="I89" s="108"/>
      <c r="J89" s="108"/>
      <c r="K89" s="108"/>
      <c r="L89" s="76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"/>
      <c r="F90" s="7"/>
      <c r="G90" s="7"/>
      <c r="H90" s="76"/>
      <c r="I90" s="108"/>
      <c r="J90" s="108"/>
      <c r="K90" s="108"/>
      <c r="L90" s="76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"/>
      <c r="F91" s="7"/>
      <c r="G91" s="7"/>
      <c r="H91" s="76"/>
      <c r="I91" s="108"/>
      <c r="J91" s="108"/>
      <c r="K91" s="108"/>
      <c r="L91" s="76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"/>
      <c r="F92" s="7"/>
      <c r="G92" s="7"/>
      <c r="H92" s="76"/>
      <c r="I92" s="108"/>
      <c r="J92" s="108"/>
      <c r="K92" s="108"/>
      <c r="L92" s="76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"/>
      <c r="F93" s="7"/>
      <c r="G93" s="7"/>
      <c r="H93" s="76"/>
      <c r="I93" s="108"/>
      <c r="J93" s="108"/>
      <c r="K93" s="108"/>
      <c r="L93" s="76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"/>
      <c r="F94" s="7"/>
      <c r="G94" s="7"/>
      <c r="H94" s="76"/>
      <c r="I94" s="108"/>
      <c r="J94" s="108"/>
      <c r="K94" s="108"/>
      <c r="L94" s="76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"/>
      <c r="F95" s="7"/>
      <c r="G95" s="7"/>
      <c r="H95" s="76"/>
      <c r="I95" s="108"/>
      <c r="J95" s="108"/>
      <c r="K95" s="108"/>
      <c r="L95" s="76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"/>
      <c r="F96" s="7"/>
      <c r="G96" s="7"/>
      <c r="H96" s="76"/>
      <c r="I96" s="108"/>
      <c r="J96" s="108"/>
      <c r="K96" s="108"/>
      <c r="L96" s="76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"/>
      <c r="F97" s="7"/>
      <c r="G97" s="7"/>
      <c r="H97" s="76"/>
      <c r="I97" s="108"/>
      <c r="J97" s="108"/>
      <c r="K97" s="108"/>
      <c r="L97" s="76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"/>
      <c r="F98" s="7"/>
      <c r="G98" s="7"/>
      <c r="H98" s="76"/>
      <c r="I98" s="108"/>
      <c r="J98" s="108"/>
      <c r="K98" s="108"/>
      <c r="L98" s="76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"/>
      <c r="F99" s="7"/>
      <c r="G99" s="7"/>
      <c r="H99" s="76"/>
      <c r="I99" s="108"/>
      <c r="J99" s="108"/>
      <c r="K99" s="108"/>
      <c r="L99" s="76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"/>
      <c r="F100" s="7"/>
      <c r="G100" s="7"/>
      <c r="H100" s="76"/>
      <c r="I100" s="108"/>
      <c r="J100" s="108"/>
      <c r="K100" s="108"/>
      <c r="L100" s="76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"/>
      <c r="F101" s="7"/>
      <c r="G101" s="7"/>
      <c r="H101" s="76"/>
      <c r="I101" s="108"/>
      <c r="J101" s="108"/>
      <c r="K101" s="108"/>
      <c r="L101" s="76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"/>
      <c r="F102" s="7"/>
      <c r="G102" s="7"/>
      <c r="H102" s="76"/>
      <c r="I102" s="108"/>
      <c r="J102" s="108"/>
      <c r="K102" s="108"/>
      <c r="L102" s="76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"/>
      <c r="F103" s="7"/>
      <c r="G103" s="7"/>
      <c r="H103" s="76"/>
      <c r="I103" s="108"/>
      <c r="J103" s="108"/>
      <c r="K103" s="108"/>
      <c r="L103" s="76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"/>
      <c r="F104" s="7"/>
      <c r="G104" s="7"/>
      <c r="H104" s="76"/>
      <c r="I104" s="108"/>
      <c r="J104" s="108"/>
      <c r="K104" s="108"/>
      <c r="L104" s="76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"/>
      <c r="F105" s="7"/>
      <c r="G105" s="7"/>
      <c r="H105" s="76"/>
      <c r="I105" s="108"/>
      <c r="J105" s="108"/>
      <c r="K105" s="108"/>
      <c r="L105" s="76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"/>
      <c r="F106" s="7"/>
      <c r="G106" s="7"/>
      <c r="H106" s="76"/>
      <c r="I106" s="108"/>
      <c r="J106" s="108"/>
      <c r="K106" s="108"/>
      <c r="L106" s="76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"/>
      <c r="F107" s="7"/>
      <c r="G107" s="7"/>
      <c r="H107" s="76"/>
      <c r="I107" s="108"/>
      <c r="J107" s="108"/>
      <c r="K107" s="108"/>
      <c r="L107" s="76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"/>
      <c r="F108" s="7"/>
      <c r="G108" s="7"/>
      <c r="H108" s="76"/>
      <c r="I108" s="108"/>
      <c r="J108" s="108"/>
      <c r="K108" s="108"/>
      <c r="L108" s="76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"/>
      <c r="F109" s="7"/>
      <c r="G109" s="7"/>
      <c r="H109" s="76"/>
      <c r="I109" s="108"/>
      <c r="J109" s="108"/>
      <c r="K109" s="108"/>
      <c r="L109" s="76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"/>
      <c r="F110" s="7"/>
      <c r="G110" s="7"/>
      <c r="H110" s="76"/>
      <c r="I110" s="108"/>
      <c r="J110" s="108"/>
      <c r="K110" s="108"/>
      <c r="L110" s="76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"/>
      <c r="F111" s="7"/>
      <c r="G111" s="7"/>
      <c r="H111" s="76"/>
      <c r="I111" s="108"/>
      <c r="J111" s="108"/>
      <c r="K111" s="108"/>
      <c r="L111" s="76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"/>
      <c r="F112" s="7"/>
      <c r="G112" s="7"/>
      <c r="H112" s="76"/>
      <c r="I112" s="108"/>
      <c r="J112" s="108"/>
      <c r="K112" s="108"/>
      <c r="L112" s="76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"/>
      <c r="F113" s="7"/>
      <c r="G113" s="7"/>
      <c r="H113" s="76"/>
      <c r="I113" s="108"/>
      <c r="J113" s="108"/>
      <c r="K113" s="108"/>
      <c r="L113" s="76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"/>
      <c r="F114" s="7"/>
      <c r="G114" s="7"/>
      <c r="H114" s="76"/>
      <c r="I114" s="108"/>
      <c r="J114" s="108"/>
      <c r="K114" s="108"/>
      <c r="L114" s="76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"/>
      <c r="F115" s="7"/>
      <c r="G115" s="7"/>
      <c r="H115" s="76"/>
      <c r="I115" s="108"/>
      <c r="J115" s="108"/>
      <c r="K115" s="108"/>
      <c r="L115" s="76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"/>
      <c r="F116" s="7"/>
      <c r="G116" s="7"/>
      <c r="H116" s="76"/>
      <c r="I116" s="108"/>
      <c r="J116" s="108"/>
      <c r="K116" s="108"/>
      <c r="L116" s="76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"/>
      <c r="F117" s="7"/>
      <c r="G117" s="7"/>
      <c r="H117" s="76"/>
      <c r="I117" s="108"/>
      <c r="J117" s="108"/>
      <c r="K117" s="108"/>
      <c r="L117" s="76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"/>
      <c r="F118" s="7"/>
      <c r="G118" s="7"/>
      <c r="H118" s="76"/>
      <c r="I118" s="108"/>
      <c r="J118" s="108"/>
      <c r="K118" s="108"/>
      <c r="L118" s="76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"/>
      <c r="F119" s="7"/>
      <c r="G119" s="7"/>
      <c r="H119" s="76"/>
      <c r="I119" s="108"/>
      <c r="J119" s="108"/>
      <c r="K119" s="108"/>
      <c r="L119" s="76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"/>
      <c r="F120" s="7"/>
      <c r="G120" s="7"/>
      <c r="H120" s="76"/>
      <c r="I120" s="108"/>
      <c r="J120" s="108"/>
      <c r="K120" s="108"/>
      <c r="L120" s="76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"/>
      <c r="F121" s="7"/>
      <c r="G121" s="7"/>
      <c r="H121" s="76"/>
      <c r="I121" s="108"/>
      <c r="J121" s="108"/>
      <c r="K121" s="108"/>
      <c r="L121" s="76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"/>
      <c r="F122" s="7"/>
      <c r="G122" s="7"/>
      <c r="H122" s="76"/>
      <c r="I122" s="108"/>
      <c r="J122" s="108"/>
      <c r="K122" s="108"/>
      <c r="L122" s="76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"/>
      <c r="F123" s="7"/>
      <c r="G123" s="7"/>
      <c r="H123" s="76"/>
      <c r="I123" s="108"/>
      <c r="J123" s="108"/>
      <c r="K123" s="108"/>
      <c r="L123" s="76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"/>
      <c r="F124" s="7"/>
      <c r="G124" s="7"/>
      <c r="H124" s="76"/>
      <c r="I124" s="108"/>
      <c r="J124" s="108"/>
      <c r="K124" s="108"/>
      <c r="L124" s="76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"/>
      <c r="F125" s="7"/>
      <c r="G125" s="7"/>
      <c r="H125" s="76"/>
      <c r="I125" s="108"/>
      <c r="J125" s="108"/>
      <c r="K125" s="108"/>
      <c r="L125" s="76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"/>
      <c r="F126" s="7"/>
      <c r="G126" s="7"/>
      <c r="H126" s="76"/>
      <c r="I126" s="108"/>
      <c r="J126" s="108"/>
      <c r="K126" s="108"/>
      <c r="L126" s="76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"/>
      <c r="F127" s="7"/>
      <c r="G127" s="7"/>
      <c r="H127" s="76"/>
      <c r="I127" s="108"/>
      <c r="J127" s="108"/>
      <c r="K127" s="108"/>
      <c r="L127" s="76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"/>
      <c r="F128" s="7"/>
      <c r="G128" s="7"/>
      <c r="H128" s="76"/>
      <c r="I128" s="108"/>
      <c r="J128" s="108"/>
      <c r="K128" s="108"/>
      <c r="L128" s="76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"/>
      <c r="F129" s="7"/>
      <c r="G129" s="7"/>
      <c r="H129" s="76"/>
      <c r="I129" s="108"/>
      <c r="J129" s="108"/>
      <c r="K129" s="108"/>
      <c r="L129" s="76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"/>
      <c r="F130" s="7"/>
      <c r="G130" s="7"/>
      <c r="H130" s="76"/>
      <c r="I130" s="108"/>
      <c r="J130" s="108"/>
      <c r="K130" s="108"/>
      <c r="L130" s="76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"/>
      <c r="F131" s="7"/>
      <c r="G131" s="7"/>
      <c r="H131" s="76"/>
      <c r="I131" s="108"/>
      <c r="J131" s="108"/>
      <c r="K131" s="108"/>
      <c r="L131" s="76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"/>
      <c r="F132" s="7"/>
      <c r="G132" s="7"/>
      <c r="H132" s="76"/>
      <c r="I132" s="108"/>
      <c r="J132" s="108"/>
      <c r="K132" s="108"/>
      <c r="L132" s="76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"/>
      <c r="F133" s="7"/>
      <c r="G133" s="7"/>
      <c r="H133" s="76"/>
      <c r="I133" s="108"/>
      <c r="J133" s="108"/>
      <c r="K133" s="108"/>
      <c r="L133" s="76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"/>
      <c r="F134" s="7"/>
      <c r="G134" s="7"/>
      <c r="H134" s="76"/>
      <c r="I134" s="108"/>
      <c r="J134" s="108"/>
      <c r="K134" s="108"/>
      <c r="L134" s="76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"/>
      <c r="F135" s="7"/>
      <c r="G135" s="7"/>
      <c r="H135" s="76"/>
      <c r="I135" s="108"/>
      <c r="J135" s="108"/>
      <c r="K135" s="108"/>
      <c r="L135" s="76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"/>
      <c r="F136" s="7"/>
      <c r="G136" s="7"/>
      <c r="H136" s="76"/>
      <c r="I136" s="108"/>
      <c r="J136" s="108"/>
      <c r="K136" s="108"/>
      <c r="L136" s="76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"/>
      <c r="F137" s="7"/>
      <c r="G137" s="7"/>
      <c r="H137" s="76"/>
      <c r="I137" s="108"/>
      <c r="J137" s="108"/>
      <c r="K137" s="108"/>
      <c r="L137" s="76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"/>
      <c r="F138" s="7"/>
      <c r="G138" s="7"/>
      <c r="H138" s="76"/>
      <c r="I138" s="108"/>
      <c r="J138" s="108"/>
      <c r="K138" s="108"/>
      <c r="L138" s="76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"/>
      <c r="F139" s="7"/>
      <c r="G139" s="7"/>
      <c r="H139" s="76"/>
      <c r="I139" s="108"/>
      <c r="J139" s="108"/>
      <c r="K139" s="108"/>
      <c r="L139" s="76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"/>
      <c r="F140" s="7"/>
      <c r="G140" s="7"/>
      <c r="H140" s="76"/>
      <c r="I140" s="108"/>
      <c r="J140" s="108"/>
      <c r="K140" s="108"/>
      <c r="L140" s="76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"/>
      <c r="F141" s="7"/>
      <c r="G141" s="7"/>
      <c r="H141" s="76"/>
      <c r="I141" s="108"/>
      <c r="J141" s="108"/>
      <c r="K141" s="108"/>
      <c r="L141" s="76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"/>
      <c r="F142" s="7"/>
      <c r="G142" s="7"/>
      <c r="H142" s="76"/>
      <c r="I142" s="108"/>
      <c r="J142" s="108"/>
      <c r="K142" s="108"/>
      <c r="L142" s="76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"/>
      <c r="F143" s="7"/>
      <c r="G143" s="7"/>
      <c r="H143" s="76"/>
      <c r="I143" s="108"/>
      <c r="J143" s="108"/>
      <c r="K143" s="108"/>
      <c r="L143" s="76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"/>
      <c r="F144" s="7"/>
      <c r="G144" s="7"/>
      <c r="H144" s="76"/>
      <c r="I144" s="108"/>
      <c r="J144" s="108"/>
      <c r="K144" s="108"/>
      <c r="L144" s="76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"/>
      <c r="F145" s="7"/>
      <c r="G145" s="7"/>
      <c r="H145" s="76"/>
      <c r="I145" s="108"/>
      <c r="J145" s="108"/>
      <c r="K145" s="108"/>
      <c r="L145" s="76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"/>
      <c r="F146" s="7"/>
      <c r="G146" s="7"/>
      <c r="H146" s="76"/>
      <c r="I146" s="108"/>
      <c r="J146" s="108"/>
      <c r="K146" s="108"/>
      <c r="L146" s="76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"/>
      <c r="F147" s="7"/>
      <c r="G147" s="7"/>
      <c r="H147" s="76"/>
      <c r="I147" s="108"/>
      <c r="J147" s="108"/>
      <c r="K147" s="108"/>
      <c r="L147" s="76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"/>
      <c r="F148" s="7"/>
      <c r="G148" s="7"/>
      <c r="H148" s="76"/>
      <c r="I148" s="108"/>
      <c r="J148" s="108"/>
      <c r="K148" s="108"/>
      <c r="L148" s="76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"/>
      <c r="F149" s="7"/>
      <c r="G149" s="7"/>
      <c r="H149" s="76"/>
      <c r="I149" s="108"/>
      <c r="J149" s="108"/>
      <c r="K149" s="108"/>
      <c r="L149" s="76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"/>
      <c r="F150" s="7"/>
      <c r="G150" s="7"/>
      <c r="H150" s="76"/>
      <c r="I150" s="108"/>
      <c r="J150" s="108"/>
      <c r="K150" s="108"/>
      <c r="L150" s="76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"/>
      <c r="F151" s="7"/>
      <c r="G151" s="7"/>
      <c r="H151" s="76"/>
      <c r="I151" s="108"/>
      <c r="J151" s="108"/>
      <c r="K151" s="108"/>
      <c r="L151" s="76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"/>
      <c r="F152" s="7"/>
      <c r="G152" s="7"/>
      <c r="H152" s="76"/>
      <c r="I152" s="108"/>
      <c r="J152" s="108"/>
      <c r="K152" s="108"/>
      <c r="L152" s="76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"/>
      <c r="F153" s="7"/>
      <c r="G153" s="7"/>
      <c r="H153" s="76"/>
      <c r="I153" s="108"/>
      <c r="J153" s="108"/>
      <c r="K153" s="108"/>
      <c r="L153" s="76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"/>
      <c r="F154" s="7"/>
      <c r="G154" s="7"/>
      <c r="H154" s="76"/>
      <c r="I154" s="108"/>
      <c r="J154" s="108"/>
      <c r="K154" s="108"/>
      <c r="L154" s="76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"/>
      <c r="F155" s="7"/>
      <c r="G155" s="7"/>
      <c r="H155" s="76"/>
      <c r="I155" s="108"/>
      <c r="J155" s="108"/>
      <c r="K155" s="108"/>
      <c r="L155" s="76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"/>
      <c r="F156" s="7"/>
      <c r="G156" s="7"/>
      <c r="H156" s="76"/>
      <c r="I156" s="108"/>
      <c r="J156" s="108"/>
      <c r="K156" s="108"/>
      <c r="L156" s="76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"/>
      <c r="F157" s="7"/>
      <c r="G157" s="7"/>
      <c r="H157" s="76"/>
      <c r="I157" s="108"/>
      <c r="J157" s="108"/>
      <c r="K157" s="108"/>
      <c r="L157" s="76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"/>
      <c r="F158" s="7"/>
      <c r="G158" s="7"/>
      <c r="H158" s="76"/>
      <c r="I158" s="108"/>
      <c r="J158" s="108"/>
      <c r="K158" s="108"/>
      <c r="L158" s="76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"/>
      <c r="F159" s="7"/>
      <c r="G159" s="7"/>
      <c r="H159" s="76"/>
      <c r="I159" s="108"/>
      <c r="J159" s="108"/>
      <c r="K159" s="108"/>
      <c r="L159" s="76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"/>
      <c r="F160" s="7"/>
      <c r="G160" s="7"/>
      <c r="H160" s="76"/>
      <c r="I160" s="108"/>
      <c r="J160" s="108"/>
      <c r="K160" s="108"/>
      <c r="L160" s="76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"/>
      <c r="F161" s="7"/>
      <c r="G161" s="7"/>
      <c r="H161" s="76"/>
      <c r="I161" s="108"/>
      <c r="J161" s="108"/>
      <c r="K161" s="108"/>
      <c r="L161" s="76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"/>
      <c r="F162" s="7"/>
      <c r="G162" s="7"/>
      <c r="H162" s="76"/>
      <c r="I162" s="108"/>
      <c r="J162" s="108"/>
      <c r="K162" s="108"/>
      <c r="L162" s="76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"/>
      <c r="F163" s="7"/>
      <c r="G163" s="7"/>
      <c r="H163" s="76"/>
      <c r="I163" s="108"/>
      <c r="J163" s="108"/>
      <c r="K163" s="108"/>
      <c r="L163" s="76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"/>
      <c r="F164" s="7"/>
      <c r="G164" s="7"/>
      <c r="H164" s="76"/>
      <c r="I164" s="108"/>
      <c r="J164" s="108"/>
      <c r="K164" s="108"/>
      <c r="L164" s="76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"/>
      <c r="F165" s="7"/>
      <c r="G165" s="7"/>
      <c r="H165" s="76"/>
      <c r="I165" s="108"/>
      <c r="J165" s="108"/>
      <c r="K165" s="108"/>
      <c r="L165" s="76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"/>
      <c r="F166" s="7"/>
      <c r="G166" s="7"/>
      <c r="H166" s="76"/>
      <c r="I166" s="108"/>
      <c r="J166" s="108"/>
      <c r="K166" s="108"/>
      <c r="L166" s="76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"/>
      <c r="F167" s="7"/>
      <c r="G167" s="7"/>
      <c r="H167" s="76"/>
      <c r="I167" s="108"/>
      <c r="J167" s="108"/>
      <c r="K167" s="108"/>
      <c r="L167" s="76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"/>
      <c r="F168" s="7"/>
      <c r="G168" s="7"/>
      <c r="H168" s="76"/>
      <c r="I168" s="108"/>
      <c r="J168" s="108"/>
      <c r="K168" s="108"/>
      <c r="L168" s="76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"/>
      <c r="F169" s="7"/>
      <c r="G169" s="7"/>
      <c r="H169" s="76"/>
      <c r="I169" s="108"/>
      <c r="J169" s="108"/>
      <c r="K169" s="108"/>
      <c r="L169" s="76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"/>
      <c r="F170" s="7"/>
      <c r="G170" s="7"/>
      <c r="H170" s="76"/>
      <c r="I170" s="108"/>
      <c r="J170" s="108"/>
      <c r="K170" s="108"/>
      <c r="L170" s="76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"/>
      <c r="F171" s="7"/>
      <c r="G171" s="7"/>
      <c r="H171" s="76"/>
      <c r="I171" s="108"/>
      <c r="J171" s="108"/>
      <c r="K171" s="108"/>
      <c r="L171" s="76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"/>
      <c r="F172" s="7"/>
      <c r="G172" s="7"/>
      <c r="H172" s="76"/>
      <c r="I172" s="108"/>
      <c r="J172" s="108"/>
      <c r="K172" s="108"/>
      <c r="L172" s="76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"/>
      <c r="F173" s="7"/>
      <c r="G173" s="7"/>
      <c r="H173" s="76"/>
      <c r="I173" s="108"/>
      <c r="J173" s="108"/>
      <c r="K173" s="108"/>
      <c r="L173" s="76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"/>
      <c r="F174" s="7"/>
      <c r="G174" s="7"/>
      <c r="H174" s="76"/>
      <c r="I174" s="108"/>
      <c r="J174" s="108"/>
      <c r="K174" s="108"/>
      <c r="L174" s="76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"/>
      <c r="F175" s="7"/>
      <c r="G175" s="7"/>
      <c r="H175" s="76"/>
      <c r="I175" s="108"/>
      <c r="J175" s="108"/>
      <c r="K175" s="108"/>
      <c r="L175" s="76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"/>
      <c r="F176" s="7"/>
      <c r="G176" s="7"/>
      <c r="H176" s="76"/>
      <c r="I176" s="108"/>
      <c r="J176" s="108"/>
      <c r="K176" s="108"/>
      <c r="L176" s="76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"/>
      <c r="F177" s="7"/>
      <c r="G177" s="7"/>
      <c r="H177" s="76"/>
      <c r="I177" s="108"/>
      <c r="J177" s="108"/>
      <c r="K177" s="108"/>
      <c r="L177" s="76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"/>
      <c r="F178" s="7"/>
      <c r="G178" s="7"/>
      <c r="H178" s="76"/>
      <c r="I178" s="108"/>
      <c r="J178" s="108"/>
      <c r="K178" s="108"/>
      <c r="L178" s="76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"/>
      <c r="F179" s="7"/>
      <c r="G179" s="7"/>
      <c r="H179" s="76"/>
      <c r="I179" s="108"/>
      <c r="J179" s="108"/>
      <c r="K179" s="108"/>
      <c r="L179" s="76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"/>
      <c r="F180" s="7"/>
      <c r="G180" s="7"/>
      <c r="H180" s="76"/>
      <c r="I180" s="108"/>
      <c r="J180" s="108"/>
      <c r="K180" s="108"/>
      <c r="L180" s="76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"/>
      <c r="F181" s="7"/>
      <c r="G181" s="7"/>
      <c r="H181" s="76"/>
      <c r="I181" s="108"/>
      <c r="J181" s="108"/>
      <c r="K181" s="108"/>
      <c r="L181" s="76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"/>
      <c r="F182" s="7"/>
      <c r="G182" s="7"/>
      <c r="H182" s="76"/>
      <c r="I182" s="108"/>
      <c r="J182" s="108"/>
      <c r="K182" s="108"/>
      <c r="L182" s="76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"/>
      <c r="F183" s="7"/>
      <c r="G183" s="7"/>
      <c r="H183" s="76"/>
      <c r="I183" s="108"/>
      <c r="J183" s="108"/>
      <c r="K183" s="108"/>
      <c r="L183" s="76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"/>
      <c r="F184" s="7"/>
      <c r="G184" s="7"/>
      <c r="H184" s="76"/>
      <c r="I184" s="108"/>
      <c r="J184" s="108"/>
      <c r="K184" s="108"/>
      <c r="L184" s="76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"/>
      <c r="F185" s="7"/>
      <c r="G185" s="7"/>
      <c r="H185" s="76"/>
      <c r="I185" s="108"/>
      <c r="J185" s="108"/>
      <c r="K185" s="108"/>
      <c r="L185" s="76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"/>
      <c r="F186" s="7"/>
      <c r="G186" s="7"/>
      <c r="H186" s="76"/>
      <c r="I186" s="108"/>
      <c r="J186" s="108"/>
      <c r="K186" s="108"/>
      <c r="L186" s="76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"/>
      <c r="F187" s="7"/>
      <c r="G187" s="7"/>
      <c r="H187" s="76"/>
      <c r="I187" s="108"/>
      <c r="J187" s="108"/>
      <c r="K187" s="108"/>
      <c r="L187" s="76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6"/>
      <c r="I188" s="108"/>
      <c r="J188" s="108"/>
      <c r="K188" s="108"/>
      <c r="L188" s="76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6"/>
      <c r="I189" s="108"/>
      <c r="J189" s="108"/>
      <c r="K189" s="108"/>
      <c r="L189" s="76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6"/>
      <c r="I190" s="108"/>
      <c r="J190" s="108"/>
      <c r="K190" s="108"/>
      <c r="L190" s="76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6"/>
      <c r="I191" s="108"/>
      <c r="J191" s="108"/>
      <c r="K191" s="108"/>
      <c r="L191" s="76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6"/>
      <c r="I192" s="108"/>
      <c r="J192" s="108"/>
      <c r="K192" s="108"/>
      <c r="L192" s="76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6"/>
      <c r="I193" s="108"/>
      <c r="J193" s="108"/>
      <c r="K193" s="108"/>
      <c r="L193" s="76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6"/>
      <c r="I194" s="108"/>
      <c r="J194" s="108"/>
      <c r="K194" s="108"/>
      <c r="L194" s="76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6"/>
      <c r="I195" s="108"/>
      <c r="J195" s="108"/>
      <c r="K195" s="108"/>
      <c r="L195" s="76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6"/>
      <c r="I196" s="108"/>
      <c r="J196" s="108"/>
      <c r="K196" s="108"/>
      <c r="L196" s="76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6"/>
      <c r="I197" s="108"/>
      <c r="J197" s="108"/>
      <c r="K197" s="108"/>
      <c r="L197" s="76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6"/>
      <c r="I198" s="108"/>
      <c r="J198" s="108"/>
      <c r="K198" s="108"/>
      <c r="L198" s="76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6"/>
      <c r="I199" s="108"/>
      <c r="J199" s="108"/>
      <c r="K199" s="108"/>
      <c r="L199" s="76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6"/>
      <c r="I200" s="108"/>
      <c r="J200" s="108"/>
      <c r="K200" s="108"/>
      <c r="L200" s="76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6"/>
      <c r="I201" s="108"/>
      <c r="J201" s="108"/>
      <c r="K201" s="108"/>
      <c r="L201" s="76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6"/>
      <c r="I202" s="108"/>
      <c r="J202" s="108"/>
      <c r="K202" s="108"/>
      <c r="L202" s="76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6"/>
      <c r="I203" s="108"/>
      <c r="J203" s="108"/>
      <c r="K203" s="108"/>
      <c r="L203" s="76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6"/>
      <c r="I204" s="108"/>
      <c r="J204" s="108"/>
      <c r="K204" s="108"/>
      <c r="L204" s="76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6"/>
      <c r="I205" s="108"/>
      <c r="J205" s="108"/>
      <c r="K205" s="108"/>
      <c r="L205" s="76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6"/>
      <c r="I206" s="108"/>
      <c r="J206" s="108"/>
      <c r="K206" s="108"/>
      <c r="L206" s="76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6"/>
      <c r="I207" s="108"/>
      <c r="J207" s="108"/>
      <c r="K207" s="108"/>
      <c r="L207" s="76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6"/>
      <c r="I208" s="108"/>
      <c r="J208" s="108"/>
      <c r="K208" s="108"/>
      <c r="L208" s="76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6"/>
      <c r="I209" s="108"/>
      <c r="J209" s="108"/>
      <c r="K209" s="108"/>
      <c r="L209" s="76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6"/>
      <c r="I210" s="108"/>
      <c r="J210" s="108"/>
      <c r="K210" s="108"/>
      <c r="L210" s="76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6"/>
      <c r="I211" s="108"/>
      <c r="J211" s="108"/>
      <c r="K211" s="108"/>
      <c r="L211" s="76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6"/>
      <c r="I212" s="108"/>
      <c r="J212" s="108"/>
      <c r="K212" s="108"/>
      <c r="L212" s="76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6"/>
      <c r="I213" s="108"/>
      <c r="J213" s="108"/>
      <c r="K213" s="108"/>
      <c r="L213" s="76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6"/>
      <c r="I214" s="108"/>
      <c r="J214" s="108"/>
      <c r="K214" s="108"/>
      <c r="L214" s="76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6"/>
      <c r="I215" s="108"/>
      <c r="J215" s="108"/>
      <c r="K215" s="108"/>
      <c r="L215" s="76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6"/>
      <c r="I216" s="108"/>
      <c r="J216" s="108"/>
      <c r="K216" s="108"/>
      <c r="L216" s="76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6"/>
      <c r="I217" s="108"/>
      <c r="J217" s="108"/>
      <c r="K217" s="108"/>
      <c r="L217" s="76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6"/>
      <c r="I218" s="108"/>
      <c r="J218" s="108"/>
      <c r="K218" s="108"/>
      <c r="L218" s="76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6"/>
      <c r="I219" s="108"/>
      <c r="J219" s="108"/>
      <c r="K219" s="108"/>
      <c r="L219" s="76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6"/>
      <c r="I220" s="108"/>
      <c r="J220" s="108"/>
      <c r="K220" s="108"/>
      <c r="L220" s="76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6"/>
      <c r="I221" s="108"/>
      <c r="J221" s="108"/>
      <c r="K221" s="108"/>
      <c r="L221" s="76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6"/>
      <c r="I222" s="108"/>
      <c r="J222" s="108"/>
      <c r="K222" s="108"/>
      <c r="L222" s="76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6"/>
      <c r="I223" s="108"/>
      <c r="J223" s="108"/>
      <c r="K223" s="108"/>
      <c r="L223" s="76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6"/>
      <c r="I224" s="108"/>
      <c r="J224" s="108"/>
      <c r="K224" s="108"/>
      <c r="L224" s="76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6"/>
      <c r="I225" s="108"/>
      <c r="J225" s="108"/>
      <c r="K225" s="108"/>
      <c r="L225" s="76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6"/>
      <c r="I226" s="108"/>
      <c r="J226" s="108"/>
      <c r="K226" s="108"/>
      <c r="L226" s="76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6"/>
      <c r="I227" s="108"/>
      <c r="J227" s="108"/>
      <c r="K227" s="108"/>
      <c r="L227" s="76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6"/>
      <c r="I228" s="108"/>
      <c r="J228" s="108"/>
      <c r="K228" s="108"/>
      <c r="L228" s="76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6"/>
      <c r="I229" s="108"/>
      <c r="J229" s="108"/>
      <c r="K229" s="108"/>
      <c r="L229" s="76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6"/>
      <c r="I230" s="108"/>
      <c r="J230" s="108"/>
      <c r="K230" s="108"/>
      <c r="L230" s="76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6"/>
      <c r="I231" s="108"/>
      <c r="J231" s="108"/>
      <c r="K231" s="108"/>
      <c r="L231" s="76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6"/>
      <c r="I232" s="108"/>
      <c r="J232" s="108"/>
      <c r="K232" s="108"/>
      <c r="L232" s="76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6"/>
      <c r="I233" s="108"/>
      <c r="J233" s="108"/>
      <c r="K233" s="108"/>
      <c r="L233" s="76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6"/>
      <c r="I234" s="108"/>
      <c r="J234" s="108"/>
      <c r="K234" s="108"/>
      <c r="L234" s="76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6"/>
      <c r="I235" s="108"/>
      <c r="J235" s="108"/>
      <c r="K235" s="108"/>
      <c r="L235" s="76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6"/>
      <c r="I236" s="108"/>
      <c r="J236" s="108"/>
      <c r="K236" s="108"/>
      <c r="L236" s="76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6"/>
      <c r="I237" s="108"/>
      <c r="J237" s="108"/>
      <c r="K237" s="108"/>
      <c r="L237" s="76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6"/>
      <c r="I238" s="108"/>
      <c r="J238" s="108"/>
      <c r="K238" s="108"/>
      <c r="L238" s="76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6"/>
      <c r="I239" s="108"/>
      <c r="J239" s="108"/>
      <c r="K239" s="108"/>
      <c r="L239" s="76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6"/>
      <c r="I240" s="108"/>
      <c r="J240" s="108"/>
      <c r="K240" s="108"/>
      <c r="L240" s="76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6"/>
      <c r="I241" s="108"/>
      <c r="J241" s="108"/>
      <c r="K241" s="108"/>
      <c r="L241" s="76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6"/>
      <c r="I242" s="108"/>
      <c r="J242" s="108"/>
      <c r="K242" s="108"/>
      <c r="L242" s="76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6"/>
      <c r="I243" s="108"/>
      <c r="J243" s="108"/>
      <c r="K243" s="108"/>
      <c r="L243" s="76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6"/>
      <c r="I244" s="108"/>
      <c r="J244" s="108"/>
      <c r="K244" s="108"/>
      <c r="L244" s="76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6"/>
      <c r="I245" s="108"/>
      <c r="J245" s="108"/>
      <c r="K245" s="108"/>
      <c r="L245" s="76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6"/>
      <c r="I246" s="108"/>
      <c r="J246" s="108"/>
      <c r="K246" s="108"/>
      <c r="L246" s="76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6"/>
      <c r="I247" s="108"/>
      <c r="J247" s="108"/>
      <c r="K247" s="108"/>
      <c r="L247" s="76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6"/>
      <c r="I248" s="108"/>
      <c r="J248" s="108"/>
      <c r="K248" s="108"/>
      <c r="L248" s="76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6"/>
      <c r="I249" s="108"/>
      <c r="J249" s="108"/>
      <c r="K249" s="108"/>
      <c r="L249" s="76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6"/>
      <c r="I250" s="108"/>
      <c r="J250" s="108"/>
      <c r="K250" s="108"/>
      <c r="L250" s="76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6"/>
      <c r="I251" s="108"/>
      <c r="J251" s="108"/>
      <c r="K251" s="108"/>
      <c r="L251" s="76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6"/>
      <c r="I252" s="108"/>
      <c r="J252" s="108"/>
      <c r="K252" s="108"/>
      <c r="L252" s="76"/>
      <c r="M252" s="7"/>
      <c r="N252" s="7"/>
      <c r="O252" s="7"/>
      <c r="P252" s="7"/>
    </row>
    <row r="253" spans="1:16" ht="15.75" customHeight="1"/>
    <row r="254" spans="1:16" ht="15.75" customHeight="1"/>
    <row r="255" spans="1:16" ht="15.75" customHeight="1"/>
    <row r="256" spans="1:1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2">
      <formula>B2=#REF!</formula>
    </cfRule>
  </conditionalFormatting>
  <conditionalFormatting sqref="B2:B19">
    <cfRule type="expression" dxfId="719" priority="3">
      <formula>COUNTIF($C$1:$C$959, B2) &gt; 1</formula>
    </cfRule>
    <cfRule type="expression" dxfId="718" priority="4">
      <formula>COUNTIF($B$2:$B$940, B2) &gt; 1</formula>
    </cfRule>
    <cfRule type="expression" dxfId="717" priority="5">
      <formula>COUNTIF($C$1:$C$960, B2) &gt; 1</formula>
    </cfRule>
    <cfRule type="expression" dxfId="716" priority="6">
      <formula>COUNTIF($B$2:$B$941, B2) &gt; 1</formula>
    </cfRule>
    <cfRule type="expression" dxfId="715" priority="7">
      <formula>COUNTIF($C$1:$C$957, B2) &gt; 1</formula>
    </cfRule>
    <cfRule type="expression" dxfId="714" priority="8">
      <formula>COUNTIF($B$2:$B$938, B2) &gt; 1</formula>
    </cfRule>
    <cfRule type="expression" dxfId="713" priority="9">
      <formula>COUNTIF($B$2:$B$939, B2) &gt; 1</formula>
    </cfRule>
  </conditionalFormatting>
  <conditionalFormatting sqref="B2:B20">
    <cfRule type="expression" dxfId="712" priority="10">
      <formula>COUNTIF($C$1:$C$962, B2) &gt; 1</formula>
    </cfRule>
    <cfRule type="expression" dxfId="711" priority="11">
      <formula>COUNTIF($C$1:$C$958, B2) &gt; 1</formula>
    </cfRule>
  </conditionalFormatting>
  <conditionalFormatting sqref="B2:B21">
    <cfRule type="expression" dxfId="710" priority="12">
      <formula>COUNTIF($C$1:$C$963, B2) &gt; 1</formula>
    </cfRule>
    <cfRule type="expression" dxfId="709" priority="13">
      <formula>COUNTIF($B$2:$B$944, B2) &gt; 1</formula>
    </cfRule>
    <cfRule type="expression" dxfId="708" priority="14">
      <formula>COUNTIF($B$2:$B$945, B2) &gt; 1</formula>
    </cfRule>
  </conditionalFormatting>
  <conditionalFormatting sqref="B2:B22">
    <cfRule type="expression" dxfId="707" priority="15">
      <formula>COUNTIF($C$1:$C$965, B2) &gt; 1</formula>
    </cfRule>
    <cfRule type="expression" dxfId="706" priority="16">
      <formula>COUNTIF($B$2:$B$946, B2) &gt; 1</formula>
    </cfRule>
  </conditionalFormatting>
  <conditionalFormatting sqref="B2:B24">
    <cfRule type="expression" dxfId="705" priority="17">
      <formula>COUNTIF($B$2:$B$952, B2) &gt; 1</formula>
    </cfRule>
    <cfRule type="expression" dxfId="704" priority="18">
      <formula>COUNTIF($C$1:$C$964, B2) &gt; 1</formula>
    </cfRule>
  </conditionalFormatting>
  <conditionalFormatting sqref="B2:B25 B27:B49">
    <cfRule type="expression" dxfId="703" priority="19">
      <formula>COUNTIF($B$2:$B$991, B2) &gt; 1</formula>
    </cfRule>
  </conditionalFormatting>
  <conditionalFormatting sqref="B2:B25">
    <cfRule type="expression" dxfId="702" priority="20">
      <formula>COUNTIF($C$1:$C$966, B2) &gt; 1</formula>
    </cfRule>
    <cfRule type="expression" dxfId="701" priority="21">
      <formula>COUNTIF($B$2:$B$947, B2) &gt; 1</formula>
    </cfRule>
    <cfRule type="expression" dxfId="700" priority="22">
      <formula>COUNTIF($C$1:$C$969, B2) &gt; 1</formula>
    </cfRule>
    <cfRule type="expression" dxfId="699" priority="23">
      <formula>COUNTIF($B$2:$B$950, B2) &gt; 1</formula>
    </cfRule>
    <cfRule type="expression" dxfId="698" priority="24">
      <formula>COUNTIF($C$1:$C$970, B2) &gt; 1</formula>
    </cfRule>
    <cfRule type="expression" dxfId="697" priority="25">
      <formula>COUNTIF($B$2:$B$951, B2) &gt; 1</formula>
    </cfRule>
    <cfRule type="expression" dxfId="696" priority="26">
      <formula>COUNTIF($B$2:$B$948, B2) &gt; 1</formula>
    </cfRule>
    <cfRule type="expression" dxfId="695" priority="27">
      <formula>COUNTIF($B$2:$B$949, B2) &gt; 1</formula>
    </cfRule>
  </conditionalFormatting>
  <conditionalFormatting sqref="B2:B26">
    <cfRule type="expression" dxfId="694" priority="28">
      <formula>COUNTIF($B$1:$B$970, B2) &gt; 1</formula>
    </cfRule>
    <cfRule type="expression" dxfId="693" priority="29">
      <formula>COUNTIF($B$2:$B$964, B2) &gt; 1</formula>
    </cfRule>
    <cfRule type="expression" dxfId="692" priority="30">
      <formula>COUNTIF($C$1:$C$971, B2) &gt; 1</formula>
    </cfRule>
    <cfRule type="expression" dxfId="691" priority="31">
      <formula>COUNTIF($C$1:$C$967, B2) &gt; 1</formula>
    </cfRule>
    <cfRule type="expression" dxfId="690" priority="32">
      <formula>COUNTIF($C$1:$C$968, B2) &gt; 1</formula>
    </cfRule>
  </conditionalFormatting>
  <conditionalFormatting sqref="B2:B27 B29:B54">
    <cfRule type="expression" dxfId="689" priority="33">
      <formula>COUNTIF($B$2:$B$997, B2) &gt; 1</formula>
    </cfRule>
    <cfRule type="expression" dxfId="688" priority="34">
      <formula>COUNTIF($B$2:$B$998, B2) &gt; 1</formula>
    </cfRule>
  </conditionalFormatting>
  <conditionalFormatting sqref="B2:B27">
    <cfRule type="expression" dxfId="687" priority="35">
      <formula>COUNTIF($B$2:$B$958, B2) &gt; 1</formula>
    </cfRule>
    <cfRule type="expression" dxfId="686" priority="36">
      <formula>COUNTIF($B$2:$B$953, B2) &gt; 1</formula>
    </cfRule>
    <cfRule type="expression" dxfId="685" priority="37">
      <formula>COUNTIF($C$1:$C$972, B2) &gt; 1</formula>
    </cfRule>
    <cfRule type="expression" dxfId="684" priority="38">
      <formula>COUNTIF($B$2:$B$954, B2) &gt; 1</formula>
    </cfRule>
  </conditionalFormatting>
  <conditionalFormatting sqref="B2:B28 B30:B52">
    <cfRule type="expression" dxfId="683" priority="39">
      <formula>COUNTIF($C$1:$C$1013, B2) &gt; 1</formula>
    </cfRule>
  </conditionalFormatting>
  <conditionalFormatting sqref="B2:B28">
    <cfRule type="expression" dxfId="682" priority="40">
      <formula>COUNTIF($B$1:$B$958, B2) &gt; 1</formula>
    </cfRule>
    <cfRule type="expression" dxfId="681" priority="41">
      <formula>COUNTIF($B$1:$B$962, B2) &gt; 1</formula>
    </cfRule>
    <cfRule type="expression" dxfId="680" priority="42">
      <formula>COUNTIF($B$2:$B$965, B2) &gt; 1</formula>
    </cfRule>
    <cfRule type="expression" dxfId="679" priority="43">
      <formula>COUNTIF($B$2:$B$966, B2) &gt; 1</formula>
    </cfRule>
    <cfRule type="expression" dxfId="678" priority="44">
      <formula>COUNTIF($C$1:$C$977, B2) &gt; 1</formula>
    </cfRule>
    <cfRule type="expression" dxfId="677" priority="45">
      <formula>COUNTIF($C$1:$C$975, B2) &gt; 1</formula>
    </cfRule>
    <cfRule type="expression" dxfId="676" priority="46">
      <formula>COUNTIF($B$2:$B$956, B2) &gt; 1</formula>
    </cfRule>
    <cfRule type="expression" dxfId="675" priority="47">
      <formula>COUNTIF($C$1:$C$976, B2) &gt; 1</formula>
    </cfRule>
    <cfRule type="expression" dxfId="674" priority="48">
      <formula>COUNTIF($B$2:$B$957, B2) &gt; 1</formula>
    </cfRule>
    <cfRule type="expression" dxfId="673" priority="49">
      <formula>COUNTIF($B$2:$B$955, B2) &gt; 1</formula>
    </cfRule>
  </conditionalFormatting>
  <conditionalFormatting sqref="B2:B30">
    <cfRule type="expression" dxfId="672" priority="50">
      <formula>COUNTIF($K$2:$K$65, B2) &gt; 1</formula>
    </cfRule>
    <cfRule type="expression" dxfId="671" priority="51">
      <formula>COUNTIF($J$2:$J$65, B2) &gt; 1</formula>
    </cfRule>
    <cfRule type="expression" dxfId="670" priority="52">
      <formula>COUNTIF($B$2:$B$66, B2) &gt; 1</formula>
    </cfRule>
  </conditionalFormatting>
  <conditionalFormatting sqref="B2:B31">
    <cfRule type="expression" dxfId="669" priority="53">
      <formula>COUNTIF($C$1:$C$978, B2) &gt; 1</formula>
    </cfRule>
    <cfRule type="expression" dxfId="668" priority="54">
      <formula>COUNTIF($B$2:$B$959, B2) &gt; 1</formula>
    </cfRule>
    <cfRule type="expression" dxfId="667" priority="55">
      <formula>COUNTIF($C$1:$C$973, B2) &gt; 1</formula>
    </cfRule>
    <cfRule type="expression" dxfId="666" priority="56">
      <formula>COUNTIF($B$2:$B$962, B2) &gt; 1</formula>
    </cfRule>
    <cfRule type="expression" dxfId="665" priority="57">
      <formula>COUNTIF($C$1:$C$982, B2) &gt; 1</formula>
    </cfRule>
    <cfRule type="expression" dxfId="664" priority="58">
      <formula>COUNTIF($B$2:$B$963, B2) &gt; 1</formula>
    </cfRule>
    <cfRule type="expression" dxfId="663" priority="59">
      <formula>COUNTIF($C$1:$C$979, B2) &gt; 1</formula>
    </cfRule>
    <cfRule type="expression" dxfId="662" priority="60">
      <formula>COUNTIF($B$2:$B$960, B2) &gt; 1</formula>
    </cfRule>
    <cfRule type="expression" dxfId="661" priority="61">
      <formula>COUNTIF($B$2:$B$961, B2) &gt; 1</formula>
    </cfRule>
    <cfRule type="expression" dxfId="660" priority="62">
      <formula>COUNTIF($C$1:$C$974, B2) &gt; 1</formula>
    </cfRule>
  </conditionalFormatting>
  <conditionalFormatting sqref="B2:B32">
    <cfRule type="expression" dxfId="659" priority="63">
      <formula>COUNTIF($C$1:$C$983, B2) &gt; 1</formula>
    </cfRule>
    <cfRule type="expression" dxfId="658" priority="64">
      <formula>COUNTIF($C$1:$C$980, B2) &gt; 1</formula>
    </cfRule>
    <cfRule type="expression" dxfId="657" priority="65">
      <formula>COUNTIF($C$1:$C$981, B2) &gt; 1</formula>
    </cfRule>
  </conditionalFormatting>
  <conditionalFormatting sqref="B2:B33">
    <cfRule type="expression" dxfId="656" priority="66">
      <formula>COUNTIF($B$2:$B$972, B2) &gt; 1</formula>
    </cfRule>
    <cfRule type="expression" dxfId="655" priority="67">
      <formula>COUNTIF($C$1:$C$984, B2) &gt; 1</formula>
    </cfRule>
    <cfRule type="expression" dxfId="654" priority="68">
      <formula>COUNTIF($C$1:$C$985, B2) &gt; 1</formula>
    </cfRule>
  </conditionalFormatting>
  <conditionalFormatting sqref="B2:B34">
    <cfRule type="expression" dxfId="653" priority="69">
      <formula>COUNTIF($B$2:$B$973, B2) &gt; 1</formula>
    </cfRule>
  </conditionalFormatting>
  <conditionalFormatting sqref="B2:B35">
    <cfRule type="expression" dxfId="652" priority="70">
      <formula>COUNTIF($B$1:$B$979, B2) &gt; 1</formula>
    </cfRule>
    <cfRule type="expression" dxfId="651" priority="71">
      <formula>COUNTIF($B$1:$B$980, B2) &gt; 1</formula>
    </cfRule>
    <cfRule type="expression" dxfId="650" priority="72">
      <formula>COUNTIF($B$2:$B$974, B2) &gt; 1</formula>
    </cfRule>
  </conditionalFormatting>
  <conditionalFormatting sqref="B2:B36">
    <cfRule type="expression" dxfId="649" priority="73">
      <formula>COUNTIF($B$1:$B$976, B2) &gt; 1</formula>
    </cfRule>
    <cfRule type="expression" dxfId="648" priority="74">
      <formula>COUNTIF($C$1:$C$986, B2) &gt; 1</formula>
    </cfRule>
    <cfRule type="expression" dxfId="647" priority="75">
      <formula>COUNTIF($B$2:$B$967, B2) &gt; 1</formula>
    </cfRule>
    <cfRule type="expression" dxfId="646" priority="76">
      <formula>COUNTIF($B$1:$B$977, B2) &gt; 1</formula>
    </cfRule>
    <cfRule type="expression" dxfId="645" priority="77">
      <formula>COUNTIF($C$1:$C$987, B2) &gt; 1</formula>
    </cfRule>
    <cfRule type="expression" dxfId="644" priority="78">
      <formula>COUNTIF($B$2:$B$968, B2) &gt; 1</formula>
    </cfRule>
  </conditionalFormatting>
  <conditionalFormatting sqref="B2:B37">
    <cfRule type="expression" dxfId="643" priority="79">
      <formula>COUNTIF($B$1:$B$987, B2) &gt; 1</formula>
    </cfRule>
    <cfRule type="expression" dxfId="642" priority="80">
      <formula>COUNTIF($B$2:$B$979, B2) &gt; 1</formula>
    </cfRule>
    <cfRule type="expression" dxfId="641" priority="81">
      <formula>COUNTIF($B$1:$B$967, B2) &gt; 1</formula>
    </cfRule>
    <cfRule type="expression" dxfId="640" priority="82">
      <formula>COUNTIF($B$1:$B$971, B2) &gt; 1</formula>
    </cfRule>
    <cfRule type="expression" dxfId="639" priority="83">
      <formula>COUNTIF($B$1:$B$968, B2) &gt; 1</formula>
    </cfRule>
    <cfRule type="expression" dxfId="638" priority="84">
      <formula>COUNTIF($B$1:$B$972, B2) &gt; 1</formula>
    </cfRule>
    <cfRule type="expression" dxfId="637" priority="85">
      <formula>COUNTIF($B$1:$B$990, B2) &gt; 1</formula>
    </cfRule>
    <cfRule type="expression" dxfId="636" priority="86">
      <formula>COUNTIF($C$1:$C$989, B2) &gt; 1</formula>
    </cfRule>
    <cfRule type="expression" dxfId="635" priority="87">
      <formula>COUNTIF($B$2:$B$970, B2) &gt; 1</formula>
    </cfRule>
    <cfRule type="expression" dxfId="634" priority="88">
      <formula>COUNTIF($B$2:$B$971, B2) &gt; 1</formula>
    </cfRule>
    <cfRule type="expression" dxfId="633" priority="89">
      <formula>COUNTIF($C$1:$C$988, B2) &gt; 1</formula>
    </cfRule>
    <cfRule type="expression" dxfId="632" priority="90">
      <formula>COUNTIF($B$2:$B$969, B2) &gt; 1</formula>
    </cfRule>
    <cfRule type="expression" dxfId="631" priority="91">
      <formula>COUNTIF($B$2:$B$977, B2) &gt; 1</formula>
    </cfRule>
    <cfRule type="expression" dxfId="630" priority="92">
      <formula>COUNTIF($B$2:$B$978, B2) &gt; 1</formula>
    </cfRule>
    <cfRule type="expression" dxfId="629" priority="93">
      <formula>COUNTIF($B$2:$B$975, B2) &gt; 1</formula>
    </cfRule>
    <cfRule type="expression" dxfId="628" priority="94">
      <formula>COUNTIF($B$2:$B$976, B2) &gt; 1</formula>
    </cfRule>
  </conditionalFormatting>
  <conditionalFormatting sqref="B2:B38">
    <cfRule type="expression" dxfId="627" priority="95">
      <formula>COUNTIF($B$1:$B$978, B2) &gt; 1</formula>
    </cfRule>
    <cfRule type="expression" dxfId="626" priority="96">
      <formula>COUNTIF($C$1:$C$991, B2) &gt; 1</formula>
    </cfRule>
    <cfRule type="expression" dxfId="625" priority="97">
      <formula>COUNTIF($C$1:$C$990, B2) &gt; 1</formula>
    </cfRule>
  </conditionalFormatting>
  <conditionalFormatting sqref="B2:B39">
    <cfRule type="expression" dxfId="624" priority="98">
      <formula>COUNTIF($K$2:$K$74, B2) &gt; 1</formula>
    </cfRule>
    <cfRule type="expression" dxfId="623" priority="99">
      <formula>COUNTIF($B$2:$B$75, B2) &gt; 1</formula>
    </cfRule>
    <cfRule type="expression" dxfId="622" priority="100">
      <formula>COUNTIF($C$1:$C$998, B2) &gt; 1</formula>
    </cfRule>
    <cfRule type="expression" dxfId="621" priority="101">
      <formula>COUNTIF($K$2:$K$75, B2) &gt; 1</formula>
    </cfRule>
    <cfRule type="expression" dxfId="620" priority="102">
      <formula>COUNTIF($B$2:$B$76, B2) &gt; 1</formula>
    </cfRule>
    <cfRule type="expression" dxfId="619" priority="103">
      <formula>COUNTIF($C$1:$C$996, B2) &gt; 1</formula>
    </cfRule>
    <cfRule type="expression" dxfId="618" priority="104">
      <formula>COUNTIF($C$1:$C$997, B2) &gt; 1</formula>
    </cfRule>
  </conditionalFormatting>
  <conditionalFormatting sqref="B2:B40">
    <cfRule type="expression" dxfId="617" priority="105">
      <formula>COUNTIF($B$1:$B$982, B2) &gt; 1</formula>
    </cfRule>
    <cfRule type="expression" dxfId="616" priority="106">
      <formula>COUNTIF($C$1:$C$992, B2) &gt; 1</formula>
    </cfRule>
    <cfRule type="expression" dxfId="615" priority="107">
      <formula>COUNTIF($C$1:$C$993, B2) &gt; 1</formula>
    </cfRule>
    <cfRule type="expression" dxfId="614" priority="108">
      <formula>COUNTIF($B$2:$B$980, B2) &gt; 1</formula>
    </cfRule>
    <cfRule type="expression" dxfId="613" priority="109">
      <formula>COUNTIF($C$1:$C$999, B2) &gt; 1</formula>
    </cfRule>
    <cfRule type="expression" dxfId="612" priority="110">
      <formula>COUNTIF($C$1:$C$994, B2) &gt; 1</formula>
    </cfRule>
    <cfRule type="expression" dxfId="611" priority="111">
      <formula>COUNTIF($C$1:$C$995, B2) &gt; 1</formula>
    </cfRule>
  </conditionalFormatting>
  <conditionalFormatting sqref="B2:B41">
    <cfRule type="expression" dxfId="610" priority="112">
      <formula>COUNTIF($C$1:$C$1000, B2) &gt; 1</formula>
    </cfRule>
    <cfRule type="expression" dxfId="609" priority="113">
      <formula>COUNTIF($B$2:$B$981, B2) &gt; 1</formula>
    </cfRule>
  </conditionalFormatting>
  <conditionalFormatting sqref="B2:B42">
    <cfRule type="expression" dxfId="608" priority="114">
      <formula>COUNTIF($J$2:$J$85, B2) &gt; 1</formula>
    </cfRule>
    <cfRule type="expression" dxfId="607" priority="115">
      <formula>COUNTIF($B$2:$B$86, B2) &gt; 1</formula>
    </cfRule>
    <cfRule type="expression" dxfId="606" priority="116">
      <formula>COUNTIF($C$1:$C$1001, B2) &gt; 1</formula>
    </cfRule>
    <cfRule type="expression" dxfId="605" priority="117">
      <formula>COUNTIF($B$2:$B$982, B2) &gt; 1</formula>
    </cfRule>
  </conditionalFormatting>
  <conditionalFormatting sqref="B2:B43">
    <cfRule type="expression" dxfId="604" priority="118">
      <formula>COUNTIF($B$1:$B$994, B2) &gt; 1</formula>
    </cfRule>
    <cfRule type="expression" dxfId="603" priority="119">
      <formula>COUNTIF($C$1:$C$1004, B2) &gt; 1</formula>
    </cfRule>
    <cfRule type="expression" dxfId="602" priority="120">
      <formula>COUNTIF($C$1:$C$1002, B2) &gt; 1</formula>
    </cfRule>
    <cfRule type="expression" dxfId="601" priority="121">
      <formula>COUNTIF($B$2:$B$983, B2) &gt; 1</formula>
    </cfRule>
    <cfRule type="expression" dxfId="600" priority="122">
      <formula>COUNTIF($C$1:$C$1003, B2) &gt; 1</formula>
    </cfRule>
    <cfRule type="expression" dxfId="599" priority="123">
      <formula>COUNTIF($B$2:$B$984, B2) &gt; 1</formula>
    </cfRule>
  </conditionalFormatting>
  <conditionalFormatting sqref="B2:B44">
    <cfRule type="expression" dxfId="598" priority="124">
      <formula>COUNTIF($B$1:$B$964, B2) &gt; 1</formula>
    </cfRule>
    <cfRule type="expression" dxfId="597" priority="125">
      <formula>COUNTIF($B$1:$B$985, B2) &gt; 1</formula>
    </cfRule>
    <cfRule type="expression" dxfId="596" priority="126">
      <formula>COUNTIF($H$2:$H$92, B2) &gt; 1</formula>
    </cfRule>
    <cfRule type="expression" dxfId="595" priority="127">
      <formula>COUNTIF($B$2:$B$93, B2) &gt; 1</formula>
    </cfRule>
    <cfRule type="expression" dxfId="594" priority="128">
      <formula>COUNTIF($B$1:$B$989, B2) &gt; 1</formula>
    </cfRule>
    <cfRule type="expression" dxfId="593" priority="129">
      <formula>COUNTIF($B$1:$B$973, B2) &gt; 1</formula>
    </cfRule>
    <cfRule type="expression" dxfId="592" priority="130">
      <formula>COUNTIF($C$1:$C$1005, B2) &gt; 1</formula>
    </cfRule>
    <cfRule type="expression" dxfId="591" priority="131">
      <formula>COUNTIF($C$1:$C$1015, B2) &gt; 1</formula>
    </cfRule>
  </conditionalFormatting>
  <conditionalFormatting sqref="B2:B46">
    <cfRule type="expression" dxfId="590" priority="132">
      <formula>COUNTIF($B$1:$B$1000, B2) &gt; 1</formula>
    </cfRule>
    <cfRule type="expression" dxfId="589" priority="133">
      <formula>COUNTIF($C$1:$C$1006, B2) &gt; 1</formula>
    </cfRule>
    <cfRule type="expression" dxfId="588" priority="134">
      <formula>COUNTIF($B$2:$B$987, B2) &gt; 1</formula>
    </cfRule>
  </conditionalFormatting>
  <conditionalFormatting sqref="B2:B47">
    <cfRule type="expression" dxfId="587" priority="135">
      <formula>COUNTIF($B$1:$B$997, B2) &gt; 1</formula>
    </cfRule>
    <cfRule type="expression" dxfId="586" priority="136">
      <formula>COUNTIF($C$1:$C$1007, B2) &gt; 1</formula>
    </cfRule>
    <cfRule type="expression" dxfId="585" priority="137">
      <formula>COUNTIF($B$2:$B$988, B2) &gt; 1</formula>
    </cfRule>
  </conditionalFormatting>
  <conditionalFormatting sqref="B2:B48">
    <cfRule type="expression" dxfId="584" priority="138">
      <formula>COUNTIF($B$1:$B$988, B2) &gt; 1</formula>
    </cfRule>
    <cfRule type="expression" dxfId="583" priority="139">
      <formula>COUNTIF($C$1:$C$1008, B2) &gt; 1</formula>
    </cfRule>
    <cfRule type="expression" dxfId="582" priority="140">
      <formula>COUNTIF($B$2:$B$989, B2) &gt; 1</formula>
    </cfRule>
  </conditionalFormatting>
  <conditionalFormatting sqref="B2:B49">
    <cfRule type="expression" dxfId="581" priority="141">
      <formula>COUNTIF($B$1:$B$1010, B2) &gt; 1</formula>
    </cfRule>
    <cfRule type="expression" dxfId="580" priority="142">
      <formula>COUNTIF($C$1:$C$1009, B2) &gt; 1</formula>
    </cfRule>
    <cfRule type="expression" dxfId="579" priority="143">
      <formula>COUNTIF($B$2:$B$990, B2) &gt; 1</formula>
    </cfRule>
  </conditionalFormatting>
  <conditionalFormatting sqref="B2:B50">
    <cfRule type="expression" dxfId="578" priority="144">
      <formula>COUNTIF($B$1:$B$992, B2) &gt; 1</formula>
    </cfRule>
    <cfRule type="expression" dxfId="577" priority="145">
      <formula>COUNTIF($C$1:$C$1010, B2) &gt; 1</formula>
    </cfRule>
  </conditionalFormatting>
  <conditionalFormatting sqref="B2:B51">
    <cfRule type="expression" dxfId="576" priority="146">
      <formula>COUNTIF($C$1:$C$1011, B2) &gt; 1</formula>
    </cfRule>
    <cfRule type="expression" dxfId="575" priority="147">
      <formula>COUNTIF($C$1:$C$1012, B2) &gt; 1</formula>
    </cfRule>
  </conditionalFormatting>
  <conditionalFormatting sqref="B2:B52">
    <cfRule type="expression" dxfId="574" priority="148">
      <formula>COUNTIF($K$2:$K$95, B2) &gt; 1</formula>
    </cfRule>
    <cfRule type="expression" dxfId="573" priority="149">
      <formula>COUNTIF($B$2:$B$96, B2) &gt; 1</formula>
    </cfRule>
  </conditionalFormatting>
  <conditionalFormatting sqref="B2:B53">
    <cfRule type="expression" dxfId="572" priority="150">
      <formula>COUNTIF($B$2:$B$995, B2) &gt; 1</formula>
    </cfRule>
    <cfRule type="expression" dxfId="571" priority="151">
      <formula>COUNTIF($B$1:$B$1004, B2) &gt; 1</formula>
    </cfRule>
    <cfRule type="expression" dxfId="570" priority="152">
      <formula>COUNTIF($C$1:$C$1014, B2) &gt; 1</formula>
    </cfRule>
    <cfRule type="expression" dxfId="569" priority="153">
      <formula>COUNTIF($B$1:$B$1007, B2) &gt; 1</formula>
    </cfRule>
  </conditionalFormatting>
  <conditionalFormatting sqref="B2:B54">
    <cfRule type="expression" dxfId="568" priority="154">
      <formula>COUNTIF($B$1:$B$974, B2) &gt; 1</formula>
    </cfRule>
    <cfRule type="expression" dxfId="567" priority="155">
      <formula>COUNTIF($B$1:$B$995, B2) &gt; 1</formula>
    </cfRule>
    <cfRule type="expression" dxfId="566" priority="156">
      <formula>COUNTIF($B$1:$B$999, B2) &gt; 1</formula>
    </cfRule>
    <cfRule type="expression" dxfId="565" priority="157">
      <formula>COUNTIF($C$1:$C$1016, B2) &gt; 1</formula>
    </cfRule>
    <cfRule type="expression" dxfId="564" priority="158">
      <formula>COUNTIF($C$1:$C$1017, B2) &gt; 1</formula>
    </cfRule>
    <cfRule type="expression" dxfId="563" priority="159">
      <formula>COUNTIF($C$1:$C$1018, B2) &gt; 1</formula>
    </cfRule>
    <cfRule type="expression" dxfId="562" priority="160">
      <formula>COUNTIF($B$1:$B$1017, B2) &gt; 1</formula>
    </cfRule>
  </conditionalFormatting>
  <conditionalFormatting sqref="B2:B55">
    <cfRule type="expression" dxfId="561" priority="161">
      <formula>COUNTIF($C$1:$C$1019, B2) &gt; 1</formula>
    </cfRule>
  </conditionalFormatting>
  <conditionalFormatting sqref="B7 B54">
    <cfRule type="expression" dxfId="560" priority="162">
      <formula>COUNTIF($C$1:$C$1020, B7) &gt; 1</formula>
    </cfRule>
  </conditionalFormatting>
  <conditionalFormatting sqref="B19 B54">
    <cfRule type="expression" dxfId="559" priority="163">
      <formula>COUNTIF($C$1:$C$1021, B19) &gt; 1</formula>
    </cfRule>
  </conditionalFormatting>
  <conditionalFormatting sqref="B21">
    <cfRule type="expression" dxfId="558" priority="164">
      <formula>COUNTIF($C$1:$C$1028, B21) &gt; 1</formula>
    </cfRule>
  </conditionalFormatting>
  <conditionalFormatting sqref="B54">
    <cfRule type="expression" dxfId="557" priority="165">
      <formula>COUNTIF($C$1:$C$1025, B54) &gt; 1</formula>
    </cfRule>
    <cfRule type="expression" dxfId="556" priority="166">
      <formula>COUNTIF($K$2:$K$102, B54) &gt; 1</formula>
    </cfRule>
    <cfRule type="expression" dxfId="555" priority="167">
      <formula>COUNTIF($C$1:$C$1024, B54) &gt; 1</formula>
    </cfRule>
    <cfRule type="expression" dxfId="554" priority="168">
      <formula>COUNTIF($B$2:$B$103, B54) &gt; 1</formula>
    </cfRule>
  </conditionalFormatting>
  <conditionalFormatting sqref="C2:C1000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29.33203125" customWidth="1"/>
    <col min="4" max="4" width="13.44140625" customWidth="1"/>
    <col min="5" max="5" width="15.44140625" customWidth="1"/>
    <col min="6" max="6" width="11" customWidth="1"/>
    <col min="7" max="7" width="25.109375" customWidth="1"/>
    <col min="8" max="8" width="25.88671875" customWidth="1"/>
    <col min="9" max="13" width="11" customWidth="1"/>
    <col min="14" max="14" width="25.109375" customWidth="1"/>
    <col min="15" max="15" width="29.33203125" customWidth="1"/>
    <col min="16" max="19" width="11" customWidth="1"/>
  </cols>
  <sheetData>
    <row r="1" spans="1:27" ht="24" customHeight="1">
      <c r="A1" s="5" t="s">
        <v>0</v>
      </c>
      <c r="B1" s="5" t="s">
        <v>162</v>
      </c>
      <c r="C1" s="1" t="s">
        <v>177</v>
      </c>
      <c r="D1" s="101" t="s">
        <v>178</v>
      </c>
      <c r="E1" s="102" t="s">
        <v>179</v>
      </c>
      <c r="F1" s="103"/>
      <c r="G1" s="57" t="s">
        <v>0</v>
      </c>
      <c r="H1" s="57" t="s">
        <v>180</v>
      </c>
      <c r="I1" s="104" t="s">
        <v>181</v>
      </c>
      <c r="J1" s="104" t="s">
        <v>182</v>
      </c>
      <c r="K1" s="78" t="s">
        <v>183</v>
      </c>
      <c r="L1" s="105"/>
      <c r="M1" s="103"/>
      <c r="N1" s="106" t="s">
        <v>184</v>
      </c>
      <c r="O1" s="105" t="s">
        <v>185</v>
      </c>
      <c r="P1" s="103"/>
      <c r="Q1" s="103"/>
      <c r="R1" s="103"/>
      <c r="S1" s="103"/>
      <c r="T1" s="107"/>
      <c r="U1" s="107"/>
      <c r="V1" s="107"/>
      <c r="W1" s="107"/>
      <c r="X1" s="107"/>
      <c r="Y1" s="107"/>
      <c r="Z1" s="107"/>
      <c r="AA1" s="107"/>
    </row>
    <row r="2" spans="1:27" ht="15.75" customHeight="1">
      <c r="A2" s="10" t="s">
        <v>17</v>
      </c>
      <c r="B2" s="7" t="s">
        <v>86</v>
      </c>
      <c r="C2" s="109" t="s">
        <v>186</v>
      </c>
      <c r="D2" s="75" t="s">
        <v>187</v>
      </c>
      <c r="E2" s="213">
        <v>3.02</v>
      </c>
      <c r="F2" s="75"/>
      <c r="G2" s="35" t="s">
        <v>15</v>
      </c>
      <c r="H2" s="36" t="s">
        <v>72</v>
      </c>
      <c r="I2" s="112">
        <f t="shared" ref="I2:I33" si="0">SUMIFS(E:E, B:B, H2, A:A, G2) - J2</f>
        <v>15.69</v>
      </c>
      <c r="J2" s="112">
        <f t="shared" ref="J2:J33" si="1">SUMIFS(E:E, B:B, H2, C:C, "*đêm*", A:A, G2)</f>
        <v>0</v>
      </c>
      <c r="K2" s="112">
        <f t="shared" ref="K2:K33" si="2">I2+J2</f>
        <v>15.69</v>
      </c>
      <c r="L2" s="112"/>
      <c r="M2" s="75"/>
      <c r="N2" s="109"/>
      <c r="O2" s="112"/>
      <c r="P2" s="75"/>
      <c r="Q2" s="75"/>
      <c r="R2" s="75"/>
      <c r="S2" s="75"/>
      <c r="T2" s="7"/>
      <c r="U2" s="7"/>
      <c r="V2" s="7"/>
      <c r="W2" s="7"/>
      <c r="X2" s="7"/>
      <c r="Y2" s="7"/>
      <c r="Z2" s="7"/>
      <c r="AA2" s="7"/>
    </row>
    <row r="3" spans="1:27" ht="15.75" customHeight="1">
      <c r="A3" s="10" t="s">
        <v>17</v>
      </c>
      <c r="B3" s="7" t="s">
        <v>86</v>
      </c>
      <c r="C3" s="109" t="s">
        <v>188</v>
      </c>
      <c r="D3" s="75" t="s">
        <v>189</v>
      </c>
      <c r="E3" s="213">
        <v>230.26</v>
      </c>
      <c r="F3" s="75"/>
      <c r="G3" s="35" t="s">
        <v>15</v>
      </c>
      <c r="H3" s="36" t="s">
        <v>74</v>
      </c>
      <c r="I3" s="112">
        <f t="shared" si="0"/>
        <v>186.64</v>
      </c>
      <c r="J3" s="112">
        <f t="shared" si="1"/>
        <v>28.38</v>
      </c>
      <c r="K3" s="112">
        <f t="shared" si="2"/>
        <v>215.01999999999998</v>
      </c>
      <c r="L3" s="112"/>
      <c r="M3" s="75"/>
      <c r="N3" s="109"/>
      <c r="O3" s="112"/>
      <c r="P3" s="75"/>
      <c r="Q3" s="75"/>
      <c r="R3" s="75"/>
      <c r="S3" s="75"/>
      <c r="T3" s="7"/>
      <c r="U3" s="7"/>
      <c r="V3" s="7"/>
      <c r="W3" s="7"/>
      <c r="X3" s="7"/>
      <c r="Y3" s="7"/>
      <c r="Z3" s="7"/>
      <c r="AA3" s="7"/>
    </row>
    <row r="4" spans="1:27" ht="15.75" customHeight="1">
      <c r="A4" s="10" t="s">
        <v>17</v>
      </c>
      <c r="B4" s="7" t="s">
        <v>87</v>
      </c>
      <c r="C4" s="109" t="s">
        <v>188</v>
      </c>
      <c r="D4" s="75" t="s">
        <v>190</v>
      </c>
      <c r="E4" s="213">
        <v>245.43999999999991</v>
      </c>
      <c r="F4" s="75"/>
      <c r="G4" s="35" t="s">
        <v>15</v>
      </c>
      <c r="H4" s="44" t="s">
        <v>76</v>
      </c>
      <c r="I4" s="112">
        <f t="shared" si="0"/>
        <v>18.97999999999999</v>
      </c>
      <c r="J4" s="112">
        <f t="shared" si="1"/>
        <v>219.5</v>
      </c>
      <c r="K4" s="112">
        <f t="shared" si="2"/>
        <v>238.48</v>
      </c>
      <c r="L4" s="112"/>
      <c r="M4" s="75"/>
      <c r="N4" s="109"/>
      <c r="O4" s="112"/>
      <c r="P4" s="75"/>
      <c r="Q4" s="75"/>
      <c r="R4" s="75"/>
      <c r="S4" s="75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10" t="s">
        <v>17</v>
      </c>
      <c r="B5" s="7" t="s">
        <v>84</v>
      </c>
      <c r="C5" s="109" t="s">
        <v>191</v>
      </c>
      <c r="D5" s="75" t="s">
        <v>192</v>
      </c>
      <c r="E5" s="213">
        <v>83.049999999999983</v>
      </c>
      <c r="F5" s="75"/>
      <c r="G5" s="35" t="s">
        <v>15</v>
      </c>
      <c r="H5" s="36" t="s">
        <v>78</v>
      </c>
      <c r="I5" s="112">
        <f t="shared" si="0"/>
        <v>0.37999999999999545</v>
      </c>
      <c r="J5" s="112">
        <f t="shared" si="1"/>
        <v>164.21</v>
      </c>
      <c r="K5" s="112">
        <f t="shared" si="2"/>
        <v>164.59</v>
      </c>
      <c r="L5" s="112"/>
      <c r="M5" s="75"/>
      <c r="N5" s="109"/>
      <c r="O5" s="112"/>
      <c r="P5" s="75"/>
      <c r="Q5" s="75"/>
      <c r="R5" s="75"/>
      <c r="S5" s="75"/>
      <c r="T5" s="7"/>
      <c r="U5" s="7"/>
      <c r="V5" s="7"/>
      <c r="W5" s="7"/>
      <c r="X5" s="7"/>
      <c r="Y5" s="7"/>
      <c r="Z5" s="7"/>
      <c r="AA5" s="7"/>
    </row>
    <row r="6" spans="1:27" ht="15.75" customHeight="1">
      <c r="A6" s="10" t="s">
        <v>17</v>
      </c>
      <c r="B6" s="7" t="s">
        <v>84</v>
      </c>
      <c r="C6" s="109" t="s">
        <v>193</v>
      </c>
      <c r="D6" s="75" t="s">
        <v>194</v>
      </c>
      <c r="E6" s="213">
        <v>99.960000000000008</v>
      </c>
      <c r="F6" s="75"/>
      <c r="G6" s="35" t="s">
        <v>15</v>
      </c>
      <c r="H6" s="36" t="s">
        <v>80</v>
      </c>
      <c r="I6" s="112">
        <f t="shared" si="0"/>
        <v>66.260000000000005</v>
      </c>
      <c r="J6" s="112">
        <f t="shared" si="1"/>
        <v>23.12</v>
      </c>
      <c r="K6" s="112">
        <f t="shared" si="2"/>
        <v>89.38000000000001</v>
      </c>
      <c r="L6" s="112"/>
      <c r="M6" s="75"/>
      <c r="N6" s="109"/>
      <c r="O6" s="112"/>
      <c r="P6" s="75"/>
      <c r="Q6" s="75"/>
      <c r="R6" s="75"/>
      <c r="S6" s="75"/>
      <c r="T6" s="7"/>
      <c r="U6" s="7"/>
      <c r="V6" s="7"/>
      <c r="W6" s="7"/>
      <c r="X6" s="7"/>
      <c r="Y6" s="7"/>
      <c r="Z6" s="7"/>
      <c r="AA6" s="7"/>
    </row>
    <row r="7" spans="1:27" ht="15.75" customHeight="1">
      <c r="A7" s="10" t="s">
        <v>17</v>
      </c>
      <c r="B7" s="7" t="s">
        <v>89</v>
      </c>
      <c r="C7" s="7" t="s">
        <v>191</v>
      </c>
      <c r="D7" s="10" t="s">
        <v>195</v>
      </c>
      <c r="E7" s="213">
        <v>91.8</v>
      </c>
      <c r="F7" s="75"/>
      <c r="G7" s="35" t="s">
        <v>15</v>
      </c>
      <c r="H7" s="36" t="s">
        <v>82</v>
      </c>
      <c r="I7" s="112">
        <f t="shared" si="0"/>
        <v>164.32999999999996</v>
      </c>
      <c r="J7" s="112">
        <f t="shared" si="1"/>
        <v>24.07</v>
      </c>
      <c r="K7" s="112">
        <f t="shared" si="2"/>
        <v>188.39999999999995</v>
      </c>
      <c r="L7" s="112"/>
      <c r="M7" s="75"/>
      <c r="N7" s="109"/>
      <c r="O7" s="112"/>
      <c r="P7" s="75"/>
      <c r="Q7" s="75"/>
      <c r="R7" s="75"/>
      <c r="S7" s="75"/>
      <c r="T7" s="7"/>
      <c r="U7" s="7"/>
      <c r="V7" s="7"/>
      <c r="W7" s="7"/>
      <c r="X7" s="7"/>
      <c r="Y7" s="7"/>
      <c r="Z7" s="7"/>
      <c r="AA7" s="7"/>
    </row>
    <row r="8" spans="1:27" ht="15.75" customHeight="1">
      <c r="A8" s="10" t="s">
        <v>17</v>
      </c>
      <c r="B8" s="7" t="s">
        <v>89</v>
      </c>
      <c r="C8" s="7" t="s">
        <v>193</v>
      </c>
      <c r="D8" s="10" t="s">
        <v>196</v>
      </c>
      <c r="E8" s="213">
        <v>154.57</v>
      </c>
      <c r="F8" s="75"/>
      <c r="G8" s="35" t="s">
        <v>15</v>
      </c>
      <c r="H8" s="36" t="s">
        <v>83</v>
      </c>
      <c r="I8" s="112">
        <f t="shared" si="0"/>
        <v>245.43</v>
      </c>
      <c r="J8" s="112">
        <f t="shared" si="1"/>
        <v>31.43</v>
      </c>
      <c r="K8" s="112">
        <f t="shared" si="2"/>
        <v>276.86</v>
      </c>
      <c r="L8" s="112"/>
      <c r="M8" s="75"/>
      <c r="N8" s="109"/>
      <c r="O8" s="112"/>
      <c r="P8" s="75"/>
      <c r="Q8" s="75"/>
      <c r="R8" s="75"/>
      <c r="S8" s="75"/>
      <c r="T8" s="7"/>
      <c r="U8" s="7"/>
      <c r="V8" s="7"/>
      <c r="W8" s="7"/>
      <c r="X8" s="7"/>
      <c r="Y8" s="7"/>
      <c r="Z8" s="7"/>
      <c r="AA8" s="7"/>
    </row>
    <row r="9" spans="1:27" ht="15.75" customHeight="1">
      <c r="A9" s="10" t="s">
        <v>17</v>
      </c>
      <c r="B9" s="7" t="s">
        <v>89</v>
      </c>
      <c r="C9" s="7" t="s">
        <v>188</v>
      </c>
      <c r="D9" s="10" t="s">
        <v>197</v>
      </c>
      <c r="E9" s="213">
        <v>1.1000000000000001</v>
      </c>
      <c r="F9" s="75"/>
      <c r="G9" s="35" t="s">
        <v>17</v>
      </c>
      <c r="H9" s="36" t="s">
        <v>84</v>
      </c>
      <c r="I9" s="112">
        <f t="shared" si="0"/>
        <v>183.01</v>
      </c>
      <c r="J9" s="112">
        <f t="shared" si="1"/>
        <v>0</v>
      </c>
      <c r="K9" s="112">
        <f t="shared" si="2"/>
        <v>183.01</v>
      </c>
      <c r="L9" s="112"/>
      <c r="M9" s="75"/>
      <c r="N9" s="109"/>
      <c r="O9" s="112"/>
      <c r="P9" s="75"/>
      <c r="Q9" s="75"/>
      <c r="R9" s="75"/>
      <c r="S9" s="75"/>
      <c r="T9" s="7"/>
      <c r="U9" s="7"/>
      <c r="V9" s="7"/>
      <c r="W9" s="7"/>
      <c r="X9" s="7"/>
      <c r="Y9" s="7"/>
      <c r="Z9" s="7"/>
      <c r="AA9" s="7"/>
    </row>
    <row r="10" spans="1:27" ht="15.75" customHeight="1">
      <c r="A10" s="10" t="s">
        <v>20</v>
      </c>
      <c r="B10" s="7" t="s">
        <v>107</v>
      </c>
      <c r="C10" s="7" t="s">
        <v>198</v>
      </c>
      <c r="D10" s="10" t="s">
        <v>199</v>
      </c>
      <c r="E10" s="213">
        <v>8</v>
      </c>
      <c r="F10" s="75"/>
      <c r="G10" s="35" t="s">
        <v>17</v>
      </c>
      <c r="H10" s="44" t="s">
        <v>85</v>
      </c>
      <c r="I10" s="112">
        <f t="shared" si="0"/>
        <v>32.49</v>
      </c>
      <c r="J10" s="112">
        <f t="shared" si="1"/>
        <v>0</v>
      </c>
      <c r="K10" s="112">
        <f t="shared" si="2"/>
        <v>32.49</v>
      </c>
      <c r="L10" s="112"/>
      <c r="M10" s="75"/>
      <c r="N10" s="109"/>
      <c r="O10" s="112"/>
      <c r="P10" s="75"/>
      <c r="Q10" s="75"/>
      <c r="R10" s="75"/>
      <c r="S10" s="75"/>
      <c r="T10" s="7"/>
      <c r="U10" s="7"/>
      <c r="V10" s="7"/>
      <c r="W10" s="7"/>
      <c r="X10" s="7"/>
      <c r="Y10" s="7"/>
      <c r="Z10" s="7"/>
      <c r="AA10" s="7"/>
    </row>
    <row r="11" spans="1:27" ht="15.75" customHeight="1">
      <c r="A11" s="10" t="s">
        <v>23</v>
      </c>
      <c r="B11" s="7" t="s">
        <v>107</v>
      </c>
      <c r="C11" s="7" t="s">
        <v>200</v>
      </c>
      <c r="D11" s="10" t="s">
        <v>201</v>
      </c>
      <c r="E11" s="213">
        <v>40.590000000000003</v>
      </c>
      <c r="F11" s="75"/>
      <c r="G11" s="35" t="s">
        <v>17</v>
      </c>
      <c r="H11" s="44" t="s">
        <v>86</v>
      </c>
      <c r="I11" s="112">
        <f t="shared" si="0"/>
        <v>3.0200000000000102</v>
      </c>
      <c r="J11" s="112">
        <f t="shared" si="1"/>
        <v>230.26</v>
      </c>
      <c r="K11" s="112">
        <f t="shared" si="2"/>
        <v>233.28</v>
      </c>
      <c r="L11" s="112"/>
      <c r="M11" s="75"/>
      <c r="N11" s="109"/>
      <c r="O11" s="112"/>
      <c r="P11" s="75"/>
      <c r="Q11" s="75"/>
      <c r="R11" s="75"/>
      <c r="S11" s="75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10" t="s">
        <v>23</v>
      </c>
      <c r="B12" s="7" t="s">
        <v>107</v>
      </c>
      <c r="C12" s="7" t="s">
        <v>202</v>
      </c>
      <c r="D12" s="10" t="s">
        <v>203</v>
      </c>
      <c r="E12" s="213">
        <v>8.68</v>
      </c>
      <c r="F12" s="75"/>
      <c r="G12" s="35" t="s">
        <v>17</v>
      </c>
      <c r="H12" s="44" t="s">
        <v>87</v>
      </c>
      <c r="I12" s="112">
        <f t="shared" si="0"/>
        <v>0</v>
      </c>
      <c r="J12" s="112">
        <f t="shared" si="1"/>
        <v>245.43999999999991</v>
      </c>
      <c r="K12" s="112">
        <f t="shared" si="2"/>
        <v>245.43999999999991</v>
      </c>
      <c r="L12" s="112"/>
      <c r="M12" s="75"/>
      <c r="N12" s="109"/>
      <c r="O12" s="112"/>
      <c r="P12" s="75"/>
      <c r="Q12" s="75"/>
      <c r="R12" s="75"/>
      <c r="S12" s="75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10" t="s">
        <v>23</v>
      </c>
      <c r="B13" s="7" t="s">
        <v>107</v>
      </c>
      <c r="C13" s="7" t="s">
        <v>204</v>
      </c>
      <c r="D13" s="10" t="s">
        <v>205</v>
      </c>
      <c r="E13" s="213">
        <v>110.21</v>
      </c>
      <c r="F13" s="75"/>
      <c r="G13" s="35" t="s">
        <v>17</v>
      </c>
      <c r="H13" s="44" t="s">
        <v>88</v>
      </c>
      <c r="I13" s="112">
        <f t="shared" si="0"/>
        <v>28.77</v>
      </c>
      <c r="J13" s="112">
        <f t="shared" si="1"/>
        <v>0.5</v>
      </c>
      <c r="K13" s="112">
        <f t="shared" si="2"/>
        <v>29.27</v>
      </c>
      <c r="L13" s="112"/>
      <c r="M13" s="75"/>
      <c r="N13" s="67"/>
      <c r="O13" s="112"/>
      <c r="P13" s="75"/>
      <c r="Q13" s="75"/>
      <c r="R13" s="75"/>
      <c r="S13" s="75"/>
      <c r="T13" s="7"/>
      <c r="U13" s="7"/>
      <c r="V13" s="7"/>
      <c r="W13" s="7"/>
      <c r="X13" s="7"/>
      <c r="Y13" s="7"/>
      <c r="Z13" s="7"/>
      <c r="AA13" s="7"/>
    </row>
    <row r="14" spans="1:27" ht="15.75" customHeight="1">
      <c r="A14" s="10" t="s">
        <v>23</v>
      </c>
      <c r="B14" s="7" t="s">
        <v>107</v>
      </c>
      <c r="C14" s="7" t="s">
        <v>206</v>
      </c>
      <c r="D14" s="10" t="s">
        <v>207</v>
      </c>
      <c r="E14" s="213">
        <v>8.1</v>
      </c>
      <c r="F14" s="75"/>
      <c r="G14" s="35" t="s">
        <v>17</v>
      </c>
      <c r="H14" s="36" t="s">
        <v>89</v>
      </c>
      <c r="I14" s="112">
        <f t="shared" si="0"/>
        <v>246.37</v>
      </c>
      <c r="J14" s="112">
        <f t="shared" si="1"/>
        <v>1.1000000000000001</v>
      </c>
      <c r="K14" s="112">
        <f t="shared" si="2"/>
        <v>247.47</v>
      </c>
      <c r="L14" s="112"/>
      <c r="M14" s="75"/>
      <c r="N14" s="67"/>
      <c r="O14" s="112"/>
      <c r="P14" s="75"/>
      <c r="Q14" s="75"/>
      <c r="R14" s="75"/>
      <c r="S14" s="75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10" t="s">
        <v>23</v>
      </c>
      <c r="B15" s="7" t="s">
        <v>107</v>
      </c>
      <c r="C15" s="7" t="s">
        <v>208</v>
      </c>
      <c r="D15" s="10" t="s">
        <v>209</v>
      </c>
      <c r="E15" s="213">
        <v>2.0299999999999998</v>
      </c>
      <c r="F15" s="75"/>
      <c r="G15" s="35" t="s">
        <v>17</v>
      </c>
      <c r="H15" s="36" t="s">
        <v>90</v>
      </c>
      <c r="I15" s="112">
        <f t="shared" si="0"/>
        <v>236.16</v>
      </c>
      <c r="J15" s="112">
        <f t="shared" si="1"/>
        <v>8.08</v>
      </c>
      <c r="K15" s="112">
        <f t="shared" si="2"/>
        <v>244.24</v>
      </c>
      <c r="L15" s="112"/>
      <c r="M15" s="75"/>
      <c r="N15" s="67"/>
      <c r="O15" s="112"/>
      <c r="P15" s="75"/>
      <c r="Q15" s="75"/>
      <c r="R15" s="75"/>
      <c r="S15" s="75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10" t="s">
        <v>23</v>
      </c>
      <c r="B16" s="7" t="s">
        <v>107</v>
      </c>
      <c r="C16" s="7" t="s">
        <v>210</v>
      </c>
      <c r="D16" s="10" t="s">
        <v>211</v>
      </c>
      <c r="E16" s="213">
        <v>56.179999999999993</v>
      </c>
      <c r="F16" s="75"/>
      <c r="G16" s="35" t="s">
        <v>18</v>
      </c>
      <c r="H16" s="36" t="s">
        <v>91</v>
      </c>
      <c r="I16" s="112">
        <f t="shared" si="0"/>
        <v>197.49</v>
      </c>
      <c r="J16" s="112">
        <f t="shared" si="1"/>
        <v>49.040000000000013</v>
      </c>
      <c r="K16" s="112">
        <f t="shared" si="2"/>
        <v>246.53000000000003</v>
      </c>
      <c r="L16" s="112"/>
      <c r="M16" s="75"/>
      <c r="N16" s="67"/>
      <c r="O16" s="112"/>
      <c r="P16" s="75"/>
      <c r="Q16" s="75"/>
      <c r="R16" s="75"/>
      <c r="S16" s="75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10" t="s">
        <v>17</v>
      </c>
      <c r="B17" s="7" t="s">
        <v>90</v>
      </c>
      <c r="C17" s="7" t="s">
        <v>191</v>
      </c>
      <c r="D17" s="10" t="s">
        <v>212</v>
      </c>
      <c r="E17" s="213">
        <v>90.32</v>
      </c>
      <c r="F17" s="75"/>
      <c r="G17" s="35" t="s">
        <v>18</v>
      </c>
      <c r="H17" s="36" t="s">
        <v>78</v>
      </c>
      <c r="I17" s="112">
        <f t="shared" si="0"/>
        <v>0</v>
      </c>
      <c r="J17" s="112">
        <f t="shared" si="1"/>
        <v>46.45</v>
      </c>
      <c r="K17" s="112">
        <f t="shared" si="2"/>
        <v>46.45</v>
      </c>
      <c r="L17" s="112"/>
      <c r="M17" s="75"/>
      <c r="N17" s="67"/>
      <c r="O17" s="112"/>
      <c r="P17" s="75"/>
      <c r="Q17" s="75"/>
      <c r="R17" s="75"/>
      <c r="S17" s="75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10" t="s">
        <v>17</v>
      </c>
      <c r="B18" s="7" t="s">
        <v>90</v>
      </c>
      <c r="C18" s="7" t="s">
        <v>193</v>
      </c>
      <c r="D18" s="10" t="s">
        <v>213</v>
      </c>
      <c r="E18" s="213">
        <v>145.84</v>
      </c>
      <c r="F18" s="75"/>
      <c r="G18" s="35" t="s">
        <v>18</v>
      </c>
      <c r="H18" s="36" t="s">
        <v>92</v>
      </c>
      <c r="I18" s="112">
        <f t="shared" si="0"/>
        <v>53.75</v>
      </c>
      <c r="J18" s="112">
        <f t="shared" si="1"/>
        <v>185.25</v>
      </c>
      <c r="K18" s="112">
        <f t="shared" si="2"/>
        <v>239</v>
      </c>
      <c r="L18" s="112"/>
      <c r="M18" s="75"/>
      <c r="N18" s="67"/>
      <c r="O18" s="112"/>
      <c r="P18" s="75"/>
      <c r="Q18" s="75"/>
      <c r="R18" s="75"/>
      <c r="S18" s="75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10" t="s">
        <v>17</v>
      </c>
      <c r="B19" s="7" t="s">
        <v>90</v>
      </c>
      <c r="C19" s="7" t="s">
        <v>188</v>
      </c>
      <c r="D19" s="10" t="s">
        <v>214</v>
      </c>
      <c r="E19" s="213">
        <v>8.08</v>
      </c>
      <c r="F19" s="75"/>
      <c r="G19" s="35" t="s">
        <v>18</v>
      </c>
      <c r="H19" s="36" t="s">
        <v>93</v>
      </c>
      <c r="I19" s="112">
        <f t="shared" si="0"/>
        <v>265.03999999999996</v>
      </c>
      <c r="J19" s="112">
        <f t="shared" si="1"/>
        <v>55.74</v>
      </c>
      <c r="K19" s="112">
        <f t="shared" si="2"/>
        <v>320.77999999999997</v>
      </c>
      <c r="L19" s="112"/>
      <c r="M19" s="75"/>
      <c r="N19" s="67"/>
      <c r="O19" s="112"/>
      <c r="P19" s="75"/>
      <c r="Q19" s="75"/>
      <c r="R19" s="75"/>
      <c r="S19" s="75"/>
      <c r="T19" s="7"/>
      <c r="U19" s="7"/>
      <c r="V19" s="7"/>
      <c r="W19" s="7"/>
      <c r="X19" s="7"/>
      <c r="Y19" s="7"/>
      <c r="Z19" s="7"/>
      <c r="AA19" s="7"/>
    </row>
    <row r="20" spans="1:27" ht="15.75" customHeight="1">
      <c r="A20" s="10" t="s">
        <v>24</v>
      </c>
      <c r="B20" s="7" t="s">
        <v>125</v>
      </c>
      <c r="C20" s="7" t="s">
        <v>215</v>
      </c>
      <c r="D20" s="10" t="s">
        <v>216</v>
      </c>
      <c r="E20" s="213">
        <v>112.17</v>
      </c>
      <c r="F20" s="75"/>
      <c r="G20" s="35" t="s">
        <v>18</v>
      </c>
      <c r="H20" s="36" t="s">
        <v>94</v>
      </c>
      <c r="I20" s="112">
        <f t="shared" si="0"/>
        <v>198.93</v>
      </c>
      <c r="J20" s="112">
        <f t="shared" si="1"/>
        <v>32.22</v>
      </c>
      <c r="K20" s="112">
        <f t="shared" si="2"/>
        <v>231.15</v>
      </c>
      <c r="L20" s="112"/>
      <c r="M20" s="75"/>
      <c r="N20" s="67"/>
      <c r="O20" s="112"/>
      <c r="P20" s="75"/>
      <c r="Q20" s="75"/>
      <c r="R20" s="75"/>
      <c r="S20" s="75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10" t="s">
        <v>24</v>
      </c>
      <c r="B21" s="7" t="s">
        <v>125</v>
      </c>
      <c r="C21" s="7" t="s">
        <v>198</v>
      </c>
      <c r="D21" s="10" t="s">
        <v>217</v>
      </c>
      <c r="E21" s="213">
        <v>105.33</v>
      </c>
      <c r="F21" s="75"/>
      <c r="G21" s="35" t="s">
        <v>19</v>
      </c>
      <c r="H21" s="36" t="s">
        <v>85</v>
      </c>
      <c r="I21" s="112">
        <f t="shared" si="0"/>
        <v>0.91999999999998749</v>
      </c>
      <c r="J21" s="112">
        <f t="shared" si="1"/>
        <v>193.57</v>
      </c>
      <c r="K21" s="112">
        <f t="shared" si="2"/>
        <v>194.48999999999998</v>
      </c>
      <c r="L21" s="112"/>
      <c r="M21" s="75"/>
      <c r="N21" s="67"/>
      <c r="O21" s="112"/>
      <c r="P21" s="75"/>
      <c r="Q21" s="75"/>
      <c r="R21" s="75"/>
      <c r="S21" s="75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10" t="s">
        <v>24</v>
      </c>
      <c r="B22" s="7" t="s">
        <v>125</v>
      </c>
      <c r="C22" s="7" t="s">
        <v>218</v>
      </c>
      <c r="D22" s="10" t="s">
        <v>219</v>
      </c>
      <c r="E22" s="213">
        <v>6.1</v>
      </c>
      <c r="F22" s="75"/>
      <c r="G22" s="35" t="s">
        <v>19</v>
      </c>
      <c r="H22" s="36" t="s">
        <v>96</v>
      </c>
      <c r="I22" s="112">
        <f t="shared" si="0"/>
        <v>10.210000000000008</v>
      </c>
      <c r="J22" s="112">
        <f t="shared" si="1"/>
        <v>234.97000000000011</v>
      </c>
      <c r="K22" s="112">
        <f t="shared" si="2"/>
        <v>245.18000000000012</v>
      </c>
      <c r="L22" s="112"/>
      <c r="M22" s="75"/>
      <c r="N22" s="67"/>
      <c r="O22" s="112"/>
      <c r="P22" s="75"/>
      <c r="Q22" s="75"/>
      <c r="R22" s="75"/>
      <c r="S22" s="75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10" t="s">
        <v>24</v>
      </c>
      <c r="B23" s="7" t="s">
        <v>125</v>
      </c>
      <c r="C23" s="7" t="s">
        <v>220</v>
      </c>
      <c r="D23" s="10" t="s">
        <v>221</v>
      </c>
      <c r="E23" s="213">
        <v>16.95</v>
      </c>
      <c r="F23" s="75"/>
      <c r="G23" s="35" t="s">
        <v>19</v>
      </c>
      <c r="H23" s="36" t="s">
        <v>97</v>
      </c>
      <c r="I23" s="112">
        <f t="shared" si="0"/>
        <v>20.11</v>
      </c>
      <c r="J23" s="112">
        <f t="shared" si="1"/>
        <v>40.069999999999993</v>
      </c>
      <c r="K23" s="112">
        <f t="shared" si="2"/>
        <v>60.179999999999993</v>
      </c>
      <c r="L23" s="112"/>
      <c r="M23" s="75"/>
      <c r="N23" s="67"/>
      <c r="O23" s="112"/>
      <c r="P23" s="75"/>
      <c r="Q23" s="75"/>
      <c r="R23" s="75"/>
      <c r="S23" s="75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10" t="s">
        <v>24</v>
      </c>
      <c r="B24" s="7" t="s">
        <v>123</v>
      </c>
      <c r="C24" s="7" t="s">
        <v>222</v>
      </c>
      <c r="D24" s="10" t="s">
        <v>223</v>
      </c>
      <c r="E24" s="213">
        <v>5.4</v>
      </c>
      <c r="F24" s="75"/>
      <c r="G24" s="35" t="s">
        <v>19</v>
      </c>
      <c r="H24" s="36" t="s">
        <v>98</v>
      </c>
      <c r="I24" s="112">
        <f t="shared" si="0"/>
        <v>290.98</v>
      </c>
      <c r="J24" s="112">
        <f t="shared" si="1"/>
        <v>0</v>
      </c>
      <c r="K24" s="112">
        <f t="shared" si="2"/>
        <v>290.98</v>
      </c>
      <c r="L24" s="112"/>
      <c r="M24" s="75"/>
      <c r="N24" s="67"/>
      <c r="O24" s="112"/>
      <c r="P24" s="75"/>
      <c r="Q24" s="75"/>
      <c r="R24" s="75"/>
      <c r="S24" s="75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10" t="s">
        <v>24</v>
      </c>
      <c r="B25" s="7" t="s">
        <v>123</v>
      </c>
      <c r="C25" s="7" t="s">
        <v>215</v>
      </c>
      <c r="D25" s="10" t="s">
        <v>224</v>
      </c>
      <c r="E25" s="213">
        <v>8.77</v>
      </c>
      <c r="F25" s="75"/>
      <c r="G25" s="35" t="s">
        <v>19</v>
      </c>
      <c r="H25" s="36" t="s">
        <v>88</v>
      </c>
      <c r="I25" s="112">
        <f t="shared" si="0"/>
        <v>0</v>
      </c>
      <c r="J25" s="112">
        <f t="shared" si="1"/>
        <v>0</v>
      </c>
      <c r="K25" s="112">
        <f t="shared" si="2"/>
        <v>0</v>
      </c>
      <c r="L25" s="112"/>
      <c r="M25" s="75"/>
      <c r="N25" s="67"/>
      <c r="O25" s="112"/>
      <c r="P25" s="75"/>
      <c r="Q25" s="75"/>
      <c r="R25" s="75"/>
      <c r="S25" s="75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10" t="s">
        <v>24</v>
      </c>
      <c r="B26" s="7" t="s">
        <v>123</v>
      </c>
      <c r="C26" s="7" t="s">
        <v>225</v>
      </c>
      <c r="D26" s="10" t="s">
        <v>226</v>
      </c>
      <c r="E26" s="213">
        <v>2.2200000000000002</v>
      </c>
      <c r="F26" s="75"/>
      <c r="G26" s="35" t="s">
        <v>19</v>
      </c>
      <c r="H26" s="36" t="s">
        <v>100</v>
      </c>
      <c r="I26" s="112">
        <f t="shared" si="0"/>
        <v>279.09999999999997</v>
      </c>
      <c r="J26" s="112">
        <f t="shared" si="1"/>
        <v>7.75</v>
      </c>
      <c r="K26" s="112">
        <f t="shared" si="2"/>
        <v>286.84999999999997</v>
      </c>
      <c r="L26" s="112"/>
      <c r="M26" s="75"/>
      <c r="N26" s="67"/>
      <c r="O26" s="112"/>
      <c r="P26" s="75"/>
      <c r="Q26" s="75"/>
      <c r="R26" s="75"/>
      <c r="S26" s="75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10" t="s">
        <v>24</v>
      </c>
      <c r="B27" s="7" t="s">
        <v>123</v>
      </c>
      <c r="C27" s="7" t="s">
        <v>220</v>
      </c>
      <c r="D27" s="10" t="s">
        <v>227</v>
      </c>
      <c r="E27" s="213">
        <v>243.48</v>
      </c>
      <c r="F27" s="75"/>
      <c r="G27" s="35" t="s">
        <v>19</v>
      </c>
      <c r="H27" s="36" t="s">
        <v>92</v>
      </c>
      <c r="I27" s="112">
        <f t="shared" si="0"/>
        <v>108.24000000000001</v>
      </c>
      <c r="J27" s="112">
        <f t="shared" si="1"/>
        <v>7.08</v>
      </c>
      <c r="K27" s="112">
        <f t="shared" si="2"/>
        <v>115.32000000000001</v>
      </c>
      <c r="L27" s="112"/>
      <c r="M27" s="75"/>
      <c r="N27" s="67"/>
      <c r="O27" s="112"/>
      <c r="P27" s="75"/>
      <c r="Q27" s="75"/>
      <c r="R27" s="75"/>
      <c r="S27" s="75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10" t="s">
        <v>17</v>
      </c>
      <c r="B28" s="7" t="s">
        <v>88</v>
      </c>
      <c r="C28" s="7" t="s">
        <v>228</v>
      </c>
      <c r="D28" s="10" t="s">
        <v>229</v>
      </c>
      <c r="E28" s="213">
        <v>12.7</v>
      </c>
      <c r="F28" s="75"/>
      <c r="G28" s="35" t="s">
        <v>19</v>
      </c>
      <c r="H28" s="36" t="s">
        <v>101</v>
      </c>
      <c r="I28" s="112">
        <f t="shared" si="0"/>
        <v>8.25</v>
      </c>
      <c r="J28" s="112">
        <f t="shared" si="1"/>
        <v>0</v>
      </c>
      <c r="K28" s="112">
        <f t="shared" si="2"/>
        <v>8.25</v>
      </c>
      <c r="L28" s="112"/>
      <c r="M28" s="75"/>
      <c r="N28" s="67"/>
      <c r="O28" s="112"/>
      <c r="P28" s="75"/>
      <c r="Q28" s="75"/>
      <c r="R28" s="75"/>
      <c r="S28" s="75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10" t="s">
        <v>17</v>
      </c>
      <c r="B29" s="7" t="s">
        <v>88</v>
      </c>
      <c r="C29" s="7" t="s">
        <v>193</v>
      </c>
      <c r="D29" s="10" t="s">
        <v>230</v>
      </c>
      <c r="E29" s="213">
        <v>16.07</v>
      </c>
      <c r="F29" s="75"/>
      <c r="G29" s="35" t="s">
        <v>20</v>
      </c>
      <c r="H29" s="36" t="s">
        <v>103</v>
      </c>
      <c r="I29" s="112">
        <f t="shared" si="0"/>
        <v>242.4</v>
      </c>
      <c r="J29" s="112">
        <f t="shared" si="1"/>
        <v>0</v>
      </c>
      <c r="K29" s="112">
        <f t="shared" si="2"/>
        <v>242.4</v>
      </c>
      <c r="L29" s="112"/>
      <c r="M29" s="75"/>
      <c r="N29" s="67"/>
      <c r="O29" s="112"/>
      <c r="P29" s="75"/>
      <c r="Q29" s="75"/>
      <c r="R29" s="75"/>
      <c r="S29" s="75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10" t="s">
        <v>17</v>
      </c>
      <c r="B30" s="7" t="s">
        <v>88</v>
      </c>
      <c r="C30" s="7" t="s">
        <v>188</v>
      </c>
      <c r="D30" s="10" t="s">
        <v>231</v>
      </c>
      <c r="E30" s="213">
        <v>0.5</v>
      </c>
      <c r="F30" s="75"/>
      <c r="G30" s="35" t="s">
        <v>20</v>
      </c>
      <c r="H30" s="36" t="s">
        <v>104</v>
      </c>
      <c r="I30" s="112">
        <f t="shared" si="0"/>
        <v>0</v>
      </c>
      <c r="J30" s="112">
        <f t="shared" si="1"/>
        <v>219.36</v>
      </c>
      <c r="K30" s="112">
        <f t="shared" si="2"/>
        <v>219.36</v>
      </c>
      <c r="L30" s="112"/>
      <c r="M30" s="75"/>
      <c r="N30" s="67"/>
      <c r="O30" s="112"/>
      <c r="P30" s="75"/>
      <c r="Q30" s="75"/>
      <c r="R30" s="75"/>
      <c r="S30" s="75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10" t="s">
        <v>24</v>
      </c>
      <c r="B31" s="7" t="s">
        <v>88</v>
      </c>
      <c r="C31" s="7" t="s">
        <v>215</v>
      </c>
      <c r="D31" s="10" t="s">
        <v>232</v>
      </c>
      <c r="E31" s="213">
        <v>63.55</v>
      </c>
      <c r="F31" s="7"/>
      <c r="G31" s="35" t="s">
        <v>20</v>
      </c>
      <c r="H31" s="36" t="s">
        <v>105</v>
      </c>
      <c r="I31" s="112">
        <f t="shared" si="0"/>
        <v>7.8300000000000125</v>
      </c>
      <c r="J31" s="112">
        <f t="shared" si="1"/>
        <v>235.5</v>
      </c>
      <c r="K31" s="112">
        <f t="shared" si="2"/>
        <v>243.33</v>
      </c>
      <c r="L31" s="112"/>
      <c r="M31" s="75"/>
      <c r="N31" s="10"/>
      <c r="O31" s="113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>
      <c r="A32" s="10" t="s">
        <v>24</v>
      </c>
      <c r="B32" s="7" t="s">
        <v>88</v>
      </c>
      <c r="C32" s="7" t="s">
        <v>198</v>
      </c>
      <c r="D32" s="10" t="s">
        <v>233</v>
      </c>
      <c r="E32" s="213">
        <v>116.07</v>
      </c>
      <c r="F32" s="7"/>
      <c r="G32" s="35" t="s">
        <v>20</v>
      </c>
      <c r="H32" s="36" t="s">
        <v>106</v>
      </c>
      <c r="I32" s="112">
        <f t="shared" si="0"/>
        <v>248.12</v>
      </c>
      <c r="J32" s="112">
        <f t="shared" si="1"/>
        <v>0</v>
      </c>
      <c r="K32" s="112">
        <f t="shared" si="2"/>
        <v>248.12</v>
      </c>
      <c r="L32" s="112"/>
      <c r="M32" s="75"/>
      <c r="N32" s="10"/>
      <c r="O32" s="113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>
      <c r="A33" s="10" t="s">
        <v>24</v>
      </c>
      <c r="B33" s="7" t="s">
        <v>88</v>
      </c>
      <c r="C33" s="7" t="s">
        <v>220</v>
      </c>
      <c r="D33" s="10" t="s">
        <v>234</v>
      </c>
      <c r="E33" s="213">
        <v>1.35</v>
      </c>
      <c r="F33" s="7"/>
      <c r="G33" s="35" t="s">
        <v>20</v>
      </c>
      <c r="H33" s="36" t="s">
        <v>107</v>
      </c>
      <c r="I33" s="112">
        <f t="shared" si="0"/>
        <v>8</v>
      </c>
      <c r="J33" s="112">
        <f t="shared" si="1"/>
        <v>0</v>
      </c>
      <c r="K33" s="112">
        <f t="shared" si="2"/>
        <v>8</v>
      </c>
      <c r="L33" s="112"/>
      <c r="M33" s="75"/>
      <c r="N33" s="10"/>
      <c r="O33" s="113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>
      <c r="A34" s="10" t="s">
        <v>21</v>
      </c>
      <c r="B34" s="7" t="s">
        <v>88</v>
      </c>
      <c r="C34" s="7" t="s">
        <v>191</v>
      </c>
      <c r="D34" s="10" t="s">
        <v>235</v>
      </c>
      <c r="E34" s="213">
        <v>42.37</v>
      </c>
      <c r="F34" s="7"/>
      <c r="G34" s="35" t="s">
        <v>20</v>
      </c>
      <c r="H34" s="36" t="s">
        <v>108</v>
      </c>
      <c r="I34" s="112">
        <f t="shared" ref="I34:I65" si="3">SUMIFS(E:E, B:B, H34, A:A, G34) - J34</f>
        <v>249.35999999999999</v>
      </c>
      <c r="J34" s="112">
        <f t="shared" ref="J34:J65" si="4">SUMIFS(E:E, B:B, H34, C:C, "*đêm*", A:A, G34)</f>
        <v>8.58</v>
      </c>
      <c r="K34" s="112">
        <f t="shared" ref="K34:K65" si="5">I34+J34</f>
        <v>257.94</v>
      </c>
      <c r="L34" s="112"/>
      <c r="M34" s="75"/>
      <c r="N34" s="10"/>
      <c r="O34" s="113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>
      <c r="A35" s="10" t="s">
        <v>15</v>
      </c>
      <c r="B35" s="7" t="s">
        <v>88</v>
      </c>
      <c r="C35" s="7" t="s">
        <v>193</v>
      </c>
      <c r="D35" s="10" t="s">
        <v>236</v>
      </c>
      <c r="E35" s="213">
        <v>7.5</v>
      </c>
      <c r="F35" s="7"/>
      <c r="G35" s="35" t="s">
        <v>21</v>
      </c>
      <c r="H35" s="36" t="s">
        <v>109</v>
      </c>
      <c r="I35" s="112">
        <f t="shared" si="3"/>
        <v>15.68</v>
      </c>
      <c r="J35" s="112">
        <f t="shared" si="4"/>
        <v>0</v>
      </c>
      <c r="K35" s="112">
        <f t="shared" si="5"/>
        <v>15.68</v>
      </c>
      <c r="L35" s="112"/>
      <c r="M35" s="75"/>
      <c r="N35" s="10"/>
      <c r="O35" s="113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>
      <c r="A36" s="10" t="s">
        <v>18</v>
      </c>
      <c r="B36" s="7" t="s">
        <v>91</v>
      </c>
      <c r="C36" s="7" t="s">
        <v>215</v>
      </c>
      <c r="D36" s="10" t="s">
        <v>237</v>
      </c>
      <c r="E36" s="213">
        <v>139.52000000000001</v>
      </c>
      <c r="F36" s="7"/>
      <c r="G36" s="35" t="s">
        <v>21</v>
      </c>
      <c r="H36" s="36" t="s">
        <v>110</v>
      </c>
      <c r="I36" s="112">
        <f t="shared" si="3"/>
        <v>339.66000000000008</v>
      </c>
      <c r="J36" s="112">
        <f t="shared" si="4"/>
        <v>42.22</v>
      </c>
      <c r="K36" s="112">
        <f t="shared" si="5"/>
        <v>381.88000000000011</v>
      </c>
      <c r="L36" s="112"/>
      <c r="M36" s="75"/>
      <c r="N36" s="10"/>
      <c r="O36" s="113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>
      <c r="A37" s="10" t="s">
        <v>18</v>
      </c>
      <c r="B37" s="7" t="s">
        <v>91</v>
      </c>
      <c r="C37" s="7" t="s">
        <v>228</v>
      </c>
      <c r="D37" s="10" t="s">
        <v>238</v>
      </c>
      <c r="E37" s="213">
        <v>16.27</v>
      </c>
      <c r="F37" s="7"/>
      <c r="G37" s="35" t="s">
        <v>21</v>
      </c>
      <c r="H37" s="36" t="s">
        <v>111</v>
      </c>
      <c r="I37" s="112">
        <f t="shared" si="3"/>
        <v>40.729999999999961</v>
      </c>
      <c r="J37" s="112">
        <f t="shared" si="4"/>
        <v>228.5</v>
      </c>
      <c r="K37" s="112">
        <f t="shared" si="5"/>
        <v>269.22999999999996</v>
      </c>
      <c r="L37" s="112"/>
      <c r="M37" s="75"/>
      <c r="N37" s="10"/>
      <c r="O37" s="113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>
      <c r="A38" s="10" t="s">
        <v>18</v>
      </c>
      <c r="B38" s="7" t="s">
        <v>91</v>
      </c>
      <c r="C38" s="7" t="s">
        <v>198</v>
      </c>
      <c r="D38" s="10" t="s">
        <v>239</v>
      </c>
      <c r="E38" s="213">
        <v>8.07</v>
      </c>
      <c r="F38" s="7"/>
      <c r="G38" s="35" t="s">
        <v>21</v>
      </c>
      <c r="H38" s="44" t="s">
        <v>112</v>
      </c>
      <c r="I38" s="112">
        <f t="shared" si="3"/>
        <v>12.589999999999975</v>
      </c>
      <c r="J38" s="112">
        <f t="shared" si="4"/>
        <v>258.7</v>
      </c>
      <c r="K38" s="112">
        <f t="shared" si="5"/>
        <v>271.28999999999996</v>
      </c>
      <c r="L38" s="112"/>
      <c r="M38" s="75"/>
      <c r="N38" s="10"/>
      <c r="O38" s="113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>
      <c r="A39" s="10" t="s">
        <v>18</v>
      </c>
      <c r="B39" s="7" t="s">
        <v>91</v>
      </c>
      <c r="C39" s="7" t="s">
        <v>240</v>
      </c>
      <c r="D39" s="10" t="s">
        <v>241</v>
      </c>
      <c r="E39" s="213">
        <v>33.630000000000003</v>
      </c>
      <c r="F39" s="7"/>
      <c r="G39" s="35" t="s">
        <v>21</v>
      </c>
      <c r="H39" s="44" t="s">
        <v>88</v>
      </c>
      <c r="I39" s="112">
        <f t="shared" si="3"/>
        <v>42.37</v>
      </c>
      <c r="J39" s="112">
        <f t="shared" si="4"/>
        <v>0</v>
      </c>
      <c r="K39" s="112">
        <f t="shared" si="5"/>
        <v>42.37</v>
      </c>
      <c r="L39" s="112"/>
      <c r="M39" s="75"/>
      <c r="N39" s="10"/>
      <c r="O39" s="113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>
      <c r="A40" s="10" t="s">
        <v>18</v>
      </c>
      <c r="B40" s="7" t="s">
        <v>91</v>
      </c>
      <c r="C40" s="7" t="s">
        <v>242</v>
      </c>
      <c r="D40" s="10" t="s">
        <v>243</v>
      </c>
      <c r="E40" s="213">
        <v>49.040000000000013</v>
      </c>
      <c r="F40" s="7"/>
      <c r="G40" s="35" t="s">
        <v>21</v>
      </c>
      <c r="H40" s="36" t="s">
        <v>113</v>
      </c>
      <c r="I40" s="112">
        <f t="shared" si="3"/>
        <v>100.03</v>
      </c>
      <c r="J40" s="112">
        <f t="shared" si="4"/>
        <v>15.9</v>
      </c>
      <c r="K40" s="112">
        <f t="shared" si="5"/>
        <v>115.93</v>
      </c>
      <c r="L40" s="112"/>
      <c r="M40" s="75"/>
      <c r="N40" s="10"/>
      <c r="O40" s="113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>
      <c r="A41" s="10" t="s">
        <v>18</v>
      </c>
      <c r="B41" s="7" t="s">
        <v>78</v>
      </c>
      <c r="C41" s="7" t="s">
        <v>242</v>
      </c>
      <c r="D41" s="10" t="s">
        <v>244</v>
      </c>
      <c r="E41" s="213">
        <v>46.45</v>
      </c>
      <c r="F41" s="7"/>
      <c r="G41" s="35" t="s">
        <v>21</v>
      </c>
      <c r="H41" s="36" t="s">
        <v>92</v>
      </c>
      <c r="I41" s="112">
        <f t="shared" si="3"/>
        <v>11.42</v>
      </c>
      <c r="J41" s="112">
        <f t="shared" si="4"/>
        <v>0</v>
      </c>
      <c r="K41" s="112">
        <f t="shared" si="5"/>
        <v>11.42</v>
      </c>
      <c r="L41" s="112"/>
      <c r="M41" s="75"/>
      <c r="N41" s="10"/>
      <c r="O41" s="113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>
      <c r="A42" s="10" t="s">
        <v>15</v>
      </c>
      <c r="B42" s="7" t="s">
        <v>78</v>
      </c>
      <c r="C42" s="7" t="s">
        <v>245</v>
      </c>
      <c r="D42" s="10" t="s">
        <v>246</v>
      </c>
      <c r="E42" s="213">
        <v>0.38</v>
      </c>
      <c r="F42" s="7"/>
      <c r="G42" s="35" t="s">
        <v>21</v>
      </c>
      <c r="H42" s="36" t="s">
        <v>114</v>
      </c>
      <c r="I42" s="112">
        <f t="shared" si="3"/>
        <v>56.78</v>
      </c>
      <c r="J42" s="112">
        <f t="shared" si="4"/>
        <v>0</v>
      </c>
      <c r="K42" s="112">
        <f t="shared" si="5"/>
        <v>56.78</v>
      </c>
      <c r="L42" s="112"/>
      <c r="M42" s="75"/>
      <c r="N42" s="10"/>
      <c r="O42" s="113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>
      <c r="A43" s="10" t="s">
        <v>15</v>
      </c>
      <c r="B43" s="7" t="s">
        <v>78</v>
      </c>
      <c r="C43" s="7" t="s">
        <v>247</v>
      </c>
      <c r="D43" s="10" t="s">
        <v>248</v>
      </c>
      <c r="E43" s="213">
        <v>164.21</v>
      </c>
      <c r="F43" s="7"/>
      <c r="G43" s="35" t="s">
        <v>21</v>
      </c>
      <c r="H43" s="36" t="s">
        <v>115</v>
      </c>
      <c r="I43" s="112">
        <f t="shared" si="3"/>
        <v>121.39</v>
      </c>
      <c r="J43" s="112">
        <f t="shared" si="4"/>
        <v>0</v>
      </c>
      <c r="K43" s="112">
        <f t="shared" si="5"/>
        <v>121.39</v>
      </c>
      <c r="L43" s="112"/>
      <c r="M43" s="75"/>
      <c r="N43" s="10"/>
      <c r="O43" s="113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>
      <c r="A44" s="10" t="s">
        <v>18</v>
      </c>
      <c r="B44" s="7" t="s">
        <v>92</v>
      </c>
      <c r="C44" s="7" t="s">
        <v>249</v>
      </c>
      <c r="D44" s="10" t="s">
        <v>250</v>
      </c>
      <c r="E44" s="213">
        <v>6.05</v>
      </c>
      <c r="F44" s="7"/>
      <c r="G44" s="35" t="s">
        <v>22</v>
      </c>
      <c r="H44" s="36" t="s">
        <v>116</v>
      </c>
      <c r="I44" s="112">
        <f t="shared" si="3"/>
        <v>187.86</v>
      </c>
      <c r="J44" s="112">
        <f t="shared" si="4"/>
        <v>0</v>
      </c>
      <c r="K44" s="112">
        <f t="shared" si="5"/>
        <v>187.86</v>
      </c>
      <c r="L44" s="112"/>
      <c r="M44" s="75"/>
      <c r="N44" s="10"/>
      <c r="O44" s="113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>
      <c r="A45" s="10" t="s">
        <v>18</v>
      </c>
      <c r="B45" s="7" t="s">
        <v>92</v>
      </c>
      <c r="C45" s="7" t="s">
        <v>215</v>
      </c>
      <c r="D45" s="10" t="s">
        <v>251</v>
      </c>
      <c r="E45" s="213">
        <v>16.25</v>
      </c>
      <c r="F45" s="7"/>
      <c r="G45" s="35" t="s">
        <v>22</v>
      </c>
      <c r="H45" s="7" t="s">
        <v>117</v>
      </c>
      <c r="I45" s="112">
        <f t="shared" si="3"/>
        <v>8.9300000000000068</v>
      </c>
      <c r="J45" s="112">
        <f t="shared" si="4"/>
        <v>205.99</v>
      </c>
      <c r="K45" s="112">
        <f t="shared" si="5"/>
        <v>214.92000000000002</v>
      </c>
      <c r="L45" s="112"/>
      <c r="M45" s="75"/>
      <c r="N45" s="10"/>
      <c r="O45" s="113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>
      <c r="A46" s="10" t="s">
        <v>18</v>
      </c>
      <c r="B46" s="7" t="s">
        <v>92</v>
      </c>
      <c r="C46" s="7" t="s">
        <v>198</v>
      </c>
      <c r="D46" s="10" t="s">
        <v>252</v>
      </c>
      <c r="E46" s="213">
        <v>15.7</v>
      </c>
      <c r="F46" s="7"/>
      <c r="G46" s="35" t="s">
        <v>22</v>
      </c>
      <c r="H46" s="7" t="s">
        <v>118</v>
      </c>
      <c r="I46" s="112">
        <f t="shared" si="3"/>
        <v>76.739999999999981</v>
      </c>
      <c r="J46" s="112">
        <f t="shared" si="4"/>
        <v>214.29</v>
      </c>
      <c r="K46" s="112">
        <f t="shared" si="5"/>
        <v>291.02999999999997</v>
      </c>
      <c r="L46" s="112"/>
      <c r="M46" s="75"/>
      <c r="N46" s="10"/>
      <c r="O46" s="113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>
      <c r="A47" s="10" t="s">
        <v>18</v>
      </c>
      <c r="B47" s="7" t="s">
        <v>92</v>
      </c>
      <c r="C47" s="7" t="s">
        <v>240</v>
      </c>
      <c r="D47" s="10" t="s">
        <v>253</v>
      </c>
      <c r="E47" s="213">
        <v>15.75</v>
      </c>
      <c r="F47" s="7"/>
      <c r="G47" s="35" t="s">
        <v>22</v>
      </c>
      <c r="H47" s="7" t="s">
        <v>119</v>
      </c>
      <c r="I47" s="112">
        <f t="shared" si="3"/>
        <v>216.52</v>
      </c>
      <c r="J47" s="112">
        <f t="shared" si="4"/>
        <v>0</v>
      </c>
      <c r="K47" s="112">
        <f t="shared" si="5"/>
        <v>216.52</v>
      </c>
      <c r="L47" s="112"/>
      <c r="M47" s="75"/>
      <c r="N47" s="10"/>
      <c r="O47" s="113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>
      <c r="A48" s="10" t="s">
        <v>18</v>
      </c>
      <c r="B48" s="7" t="s">
        <v>92</v>
      </c>
      <c r="C48" s="7" t="s">
        <v>242</v>
      </c>
      <c r="D48" s="10" t="s">
        <v>254</v>
      </c>
      <c r="E48" s="213">
        <v>185.25</v>
      </c>
      <c r="F48" s="7"/>
      <c r="G48" s="35" t="s">
        <v>23</v>
      </c>
      <c r="H48" s="7" t="s">
        <v>109</v>
      </c>
      <c r="I48" s="112">
        <f t="shared" si="3"/>
        <v>258.01</v>
      </c>
      <c r="J48" s="112">
        <f t="shared" si="4"/>
        <v>4.3099999999999996</v>
      </c>
      <c r="K48" s="112">
        <f t="shared" si="5"/>
        <v>262.32</v>
      </c>
      <c r="L48" s="112"/>
      <c r="M48" s="75"/>
      <c r="N48" s="10"/>
      <c r="O48" s="113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>
      <c r="A49" s="10" t="s">
        <v>19</v>
      </c>
      <c r="B49" s="7" t="s">
        <v>92</v>
      </c>
      <c r="C49" s="7" t="s">
        <v>255</v>
      </c>
      <c r="D49" s="10" t="s">
        <v>256</v>
      </c>
      <c r="E49" s="213">
        <v>54.54</v>
      </c>
      <c r="F49" s="7"/>
      <c r="G49" s="35" t="s">
        <v>23</v>
      </c>
      <c r="H49" s="7" t="s">
        <v>120</v>
      </c>
      <c r="I49" s="112">
        <f t="shared" si="3"/>
        <v>8.960000000000008</v>
      </c>
      <c r="J49" s="112">
        <f t="shared" si="4"/>
        <v>206.47</v>
      </c>
      <c r="K49" s="112">
        <f t="shared" si="5"/>
        <v>215.43</v>
      </c>
      <c r="L49" s="112"/>
      <c r="M49" s="75"/>
      <c r="N49" s="10"/>
      <c r="O49" s="113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>
      <c r="A50" s="10" t="s">
        <v>19</v>
      </c>
      <c r="B50" s="7" t="s">
        <v>92</v>
      </c>
      <c r="C50" s="7" t="s">
        <v>257</v>
      </c>
      <c r="D50" s="10" t="s">
        <v>258</v>
      </c>
      <c r="E50" s="213">
        <v>27.55</v>
      </c>
      <c r="F50" s="7"/>
      <c r="G50" s="35" t="s">
        <v>23</v>
      </c>
      <c r="H50" s="7" t="s">
        <v>121</v>
      </c>
      <c r="I50" s="112">
        <f t="shared" si="3"/>
        <v>1.9000000000000057</v>
      </c>
      <c r="J50" s="112">
        <f t="shared" si="4"/>
        <v>202.37</v>
      </c>
      <c r="K50" s="112">
        <f t="shared" si="5"/>
        <v>204.27</v>
      </c>
      <c r="L50" s="112"/>
      <c r="M50" s="75"/>
      <c r="N50" s="10"/>
      <c r="O50" s="113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>
      <c r="A51" s="10" t="s">
        <v>19</v>
      </c>
      <c r="B51" s="7" t="s">
        <v>92</v>
      </c>
      <c r="C51" s="7" t="s">
        <v>259</v>
      </c>
      <c r="D51" s="10" t="s">
        <v>260</v>
      </c>
      <c r="E51" s="213">
        <v>26.15</v>
      </c>
      <c r="F51" s="7"/>
      <c r="G51" s="35" t="s">
        <v>23</v>
      </c>
      <c r="H51" s="7" t="s">
        <v>107</v>
      </c>
      <c r="I51" s="112">
        <f t="shared" si="3"/>
        <v>169.60999999999996</v>
      </c>
      <c r="J51" s="112">
        <f t="shared" si="4"/>
        <v>56.179999999999993</v>
      </c>
      <c r="K51" s="112">
        <f t="shared" si="5"/>
        <v>225.78999999999996</v>
      </c>
      <c r="L51" s="112"/>
      <c r="M51" s="75"/>
      <c r="N51" s="10"/>
      <c r="O51" s="113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>
      <c r="A52" s="10" t="s">
        <v>19</v>
      </c>
      <c r="B52" s="7" t="s">
        <v>92</v>
      </c>
      <c r="C52" s="7" t="s">
        <v>261</v>
      </c>
      <c r="D52" s="10" t="s">
        <v>262</v>
      </c>
      <c r="E52" s="213">
        <v>7.08</v>
      </c>
      <c r="F52" s="7"/>
      <c r="G52" s="35" t="s">
        <v>23</v>
      </c>
      <c r="H52" s="114" t="s">
        <v>92</v>
      </c>
      <c r="I52" s="112">
        <f t="shared" si="3"/>
        <v>32.700000000000003</v>
      </c>
      <c r="J52" s="112">
        <f t="shared" si="4"/>
        <v>0</v>
      </c>
      <c r="K52" s="112">
        <f t="shared" si="5"/>
        <v>32.700000000000003</v>
      </c>
      <c r="L52" s="112"/>
      <c r="M52" s="75"/>
      <c r="N52" s="10"/>
      <c r="O52" s="113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>
      <c r="A53" s="10" t="s">
        <v>21</v>
      </c>
      <c r="B53" s="7" t="s">
        <v>92</v>
      </c>
      <c r="C53" s="7" t="s">
        <v>263</v>
      </c>
      <c r="D53" s="10" t="s">
        <v>264</v>
      </c>
      <c r="E53" s="213">
        <v>5.97</v>
      </c>
      <c r="F53" s="7"/>
      <c r="G53" s="35" t="s">
        <v>23</v>
      </c>
      <c r="H53" s="114" t="s">
        <v>122</v>
      </c>
      <c r="I53" s="112">
        <f t="shared" si="3"/>
        <v>251.72</v>
      </c>
      <c r="J53" s="112">
        <f t="shared" si="4"/>
        <v>10.23</v>
      </c>
      <c r="K53" s="112">
        <f t="shared" si="5"/>
        <v>261.95</v>
      </c>
      <c r="L53" s="112"/>
      <c r="M53" s="75"/>
      <c r="N53" s="10"/>
      <c r="O53" s="113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>
      <c r="A54" s="10" t="s">
        <v>21</v>
      </c>
      <c r="B54" s="7" t="s">
        <v>92</v>
      </c>
      <c r="C54" s="7" t="s">
        <v>265</v>
      </c>
      <c r="D54" s="10" t="s">
        <v>266</v>
      </c>
      <c r="E54" s="213">
        <v>5.45</v>
      </c>
      <c r="F54" s="7"/>
      <c r="G54" s="35" t="s">
        <v>24</v>
      </c>
      <c r="H54" s="7" t="s">
        <v>72</v>
      </c>
      <c r="I54" s="112">
        <f t="shared" si="3"/>
        <v>272.06</v>
      </c>
      <c r="J54" s="112">
        <f t="shared" si="4"/>
        <v>6.88</v>
      </c>
      <c r="K54" s="112">
        <f t="shared" si="5"/>
        <v>278.94</v>
      </c>
      <c r="L54" s="112"/>
      <c r="M54" s="75"/>
      <c r="N54" s="10"/>
      <c r="O54" s="113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>
      <c r="A55" s="10" t="s">
        <v>22</v>
      </c>
      <c r="B55" s="7" t="s">
        <v>92</v>
      </c>
      <c r="C55" s="7" t="s">
        <v>267</v>
      </c>
      <c r="D55" s="10" t="s">
        <v>262</v>
      </c>
      <c r="E55" s="213">
        <v>7.08</v>
      </c>
      <c r="F55" s="7"/>
      <c r="G55" s="35" t="s">
        <v>24</v>
      </c>
      <c r="H55" s="7" t="s">
        <v>74</v>
      </c>
      <c r="I55" s="112">
        <f t="shared" si="3"/>
        <v>10</v>
      </c>
      <c r="J55" s="112">
        <f t="shared" si="4"/>
        <v>0</v>
      </c>
      <c r="K55" s="112">
        <f t="shared" si="5"/>
        <v>10</v>
      </c>
      <c r="L55" s="112"/>
      <c r="M55" s="75"/>
      <c r="N55" s="10"/>
      <c r="O55" s="113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>
      <c r="A56" s="10" t="s">
        <v>23</v>
      </c>
      <c r="B56" s="7" t="s">
        <v>92</v>
      </c>
      <c r="C56" s="7" t="s">
        <v>200</v>
      </c>
      <c r="D56" s="10" t="s">
        <v>268</v>
      </c>
      <c r="E56" s="213">
        <v>16.72</v>
      </c>
      <c r="F56" s="7"/>
      <c r="G56" s="35" t="s">
        <v>24</v>
      </c>
      <c r="H56" s="7" t="s">
        <v>123</v>
      </c>
      <c r="I56" s="112">
        <f t="shared" si="3"/>
        <v>16.390000000000015</v>
      </c>
      <c r="J56" s="112">
        <f t="shared" si="4"/>
        <v>243.48</v>
      </c>
      <c r="K56" s="112">
        <f t="shared" si="5"/>
        <v>259.87</v>
      </c>
      <c r="L56" s="112"/>
      <c r="M56" s="75"/>
      <c r="N56" s="10"/>
      <c r="O56" s="113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>
      <c r="A57" s="10" t="s">
        <v>23</v>
      </c>
      <c r="B57" s="7" t="s">
        <v>92</v>
      </c>
      <c r="C57" s="7" t="s">
        <v>204</v>
      </c>
      <c r="D57" s="10" t="s">
        <v>269</v>
      </c>
      <c r="E57" s="213">
        <v>15.98</v>
      </c>
      <c r="F57" s="7"/>
      <c r="G57" s="35" t="s">
        <v>24</v>
      </c>
      <c r="H57" s="7" t="s">
        <v>124</v>
      </c>
      <c r="I57" s="112">
        <f t="shared" si="3"/>
        <v>4.1699999999999875</v>
      </c>
      <c r="J57" s="112">
        <f t="shared" si="4"/>
        <v>217.89</v>
      </c>
      <c r="K57" s="112">
        <f t="shared" si="5"/>
        <v>222.05999999999997</v>
      </c>
      <c r="L57" s="112"/>
      <c r="M57" s="75"/>
      <c r="N57" s="10"/>
      <c r="O57" s="113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>
      <c r="A58" s="10" t="s">
        <v>18</v>
      </c>
      <c r="B58" s="7" t="s">
        <v>93</v>
      </c>
      <c r="C58" s="7" t="s">
        <v>249</v>
      </c>
      <c r="D58" s="10" t="s">
        <v>270</v>
      </c>
      <c r="E58" s="213">
        <v>30.05</v>
      </c>
      <c r="F58" s="7"/>
      <c r="G58" s="35" t="s">
        <v>24</v>
      </c>
      <c r="H58" s="7" t="s">
        <v>88</v>
      </c>
      <c r="I58" s="112">
        <f t="shared" si="3"/>
        <v>179.62</v>
      </c>
      <c r="J58" s="112">
        <f t="shared" si="4"/>
        <v>1.35</v>
      </c>
      <c r="K58" s="112">
        <f t="shared" si="5"/>
        <v>180.97</v>
      </c>
      <c r="L58" s="112"/>
      <c r="M58" s="75"/>
      <c r="N58" s="10"/>
      <c r="O58" s="113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>
      <c r="A59" s="10" t="s">
        <v>18</v>
      </c>
      <c r="B59" s="7" t="s">
        <v>93</v>
      </c>
      <c r="C59" s="7" t="s">
        <v>215</v>
      </c>
      <c r="D59" s="10" t="s">
        <v>271</v>
      </c>
      <c r="E59" s="213">
        <v>71.010000000000005</v>
      </c>
      <c r="F59" s="7"/>
      <c r="G59" s="10" t="s">
        <v>24</v>
      </c>
      <c r="H59" s="114" t="s">
        <v>100</v>
      </c>
      <c r="I59" s="112">
        <f t="shared" si="3"/>
        <v>11.25</v>
      </c>
      <c r="J59" s="112">
        <f t="shared" si="4"/>
        <v>0</v>
      </c>
      <c r="K59" s="112">
        <f t="shared" si="5"/>
        <v>11.25</v>
      </c>
      <c r="L59" s="112"/>
      <c r="M59" s="75"/>
      <c r="N59" s="10"/>
      <c r="O59" s="113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>
      <c r="A60" s="10" t="s">
        <v>18</v>
      </c>
      <c r="B60" s="7" t="s">
        <v>93</v>
      </c>
      <c r="C60" s="7" t="s">
        <v>228</v>
      </c>
      <c r="D60" s="10" t="s">
        <v>272</v>
      </c>
      <c r="E60" s="213">
        <v>11</v>
      </c>
      <c r="F60" s="7"/>
      <c r="G60" s="10" t="s">
        <v>24</v>
      </c>
      <c r="H60" s="7" t="s">
        <v>82</v>
      </c>
      <c r="I60" s="112">
        <f t="shared" si="3"/>
        <v>8.6199999999999992</v>
      </c>
      <c r="J60" s="112">
        <f t="shared" si="4"/>
        <v>0</v>
      </c>
      <c r="K60" s="112">
        <f t="shared" si="5"/>
        <v>8.6199999999999992</v>
      </c>
      <c r="L60" s="112"/>
      <c r="M60" s="75"/>
      <c r="N60" s="10"/>
      <c r="O60" s="113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>
      <c r="A61" s="10" t="s">
        <v>18</v>
      </c>
      <c r="B61" s="7" t="s">
        <v>93</v>
      </c>
      <c r="C61" s="7" t="s">
        <v>198</v>
      </c>
      <c r="D61" s="10" t="s">
        <v>273</v>
      </c>
      <c r="E61" s="213">
        <v>129.97999999999999</v>
      </c>
      <c r="F61" s="7"/>
      <c r="G61" s="10" t="s">
        <v>24</v>
      </c>
      <c r="H61" s="7" t="s">
        <v>125</v>
      </c>
      <c r="I61" s="112">
        <f t="shared" si="3"/>
        <v>223.6</v>
      </c>
      <c r="J61" s="112">
        <f t="shared" si="4"/>
        <v>16.95</v>
      </c>
      <c r="K61" s="112">
        <f t="shared" si="5"/>
        <v>240.54999999999998</v>
      </c>
      <c r="L61" s="112"/>
      <c r="M61" s="75"/>
      <c r="N61" s="10"/>
      <c r="O61" s="113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>
      <c r="A62" s="10" t="s">
        <v>18</v>
      </c>
      <c r="B62" s="7" t="s">
        <v>93</v>
      </c>
      <c r="C62" s="7" t="s">
        <v>240</v>
      </c>
      <c r="D62" s="10" t="s">
        <v>274</v>
      </c>
      <c r="E62" s="213">
        <v>23</v>
      </c>
      <c r="F62" s="7"/>
      <c r="G62" s="10" t="s">
        <v>25</v>
      </c>
      <c r="H62" s="114" t="s">
        <v>126</v>
      </c>
      <c r="I62" s="112">
        <f t="shared" si="3"/>
        <v>165.92000000000002</v>
      </c>
      <c r="J62" s="112">
        <f t="shared" si="4"/>
        <v>47.16</v>
      </c>
      <c r="K62" s="112">
        <f t="shared" si="5"/>
        <v>213.08</v>
      </c>
      <c r="L62" s="112"/>
      <c r="M62" s="75"/>
      <c r="N62" s="10"/>
      <c r="O62" s="113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>
      <c r="A63" s="10" t="s">
        <v>18</v>
      </c>
      <c r="B63" s="7" t="s">
        <v>93</v>
      </c>
      <c r="C63" s="7" t="s">
        <v>242</v>
      </c>
      <c r="D63" s="10" t="s">
        <v>275</v>
      </c>
      <c r="E63" s="213">
        <v>55.74</v>
      </c>
      <c r="F63" s="7"/>
      <c r="G63" s="10" t="s">
        <v>25</v>
      </c>
      <c r="H63" s="7" t="s">
        <v>127</v>
      </c>
      <c r="I63" s="112">
        <f t="shared" si="3"/>
        <v>0</v>
      </c>
      <c r="J63" s="112">
        <f t="shared" si="4"/>
        <v>247.77</v>
      </c>
      <c r="K63" s="112">
        <f t="shared" si="5"/>
        <v>247.77</v>
      </c>
      <c r="L63" s="112"/>
      <c r="M63" s="75"/>
      <c r="N63" s="10"/>
      <c r="O63" s="113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>
      <c r="A64" s="10" t="s">
        <v>18</v>
      </c>
      <c r="B64" s="7" t="s">
        <v>94</v>
      </c>
      <c r="C64" s="7" t="s">
        <v>215</v>
      </c>
      <c r="D64" s="10" t="s">
        <v>276</v>
      </c>
      <c r="E64" s="213">
        <v>104.67</v>
      </c>
      <c r="F64" s="7"/>
      <c r="G64" s="10" t="s">
        <v>25</v>
      </c>
      <c r="H64" s="7" t="s">
        <v>128</v>
      </c>
      <c r="I64" s="112">
        <f t="shared" si="3"/>
        <v>211.41000000000011</v>
      </c>
      <c r="J64" s="112">
        <f t="shared" si="4"/>
        <v>77.34</v>
      </c>
      <c r="K64" s="112">
        <f t="shared" si="5"/>
        <v>288.75000000000011</v>
      </c>
      <c r="L64" s="112"/>
      <c r="M64" s="75"/>
      <c r="N64" s="10"/>
      <c r="O64" s="113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>
      <c r="A65" s="10" t="s">
        <v>18</v>
      </c>
      <c r="B65" s="7" t="s">
        <v>94</v>
      </c>
      <c r="C65" s="7" t="s">
        <v>198</v>
      </c>
      <c r="D65" s="10" t="s">
        <v>277</v>
      </c>
      <c r="E65" s="213">
        <v>88.24</v>
      </c>
      <c r="F65" s="7"/>
      <c r="G65" s="10" t="s">
        <v>25</v>
      </c>
      <c r="H65" s="7" t="s">
        <v>129</v>
      </c>
      <c r="I65" s="112">
        <f t="shared" si="3"/>
        <v>112.18</v>
      </c>
      <c r="J65" s="112">
        <f t="shared" si="4"/>
        <v>176.26</v>
      </c>
      <c r="K65" s="112">
        <f t="shared" si="5"/>
        <v>288.44</v>
      </c>
      <c r="L65" s="112"/>
      <c r="M65" s="75"/>
      <c r="N65" s="10"/>
      <c r="O65" s="113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>
      <c r="A66" s="10" t="s">
        <v>18</v>
      </c>
      <c r="B66" s="7" t="s">
        <v>94</v>
      </c>
      <c r="C66" s="7" t="s">
        <v>240</v>
      </c>
      <c r="D66" s="10" t="s">
        <v>278</v>
      </c>
      <c r="E66" s="213">
        <v>6.02</v>
      </c>
      <c r="F66" s="7"/>
      <c r="G66" s="10" t="s">
        <v>25</v>
      </c>
      <c r="H66" s="7" t="s">
        <v>130</v>
      </c>
      <c r="I66" s="112">
        <f t="shared" ref="I66:I97" si="6">SUMIFS(E:E, B:B, H66, A:A, G66) - J66</f>
        <v>211.68</v>
      </c>
      <c r="J66" s="112">
        <f t="shared" ref="J66:J71" si="7">SUMIFS(E:E, B:B, H66, C:C, "*đêm*", A:A, G66)</f>
        <v>41.129999999999995</v>
      </c>
      <c r="K66" s="112">
        <f t="shared" ref="K66:K97" si="8">I66+J66</f>
        <v>252.81</v>
      </c>
      <c r="L66" s="112"/>
      <c r="M66" s="75"/>
      <c r="N66" s="10"/>
      <c r="O66" s="113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>
      <c r="A67" s="10" t="s">
        <v>18</v>
      </c>
      <c r="B67" s="7" t="s">
        <v>94</v>
      </c>
      <c r="C67" s="7" t="s">
        <v>242</v>
      </c>
      <c r="D67" s="10" t="s">
        <v>279</v>
      </c>
      <c r="E67" s="213">
        <v>32.22</v>
      </c>
      <c r="F67" s="7"/>
      <c r="G67" s="35" t="s">
        <v>26</v>
      </c>
      <c r="H67" s="36" t="s">
        <v>131</v>
      </c>
      <c r="I67" s="112">
        <f t="shared" si="6"/>
        <v>241.85000000000005</v>
      </c>
      <c r="J67" s="112">
        <f t="shared" si="7"/>
        <v>12.98</v>
      </c>
      <c r="K67" s="112">
        <f t="shared" si="8"/>
        <v>254.83000000000004</v>
      </c>
      <c r="L67" s="112"/>
      <c r="M67" s="75"/>
      <c r="N67" s="10"/>
      <c r="O67" s="113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>
      <c r="A68" s="10" t="s">
        <v>19</v>
      </c>
      <c r="B68" s="7" t="s">
        <v>101</v>
      </c>
      <c r="C68" s="7" t="s">
        <v>222</v>
      </c>
      <c r="D68" s="10" t="s">
        <v>280</v>
      </c>
      <c r="E68" s="213">
        <v>8.25</v>
      </c>
      <c r="F68" s="7"/>
      <c r="G68" s="35" t="s">
        <v>26</v>
      </c>
      <c r="H68" s="36" t="s">
        <v>132</v>
      </c>
      <c r="I68" s="112">
        <f t="shared" si="6"/>
        <v>24.449999999999989</v>
      </c>
      <c r="J68" s="112">
        <f t="shared" si="7"/>
        <v>195.06</v>
      </c>
      <c r="K68" s="112">
        <f t="shared" si="8"/>
        <v>219.51</v>
      </c>
      <c r="L68" s="112"/>
      <c r="M68" s="75"/>
      <c r="N68" s="10"/>
      <c r="O68" s="113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>
      <c r="A69" s="10" t="s">
        <v>19</v>
      </c>
      <c r="B69" s="7" t="s">
        <v>96</v>
      </c>
      <c r="C69" s="7" t="s">
        <v>255</v>
      </c>
      <c r="D69" s="10" t="s">
        <v>281</v>
      </c>
      <c r="E69" s="213">
        <v>4.2699999999999996</v>
      </c>
      <c r="F69" s="7"/>
      <c r="G69" s="35" t="s">
        <v>26</v>
      </c>
      <c r="H69" s="36" t="s">
        <v>133</v>
      </c>
      <c r="I69" s="112">
        <f t="shared" si="6"/>
        <v>202.66999999999996</v>
      </c>
      <c r="J69" s="112">
        <f t="shared" si="7"/>
        <v>29.92</v>
      </c>
      <c r="K69" s="112">
        <f t="shared" si="8"/>
        <v>232.58999999999997</v>
      </c>
      <c r="L69" s="112"/>
      <c r="M69" s="75"/>
      <c r="N69" s="10"/>
      <c r="O69" s="113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>
      <c r="A70" s="10" t="s">
        <v>19</v>
      </c>
      <c r="B70" s="7" t="s">
        <v>96</v>
      </c>
      <c r="C70" s="7" t="s">
        <v>257</v>
      </c>
      <c r="D70" s="10" t="s">
        <v>282</v>
      </c>
      <c r="E70" s="213">
        <v>2</v>
      </c>
      <c r="F70" s="7"/>
      <c r="G70" s="35" t="s">
        <v>26</v>
      </c>
      <c r="H70" s="36" t="s">
        <v>134</v>
      </c>
      <c r="I70" s="112">
        <f t="shared" si="6"/>
        <v>167.93</v>
      </c>
      <c r="J70" s="112">
        <f t="shared" si="7"/>
        <v>72.39</v>
      </c>
      <c r="K70" s="112">
        <f t="shared" si="8"/>
        <v>240.32</v>
      </c>
      <c r="L70" s="112"/>
      <c r="M70" s="75"/>
      <c r="N70" s="10"/>
      <c r="O70" s="113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>
      <c r="A71" s="10" t="s">
        <v>19</v>
      </c>
      <c r="B71" s="7" t="s">
        <v>96</v>
      </c>
      <c r="C71" s="7" t="s">
        <v>283</v>
      </c>
      <c r="D71" s="10" t="s">
        <v>284</v>
      </c>
      <c r="E71" s="213">
        <v>3.94</v>
      </c>
      <c r="F71" s="7"/>
      <c r="G71" s="10" t="s">
        <v>26</v>
      </c>
      <c r="H71" s="7" t="s">
        <v>135</v>
      </c>
      <c r="I71" s="112">
        <f t="shared" si="6"/>
        <v>112.03</v>
      </c>
      <c r="J71" s="112">
        <f t="shared" si="7"/>
        <v>0</v>
      </c>
      <c r="K71" s="112">
        <f t="shared" si="8"/>
        <v>112.03</v>
      </c>
      <c r="L71" s="112"/>
      <c r="M71" s="75"/>
      <c r="N71" s="10"/>
      <c r="O71" s="113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>
      <c r="A72" s="10" t="s">
        <v>19</v>
      </c>
      <c r="B72" s="7" t="s">
        <v>96</v>
      </c>
      <c r="C72" s="7" t="s">
        <v>285</v>
      </c>
      <c r="D72" s="10" t="s">
        <v>286</v>
      </c>
      <c r="E72" s="213">
        <v>234.97000000000011</v>
      </c>
      <c r="F72" s="7"/>
      <c r="G72" s="10"/>
      <c r="H72" s="7"/>
      <c r="I72" s="111"/>
      <c r="J72" s="111"/>
      <c r="K72" s="111"/>
      <c r="L72" s="112"/>
      <c r="M72" s="75"/>
      <c r="N72" s="10"/>
      <c r="O72" s="11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>
      <c r="A73" s="10" t="s">
        <v>17</v>
      </c>
      <c r="B73" s="7" t="s">
        <v>85</v>
      </c>
      <c r="C73" s="7" t="s">
        <v>228</v>
      </c>
      <c r="D73" s="10" t="s">
        <v>287</v>
      </c>
      <c r="E73" s="213">
        <v>24.44</v>
      </c>
      <c r="F73" s="7"/>
      <c r="G73" s="10"/>
      <c r="H73" s="7"/>
      <c r="I73" s="111"/>
      <c r="J73" s="111"/>
      <c r="K73" s="111"/>
      <c r="L73" s="112"/>
      <c r="M73" s="75"/>
      <c r="N73" s="10"/>
      <c r="O73" s="11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>
      <c r="A74" s="10" t="s">
        <v>17</v>
      </c>
      <c r="B74" s="7" t="s">
        <v>85</v>
      </c>
      <c r="C74" s="7" t="s">
        <v>193</v>
      </c>
      <c r="D74" s="10" t="s">
        <v>288</v>
      </c>
      <c r="E74" s="213">
        <v>8.0500000000000007</v>
      </c>
      <c r="F74" s="7"/>
      <c r="G74" s="10"/>
      <c r="H74" s="7"/>
      <c r="I74" s="111"/>
      <c r="J74" s="111"/>
      <c r="K74" s="111"/>
      <c r="L74" s="112"/>
      <c r="M74" s="75"/>
      <c r="N74" s="10"/>
      <c r="O74" s="11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>
      <c r="A75" s="10" t="s">
        <v>19</v>
      </c>
      <c r="B75" s="7" t="s">
        <v>85</v>
      </c>
      <c r="C75" s="7" t="s">
        <v>283</v>
      </c>
      <c r="D75" s="10" t="s">
        <v>289</v>
      </c>
      <c r="E75" s="213">
        <v>0.92</v>
      </c>
      <c r="F75" s="7"/>
      <c r="G75" s="10"/>
      <c r="H75" s="7"/>
      <c r="I75" s="111"/>
      <c r="J75" s="111"/>
      <c r="K75" s="111"/>
      <c r="L75" s="112"/>
      <c r="M75" s="75"/>
      <c r="N75" s="10"/>
      <c r="O75" s="11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>
      <c r="A76" s="10" t="s">
        <v>19</v>
      </c>
      <c r="B76" s="7" t="s">
        <v>85</v>
      </c>
      <c r="C76" s="7" t="s">
        <v>285</v>
      </c>
      <c r="D76" s="10" t="s">
        <v>290</v>
      </c>
      <c r="E76" s="213">
        <v>193.57</v>
      </c>
      <c r="F76" s="7"/>
      <c r="G76" s="10"/>
      <c r="H76" s="7"/>
      <c r="I76" s="111"/>
      <c r="J76" s="111"/>
      <c r="K76" s="111"/>
      <c r="L76" s="112"/>
      <c r="M76" s="75"/>
      <c r="N76" s="10"/>
      <c r="O76" s="11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>
      <c r="A77" s="10" t="s">
        <v>19</v>
      </c>
      <c r="B77" s="7" t="s">
        <v>98</v>
      </c>
      <c r="C77" s="7" t="s">
        <v>255</v>
      </c>
      <c r="D77" s="10" t="s">
        <v>291</v>
      </c>
      <c r="E77" s="213">
        <v>187.61</v>
      </c>
      <c r="F77" s="7"/>
      <c r="G77" s="10"/>
      <c r="H77" s="7"/>
      <c r="I77" s="111"/>
      <c r="J77" s="111"/>
      <c r="K77" s="111"/>
      <c r="L77" s="112"/>
      <c r="M77" s="75"/>
      <c r="N77" s="10"/>
      <c r="O77" s="11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>
      <c r="A78" s="10" t="s">
        <v>19</v>
      </c>
      <c r="B78" s="7" t="s">
        <v>98</v>
      </c>
      <c r="C78" s="7" t="s">
        <v>292</v>
      </c>
      <c r="D78" s="10" t="s">
        <v>293</v>
      </c>
      <c r="E78" s="213">
        <v>20</v>
      </c>
      <c r="F78" s="7"/>
      <c r="G78" s="10"/>
      <c r="H78" s="7"/>
      <c r="I78" s="111"/>
      <c r="J78" s="111"/>
      <c r="K78" s="111"/>
      <c r="L78" s="112"/>
      <c r="M78" s="75"/>
      <c r="N78" s="10"/>
      <c r="O78" s="11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>
      <c r="A79" s="10" t="s">
        <v>19</v>
      </c>
      <c r="B79" s="7" t="s">
        <v>98</v>
      </c>
      <c r="C79" s="7" t="s">
        <v>257</v>
      </c>
      <c r="D79" s="10" t="s">
        <v>294</v>
      </c>
      <c r="E79" s="213">
        <v>83.36999999999999</v>
      </c>
      <c r="F79" s="7"/>
      <c r="G79" s="10"/>
      <c r="H79" s="7"/>
      <c r="I79" s="111"/>
      <c r="J79" s="111"/>
      <c r="K79" s="111"/>
      <c r="L79" s="112"/>
      <c r="M79" s="75"/>
      <c r="N79" s="10"/>
      <c r="O79" s="11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>
      <c r="A80" s="10" t="s">
        <v>24</v>
      </c>
      <c r="B80" s="7" t="s">
        <v>100</v>
      </c>
      <c r="C80" s="7" t="s">
        <v>215</v>
      </c>
      <c r="D80" s="10" t="s">
        <v>295</v>
      </c>
      <c r="E80" s="213">
        <v>7.25</v>
      </c>
      <c r="F80" s="7"/>
      <c r="G80" s="10"/>
      <c r="H80" s="7"/>
      <c r="I80" s="111"/>
      <c r="J80" s="111"/>
      <c r="K80" s="111"/>
      <c r="L80" s="112"/>
      <c r="M80" s="75"/>
      <c r="N80" s="10"/>
      <c r="O80" s="11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>
      <c r="A81" s="10" t="s">
        <v>24</v>
      </c>
      <c r="B81" s="7" t="s">
        <v>100</v>
      </c>
      <c r="C81" s="7" t="s">
        <v>198</v>
      </c>
      <c r="D81" s="10" t="s">
        <v>296</v>
      </c>
      <c r="E81" s="213">
        <v>4</v>
      </c>
      <c r="F81" s="7"/>
      <c r="G81" s="7"/>
      <c r="H81" s="7"/>
      <c r="I81" s="119"/>
      <c r="J81" s="119"/>
      <c r="K81" s="7"/>
      <c r="L81" s="120"/>
      <c r="M81" s="7"/>
      <c r="N81" s="10"/>
      <c r="O81" s="11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>
      <c r="A82" s="10" t="s">
        <v>19</v>
      </c>
      <c r="B82" s="7" t="s">
        <v>100</v>
      </c>
      <c r="C82" s="7" t="s">
        <v>222</v>
      </c>
      <c r="D82" s="10" t="s">
        <v>297</v>
      </c>
      <c r="E82" s="213">
        <v>8.5</v>
      </c>
      <c r="F82" s="7"/>
      <c r="G82" s="7"/>
      <c r="H82" s="7"/>
      <c r="I82" s="119"/>
      <c r="J82" s="119"/>
      <c r="K82" s="7"/>
      <c r="L82" s="120"/>
      <c r="M82" s="7"/>
      <c r="N82" s="10"/>
      <c r="O82" s="11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>
      <c r="A83" s="10" t="s">
        <v>19</v>
      </c>
      <c r="B83" s="7" t="s">
        <v>100</v>
      </c>
      <c r="C83" s="7" t="s">
        <v>255</v>
      </c>
      <c r="D83" s="10" t="s">
        <v>298</v>
      </c>
      <c r="E83" s="213">
        <v>190.23</v>
      </c>
      <c r="F83" s="7"/>
      <c r="G83" s="7"/>
      <c r="H83" s="7"/>
      <c r="I83" s="119"/>
      <c r="J83" s="119"/>
      <c r="K83" s="7"/>
      <c r="L83" s="120"/>
      <c r="M83" s="7"/>
      <c r="N83" s="10"/>
      <c r="O83" s="11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>
      <c r="A84" s="10" t="s">
        <v>19</v>
      </c>
      <c r="B84" s="7" t="s">
        <v>100</v>
      </c>
      <c r="C84" s="7" t="s">
        <v>257</v>
      </c>
      <c r="D84" s="10" t="s">
        <v>299</v>
      </c>
      <c r="E84" s="213">
        <v>80.36999999999999</v>
      </c>
      <c r="F84" s="7"/>
      <c r="G84" s="7"/>
      <c r="H84" s="7"/>
      <c r="I84" s="119"/>
      <c r="J84" s="119"/>
      <c r="K84" s="7"/>
      <c r="L84" s="120"/>
      <c r="M84" s="7"/>
      <c r="N84" s="10"/>
      <c r="O84" s="11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>
      <c r="A85" s="10" t="s">
        <v>19</v>
      </c>
      <c r="B85" s="7" t="s">
        <v>100</v>
      </c>
      <c r="C85" s="7" t="s">
        <v>285</v>
      </c>
      <c r="D85" s="10" t="s">
        <v>300</v>
      </c>
      <c r="E85" s="213">
        <v>7.75</v>
      </c>
      <c r="F85" s="7"/>
      <c r="G85" s="7"/>
      <c r="H85" s="7"/>
      <c r="I85" s="119"/>
      <c r="J85" s="119"/>
      <c r="K85" s="7"/>
      <c r="L85" s="120"/>
      <c r="M85" s="7"/>
      <c r="N85" s="10"/>
      <c r="O85" s="11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>
      <c r="A86" s="10" t="s">
        <v>20</v>
      </c>
      <c r="B86" s="7" t="s">
        <v>104</v>
      </c>
      <c r="C86" s="7" t="s">
        <v>301</v>
      </c>
      <c r="D86" s="10" t="s">
        <v>302</v>
      </c>
      <c r="E86" s="213">
        <v>219.36</v>
      </c>
      <c r="F86" s="7"/>
      <c r="G86" s="7"/>
      <c r="H86" s="7"/>
      <c r="I86" s="119"/>
      <c r="J86" s="119"/>
      <c r="K86" s="7"/>
      <c r="L86" s="120"/>
      <c r="M86" s="7"/>
      <c r="N86" s="10"/>
      <c r="O86" s="11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>
      <c r="A87" s="10" t="s">
        <v>20</v>
      </c>
      <c r="B87" s="7" t="s">
        <v>105</v>
      </c>
      <c r="C87" s="7" t="s">
        <v>198</v>
      </c>
      <c r="D87" s="10" t="s">
        <v>303</v>
      </c>
      <c r="E87" s="213">
        <v>7.83</v>
      </c>
      <c r="F87" s="7"/>
      <c r="G87" s="7"/>
      <c r="H87" s="7"/>
      <c r="I87" s="119"/>
      <c r="J87" s="119"/>
      <c r="K87" s="7"/>
      <c r="L87" s="120"/>
      <c r="M87" s="7"/>
      <c r="N87" s="10"/>
      <c r="O87" s="11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>
      <c r="A88" s="10" t="s">
        <v>20</v>
      </c>
      <c r="B88" s="7" t="s">
        <v>105</v>
      </c>
      <c r="C88" s="7" t="s">
        <v>301</v>
      </c>
      <c r="D88" s="10" t="s">
        <v>304</v>
      </c>
      <c r="E88" s="213">
        <v>235.5</v>
      </c>
      <c r="F88" s="7"/>
      <c r="G88" s="7"/>
      <c r="H88" s="7"/>
      <c r="I88" s="119"/>
      <c r="J88" s="119"/>
      <c r="K88" s="7"/>
      <c r="L88" s="120"/>
      <c r="M88" s="7"/>
      <c r="N88" s="10"/>
      <c r="O88" s="11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>
      <c r="A89" s="10" t="s">
        <v>20</v>
      </c>
      <c r="B89" s="7" t="s">
        <v>106</v>
      </c>
      <c r="C89" s="7" t="s">
        <v>215</v>
      </c>
      <c r="D89" s="10" t="s">
        <v>305</v>
      </c>
      <c r="E89" s="213">
        <v>8.2799999999999994</v>
      </c>
      <c r="F89" s="7"/>
      <c r="G89" s="7"/>
      <c r="H89" s="7"/>
      <c r="I89" s="119"/>
      <c r="J89" s="119"/>
      <c r="K89" s="7"/>
      <c r="L89" s="120"/>
      <c r="M89" s="7"/>
      <c r="N89" s="10"/>
      <c r="O89" s="11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>
      <c r="A90" s="10" t="s">
        <v>20</v>
      </c>
      <c r="B90" s="7" t="s">
        <v>106</v>
      </c>
      <c r="C90" s="7" t="s">
        <v>306</v>
      </c>
      <c r="D90" s="10" t="s">
        <v>307</v>
      </c>
      <c r="E90" s="213">
        <v>16</v>
      </c>
      <c r="F90" s="7"/>
      <c r="G90" s="7"/>
      <c r="H90" s="7"/>
      <c r="I90" s="119"/>
      <c r="J90" s="119"/>
      <c r="K90" s="7"/>
      <c r="L90" s="120"/>
      <c r="M90" s="7"/>
      <c r="N90" s="10"/>
      <c r="O90" s="11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>
      <c r="A91" s="10" t="s">
        <v>20</v>
      </c>
      <c r="B91" s="7" t="s">
        <v>106</v>
      </c>
      <c r="C91" s="7" t="s">
        <v>308</v>
      </c>
      <c r="D91" s="10" t="s">
        <v>309</v>
      </c>
      <c r="E91" s="213">
        <v>215.54</v>
      </c>
      <c r="F91" s="7"/>
      <c r="G91" s="7"/>
      <c r="H91" s="7"/>
      <c r="I91" s="119"/>
      <c r="J91" s="119"/>
      <c r="K91" s="7"/>
      <c r="L91" s="120"/>
      <c r="M91" s="7"/>
      <c r="N91" s="10"/>
      <c r="O91" s="11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>
      <c r="A92" s="10" t="s">
        <v>20</v>
      </c>
      <c r="B92" s="7" t="s">
        <v>106</v>
      </c>
      <c r="C92" s="7" t="s">
        <v>198</v>
      </c>
      <c r="D92" s="10" t="s">
        <v>310</v>
      </c>
      <c r="E92" s="213">
        <v>8.3000000000000007</v>
      </c>
      <c r="F92" s="7"/>
      <c r="G92" s="7"/>
      <c r="H92" s="7"/>
      <c r="I92" s="119"/>
      <c r="J92" s="119"/>
      <c r="K92" s="7"/>
      <c r="L92" s="120"/>
      <c r="M92" s="7"/>
      <c r="N92" s="10"/>
      <c r="O92" s="11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>
      <c r="A93" s="10" t="s">
        <v>20</v>
      </c>
      <c r="B93" s="7" t="s">
        <v>108</v>
      </c>
      <c r="C93" s="7" t="s">
        <v>215</v>
      </c>
      <c r="D93" s="10" t="s">
        <v>311</v>
      </c>
      <c r="E93" s="213">
        <v>73.59</v>
      </c>
      <c r="F93" s="7"/>
      <c r="G93" s="7"/>
      <c r="H93" s="7"/>
      <c r="I93" s="119"/>
      <c r="J93" s="119"/>
      <c r="K93" s="7"/>
      <c r="L93" s="120"/>
      <c r="M93" s="7"/>
      <c r="N93" s="10"/>
      <c r="O93" s="11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>
      <c r="A94" s="10" t="s">
        <v>20</v>
      </c>
      <c r="B94" s="7" t="s">
        <v>108</v>
      </c>
      <c r="C94" s="7" t="s">
        <v>198</v>
      </c>
      <c r="D94" s="10" t="s">
        <v>312</v>
      </c>
      <c r="E94" s="213">
        <v>175.77</v>
      </c>
      <c r="F94" s="7"/>
      <c r="G94" s="7"/>
      <c r="H94" s="7"/>
      <c r="I94" s="119"/>
      <c r="J94" s="119"/>
      <c r="K94" s="7"/>
      <c r="L94" s="120"/>
      <c r="M94" s="7"/>
      <c r="N94" s="10"/>
      <c r="O94" s="11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>
      <c r="A95" s="10" t="s">
        <v>20</v>
      </c>
      <c r="B95" s="7" t="s">
        <v>108</v>
      </c>
      <c r="C95" s="7" t="s">
        <v>301</v>
      </c>
      <c r="D95" s="10" t="s">
        <v>313</v>
      </c>
      <c r="E95" s="213">
        <v>8.58</v>
      </c>
      <c r="F95" s="7"/>
      <c r="G95" s="7"/>
      <c r="H95" s="7"/>
      <c r="I95" s="119"/>
      <c r="J95" s="119"/>
      <c r="K95" s="7"/>
      <c r="L95" s="120"/>
      <c r="M95" s="7"/>
      <c r="N95" s="10"/>
      <c r="O95" s="11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>
      <c r="A96" s="10" t="s">
        <v>20</v>
      </c>
      <c r="B96" s="7" t="s">
        <v>103</v>
      </c>
      <c r="C96" s="7" t="s">
        <v>215</v>
      </c>
      <c r="D96" s="10" t="s">
        <v>314</v>
      </c>
      <c r="E96" s="213">
        <v>198.74</v>
      </c>
      <c r="F96" s="7"/>
      <c r="G96" s="7"/>
      <c r="H96" s="7"/>
      <c r="I96" s="119"/>
      <c r="J96" s="119"/>
      <c r="K96" s="7"/>
      <c r="L96" s="120"/>
      <c r="M96" s="7"/>
      <c r="N96" s="10"/>
      <c r="O96" s="11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>
      <c r="A97" s="10" t="s">
        <v>20</v>
      </c>
      <c r="B97" s="7" t="s">
        <v>103</v>
      </c>
      <c r="C97" s="7" t="s">
        <v>198</v>
      </c>
      <c r="D97" s="10" t="s">
        <v>315</v>
      </c>
      <c r="E97" s="213">
        <v>43.66</v>
      </c>
      <c r="F97" s="7"/>
      <c r="G97" s="7"/>
      <c r="H97" s="7"/>
      <c r="I97" s="119"/>
      <c r="J97" s="119"/>
      <c r="K97" s="7"/>
      <c r="L97" s="120"/>
      <c r="M97" s="7"/>
      <c r="N97" s="10"/>
      <c r="O97" s="11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>
      <c r="A98" s="10" t="s">
        <v>21</v>
      </c>
      <c r="B98" s="7" t="s">
        <v>112</v>
      </c>
      <c r="C98" s="7" t="s">
        <v>191</v>
      </c>
      <c r="D98" s="10" t="s">
        <v>316</v>
      </c>
      <c r="E98" s="213">
        <v>12.59</v>
      </c>
      <c r="F98" s="7"/>
      <c r="G98" s="7"/>
      <c r="H98" s="7"/>
      <c r="I98" s="119"/>
      <c r="J98" s="119"/>
      <c r="K98" s="7"/>
      <c r="L98" s="120"/>
      <c r="M98" s="7"/>
      <c r="N98" s="10"/>
      <c r="O98" s="11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>
      <c r="A99" s="10" t="s">
        <v>21</v>
      </c>
      <c r="B99" s="7" t="s">
        <v>112</v>
      </c>
      <c r="C99" s="7" t="s">
        <v>317</v>
      </c>
      <c r="D99" s="10" t="s">
        <v>318</v>
      </c>
      <c r="E99" s="213">
        <v>33.72</v>
      </c>
      <c r="F99" s="7"/>
      <c r="G99" s="7"/>
      <c r="H99" s="7"/>
      <c r="I99" s="119"/>
      <c r="J99" s="119"/>
      <c r="K99" s="7"/>
      <c r="L99" s="120"/>
      <c r="M99" s="7"/>
      <c r="N99" s="10"/>
      <c r="O99" s="113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>
      <c r="A100" s="10" t="s">
        <v>21</v>
      </c>
      <c r="B100" s="7" t="s">
        <v>112</v>
      </c>
      <c r="C100" s="7" t="s">
        <v>267</v>
      </c>
      <c r="D100" s="10" t="s">
        <v>319</v>
      </c>
      <c r="E100" s="213">
        <v>224.98</v>
      </c>
      <c r="F100" s="7"/>
      <c r="G100" s="7"/>
      <c r="H100" s="7"/>
      <c r="I100" s="119"/>
      <c r="J100" s="119"/>
      <c r="K100" s="7"/>
      <c r="L100" s="120"/>
      <c r="M100" s="7"/>
      <c r="N100" s="10"/>
      <c r="O100" s="11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>
      <c r="A101" s="10" t="s">
        <v>21</v>
      </c>
      <c r="B101" s="7" t="s">
        <v>110</v>
      </c>
      <c r="C101" s="7" t="s">
        <v>191</v>
      </c>
      <c r="D101" s="10" t="s">
        <v>320</v>
      </c>
      <c r="E101" s="213">
        <v>172.07</v>
      </c>
      <c r="F101" s="7"/>
      <c r="G101" s="7"/>
      <c r="H101" s="7"/>
      <c r="I101" s="119"/>
      <c r="J101" s="119"/>
      <c r="K101" s="7"/>
      <c r="L101" s="120"/>
      <c r="M101" s="7"/>
      <c r="N101" s="10"/>
      <c r="O101" s="11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>
      <c r="A102" s="10" t="s">
        <v>21</v>
      </c>
      <c r="B102" s="7" t="s">
        <v>110</v>
      </c>
      <c r="C102" s="7" t="s">
        <v>263</v>
      </c>
      <c r="D102" s="10" t="s">
        <v>321</v>
      </c>
      <c r="E102" s="213">
        <v>85.9</v>
      </c>
      <c r="F102" s="7"/>
      <c r="G102" s="7"/>
      <c r="H102" s="7"/>
      <c r="I102" s="119"/>
      <c r="J102" s="119"/>
      <c r="K102" s="7"/>
      <c r="L102" s="120"/>
      <c r="M102" s="7"/>
      <c r="N102" s="10"/>
      <c r="O102" s="11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>
      <c r="A103" s="10" t="s">
        <v>21</v>
      </c>
      <c r="B103" s="7" t="s">
        <v>110</v>
      </c>
      <c r="C103" s="7" t="s">
        <v>265</v>
      </c>
      <c r="D103" s="10" t="s">
        <v>322</v>
      </c>
      <c r="E103" s="213">
        <v>71.699999999999989</v>
      </c>
      <c r="F103" s="7"/>
      <c r="G103" s="7"/>
      <c r="H103" s="7"/>
      <c r="I103" s="119"/>
      <c r="J103" s="119"/>
      <c r="K103" s="7"/>
      <c r="L103" s="120"/>
      <c r="M103" s="7"/>
      <c r="N103" s="10"/>
      <c r="O103" s="11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>
      <c r="A104" s="10" t="s">
        <v>21</v>
      </c>
      <c r="B104" s="7" t="s">
        <v>110</v>
      </c>
      <c r="C104" s="7" t="s">
        <v>323</v>
      </c>
      <c r="D104" s="10" t="s">
        <v>324</v>
      </c>
      <c r="E104" s="213">
        <v>9.9899999999999984</v>
      </c>
      <c r="F104" s="7"/>
      <c r="G104" s="7"/>
      <c r="H104" s="7"/>
      <c r="I104" s="119"/>
      <c r="J104" s="119"/>
      <c r="K104" s="7"/>
      <c r="L104" s="120"/>
      <c r="M104" s="7"/>
      <c r="N104" s="10"/>
      <c r="O104" s="11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>
      <c r="A105" s="10" t="s">
        <v>21</v>
      </c>
      <c r="B105" s="7" t="s">
        <v>110</v>
      </c>
      <c r="C105" s="7" t="s">
        <v>317</v>
      </c>
      <c r="D105" s="10" t="s">
        <v>325</v>
      </c>
      <c r="E105" s="213">
        <v>2.37</v>
      </c>
      <c r="F105" s="7"/>
      <c r="G105" s="7"/>
      <c r="H105" s="7"/>
      <c r="I105" s="119"/>
      <c r="J105" s="119"/>
      <c r="K105" s="7"/>
      <c r="L105" s="120"/>
      <c r="M105" s="7"/>
      <c r="N105" s="10"/>
      <c r="O105" s="11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>
      <c r="A106" s="10" t="s">
        <v>21</v>
      </c>
      <c r="B106" s="7" t="s">
        <v>110</v>
      </c>
      <c r="C106" s="7" t="s">
        <v>267</v>
      </c>
      <c r="D106" s="10" t="s">
        <v>326</v>
      </c>
      <c r="E106" s="213">
        <v>39.85</v>
      </c>
      <c r="F106" s="7"/>
      <c r="G106" s="7"/>
      <c r="H106" s="7"/>
      <c r="I106" s="119"/>
      <c r="J106" s="119"/>
      <c r="K106" s="7"/>
      <c r="L106" s="120"/>
      <c r="M106" s="7"/>
      <c r="N106" s="10"/>
      <c r="O106" s="11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>
      <c r="A107" s="10" t="s">
        <v>21</v>
      </c>
      <c r="B107" s="7" t="s">
        <v>114</v>
      </c>
      <c r="C107" s="7" t="s">
        <v>191</v>
      </c>
      <c r="D107" s="10" t="s">
        <v>327</v>
      </c>
      <c r="E107" s="213">
        <v>24.27</v>
      </c>
      <c r="F107" s="7"/>
      <c r="G107" s="7"/>
      <c r="H107" s="7"/>
      <c r="I107" s="119"/>
      <c r="J107" s="119"/>
      <c r="K107" s="7"/>
      <c r="L107" s="120"/>
      <c r="M107" s="7"/>
      <c r="N107" s="10"/>
      <c r="O107" s="11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>
      <c r="A108" s="10" t="s">
        <v>21</v>
      </c>
      <c r="B108" s="7" t="s">
        <v>114</v>
      </c>
      <c r="C108" s="7" t="s">
        <v>263</v>
      </c>
      <c r="D108" s="10" t="s">
        <v>328</v>
      </c>
      <c r="E108" s="213">
        <v>32.51</v>
      </c>
      <c r="F108" s="7"/>
      <c r="G108" s="7"/>
      <c r="H108" s="7"/>
      <c r="I108" s="119"/>
      <c r="J108" s="119"/>
      <c r="K108" s="7"/>
      <c r="L108" s="120"/>
      <c r="M108" s="7"/>
      <c r="N108" s="10"/>
      <c r="O108" s="11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>
      <c r="A109" s="10" t="s">
        <v>19</v>
      </c>
      <c r="B109" s="7" t="s">
        <v>113</v>
      </c>
      <c r="C109" s="7" t="s">
        <v>285</v>
      </c>
      <c r="D109" s="10" t="s">
        <v>329</v>
      </c>
      <c r="E109" s="213">
        <v>8.0299999999999994</v>
      </c>
      <c r="F109" s="7"/>
      <c r="G109" s="7"/>
      <c r="H109" s="7"/>
      <c r="I109" s="119"/>
      <c r="J109" s="119"/>
      <c r="K109" s="7"/>
      <c r="L109" s="120"/>
      <c r="M109" s="7"/>
      <c r="N109" s="10"/>
      <c r="O109" s="11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>
      <c r="A110" s="10" t="s">
        <v>20</v>
      </c>
      <c r="B110" s="7" t="s">
        <v>113</v>
      </c>
      <c r="C110" s="7" t="s">
        <v>301</v>
      </c>
      <c r="D110" s="10" t="s">
        <v>330</v>
      </c>
      <c r="E110" s="213">
        <v>24.05</v>
      </c>
      <c r="F110" s="7"/>
      <c r="G110" s="7"/>
      <c r="H110" s="7"/>
      <c r="I110" s="119"/>
      <c r="J110" s="119"/>
      <c r="K110" s="7"/>
      <c r="L110" s="120"/>
      <c r="M110" s="7"/>
      <c r="N110" s="10"/>
      <c r="O110" s="11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>
      <c r="A111" s="10" t="s">
        <v>21</v>
      </c>
      <c r="B111" s="7" t="s">
        <v>113</v>
      </c>
      <c r="C111" s="7" t="s">
        <v>191</v>
      </c>
      <c r="D111" s="10" t="s">
        <v>331</v>
      </c>
      <c r="E111" s="213">
        <v>17.75</v>
      </c>
      <c r="F111" s="7"/>
      <c r="G111" s="7"/>
      <c r="H111" s="7"/>
      <c r="I111" s="119"/>
      <c r="J111" s="119"/>
      <c r="K111" s="7"/>
      <c r="L111" s="120"/>
      <c r="M111" s="7"/>
      <c r="N111" s="10"/>
      <c r="O111" s="11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>
      <c r="A112" s="10" t="s">
        <v>21</v>
      </c>
      <c r="B112" s="7" t="s">
        <v>113</v>
      </c>
      <c r="C112" s="7" t="s">
        <v>265</v>
      </c>
      <c r="D112" s="10" t="s">
        <v>332</v>
      </c>
      <c r="E112" s="213">
        <v>58.82</v>
      </c>
      <c r="F112" s="7"/>
      <c r="G112" s="7"/>
      <c r="H112" s="7"/>
      <c r="I112" s="119"/>
      <c r="J112" s="119"/>
      <c r="K112" s="7"/>
      <c r="L112" s="120"/>
      <c r="M112" s="7"/>
      <c r="N112" s="10"/>
      <c r="O112" s="11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>
      <c r="A113" s="10" t="s">
        <v>21</v>
      </c>
      <c r="B113" s="7" t="s">
        <v>113</v>
      </c>
      <c r="C113" s="7" t="s">
        <v>323</v>
      </c>
      <c r="D113" s="10" t="s">
        <v>333</v>
      </c>
      <c r="E113" s="213">
        <v>23.46</v>
      </c>
      <c r="F113" s="7"/>
      <c r="G113" s="7"/>
      <c r="H113" s="7"/>
      <c r="I113" s="119"/>
      <c r="J113" s="119"/>
      <c r="K113" s="7"/>
      <c r="L113" s="120"/>
      <c r="M113" s="7"/>
      <c r="N113" s="10"/>
      <c r="O113" s="11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>
      <c r="A114" s="10" t="s">
        <v>21</v>
      </c>
      <c r="B114" s="7" t="s">
        <v>113</v>
      </c>
      <c r="C114" s="7" t="s">
        <v>267</v>
      </c>
      <c r="D114" s="10" t="s">
        <v>334</v>
      </c>
      <c r="E114" s="213">
        <v>15.9</v>
      </c>
      <c r="F114" s="7"/>
      <c r="G114" s="7"/>
      <c r="H114" s="7"/>
      <c r="I114" s="119"/>
      <c r="J114" s="119"/>
      <c r="K114" s="7"/>
      <c r="L114" s="120"/>
      <c r="M114" s="7"/>
      <c r="N114" s="10"/>
      <c r="O114" s="11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>
      <c r="A115" s="10" t="s">
        <v>21</v>
      </c>
      <c r="B115" s="7" t="s">
        <v>111</v>
      </c>
      <c r="C115" s="7" t="s">
        <v>191</v>
      </c>
      <c r="D115" s="10" t="s">
        <v>335</v>
      </c>
      <c r="E115" s="213">
        <v>40.729999999999997</v>
      </c>
      <c r="F115" s="7"/>
      <c r="G115" s="7"/>
      <c r="H115" s="7"/>
      <c r="I115" s="119"/>
      <c r="J115" s="119"/>
      <c r="K115" s="7"/>
      <c r="L115" s="120"/>
      <c r="M115" s="7"/>
      <c r="N115" s="10"/>
      <c r="O115" s="11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>
      <c r="A116" s="10" t="s">
        <v>21</v>
      </c>
      <c r="B116" s="7" t="s">
        <v>111</v>
      </c>
      <c r="C116" s="7" t="s">
        <v>317</v>
      </c>
      <c r="D116" s="10" t="s">
        <v>336</v>
      </c>
      <c r="E116" s="213">
        <v>5.3599999999999994</v>
      </c>
      <c r="F116" s="7"/>
      <c r="G116" s="7"/>
      <c r="H116" s="7"/>
      <c r="I116" s="119"/>
      <c r="J116" s="119"/>
      <c r="K116" s="7"/>
      <c r="L116" s="120"/>
      <c r="M116" s="7"/>
      <c r="N116" s="10"/>
      <c r="O116" s="11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>
      <c r="A117" s="10" t="s">
        <v>21</v>
      </c>
      <c r="B117" s="7" t="s">
        <v>111</v>
      </c>
      <c r="C117" s="7" t="s">
        <v>267</v>
      </c>
      <c r="D117" s="10" t="s">
        <v>337</v>
      </c>
      <c r="E117" s="213">
        <v>223.14</v>
      </c>
      <c r="F117" s="7"/>
      <c r="G117" s="7"/>
      <c r="H117" s="7"/>
      <c r="I117" s="119"/>
      <c r="J117" s="119"/>
      <c r="K117" s="7"/>
      <c r="L117" s="120"/>
      <c r="M117" s="7"/>
      <c r="N117" s="10"/>
      <c r="O117" s="11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>
      <c r="A118" s="10" t="s">
        <v>21</v>
      </c>
      <c r="B118" s="7" t="s">
        <v>115</v>
      </c>
      <c r="C118" s="7" t="s">
        <v>191</v>
      </c>
      <c r="D118" s="10" t="s">
        <v>338</v>
      </c>
      <c r="E118" s="213">
        <v>48.79</v>
      </c>
      <c r="F118" s="7"/>
      <c r="G118" s="7"/>
      <c r="H118" s="7"/>
      <c r="I118" s="119"/>
      <c r="J118" s="119"/>
      <c r="K118" s="7"/>
      <c r="L118" s="120"/>
      <c r="M118" s="7"/>
      <c r="N118" s="10"/>
      <c r="O118" s="11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>
      <c r="A119" s="10" t="s">
        <v>21</v>
      </c>
      <c r="B119" s="7" t="s">
        <v>115</v>
      </c>
      <c r="C119" s="7" t="s">
        <v>263</v>
      </c>
      <c r="D119" s="10" t="s">
        <v>251</v>
      </c>
      <c r="E119" s="213">
        <v>16.25</v>
      </c>
      <c r="F119" s="7"/>
      <c r="G119" s="7"/>
      <c r="H119" s="7"/>
      <c r="I119" s="119"/>
      <c r="J119" s="119"/>
      <c r="K119" s="7"/>
      <c r="L119" s="120"/>
      <c r="M119" s="7"/>
      <c r="N119" s="10"/>
      <c r="O119" s="11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>
      <c r="A120" s="10" t="s">
        <v>21</v>
      </c>
      <c r="B120" s="7" t="s">
        <v>115</v>
      </c>
      <c r="C120" s="7" t="s">
        <v>265</v>
      </c>
      <c r="D120" s="10" t="s">
        <v>339</v>
      </c>
      <c r="E120" s="213">
        <v>56.350000000000009</v>
      </c>
      <c r="F120" s="7"/>
      <c r="G120" s="7"/>
      <c r="H120" s="7"/>
      <c r="I120" s="119"/>
      <c r="J120" s="119"/>
      <c r="K120" s="7"/>
      <c r="L120" s="120"/>
      <c r="M120" s="7"/>
      <c r="N120" s="10"/>
      <c r="O120" s="11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>
      <c r="A121" s="10" t="s">
        <v>22</v>
      </c>
      <c r="B121" s="7" t="s">
        <v>119</v>
      </c>
      <c r="C121" s="7" t="s">
        <v>191</v>
      </c>
      <c r="D121" s="10" t="s">
        <v>340</v>
      </c>
      <c r="E121" s="213">
        <v>55.71</v>
      </c>
      <c r="F121" s="7"/>
      <c r="G121" s="7"/>
      <c r="H121" s="7"/>
      <c r="I121" s="119"/>
      <c r="J121" s="119"/>
      <c r="K121" s="7"/>
      <c r="L121" s="120"/>
      <c r="M121" s="7"/>
      <c r="N121" s="10"/>
      <c r="O121" s="11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>
      <c r="A122" s="10" t="s">
        <v>22</v>
      </c>
      <c r="B122" s="7" t="s">
        <v>119</v>
      </c>
      <c r="C122" s="7" t="s">
        <v>257</v>
      </c>
      <c r="D122" s="10" t="s">
        <v>341</v>
      </c>
      <c r="E122" s="213">
        <v>23.6</v>
      </c>
      <c r="F122" s="7"/>
      <c r="G122" s="7"/>
      <c r="H122" s="7"/>
      <c r="I122" s="119"/>
      <c r="J122" s="119"/>
      <c r="K122" s="7"/>
      <c r="L122" s="120"/>
      <c r="M122" s="7"/>
      <c r="N122" s="10"/>
      <c r="O122" s="11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>
      <c r="A123" s="10" t="s">
        <v>22</v>
      </c>
      <c r="B123" s="7" t="s">
        <v>119</v>
      </c>
      <c r="C123" s="7" t="s">
        <v>342</v>
      </c>
      <c r="D123" s="10" t="s">
        <v>343</v>
      </c>
      <c r="E123" s="213">
        <v>137.21</v>
      </c>
      <c r="F123" s="7"/>
      <c r="G123" s="7"/>
      <c r="H123" s="7"/>
      <c r="I123" s="119"/>
      <c r="J123" s="119"/>
      <c r="K123" s="7"/>
      <c r="L123" s="120"/>
      <c r="M123" s="7"/>
      <c r="N123" s="10"/>
      <c r="O123" s="11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>
      <c r="A124" s="10" t="s">
        <v>22</v>
      </c>
      <c r="B124" s="7" t="s">
        <v>118</v>
      </c>
      <c r="C124" s="7" t="s">
        <v>191</v>
      </c>
      <c r="D124" s="10" t="s">
        <v>344</v>
      </c>
      <c r="E124" s="213">
        <v>52.66</v>
      </c>
      <c r="F124" s="7"/>
      <c r="G124" s="7"/>
      <c r="H124" s="7"/>
      <c r="I124" s="119"/>
      <c r="J124" s="119"/>
      <c r="K124" s="7"/>
      <c r="L124" s="120"/>
      <c r="M124" s="7"/>
      <c r="N124" s="10"/>
      <c r="O124" s="11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>
      <c r="A125" s="10" t="s">
        <v>22</v>
      </c>
      <c r="B125" s="7" t="s">
        <v>118</v>
      </c>
      <c r="C125" s="7" t="s">
        <v>345</v>
      </c>
      <c r="D125" s="10" t="s">
        <v>346</v>
      </c>
      <c r="E125" s="213">
        <v>4.1500000000000004</v>
      </c>
      <c r="F125" s="7"/>
      <c r="G125" s="7"/>
      <c r="H125" s="7"/>
      <c r="I125" s="119"/>
      <c r="J125" s="119"/>
      <c r="K125" s="7"/>
      <c r="L125" s="120"/>
      <c r="M125" s="7"/>
      <c r="N125" s="10"/>
      <c r="O125" s="11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>
      <c r="A126" s="10" t="s">
        <v>22</v>
      </c>
      <c r="B126" s="7" t="s">
        <v>118</v>
      </c>
      <c r="C126" s="7" t="s">
        <v>257</v>
      </c>
      <c r="D126" s="10" t="s">
        <v>347</v>
      </c>
      <c r="E126" s="213">
        <v>16.13</v>
      </c>
      <c r="F126" s="7"/>
      <c r="G126" s="7"/>
      <c r="H126" s="7"/>
      <c r="I126" s="119"/>
      <c r="J126" s="119"/>
      <c r="K126" s="7"/>
      <c r="L126" s="120"/>
      <c r="M126" s="7"/>
      <c r="N126" s="10"/>
      <c r="O126" s="11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>
      <c r="A127" s="10" t="s">
        <v>22</v>
      </c>
      <c r="B127" s="7" t="s">
        <v>118</v>
      </c>
      <c r="C127" s="7" t="s">
        <v>342</v>
      </c>
      <c r="D127" s="10" t="s">
        <v>348</v>
      </c>
      <c r="E127" s="213">
        <v>7.95</v>
      </c>
      <c r="F127" s="7"/>
      <c r="G127" s="7"/>
      <c r="H127" s="7"/>
      <c r="I127" s="119"/>
      <c r="J127" s="119"/>
      <c r="K127" s="7"/>
      <c r="L127" s="120"/>
      <c r="M127" s="7"/>
      <c r="N127" s="10"/>
      <c r="O127" s="11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>
      <c r="A128" s="10" t="s">
        <v>22</v>
      </c>
      <c r="B128" s="7" t="s">
        <v>118</v>
      </c>
      <c r="C128" s="7" t="s">
        <v>267</v>
      </c>
      <c r="D128" s="10" t="s">
        <v>349</v>
      </c>
      <c r="E128" s="213">
        <v>210.14</v>
      </c>
      <c r="F128" s="7"/>
      <c r="G128" s="7"/>
      <c r="H128" s="7"/>
      <c r="I128" s="119"/>
      <c r="J128" s="119"/>
      <c r="K128" s="7"/>
      <c r="L128" s="120"/>
      <c r="M128" s="7"/>
      <c r="N128" s="10"/>
      <c r="O128" s="11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>
      <c r="A129" s="10" t="s">
        <v>22</v>
      </c>
      <c r="B129" s="7" t="s">
        <v>117</v>
      </c>
      <c r="C129" s="7" t="s">
        <v>191</v>
      </c>
      <c r="D129" s="10" t="s">
        <v>350</v>
      </c>
      <c r="E129" s="213">
        <v>8.93</v>
      </c>
      <c r="F129" s="7"/>
      <c r="G129" s="7"/>
      <c r="H129" s="7"/>
      <c r="I129" s="119"/>
      <c r="J129" s="119"/>
      <c r="K129" s="7"/>
      <c r="L129" s="120"/>
      <c r="M129" s="7"/>
      <c r="N129" s="10"/>
      <c r="O129" s="11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>
      <c r="A130" s="10" t="s">
        <v>22</v>
      </c>
      <c r="B130" s="7" t="s">
        <v>117</v>
      </c>
      <c r="C130" s="7" t="s">
        <v>345</v>
      </c>
      <c r="D130" s="10" t="s">
        <v>351</v>
      </c>
      <c r="E130" s="213">
        <v>9.16</v>
      </c>
      <c r="F130" s="7"/>
      <c r="G130" s="7"/>
      <c r="H130" s="7"/>
      <c r="I130" s="119"/>
      <c r="J130" s="119"/>
      <c r="K130" s="7"/>
      <c r="L130" s="120"/>
      <c r="M130" s="7"/>
      <c r="N130" s="10"/>
      <c r="O130" s="11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>
      <c r="A131" s="10" t="s">
        <v>22</v>
      </c>
      <c r="B131" s="7" t="s">
        <v>117</v>
      </c>
      <c r="C131" s="7" t="s">
        <v>267</v>
      </c>
      <c r="D131" s="10" t="s">
        <v>352</v>
      </c>
      <c r="E131" s="213">
        <v>196.83</v>
      </c>
      <c r="F131" s="7"/>
      <c r="G131" s="7"/>
      <c r="H131" s="7"/>
      <c r="I131" s="119"/>
      <c r="J131" s="119"/>
      <c r="K131" s="7"/>
      <c r="L131" s="120"/>
      <c r="M131" s="7"/>
      <c r="N131" s="10"/>
      <c r="O131" s="11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>
      <c r="A132" s="10" t="s">
        <v>21</v>
      </c>
      <c r="B132" s="7" t="s">
        <v>116</v>
      </c>
      <c r="C132" s="7" t="s">
        <v>191</v>
      </c>
      <c r="D132" s="10" t="s">
        <v>353</v>
      </c>
      <c r="E132" s="213">
        <v>14</v>
      </c>
      <c r="F132" s="7"/>
      <c r="G132" s="7"/>
      <c r="H132" s="7"/>
      <c r="I132" s="119"/>
      <c r="J132" s="119"/>
      <c r="K132" s="7"/>
      <c r="L132" s="120"/>
      <c r="M132" s="7"/>
      <c r="N132" s="10"/>
      <c r="O132" s="11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>
      <c r="A133" s="10" t="s">
        <v>22</v>
      </c>
      <c r="B133" s="7" t="s">
        <v>116</v>
      </c>
      <c r="C133" s="7" t="s">
        <v>191</v>
      </c>
      <c r="D133" s="10" t="s">
        <v>354</v>
      </c>
      <c r="E133" s="213">
        <v>132.81</v>
      </c>
      <c r="F133" s="7"/>
      <c r="G133" s="7"/>
      <c r="H133" s="7"/>
      <c r="I133" s="119"/>
      <c r="J133" s="119"/>
      <c r="K133" s="7"/>
      <c r="L133" s="120"/>
      <c r="M133" s="7"/>
      <c r="N133" s="10"/>
      <c r="O133" s="11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>
      <c r="A134" s="10" t="s">
        <v>22</v>
      </c>
      <c r="B134" s="7" t="s">
        <v>116</v>
      </c>
      <c r="C134" s="7" t="s">
        <v>257</v>
      </c>
      <c r="D134" s="10" t="s">
        <v>355</v>
      </c>
      <c r="E134" s="213">
        <v>55.05</v>
      </c>
      <c r="F134" s="7"/>
      <c r="G134" s="7"/>
      <c r="H134" s="7"/>
      <c r="I134" s="119"/>
      <c r="J134" s="119"/>
      <c r="K134" s="7"/>
      <c r="L134" s="120"/>
      <c r="M134" s="7"/>
      <c r="N134" s="10"/>
      <c r="O134" s="11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>
      <c r="A135" s="10" t="s">
        <v>24</v>
      </c>
      <c r="B135" s="7" t="s">
        <v>124</v>
      </c>
      <c r="C135" s="7" t="s">
        <v>222</v>
      </c>
      <c r="D135" s="10" t="s">
        <v>356</v>
      </c>
      <c r="E135" s="213">
        <v>4.17</v>
      </c>
      <c r="F135" s="7"/>
      <c r="G135" s="7"/>
      <c r="H135" s="7"/>
      <c r="I135" s="119"/>
      <c r="J135" s="119"/>
      <c r="K135" s="7"/>
      <c r="L135" s="120"/>
      <c r="M135" s="7"/>
      <c r="N135" s="10"/>
      <c r="O135" s="11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>
      <c r="A136" s="10" t="s">
        <v>24</v>
      </c>
      <c r="B136" s="7" t="s">
        <v>124</v>
      </c>
      <c r="C136" s="7" t="s">
        <v>220</v>
      </c>
      <c r="D136" s="10" t="s">
        <v>357</v>
      </c>
      <c r="E136" s="213">
        <v>217.89</v>
      </c>
      <c r="F136" s="7"/>
      <c r="G136" s="7"/>
      <c r="H136" s="7"/>
      <c r="I136" s="119"/>
      <c r="J136" s="119"/>
      <c r="K136" s="7"/>
      <c r="L136" s="120"/>
      <c r="M136" s="7"/>
      <c r="N136" s="10"/>
      <c r="O136" s="11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>
      <c r="A137" s="10" t="s">
        <v>23</v>
      </c>
      <c r="B137" s="7" t="s">
        <v>120</v>
      </c>
      <c r="C137" s="7" t="s">
        <v>200</v>
      </c>
      <c r="D137" s="10" t="s">
        <v>358</v>
      </c>
      <c r="E137" s="213">
        <v>6.3600000000000012</v>
      </c>
      <c r="F137" s="7"/>
      <c r="G137" s="7"/>
      <c r="H137" s="7"/>
      <c r="I137" s="119"/>
      <c r="J137" s="119"/>
      <c r="K137" s="7"/>
      <c r="L137" s="120"/>
      <c r="M137" s="7"/>
      <c r="N137" s="10"/>
      <c r="O137" s="11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>
      <c r="A138" s="10" t="s">
        <v>23</v>
      </c>
      <c r="B138" s="7" t="s">
        <v>120</v>
      </c>
      <c r="C138" s="7" t="s">
        <v>208</v>
      </c>
      <c r="D138" s="10" t="s">
        <v>359</v>
      </c>
      <c r="E138" s="213">
        <v>2.6</v>
      </c>
      <c r="F138" s="7"/>
      <c r="G138" s="7"/>
      <c r="H138" s="7"/>
      <c r="I138" s="119"/>
      <c r="J138" s="119"/>
      <c r="K138" s="7"/>
      <c r="L138" s="120"/>
      <c r="M138" s="7"/>
      <c r="N138" s="10"/>
      <c r="O138" s="11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>
      <c r="A139" s="10" t="s">
        <v>23</v>
      </c>
      <c r="B139" s="7" t="s">
        <v>120</v>
      </c>
      <c r="C139" s="7" t="s">
        <v>210</v>
      </c>
      <c r="D139" s="10" t="s">
        <v>360</v>
      </c>
      <c r="E139" s="213">
        <v>206.47</v>
      </c>
      <c r="F139" s="7"/>
      <c r="G139" s="7"/>
      <c r="H139" s="7"/>
      <c r="I139" s="119"/>
      <c r="J139" s="119"/>
      <c r="K139" s="7"/>
      <c r="L139" s="120"/>
      <c r="M139" s="7"/>
      <c r="N139" s="10"/>
      <c r="O139" s="11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>
      <c r="A140" s="10" t="s">
        <v>23</v>
      </c>
      <c r="B140" s="7" t="s">
        <v>121</v>
      </c>
      <c r="C140" s="7" t="s">
        <v>200</v>
      </c>
      <c r="D140" s="10" t="s">
        <v>361</v>
      </c>
      <c r="E140" s="213">
        <v>1.9</v>
      </c>
      <c r="F140" s="7"/>
      <c r="G140" s="7"/>
      <c r="H140" s="7"/>
      <c r="I140" s="119"/>
      <c r="J140" s="119"/>
      <c r="K140" s="7"/>
      <c r="L140" s="120"/>
      <c r="M140" s="7"/>
      <c r="N140" s="10"/>
      <c r="O140" s="11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>
      <c r="A141" s="10" t="s">
        <v>23</v>
      </c>
      <c r="B141" s="7" t="s">
        <v>121</v>
      </c>
      <c r="C141" s="7" t="s">
        <v>210</v>
      </c>
      <c r="D141" s="10" t="s">
        <v>362</v>
      </c>
      <c r="E141" s="213">
        <v>202.37</v>
      </c>
      <c r="F141" s="7"/>
      <c r="G141" s="7"/>
      <c r="H141" s="7"/>
      <c r="I141" s="119"/>
      <c r="J141" s="119"/>
      <c r="K141" s="7"/>
      <c r="L141" s="120"/>
      <c r="M141" s="7"/>
      <c r="N141" s="10"/>
      <c r="O141" s="11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>
      <c r="A142" s="10" t="s">
        <v>19</v>
      </c>
      <c r="B142" s="7" t="s">
        <v>97</v>
      </c>
      <c r="C142" s="7" t="s">
        <v>363</v>
      </c>
      <c r="D142" s="10" t="s">
        <v>364</v>
      </c>
      <c r="E142" s="213">
        <v>20.11</v>
      </c>
      <c r="F142" s="7"/>
      <c r="G142" s="7"/>
      <c r="H142" s="7"/>
      <c r="I142" s="119"/>
      <c r="J142" s="119"/>
      <c r="K142" s="7"/>
      <c r="L142" s="120"/>
      <c r="M142" s="7"/>
      <c r="N142" s="10"/>
      <c r="O142" s="11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>
      <c r="A143" s="10" t="s">
        <v>19</v>
      </c>
      <c r="B143" s="7" t="s">
        <v>97</v>
      </c>
      <c r="C143" s="7" t="s">
        <v>285</v>
      </c>
      <c r="D143" s="10" t="s">
        <v>365</v>
      </c>
      <c r="E143" s="213">
        <v>40.069999999999993</v>
      </c>
      <c r="F143" s="7"/>
      <c r="G143" s="7"/>
      <c r="H143" s="7"/>
      <c r="I143" s="119"/>
      <c r="J143" s="119"/>
      <c r="K143" s="7"/>
      <c r="L143" s="120"/>
      <c r="M143" s="7"/>
      <c r="N143" s="10"/>
      <c r="O143" s="11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>
      <c r="A144" s="10" t="s">
        <v>23</v>
      </c>
      <c r="B144" s="7" t="s">
        <v>122</v>
      </c>
      <c r="C144" s="7" t="s">
        <v>200</v>
      </c>
      <c r="D144" s="10" t="s">
        <v>366</v>
      </c>
      <c r="E144" s="213">
        <v>96.75</v>
      </c>
      <c r="F144" s="7"/>
      <c r="G144" s="7"/>
      <c r="H144" s="7"/>
      <c r="I144" s="119"/>
      <c r="J144" s="119"/>
      <c r="K144" s="7"/>
      <c r="L144" s="120"/>
      <c r="M144" s="7"/>
      <c r="N144" s="10"/>
      <c r="O144" s="11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>
      <c r="A145" s="10" t="s">
        <v>23</v>
      </c>
      <c r="B145" s="7" t="s">
        <v>122</v>
      </c>
      <c r="C145" s="7" t="s">
        <v>204</v>
      </c>
      <c r="D145" s="10" t="s">
        <v>367</v>
      </c>
      <c r="E145" s="213">
        <v>149.27000000000001</v>
      </c>
      <c r="F145" s="7"/>
      <c r="G145" s="7"/>
      <c r="H145" s="7"/>
      <c r="I145" s="119"/>
      <c r="J145" s="119"/>
      <c r="K145" s="7"/>
      <c r="L145" s="120"/>
      <c r="M145" s="7"/>
      <c r="N145" s="10"/>
      <c r="O145" s="11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>
      <c r="A146" s="10" t="s">
        <v>23</v>
      </c>
      <c r="B146" s="7" t="s">
        <v>122</v>
      </c>
      <c r="C146" s="7" t="s">
        <v>206</v>
      </c>
      <c r="D146" s="10" t="s">
        <v>368</v>
      </c>
      <c r="E146" s="213">
        <v>5.7</v>
      </c>
      <c r="F146" s="7"/>
      <c r="G146" s="7"/>
      <c r="H146" s="7"/>
      <c r="I146" s="119"/>
      <c r="J146" s="119"/>
      <c r="K146" s="7"/>
      <c r="L146" s="120"/>
      <c r="M146" s="7"/>
      <c r="N146" s="10"/>
      <c r="O146" s="11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>
      <c r="A147" s="10" t="s">
        <v>23</v>
      </c>
      <c r="B147" s="7" t="s">
        <v>122</v>
      </c>
      <c r="C147" s="7" t="s">
        <v>210</v>
      </c>
      <c r="D147" s="10" t="s">
        <v>369</v>
      </c>
      <c r="E147" s="213">
        <v>10.23</v>
      </c>
      <c r="F147" s="7"/>
      <c r="G147" s="7"/>
      <c r="H147" s="7"/>
      <c r="I147" s="119"/>
      <c r="J147" s="119"/>
      <c r="K147" s="7"/>
      <c r="L147" s="120"/>
      <c r="M147" s="7"/>
      <c r="N147" s="10"/>
      <c r="O147" s="11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>
      <c r="A148" s="10" t="s">
        <v>21</v>
      </c>
      <c r="B148" s="7" t="s">
        <v>109</v>
      </c>
      <c r="C148" s="7" t="s">
        <v>191</v>
      </c>
      <c r="D148" s="10" t="s">
        <v>370</v>
      </c>
      <c r="E148" s="213">
        <v>11.18</v>
      </c>
      <c r="F148" s="7"/>
      <c r="G148" s="7"/>
      <c r="H148" s="7"/>
      <c r="I148" s="119"/>
      <c r="J148" s="119"/>
      <c r="K148" s="7"/>
      <c r="L148" s="120"/>
      <c r="M148" s="7"/>
      <c r="N148" s="10"/>
      <c r="O148" s="11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>
      <c r="A149" s="10" t="s">
        <v>21</v>
      </c>
      <c r="B149" s="7" t="s">
        <v>109</v>
      </c>
      <c r="C149" s="7" t="s">
        <v>265</v>
      </c>
      <c r="D149" s="10" t="s">
        <v>371</v>
      </c>
      <c r="E149" s="213">
        <v>4.5</v>
      </c>
      <c r="F149" s="7"/>
      <c r="G149" s="7"/>
      <c r="H149" s="7"/>
      <c r="I149" s="119"/>
      <c r="J149" s="119"/>
      <c r="K149" s="7"/>
      <c r="L149" s="120"/>
      <c r="M149" s="7"/>
      <c r="N149" s="10"/>
      <c r="O149" s="11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>
      <c r="A150" s="10" t="s">
        <v>23</v>
      </c>
      <c r="B150" s="7" t="s">
        <v>109</v>
      </c>
      <c r="C150" s="7" t="s">
        <v>200</v>
      </c>
      <c r="D150" s="10" t="s">
        <v>372</v>
      </c>
      <c r="E150" s="213">
        <v>147.56</v>
      </c>
      <c r="F150" s="7"/>
      <c r="G150" s="7"/>
      <c r="H150" s="7"/>
      <c r="I150" s="119"/>
      <c r="J150" s="119"/>
      <c r="K150" s="7"/>
      <c r="L150" s="120"/>
      <c r="M150" s="7"/>
      <c r="N150" s="10"/>
      <c r="O150" s="11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>
      <c r="A151" s="10" t="s">
        <v>23</v>
      </c>
      <c r="B151" s="7" t="s">
        <v>109</v>
      </c>
      <c r="C151" s="7" t="s">
        <v>202</v>
      </c>
      <c r="D151" s="10" t="s">
        <v>373</v>
      </c>
      <c r="E151" s="213">
        <v>32.840000000000003</v>
      </c>
      <c r="F151" s="7"/>
      <c r="G151" s="7"/>
      <c r="H151" s="7"/>
      <c r="I151" s="119"/>
      <c r="J151" s="119"/>
      <c r="K151" s="7"/>
      <c r="L151" s="120"/>
      <c r="M151" s="7"/>
      <c r="N151" s="10"/>
      <c r="O151" s="11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>
      <c r="A152" s="10" t="s">
        <v>23</v>
      </c>
      <c r="B152" s="7" t="s">
        <v>109</v>
      </c>
      <c r="C152" s="7" t="s">
        <v>204</v>
      </c>
      <c r="D152" s="10" t="s">
        <v>374</v>
      </c>
      <c r="E152" s="213">
        <v>57.75</v>
      </c>
      <c r="F152" s="7"/>
      <c r="G152" s="7"/>
      <c r="H152" s="7"/>
      <c r="I152" s="119"/>
      <c r="J152" s="119"/>
      <c r="K152" s="7"/>
      <c r="L152" s="120"/>
      <c r="M152" s="7"/>
      <c r="N152" s="10"/>
      <c r="O152" s="11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>
      <c r="A153" s="10" t="s">
        <v>23</v>
      </c>
      <c r="B153" s="7" t="s">
        <v>109</v>
      </c>
      <c r="C153" s="7" t="s">
        <v>206</v>
      </c>
      <c r="D153" s="10" t="s">
        <v>375</v>
      </c>
      <c r="E153" s="213">
        <v>19.86</v>
      </c>
      <c r="F153" s="7"/>
      <c r="G153" s="7"/>
      <c r="H153" s="7"/>
      <c r="I153" s="119"/>
      <c r="J153" s="119"/>
      <c r="K153" s="7"/>
      <c r="L153" s="120"/>
      <c r="M153" s="7"/>
      <c r="N153" s="10"/>
      <c r="O153" s="11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>
      <c r="A154" s="10" t="s">
        <v>23</v>
      </c>
      <c r="B154" s="7" t="s">
        <v>109</v>
      </c>
      <c r="C154" s="7" t="s">
        <v>210</v>
      </c>
      <c r="D154" s="10" t="s">
        <v>376</v>
      </c>
      <c r="E154" s="213">
        <v>4.3099999999999996</v>
      </c>
      <c r="F154" s="7"/>
      <c r="G154" s="7"/>
      <c r="H154" s="7"/>
      <c r="I154" s="119"/>
      <c r="J154" s="119"/>
      <c r="K154" s="7"/>
      <c r="L154" s="120"/>
      <c r="M154" s="7"/>
      <c r="N154" s="10"/>
      <c r="O154" s="11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>
      <c r="A155" s="10" t="s">
        <v>24</v>
      </c>
      <c r="B155" s="7" t="s">
        <v>72</v>
      </c>
      <c r="C155" s="7" t="s">
        <v>215</v>
      </c>
      <c r="D155" s="10" t="s">
        <v>377</v>
      </c>
      <c r="E155" s="213">
        <v>98.95</v>
      </c>
      <c r="F155" s="7"/>
      <c r="G155" s="7"/>
      <c r="H155" s="7"/>
      <c r="I155" s="119"/>
      <c r="J155" s="119"/>
      <c r="K155" s="7"/>
      <c r="L155" s="120"/>
      <c r="M155" s="7"/>
      <c r="N155" s="10"/>
      <c r="O155" s="11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>
      <c r="A156" s="10" t="s">
        <v>24</v>
      </c>
      <c r="B156" s="7" t="s">
        <v>72</v>
      </c>
      <c r="C156" s="7" t="s">
        <v>378</v>
      </c>
      <c r="D156" s="10" t="s">
        <v>379</v>
      </c>
      <c r="E156" s="213">
        <v>63.2</v>
      </c>
      <c r="F156" s="7"/>
      <c r="G156" s="7"/>
      <c r="H156" s="7"/>
      <c r="I156" s="119"/>
      <c r="J156" s="119"/>
      <c r="K156" s="7"/>
      <c r="L156" s="120"/>
      <c r="M156" s="7"/>
      <c r="N156" s="10"/>
      <c r="O156" s="11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>
      <c r="A157" s="10" t="s">
        <v>24</v>
      </c>
      <c r="B157" s="7" t="s">
        <v>72</v>
      </c>
      <c r="C157" s="7" t="s">
        <v>198</v>
      </c>
      <c r="D157" s="10" t="s">
        <v>380</v>
      </c>
      <c r="E157" s="213">
        <v>89.98</v>
      </c>
      <c r="F157" s="7"/>
      <c r="G157" s="7"/>
      <c r="H157" s="7"/>
      <c r="I157" s="119"/>
      <c r="J157" s="119"/>
      <c r="K157" s="7"/>
      <c r="L157" s="120"/>
      <c r="M157" s="7"/>
      <c r="N157" s="10"/>
      <c r="O157" s="11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>
      <c r="A158" s="10" t="s">
        <v>24</v>
      </c>
      <c r="B158" s="7" t="s">
        <v>72</v>
      </c>
      <c r="C158" s="7" t="s">
        <v>218</v>
      </c>
      <c r="D158" s="10" t="s">
        <v>381</v>
      </c>
      <c r="E158" s="213">
        <v>19.93</v>
      </c>
      <c r="F158" s="7"/>
      <c r="G158" s="7"/>
      <c r="H158" s="7"/>
      <c r="I158" s="119"/>
      <c r="J158" s="119"/>
      <c r="K158" s="7"/>
      <c r="L158" s="120"/>
      <c r="M158" s="7"/>
      <c r="N158" s="10"/>
      <c r="O158" s="11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>
      <c r="A159" s="10" t="s">
        <v>24</v>
      </c>
      <c r="B159" s="7" t="s">
        <v>72</v>
      </c>
      <c r="C159" s="7" t="s">
        <v>220</v>
      </c>
      <c r="D159" s="10" t="s">
        <v>382</v>
      </c>
      <c r="E159" s="213">
        <v>6.88</v>
      </c>
      <c r="F159" s="7"/>
      <c r="G159" s="7"/>
      <c r="H159" s="7"/>
      <c r="I159" s="119"/>
      <c r="J159" s="119"/>
      <c r="K159" s="7"/>
      <c r="L159" s="120"/>
      <c r="M159" s="7"/>
      <c r="N159" s="10"/>
      <c r="O159" s="11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>
      <c r="A160" s="10" t="s">
        <v>15</v>
      </c>
      <c r="B160" s="7" t="s">
        <v>72</v>
      </c>
      <c r="C160" s="7" t="s">
        <v>383</v>
      </c>
      <c r="D160" s="10" t="s">
        <v>384</v>
      </c>
      <c r="E160" s="213">
        <v>15.69</v>
      </c>
      <c r="F160" s="7"/>
      <c r="G160" s="7"/>
      <c r="H160" s="7"/>
      <c r="I160" s="119"/>
      <c r="J160" s="119"/>
      <c r="K160" s="7"/>
      <c r="L160" s="120"/>
      <c r="M160" s="7"/>
      <c r="N160" s="10"/>
      <c r="O160" s="11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>
      <c r="A161" s="10" t="s">
        <v>15</v>
      </c>
      <c r="B161" s="7" t="s">
        <v>83</v>
      </c>
      <c r="C161" s="7" t="s">
        <v>245</v>
      </c>
      <c r="D161" s="10" t="s">
        <v>385</v>
      </c>
      <c r="E161" s="213">
        <v>121.63</v>
      </c>
      <c r="F161" s="7"/>
      <c r="G161" s="7"/>
      <c r="H161" s="7"/>
      <c r="I161" s="119"/>
      <c r="J161" s="119"/>
      <c r="K161" s="7"/>
      <c r="L161" s="120"/>
      <c r="M161" s="7"/>
      <c r="N161" s="10"/>
      <c r="O161" s="11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>
      <c r="A162" s="10" t="s">
        <v>15</v>
      </c>
      <c r="B162" s="7" t="s">
        <v>83</v>
      </c>
      <c r="C162" s="7" t="s">
        <v>386</v>
      </c>
      <c r="D162" s="10" t="s">
        <v>387</v>
      </c>
      <c r="E162" s="213">
        <v>18.28</v>
      </c>
      <c r="F162" s="7"/>
      <c r="G162" s="7"/>
      <c r="H162" s="7"/>
      <c r="I162" s="119"/>
      <c r="J162" s="119"/>
      <c r="K162" s="7"/>
      <c r="L162" s="120"/>
      <c r="M162" s="7"/>
      <c r="N162" s="10"/>
      <c r="O162" s="11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>
      <c r="A163" s="10" t="s">
        <v>15</v>
      </c>
      <c r="B163" s="7" t="s">
        <v>83</v>
      </c>
      <c r="C163" s="7" t="s">
        <v>193</v>
      </c>
      <c r="D163" s="10" t="s">
        <v>388</v>
      </c>
      <c r="E163" s="213">
        <v>83.01</v>
      </c>
      <c r="F163" s="7"/>
      <c r="G163" s="7"/>
      <c r="H163" s="7"/>
      <c r="I163" s="119"/>
      <c r="J163" s="119"/>
      <c r="K163" s="7"/>
      <c r="L163" s="120"/>
      <c r="M163" s="7"/>
      <c r="N163" s="10"/>
      <c r="O163" s="11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>
      <c r="A164" s="10" t="s">
        <v>15</v>
      </c>
      <c r="B164" s="7" t="s">
        <v>83</v>
      </c>
      <c r="C164" s="7" t="s">
        <v>383</v>
      </c>
      <c r="D164" s="10" t="s">
        <v>389</v>
      </c>
      <c r="E164" s="213">
        <v>22.51</v>
      </c>
      <c r="F164" s="7"/>
      <c r="G164" s="7"/>
      <c r="H164" s="7"/>
      <c r="I164" s="119"/>
      <c r="J164" s="119"/>
      <c r="K164" s="7"/>
      <c r="L164" s="120"/>
      <c r="M164" s="7"/>
      <c r="N164" s="10"/>
      <c r="O164" s="11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>
      <c r="A165" s="10" t="s">
        <v>15</v>
      </c>
      <c r="B165" s="7" t="s">
        <v>83</v>
      </c>
      <c r="C165" s="7" t="s">
        <v>247</v>
      </c>
      <c r="D165" s="10" t="s">
        <v>390</v>
      </c>
      <c r="E165" s="213">
        <v>31.43</v>
      </c>
      <c r="F165" s="7"/>
      <c r="G165" s="7"/>
      <c r="H165" s="7"/>
      <c r="I165" s="119"/>
      <c r="J165" s="119"/>
      <c r="K165" s="7"/>
      <c r="L165" s="120"/>
      <c r="M165" s="7"/>
      <c r="N165" s="10"/>
      <c r="O165" s="11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>
      <c r="A166" s="10" t="s">
        <v>24</v>
      </c>
      <c r="B166" s="7" t="s">
        <v>74</v>
      </c>
      <c r="C166" s="7" t="s">
        <v>215</v>
      </c>
      <c r="D166" s="10" t="s">
        <v>391</v>
      </c>
      <c r="E166" s="213">
        <v>10</v>
      </c>
      <c r="F166" s="7"/>
      <c r="G166" s="7"/>
      <c r="H166" s="7"/>
      <c r="I166" s="119"/>
      <c r="J166" s="119"/>
      <c r="K166" s="7"/>
      <c r="L166" s="120"/>
      <c r="M166" s="7"/>
      <c r="N166" s="10"/>
      <c r="O166" s="11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>
      <c r="A167" s="10" t="s">
        <v>15</v>
      </c>
      <c r="B167" s="7" t="s">
        <v>74</v>
      </c>
      <c r="C167" s="7" t="s">
        <v>245</v>
      </c>
      <c r="D167" s="10" t="s">
        <v>392</v>
      </c>
      <c r="E167" s="213">
        <v>91.95</v>
      </c>
      <c r="F167" s="7"/>
      <c r="G167" s="7"/>
      <c r="H167" s="7"/>
      <c r="I167" s="119"/>
      <c r="J167" s="119"/>
      <c r="K167" s="7"/>
      <c r="L167" s="120"/>
      <c r="M167" s="7"/>
      <c r="N167" s="10"/>
      <c r="O167" s="11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>
      <c r="A168" s="10" t="s">
        <v>15</v>
      </c>
      <c r="B168" s="7" t="s">
        <v>74</v>
      </c>
      <c r="C168" s="7" t="s">
        <v>308</v>
      </c>
      <c r="D168" s="10" t="s">
        <v>393</v>
      </c>
      <c r="E168" s="213">
        <v>24.49</v>
      </c>
      <c r="F168" s="7"/>
      <c r="G168" s="7"/>
      <c r="H168" s="7"/>
      <c r="I168" s="119"/>
      <c r="J168" s="119"/>
      <c r="K168" s="7"/>
      <c r="L168" s="120"/>
      <c r="M168" s="7"/>
      <c r="N168" s="10"/>
      <c r="O168" s="11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>
      <c r="A169" s="10" t="s">
        <v>15</v>
      </c>
      <c r="B169" s="7" t="s">
        <v>74</v>
      </c>
      <c r="C169" s="7" t="s">
        <v>386</v>
      </c>
      <c r="D169" s="10" t="s">
        <v>394</v>
      </c>
      <c r="E169" s="213">
        <v>16.68</v>
      </c>
      <c r="F169" s="7"/>
      <c r="G169" s="7"/>
      <c r="H169" s="7"/>
      <c r="I169" s="119"/>
      <c r="J169" s="119"/>
      <c r="K169" s="7"/>
      <c r="L169" s="120"/>
      <c r="M169" s="7"/>
      <c r="N169" s="10"/>
      <c r="O169" s="11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>
      <c r="A170" s="10" t="s">
        <v>15</v>
      </c>
      <c r="B170" s="7" t="s">
        <v>74</v>
      </c>
      <c r="C170" s="7" t="s">
        <v>193</v>
      </c>
      <c r="D170" s="10" t="s">
        <v>395</v>
      </c>
      <c r="E170" s="213">
        <v>17.739999999999998</v>
      </c>
      <c r="F170" s="7"/>
      <c r="G170" s="7"/>
      <c r="H170" s="7"/>
      <c r="I170" s="119"/>
      <c r="J170" s="119"/>
      <c r="K170" s="7"/>
      <c r="L170" s="120"/>
      <c r="M170" s="7"/>
      <c r="N170" s="10"/>
      <c r="O170" s="11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>
      <c r="A171" s="10" t="s">
        <v>15</v>
      </c>
      <c r="B171" s="7" t="s">
        <v>74</v>
      </c>
      <c r="C171" s="7" t="s">
        <v>396</v>
      </c>
      <c r="D171" s="10" t="s">
        <v>397</v>
      </c>
      <c r="E171" s="213">
        <v>6.2</v>
      </c>
      <c r="F171" s="7"/>
      <c r="G171" s="7"/>
      <c r="H171" s="7"/>
      <c r="I171" s="119"/>
      <c r="J171" s="119"/>
      <c r="K171" s="7"/>
      <c r="L171" s="120"/>
      <c r="M171" s="7"/>
      <c r="N171" s="10"/>
      <c r="O171" s="11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>
      <c r="A172" s="10" t="s">
        <v>15</v>
      </c>
      <c r="B172" s="7" t="s">
        <v>74</v>
      </c>
      <c r="C172" s="7" t="s">
        <v>383</v>
      </c>
      <c r="D172" s="10" t="s">
        <v>398</v>
      </c>
      <c r="E172" s="213">
        <v>29.58</v>
      </c>
      <c r="F172" s="7"/>
      <c r="G172" s="7"/>
      <c r="H172" s="7"/>
      <c r="I172" s="119"/>
      <c r="J172" s="119"/>
      <c r="K172" s="7"/>
      <c r="L172" s="120"/>
      <c r="M172" s="7"/>
      <c r="N172" s="10"/>
      <c r="O172" s="11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>
      <c r="A173" s="10" t="s">
        <v>15</v>
      </c>
      <c r="B173" s="7" t="s">
        <v>74</v>
      </c>
      <c r="C173" s="7" t="s">
        <v>247</v>
      </c>
      <c r="D173" s="10" t="s">
        <v>399</v>
      </c>
      <c r="E173" s="213">
        <v>28.38</v>
      </c>
      <c r="F173" s="7"/>
      <c r="G173" s="7"/>
      <c r="H173" s="7"/>
      <c r="I173" s="119"/>
      <c r="J173" s="119"/>
      <c r="K173" s="7"/>
      <c r="L173" s="120"/>
      <c r="M173" s="7"/>
      <c r="N173" s="10"/>
      <c r="O173" s="11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>
      <c r="A174" s="10" t="s">
        <v>24</v>
      </c>
      <c r="B174" s="7" t="s">
        <v>82</v>
      </c>
      <c r="C174" s="7" t="s">
        <v>215</v>
      </c>
      <c r="D174" s="10" t="s">
        <v>400</v>
      </c>
      <c r="E174" s="213">
        <v>8.6199999999999992</v>
      </c>
      <c r="F174" s="7"/>
      <c r="G174" s="7"/>
      <c r="H174" s="7"/>
      <c r="I174" s="119"/>
      <c r="J174" s="119"/>
      <c r="K174" s="7"/>
      <c r="L174" s="120"/>
      <c r="M174" s="7"/>
      <c r="N174" s="10"/>
      <c r="O174" s="11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>
      <c r="A175" s="10" t="s">
        <v>15</v>
      </c>
      <c r="B175" s="7" t="s">
        <v>82</v>
      </c>
      <c r="C175" s="7" t="s">
        <v>245</v>
      </c>
      <c r="D175" s="10" t="s">
        <v>401</v>
      </c>
      <c r="E175" s="213">
        <v>65.579999999999984</v>
      </c>
      <c r="F175" s="7"/>
      <c r="G175" s="7"/>
      <c r="H175" s="7"/>
      <c r="I175" s="119"/>
      <c r="J175" s="119"/>
      <c r="K175" s="7"/>
      <c r="L175" s="120"/>
      <c r="M175" s="7"/>
      <c r="N175" s="10"/>
      <c r="O175" s="11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>
      <c r="A176" s="10" t="s">
        <v>15</v>
      </c>
      <c r="B176" s="7" t="s">
        <v>82</v>
      </c>
      <c r="C176" s="7" t="s">
        <v>308</v>
      </c>
      <c r="D176" s="10" t="s">
        <v>402</v>
      </c>
      <c r="E176" s="213">
        <v>14.33</v>
      </c>
      <c r="F176" s="7"/>
      <c r="G176" s="7"/>
      <c r="H176" s="7"/>
      <c r="I176" s="119"/>
      <c r="J176" s="119"/>
      <c r="K176" s="7"/>
      <c r="L176" s="120"/>
      <c r="M176" s="7"/>
      <c r="N176" s="10"/>
      <c r="O176" s="11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>
      <c r="A177" s="10" t="s">
        <v>15</v>
      </c>
      <c r="B177" s="7" t="s">
        <v>82</v>
      </c>
      <c r="C177" s="7" t="s">
        <v>386</v>
      </c>
      <c r="D177" s="10" t="s">
        <v>403</v>
      </c>
      <c r="E177" s="213">
        <v>17.3</v>
      </c>
      <c r="F177" s="7"/>
      <c r="G177" s="7"/>
      <c r="H177" s="7"/>
      <c r="I177" s="119"/>
      <c r="J177" s="119"/>
      <c r="K177" s="7"/>
      <c r="L177" s="120"/>
      <c r="M177" s="7"/>
      <c r="N177" s="10"/>
      <c r="O177" s="11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>
      <c r="A178" s="10" t="s">
        <v>15</v>
      </c>
      <c r="B178" s="7" t="s">
        <v>82</v>
      </c>
      <c r="C178" s="7" t="s">
        <v>193</v>
      </c>
      <c r="D178" s="10" t="s">
        <v>404</v>
      </c>
      <c r="E178" s="213">
        <v>49.19</v>
      </c>
      <c r="F178" s="7"/>
      <c r="G178" s="7"/>
      <c r="H178" s="7"/>
      <c r="I178" s="119"/>
      <c r="J178" s="119"/>
      <c r="K178" s="7"/>
      <c r="L178" s="120"/>
      <c r="M178" s="7"/>
      <c r="N178" s="10"/>
      <c r="O178" s="11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>
      <c r="A179" s="10" t="s">
        <v>15</v>
      </c>
      <c r="B179" s="7" t="s">
        <v>82</v>
      </c>
      <c r="C179" s="7" t="s">
        <v>396</v>
      </c>
      <c r="D179" s="10" t="s">
        <v>405</v>
      </c>
      <c r="E179" s="213">
        <v>11.98</v>
      </c>
      <c r="F179" s="7"/>
      <c r="G179" s="7"/>
      <c r="H179" s="7"/>
      <c r="I179" s="119"/>
      <c r="J179" s="119"/>
      <c r="K179" s="7"/>
      <c r="L179" s="120"/>
      <c r="M179" s="7"/>
      <c r="N179" s="10"/>
      <c r="O179" s="11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>
      <c r="A180" s="10" t="s">
        <v>15</v>
      </c>
      <c r="B180" s="7" t="s">
        <v>82</v>
      </c>
      <c r="C180" s="7" t="s">
        <v>383</v>
      </c>
      <c r="D180" s="10" t="s">
        <v>406</v>
      </c>
      <c r="E180" s="213">
        <v>5.95</v>
      </c>
      <c r="F180" s="7"/>
      <c r="G180" s="7"/>
      <c r="H180" s="7"/>
      <c r="I180" s="119"/>
      <c r="J180" s="119"/>
      <c r="K180" s="7"/>
      <c r="L180" s="120"/>
      <c r="M180" s="7"/>
      <c r="N180" s="10"/>
      <c r="O180" s="11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>
      <c r="A181" s="10" t="s">
        <v>15</v>
      </c>
      <c r="B181" s="7" t="s">
        <v>82</v>
      </c>
      <c r="C181" s="7" t="s">
        <v>247</v>
      </c>
      <c r="D181" s="10" t="s">
        <v>407</v>
      </c>
      <c r="E181" s="213">
        <v>24.07</v>
      </c>
      <c r="F181" s="7"/>
      <c r="G181" s="7"/>
      <c r="H181" s="7"/>
      <c r="I181" s="119"/>
      <c r="J181" s="119"/>
      <c r="K181" s="7"/>
      <c r="L181" s="120"/>
      <c r="M181" s="7"/>
      <c r="N181" s="10"/>
      <c r="O181" s="11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>
      <c r="A182" s="10" t="s">
        <v>15</v>
      </c>
      <c r="B182" s="7" t="s">
        <v>76</v>
      </c>
      <c r="C182" s="7" t="s">
        <v>245</v>
      </c>
      <c r="D182" s="10" t="s">
        <v>408</v>
      </c>
      <c r="E182" s="213">
        <v>5.75</v>
      </c>
      <c r="F182" s="7"/>
      <c r="G182" s="7"/>
      <c r="H182" s="7"/>
      <c r="I182" s="119"/>
      <c r="J182" s="119"/>
      <c r="K182" s="7"/>
      <c r="L182" s="120"/>
      <c r="M182" s="7"/>
      <c r="N182" s="10"/>
      <c r="O182" s="11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>
      <c r="A183" s="10" t="s">
        <v>15</v>
      </c>
      <c r="B183" s="7" t="s">
        <v>76</v>
      </c>
      <c r="C183" s="7" t="s">
        <v>308</v>
      </c>
      <c r="D183" s="10" t="s">
        <v>409</v>
      </c>
      <c r="E183" s="213">
        <v>7.93</v>
      </c>
      <c r="F183" s="7"/>
      <c r="G183" s="7"/>
      <c r="H183" s="7"/>
      <c r="I183" s="119"/>
      <c r="J183" s="119"/>
      <c r="K183" s="7"/>
      <c r="L183" s="120"/>
      <c r="M183" s="7"/>
      <c r="N183" s="10"/>
      <c r="O183" s="11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>
      <c r="A184" s="10" t="s">
        <v>15</v>
      </c>
      <c r="B184" s="7" t="s">
        <v>76</v>
      </c>
      <c r="C184" s="7" t="s">
        <v>383</v>
      </c>
      <c r="D184" s="10" t="s">
        <v>410</v>
      </c>
      <c r="E184" s="213">
        <v>5.3</v>
      </c>
      <c r="F184" s="7"/>
      <c r="G184" s="7"/>
      <c r="H184" s="7"/>
      <c r="I184" s="119"/>
      <c r="J184" s="119"/>
      <c r="K184" s="7"/>
      <c r="L184" s="120"/>
      <c r="M184" s="7"/>
      <c r="N184" s="10"/>
      <c r="O184" s="11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>
      <c r="A185" s="10" t="s">
        <v>15</v>
      </c>
      <c r="B185" s="7" t="s">
        <v>76</v>
      </c>
      <c r="C185" s="7" t="s">
        <v>247</v>
      </c>
      <c r="D185" s="10" t="s">
        <v>411</v>
      </c>
      <c r="E185" s="213">
        <v>219.5</v>
      </c>
      <c r="F185" s="7"/>
      <c r="G185" s="7"/>
      <c r="H185" s="7"/>
      <c r="I185" s="119"/>
      <c r="J185" s="119"/>
      <c r="K185" s="7"/>
      <c r="L185" s="120"/>
      <c r="M185" s="7"/>
      <c r="N185" s="10"/>
      <c r="O185" s="11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>
      <c r="A186" s="10" t="s">
        <v>15</v>
      </c>
      <c r="B186" s="7" t="s">
        <v>80</v>
      </c>
      <c r="C186" s="7" t="s">
        <v>245</v>
      </c>
      <c r="D186" s="10" t="s">
        <v>412</v>
      </c>
      <c r="E186" s="213">
        <v>37.090000000000003</v>
      </c>
      <c r="F186" s="7"/>
      <c r="G186" s="7"/>
      <c r="H186" s="7"/>
      <c r="I186" s="119"/>
      <c r="J186" s="119"/>
      <c r="K186" s="7"/>
      <c r="L186" s="120"/>
      <c r="M186" s="7"/>
      <c r="N186" s="10"/>
      <c r="O186" s="11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>
      <c r="A187" s="10" t="s">
        <v>15</v>
      </c>
      <c r="B187" s="7" t="s">
        <v>80</v>
      </c>
      <c r="C187" s="7" t="s">
        <v>308</v>
      </c>
      <c r="D187" s="10" t="s">
        <v>413</v>
      </c>
      <c r="E187" s="213">
        <v>7.47</v>
      </c>
      <c r="F187" s="7"/>
      <c r="G187" s="7"/>
      <c r="H187" s="7"/>
      <c r="I187" s="119"/>
      <c r="J187" s="119"/>
      <c r="K187" s="7"/>
      <c r="L187" s="120"/>
      <c r="M187" s="7"/>
      <c r="N187" s="10"/>
      <c r="O187" s="11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>
      <c r="A188" s="10" t="s">
        <v>15</v>
      </c>
      <c r="B188" s="7" t="s">
        <v>80</v>
      </c>
      <c r="C188" s="7" t="s">
        <v>193</v>
      </c>
      <c r="D188" s="10" t="s">
        <v>414</v>
      </c>
      <c r="E188" s="213">
        <v>15.5</v>
      </c>
      <c r="F188" s="7"/>
      <c r="G188" s="7"/>
      <c r="H188" s="7"/>
      <c r="I188" s="119"/>
      <c r="J188" s="119"/>
      <c r="K188" s="7"/>
      <c r="L188" s="120"/>
      <c r="M188" s="7"/>
      <c r="N188" s="10"/>
      <c r="O188" s="11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>
      <c r="A189" s="10" t="s">
        <v>15</v>
      </c>
      <c r="B189" s="7" t="s">
        <v>80</v>
      </c>
      <c r="C189" s="7" t="s">
        <v>383</v>
      </c>
      <c r="D189" s="10" t="s">
        <v>397</v>
      </c>
      <c r="E189" s="213">
        <v>6.2</v>
      </c>
      <c r="F189" s="7"/>
      <c r="G189" s="7"/>
      <c r="H189" s="7"/>
      <c r="I189" s="119"/>
      <c r="J189" s="119"/>
      <c r="K189" s="7"/>
      <c r="L189" s="120"/>
      <c r="M189" s="7"/>
      <c r="N189" s="10"/>
      <c r="O189" s="11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>
      <c r="A190" s="10" t="s">
        <v>15</v>
      </c>
      <c r="B190" s="7" t="s">
        <v>80</v>
      </c>
      <c r="C190" s="7" t="s">
        <v>247</v>
      </c>
      <c r="D190" s="10" t="s">
        <v>415</v>
      </c>
      <c r="E190" s="213">
        <v>23.12</v>
      </c>
      <c r="F190" s="7"/>
      <c r="G190" s="7"/>
      <c r="H190" s="7"/>
      <c r="I190" s="119"/>
      <c r="J190" s="119"/>
      <c r="K190" s="7"/>
      <c r="L190" s="120"/>
      <c r="M190" s="7"/>
      <c r="N190" s="10"/>
      <c r="O190" s="11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>
      <c r="A191" s="10" t="s">
        <v>25</v>
      </c>
      <c r="B191" s="7" t="s">
        <v>130</v>
      </c>
      <c r="C191" s="7" t="s">
        <v>245</v>
      </c>
      <c r="D191" s="10" t="s">
        <v>416</v>
      </c>
      <c r="E191" s="213">
        <v>165.26</v>
      </c>
      <c r="F191" s="7"/>
      <c r="G191" s="7"/>
      <c r="H191" s="7"/>
      <c r="I191" s="119"/>
      <c r="J191" s="119"/>
      <c r="K191" s="7"/>
      <c r="L191" s="120"/>
      <c r="M191" s="7"/>
      <c r="N191" s="10"/>
      <c r="O191" s="11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>
      <c r="A192" s="10" t="s">
        <v>25</v>
      </c>
      <c r="B192" s="7" t="s">
        <v>130</v>
      </c>
      <c r="C192" s="7" t="s">
        <v>193</v>
      </c>
      <c r="D192" s="10" t="s">
        <v>417</v>
      </c>
      <c r="E192" s="213">
        <v>46.419999999999987</v>
      </c>
      <c r="F192" s="7"/>
      <c r="G192" s="7"/>
      <c r="H192" s="7"/>
      <c r="I192" s="119"/>
      <c r="J192" s="119"/>
      <c r="K192" s="7"/>
      <c r="L192" s="120"/>
      <c r="M192" s="7"/>
      <c r="N192" s="10"/>
      <c r="O192" s="11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>
      <c r="A193" s="10" t="s">
        <v>25</v>
      </c>
      <c r="B193" s="7" t="s">
        <v>130</v>
      </c>
      <c r="C193" s="7" t="s">
        <v>418</v>
      </c>
      <c r="D193" s="10" t="s">
        <v>419</v>
      </c>
      <c r="E193" s="213">
        <v>9.14</v>
      </c>
      <c r="F193" s="7"/>
      <c r="G193" s="7"/>
      <c r="H193" s="7"/>
      <c r="I193" s="119"/>
      <c r="J193" s="119"/>
      <c r="K193" s="7"/>
      <c r="L193" s="120"/>
      <c r="M193" s="7"/>
      <c r="N193" s="10"/>
      <c r="O193" s="11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>
      <c r="A194" s="10" t="s">
        <v>25</v>
      </c>
      <c r="B194" s="7" t="s">
        <v>130</v>
      </c>
      <c r="C194" s="7" t="s">
        <v>267</v>
      </c>
      <c r="D194" s="10" t="s">
        <v>420</v>
      </c>
      <c r="E194" s="213">
        <v>31.99</v>
      </c>
      <c r="F194" s="7"/>
      <c r="G194" s="7"/>
      <c r="H194" s="7"/>
      <c r="I194" s="119"/>
      <c r="J194" s="119"/>
      <c r="K194" s="7"/>
      <c r="L194" s="120"/>
      <c r="M194" s="7"/>
      <c r="N194" s="10"/>
      <c r="O194" s="11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>
      <c r="A195" s="10" t="s">
        <v>25</v>
      </c>
      <c r="B195" s="7" t="s">
        <v>127</v>
      </c>
      <c r="C195" s="7" t="s">
        <v>267</v>
      </c>
      <c r="D195" s="10" t="s">
        <v>421</v>
      </c>
      <c r="E195" s="213">
        <v>247.77</v>
      </c>
      <c r="F195" s="7"/>
      <c r="G195" s="7"/>
      <c r="H195" s="7"/>
      <c r="I195" s="119"/>
      <c r="J195" s="119"/>
      <c r="K195" s="7"/>
      <c r="L195" s="120"/>
      <c r="M195" s="7"/>
      <c r="N195" s="10"/>
      <c r="O195" s="11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>
      <c r="A196" s="10" t="s">
        <v>25</v>
      </c>
      <c r="B196" s="7" t="s">
        <v>129</v>
      </c>
      <c r="C196" s="7" t="s">
        <v>245</v>
      </c>
      <c r="D196" s="10" t="s">
        <v>422</v>
      </c>
      <c r="E196" s="213">
        <v>87.85</v>
      </c>
      <c r="F196" s="7"/>
      <c r="G196" s="7"/>
      <c r="H196" s="7"/>
      <c r="I196" s="119"/>
      <c r="J196" s="119"/>
      <c r="K196" s="7"/>
      <c r="L196" s="120"/>
      <c r="M196" s="7"/>
      <c r="N196" s="10"/>
      <c r="O196" s="11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>
      <c r="A197" s="10" t="s">
        <v>25</v>
      </c>
      <c r="B197" s="7" t="s">
        <v>129</v>
      </c>
      <c r="C197" s="7" t="s">
        <v>193</v>
      </c>
      <c r="D197" s="10" t="s">
        <v>423</v>
      </c>
      <c r="E197" s="213">
        <v>24.33</v>
      </c>
      <c r="F197" s="7"/>
      <c r="G197" s="7"/>
      <c r="H197" s="7"/>
      <c r="I197" s="119"/>
      <c r="J197" s="119"/>
      <c r="K197" s="7"/>
      <c r="L197" s="120"/>
      <c r="M197" s="7"/>
      <c r="N197" s="10"/>
      <c r="O197" s="11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>
      <c r="A198" s="10" t="s">
        <v>25</v>
      </c>
      <c r="B198" s="7" t="s">
        <v>129</v>
      </c>
      <c r="C198" s="7" t="s">
        <v>267</v>
      </c>
      <c r="D198" s="10" t="s">
        <v>424</v>
      </c>
      <c r="E198" s="213">
        <v>176.26</v>
      </c>
      <c r="F198" s="7"/>
      <c r="G198" s="7"/>
      <c r="H198" s="7"/>
      <c r="I198" s="119"/>
      <c r="J198" s="119"/>
      <c r="K198" s="7"/>
      <c r="L198" s="120"/>
      <c r="M198" s="7"/>
      <c r="N198" s="10"/>
      <c r="O198" s="11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>
      <c r="A199" s="10" t="s">
        <v>25</v>
      </c>
      <c r="B199" s="7" t="s">
        <v>126</v>
      </c>
      <c r="C199" s="7" t="s">
        <v>306</v>
      </c>
      <c r="D199" s="10" t="s">
        <v>425</v>
      </c>
      <c r="E199" s="213">
        <v>12</v>
      </c>
      <c r="F199" s="7"/>
      <c r="G199" s="7"/>
      <c r="H199" s="7"/>
      <c r="I199" s="119"/>
      <c r="J199" s="119"/>
      <c r="K199" s="7"/>
      <c r="L199" s="120"/>
      <c r="M199" s="7"/>
      <c r="N199" s="10"/>
      <c r="O199" s="11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>
      <c r="A200" s="10" t="s">
        <v>25</v>
      </c>
      <c r="B200" s="7" t="s">
        <v>126</v>
      </c>
      <c r="C200" s="7" t="s">
        <v>426</v>
      </c>
      <c r="D200" s="10" t="s">
        <v>268</v>
      </c>
      <c r="E200" s="213">
        <v>16.71</v>
      </c>
      <c r="F200" s="7"/>
      <c r="G200" s="7"/>
      <c r="H200" s="7"/>
      <c r="I200" s="119"/>
      <c r="J200" s="119"/>
      <c r="K200" s="7"/>
      <c r="L200" s="120"/>
      <c r="M200" s="7"/>
      <c r="N200" s="10"/>
      <c r="O200" s="11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>
      <c r="A201" s="10" t="s">
        <v>25</v>
      </c>
      <c r="B201" s="7" t="s">
        <v>126</v>
      </c>
      <c r="C201" s="7" t="s">
        <v>193</v>
      </c>
      <c r="D201" s="10" t="s">
        <v>427</v>
      </c>
      <c r="E201" s="213">
        <v>88.72999999999999</v>
      </c>
      <c r="F201" s="7"/>
      <c r="G201" s="7"/>
      <c r="H201" s="7"/>
      <c r="I201" s="119"/>
      <c r="J201" s="119"/>
      <c r="K201" s="7"/>
      <c r="L201" s="120"/>
      <c r="M201" s="7"/>
      <c r="N201" s="10"/>
      <c r="O201" s="11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>
      <c r="A202" s="10" t="s">
        <v>25</v>
      </c>
      <c r="B202" s="7" t="s">
        <v>126</v>
      </c>
      <c r="C202" s="7" t="s">
        <v>428</v>
      </c>
      <c r="D202" s="10" t="s">
        <v>429</v>
      </c>
      <c r="E202" s="213">
        <v>5.18</v>
      </c>
      <c r="F202" s="7"/>
      <c r="G202" s="7"/>
      <c r="H202" s="7"/>
      <c r="I202" s="119"/>
      <c r="J202" s="119"/>
      <c r="K202" s="7"/>
      <c r="L202" s="120"/>
      <c r="M202" s="7"/>
      <c r="N202" s="10"/>
      <c r="O202" s="11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>
      <c r="A203" s="10" t="s">
        <v>25</v>
      </c>
      <c r="B203" s="7" t="s">
        <v>126</v>
      </c>
      <c r="C203" s="7" t="s">
        <v>430</v>
      </c>
      <c r="D203" s="10" t="s">
        <v>431</v>
      </c>
      <c r="E203" s="213">
        <v>43.3</v>
      </c>
      <c r="F203" s="7"/>
      <c r="G203" s="7"/>
      <c r="H203" s="7"/>
      <c r="I203" s="119"/>
      <c r="J203" s="119"/>
      <c r="K203" s="7"/>
      <c r="L203" s="120"/>
      <c r="M203" s="7"/>
      <c r="N203" s="10"/>
      <c r="O203" s="11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>
      <c r="A204" s="10" t="s">
        <v>25</v>
      </c>
      <c r="B204" s="7" t="s">
        <v>126</v>
      </c>
      <c r="C204" s="7" t="s">
        <v>418</v>
      </c>
      <c r="D204" s="10" t="s">
        <v>432</v>
      </c>
      <c r="E204" s="213">
        <v>20.32</v>
      </c>
      <c r="F204" s="7"/>
      <c r="G204" s="7"/>
      <c r="H204" s="7"/>
      <c r="I204" s="119"/>
      <c r="J204" s="119"/>
      <c r="K204" s="7"/>
      <c r="L204" s="120"/>
      <c r="M204" s="7"/>
      <c r="N204" s="10"/>
      <c r="O204" s="11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>
      <c r="A205" s="10" t="s">
        <v>25</v>
      </c>
      <c r="B205" s="7" t="s">
        <v>126</v>
      </c>
      <c r="C205" s="7" t="s">
        <v>433</v>
      </c>
      <c r="D205" s="10" t="s">
        <v>434</v>
      </c>
      <c r="E205" s="213">
        <v>26.84</v>
      </c>
      <c r="F205" s="7"/>
      <c r="G205" s="7"/>
      <c r="H205" s="7"/>
      <c r="I205" s="119"/>
      <c r="J205" s="119"/>
      <c r="K205" s="7"/>
      <c r="L205" s="120"/>
      <c r="M205" s="7"/>
      <c r="N205" s="10"/>
      <c r="O205" s="11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>
      <c r="A206" s="10" t="s">
        <v>26</v>
      </c>
      <c r="B206" s="7" t="s">
        <v>131</v>
      </c>
      <c r="C206" s="7" t="s">
        <v>191</v>
      </c>
      <c r="D206" s="10" t="s">
        <v>435</v>
      </c>
      <c r="E206" s="213">
        <v>96.16</v>
      </c>
      <c r="F206" s="7"/>
      <c r="G206" s="7"/>
      <c r="H206" s="7"/>
      <c r="I206" s="119"/>
      <c r="J206" s="119"/>
      <c r="K206" s="7"/>
      <c r="L206" s="120"/>
      <c r="M206" s="7"/>
      <c r="N206" s="10"/>
      <c r="O206" s="11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>
      <c r="A207" s="10" t="s">
        <v>26</v>
      </c>
      <c r="B207" s="7" t="s">
        <v>131</v>
      </c>
      <c r="C207" s="7" t="s">
        <v>436</v>
      </c>
      <c r="D207" s="10" t="s">
        <v>437</v>
      </c>
      <c r="E207" s="213">
        <v>79.959999999999994</v>
      </c>
      <c r="F207" s="7"/>
      <c r="G207" s="7"/>
      <c r="H207" s="7"/>
      <c r="I207" s="119"/>
      <c r="J207" s="119"/>
      <c r="K207" s="7"/>
      <c r="L207" s="120"/>
      <c r="M207" s="7"/>
      <c r="N207" s="10"/>
      <c r="O207" s="11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>
      <c r="A208" s="10" t="s">
        <v>26</v>
      </c>
      <c r="B208" s="7" t="s">
        <v>131</v>
      </c>
      <c r="C208" s="7" t="s">
        <v>257</v>
      </c>
      <c r="D208" s="10" t="s">
        <v>438</v>
      </c>
      <c r="E208" s="213">
        <v>58.360000000000007</v>
      </c>
      <c r="F208" s="7"/>
      <c r="G208" s="7"/>
      <c r="H208" s="7"/>
      <c r="I208" s="119"/>
      <c r="J208" s="119"/>
      <c r="K208" s="7"/>
      <c r="L208" s="120"/>
      <c r="M208" s="7"/>
      <c r="N208" s="10"/>
      <c r="O208" s="11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>
      <c r="A209" s="10" t="s">
        <v>26</v>
      </c>
      <c r="B209" s="7" t="s">
        <v>131</v>
      </c>
      <c r="C209" s="7" t="s">
        <v>439</v>
      </c>
      <c r="D209" s="10" t="s">
        <v>440</v>
      </c>
      <c r="E209" s="213">
        <v>7.37</v>
      </c>
      <c r="F209" s="7"/>
      <c r="G209" s="7"/>
      <c r="H209" s="7"/>
      <c r="I209" s="119"/>
      <c r="J209" s="119"/>
      <c r="K209" s="7"/>
      <c r="L209" s="120"/>
      <c r="M209" s="7"/>
      <c r="N209" s="10"/>
      <c r="O209" s="11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>
      <c r="A210" s="10" t="s">
        <v>26</v>
      </c>
      <c r="B210" s="7" t="s">
        <v>131</v>
      </c>
      <c r="C210" s="7" t="s">
        <v>441</v>
      </c>
      <c r="D210" s="10" t="s">
        <v>303</v>
      </c>
      <c r="E210" s="213">
        <v>7.83</v>
      </c>
      <c r="F210" s="7"/>
      <c r="G210" s="7"/>
      <c r="H210" s="7"/>
      <c r="I210" s="119"/>
      <c r="J210" s="119"/>
      <c r="K210" s="7"/>
      <c r="L210" s="120"/>
      <c r="M210" s="7"/>
      <c r="N210" s="10"/>
      <c r="O210" s="11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>
      <c r="A211" s="10" t="s">
        <v>26</v>
      </c>
      <c r="B211" s="7" t="s">
        <v>131</v>
      </c>
      <c r="C211" s="7" t="s">
        <v>442</v>
      </c>
      <c r="D211" s="10" t="s">
        <v>443</v>
      </c>
      <c r="E211" s="213">
        <v>5.15</v>
      </c>
      <c r="F211" s="7"/>
      <c r="G211" s="7"/>
      <c r="H211" s="7"/>
      <c r="I211" s="119"/>
      <c r="J211" s="119"/>
      <c r="K211" s="7"/>
      <c r="L211" s="120"/>
      <c r="M211" s="7"/>
      <c r="N211" s="10"/>
      <c r="O211" s="11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>
      <c r="A212" s="10" t="s">
        <v>25</v>
      </c>
      <c r="B212" s="7" t="s">
        <v>128</v>
      </c>
      <c r="C212" s="7" t="s">
        <v>245</v>
      </c>
      <c r="D212" s="10" t="s">
        <v>444</v>
      </c>
      <c r="E212" s="213">
        <v>44.09</v>
      </c>
      <c r="F212" s="7"/>
      <c r="G212" s="7"/>
      <c r="H212" s="7"/>
      <c r="I212" s="119"/>
      <c r="J212" s="119"/>
      <c r="K212" s="7"/>
      <c r="L212" s="120"/>
      <c r="M212" s="7"/>
      <c r="N212" s="10"/>
      <c r="O212" s="11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>
      <c r="A213" s="10" t="s">
        <v>25</v>
      </c>
      <c r="B213" s="7" t="s">
        <v>128</v>
      </c>
      <c r="C213" s="7" t="s">
        <v>193</v>
      </c>
      <c r="D213" s="10" t="s">
        <v>445</v>
      </c>
      <c r="E213" s="213">
        <v>167.32000000000011</v>
      </c>
      <c r="F213" s="7"/>
      <c r="G213" s="7"/>
      <c r="H213" s="7"/>
      <c r="I213" s="119"/>
      <c r="J213" s="119"/>
      <c r="K213" s="7"/>
      <c r="L213" s="120"/>
      <c r="M213" s="7"/>
      <c r="N213" s="10"/>
      <c r="O213" s="11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>
      <c r="A214" s="10" t="s">
        <v>25</v>
      </c>
      <c r="B214" s="7" t="s">
        <v>128</v>
      </c>
      <c r="C214" s="7" t="s">
        <v>418</v>
      </c>
      <c r="D214" s="10" t="s">
        <v>446</v>
      </c>
      <c r="E214" s="213">
        <v>28.97</v>
      </c>
      <c r="F214" s="7"/>
      <c r="G214" s="7"/>
      <c r="H214" s="7"/>
      <c r="I214" s="119"/>
      <c r="J214" s="119"/>
      <c r="K214" s="7"/>
      <c r="L214" s="120"/>
      <c r="M214" s="7"/>
      <c r="N214" s="10"/>
      <c r="O214" s="11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>
      <c r="A215" s="10" t="s">
        <v>25</v>
      </c>
      <c r="B215" s="7" t="s">
        <v>128</v>
      </c>
      <c r="C215" s="7" t="s">
        <v>267</v>
      </c>
      <c r="D215" s="10" t="s">
        <v>447</v>
      </c>
      <c r="E215" s="213">
        <v>48.37</v>
      </c>
      <c r="F215" s="7"/>
      <c r="G215" s="7"/>
      <c r="H215" s="7"/>
      <c r="I215" s="119"/>
      <c r="J215" s="119"/>
      <c r="K215" s="7"/>
      <c r="L215" s="120"/>
      <c r="M215" s="7"/>
      <c r="N215" s="10"/>
      <c r="O215" s="11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>
      <c r="A216" s="10" t="s">
        <v>26</v>
      </c>
      <c r="B216" s="7" t="s">
        <v>133</v>
      </c>
      <c r="C216" s="7" t="s">
        <v>191</v>
      </c>
      <c r="D216" s="10" t="s">
        <v>448</v>
      </c>
      <c r="E216" s="213">
        <v>86.14</v>
      </c>
      <c r="F216" s="7"/>
      <c r="G216" s="7"/>
      <c r="H216" s="7"/>
      <c r="I216" s="119"/>
      <c r="J216" s="119"/>
      <c r="K216" s="7"/>
      <c r="L216" s="120"/>
      <c r="M216" s="7"/>
      <c r="N216" s="10"/>
      <c r="O216" s="11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>
      <c r="A217" s="10" t="s">
        <v>26</v>
      </c>
      <c r="B217" s="7" t="s">
        <v>133</v>
      </c>
      <c r="C217" s="7" t="s">
        <v>257</v>
      </c>
      <c r="D217" s="10" t="s">
        <v>449</v>
      </c>
      <c r="E217" s="213">
        <v>76.409999999999982</v>
      </c>
      <c r="F217" s="7"/>
      <c r="G217" s="7"/>
      <c r="H217" s="7"/>
      <c r="I217" s="119"/>
      <c r="J217" s="119"/>
      <c r="K217" s="7"/>
      <c r="L217" s="120"/>
      <c r="M217" s="7"/>
      <c r="N217" s="10"/>
      <c r="O217" s="11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>
      <c r="A218" s="10" t="s">
        <v>26</v>
      </c>
      <c r="B218" s="7" t="s">
        <v>133</v>
      </c>
      <c r="C218" s="7" t="s">
        <v>439</v>
      </c>
      <c r="D218" s="10" t="s">
        <v>450</v>
      </c>
      <c r="E218" s="213">
        <v>40.119999999999997</v>
      </c>
      <c r="F218" s="7"/>
      <c r="G218" s="7"/>
      <c r="H218" s="7"/>
      <c r="I218" s="7"/>
      <c r="J218" s="7"/>
      <c r="K218" s="7"/>
      <c r="L218" s="120"/>
      <c r="M218" s="7"/>
      <c r="N218" s="10"/>
      <c r="O218" s="11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>
      <c r="A219" s="10" t="s">
        <v>26</v>
      </c>
      <c r="B219" s="7" t="s">
        <v>133</v>
      </c>
      <c r="C219" s="7" t="s">
        <v>441</v>
      </c>
      <c r="D219" s="10" t="s">
        <v>329</v>
      </c>
      <c r="E219" s="213">
        <v>8.0299999999999994</v>
      </c>
      <c r="F219" s="7"/>
      <c r="G219" s="7"/>
      <c r="H219" s="7"/>
      <c r="I219" s="7"/>
      <c r="J219" s="7"/>
      <c r="K219" s="7"/>
      <c r="L219" s="120"/>
      <c r="M219" s="7"/>
      <c r="N219" s="10"/>
      <c r="O219" s="11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>
      <c r="A220" s="10" t="s">
        <v>26</v>
      </c>
      <c r="B220" s="7" t="s">
        <v>133</v>
      </c>
      <c r="C220" s="7" t="s">
        <v>442</v>
      </c>
      <c r="D220" s="10" t="s">
        <v>451</v>
      </c>
      <c r="E220" s="213">
        <v>21.89</v>
      </c>
      <c r="F220" s="7"/>
      <c r="G220" s="7"/>
      <c r="H220" s="7"/>
      <c r="I220" s="7"/>
      <c r="J220" s="7"/>
      <c r="K220" s="7"/>
      <c r="L220" s="120"/>
      <c r="M220" s="7"/>
      <c r="N220" s="10"/>
      <c r="O220" s="11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10" t="s">
        <v>26</v>
      </c>
      <c r="B221" s="7" t="s">
        <v>135</v>
      </c>
      <c r="C221" s="7" t="s">
        <v>191</v>
      </c>
      <c r="D221" s="10" t="s">
        <v>452</v>
      </c>
      <c r="E221" s="213">
        <v>47.52</v>
      </c>
      <c r="F221" s="7"/>
      <c r="G221" s="7"/>
      <c r="H221" s="7"/>
      <c r="I221" s="7"/>
      <c r="J221" s="7"/>
      <c r="K221" s="7"/>
      <c r="L221" s="120"/>
      <c r="M221" s="7"/>
      <c r="N221" s="10"/>
      <c r="O221" s="11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>
      <c r="A222" s="10" t="s">
        <v>26</v>
      </c>
      <c r="B222" s="7" t="s">
        <v>135</v>
      </c>
      <c r="C222" s="7" t="s">
        <v>257</v>
      </c>
      <c r="D222" s="10" t="s">
        <v>453</v>
      </c>
      <c r="E222" s="213">
        <v>64.510000000000005</v>
      </c>
      <c r="F222" s="7"/>
      <c r="G222" s="7"/>
      <c r="H222" s="7"/>
      <c r="I222" s="7"/>
      <c r="J222" s="7"/>
      <c r="K222" s="7"/>
      <c r="L222" s="120"/>
      <c r="M222" s="7"/>
      <c r="N222" s="10"/>
      <c r="O222" s="11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>
      <c r="A223" s="10" t="s">
        <v>26</v>
      </c>
      <c r="B223" s="7" t="s">
        <v>134</v>
      </c>
      <c r="C223" s="7" t="s">
        <v>191</v>
      </c>
      <c r="D223" s="10" t="s">
        <v>454</v>
      </c>
      <c r="E223" s="213">
        <v>79.11999999999999</v>
      </c>
      <c r="F223" s="7"/>
      <c r="G223" s="7"/>
      <c r="H223" s="7"/>
      <c r="I223" s="7"/>
      <c r="J223" s="7"/>
      <c r="K223" s="7"/>
      <c r="L223" s="120"/>
      <c r="M223" s="7"/>
      <c r="N223" s="10"/>
      <c r="O223" s="11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>
      <c r="A224" s="10" t="s">
        <v>26</v>
      </c>
      <c r="B224" s="7" t="s">
        <v>134</v>
      </c>
      <c r="C224" s="7" t="s">
        <v>257</v>
      </c>
      <c r="D224" s="10" t="s">
        <v>455</v>
      </c>
      <c r="E224" s="213">
        <v>33.049999999999997</v>
      </c>
      <c r="F224" s="7"/>
      <c r="G224" s="7"/>
      <c r="H224" s="7"/>
      <c r="I224" s="7"/>
      <c r="J224" s="7"/>
      <c r="K224" s="7"/>
      <c r="L224" s="120"/>
      <c r="M224" s="7"/>
      <c r="N224" s="10"/>
      <c r="O224" s="11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>
      <c r="A225" s="10" t="s">
        <v>26</v>
      </c>
      <c r="B225" s="7" t="s">
        <v>134</v>
      </c>
      <c r="C225" s="7" t="s">
        <v>439</v>
      </c>
      <c r="D225" s="10" t="s">
        <v>456</v>
      </c>
      <c r="E225" s="213">
        <v>55.760000000000012</v>
      </c>
      <c r="F225" s="7"/>
      <c r="G225" s="7"/>
      <c r="H225" s="7"/>
      <c r="I225" s="7"/>
      <c r="J225" s="7"/>
      <c r="K225" s="7"/>
      <c r="L225" s="120"/>
      <c r="M225" s="7"/>
      <c r="N225" s="10"/>
      <c r="O225" s="11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>
      <c r="A226" s="10" t="s">
        <v>26</v>
      </c>
      <c r="B226" s="7" t="s">
        <v>134</v>
      </c>
      <c r="C226" s="7" t="s">
        <v>441</v>
      </c>
      <c r="D226" s="10" t="s">
        <v>457</v>
      </c>
      <c r="E226" s="213">
        <v>39.58</v>
      </c>
      <c r="F226" s="7"/>
      <c r="G226" s="7"/>
      <c r="H226" s="7"/>
      <c r="I226" s="7"/>
      <c r="J226" s="7"/>
      <c r="K226" s="7"/>
      <c r="L226" s="120"/>
      <c r="M226" s="7"/>
      <c r="N226" s="10"/>
      <c r="O226" s="11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>
      <c r="A227" s="10" t="s">
        <v>26</v>
      </c>
      <c r="B227" s="7" t="s">
        <v>134</v>
      </c>
      <c r="C227" s="7" t="s">
        <v>442</v>
      </c>
      <c r="D227" s="10" t="s">
        <v>458</v>
      </c>
      <c r="E227" s="213">
        <v>32.81</v>
      </c>
      <c r="F227" s="7"/>
      <c r="G227" s="7"/>
      <c r="H227" s="7"/>
      <c r="I227" s="7"/>
      <c r="J227" s="7"/>
      <c r="K227" s="7"/>
      <c r="L227" s="120"/>
      <c r="M227" s="7"/>
      <c r="N227" s="10"/>
      <c r="O227" s="11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>
      <c r="A228" s="10" t="s">
        <v>26</v>
      </c>
      <c r="B228" s="7" t="s">
        <v>132</v>
      </c>
      <c r="C228" s="7" t="s">
        <v>191</v>
      </c>
      <c r="D228" s="10" t="s">
        <v>459</v>
      </c>
      <c r="E228" s="213">
        <v>3</v>
      </c>
      <c r="F228" s="7"/>
      <c r="G228" s="7"/>
      <c r="H228" s="7"/>
      <c r="I228" s="7"/>
      <c r="J228" s="7"/>
      <c r="K228" s="7"/>
      <c r="L228" s="120"/>
      <c r="M228" s="7"/>
      <c r="N228" s="10"/>
      <c r="O228" s="11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>
      <c r="A229" s="10" t="s">
        <v>26</v>
      </c>
      <c r="B229" s="7" t="s">
        <v>132</v>
      </c>
      <c r="C229" s="7" t="s">
        <v>439</v>
      </c>
      <c r="D229" s="10" t="s">
        <v>460</v>
      </c>
      <c r="E229" s="213">
        <v>21.45</v>
      </c>
      <c r="F229" s="7"/>
      <c r="G229" s="7"/>
      <c r="H229" s="7"/>
      <c r="I229" s="7"/>
      <c r="J229" s="7"/>
      <c r="K229" s="7"/>
      <c r="L229" s="120"/>
      <c r="M229" s="7"/>
      <c r="N229" s="10"/>
      <c r="O229" s="11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>
      <c r="A230" s="10" t="s">
        <v>26</v>
      </c>
      <c r="B230" s="7" t="s">
        <v>132</v>
      </c>
      <c r="C230" s="7" t="s">
        <v>441</v>
      </c>
      <c r="D230" s="10" t="s">
        <v>461</v>
      </c>
      <c r="E230" s="213">
        <v>189.27</v>
      </c>
      <c r="F230" s="7"/>
      <c r="G230" s="7"/>
      <c r="H230" s="7"/>
      <c r="I230" s="7"/>
      <c r="J230" s="7"/>
      <c r="K230" s="7"/>
      <c r="L230" s="120"/>
      <c r="M230" s="7"/>
      <c r="N230" s="10"/>
      <c r="O230" s="11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>
      <c r="A231" s="10" t="s">
        <v>26</v>
      </c>
      <c r="B231" s="7" t="s">
        <v>132</v>
      </c>
      <c r="C231" s="7" t="s">
        <v>442</v>
      </c>
      <c r="D231" s="10" t="s">
        <v>462</v>
      </c>
      <c r="E231" s="213">
        <v>5.79</v>
      </c>
      <c r="F231" s="7"/>
      <c r="G231" s="7"/>
      <c r="H231" s="7"/>
      <c r="I231" s="7"/>
      <c r="J231" s="7"/>
      <c r="K231" s="7"/>
      <c r="L231" s="120"/>
      <c r="M231" s="7"/>
      <c r="N231" s="10"/>
      <c r="O231" s="11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>
      <c r="A232" s="10"/>
      <c r="B232" s="7"/>
      <c r="C232" s="7"/>
      <c r="D232" s="10"/>
      <c r="E232" s="110"/>
      <c r="F232" s="7"/>
      <c r="G232" s="7"/>
      <c r="H232" s="7"/>
      <c r="I232" s="7"/>
      <c r="J232" s="7"/>
      <c r="K232" s="7"/>
      <c r="L232" s="120"/>
      <c r="M232" s="7"/>
      <c r="N232" s="10"/>
      <c r="O232" s="11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>
      <c r="A233" s="10"/>
      <c r="B233" s="7"/>
      <c r="C233" s="7"/>
      <c r="D233" s="10"/>
      <c r="E233" s="110"/>
      <c r="F233" s="7"/>
      <c r="G233" s="7"/>
      <c r="H233" s="7"/>
      <c r="I233" s="7"/>
      <c r="J233" s="7"/>
      <c r="K233" s="7"/>
      <c r="L233" s="120"/>
      <c r="M233" s="7"/>
      <c r="N233" s="10"/>
      <c r="O233" s="11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>
      <c r="A234" s="10"/>
      <c r="B234" s="7"/>
      <c r="C234" s="7"/>
      <c r="D234" s="10"/>
      <c r="E234" s="110"/>
      <c r="F234" s="7"/>
      <c r="G234" s="7"/>
      <c r="H234" s="7"/>
      <c r="I234" s="7"/>
      <c r="J234" s="7"/>
      <c r="K234" s="7"/>
      <c r="L234" s="120"/>
      <c r="M234" s="7"/>
      <c r="N234" s="10"/>
      <c r="O234" s="11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>
      <c r="A235" s="10"/>
      <c r="B235" s="7"/>
      <c r="C235" s="7"/>
      <c r="D235" s="10"/>
      <c r="E235" s="110"/>
      <c r="F235" s="7"/>
      <c r="G235" s="7"/>
      <c r="H235" s="7"/>
      <c r="I235" s="7"/>
      <c r="J235" s="7"/>
      <c r="K235" s="7"/>
      <c r="L235" s="120"/>
      <c r="M235" s="7"/>
      <c r="N235" s="10"/>
      <c r="O235" s="11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>
      <c r="A236" s="10"/>
      <c r="B236" s="7"/>
      <c r="C236" s="7"/>
      <c r="D236" s="10"/>
      <c r="E236" s="110"/>
      <c r="F236" s="7"/>
      <c r="G236" s="7"/>
      <c r="H236" s="7"/>
      <c r="I236" s="7"/>
      <c r="J236" s="7"/>
      <c r="K236" s="7"/>
      <c r="L236" s="120"/>
      <c r="M236" s="7"/>
      <c r="N236" s="10"/>
      <c r="O236" s="11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>
      <c r="A237" s="10"/>
      <c r="B237" s="7"/>
      <c r="C237" s="7"/>
      <c r="D237" s="10"/>
      <c r="E237" s="110"/>
      <c r="F237" s="7"/>
      <c r="G237" s="7"/>
      <c r="H237" s="7"/>
      <c r="I237" s="7"/>
      <c r="J237" s="7"/>
      <c r="K237" s="7"/>
      <c r="L237" s="120"/>
      <c r="M237" s="7"/>
      <c r="N237" s="10"/>
      <c r="O237" s="11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>
      <c r="A238" s="10"/>
      <c r="B238" s="7"/>
      <c r="C238" s="7"/>
      <c r="D238" s="10"/>
      <c r="E238" s="110"/>
      <c r="F238" s="7"/>
      <c r="G238" s="7"/>
      <c r="H238" s="7"/>
      <c r="I238" s="7"/>
      <c r="J238" s="7"/>
      <c r="K238" s="7"/>
      <c r="L238" s="120"/>
      <c r="M238" s="7"/>
      <c r="N238" s="10"/>
      <c r="O238" s="11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>
      <c r="A239" s="10"/>
      <c r="B239" s="7"/>
      <c r="C239" s="7"/>
      <c r="D239" s="10"/>
      <c r="E239" s="110"/>
      <c r="F239" s="7"/>
      <c r="G239" s="7"/>
      <c r="H239" s="7"/>
      <c r="I239" s="7"/>
      <c r="J239" s="7"/>
      <c r="K239" s="7"/>
      <c r="L239" s="120"/>
      <c r="M239" s="7"/>
      <c r="N239" s="10"/>
      <c r="O239" s="11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>
      <c r="A240" s="10"/>
      <c r="B240" s="7"/>
      <c r="C240" s="7"/>
      <c r="D240" s="10"/>
      <c r="E240" s="110"/>
      <c r="F240" s="7"/>
      <c r="G240" s="7"/>
      <c r="H240" s="7"/>
      <c r="I240" s="7"/>
      <c r="J240" s="7"/>
      <c r="K240" s="7"/>
      <c r="L240" s="120"/>
      <c r="M240" s="7"/>
      <c r="N240" s="10"/>
      <c r="O240" s="11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>
      <c r="A241" s="10"/>
      <c r="B241" s="7"/>
      <c r="C241" s="7"/>
      <c r="D241" s="10"/>
      <c r="E241" s="110"/>
      <c r="F241" s="7"/>
      <c r="G241" s="7"/>
      <c r="H241" s="7"/>
      <c r="I241" s="7"/>
      <c r="J241" s="7"/>
      <c r="K241" s="7"/>
      <c r="L241" s="120"/>
      <c r="M241" s="7"/>
      <c r="N241" s="10"/>
      <c r="O241" s="11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>
      <c r="A242" s="10"/>
      <c r="B242" s="7"/>
      <c r="C242" s="7"/>
      <c r="D242" s="10"/>
      <c r="E242" s="110"/>
      <c r="F242" s="7"/>
      <c r="G242" s="7"/>
      <c r="H242" s="7"/>
      <c r="I242" s="7"/>
      <c r="J242" s="7"/>
      <c r="K242" s="7"/>
      <c r="L242" s="120"/>
      <c r="M242" s="7"/>
      <c r="N242" s="10"/>
      <c r="O242" s="11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>
      <c r="A243" s="10"/>
      <c r="B243" s="7"/>
      <c r="C243" s="7"/>
      <c r="D243" s="10"/>
      <c r="E243" s="110"/>
      <c r="F243" s="7"/>
      <c r="G243" s="7"/>
      <c r="H243" s="7"/>
      <c r="I243" s="7"/>
      <c r="J243" s="7"/>
      <c r="K243" s="7"/>
      <c r="L243" s="120"/>
      <c r="M243" s="7"/>
      <c r="N243" s="10"/>
      <c r="O243" s="11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>
      <c r="A244" s="10"/>
      <c r="B244" s="7"/>
      <c r="C244" s="7"/>
      <c r="D244" s="10"/>
      <c r="E244" s="110"/>
      <c r="F244" s="7"/>
      <c r="G244" s="7"/>
      <c r="H244" s="7"/>
      <c r="I244" s="7"/>
      <c r="J244" s="7"/>
      <c r="K244" s="7"/>
      <c r="L244" s="120"/>
      <c r="M244" s="7"/>
      <c r="N244" s="10"/>
      <c r="O244" s="11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>
      <c r="A245" s="10"/>
      <c r="B245" s="7"/>
      <c r="C245" s="7"/>
      <c r="D245" s="10"/>
      <c r="E245" s="110"/>
      <c r="F245" s="7"/>
      <c r="G245" s="7"/>
      <c r="H245" s="7"/>
      <c r="I245" s="7"/>
      <c r="J245" s="7"/>
      <c r="K245" s="7"/>
      <c r="L245" s="120"/>
      <c r="M245" s="7"/>
      <c r="N245" s="10"/>
      <c r="O245" s="11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>
      <c r="A246" s="10"/>
      <c r="B246" s="7"/>
      <c r="C246" s="7"/>
      <c r="D246" s="10"/>
      <c r="E246" s="110"/>
      <c r="F246" s="7"/>
      <c r="G246" s="7"/>
      <c r="H246" s="7"/>
      <c r="I246" s="7"/>
      <c r="J246" s="7"/>
      <c r="K246" s="7"/>
      <c r="L246" s="120"/>
      <c r="M246" s="7"/>
      <c r="N246" s="10"/>
      <c r="O246" s="11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>
      <c r="A247" s="10"/>
      <c r="B247" s="7"/>
      <c r="C247" s="7"/>
      <c r="D247" s="10"/>
      <c r="E247" s="110"/>
      <c r="F247" s="7"/>
      <c r="G247" s="7"/>
      <c r="H247" s="7"/>
      <c r="I247" s="7"/>
      <c r="J247" s="7"/>
      <c r="K247" s="7"/>
      <c r="L247" s="120"/>
      <c r="M247" s="7"/>
      <c r="N247" s="10"/>
      <c r="O247" s="11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>
      <c r="A248" s="10"/>
      <c r="B248" s="7"/>
      <c r="C248" s="7"/>
      <c r="D248" s="10"/>
      <c r="E248" s="110"/>
      <c r="F248" s="7"/>
      <c r="G248" s="7"/>
      <c r="H248" s="7"/>
      <c r="I248" s="7"/>
      <c r="J248" s="7"/>
      <c r="K248" s="7"/>
      <c r="L248" s="120"/>
      <c r="M248" s="7"/>
      <c r="N248" s="10"/>
      <c r="O248" s="11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>
      <c r="A249" s="10"/>
      <c r="B249" s="7"/>
      <c r="C249" s="7"/>
      <c r="D249" s="10"/>
      <c r="E249" s="110"/>
      <c r="F249" s="7"/>
      <c r="G249" s="7"/>
      <c r="H249" s="7"/>
      <c r="I249" s="7"/>
      <c r="J249" s="7"/>
      <c r="K249" s="7"/>
      <c r="L249" s="120"/>
      <c r="M249" s="7"/>
      <c r="N249" s="10"/>
      <c r="O249" s="11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>
      <c r="A250" s="10"/>
      <c r="B250" s="7"/>
      <c r="C250" s="7"/>
      <c r="D250" s="10"/>
      <c r="E250" s="110"/>
      <c r="F250" s="7"/>
      <c r="G250" s="7"/>
      <c r="H250" s="7"/>
      <c r="I250" s="7"/>
      <c r="J250" s="7"/>
      <c r="K250" s="7"/>
      <c r="L250" s="120"/>
      <c r="M250" s="7"/>
      <c r="N250" s="10"/>
      <c r="O250" s="11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>
      <c r="A251" s="10"/>
      <c r="B251" s="7"/>
      <c r="C251" s="7"/>
      <c r="D251" s="10"/>
      <c r="E251" s="110"/>
      <c r="F251" s="7"/>
      <c r="G251" s="7"/>
      <c r="H251" s="7"/>
      <c r="I251" s="7"/>
      <c r="J251" s="7"/>
      <c r="K251" s="7"/>
      <c r="L251" s="120"/>
      <c r="M251" s="7"/>
      <c r="N251" s="10"/>
      <c r="O251" s="11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>
      <c r="A252" s="10"/>
      <c r="B252" s="7"/>
      <c r="C252" s="7"/>
      <c r="D252" s="10"/>
      <c r="E252" s="110"/>
      <c r="F252" s="7"/>
      <c r="G252" s="7"/>
      <c r="H252" s="7"/>
      <c r="I252" s="7"/>
      <c r="J252" s="7"/>
      <c r="K252" s="7"/>
      <c r="L252" s="120"/>
      <c r="M252" s="7"/>
      <c r="N252" s="10"/>
      <c r="O252" s="11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customHeight="1">
      <c r="A253" s="10"/>
      <c r="B253" s="7"/>
      <c r="C253" s="7"/>
      <c r="D253" s="10"/>
      <c r="E253" s="110"/>
      <c r="F253" s="7"/>
      <c r="G253" s="7"/>
      <c r="H253" s="7"/>
      <c r="I253" s="7"/>
      <c r="J253" s="7"/>
      <c r="K253" s="7"/>
      <c r="L253" s="120"/>
      <c r="M253" s="7"/>
      <c r="N253" s="10"/>
      <c r="O253" s="11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customHeight="1">
      <c r="A254" s="10"/>
      <c r="B254" s="7"/>
      <c r="C254" s="7"/>
      <c r="D254" s="10"/>
      <c r="E254" s="110"/>
      <c r="F254" s="7"/>
      <c r="G254" s="7"/>
      <c r="H254" s="7"/>
      <c r="I254" s="7"/>
      <c r="J254" s="7"/>
      <c r="K254" s="7"/>
      <c r="L254" s="120"/>
      <c r="M254" s="7"/>
      <c r="N254" s="10"/>
      <c r="O254" s="11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customHeight="1">
      <c r="A255" s="10"/>
      <c r="B255" s="7"/>
      <c r="C255" s="7"/>
      <c r="D255" s="10"/>
      <c r="E255" s="110"/>
      <c r="F255" s="7"/>
      <c r="G255" s="7"/>
      <c r="H255" s="7"/>
      <c r="I255" s="7"/>
      <c r="J255" s="7"/>
      <c r="K255" s="7"/>
      <c r="L255" s="120"/>
      <c r="M255" s="7"/>
      <c r="N255" s="10"/>
      <c r="O255" s="11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customHeight="1">
      <c r="A256" s="10"/>
      <c r="B256" s="7"/>
      <c r="C256" s="7"/>
      <c r="D256" s="10"/>
      <c r="E256" s="110"/>
      <c r="F256" s="7"/>
      <c r="G256" s="7"/>
      <c r="H256" s="7"/>
      <c r="I256" s="7"/>
      <c r="J256" s="7"/>
      <c r="K256" s="7"/>
      <c r="L256" s="120"/>
      <c r="M256" s="7"/>
      <c r="N256" s="10"/>
      <c r="O256" s="11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customHeight="1">
      <c r="A257" s="10"/>
      <c r="B257" s="7"/>
      <c r="C257" s="7"/>
      <c r="D257" s="10"/>
      <c r="E257" s="110"/>
      <c r="F257" s="7"/>
      <c r="G257" s="7"/>
      <c r="H257" s="7"/>
      <c r="I257" s="7"/>
      <c r="J257" s="7"/>
      <c r="K257" s="7"/>
      <c r="L257" s="120"/>
      <c r="M257" s="7"/>
      <c r="N257" s="10"/>
      <c r="O257" s="11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customHeight="1">
      <c r="A258" s="10"/>
      <c r="B258" s="7"/>
      <c r="C258" s="7"/>
      <c r="D258" s="10"/>
      <c r="E258" s="110"/>
      <c r="F258" s="7"/>
      <c r="G258" s="7"/>
      <c r="H258" s="7"/>
      <c r="I258" s="7"/>
      <c r="J258" s="7"/>
      <c r="K258" s="7"/>
      <c r="L258" s="120"/>
      <c r="M258" s="7"/>
      <c r="N258" s="10"/>
      <c r="O258" s="11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customHeight="1">
      <c r="A259" s="10"/>
      <c r="B259" s="7"/>
      <c r="C259" s="7"/>
      <c r="D259" s="10"/>
      <c r="E259" s="110"/>
      <c r="F259" s="7"/>
      <c r="G259" s="7"/>
      <c r="H259" s="7"/>
      <c r="I259" s="7"/>
      <c r="J259" s="7"/>
      <c r="K259" s="7"/>
      <c r="L259" s="120"/>
      <c r="M259" s="7"/>
      <c r="N259" s="10"/>
      <c r="O259" s="11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customHeight="1">
      <c r="A260" s="10"/>
      <c r="B260" s="7"/>
      <c r="C260" s="7"/>
      <c r="D260" s="10"/>
      <c r="E260" s="110"/>
      <c r="F260" s="7"/>
      <c r="G260" s="7"/>
      <c r="H260" s="7"/>
      <c r="I260" s="7"/>
      <c r="J260" s="7"/>
      <c r="K260" s="7"/>
      <c r="L260" s="120"/>
      <c r="M260" s="7"/>
      <c r="N260" s="10"/>
      <c r="O260" s="11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customHeight="1">
      <c r="A261" s="10"/>
      <c r="B261" s="7"/>
      <c r="C261" s="7"/>
      <c r="D261" s="10"/>
      <c r="E261" s="110"/>
      <c r="F261" s="7"/>
      <c r="G261" s="7"/>
      <c r="H261" s="7"/>
      <c r="I261" s="7"/>
      <c r="J261" s="7"/>
      <c r="K261" s="7"/>
      <c r="L261" s="120"/>
      <c r="M261" s="7"/>
      <c r="N261" s="10"/>
      <c r="O261" s="11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customHeight="1">
      <c r="A262" s="10"/>
      <c r="B262" s="7"/>
      <c r="C262" s="7"/>
      <c r="D262" s="10"/>
      <c r="E262" s="110"/>
      <c r="F262" s="7"/>
      <c r="G262" s="7"/>
      <c r="H262" s="7"/>
      <c r="I262" s="7"/>
      <c r="J262" s="7"/>
      <c r="K262" s="7"/>
      <c r="L262" s="120"/>
      <c r="M262" s="7"/>
      <c r="N262" s="10"/>
      <c r="O262" s="11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customHeight="1">
      <c r="A263" s="10"/>
      <c r="B263" s="7"/>
      <c r="C263" s="7"/>
      <c r="D263" s="10"/>
      <c r="E263" s="110"/>
      <c r="F263" s="7"/>
      <c r="G263" s="7"/>
      <c r="H263" s="7"/>
      <c r="I263" s="7"/>
      <c r="J263" s="7"/>
      <c r="K263" s="7"/>
      <c r="L263" s="120"/>
      <c r="M263" s="7"/>
      <c r="N263" s="10"/>
      <c r="O263" s="11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customHeight="1">
      <c r="A264" s="10"/>
      <c r="B264" s="7"/>
      <c r="C264" s="7"/>
      <c r="D264" s="10"/>
      <c r="E264" s="110"/>
      <c r="F264" s="7"/>
      <c r="G264" s="7"/>
      <c r="H264" s="7"/>
      <c r="I264" s="7"/>
      <c r="J264" s="7"/>
      <c r="K264" s="7"/>
      <c r="L264" s="120"/>
      <c r="M264" s="7"/>
      <c r="N264" s="10"/>
      <c r="O264" s="11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customHeight="1">
      <c r="A265" s="10"/>
      <c r="B265" s="7"/>
      <c r="C265" s="7"/>
      <c r="D265" s="10"/>
      <c r="E265" s="110"/>
      <c r="F265" s="7"/>
      <c r="G265" s="7"/>
      <c r="H265" s="7"/>
      <c r="I265" s="7"/>
      <c r="J265" s="7"/>
      <c r="K265" s="7"/>
      <c r="L265" s="120"/>
      <c r="M265" s="7"/>
      <c r="N265" s="10"/>
      <c r="O265" s="11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customHeight="1">
      <c r="A266" s="10"/>
      <c r="B266" s="7"/>
      <c r="C266" s="7"/>
      <c r="D266" s="10"/>
      <c r="E266" s="110"/>
      <c r="F266" s="7"/>
      <c r="G266" s="7"/>
      <c r="H266" s="7"/>
      <c r="I266" s="7"/>
      <c r="J266" s="7"/>
      <c r="K266" s="7"/>
      <c r="L266" s="120"/>
      <c r="M266" s="7"/>
      <c r="N266" s="10"/>
      <c r="O266" s="11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customHeight="1">
      <c r="A267" s="10"/>
      <c r="B267" s="7"/>
      <c r="C267" s="7"/>
      <c r="D267" s="10"/>
      <c r="E267" s="110"/>
      <c r="F267" s="7"/>
      <c r="G267" s="7"/>
      <c r="H267" s="7"/>
      <c r="I267" s="7"/>
      <c r="J267" s="7"/>
      <c r="K267" s="7"/>
      <c r="L267" s="120"/>
      <c r="M267" s="7"/>
      <c r="N267" s="10"/>
      <c r="O267" s="11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customHeight="1">
      <c r="A268" s="10"/>
      <c r="B268" s="7"/>
      <c r="C268" s="7"/>
      <c r="D268" s="10"/>
      <c r="E268" s="110"/>
      <c r="F268" s="7"/>
      <c r="G268" s="7"/>
      <c r="H268" s="7"/>
      <c r="I268" s="7"/>
      <c r="J268" s="7"/>
      <c r="K268" s="7"/>
      <c r="L268" s="120"/>
      <c r="M268" s="7"/>
      <c r="N268" s="10"/>
      <c r="O268" s="11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customHeight="1">
      <c r="A269" s="10"/>
      <c r="B269" s="7"/>
      <c r="C269" s="7"/>
      <c r="D269" s="10"/>
      <c r="E269" s="110"/>
      <c r="F269" s="7"/>
      <c r="G269" s="7"/>
      <c r="H269" s="7"/>
      <c r="I269" s="7"/>
      <c r="J269" s="7"/>
      <c r="K269" s="7"/>
      <c r="L269" s="120"/>
      <c r="M269" s="7"/>
      <c r="N269" s="10"/>
      <c r="O269" s="11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customHeight="1">
      <c r="A270" s="10"/>
      <c r="B270" s="7"/>
      <c r="C270" s="7"/>
      <c r="D270" s="10"/>
      <c r="E270" s="110"/>
      <c r="F270" s="7"/>
      <c r="G270" s="7"/>
      <c r="H270" s="7"/>
      <c r="I270" s="7"/>
      <c r="J270" s="7"/>
      <c r="K270" s="7"/>
      <c r="L270" s="120"/>
      <c r="M270" s="7"/>
      <c r="N270" s="10"/>
      <c r="O270" s="11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customHeight="1">
      <c r="A271" s="10"/>
      <c r="B271" s="7"/>
      <c r="C271" s="7"/>
      <c r="D271" s="10"/>
      <c r="E271" s="110"/>
      <c r="F271" s="7"/>
      <c r="G271" s="7"/>
      <c r="H271" s="7"/>
      <c r="I271" s="7"/>
      <c r="J271" s="7"/>
      <c r="K271" s="7"/>
      <c r="L271" s="120"/>
      <c r="M271" s="7"/>
      <c r="N271" s="10"/>
      <c r="O271" s="11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customHeight="1">
      <c r="A272" s="10"/>
      <c r="B272" s="7"/>
      <c r="C272" s="7"/>
      <c r="D272" s="10"/>
      <c r="E272" s="110"/>
      <c r="F272" s="7"/>
      <c r="G272" s="7"/>
      <c r="H272" s="7"/>
      <c r="I272" s="7"/>
      <c r="J272" s="7"/>
      <c r="K272" s="7"/>
      <c r="L272" s="120"/>
      <c r="M272" s="7"/>
      <c r="N272" s="10"/>
      <c r="O272" s="11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customHeight="1">
      <c r="A273" s="10"/>
      <c r="B273" s="7"/>
      <c r="C273" s="7"/>
      <c r="D273" s="10"/>
      <c r="E273" s="110"/>
      <c r="F273" s="7"/>
      <c r="G273" s="7"/>
      <c r="H273" s="7"/>
      <c r="I273" s="7"/>
      <c r="J273" s="7"/>
      <c r="K273" s="7"/>
      <c r="L273" s="120"/>
      <c r="M273" s="7"/>
      <c r="N273" s="10"/>
      <c r="O273" s="11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customHeight="1">
      <c r="A274" s="10"/>
      <c r="B274" s="7"/>
      <c r="C274" s="7"/>
      <c r="D274" s="10"/>
      <c r="E274" s="110"/>
      <c r="F274" s="7"/>
      <c r="G274" s="7"/>
      <c r="H274" s="7"/>
      <c r="I274" s="7"/>
      <c r="J274" s="7"/>
      <c r="K274" s="7"/>
      <c r="L274" s="120"/>
      <c r="M274" s="7"/>
      <c r="N274" s="10"/>
      <c r="O274" s="11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customHeight="1">
      <c r="A275" s="10"/>
      <c r="B275" s="7"/>
      <c r="C275" s="7"/>
      <c r="D275" s="10"/>
      <c r="E275" s="110"/>
      <c r="F275" s="7"/>
      <c r="G275" s="7"/>
      <c r="H275" s="7"/>
      <c r="I275" s="7"/>
      <c r="J275" s="7"/>
      <c r="K275" s="7"/>
      <c r="L275" s="120"/>
      <c r="M275" s="7"/>
      <c r="N275" s="10"/>
      <c r="O275" s="11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customHeight="1">
      <c r="A276" s="10"/>
      <c r="B276" s="7"/>
      <c r="C276" s="7"/>
      <c r="D276" s="10"/>
      <c r="E276" s="110"/>
      <c r="F276" s="7"/>
      <c r="G276" s="7"/>
      <c r="H276" s="7"/>
      <c r="I276" s="7"/>
      <c r="J276" s="7"/>
      <c r="K276" s="7"/>
      <c r="L276" s="120"/>
      <c r="M276" s="7"/>
      <c r="N276" s="10"/>
      <c r="O276" s="11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customHeight="1">
      <c r="A277" s="10"/>
      <c r="B277" s="7"/>
      <c r="C277" s="7"/>
      <c r="D277" s="10"/>
      <c r="E277" s="110"/>
      <c r="F277" s="7"/>
      <c r="G277" s="7"/>
      <c r="H277" s="7"/>
      <c r="I277" s="7"/>
      <c r="J277" s="7"/>
      <c r="K277" s="7"/>
      <c r="L277" s="120"/>
      <c r="M277" s="7"/>
      <c r="N277" s="10"/>
      <c r="O277" s="11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customHeight="1">
      <c r="A278" s="10"/>
      <c r="B278" s="7"/>
      <c r="C278" s="7"/>
      <c r="D278" s="10"/>
      <c r="E278" s="110"/>
      <c r="F278" s="7"/>
      <c r="G278" s="7"/>
      <c r="H278" s="7"/>
      <c r="I278" s="7"/>
      <c r="J278" s="7"/>
      <c r="K278" s="7"/>
      <c r="L278" s="120"/>
      <c r="M278" s="7"/>
      <c r="N278" s="10"/>
      <c r="O278" s="11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customHeight="1">
      <c r="A279" s="10"/>
      <c r="B279" s="7"/>
      <c r="C279" s="7"/>
      <c r="D279" s="10"/>
      <c r="E279" s="110"/>
      <c r="F279" s="7"/>
      <c r="G279" s="7"/>
      <c r="H279" s="7"/>
      <c r="I279" s="7"/>
      <c r="J279" s="7"/>
      <c r="K279" s="7"/>
      <c r="L279" s="120"/>
      <c r="M279" s="7"/>
      <c r="N279" s="10"/>
      <c r="O279" s="11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customHeight="1">
      <c r="A280" s="10"/>
      <c r="B280" s="7"/>
      <c r="C280" s="7"/>
      <c r="D280" s="10"/>
      <c r="E280" s="110"/>
      <c r="F280" s="7"/>
      <c r="G280" s="7"/>
      <c r="H280" s="7"/>
      <c r="I280" s="7"/>
      <c r="J280" s="7"/>
      <c r="K280" s="7"/>
      <c r="L280" s="120"/>
      <c r="M280" s="7"/>
      <c r="N280" s="10"/>
      <c r="O280" s="11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customHeight="1">
      <c r="A281" s="10"/>
      <c r="B281" s="7"/>
      <c r="C281" s="7"/>
      <c r="D281" s="10"/>
      <c r="E281" s="110"/>
      <c r="F281" s="7"/>
      <c r="G281" s="7"/>
      <c r="H281" s="7"/>
      <c r="I281" s="7"/>
      <c r="J281" s="7"/>
      <c r="K281" s="7"/>
      <c r="L281" s="120"/>
      <c r="M281" s="7"/>
      <c r="N281" s="10"/>
      <c r="O281" s="11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>
      <c r="A282" s="10"/>
      <c r="B282" s="7"/>
      <c r="C282" s="7"/>
      <c r="D282" s="10"/>
      <c r="E282" s="110"/>
      <c r="F282" s="7"/>
      <c r="G282" s="7"/>
      <c r="H282" s="7"/>
      <c r="I282" s="7"/>
      <c r="J282" s="7"/>
      <c r="K282" s="7"/>
      <c r="L282" s="120"/>
      <c r="M282" s="7"/>
      <c r="N282" s="10"/>
      <c r="O282" s="11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>
      <c r="A283" s="10"/>
      <c r="B283" s="7"/>
      <c r="C283" s="7"/>
      <c r="D283" s="10"/>
      <c r="E283" s="110"/>
      <c r="F283" s="7"/>
      <c r="G283" s="7"/>
      <c r="H283" s="7"/>
      <c r="I283" s="7"/>
      <c r="J283" s="7"/>
      <c r="K283" s="7"/>
      <c r="L283" s="120"/>
      <c r="M283" s="7"/>
      <c r="N283" s="10"/>
      <c r="O283" s="11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customHeight="1">
      <c r="A284" s="10"/>
      <c r="B284" s="7"/>
      <c r="C284" s="7"/>
      <c r="D284" s="10"/>
      <c r="E284" s="110"/>
      <c r="F284" s="7"/>
      <c r="G284" s="7"/>
      <c r="H284" s="7"/>
      <c r="I284" s="7"/>
      <c r="J284" s="7"/>
      <c r="K284" s="7"/>
      <c r="L284" s="120"/>
      <c r="M284" s="7"/>
      <c r="N284" s="10"/>
      <c r="O284" s="11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>
      <c r="A285" s="10"/>
      <c r="B285" s="7"/>
      <c r="C285" s="7"/>
      <c r="D285" s="10"/>
      <c r="E285" s="110"/>
      <c r="F285" s="7"/>
      <c r="G285" s="7"/>
      <c r="H285" s="7"/>
      <c r="I285" s="7"/>
      <c r="J285" s="7"/>
      <c r="K285" s="7"/>
      <c r="L285" s="120"/>
      <c r="M285" s="7"/>
      <c r="N285" s="10"/>
      <c r="O285" s="11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>
      <c r="A286" s="10"/>
      <c r="B286" s="7"/>
      <c r="C286" s="7"/>
      <c r="D286" s="10"/>
      <c r="E286" s="110"/>
      <c r="F286" s="7"/>
      <c r="G286" s="7"/>
      <c r="H286" s="7"/>
      <c r="I286" s="7"/>
      <c r="J286" s="7"/>
      <c r="K286" s="7"/>
      <c r="L286" s="120"/>
      <c r="M286" s="7"/>
      <c r="N286" s="10"/>
      <c r="O286" s="11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>
      <c r="A287" s="10"/>
      <c r="B287" s="7"/>
      <c r="C287" s="7"/>
      <c r="D287" s="10"/>
      <c r="E287" s="110"/>
      <c r="F287" s="7"/>
      <c r="G287" s="7"/>
      <c r="H287" s="7"/>
      <c r="I287" s="7"/>
      <c r="J287" s="7"/>
      <c r="K287" s="7"/>
      <c r="L287" s="120"/>
      <c r="M287" s="7"/>
      <c r="N287" s="10"/>
      <c r="O287" s="11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>
      <c r="A288" s="10"/>
      <c r="B288" s="7"/>
      <c r="C288" s="7"/>
      <c r="D288" s="10"/>
      <c r="E288" s="110"/>
      <c r="F288" s="7"/>
      <c r="G288" s="7"/>
      <c r="H288" s="7"/>
      <c r="I288" s="7"/>
      <c r="J288" s="7"/>
      <c r="K288" s="7"/>
      <c r="L288" s="120"/>
      <c r="M288" s="7"/>
      <c r="N288" s="10"/>
      <c r="O288" s="11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>
      <c r="A289" s="10"/>
      <c r="B289" s="7"/>
      <c r="C289" s="7"/>
      <c r="D289" s="10"/>
      <c r="E289" s="110"/>
      <c r="F289" s="7"/>
      <c r="G289" s="7"/>
      <c r="H289" s="7"/>
      <c r="I289" s="7"/>
      <c r="J289" s="7"/>
      <c r="K289" s="7"/>
      <c r="L289" s="120"/>
      <c r="M289" s="7"/>
      <c r="N289" s="10"/>
      <c r="O289" s="11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>
      <c r="A290" s="10"/>
      <c r="B290" s="7"/>
      <c r="C290" s="7"/>
      <c r="D290" s="10"/>
      <c r="E290" s="110"/>
      <c r="F290" s="7"/>
      <c r="G290" s="7"/>
      <c r="H290" s="7"/>
      <c r="I290" s="7"/>
      <c r="J290" s="7"/>
      <c r="K290" s="7"/>
      <c r="L290" s="120"/>
      <c r="M290" s="7"/>
      <c r="N290" s="10"/>
      <c r="O290" s="11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>
      <c r="A291" s="10"/>
      <c r="B291" s="7"/>
      <c r="C291" s="7"/>
      <c r="D291" s="10"/>
      <c r="E291" s="110"/>
      <c r="F291" s="7"/>
      <c r="G291" s="7"/>
      <c r="H291" s="7"/>
      <c r="I291" s="7"/>
      <c r="J291" s="7"/>
      <c r="K291" s="7"/>
      <c r="L291" s="120"/>
      <c r="M291" s="7"/>
      <c r="N291" s="10"/>
      <c r="O291" s="11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>
      <c r="A292" s="10"/>
      <c r="B292" s="7"/>
      <c r="C292" s="7"/>
      <c r="D292" s="10"/>
      <c r="E292" s="110"/>
      <c r="F292" s="7"/>
      <c r="G292" s="7"/>
      <c r="H292" s="7"/>
      <c r="I292" s="7"/>
      <c r="J292" s="7"/>
      <c r="K292" s="7"/>
      <c r="L292" s="120"/>
      <c r="M292" s="7"/>
      <c r="N292" s="10"/>
      <c r="O292" s="11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>
      <c r="A293" s="10"/>
      <c r="B293" s="7"/>
      <c r="C293" s="7"/>
      <c r="D293" s="10"/>
      <c r="E293" s="110"/>
      <c r="F293" s="7"/>
      <c r="G293" s="7"/>
      <c r="H293" s="7"/>
      <c r="I293" s="7"/>
      <c r="J293" s="7"/>
      <c r="K293" s="7"/>
      <c r="L293" s="120"/>
      <c r="M293" s="7"/>
      <c r="N293" s="10"/>
      <c r="O293" s="11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>
      <c r="A294" s="10"/>
      <c r="B294" s="7"/>
      <c r="C294" s="7"/>
      <c r="D294" s="10"/>
      <c r="E294" s="110"/>
      <c r="F294" s="7"/>
      <c r="G294" s="7"/>
      <c r="H294" s="7"/>
      <c r="I294" s="7"/>
      <c r="J294" s="7"/>
      <c r="K294" s="7"/>
      <c r="L294" s="120"/>
      <c r="M294" s="7"/>
      <c r="N294" s="10"/>
      <c r="O294" s="11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>
      <c r="A295" s="10"/>
      <c r="B295" s="7"/>
      <c r="C295" s="7"/>
      <c r="D295" s="10"/>
      <c r="E295" s="110"/>
      <c r="F295" s="7"/>
      <c r="G295" s="7"/>
      <c r="H295" s="7"/>
      <c r="I295" s="7"/>
      <c r="J295" s="7"/>
      <c r="K295" s="7"/>
      <c r="L295" s="120"/>
      <c r="M295" s="7"/>
      <c r="N295" s="10"/>
      <c r="O295" s="11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>
      <c r="A296" s="10"/>
      <c r="B296" s="7"/>
      <c r="C296" s="7"/>
      <c r="D296" s="10"/>
      <c r="E296" s="110"/>
      <c r="F296" s="7"/>
      <c r="G296" s="7"/>
      <c r="H296" s="7"/>
      <c r="I296" s="7"/>
      <c r="J296" s="7"/>
      <c r="K296" s="7"/>
      <c r="L296" s="120"/>
      <c r="M296" s="7"/>
      <c r="N296" s="10"/>
      <c r="O296" s="11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>
      <c r="A297" s="10"/>
      <c r="B297" s="7"/>
      <c r="C297" s="7"/>
      <c r="D297" s="10"/>
      <c r="E297" s="110"/>
      <c r="F297" s="7"/>
      <c r="G297" s="7"/>
      <c r="H297" s="7"/>
      <c r="I297" s="7"/>
      <c r="J297" s="7"/>
      <c r="K297" s="7"/>
      <c r="L297" s="120"/>
      <c r="M297" s="7"/>
      <c r="N297" s="10"/>
      <c r="O297" s="11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>
      <c r="A298" s="10"/>
      <c r="B298" s="7"/>
      <c r="C298" s="7"/>
      <c r="D298" s="10"/>
      <c r="E298" s="110"/>
      <c r="F298" s="7"/>
      <c r="G298" s="7"/>
      <c r="H298" s="7"/>
      <c r="I298" s="7"/>
      <c r="J298" s="7"/>
      <c r="K298" s="7"/>
      <c r="L298" s="120"/>
      <c r="M298" s="7"/>
      <c r="N298" s="10"/>
      <c r="O298" s="11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>
      <c r="A299" s="10"/>
      <c r="B299" s="7"/>
      <c r="C299" s="7"/>
      <c r="D299" s="10"/>
      <c r="E299" s="110"/>
      <c r="F299" s="7"/>
      <c r="G299" s="7"/>
      <c r="H299" s="7"/>
      <c r="I299" s="7"/>
      <c r="J299" s="7"/>
      <c r="K299" s="7"/>
      <c r="L299" s="120"/>
      <c r="M299" s="7"/>
      <c r="N299" s="10"/>
      <c r="O299" s="11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>
      <c r="A300" s="10"/>
      <c r="B300" s="7"/>
      <c r="C300" s="7"/>
      <c r="D300" s="10"/>
      <c r="E300" s="110"/>
      <c r="F300" s="7"/>
      <c r="G300" s="7"/>
      <c r="H300" s="7"/>
      <c r="I300" s="7"/>
      <c r="J300" s="7"/>
      <c r="K300" s="7"/>
      <c r="L300" s="120"/>
      <c r="M300" s="7"/>
      <c r="N300" s="10"/>
      <c r="O300" s="11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>
      <c r="A301" s="10"/>
      <c r="B301" s="7"/>
      <c r="C301" s="7"/>
      <c r="D301" s="10"/>
      <c r="E301" s="110"/>
      <c r="F301" s="7"/>
      <c r="G301" s="7"/>
      <c r="H301" s="7"/>
      <c r="I301" s="7"/>
      <c r="J301" s="7"/>
      <c r="K301" s="7"/>
      <c r="L301" s="120"/>
      <c r="M301" s="7"/>
      <c r="N301" s="10"/>
      <c r="O301" s="11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>
      <c r="A302" s="10"/>
      <c r="B302" s="7"/>
      <c r="C302" s="7"/>
      <c r="D302" s="10"/>
      <c r="E302" s="110"/>
      <c r="F302" s="7"/>
      <c r="G302" s="7"/>
      <c r="H302" s="7"/>
      <c r="I302" s="7"/>
      <c r="J302" s="7"/>
      <c r="K302" s="7"/>
      <c r="L302" s="120"/>
      <c r="M302" s="7"/>
      <c r="N302" s="10"/>
      <c r="O302" s="11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customHeight="1">
      <c r="A303" s="10"/>
      <c r="B303" s="7"/>
      <c r="C303" s="7"/>
      <c r="D303" s="10"/>
      <c r="E303" s="110"/>
      <c r="F303" s="7"/>
      <c r="G303" s="7"/>
      <c r="H303" s="7"/>
      <c r="I303" s="7"/>
      <c r="J303" s="7"/>
      <c r="K303" s="7"/>
      <c r="L303" s="120"/>
      <c r="M303" s="7"/>
      <c r="N303" s="10"/>
      <c r="O303" s="11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>
      <c r="A304" s="10"/>
      <c r="B304" s="7"/>
      <c r="C304" s="7"/>
      <c r="D304" s="10"/>
      <c r="E304" s="110"/>
      <c r="F304" s="7"/>
      <c r="G304" s="7"/>
      <c r="H304" s="7"/>
      <c r="I304" s="7"/>
      <c r="J304" s="7"/>
      <c r="K304" s="7"/>
      <c r="L304" s="120"/>
      <c r="M304" s="7"/>
      <c r="N304" s="10"/>
      <c r="O304" s="11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>
      <c r="A305" s="10"/>
      <c r="B305" s="7"/>
      <c r="C305" s="7"/>
      <c r="D305" s="10"/>
      <c r="E305" s="110"/>
      <c r="F305" s="7"/>
      <c r="G305" s="7"/>
      <c r="H305" s="7"/>
      <c r="I305" s="7"/>
      <c r="J305" s="7"/>
      <c r="K305" s="7"/>
      <c r="L305" s="120"/>
      <c r="M305" s="7"/>
      <c r="N305" s="10"/>
      <c r="O305" s="11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>
      <c r="A306" s="10"/>
      <c r="B306" s="7"/>
      <c r="C306" s="7"/>
      <c r="D306" s="10"/>
      <c r="E306" s="110"/>
      <c r="F306" s="7"/>
      <c r="G306" s="7"/>
      <c r="H306" s="7"/>
      <c r="I306" s="7"/>
      <c r="J306" s="7"/>
      <c r="K306" s="7"/>
      <c r="L306" s="120"/>
      <c r="M306" s="7"/>
      <c r="N306" s="10"/>
      <c r="O306" s="11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>
      <c r="A307" s="10"/>
      <c r="B307" s="7"/>
      <c r="C307" s="7"/>
      <c r="D307" s="10"/>
      <c r="E307" s="110"/>
      <c r="F307" s="7"/>
      <c r="G307" s="7"/>
      <c r="H307" s="7"/>
      <c r="I307" s="7"/>
      <c r="J307" s="7"/>
      <c r="K307" s="7"/>
      <c r="L307" s="120"/>
      <c r="M307" s="7"/>
      <c r="N307" s="10"/>
      <c r="O307" s="11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>
      <c r="A308" s="10"/>
      <c r="B308" s="7"/>
      <c r="C308" s="7"/>
      <c r="D308" s="10"/>
      <c r="E308" s="110"/>
      <c r="F308" s="7"/>
      <c r="G308" s="7"/>
      <c r="H308" s="7"/>
      <c r="I308" s="7"/>
      <c r="J308" s="7"/>
      <c r="K308" s="7"/>
      <c r="L308" s="120"/>
      <c r="M308" s="7"/>
      <c r="N308" s="10"/>
      <c r="O308" s="11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>
      <c r="A309" s="10"/>
      <c r="B309" s="7"/>
      <c r="C309" s="7"/>
      <c r="D309" s="10"/>
      <c r="E309" s="110"/>
      <c r="F309" s="7"/>
      <c r="G309" s="7"/>
      <c r="H309" s="7"/>
      <c r="I309" s="7"/>
      <c r="J309" s="7"/>
      <c r="K309" s="7"/>
      <c r="L309" s="120"/>
      <c r="M309" s="7"/>
      <c r="N309" s="10"/>
      <c r="O309" s="11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>
      <c r="A310" s="10"/>
      <c r="B310" s="7"/>
      <c r="C310" s="7"/>
      <c r="D310" s="10"/>
      <c r="E310" s="110"/>
      <c r="F310" s="7"/>
      <c r="G310" s="7"/>
      <c r="H310" s="7"/>
      <c r="I310" s="7"/>
      <c r="J310" s="7"/>
      <c r="K310" s="7"/>
      <c r="L310" s="120"/>
      <c r="M310" s="7"/>
      <c r="N310" s="10"/>
      <c r="O310" s="11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>
      <c r="A311" s="10"/>
      <c r="B311" s="7"/>
      <c r="C311" s="7"/>
      <c r="D311" s="10"/>
      <c r="E311" s="110"/>
      <c r="F311" s="7"/>
      <c r="G311" s="7"/>
      <c r="H311" s="7"/>
      <c r="I311" s="7"/>
      <c r="J311" s="7"/>
      <c r="K311" s="7"/>
      <c r="L311" s="120"/>
      <c r="M311" s="7"/>
      <c r="N311" s="10"/>
      <c r="O311" s="11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>
      <c r="A312" s="10"/>
      <c r="B312" s="7"/>
      <c r="C312" s="7"/>
      <c r="D312" s="10"/>
      <c r="E312" s="110"/>
      <c r="F312" s="7"/>
      <c r="G312" s="7"/>
      <c r="H312" s="7"/>
      <c r="I312" s="7"/>
      <c r="J312" s="7"/>
      <c r="K312" s="7"/>
      <c r="L312" s="120"/>
      <c r="M312" s="7"/>
      <c r="N312" s="10"/>
      <c r="O312" s="11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>
      <c r="A313" s="10"/>
      <c r="B313" s="7"/>
      <c r="C313" s="7"/>
      <c r="D313" s="10"/>
      <c r="E313" s="110"/>
      <c r="F313" s="7"/>
      <c r="G313" s="7"/>
      <c r="H313" s="7"/>
      <c r="I313" s="7"/>
      <c r="J313" s="7"/>
      <c r="K313" s="7"/>
      <c r="L313" s="120"/>
      <c r="M313" s="7"/>
      <c r="N313" s="10"/>
      <c r="O313" s="11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>
      <c r="A314" s="10"/>
      <c r="B314" s="7"/>
      <c r="C314" s="7"/>
      <c r="D314" s="10"/>
      <c r="E314" s="110"/>
      <c r="F314" s="7"/>
      <c r="G314" s="7"/>
      <c r="H314" s="7"/>
      <c r="I314" s="7"/>
      <c r="J314" s="7"/>
      <c r="K314" s="7"/>
      <c r="L314" s="120"/>
      <c r="M314" s="7"/>
      <c r="N314" s="10"/>
      <c r="O314" s="11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>
      <c r="A315" s="10"/>
      <c r="B315" s="7"/>
      <c r="C315" s="7"/>
      <c r="D315" s="10"/>
      <c r="E315" s="110"/>
      <c r="F315" s="7"/>
      <c r="G315" s="7"/>
      <c r="H315" s="7"/>
      <c r="I315" s="7"/>
      <c r="J315" s="7"/>
      <c r="K315" s="7"/>
      <c r="L315" s="120"/>
      <c r="M315" s="7"/>
      <c r="N315" s="10"/>
      <c r="O315" s="11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>
      <c r="A316" s="10"/>
      <c r="B316" s="7"/>
      <c r="C316" s="7"/>
      <c r="D316" s="10"/>
      <c r="E316" s="110"/>
      <c r="F316" s="7"/>
      <c r="G316" s="7"/>
      <c r="H316" s="7"/>
      <c r="I316" s="7"/>
      <c r="J316" s="7"/>
      <c r="K316" s="7"/>
      <c r="L316" s="120"/>
      <c r="M316" s="7"/>
      <c r="N316" s="10"/>
      <c r="O316" s="11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>
      <c r="A317" s="10"/>
      <c r="B317" s="7"/>
      <c r="C317" s="7"/>
      <c r="D317" s="10"/>
      <c r="E317" s="110"/>
      <c r="F317" s="7"/>
      <c r="G317" s="7"/>
      <c r="H317" s="7"/>
      <c r="I317" s="7"/>
      <c r="J317" s="7"/>
      <c r="K317" s="7"/>
      <c r="L317" s="120"/>
      <c r="M317" s="7"/>
      <c r="N317" s="10"/>
      <c r="O317" s="11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>
      <c r="A318" s="10"/>
      <c r="B318" s="7"/>
      <c r="C318" s="7"/>
      <c r="D318" s="10"/>
      <c r="E318" s="110"/>
      <c r="F318" s="7"/>
      <c r="G318" s="7"/>
      <c r="H318" s="7"/>
      <c r="I318" s="7"/>
      <c r="J318" s="7"/>
      <c r="K318" s="7"/>
      <c r="L318" s="120"/>
      <c r="M318" s="7"/>
      <c r="N318" s="10"/>
      <c r="O318" s="11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>
      <c r="A319" s="10"/>
      <c r="B319" s="7"/>
      <c r="C319" s="7"/>
      <c r="D319" s="10"/>
      <c r="E319" s="110"/>
      <c r="F319" s="7"/>
      <c r="G319" s="7"/>
      <c r="H319" s="7"/>
      <c r="I319" s="7"/>
      <c r="J319" s="7"/>
      <c r="K319" s="7"/>
      <c r="L319" s="120"/>
      <c r="M319" s="7"/>
      <c r="N319" s="10"/>
      <c r="O319" s="11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>
      <c r="A320" s="10"/>
      <c r="B320" s="7"/>
      <c r="C320" s="7"/>
      <c r="D320" s="10"/>
      <c r="E320" s="110"/>
      <c r="F320" s="7"/>
      <c r="G320" s="7"/>
      <c r="H320" s="7"/>
      <c r="I320" s="7"/>
      <c r="J320" s="7"/>
      <c r="K320" s="7"/>
      <c r="L320" s="120"/>
      <c r="M320" s="7"/>
      <c r="N320" s="10"/>
      <c r="O320" s="11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>
      <c r="A321" s="10"/>
      <c r="B321" s="7"/>
      <c r="C321" s="7"/>
      <c r="D321" s="10"/>
      <c r="E321" s="110"/>
      <c r="F321" s="7"/>
      <c r="G321" s="7"/>
      <c r="H321" s="7"/>
      <c r="I321" s="7"/>
      <c r="J321" s="7"/>
      <c r="K321" s="7"/>
      <c r="L321" s="120"/>
      <c r="M321" s="7"/>
      <c r="N321" s="10"/>
      <c r="O321" s="11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>
      <c r="A322" s="10"/>
      <c r="B322" s="7"/>
      <c r="C322" s="7"/>
      <c r="D322" s="10"/>
      <c r="E322" s="110"/>
      <c r="F322" s="7"/>
      <c r="G322" s="7"/>
      <c r="H322" s="7"/>
      <c r="I322" s="7"/>
      <c r="J322" s="7"/>
      <c r="K322" s="7"/>
      <c r="L322" s="120"/>
      <c r="M322" s="7"/>
      <c r="N322" s="10"/>
      <c r="O322" s="11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>
      <c r="A323" s="10"/>
      <c r="B323" s="7"/>
      <c r="C323" s="7"/>
      <c r="D323" s="10"/>
      <c r="E323" s="110"/>
      <c r="F323" s="7"/>
      <c r="G323" s="7"/>
      <c r="H323" s="7"/>
      <c r="I323" s="7"/>
      <c r="J323" s="7"/>
      <c r="K323" s="7"/>
      <c r="L323" s="120"/>
      <c r="M323" s="7"/>
      <c r="N323" s="10"/>
      <c r="O323" s="11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>
      <c r="A324" s="10"/>
      <c r="B324" s="7"/>
      <c r="C324" s="7"/>
      <c r="D324" s="10"/>
      <c r="E324" s="110"/>
      <c r="F324" s="7"/>
      <c r="G324" s="7"/>
      <c r="H324" s="7"/>
      <c r="I324" s="7"/>
      <c r="J324" s="7"/>
      <c r="K324" s="7"/>
      <c r="L324" s="120"/>
      <c r="M324" s="7"/>
      <c r="N324" s="10"/>
      <c r="O324" s="11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>
      <c r="A325" s="10"/>
      <c r="B325" s="7"/>
      <c r="C325" s="7"/>
      <c r="D325" s="10"/>
      <c r="E325" s="110"/>
      <c r="F325" s="7"/>
      <c r="G325" s="7"/>
      <c r="H325" s="7"/>
      <c r="I325" s="7"/>
      <c r="J325" s="7"/>
      <c r="K325" s="7"/>
      <c r="L325" s="120"/>
      <c r="M325" s="7"/>
      <c r="N325" s="10"/>
      <c r="O325" s="11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>
      <c r="A326" s="10"/>
      <c r="B326" s="7"/>
      <c r="C326" s="7"/>
      <c r="D326" s="10"/>
      <c r="E326" s="110"/>
      <c r="F326" s="7"/>
      <c r="G326" s="7"/>
      <c r="H326" s="7"/>
      <c r="I326" s="7"/>
      <c r="J326" s="7"/>
      <c r="K326" s="7"/>
      <c r="L326" s="120"/>
      <c r="M326" s="7"/>
      <c r="N326" s="10"/>
      <c r="O326" s="11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>
      <c r="A327" s="10"/>
      <c r="B327" s="7"/>
      <c r="C327" s="7"/>
      <c r="D327" s="10"/>
      <c r="E327" s="110"/>
      <c r="F327" s="7"/>
      <c r="G327" s="7"/>
      <c r="H327" s="7"/>
      <c r="I327" s="7"/>
      <c r="J327" s="7"/>
      <c r="K327" s="7"/>
      <c r="L327" s="120"/>
      <c r="M327" s="7"/>
      <c r="N327" s="10"/>
      <c r="O327" s="11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>
      <c r="A328" s="10"/>
      <c r="B328" s="7"/>
      <c r="C328" s="7"/>
      <c r="D328" s="10"/>
      <c r="E328" s="110"/>
      <c r="F328" s="7"/>
      <c r="G328" s="7"/>
      <c r="H328" s="7"/>
      <c r="I328" s="7"/>
      <c r="J328" s="7"/>
      <c r="K328" s="7"/>
      <c r="L328" s="120"/>
      <c r="M328" s="7"/>
      <c r="N328" s="10"/>
      <c r="O328" s="11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>
      <c r="A329" s="10"/>
      <c r="B329" s="7"/>
      <c r="C329" s="7"/>
      <c r="D329" s="10"/>
      <c r="E329" s="110"/>
      <c r="F329" s="7"/>
      <c r="G329" s="7"/>
      <c r="H329" s="7"/>
      <c r="I329" s="7"/>
      <c r="J329" s="7"/>
      <c r="K329" s="7"/>
      <c r="L329" s="120"/>
      <c r="M329" s="7"/>
      <c r="N329" s="10"/>
      <c r="O329" s="11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>
      <c r="A330" s="10"/>
      <c r="B330" s="7"/>
      <c r="C330" s="7"/>
      <c r="D330" s="10"/>
      <c r="E330" s="110"/>
      <c r="F330" s="7"/>
      <c r="G330" s="7"/>
      <c r="H330" s="7"/>
      <c r="I330" s="7"/>
      <c r="J330" s="7"/>
      <c r="K330" s="7"/>
      <c r="L330" s="120"/>
      <c r="M330" s="7"/>
      <c r="N330" s="10"/>
      <c r="O330" s="11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>
      <c r="A331" s="10"/>
      <c r="B331" s="7"/>
      <c r="C331" s="7"/>
      <c r="D331" s="10"/>
      <c r="E331" s="110"/>
      <c r="F331" s="7"/>
      <c r="G331" s="7"/>
      <c r="H331" s="7"/>
      <c r="I331" s="7"/>
      <c r="J331" s="7"/>
      <c r="K331" s="7"/>
      <c r="L331" s="120"/>
      <c r="M331" s="7"/>
      <c r="N331" s="10"/>
      <c r="O331" s="11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>
      <c r="A332" s="10"/>
      <c r="B332" s="7"/>
      <c r="C332" s="7"/>
      <c r="D332" s="10"/>
      <c r="E332" s="110"/>
      <c r="F332" s="7"/>
      <c r="G332" s="7"/>
      <c r="H332" s="7"/>
      <c r="I332" s="7"/>
      <c r="J332" s="7"/>
      <c r="K332" s="7"/>
      <c r="L332" s="120"/>
      <c r="M332" s="7"/>
      <c r="N332" s="10"/>
      <c r="O332" s="11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>
      <c r="A333" s="10"/>
      <c r="B333" s="7"/>
      <c r="C333" s="7"/>
      <c r="D333" s="10"/>
      <c r="E333" s="110"/>
      <c r="F333" s="7"/>
      <c r="G333" s="7"/>
      <c r="H333" s="7"/>
      <c r="I333" s="7"/>
      <c r="J333" s="7"/>
      <c r="K333" s="7"/>
      <c r="L333" s="120"/>
      <c r="M333" s="7"/>
      <c r="N333" s="10"/>
      <c r="O333" s="11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>
      <c r="A334" s="10"/>
      <c r="B334" s="7"/>
      <c r="C334" s="7"/>
      <c r="D334" s="10"/>
      <c r="E334" s="110"/>
      <c r="F334" s="7"/>
      <c r="G334" s="7"/>
      <c r="H334" s="7"/>
      <c r="I334" s="7"/>
      <c r="J334" s="7"/>
      <c r="K334" s="7"/>
      <c r="L334" s="120"/>
      <c r="M334" s="7"/>
      <c r="N334" s="10"/>
      <c r="O334" s="11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>
      <c r="A335" s="10"/>
      <c r="B335" s="7"/>
      <c r="C335" s="7"/>
      <c r="D335" s="10"/>
      <c r="E335" s="110"/>
      <c r="F335" s="7"/>
      <c r="G335" s="7"/>
      <c r="H335" s="7"/>
      <c r="I335" s="7"/>
      <c r="J335" s="7"/>
      <c r="K335" s="7"/>
      <c r="L335" s="120"/>
      <c r="M335" s="7"/>
      <c r="N335" s="10"/>
      <c r="O335" s="11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>
      <c r="A336" s="10"/>
      <c r="B336" s="7"/>
      <c r="C336" s="7"/>
      <c r="D336" s="10"/>
      <c r="E336" s="110"/>
      <c r="F336" s="7"/>
      <c r="G336" s="7"/>
      <c r="H336" s="7"/>
      <c r="I336" s="7"/>
      <c r="J336" s="7"/>
      <c r="K336" s="7"/>
      <c r="L336" s="120"/>
      <c r="M336" s="7"/>
      <c r="N336" s="10"/>
      <c r="O336" s="11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>
      <c r="A337" s="10"/>
      <c r="B337" s="7"/>
      <c r="C337" s="7"/>
      <c r="D337" s="10"/>
      <c r="E337" s="110"/>
      <c r="F337" s="7"/>
      <c r="G337" s="7"/>
      <c r="H337" s="7"/>
      <c r="I337" s="7"/>
      <c r="J337" s="7"/>
      <c r="K337" s="7"/>
      <c r="L337" s="120"/>
      <c r="M337" s="7"/>
      <c r="N337" s="10"/>
      <c r="O337" s="11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>
      <c r="A338" s="10"/>
      <c r="B338" s="7"/>
      <c r="C338" s="7"/>
      <c r="D338" s="10"/>
      <c r="E338" s="110"/>
      <c r="F338" s="7"/>
      <c r="G338" s="7"/>
      <c r="H338" s="7"/>
      <c r="I338" s="7"/>
      <c r="J338" s="7"/>
      <c r="K338" s="7"/>
      <c r="L338" s="120"/>
      <c r="M338" s="7"/>
      <c r="N338" s="10"/>
      <c r="O338" s="11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>
      <c r="A339" s="10"/>
      <c r="B339" s="7"/>
      <c r="C339" s="7"/>
      <c r="D339" s="10"/>
      <c r="E339" s="110"/>
      <c r="F339" s="7"/>
      <c r="G339" s="7"/>
      <c r="H339" s="7"/>
      <c r="I339" s="7"/>
      <c r="J339" s="7"/>
      <c r="K339" s="7"/>
      <c r="L339" s="120"/>
      <c r="M339" s="7"/>
      <c r="N339" s="10"/>
      <c r="O339" s="11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>
      <c r="A340" s="10"/>
      <c r="B340" s="7"/>
      <c r="C340" s="7"/>
      <c r="D340" s="10"/>
      <c r="E340" s="110"/>
      <c r="F340" s="7"/>
      <c r="G340" s="7"/>
      <c r="H340" s="7"/>
      <c r="I340" s="7"/>
      <c r="J340" s="7"/>
      <c r="K340" s="7"/>
      <c r="L340" s="120"/>
      <c r="M340" s="7"/>
      <c r="N340" s="10"/>
      <c r="O340" s="11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>
      <c r="A341" s="10"/>
      <c r="B341" s="7"/>
      <c r="C341" s="7"/>
      <c r="D341" s="10"/>
      <c r="E341" s="110"/>
      <c r="F341" s="7"/>
      <c r="G341" s="7"/>
      <c r="H341" s="7"/>
      <c r="I341" s="7"/>
      <c r="J341" s="7"/>
      <c r="K341" s="7"/>
      <c r="L341" s="120"/>
      <c r="M341" s="7"/>
      <c r="N341" s="10"/>
      <c r="O341" s="11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>
      <c r="A342" s="10"/>
      <c r="B342" s="7"/>
      <c r="C342" s="7"/>
      <c r="D342" s="10"/>
      <c r="E342" s="110"/>
      <c r="F342" s="7"/>
      <c r="G342" s="7"/>
      <c r="H342" s="7"/>
      <c r="I342" s="7"/>
      <c r="J342" s="7"/>
      <c r="K342" s="7"/>
      <c r="L342" s="120"/>
      <c r="M342" s="7"/>
      <c r="N342" s="10"/>
      <c r="O342" s="11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>
      <c r="A343" s="10"/>
      <c r="B343" s="7"/>
      <c r="C343" s="7"/>
      <c r="D343" s="10"/>
      <c r="E343" s="110"/>
      <c r="F343" s="7"/>
      <c r="G343" s="7"/>
      <c r="H343" s="7"/>
      <c r="I343" s="7"/>
      <c r="J343" s="7"/>
      <c r="K343" s="7"/>
      <c r="L343" s="120"/>
      <c r="M343" s="7"/>
      <c r="N343" s="10"/>
      <c r="O343" s="11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>
      <c r="A344" s="10"/>
      <c r="B344" s="7"/>
      <c r="C344" s="7"/>
      <c r="D344" s="10"/>
      <c r="E344" s="110"/>
      <c r="F344" s="7"/>
      <c r="G344" s="7"/>
      <c r="H344" s="7"/>
      <c r="I344" s="7"/>
      <c r="J344" s="7"/>
      <c r="K344" s="7"/>
      <c r="L344" s="120"/>
      <c r="M344" s="7"/>
      <c r="N344" s="10"/>
      <c r="O344" s="11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>
      <c r="A345" s="10"/>
      <c r="B345" s="7"/>
      <c r="C345" s="7"/>
      <c r="D345" s="10"/>
      <c r="E345" s="110"/>
      <c r="F345" s="7"/>
      <c r="G345" s="7"/>
      <c r="H345" s="7"/>
      <c r="I345" s="7"/>
      <c r="J345" s="7"/>
      <c r="K345" s="7"/>
      <c r="L345" s="120"/>
      <c r="M345" s="7"/>
      <c r="N345" s="10"/>
      <c r="O345" s="11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>
      <c r="A346" s="10"/>
      <c r="B346" s="7"/>
      <c r="C346" s="7"/>
      <c r="D346" s="10"/>
      <c r="E346" s="110"/>
      <c r="F346" s="7"/>
      <c r="G346" s="7"/>
      <c r="H346" s="7"/>
      <c r="I346" s="7"/>
      <c r="J346" s="7"/>
      <c r="K346" s="7"/>
      <c r="L346" s="120"/>
      <c r="M346" s="7"/>
      <c r="N346" s="10"/>
      <c r="O346" s="11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>
      <c r="A347" s="10"/>
      <c r="B347" s="7"/>
      <c r="C347" s="7"/>
      <c r="D347" s="10"/>
      <c r="E347" s="110"/>
      <c r="F347" s="7"/>
      <c r="G347" s="7"/>
      <c r="H347" s="7"/>
      <c r="I347" s="7"/>
      <c r="J347" s="7"/>
      <c r="K347" s="7"/>
      <c r="L347" s="120"/>
      <c r="M347" s="7"/>
      <c r="N347" s="10"/>
      <c r="O347" s="11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>
      <c r="A348" s="10"/>
      <c r="B348" s="7"/>
      <c r="C348" s="7"/>
      <c r="D348" s="10"/>
      <c r="E348" s="110"/>
      <c r="F348" s="7"/>
      <c r="G348" s="7"/>
      <c r="H348" s="7"/>
      <c r="I348" s="7"/>
      <c r="J348" s="7"/>
      <c r="K348" s="7"/>
      <c r="L348" s="120"/>
      <c r="M348" s="7"/>
      <c r="N348" s="10"/>
      <c r="O348" s="11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>
      <c r="A349" s="10"/>
      <c r="B349" s="7"/>
      <c r="C349" s="7"/>
      <c r="D349" s="10"/>
      <c r="E349" s="110"/>
      <c r="F349" s="7"/>
      <c r="G349" s="7"/>
      <c r="H349" s="7"/>
      <c r="I349" s="7"/>
      <c r="J349" s="7"/>
      <c r="K349" s="7"/>
      <c r="L349" s="120"/>
      <c r="M349" s="7"/>
      <c r="N349" s="10"/>
      <c r="O349" s="11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>
      <c r="A350" s="10"/>
      <c r="B350" s="7"/>
      <c r="C350" s="7"/>
      <c r="D350" s="10"/>
      <c r="E350" s="110"/>
      <c r="F350" s="7"/>
      <c r="G350" s="7"/>
      <c r="H350" s="7"/>
      <c r="I350" s="7"/>
      <c r="J350" s="7"/>
      <c r="K350" s="7"/>
      <c r="L350" s="120"/>
      <c r="M350" s="7"/>
      <c r="N350" s="10"/>
      <c r="O350" s="11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>
      <c r="A351" s="10"/>
      <c r="B351" s="7"/>
      <c r="C351" s="7"/>
      <c r="D351" s="10"/>
      <c r="E351" s="110"/>
      <c r="F351" s="7"/>
      <c r="G351" s="7"/>
      <c r="H351" s="7"/>
      <c r="I351" s="7"/>
      <c r="J351" s="7"/>
      <c r="K351" s="7"/>
      <c r="L351" s="120"/>
      <c r="M351" s="7"/>
      <c r="N351" s="10"/>
      <c r="O351" s="11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>
      <c r="A352" s="10"/>
      <c r="B352" s="7"/>
      <c r="C352" s="7"/>
      <c r="D352" s="10"/>
      <c r="E352" s="110"/>
      <c r="F352" s="7"/>
      <c r="G352" s="7"/>
      <c r="H352" s="7"/>
      <c r="I352" s="7"/>
      <c r="J352" s="7"/>
      <c r="K352" s="7"/>
      <c r="L352" s="120"/>
      <c r="M352" s="7"/>
      <c r="N352" s="10"/>
      <c r="O352" s="11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>
      <c r="A353" s="10"/>
      <c r="B353" s="7"/>
      <c r="C353" s="7"/>
      <c r="D353" s="10"/>
      <c r="E353" s="110"/>
      <c r="F353" s="7"/>
      <c r="G353" s="7"/>
      <c r="H353" s="7"/>
      <c r="I353" s="7"/>
      <c r="J353" s="7"/>
      <c r="K353" s="7"/>
      <c r="L353" s="120"/>
      <c r="M353" s="7"/>
      <c r="N353" s="10"/>
      <c r="O353" s="11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>
      <c r="A354" s="10"/>
      <c r="B354" s="7"/>
      <c r="C354" s="7"/>
      <c r="D354" s="10"/>
      <c r="E354" s="110"/>
      <c r="F354" s="7"/>
      <c r="G354" s="7"/>
      <c r="H354" s="7"/>
      <c r="I354" s="7"/>
      <c r="J354" s="7"/>
      <c r="K354" s="7"/>
      <c r="L354" s="120"/>
      <c r="M354" s="7"/>
      <c r="N354" s="10"/>
      <c r="O354" s="11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>
      <c r="A355" s="10"/>
      <c r="B355" s="7"/>
      <c r="C355" s="7"/>
      <c r="D355" s="10"/>
      <c r="E355" s="110"/>
      <c r="F355" s="7"/>
      <c r="G355" s="7"/>
      <c r="H355" s="7"/>
      <c r="I355" s="7"/>
      <c r="J355" s="7"/>
      <c r="K355" s="7"/>
      <c r="L355" s="120"/>
      <c r="M355" s="7"/>
      <c r="N355" s="10"/>
      <c r="O355" s="11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>
      <c r="A356" s="10"/>
      <c r="B356" s="7"/>
      <c r="C356" s="7"/>
      <c r="D356" s="10"/>
      <c r="E356" s="110"/>
      <c r="F356" s="7"/>
      <c r="G356" s="7"/>
      <c r="H356" s="7"/>
      <c r="I356" s="7"/>
      <c r="J356" s="7"/>
      <c r="K356" s="7"/>
      <c r="L356" s="120"/>
      <c r="M356" s="7"/>
      <c r="N356" s="10"/>
      <c r="O356" s="11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>
      <c r="A357" s="10"/>
      <c r="B357" s="7"/>
      <c r="C357" s="7"/>
      <c r="D357" s="10"/>
      <c r="E357" s="110"/>
      <c r="F357" s="7"/>
      <c r="G357" s="7"/>
      <c r="H357" s="7"/>
      <c r="I357" s="7"/>
      <c r="J357" s="7"/>
      <c r="K357" s="7"/>
      <c r="L357" s="120"/>
      <c r="M357" s="7"/>
      <c r="N357" s="10"/>
      <c r="O357" s="11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>
      <c r="A358" s="10"/>
      <c r="B358" s="7"/>
      <c r="C358" s="7"/>
      <c r="D358" s="10"/>
      <c r="E358" s="110"/>
      <c r="F358" s="7"/>
      <c r="G358" s="7"/>
      <c r="H358" s="7"/>
      <c r="I358" s="7"/>
      <c r="J358" s="7"/>
      <c r="K358" s="7"/>
      <c r="L358" s="120"/>
      <c r="M358" s="7"/>
      <c r="N358" s="10"/>
      <c r="O358" s="11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>
      <c r="A359" s="10"/>
      <c r="B359" s="7"/>
      <c r="C359" s="7"/>
      <c r="D359" s="10"/>
      <c r="E359" s="110"/>
      <c r="F359" s="7"/>
      <c r="G359" s="7"/>
      <c r="H359" s="7"/>
      <c r="I359" s="7"/>
      <c r="J359" s="7"/>
      <c r="K359" s="7"/>
      <c r="L359" s="120"/>
      <c r="M359" s="7"/>
      <c r="N359" s="10"/>
      <c r="O359" s="11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>
      <c r="A360" s="10"/>
      <c r="B360" s="7"/>
      <c r="C360" s="7"/>
      <c r="D360" s="10"/>
      <c r="E360" s="110"/>
      <c r="F360" s="7"/>
      <c r="G360" s="7"/>
      <c r="H360" s="7"/>
      <c r="I360" s="7"/>
      <c r="J360" s="7"/>
      <c r="K360" s="7"/>
      <c r="L360" s="120"/>
      <c r="M360" s="7"/>
      <c r="N360" s="10"/>
      <c r="O360" s="11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>
      <c r="A361" s="10"/>
      <c r="B361" s="7"/>
      <c r="C361" s="7"/>
      <c r="D361" s="10"/>
      <c r="E361" s="110"/>
      <c r="F361" s="7"/>
      <c r="G361" s="7"/>
      <c r="H361" s="7"/>
      <c r="I361" s="7"/>
      <c r="J361" s="7"/>
      <c r="K361" s="7"/>
      <c r="L361" s="120"/>
      <c r="M361" s="7"/>
      <c r="N361" s="10"/>
      <c r="O361" s="11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>
      <c r="A362" s="10"/>
      <c r="B362" s="7"/>
      <c r="C362" s="7"/>
      <c r="D362" s="10"/>
      <c r="E362" s="110"/>
      <c r="F362" s="7"/>
      <c r="G362" s="7"/>
      <c r="H362" s="7"/>
      <c r="I362" s="7"/>
      <c r="J362" s="7"/>
      <c r="K362" s="7"/>
      <c r="L362" s="120"/>
      <c r="M362" s="7"/>
      <c r="N362" s="10"/>
      <c r="O362" s="11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>
      <c r="A363" s="10"/>
      <c r="B363" s="7"/>
      <c r="C363" s="7"/>
      <c r="D363" s="10"/>
      <c r="E363" s="110"/>
      <c r="F363" s="7"/>
      <c r="G363" s="7"/>
      <c r="H363" s="7"/>
      <c r="I363" s="7"/>
      <c r="J363" s="7"/>
      <c r="K363" s="7"/>
      <c r="L363" s="120"/>
      <c r="M363" s="7"/>
      <c r="N363" s="10"/>
      <c r="O363" s="11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>
      <c r="A364" s="10"/>
      <c r="B364" s="7"/>
      <c r="C364" s="7"/>
      <c r="D364" s="10"/>
      <c r="E364" s="110"/>
      <c r="F364" s="7"/>
      <c r="G364" s="7"/>
      <c r="H364" s="7"/>
      <c r="I364" s="7"/>
      <c r="J364" s="7"/>
      <c r="K364" s="7"/>
      <c r="L364" s="120"/>
      <c r="M364" s="7"/>
      <c r="N364" s="10"/>
      <c r="O364" s="11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>
      <c r="A365" s="10"/>
      <c r="B365" s="7"/>
      <c r="C365" s="7"/>
      <c r="D365" s="10"/>
      <c r="E365" s="110"/>
      <c r="F365" s="7"/>
      <c r="G365" s="7"/>
      <c r="H365" s="7"/>
      <c r="I365" s="7"/>
      <c r="J365" s="7"/>
      <c r="K365" s="7"/>
      <c r="L365" s="120"/>
      <c r="M365" s="7"/>
      <c r="N365" s="10"/>
      <c r="O365" s="11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>
      <c r="A366" s="10"/>
      <c r="B366" s="7"/>
      <c r="C366" s="7"/>
      <c r="D366" s="10"/>
      <c r="E366" s="110"/>
      <c r="F366" s="7"/>
      <c r="G366" s="7"/>
      <c r="H366" s="7"/>
      <c r="I366" s="7"/>
      <c r="J366" s="7"/>
      <c r="K366" s="7"/>
      <c r="L366" s="120"/>
      <c r="M366" s="7"/>
      <c r="N366" s="10"/>
      <c r="O366" s="11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>
      <c r="A367" s="10"/>
      <c r="B367" s="7"/>
      <c r="C367" s="7"/>
      <c r="D367" s="10"/>
      <c r="E367" s="110"/>
      <c r="F367" s="7"/>
      <c r="G367" s="7"/>
      <c r="H367" s="7"/>
      <c r="I367" s="7"/>
      <c r="J367" s="7"/>
      <c r="K367" s="7"/>
      <c r="L367" s="120"/>
      <c r="M367" s="7"/>
      <c r="N367" s="10"/>
      <c r="O367" s="11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>
      <c r="A368" s="10"/>
      <c r="B368" s="7"/>
      <c r="C368" s="7"/>
      <c r="D368" s="10"/>
      <c r="E368" s="110"/>
      <c r="F368" s="7"/>
      <c r="G368" s="7"/>
      <c r="H368" s="7"/>
      <c r="I368" s="7"/>
      <c r="J368" s="7"/>
      <c r="K368" s="7"/>
      <c r="L368" s="120"/>
      <c r="M368" s="7"/>
      <c r="N368" s="10"/>
      <c r="O368" s="11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>
      <c r="A369" s="10"/>
      <c r="B369" s="7"/>
      <c r="C369" s="7"/>
      <c r="D369" s="10"/>
      <c r="E369" s="110"/>
      <c r="F369" s="7"/>
      <c r="G369" s="7"/>
      <c r="H369" s="7"/>
      <c r="I369" s="7"/>
      <c r="J369" s="7"/>
      <c r="K369" s="7"/>
      <c r="L369" s="120"/>
      <c r="M369" s="7"/>
      <c r="N369" s="10"/>
      <c r="O369" s="11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>
      <c r="A370" s="10"/>
      <c r="B370" s="7"/>
      <c r="C370" s="7"/>
      <c r="D370" s="10"/>
      <c r="E370" s="110"/>
      <c r="F370" s="7"/>
      <c r="G370" s="7"/>
      <c r="H370" s="7"/>
      <c r="I370" s="7"/>
      <c r="J370" s="7"/>
      <c r="K370" s="7"/>
      <c r="L370" s="120"/>
      <c r="M370" s="7"/>
      <c r="N370" s="10"/>
      <c r="O370" s="11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>
      <c r="A371" s="10"/>
      <c r="B371" s="7"/>
      <c r="C371" s="7"/>
      <c r="D371" s="10"/>
      <c r="E371" s="110"/>
      <c r="F371" s="7"/>
      <c r="G371" s="7"/>
      <c r="H371" s="7"/>
      <c r="I371" s="7"/>
      <c r="J371" s="7"/>
      <c r="K371" s="7"/>
      <c r="L371" s="120"/>
      <c r="M371" s="7"/>
      <c r="N371" s="10"/>
      <c r="O371" s="11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>
      <c r="A372" s="10"/>
      <c r="B372" s="7"/>
      <c r="C372" s="7"/>
      <c r="D372" s="10"/>
      <c r="E372" s="110"/>
      <c r="F372" s="7"/>
      <c r="G372" s="7"/>
      <c r="H372" s="7"/>
      <c r="I372" s="7"/>
      <c r="J372" s="7"/>
      <c r="K372" s="7"/>
      <c r="L372" s="120"/>
      <c r="M372" s="7"/>
      <c r="N372" s="10"/>
      <c r="O372" s="11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>
      <c r="A373" s="10"/>
      <c r="B373" s="7"/>
      <c r="C373" s="7"/>
      <c r="D373" s="10"/>
      <c r="E373" s="110"/>
      <c r="F373" s="7"/>
      <c r="G373" s="7"/>
      <c r="H373" s="7"/>
      <c r="I373" s="7"/>
      <c r="J373" s="7"/>
      <c r="K373" s="7"/>
      <c r="L373" s="120"/>
      <c r="M373" s="7"/>
      <c r="N373" s="10"/>
      <c r="O373" s="11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>
      <c r="A374" s="10"/>
      <c r="B374" s="7"/>
      <c r="C374" s="7"/>
      <c r="D374" s="10"/>
      <c r="E374" s="110"/>
      <c r="F374" s="7"/>
      <c r="G374" s="7"/>
      <c r="H374" s="7"/>
      <c r="I374" s="7"/>
      <c r="J374" s="7"/>
      <c r="K374" s="7"/>
      <c r="L374" s="120"/>
      <c r="M374" s="7"/>
      <c r="N374" s="10"/>
      <c r="O374" s="11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>
      <c r="A375" s="10"/>
      <c r="B375" s="7"/>
      <c r="C375" s="7"/>
      <c r="D375" s="10"/>
      <c r="E375" s="110"/>
      <c r="F375" s="7"/>
      <c r="G375" s="7"/>
      <c r="H375" s="7"/>
      <c r="I375" s="7"/>
      <c r="J375" s="7"/>
      <c r="K375" s="7"/>
      <c r="L375" s="120"/>
      <c r="M375" s="7"/>
      <c r="N375" s="10"/>
      <c r="O375" s="11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>
      <c r="A376" s="10"/>
      <c r="B376" s="7"/>
      <c r="C376" s="7"/>
      <c r="D376" s="10"/>
      <c r="E376" s="110"/>
      <c r="F376" s="7"/>
      <c r="G376" s="7"/>
      <c r="H376" s="7"/>
      <c r="I376" s="7"/>
      <c r="J376" s="7"/>
      <c r="K376" s="7"/>
      <c r="L376" s="120"/>
      <c r="M376" s="7"/>
      <c r="N376" s="10"/>
      <c r="O376" s="11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>
      <c r="A377" s="10"/>
      <c r="B377" s="7"/>
      <c r="C377" s="7"/>
      <c r="D377" s="10"/>
      <c r="E377" s="110"/>
      <c r="F377" s="7"/>
      <c r="G377" s="7"/>
      <c r="H377" s="7"/>
      <c r="I377" s="7"/>
      <c r="J377" s="7"/>
      <c r="K377" s="7"/>
      <c r="L377" s="120"/>
      <c r="M377" s="7"/>
      <c r="N377" s="10"/>
      <c r="O377" s="11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>
      <c r="A378" s="10"/>
      <c r="B378" s="7"/>
      <c r="C378" s="7"/>
      <c r="D378" s="10"/>
      <c r="E378" s="110"/>
      <c r="F378" s="7"/>
      <c r="G378" s="7"/>
      <c r="H378" s="7"/>
      <c r="I378" s="7"/>
      <c r="J378" s="7"/>
      <c r="K378" s="7"/>
      <c r="L378" s="120"/>
      <c r="M378" s="7"/>
      <c r="N378" s="10"/>
      <c r="O378" s="11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>
      <c r="A379" s="10"/>
      <c r="B379" s="7"/>
      <c r="C379" s="7"/>
      <c r="D379" s="10"/>
      <c r="E379" s="110"/>
      <c r="F379" s="7"/>
      <c r="G379" s="7"/>
      <c r="H379" s="7"/>
      <c r="I379" s="7"/>
      <c r="J379" s="7"/>
      <c r="K379" s="7"/>
      <c r="L379" s="120"/>
      <c r="M379" s="7"/>
      <c r="N379" s="10"/>
      <c r="O379" s="11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>
      <c r="A380" s="10"/>
      <c r="B380" s="7"/>
      <c r="C380" s="7"/>
      <c r="D380" s="10"/>
      <c r="E380" s="110"/>
      <c r="F380" s="7"/>
      <c r="G380" s="7"/>
      <c r="H380" s="7"/>
      <c r="I380" s="7"/>
      <c r="J380" s="7"/>
      <c r="K380" s="7"/>
      <c r="L380" s="120"/>
      <c r="M380" s="7"/>
      <c r="N380" s="10"/>
      <c r="O380" s="11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>
      <c r="A381" s="10"/>
      <c r="B381" s="7"/>
      <c r="C381" s="7"/>
      <c r="D381" s="10"/>
      <c r="E381" s="110"/>
      <c r="F381" s="7"/>
      <c r="G381" s="7"/>
      <c r="H381" s="7"/>
      <c r="I381" s="7"/>
      <c r="J381" s="7"/>
      <c r="K381" s="7"/>
      <c r="L381" s="120"/>
      <c r="M381" s="7"/>
      <c r="N381" s="10"/>
      <c r="O381" s="11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>
      <c r="A382" s="10"/>
      <c r="B382" s="7"/>
      <c r="C382" s="7"/>
      <c r="D382" s="10"/>
      <c r="E382" s="110"/>
      <c r="F382" s="7"/>
      <c r="G382" s="7"/>
      <c r="H382" s="7"/>
      <c r="I382" s="7"/>
      <c r="J382" s="7"/>
      <c r="K382" s="7"/>
      <c r="L382" s="120"/>
      <c r="M382" s="7"/>
      <c r="N382" s="10"/>
      <c r="O382" s="11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>
      <c r="A383" s="10"/>
      <c r="B383" s="7"/>
      <c r="C383" s="7"/>
      <c r="D383" s="10"/>
      <c r="E383" s="110"/>
      <c r="F383" s="7"/>
      <c r="G383" s="7"/>
      <c r="H383" s="7"/>
      <c r="I383" s="7"/>
      <c r="J383" s="7"/>
      <c r="K383" s="7"/>
      <c r="L383" s="120"/>
      <c r="M383" s="7"/>
      <c r="N383" s="10"/>
      <c r="O383" s="11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>
      <c r="A384" s="10"/>
      <c r="B384" s="7"/>
      <c r="C384" s="7"/>
      <c r="D384" s="10"/>
      <c r="E384" s="110"/>
      <c r="F384" s="7"/>
      <c r="G384" s="7"/>
      <c r="H384" s="7"/>
      <c r="I384" s="7"/>
      <c r="J384" s="7"/>
      <c r="K384" s="7"/>
      <c r="L384" s="120"/>
      <c r="M384" s="7"/>
      <c r="N384" s="10"/>
      <c r="O384" s="11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>
      <c r="A385" s="10"/>
      <c r="B385" s="7"/>
      <c r="C385" s="7"/>
      <c r="D385" s="10"/>
      <c r="E385" s="110"/>
      <c r="F385" s="7"/>
      <c r="G385" s="7"/>
      <c r="H385" s="7"/>
      <c r="I385" s="7"/>
      <c r="J385" s="7"/>
      <c r="K385" s="7"/>
      <c r="L385" s="120"/>
      <c r="M385" s="7"/>
      <c r="N385" s="10"/>
      <c r="O385" s="11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>
      <c r="A386" s="10"/>
      <c r="B386" s="7"/>
      <c r="C386" s="7"/>
      <c r="D386" s="10"/>
      <c r="E386" s="110"/>
      <c r="F386" s="7"/>
      <c r="G386" s="7"/>
      <c r="H386" s="7"/>
      <c r="I386" s="7"/>
      <c r="J386" s="7"/>
      <c r="K386" s="7"/>
      <c r="L386" s="120"/>
      <c r="M386" s="7"/>
      <c r="N386" s="10"/>
      <c r="O386" s="11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>
      <c r="A387" s="10"/>
      <c r="B387" s="7"/>
      <c r="C387" s="7"/>
      <c r="D387" s="10"/>
      <c r="E387" s="110"/>
      <c r="F387" s="7"/>
      <c r="G387" s="7"/>
      <c r="H387" s="7"/>
      <c r="I387" s="7"/>
      <c r="J387" s="7"/>
      <c r="K387" s="7"/>
      <c r="L387" s="120"/>
      <c r="M387" s="7"/>
      <c r="N387" s="10"/>
      <c r="O387" s="11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>
      <c r="A388" s="10"/>
      <c r="B388" s="7"/>
      <c r="C388" s="7"/>
      <c r="D388" s="10"/>
      <c r="E388" s="110"/>
      <c r="F388" s="7"/>
      <c r="G388" s="7"/>
      <c r="H388" s="7"/>
      <c r="I388" s="7"/>
      <c r="J388" s="7"/>
      <c r="K388" s="7"/>
      <c r="L388" s="120"/>
      <c r="M388" s="7"/>
      <c r="N388" s="10"/>
      <c r="O388" s="11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>
      <c r="A389" s="10"/>
      <c r="B389" s="7"/>
      <c r="C389" s="7"/>
      <c r="D389" s="10"/>
      <c r="E389" s="110"/>
      <c r="F389" s="7"/>
      <c r="G389" s="7"/>
      <c r="H389" s="7"/>
      <c r="I389" s="7"/>
      <c r="J389" s="7"/>
      <c r="K389" s="7"/>
      <c r="L389" s="120"/>
      <c r="M389" s="7"/>
      <c r="N389" s="10"/>
      <c r="O389" s="11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>
      <c r="A390" s="10"/>
      <c r="B390" s="7"/>
      <c r="C390" s="7"/>
      <c r="D390" s="10"/>
      <c r="E390" s="110"/>
      <c r="F390" s="7"/>
      <c r="G390" s="7"/>
      <c r="H390" s="7"/>
      <c r="I390" s="7"/>
      <c r="J390" s="7"/>
      <c r="K390" s="7"/>
      <c r="L390" s="120"/>
      <c r="M390" s="7"/>
      <c r="N390" s="10"/>
      <c r="O390" s="11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>
      <c r="A391" s="10"/>
      <c r="B391" s="7"/>
      <c r="C391" s="7"/>
      <c r="D391" s="10"/>
      <c r="E391" s="110"/>
      <c r="F391" s="7"/>
      <c r="G391" s="7"/>
      <c r="H391" s="7"/>
      <c r="I391" s="7"/>
      <c r="J391" s="7"/>
      <c r="K391" s="7"/>
      <c r="L391" s="120"/>
      <c r="M391" s="7"/>
      <c r="N391" s="10"/>
      <c r="O391" s="11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>
      <c r="A392" s="10"/>
      <c r="B392" s="7"/>
      <c r="C392" s="7"/>
      <c r="D392" s="10"/>
      <c r="E392" s="110"/>
      <c r="F392" s="7"/>
      <c r="G392" s="7"/>
      <c r="H392" s="7"/>
      <c r="I392" s="7"/>
      <c r="J392" s="7"/>
      <c r="K392" s="7"/>
      <c r="L392" s="120"/>
      <c r="M392" s="7"/>
      <c r="N392" s="10"/>
      <c r="O392" s="11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>
      <c r="A393" s="10"/>
      <c r="B393" s="7"/>
      <c r="C393" s="7"/>
      <c r="D393" s="10"/>
      <c r="E393" s="110"/>
      <c r="F393" s="7"/>
      <c r="G393" s="7"/>
      <c r="H393" s="7"/>
      <c r="I393" s="7"/>
      <c r="J393" s="7"/>
      <c r="K393" s="7"/>
      <c r="L393" s="120"/>
      <c r="M393" s="7"/>
      <c r="N393" s="10"/>
      <c r="O393" s="11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>
      <c r="A394" s="10"/>
      <c r="B394" s="7"/>
      <c r="C394" s="7"/>
      <c r="D394" s="10"/>
      <c r="E394" s="110"/>
      <c r="F394" s="7"/>
      <c r="G394" s="7"/>
      <c r="H394" s="7"/>
      <c r="I394" s="7"/>
      <c r="J394" s="7"/>
      <c r="K394" s="7"/>
      <c r="L394" s="120"/>
      <c r="M394" s="7"/>
      <c r="N394" s="10"/>
      <c r="O394" s="11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>
      <c r="A395" s="10"/>
      <c r="B395" s="7"/>
      <c r="C395" s="7"/>
      <c r="D395" s="10"/>
      <c r="E395" s="110"/>
      <c r="F395" s="7"/>
      <c r="G395" s="7"/>
      <c r="H395" s="7"/>
      <c r="I395" s="7"/>
      <c r="J395" s="7"/>
      <c r="K395" s="7"/>
      <c r="L395" s="120"/>
      <c r="M395" s="7"/>
      <c r="N395" s="10"/>
      <c r="O395" s="11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>
      <c r="A396" s="10"/>
      <c r="B396" s="7"/>
      <c r="C396" s="7"/>
      <c r="D396" s="10"/>
      <c r="E396" s="110"/>
      <c r="F396" s="7"/>
      <c r="G396" s="7"/>
      <c r="H396" s="7"/>
      <c r="I396" s="7"/>
      <c r="J396" s="7"/>
      <c r="K396" s="7"/>
      <c r="L396" s="120"/>
      <c r="M396" s="7"/>
      <c r="N396" s="10"/>
      <c r="O396" s="11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>
      <c r="A397" s="10"/>
      <c r="B397" s="7"/>
      <c r="C397" s="7"/>
      <c r="D397" s="10"/>
      <c r="E397" s="110"/>
      <c r="F397" s="7"/>
      <c r="G397" s="7"/>
      <c r="H397" s="7"/>
      <c r="I397" s="7"/>
      <c r="J397" s="7"/>
      <c r="K397" s="7"/>
      <c r="L397" s="120"/>
      <c r="M397" s="7"/>
      <c r="N397" s="10"/>
      <c r="O397" s="11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>
      <c r="A398" s="10"/>
      <c r="B398" s="7"/>
      <c r="C398" s="7"/>
      <c r="D398" s="10"/>
      <c r="E398" s="110"/>
      <c r="F398" s="7"/>
      <c r="G398" s="7"/>
      <c r="H398" s="7"/>
      <c r="I398" s="7"/>
      <c r="J398" s="7"/>
      <c r="K398" s="7"/>
      <c r="L398" s="120"/>
      <c r="M398" s="7"/>
      <c r="N398" s="10"/>
      <c r="O398" s="11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>
      <c r="A399" s="10"/>
      <c r="B399" s="7"/>
      <c r="C399" s="7"/>
      <c r="D399" s="10"/>
      <c r="E399" s="110"/>
      <c r="F399" s="7"/>
      <c r="G399" s="7"/>
      <c r="H399" s="7"/>
      <c r="I399" s="7"/>
      <c r="J399" s="7"/>
      <c r="K399" s="7"/>
      <c r="L399" s="120"/>
      <c r="M399" s="7"/>
      <c r="N399" s="10"/>
      <c r="O399" s="11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>
      <c r="A400" s="10"/>
      <c r="B400" s="7"/>
      <c r="C400" s="7"/>
      <c r="D400" s="10"/>
      <c r="E400" s="110"/>
      <c r="F400" s="7"/>
      <c r="G400" s="7"/>
      <c r="H400" s="7"/>
      <c r="I400" s="7"/>
      <c r="J400" s="7"/>
      <c r="K400" s="7"/>
      <c r="L400" s="120"/>
      <c r="M400" s="7"/>
      <c r="N400" s="10"/>
      <c r="O400" s="11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>
      <c r="A401" s="10"/>
      <c r="B401" s="7"/>
      <c r="C401" s="7"/>
      <c r="D401" s="10"/>
      <c r="E401" s="110"/>
      <c r="F401" s="7"/>
      <c r="G401" s="7"/>
      <c r="H401" s="7"/>
      <c r="I401" s="7"/>
      <c r="J401" s="7"/>
      <c r="K401" s="7"/>
      <c r="L401" s="120"/>
      <c r="M401" s="7"/>
      <c r="N401" s="10"/>
      <c r="O401" s="11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>
      <c r="A402" s="10"/>
      <c r="B402" s="7"/>
      <c r="C402" s="7"/>
      <c r="D402" s="10"/>
      <c r="E402" s="110"/>
      <c r="F402" s="7"/>
      <c r="G402" s="7"/>
      <c r="H402" s="7"/>
      <c r="I402" s="7"/>
      <c r="J402" s="7"/>
      <c r="K402" s="7"/>
      <c r="L402" s="120"/>
      <c r="M402" s="7"/>
      <c r="N402" s="10"/>
      <c r="O402" s="11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>
      <c r="A403" s="10"/>
      <c r="B403" s="7"/>
      <c r="C403" s="7"/>
      <c r="D403" s="10"/>
      <c r="E403" s="110"/>
      <c r="F403" s="7"/>
      <c r="G403" s="7"/>
      <c r="H403" s="7"/>
      <c r="I403" s="7"/>
      <c r="J403" s="7"/>
      <c r="K403" s="7"/>
      <c r="L403" s="120"/>
      <c r="M403" s="7"/>
      <c r="N403" s="10"/>
      <c r="O403" s="11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>
      <c r="A404" s="10"/>
      <c r="B404" s="7"/>
      <c r="C404" s="7"/>
      <c r="D404" s="10"/>
      <c r="E404" s="110"/>
      <c r="F404" s="7"/>
      <c r="G404" s="7"/>
      <c r="H404" s="7"/>
      <c r="I404" s="7"/>
      <c r="J404" s="7"/>
      <c r="K404" s="7"/>
      <c r="L404" s="120"/>
      <c r="M404" s="7"/>
      <c r="N404" s="10"/>
      <c r="O404" s="11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>
      <c r="A405" s="10"/>
      <c r="B405" s="7"/>
      <c r="C405" s="7"/>
      <c r="D405" s="10"/>
      <c r="E405" s="110"/>
      <c r="F405" s="7"/>
      <c r="G405" s="7"/>
      <c r="H405" s="7"/>
      <c r="I405" s="7"/>
      <c r="J405" s="7"/>
      <c r="K405" s="7"/>
      <c r="L405" s="120"/>
      <c r="M405" s="7"/>
      <c r="N405" s="10"/>
      <c r="O405" s="11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>
      <c r="A406" s="10"/>
      <c r="B406" s="7"/>
      <c r="C406" s="7"/>
      <c r="D406" s="10"/>
      <c r="E406" s="110"/>
      <c r="F406" s="7"/>
      <c r="G406" s="7"/>
      <c r="H406" s="7"/>
      <c r="I406" s="7"/>
      <c r="J406" s="7"/>
      <c r="K406" s="7"/>
      <c r="L406" s="120"/>
      <c r="M406" s="7"/>
      <c r="N406" s="10"/>
      <c r="O406" s="11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>
      <c r="A407" s="10"/>
      <c r="B407" s="7"/>
      <c r="C407" s="7"/>
      <c r="D407" s="10"/>
      <c r="E407" s="110"/>
      <c r="F407" s="7"/>
      <c r="G407" s="7"/>
      <c r="H407" s="7"/>
      <c r="I407" s="7"/>
      <c r="J407" s="7"/>
      <c r="K407" s="7"/>
      <c r="L407" s="120"/>
      <c r="M407" s="7"/>
      <c r="N407" s="10"/>
      <c r="O407" s="11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>
      <c r="A408" s="10"/>
      <c r="B408" s="7"/>
      <c r="C408" s="7"/>
      <c r="D408" s="10"/>
      <c r="E408" s="110"/>
      <c r="F408" s="7"/>
      <c r="G408" s="7"/>
      <c r="H408" s="7"/>
      <c r="I408" s="7"/>
      <c r="J408" s="7"/>
      <c r="K408" s="7"/>
      <c r="L408" s="120"/>
      <c r="M408" s="7"/>
      <c r="N408" s="10"/>
      <c r="O408" s="11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>
      <c r="A409" s="10"/>
      <c r="B409" s="7"/>
      <c r="C409" s="7"/>
      <c r="D409" s="10"/>
      <c r="E409" s="110"/>
      <c r="F409" s="7"/>
      <c r="G409" s="7"/>
      <c r="H409" s="7"/>
      <c r="I409" s="7"/>
      <c r="J409" s="7"/>
      <c r="K409" s="7"/>
      <c r="L409" s="120"/>
      <c r="M409" s="7"/>
      <c r="N409" s="10"/>
      <c r="O409" s="11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>
      <c r="A410" s="10"/>
      <c r="B410" s="7"/>
      <c r="C410" s="7"/>
      <c r="D410" s="10"/>
      <c r="E410" s="110"/>
      <c r="F410" s="7"/>
      <c r="G410" s="7"/>
      <c r="H410" s="7"/>
      <c r="I410" s="7"/>
      <c r="J410" s="7"/>
      <c r="K410" s="7"/>
      <c r="L410" s="120"/>
      <c r="M410" s="7"/>
      <c r="N410" s="10"/>
      <c r="O410" s="11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>
      <c r="A411" s="10"/>
      <c r="B411" s="7"/>
      <c r="C411" s="7"/>
      <c r="D411" s="10"/>
      <c r="E411" s="110"/>
      <c r="F411" s="7"/>
      <c r="G411" s="7"/>
      <c r="H411" s="7"/>
      <c r="I411" s="7"/>
      <c r="J411" s="7"/>
      <c r="K411" s="7"/>
      <c r="L411" s="120"/>
      <c r="M411" s="7"/>
      <c r="N411" s="10"/>
      <c r="O411" s="11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>
      <c r="A412" s="10"/>
      <c r="B412" s="7"/>
      <c r="C412" s="7"/>
      <c r="D412" s="10"/>
      <c r="E412" s="110"/>
      <c r="F412" s="7"/>
      <c r="G412" s="7"/>
      <c r="H412" s="7"/>
      <c r="I412" s="7"/>
      <c r="J412" s="7"/>
      <c r="K412" s="7"/>
      <c r="L412" s="120"/>
      <c r="M412" s="7"/>
      <c r="N412" s="10"/>
      <c r="O412" s="11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>
      <c r="A413" s="10"/>
      <c r="B413" s="7"/>
      <c r="C413" s="7"/>
      <c r="D413" s="10"/>
      <c r="E413" s="110"/>
      <c r="F413" s="7"/>
      <c r="G413" s="7"/>
      <c r="H413" s="7"/>
      <c r="I413" s="7"/>
      <c r="J413" s="7"/>
      <c r="K413" s="7"/>
      <c r="L413" s="120"/>
      <c r="M413" s="7"/>
      <c r="N413" s="10"/>
      <c r="O413" s="11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>
      <c r="A414" s="10"/>
      <c r="B414" s="7"/>
      <c r="C414" s="7"/>
      <c r="D414" s="10"/>
      <c r="E414" s="110"/>
      <c r="F414" s="7"/>
      <c r="G414" s="7"/>
      <c r="H414" s="7"/>
      <c r="I414" s="7"/>
      <c r="J414" s="7"/>
      <c r="K414" s="7"/>
      <c r="L414" s="120"/>
      <c r="M414" s="7"/>
      <c r="N414" s="10"/>
      <c r="O414" s="11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>
      <c r="A415" s="10"/>
      <c r="B415" s="7"/>
      <c r="C415" s="7"/>
      <c r="D415" s="10"/>
      <c r="E415" s="110"/>
      <c r="F415" s="7"/>
      <c r="G415" s="7"/>
      <c r="H415" s="7"/>
      <c r="I415" s="7"/>
      <c r="J415" s="7"/>
      <c r="K415" s="7"/>
      <c r="L415" s="120"/>
      <c r="M415" s="7"/>
      <c r="N415" s="10"/>
      <c r="O415" s="11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>
      <c r="A416" s="10"/>
      <c r="B416" s="7"/>
      <c r="C416" s="7"/>
      <c r="D416" s="10"/>
      <c r="E416" s="110"/>
      <c r="F416" s="7"/>
      <c r="G416" s="7"/>
      <c r="H416" s="7"/>
      <c r="I416" s="7"/>
      <c r="J416" s="7"/>
      <c r="K416" s="7"/>
      <c r="L416" s="120"/>
      <c r="M416" s="7"/>
      <c r="N416" s="10"/>
      <c r="O416" s="11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>
      <c r="A417" s="10"/>
      <c r="B417" s="7"/>
      <c r="C417" s="7"/>
      <c r="D417" s="10"/>
      <c r="E417" s="110"/>
      <c r="F417" s="7"/>
      <c r="G417" s="7"/>
      <c r="H417" s="7"/>
      <c r="I417" s="7"/>
      <c r="J417" s="7"/>
      <c r="K417" s="7"/>
      <c r="L417" s="120"/>
      <c r="M417" s="7"/>
      <c r="N417" s="10"/>
      <c r="O417" s="11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>
      <c r="A418" s="10"/>
      <c r="B418" s="7"/>
      <c r="C418" s="7"/>
      <c r="D418" s="10"/>
      <c r="E418" s="110"/>
      <c r="F418" s="7"/>
      <c r="G418" s="7"/>
      <c r="H418" s="7"/>
      <c r="I418" s="7"/>
      <c r="J418" s="7"/>
      <c r="K418" s="7"/>
      <c r="L418" s="120"/>
      <c r="M418" s="7"/>
      <c r="N418" s="10"/>
      <c r="O418" s="11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>
      <c r="A419" s="10"/>
      <c r="B419" s="7"/>
      <c r="C419" s="7"/>
      <c r="D419" s="10"/>
      <c r="E419" s="110"/>
      <c r="F419" s="7"/>
      <c r="G419" s="7"/>
      <c r="H419" s="7"/>
      <c r="I419" s="7"/>
      <c r="J419" s="7"/>
      <c r="K419" s="7"/>
      <c r="L419" s="120"/>
      <c r="M419" s="7"/>
      <c r="N419" s="10"/>
      <c r="O419" s="11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>
      <c r="A420" s="10"/>
      <c r="B420" s="7"/>
      <c r="C420" s="7"/>
      <c r="D420" s="10"/>
      <c r="E420" s="110"/>
      <c r="F420" s="7"/>
      <c r="G420" s="7"/>
      <c r="H420" s="7"/>
      <c r="I420" s="7"/>
      <c r="J420" s="7"/>
      <c r="K420" s="7"/>
      <c r="L420" s="120"/>
      <c r="M420" s="7"/>
      <c r="N420" s="10"/>
      <c r="O420" s="11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>
      <c r="A421" s="10"/>
      <c r="B421" s="7"/>
      <c r="C421" s="7"/>
      <c r="D421" s="10"/>
      <c r="E421" s="110"/>
      <c r="F421" s="7"/>
      <c r="G421" s="7"/>
      <c r="H421" s="7"/>
      <c r="I421" s="7"/>
      <c r="J421" s="7"/>
      <c r="K421" s="7"/>
      <c r="L421" s="120"/>
      <c r="M421" s="7"/>
      <c r="N421" s="10"/>
      <c r="O421" s="11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>
      <c r="A422" s="10"/>
      <c r="B422" s="7"/>
      <c r="C422" s="7"/>
      <c r="D422" s="10"/>
      <c r="E422" s="110"/>
      <c r="F422" s="7"/>
      <c r="G422" s="7"/>
      <c r="H422" s="7"/>
      <c r="I422" s="7"/>
      <c r="J422" s="7"/>
      <c r="K422" s="7"/>
      <c r="L422" s="120"/>
      <c r="M422" s="7"/>
      <c r="N422" s="10"/>
      <c r="O422" s="11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>
      <c r="A423" s="10"/>
      <c r="B423" s="7"/>
      <c r="C423" s="7"/>
      <c r="D423" s="10"/>
      <c r="E423" s="110"/>
      <c r="F423" s="7"/>
      <c r="G423" s="7"/>
      <c r="H423" s="7"/>
      <c r="I423" s="7"/>
      <c r="J423" s="7"/>
      <c r="K423" s="7"/>
      <c r="L423" s="120"/>
      <c r="M423" s="7"/>
      <c r="N423" s="10"/>
      <c r="O423" s="11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>
      <c r="A424" s="10"/>
      <c r="B424" s="7"/>
      <c r="C424" s="7"/>
      <c r="D424" s="10"/>
      <c r="E424" s="110"/>
      <c r="F424" s="7"/>
      <c r="G424" s="7"/>
      <c r="H424" s="7"/>
      <c r="I424" s="7"/>
      <c r="J424" s="7"/>
      <c r="K424" s="7"/>
      <c r="L424" s="120"/>
      <c r="M424" s="7"/>
      <c r="N424" s="10"/>
      <c r="O424" s="11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>
      <c r="A425" s="10"/>
      <c r="B425" s="7"/>
      <c r="C425" s="7"/>
      <c r="D425" s="10"/>
      <c r="E425" s="110"/>
      <c r="F425" s="7"/>
      <c r="G425" s="7"/>
      <c r="H425" s="7"/>
      <c r="I425" s="7"/>
      <c r="J425" s="7"/>
      <c r="K425" s="7"/>
      <c r="L425" s="120"/>
      <c r="M425" s="7"/>
      <c r="N425" s="10"/>
      <c r="O425" s="11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>
      <c r="A426" s="10"/>
      <c r="B426" s="7"/>
      <c r="C426" s="7"/>
      <c r="D426" s="10"/>
      <c r="E426" s="110"/>
      <c r="F426" s="7"/>
      <c r="G426" s="7"/>
      <c r="H426" s="7"/>
      <c r="I426" s="7"/>
      <c r="J426" s="7"/>
      <c r="K426" s="7"/>
      <c r="L426" s="120"/>
      <c r="M426" s="7"/>
      <c r="N426" s="10"/>
      <c r="O426" s="11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>
      <c r="A427" s="10"/>
      <c r="B427" s="7"/>
      <c r="C427" s="7"/>
      <c r="D427" s="10"/>
      <c r="E427" s="110"/>
      <c r="F427" s="7"/>
      <c r="G427" s="7"/>
      <c r="H427" s="7"/>
      <c r="I427" s="7"/>
      <c r="J427" s="7"/>
      <c r="K427" s="7"/>
      <c r="L427" s="120"/>
      <c r="M427" s="7"/>
      <c r="N427" s="10"/>
      <c r="O427" s="11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>
      <c r="A428" s="10"/>
      <c r="B428" s="7"/>
      <c r="C428" s="7"/>
      <c r="D428" s="10"/>
      <c r="E428" s="110"/>
      <c r="F428" s="7"/>
      <c r="G428" s="7"/>
      <c r="H428" s="7"/>
      <c r="I428" s="7"/>
      <c r="J428" s="7"/>
      <c r="K428" s="7"/>
      <c r="L428" s="120"/>
      <c r="M428" s="7"/>
      <c r="N428" s="10"/>
      <c r="O428" s="11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>
      <c r="A429" s="10"/>
      <c r="B429" s="7"/>
      <c r="C429" s="7"/>
      <c r="D429" s="10"/>
      <c r="E429" s="110"/>
      <c r="F429" s="7"/>
      <c r="G429" s="7"/>
      <c r="H429" s="7"/>
      <c r="I429" s="7"/>
      <c r="J429" s="7"/>
      <c r="K429" s="7"/>
      <c r="L429" s="120"/>
      <c r="M429" s="7"/>
      <c r="N429" s="10"/>
      <c r="O429" s="11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>
      <c r="A430" s="10"/>
      <c r="B430" s="7"/>
      <c r="C430" s="7"/>
      <c r="D430" s="10"/>
      <c r="E430" s="110"/>
      <c r="F430" s="7"/>
      <c r="G430" s="7"/>
      <c r="H430" s="7"/>
      <c r="I430" s="7"/>
      <c r="J430" s="7"/>
      <c r="K430" s="7"/>
      <c r="L430" s="120"/>
      <c r="M430" s="7"/>
      <c r="N430" s="10"/>
      <c r="O430" s="113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>
      <c r="A431" s="10"/>
      <c r="B431" s="7"/>
      <c r="C431" s="7"/>
      <c r="D431" s="10"/>
      <c r="E431" s="110"/>
      <c r="F431" s="7"/>
      <c r="G431" s="7"/>
      <c r="H431" s="7"/>
      <c r="I431" s="7"/>
      <c r="J431" s="7"/>
      <c r="K431" s="7"/>
      <c r="L431" s="120"/>
      <c r="M431" s="7"/>
      <c r="N431" s="10"/>
      <c r="O431" s="113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>
      <c r="A432" s="10"/>
      <c r="B432" s="7"/>
      <c r="C432" s="7"/>
      <c r="D432" s="10"/>
      <c r="E432" s="110"/>
      <c r="F432" s="7"/>
      <c r="G432" s="7"/>
      <c r="H432" s="7"/>
      <c r="I432" s="7"/>
      <c r="J432" s="7"/>
      <c r="K432" s="7"/>
      <c r="L432" s="120"/>
      <c r="M432" s="7"/>
      <c r="N432" s="10"/>
      <c r="O432" s="113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>
      <c r="A433" s="10"/>
      <c r="B433" s="7"/>
      <c r="C433" s="7"/>
      <c r="D433" s="10"/>
      <c r="E433" s="110"/>
      <c r="F433" s="7"/>
      <c r="G433" s="7"/>
      <c r="H433" s="7"/>
      <c r="I433" s="7"/>
      <c r="J433" s="7"/>
      <c r="K433" s="7"/>
      <c r="L433" s="120"/>
      <c r="M433" s="7"/>
      <c r="N433" s="10"/>
      <c r="O433" s="11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>
      <c r="A434" s="10"/>
      <c r="B434" s="7"/>
      <c r="C434" s="7"/>
      <c r="D434" s="10"/>
      <c r="E434" s="110"/>
      <c r="F434" s="7"/>
      <c r="G434" s="7"/>
      <c r="H434" s="7"/>
      <c r="I434" s="7"/>
      <c r="J434" s="7"/>
      <c r="K434" s="7"/>
      <c r="L434" s="120"/>
      <c r="M434" s="7"/>
      <c r="N434" s="10"/>
      <c r="O434" s="11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>
      <c r="A435" s="10"/>
      <c r="B435" s="7"/>
      <c r="C435" s="7"/>
      <c r="D435" s="10"/>
      <c r="E435" s="110"/>
      <c r="F435" s="7"/>
      <c r="G435" s="7"/>
      <c r="H435" s="7"/>
      <c r="I435" s="7"/>
      <c r="J435" s="7"/>
      <c r="K435" s="7"/>
      <c r="L435" s="120"/>
      <c r="M435" s="7"/>
      <c r="N435" s="10"/>
      <c r="O435" s="11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>
      <c r="A436" s="10"/>
      <c r="B436" s="7"/>
      <c r="C436" s="7"/>
      <c r="D436" s="10"/>
      <c r="E436" s="110"/>
      <c r="F436" s="7"/>
      <c r="G436" s="7"/>
      <c r="H436" s="7"/>
      <c r="I436" s="7"/>
      <c r="J436" s="7"/>
      <c r="K436" s="7"/>
      <c r="L436" s="120"/>
      <c r="M436" s="7"/>
      <c r="N436" s="10"/>
      <c r="O436" s="11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>
      <c r="A437" s="10"/>
      <c r="B437" s="7"/>
      <c r="C437" s="7"/>
      <c r="D437" s="10"/>
      <c r="E437" s="110"/>
      <c r="F437" s="7"/>
      <c r="G437" s="7"/>
      <c r="H437" s="7"/>
      <c r="I437" s="7"/>
      <c r="J437" s="7"/>
      <c r="K437" s="7"/>
      <c r="L437" s="120"/>
      <c r="M437" s="7"/>
      <c r="N437" s="10"/>
      <c r="O437" s="11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>
      <c r="A438" s="10"/>
      <c r="B438" s="7"/>
      <c r="C438" s="7"/>
      <c r="D438" s="10"/>
      <c r="E438" s="110"/>
      <c r="F438" s="7"/>
      <c r="G438" s="7"/>
      <c r="H438" s="7"/>
      <c r="I438" s="7"/>
      <c r="J438" s="7"/>
      <c r="K438" s="7"/>
      <c r="L438" s="120"/>
      <c r="M438" s="7"/>
      <c r="N438" s="10"/>
      <c r="O438" s="11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>
      <c r="A439" s="10"/>
      <c r="B439" s="7"/>
      <c r="C439" s="7"/>
      <c r="D439" s="10"/>
      <c r="E439" s="110"/>
      <c r="F439" s="7"/>
      <c r="G439" s="7"/>
      <c r="H439" s="7"/>
      <c r="I439" s="7"/>
      <c r="J439" s="7"/>
      <c r="K439" s="7"/>
      <c r="L439" s="120"/>
      <c r="M439" s="7"/>
      <c r="N439" s="10"/>
      <c r="O439" s="11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>
      <c r="A440" s="10"/>
      <c r="B440" s="7"/>
      <c r="C440" s="7"/>
      <c r="D440" s="10"/>
      <c r="E440" s="110"/>
      <c r="F440" s="7"/>
      <c r="G440" s="7"/>
      <c r="H440" s="7"/>
      <c r="I440" s="7"/>
      <c r="J440" s="7"/>
      <c r="K440" s="7"/>
      <c r="L440" s="120"/>
      <c r="M440" s="7"/>
      <c r="N440" s="10"/>
      <c r="O440" s="11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>
      <c r="A441" s="10"/>
      <c r="B441" s="7"/>
      <c r="C441" s="7"/>
      <c r="D441" s="10"/>
      <c r="E441" s="110"/>
      <c r="F441" s="7"/>
      <c r="G441" s="7"/>
      <c r="H441" s="7"/>
      <c r="I441" s="7"/>
      <c r="J441" s="7"/>
      <c r="K441" s="7"/>
      <c r="L441" s="120"/>
      <c r="M441" s="7"/>
      <c r="N441" s="10"/>
      <c r="O441" s="11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>
      <c r="A442" s="10"/>
      <c r="B442" s="7"/>
      <c r="C442" s="7"/>
      <c r="D442" s="10"/>
      <c r="E442" s="110"/>
      <c r="F442" s="7"/>
      <c r="G442" s="7"/>
      <c r="H442" s="7"/>
      <c r="I442" s="7"/>
      <c r="J442" s="7"/>
      <c r="K442" s="7"/>
      <c r="L442" s="120"/>
      <c r="M442" s="7"/>
      <c r="N442" s="10"/>
      <c r="O442" s="11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>
      <c r="A443" s="10"/>
      <c r="B443" s="7"/>
      <c r="C443" s="7"/>
      <c r="D443" s="10"/>
      <c r="E443" s="110"/>
      <c r="F443" s="7"/>
      <c r="G443" s="7"/>
      <c r="H443" s="7"/>
      <c r="I443" s="7"/>
      <c r="J443" s="7"/>
      <c r="K443" s="7"/>
      <c r="L443" s="120"/>
      <c r="M443" s="7"/>
      <c r="N443" s="10"/>
      <c r="O443" s="11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>
      <c r="A444" s="10"/>
      <c r="B444" s="7"/>
      <c r="C444" s="7"/>
      <c r="D444" s="10"/>
      <c r="E444" s="110"/>
      <c r="F444" s="7"/>
      <c r="G444" s="7"/>
      <c r="H444" s="7"/>
      <c r="I444" s="7"/>
      <c r="J444" s="7"/>
      <c r="K444" s="7"/>
      <c r="L444" s="120"/>
      <c r="M444" s="7"/>
      <c r="N444" s="10"/>
      <c r="O444" s="11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>
      <c r="A445" s="10"/>
      <c r="B445" s="7"/>
      <c r="C445" s="7"/>
      <c r="D445" s="10"/>
      <c r="E445" s="110"/>
      <c r="F445" s="7"/>
      <c r="G445" s="7"/>
      <c r="H445" s="7"/>
      <c r="I445" s="7"/>
      <c r="J445" s="7"/>
      <c r="K445" s="7"/>
      <c r="L445" s="120"/>
      <c r="M445" s="7"/>
      <c r="N445" s="10"/>
      <c r="O445" s="11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>
      <c r="A446" s="10"/>
      <c r="B446" s="7"/>
      <c r="C446" s="7"/>
      <c r="D446" s="10"/>
      <c r="E446" s="110"/>
      <c r="F446" s="7"/>
      <c r="G446" s="7"/>
      <c r="H446" s="7"/>
      <c r="I446" s="7"/>
      <c r="J446" s="7"/>
      <c r="K446" s="7"/>
      <c r="L446" s="120"/>
      <c r="M446" s="7"/>
      <c r="N446" s="10"/>
      <c r="O446" s="11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>
      <c r="A447" s="10"/>
      <c r="B447" s="7"/>
      <c r="C447" s="7"/>
      <c r="D447" s="10"/>
      <c r="E447" s="110"/>
      <c r="F447" s="7"/>
      <c r="G447" s="7"/>
      <c r="H447" s="7"/>
      <c r="I447" s="7"/>
      <c r="J447" s="7"/>
      <c r="K447" s="7"/>
      <c r="L447" s="120"/>
      <c r="M447" s="7"/>
      <c r="N447" s="10"/>
      <c r="O447" s="11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>
      <c r="A448" s="10"/>
      <c r="B448" s="7"/>
      <c r="C448" s="7"/>
      <c r="D448" s="10"/>
      <c r="E448" s="110"/>
      <c r="F448" s="7"/>
      <c r="G448" s="7"/>
      <c r="H448" s="7"/>
      <c r="I448" s="7"/>
      <c r="J448" s="7"/>
      <c r="K448" s="7"/>
      <c r="L448" s="120"/>
      <c r="M448" s="7"/>
      <c r="N448" s="10"/>
      <c r="O448" s="11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>
      <c r="A449" s="10"/>
      <c r="B449" s="7"/>
      <c r="C449" s="7"/>
      <c r="D449" s="10"/>
      <c r="E449" s="110"/>
      <c r="F449" s="7"/>
      <c r="G449" s="7"/>
      <c r="H449" s="7"/>
      <c r="I449" s="7"/>
      <c r="J449" s="7"/>
      <c r="K449" s="7"/>
      <c r="L449" s="120"/>
      <c r="M449" s="7"/>
      <c r="N449" s="10"/>
      <c r="O449" s="11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>
      <c r="A450" s="10"/>
      <c r="B450" s="7"/>
      <c r="C450" s="7"/>
      <c r="D450" s="10"/>
      <c r="E450" s="110"/>
      <c r="F450" s="7"/>
      <c r="G450" s="7"/>
      <c r="H450" s="7"/>
      <c r="I450" s="7"/>
      <c r="J450" s="7"/>
      <c r="K450" s="7"/>
      <c r="L450" s="120"/>
      <c r="M450" s="7"/>
      <c r="N450" s="10"/>
      <c r="O450" s="11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>
      <c r="A451" s="10"/>
      <c r="B451" s="7"/>
      <c r="C451" s="7"/>
      <c r="D451" s="10"/>
      <c r="E451" s="110"/>
      <c r="F451" s="7"/>
      <c r="G451" s="7"/>
      <c r="H451" s="7"/>
      <c r="I451" s="7"/>
      <c r="J451" s="7"/>
      <c r="K451" s="7"/>
      <c r="L451" s="120"/>
      <c r="M451" s="7"/>
      <c r="N451" s="10"/>
      <c r="O451" s="11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>
      <c r="A452" s="10"/>
      <c r="B452" s="7"/>
      <c r="C452" s="7"/>
      <c r="D452" s="10"/>
      <c r="E452" s="110"/>
      <c r="F452" s="7"/>
      <c r="G452" s="7"/>
      <c r="H452" s="7"/>
      <c r="I452" s="7"/>
      <c r="J452" s="7"/>
      <c r="K452" s="7"/>
      <c r="L452" s="120"/>
      <c r="M452" s="7"/>
      <c r="N452" s="10"/>
      <c r="O452" s="11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>
      <c r="A453" s="10"/>
      <c r="B453" s="7"/>
      <c r="C453" s="7"/>
      <c r="D453" s="10"/>
      <c r="E453" s="110"/>
      <c r="F453" s="7"/>
      <c r="G453" s="7"/>
      <c r="H453" s="7"/>
      <c r="I453" s="7"/>
      <c r="J453" s="7"/>
      <c r="K453" s="7"/>
      <c r="L453" s="120"/>
      <c r="M453" s="7"/>
      <c r="N453" s="10"/>
      <c r="O453" s="11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>
      <c r="A454" s="10"/>
      <c r="B454" s="7"/>
      <c r="C454" s="7"/>
      <c r="D454" s="10"/>
      <c r="E454" s="110"/>
      <c r="F454" s="7"/>
      <c r="G454" s="7"/>
      <c r="H454" s="7"/>
      <c r="I454" s="7"/>
      <c r="J454" s="7"/>
      <c r="K454" s="7"/>
      <c r="L454" s="120"/>
      <c r="M454" s="7"/>
      <c r="N454" s="10"/>
      <c r="O454" s="11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>
      <c r="A455" s="10"/>
      <c r="B455" s="7"/>
      <c r="C455" s="7"/>
      <c r="D455" s="10"/>
      <c r="E455" s="110"/>
      <c r="F455" s="7"/>
      <c r="G455" s="7"/>
      <c r="H455" s="7"/>
      <c r="I455" s="7"/>
      <c r="J455" s="7"/>
      <c r="K455" s="7"/>
      <c r="L455" s="120"/>
      <c r="M455" s="7"/>
      <c r="N455" s="10"/>
      <c r="O455" s="11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>
      <c r="A456" s="10"/>
      <c r="B456" s="7"/>
      <c r="C456" s="7"/>
      <c r="D456" s="10"/>
      <c r="E456" s="110"/>
      <c r="F456" s="7"/>
      <c r="G456" s="7"/>
      <c r="H456" s="7"/>
      <c r="I456" s="7"/>
      <c r="J456" s="7"/>
      <c r="K456" s="7"/>
      <c r="L456" s="120"/>
      <c r="M456" s="7"/>
      <c r="N456" s="10"/>
      <c r="O456" s="11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>
      <c r="A457" s="10"/>
      <c r="B457" s="7"/>
      <c r="C457" s="7"/>
      <c r="D457" s="10"/>
      <c r="E457" s="110"/>
      <c r="F457" s="7"/>
      <c r="G457" s="7"/>
      <c r="H457" s="7"/>
      <c r="I457" s="7"/>
      <c r="J457" s="7"/>
      <c r="K457" s="7"/>
      <c r="L457" s="120"/>
      <c r="M457" s="7"/>
      <c r="N457" s="10"/>
      <c r="O457" s="11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>
      <c r="A458" s="10"/>
      <c r="B458" s="7"/>
      <c r="C458" s="7"/>
      <c r="D458" s="10"/>
      <c r="E458" s="110"/>
      <c r="F458" s="7"/>
      <c r="G458" s="7"/>
      <c r="H458" s="7"/>
      <c r="I458" s="7"/>
      <c r="J458" s="7"/>
      <c r="K458" s="7"/>
      <c r="L458" s="120"/>
      <c r="M458" s="7"/>
      <c r="N458" s="10"/>
      <c r="O458" s="11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>
      <c r="A459" s="10"/>
      <c r="B459" s="7"/>
      <c r="C459" s="7"/>
      <c r="D459" s="10"/>
      <c r="E459" s="110"/>
      <c r="F459" s="7"/>
      <c r="G459" s="7"/>
      <c r="H459" s="7"/>
      <c r="I459" s="7"/>
      <c r="J459" s="7"/>
      <c r="K459" s="7"/>
      <c r="L459" s="120"/>
      <c r="M459" s="7"/>
      <c r="N459" s="10"/>
      <c r="O459" s="11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>
      <c r="A460" s="10"/>
      <c r="B460" s="7"/>
      <c r="C460" s="7"/>
      <c r="D460" s="10"/>
      <c r="E460" s="110"/>
      <c r="F460" s="7"/>
      <c r="G460" s="7"/>
      <c r="H460" s="7"/>
      <c r="I460" s="7"/>
      <c r="J460" s="7"/>
      <c r="K460" s="7"/>
      <c r="L460" s="120"/>
      <c r="M460" s="7"/>
      <c r="N460" s="10"/>
      <c r="O460" s="11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>
      <c r="A461" s="10"/>
      <c r="B461" s="7"/>
      <c r="C461" s="7"/>
      <c r="D461" s="10"/>
      <c r="E461" s="110"/>
      <c r="F461" s="7"/>
      <c r="G461" s="7"/>
      <c r="H461" s="7"/>
      <c r="I461" s="7"/>
      <c r="J461" s="7"/>
      <c r="K461" s="7"/>
      <c r="L461" s="120"/>
      <c r="M461" s="7"/>
      <c r="N461" s="10"/>
      <c r="O461" s="11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>
      <c r="A462" s="10"/>
      <c r="B462" s="7"/>
      <c r="C462" s="7"/>
      <c r="D462" s="10"/>
      <c r="E462" s="110"/>
      <c r="F462" s="7"/>
      <c r="G462" s="7"/>
      <c r="H462" s="7"/>
      <c r="I462" s="7"/>
      <c r="J462" s="7"/>
      <c r="K462" s="7"/>
      <c r="L462" s="120"/>
      <c r="M462" s="7"/>
      <c r="N462" s="10"/>
      <c r="O462" s="11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>
      <c r="A463" s="10"/>
      <c r="B463" s="7"/>
      <c r="C463" s="7"/>
      <c r="D463" s="10"/>
      <c r="E463" s="110"/>
      <c r="F463" s="7"/>
      <c r="G463" s="7"/>
      <c r="H463" s="7"/>
      <c r="I463" s="7"/>
      <c r="J463" s="7"/>
      <c r="K463" s="7"/>
      <c r="L463" s="120"/>
      <c r="M463" s="7"/>
      <c r="N463" s="10"/>
      <c r="O463" s="11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>
      <c r="A464" s="10"/>
      <c r="B464" s="7"/>
      <c r="C464" s="7"/>
      <c r="D464" s="10"/>
      <c r="E464" s="110"/>
      <c r="F464" s="7"/>
      <c r="G464" s="7"/>
      <c r="H464" s="7"/>
      <c r="I464" s="7"/>
      <c r="J464" s="7"/>
      <c r="K464" s="7"/>
      <c r="L464" s="120"/>
      <c r="M464" s="7"/>
      <c r="N464" s="10"/>
      <c r="O464" s="11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>
      <c r="A465" s="10"/>
      <c r="B465" s="7"/>
      <c r="C465" s="7"/>
      <c r="D465" s="10"/>
      <c r="E465" s="110"/>
      <c r="F465" s="7"/>
      <c r="G465" s="7"/>
      <c r="H465" s="7"/>
      <c r="I465" s="7"/>
      <c r="J465" s="7"/>
      <c r="K465" s="7"/>
      <c r="L465" s="120"/>
      <c r="M465" s="7"/>
      <c r="N465" s="10"/>
      <c r="O465" s="11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>
      <c r="A466" s="10"/>
      <c r="B466" s="7"/>
      <c r="C466" s="7"/>
      <c r="D466" s="10"/>
      <c r="E466" s="110"/>
      <c r="F466" s="7"/>
      <c r="G466" s="7"/>
      <c r="H466" s="7"/>
      <c r="I466" s="7"/>
      <c r="J466" s="7"/>
      <c r="K466" s="7"/>
      <c r="L466" s="120"/>
      <c r="M466" s="7"/>
      <c r="N466" s="10"/>
      <c r="O466" s="11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>
      <c r="A467" s="10"/>
      <c r="B467" s="7"/>
      <c r="C467" s="7"/>
      <c r="D467" s="10"/>
      <c r="E467" s="110"/>
      <c r="F467" s="7"/>
      <c r="G467" s="7"/>
      <c r="H467" s="7"/>
      <c r="I467" s="7"/>
      <c r="J467" s="7"/>
      <c r="K467" s="7"/>
      <c r="L467" s="120"/>
      <c r="M467" s="7"/>
      <c r="N467" s="10"/>
      <c r="O467" s="11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>
      <c r="A468" s="10"/>
      <c r="B468" s="7"/>
      <c r="C468" s="7"/>
      <c r="D468" s="10"/>
      <c r="E468" s="110"/>
      <c r="F468" s="7"/>
      <c r="G468" s="7"/>
      <c r="H468" s="7"/>
      <c r="I468" s="7"/>
      <c r="J468" s="7"/>
      <c r="K468" s="7"/>
      <c r="L468" s="120"/>
      <c r="M468" s="7"/>
      <c r="N468" s="10"/>
      <c r="O468" s="11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>
      <c r="A469" s="10"/>
      <c r="B469" s="7"/>
      <c r="C469" s="7"/>
      <c r="D469" s="10"/>
      <c r="E469" s="110"/>
      <c r="F469" s="7"/>
      <c r="G469" s="7"/>
      <c r="H469" s="7"/>
      <c r="I469" s="7"/>
      <c r="J469" s="7"/>
      <c r="K469" s="7"/>
      <c r="L469" s="120"/>
      <c r="M469" s="7"/>
      <c r="N469" s="10"/>
      <c r="O469" s="11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>
      <c r="A470" s="10"/>
      <c r="B470" s="7"/>
      <c r="C470" s="7"/>
      <c r="D470" s="10"/>
      <c r="E470" s="110"/>
      <c r="F470" s="7"/>
      <c r="G470" s="7"/>
      <c r="H470" s="7"/>
      <c r="I470" s="7"/>
      <c r="J470" s="7"/>
      <c r="K470" s="7"/>
      <c r="L470" s="120"/>
      <c r="M470" s="7"/>
      <c r="N470" s="10"/>
      <c r="O470" s="11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>
      <c r="A471" s="10"/>
      <c r="B471" s="7"/>
      <c r="C471" s="7"/>
      <c r="D471" s="10"/>
      <c r="E471" s="110"/>
      <c r="F471" s="7"/>
      <c r="G471" s="7"/>
      <c r="H471" s="7"/>
      <c r="I471" s="7"/>
      <c r="J471" s="7"/>
      <c r="K471" s="7"/>
      <c r="L471" s="120"/>
      <c r="M471" s="7"/>
      <c r="N471" s="10"/>
      <c r="O471" s="11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>
      <c r="A472" s="10"/>
      <c r="B472" s="7"/>
      <c r="C472" s="7"/>
      <c r="D472" s="10"/>
      <c r="E472" s="110"/>
      <c r="F472" s="7"/>
      <c r="G472" s="7"/>
      <c r="H472" s="7"/>
      <c r="I472" s="7"/>
      <c r="J472" s="7"/>
      <c r="K472" s="7"/>
      <c r="L472" s="120"/>
      <c r="M472" s="7"/>
      <c r="N472" s="10"/>
      <c r="O472" s="11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>
      <c r="A473" s="10"/>
      <c r="B473" s="7"/>
      <c r="C473" s="7"/>
      <c r="D473" s="10"/>
      <c r="E473" s="110"/>
      <c r="F473" s="7"/>
      <c r="G473" s="7"/>
      <c r="H473" s="7"/>
      <c r="I473" s="7"/>
      <c r="J473" s="7"/>
      <c r="K473" s="7"/>
      <c r="L473" s="120"/>
      <c r="M473" s="7"/>
      <c r="N473" s="10"/>
      <c r="O473" s="11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>
      <c r="A474" s="10"/>
      <c r="B474" s="7"/>
      <c r="C474" s="7"/>
      <c r="D474" s="10"/>
      <c r="E474" s="110"/>
      <c r="F474" s="7"/>
      <c r="G474" s="7"/>
      <c r="H474" s="7"/>
      <c r="I474" s="7"/>
      <c r="J474" s="7"/>
      <c r="K474" s="7"/>
      <c r="L474" s="120"/>
      <c r="M474" s="7"/>
      <c r="N474" s="10"/>
      <c r="O474" s="11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>
      <c r="A475" s="10"/>
      <c r="B475" s="7"/>
      <c r="C475" s="7"/>
      <c r="D475" s="10"/>
      <c r="E475" s="110"/>
      <c r="F475" s="7"/>
      <c r="G475" s="7"/>
      <c r="H475" s="7"/>
      <c r="I475" s="7"/>
      <c r="J475" s="7"/>
      <c r="K475" s="7"/>
      <c r="L475" s="120"/>
      <c r="M475" s="7"/>
      <c r="N475" s="10"/>
      <c r="O475" s="11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>
      <c r="A476" s="10"/>
      <c r="B476" s="7"/>
      <c r="C476" s="7"/>
      <c r="D476" s="10"/>
      <c r="E476" s="110"/>
      <c r="F476" s="7"/>
      <c r="G476" s="7"/>
      <c r="H476" s="7"/>
      <c r="I476" s="7"/>
      <c r="J476" s="7"/>
      <c r="K476" s="7"/>
      <c r="L476" s="120"/>
      <c r="M476" s="7"/>
      <c r="N476" s="10"/>
      <c r="O476" s="11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>
      <c r="A477" s="10"/>
      <c r="B477" s="7"/>
      <c r="C477" s="7"/>
      <c r="D477" s="10"/>
      <c r="E477" s="110"/>
      <c r="F477" s="7"/>
      <c r="G477" s="7"/>
      <c r="H477" s="7"/>
      <c r="I477" s="7"/>
      <c r="J477" s="7"/>
      <c r="K477" s="7"/>
      <c r="L477" s="120"/>
      <c r="M477" s="7"/>
      <c r="N477" s="10"/>
      <c r="O477" s="11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>
      <c r="A478" s="10"/>
      <c r="B478" s="7"/>
      <c r="C478" s="7"/>
      <c r="D478" s="10"/>
      <c r="E478" s="110"/>
      <c r="F478" s="7"/>
      <c r="G478" s="7"/>
      <c r="H478" s="7"/>
      <c r="I478" s="7"/>
      <c r="J478" s="7"/>
      <c r="K478" s="7"/>
      <c r="L478" s="120"/>
      <c r="M478" s="7"/>
      <c r="N478" s="10"/>
      <c r="O478" s="11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>
      <c r="A479" s="10"/>
      <c r="B479" s="7"/>
      <c r="C479" s="7"/>
      <c r="D479" s="10"/>
      <c r="E479" s="110"/>
      <c r="F479" s="7"/>
      <c r="G479" s="7"/>
      <c r="H479" s="7"/>
      <c r="I479" s="7"/>
      <c r="J479" s="7"/>
      <c r="K479" s="7"/>
      <c r="L479" s="120"/>
      <c r="M479" s="7"/>
      <c r="N479" s="10"/>
      <c r="O479" s="11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>
      <c r="A480" s="10"/>
      <c r="B480" s="7"/>
      <c r="C480" s="7"/>
      <c r="D480" s="10"/>
      <c r="E480" s="110"/>
      <c r="F480" s="7"/>
      <c r="G480" s="7"/>
      <c r="H480" s="7"/>
      <c r="I480" s="7"/>
      <c r="J480" s="7"/>
      <c r="K480" s="7"/>
      <c r="L480" s="120"/>
      <c r="M480" s="7"/>
      <c r="N480" s="10"/>
      <c r="O480" s="11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>
      <c r="A481" s="10"/>
      <c r="B481" s="7"/>
      <c r="C481" s="7"/>
      <c r="D481" s="10"/>
      <c r="E481" s="110"/>
      <c r="F481" s="7"/>
      <c r="G481" s="7"/>
      <c r="H481" s="7"/>
      <c r="I481" s="7"/>
      <c r="J481" s="7"/>
      <c r="K481" s="7"/>
      <c r="L481" s="120"/>
      <c r="M481" s="7"/>
      <c r="N481" s="10"/>
      <c r="O481" s="11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>
      <c r="A482" s="10"/>
      <c r="B482" s="7"/>
      <c r="C482" s="7"/>
      <c r="D482" s="10"/>
      <c r="E482" s="110"/>
      <c r="F482" s="7"/>
      <c r="G482" s="7"/>
      <c r="H482" s="7"/>
      <c r="I482" s="7"/>
      <c r="J482" s="7"/>
      <c r="K482" s="7"/>
      <c r="L482" s="120"/>
      <c r="M482" s="7"/>
      <c r="N482" s="10"/>
      <c r="O482" s="11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>
      <c r="A483" s="10"/>
      <c r="B483" s="7"/>
      <c r="C483" s="7"/>
      <c r="D483" s="10"/>
      <c r="E483" s="110"/>
      <c r="F483" s="7"/>
      <c r="G483" s="7"/>
      <c r="H483" s="7"/>
      <c r="I483" s="7"/>
      <c r="J483" s="7"/>
      <c r="K483" s="7"/>
      <c r="L483" s="120"/>
      <c r="M483" s="7"/>
      <c r="N483" s="10"/>
      <c r="O483" s="11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>
      <c r="A484" s="10"/>
      <c r="B484" s="7"/>
      <c r="C484" s="7"/>
      <c r="D484" s="10"/>
      <c r="E484" s="110"/>
      <c r="F484" s="7"/>
      <c r="G484" s="7"/>
      <c r="H484" s="7"/>
      <c r="I484" s="7"/>
      <c r="J484" s="7"/>
      <c r="K484" s="7"/>
      <c r="L484" s="120"/>
      <c r="M484" s="7"/>
      <c r="N484" s="10"/>
      <c r="O484" s="11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>
      <c r="A485" s="10"/>
      <c r="B485" s="7"/>
      <c r="C485" s="7"/>
      <c r="D485" s="10"/>
      <c r="E485" s="110"/>
      <c r="F485" s="7"/>
      <c r="G485" s="7"/>
      <c r="H485" s="7"/>
      <c r="I485" s="7"/>
      <c r="J485" s="7"/>
      <c r="K485" s="7"/>
      <c r="L485" s="120"/>
      <c r="M485" s="7"/>
      <c r="N485" s="10"/>
      <c r="O485" s="11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>
      <c r="A486" s="10"/>
      <c r="B486" s="7"/>
      <c r="C486" s="7"/>
      <c r="D486" s="10"/>
      <c r="E486" s="110"/>
      <c r="F486" s="7"/>
      <c r="G486" s="7"/>
      <c r="H486" s="7"/>
      <c r="I486" s="7"/>
      <c r="J486" s="7"/>
      <c r="K486" s="7"/>
      <c r="L486" s="120"/>
      <c r="M486" s="7"/>
      <c r="N486" s="10"/>
      <c r="O486" s="11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>
      <c r="A487" s="10"/>
      <c r="B487" s="7"/>
      <c r="C487" s="7"/>
      <c r="D487" s="10"/>
      <c r="E487" s="110"/>
      <c r="F487" s="7"/>
      <c r="G487" s="7"/>
      <c r="H487" s="7"/>
      <c r="I487" s="7"/>
      <c r="J487" s="7"/>
      <c r="K487" s="7"/>
      <c r="L487" s="120"/>
      <c r="M487" s="7"/>
      <c r="N487" s="10"/>
      <c r="O487" s="11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>
      <c r="A488" s="10"/>
      <c r="B488" s="7"/>
      <c r="C488" s="7"/>
      <c r="D488" s="10"/>
      <c r="E488" s="110"/>
      <c r="F488" s="7"/>
      <c r="G488" s="7"/>
      <c r="H488" s="7"/>
      <c r="I488" s="7"/>
      <c r="J488" s="7"/>
      <c r="K488" s="7"/>
      <c r="L488" s="120"/>
      <c r="M488" s="7"/>
      <c r="N488" s="10"/>
      <c r="O488" s="11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>
      <c r="A489" s="10"/>
      <c r="B489" s="7"/>
      <c r="C489" s="7"/>
      <c r="D489" s="10"/>
      <c r="E489" s="110"/>
      <c r="F489" s="7"/>
      <c r="G489" s="7"/>
      <c r="H489" s="7"/>
      <c r="I489" s="7"/>
      <c r="J489" s="7"/>
      <c r="K489" s="7"/>
      <c r="L489" s="120"/>
      <c r="M489" s="7"/>
      <c r="N489" s="10"/>
      <c r="O489" s="11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>
      <c r="A490" s="10"/>
      <c r="B490" s="7"/>
      <c r="C490" s="7"/>
      <c r="D490" s="10"/>
      <c r="E490" s="110"/>
      <c r="F490" s="7"/>
      <c r="G490" s="7"/>
      <c r="H490" s="7"/>
      <c r="I490" s="7"/>
      <c r="J490" s="7"/>
      <c r="K490" s="7"/>
      <c r="L490" s="120"/>
      <c r="M490" s="7"/>
      <c r="N490" s="10"/>
      <c r="O490" s="11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>
      <c r="A491" s="10"/>
      <c r="B491" s="7"/>
      <c r="C491" s="7"/>
      <c r="D491" s="10"/>
      <c r="E491" s="110"/>
      <c r="F491" s="7"/>
      <c r="G491" s="7"/>
      <c r="H491" s="7"/>
      <c r="I491" s="7"/>
      <c r="J491" s="7"/>
      <c r="K491" s="7"/>
      <c r="L491" s="120"/>
      <c r="M491" s="7"/>
      <c r="N491" s="10"/>
      <c r="O491" s="11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>
      <c r="A492" s="10"/>
      <c r="B492" s="7"/>
      <c r="C492" s="7"/>
      <c r="D492" s="10"/>
      <c r="E492" s="110"/>
      <c r="F492" s="7"/>
      <c r="G492" s="7"/>
      <c r="H492" s="7"/>
      <c r="I492" s="7"/>
      <c r="J492" s="7"/>
      <c r="K492" s="7"/>
      <c r="L492" s="120"/>
      <c r="M492" s="7"/>
      <c r="N492" s="10"/>
      <c r="O492" s="11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>
      <c r="A493" s="10"/>
      <c r="B493" s="7"/>
      <c r="C493" s="7"/>
      <c r="D493" s="10"/>
      <c r="E493" s="110"/>
      <c r="F493" s="7"/>
      <c r="G493" s="7"/>
      <c r="H493" s="7"/>
      <c r="I493" s="7"/>
      <c r="J493" s="7"/>
      <c r="K493" s="7"/>
      <c r="L493" s="120"/>
      <c r="M493" s="7"/>
      <c r="N493" s="10"/>
      <c r="O493" s="11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>
      <c r="A494" s="10"/>
      <c r="B494" s="7"/>
      <c r="C494" s="7"/>
      <c r="D494" s="10"/>
      <c r="E494" s="110"/>
      <c r="F494" s="7"/>
      <c r="G494" s="7"/>
      <c r="H494" s="7"/>
      <c r="I494" s="7"/>
      <c r="J494" s="7"/>
      <c r="K494" s="7"/>
      <c r="L494" s="120"/>
      <c r="M494" s="7"/>
      <c r="N494" s="10"/>
      <c r="O494" s="113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>
      <c r="A495" s="10"/>
      <c r="B495" s="7"/>
      <c r="C495" s="7"/>
      <c r="D495" s="10"/>
      <c r="E495" s="110"/>
      <c r="F495" s="7"/>
      <c r="G495" s="7"/>
      <c r="H495" s="7"/>
      <c r="I495" s="7"/>
      <c r="J495" s="7"/>
      <c r="K495" s="7"/>
      <c r="L495" s="120"/>
      <c r="M495" s="7"/>
      <c r="N495" s="10"/>
      <c r="O495" s="113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>
      <c r="A496" s="10"/>
      <c r="B496" s="7"/>
      <c r="C496" s="7"/>
      <c r="D496" s="10"/>
      <c r="E496" s="110"/>
      <c r="F496" s="7"/>
      <c r="G496" s="7"/>
      <c r="H496" s="7"/>
      <c r="I496" s="7"/>
      <c r="J496" s="7"/>
      <c r="K496" s="7"/>
      <c r="L496" s="120"/>
      <c r="M496" s="7"/>
      <c r="N496" s="10"/>
      <c r="O496" s="11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>
      <c r="A497" s="10"/>
      <c r="B497" s="7"/>
      <c r="C497" s="7"/>
      <c r="D497" s="10"/>
      <c r="E497" s="110"/>
      <c r="F497" s="7"/>
      <c r="G497" s="7"/>
      <c r="H497" s="7"/>
      <c r="I497" s="7"/>
      <c r="J497" s="7"/>
      <c r="K497" s="7"/>
      <c r="L497" s="120"/>
      <c r="M497" s="7"/>
      <c r="N497" s="10"/>
      <c r="O497" s="11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>
      <c r="A498" s="10"/>
      <c r="B498" s="7"/>
      <c r="C498" s="7"/>
      <c r="D498" s="10"/>
      <c r="E498" s="110"/>
      <c r="F498" s="7"/>
      <c r="G498" s="7"/>
      <c r="H498" s="7"/>
      <c r="I498" s="7"/>
      <c r="J498" s="7"/>
      <c r="K498" s="7"/>
      <c r="L498" s="120"/>
      <c r="M498" s="7"/>
      <c r="N498" s="10"/>
      <c r="O498" s="11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>
      <c r="A499" s="10"/>
      <c r="B499" s="7"/>
      <c r="C499" s="7"/>
      <c r="D499" s="10"/>
      <c r="E499" s="110"/>
      <c r="F499" s="7"/>
      <c r="G499" s="7"/>
      <c r="H499" s="7"/>
      <c r="I499" s="7"/>
      <c r="J499" s="7"/>
      <c r="K499" s="7"/>
      <c r="L499" s="120"/>
      <c r="M499" s="7"/>
      <c r="N499" s="10"/>
      <c r="O499" s="11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>
      <c r="A500" s="10"/>
      <c r="B500" s="7"/>
      <c r="C500" s="7"/>
      <c r="D500" s="10"/>
      <c r="E500" s="110"/>
      <c r="F500" s="7"/>
      <c r="G500" s="7"/>
      <c r="H500" s="7"/>
      <c r="I500" s="7"/>
      <c r="J500" s="7"/>
      <c r="K500" s="7"/>
      <c r="L500" s="120"/>
      <c r="M500" s="7"/>
      <c r="N500" s="10"/>
      <c r="O500" s="11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>
      <c r="A501" s="10"/>
      <c r="B501" s="7"/>
      <c r="C501" s="7"/>
      <c r="D501" s="10"/>
      <c r="E501" s="110"/>
      <c r="F501" s="7"/>
      <c r="G501" s="7"/>
      <c r="H501" s="7"/>
      <c r="I501" s="7"/>
      <c r="J501" s="7"/>
      <c r="K501" s="7"/>
      <c r="L501" s="120"/>
      <c r="M501" s="7"/>
      <c r="N501" s="10"/>
      <c r="O501" s="11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>
      <c r="A502" s="10"/>
      <c r="B502" s="7"/>
      <c r="C502" s="7"/>
      <c r="D502" s="10"/>
      <c r="E502" s="110"/>
      <c r="F502" s="7"/>
      <c r="G502" s="7"/>
      <c r="H502" s="7"/>
      <c r="I502" s="7"/>
      <c r="J502" s="7"/>
      <c r="K502" s="7"/>
      <c r="L502" s="120"/>
      <c r="M502" s="7"/>
      <c r="N502" s="10"/>
      <c r="O502" s="11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>
      <c r="A503" s="10"/>
      <c r="B503" s="7"/>
      <c r="C503" s="7"/>
      <c r="D503" s="10"/>
      <c r="E503" s="110"/>
      <c r="F503" s="7"/>
      <c r="G503" s="7"/>
      <c r="H503" s="7"/>
      <c r="I503" s="7"/>
      <c r="J503" s="7"/>
      <c r="K503" s="7"/>
      <c r="L503" s="120"/>
      <c r="M503" s="7"/>
      <c r="N503" s="10"/>
      <c r="O503" s="11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>
      <c r="A504" s="56"/>
    </row>
    <row r="505" spans="1:27" ht="15.75" customHeight="1">
      <c r="A505" s="56"/>
    </row>
    <row r="506" spans="1:27" ht="15.75" customHeight="1">
      <c r="A506" s="56"/>
    </row>
    <row r="507" spans="1:27" ht="15.75" customHeight="1">
      <c r="A507" s="56"/>
    </row>
    <row r="508" spans="1:27" ht="15.75" customHeight="1">
      <c r="A508" s="56"/>
    </row>
    <row r="509" spans="1:27" ht="15.75" customHeight="1">
      <c r="A509" s="56"/>
    </row>
    <row r="510" spans="1:27" ht="15.75" customHeight="1">
      <c r="A510" s="56"/>
    </row>
    <row r="511" spans="1:27" ht="15.75" customHeight="1">
      <c r="A511" s="56"/>
    </row>
    <row r="512" spans="1:27" ht="15.75" customHeight="1">
      <c r="A512" s="56"/>
    </row>
    <row r="513" spans="1:1" ht="15.75" customHeight="1">
      <c r="A513" s="56"/>
    </row>
    <row r="514" spans="1:1" ht="15.75" customHeight="1">
      <c r="A514" s="56"/>
    </row>
    <row r="515" spans="1:1" ht="15.75" customHeight="1">
      <c r="A515" s="56"/>
    </row>
    <row r="516" spans="1:1" ht="15.75" customHeight="1">
      <c r="A516" s="56"/>
    </row>
    <row r="517" spans="1:1" ht="15.75" customHeight="1">
      <c r="A517" s="56"/>
    </row>
    <row r="518" spans="1:1" ht="15.75" customHeight="1">
      <c r="A518" s="56"/>
    </row>
    <row r="519" spans="1:1" ht="15.75" customHeight="1">
      <c r="A519" s="56"/>
    </row>
    <row r="520" spans="1:1" ht="15.75" customHeight="1">
      <c r="A520" s="56"/>
    </row>
    <row r="521" spans="1:1" ht="15.75" customHeight="1">
      <c r="A521" s="56"/>
    </row>
    <row r="522" spans="1:1" ht="15.75" customHeight="1">
      <c r="A522" s="56"/>
    </row>
    <row r="523" spans="1:1" ht="15.75" customHeight="1">
      <c r="A523" s="56"/>
    </row>
    <row r="524" spans="1:1" ht="15.75" customHeight="1">
      <c r="A524" s="56"/>
    </row>
    <row r="525" spans="1:1" ht="15.75" customHeight="1">
      <c r="A525" s="56"/>
    </row>
    <row r="526" spans="1:1" ht="15.75" customHeight="1">
      <c r="A526" s="56"/>
    </row>
    <row r="527" spans="1:1" ht="15.75" customHeight="1">
      <c r="A527" s="56"/>
    </row>
    <row r="528" spans="1:1" ht="15.75" customHeight="1">
      <c r="A528" s="56"/>
    </row>
    <row r="529" spans="1:1" ht="15.75" customHeight="1">
      <c r="A529" s="56"/>
    </row>
    <row r="530" spans="1:1" ht="15.75" customHeight="1">
      <c r="A530" s="56"/>
    </row>
    <row r="531" spans="1:1" ht="15.75" customHeight="1">
      <c r="A531" s="56"/>
    </row>
    <row r="532" spans="1:1" ht="15.75" customHeight="1">
      <c r="A532" s="56"/>
    </row>
    <row r="533" spans="1:1" ht="15.75" customHeight="1">
      <c r="A533" s="56"/>
    </row>
    <row r="534" spans="1:1" ht="15.75" customHeight="1">
      <c r="A534" s="56"/>
    </row>
    <row r="535" spans="1:1" ht="15.75" customHeight="1">
      <c r="A535" s="56"/>
    </row>
    <row r="536" spans="1:1" ht="15.75" customHeight="1">
      <c r="A536" s="56"/>
    </row>
    <row r="537" spans="1:1" ht="15.75" customHeight="1">
      <c r="A537" s="56"/>
    </row>
    <row r="538" spans="1:1" ht="15.75" customHeight="1">
      <c r="A538" s="56"/>
    </row>
    <row r="539" spans="1:1" ht="15.75" customHeight="1">
      <c r="A539" s="56"/>
    </row>
    <row r="540" spans="1:1" ht="15.75" customHeight="1">
      <c r="A540" s="56"/>
    </row>
    <row r="541" spans="1:1" ht="15.75" customHeight="1">
      <c r="A541" s="56"/>
    </row>
    <row r="542" spans="1:1" ht="15.75" customHeight="1">
      <c r="A542" s="56"/>
    </row>
    <row r="543" spans="1:1" ht="15.75" customHeight="1">
      <c r="A543" s="56"/>
    </row>
    <row r="544" spans="1:1" ht="15.75" customHeight="1">
      <c r="A544" s="56"/>
    </row>
    <row r="545" spans="1:1" ht="15.75" customHeight="1">
      <c r="A545" s="56"/>
    </row>
    <row r="546" spans="1:1" ht="15.75" customHeight="1">
      <c r="A546" s="56"/>
    </row>
    <row r="547" spans="1:1" ht="15.75" customHeight="1">
      <c r="A547" s="56"/>
    </row>
    <row r="548" spans="1:1" ht="15.75" customHeight="1">
      <c r="A548" s="56"/>
    </row>
    <row r="549" spans="1:1" ht="15.75" customHeight="1">
      <c r="A549" s="56"/>
    </row>
    <row r="550" spans="1:1" ht="15.75" customHeight="1">
      <c r="A550" s="56"/>
    </row>
    <row r="551" spans="1:1" ht="15.75" customHeight="1">
      <c r="A551" s="56"/>
    </row>
    <row r="552" spans="1:1" ht="15.75" customHeight="1">
      <c r="A552" s="56"/>
    </row>
    <row r="553" spans="1:1" ht="15.75" customHeight="1">
      <c r="A553" s="56"/>
    </row>
    <row r="554" spans="1:1" ht="15.75" customHeight="1">
      <c r="A554" s="56"/>
    </row>
    <row r="555" spans="1:1" ht="15.75" customHeight="1">
      <c r="A555" s="56"/>
    </row>
    <row r="556" spans="1:1" ht="15.75" customHeight="1">
      <c r="A556" s="56"/>
    </row>
    <row r="557" spans="1:1" ht="15.75" customHeight="1">
      <c r="A557" s="56"/>
    </row>
    <row r="558" spans="1:1" ht="15.75" customHeight="1">
      <c r="A558" s="56"/>
    </row>
    <row r="559" spans="1:1" ht="15.75" customHeight="1">
      <c r="A559" s="56"/>
    </row>
    <row r="560" spans="1:1" ht="15.75" customHeight="1">
      <c r="A560" s="56"/>
    </row>
    <row r="561" spans="1:1" ht="15.75" customHeight="1">
      <c r="A561" s="56"/>
    </row>
    <row r="562" spans="1:1" ht="15.75" customHeight="1">
      <c r="A562" s="56"/>
    </row>
    <row r="563" spans="1:1" ht="15.75" customHeight="1">
      <c r="A563" s="56"/>
    </row>
    <row r="564" spans="1:1" ht="15.75" customHeight="1">
      <c r="A564" s="56"/>
    </row>
    <row r="565" spans="1:1" ht="15.75" customHeight="1">
      <c r="A565" s="56"/>
    </row>
    <row r="566" spans="1:1" ht="15.75" customHeight="1">
      <c r="A566" s="56"/>
    </row>
    <row r="567" spans="1:1" ht="15.75" customHeight="1">
      <c r="A567" s="56"/>
    </row>
    <row r="568" spans="1:1" ht="15.75" customHeight="1">
      <c r="A568" s="56"/>
    </row>
    <row r="569" spans="1:1" ht="15.75" customHeight="1">
      <c r="A569" s="56"/>
    </row>
    <row r="570" spans="1:1" ht="15.75" customHeight="1">
      <c r="A570" s="56"/>
    </row>
    <row r="571" spans="1:1" ht="15.75" customHeight="1">
      <c r="A571" s="56"/>
    </row>
    <row r="572" spans="1:1" ht="15.75" customHeight="1">
      <c r="A572" s="56"/>
    </row>
    <row r="573" spans="1:1" ht="15.75" customHeight="1">
      <c r="A573" s="56"/>
    </row>
    <row r="574" spans="1:1" ht="15.75" customHeight="1">
      <c r="A574" s="56"/>
    </row>
    <row r="575" spans="1:1" ht="15.75" customHeight="1">
      <c r="A575" s="56"/>
    </row>
    <row r="576" spans="1:1" ht="15.75" customHeight="1">
      <c r="A576" s="56"/>
    </row>
    <row r="577" spans="1:1" ht="15.75" customHeight="1">
      <c r="A577" s="56"/>
    </row>
    <row r="578" spans="1:1" ht="15.75" customHeight="1">
      <c r="A578" s="56"/>
    </row>
    <row r="579" spans="1:1" ht="15.75" customHeight="1">
      <c r="A579" s="56"/>
    </row>
    <row r="580" spans="1:1" ht="15.75" customHeight="1">
      <c r="A580" s="56"/>
    </row>
    <row r="581" spans="1:1" ht="15.75" customHeight="1">
      <c r="A581" s="56"/>
    </row>
    <row r="582" spans="1:1" ht="15.75" customHeight="1">
      <c r="A582" s="56"/>
    </row>
    <row r="583" spans="1:1" ht="15.75" customHeight="1">
      <c r="A583" s="56"/>
    </row>
    <row r="584" spans="1:1" ht="15.75" customHeight="1">
      <c r="A584" s="56"/>
    </row>
    <row r="585" spans="1:1" ht="15.75" customHeight="1">
      <c r="A585" s="56"/>
    </row>
    <row r="586" spans="1:1" ht="15.75" customHeight="1">
      <c r="A586" s="56"/>
    </row>
    <row r="587" spans="1:1" ht="15.75" customHeight="1">
      <c r="A587" s="56"/>
    </row>
    <row r="588" spans="1:1" ht="15.75" customHeight="1">
      <c r="A588" s="56"/>
    </row>
    <row r="589" spans="1:1" ht="15.75" customHeight="1">
      <c r="A589" s="56"/>
    </row>
    <row r="590" spans="1:1" ht="15.75" customHeight="1">
      <c r="A590" s="56"/>
    </row>
    <row r="591" spans="1:1" ht="15.75" customHeight="1">
      <c r="A591" s="56"/>
    </row>
    <row r="592" spans="1:1" ht="15.75" customHeight="1">
      <c r="A592" s="56"/>
    </row>
    <row r="593" spans="1:1" ht="15.75" customHeight="1">
      <c r="A593" s="56"/>
    </row>
    <row r="594" spans="1:1" ht="15.75" customHeight="1">
      <c r="A594" s="56"/>
    </row>
    <row r="595" spans="1:1" ht="15.75" customHeight="1">
      <c r="A595" s="56"/>
    </row>
    <row r="596" spans="1:1" ht="15.75" customHeight="1">
      <c r="A596" s="56"/>
    </row>
    <row r="597" spans="1:1" ht="15.75" customHeight="1">
      <c r="A597" s="56"/>
    </row>
    <row r="598" spans="1:1" ht="15.75" customHeight="1">
      <c r="A598" s="56"/>
    </row>
    <row r="599" spans="1:1" ht="15.75" customHeight="1">
      <c r="A599" s="56"/>
    </row>
    <row r="600" spans="1:1" ht="15.75" customHeight="1">
      <c r="A600" s="56"/>
    </row>
    <row r="601" spans="1:1" ht="15.75" customHeight="1">
      <c r="A601" s="56"/>
    </row>
    <row r="602" spans="1:1" ht="15.75" customHeight="1">
      <c r="A602" s="56"/>
    </row>
    <row r="603" spans="1:1" ht="15.75" customHeight="1">
      <c r="A603" s="56"/>
    </row>
    <row r="604" spans="1:1" ht="15.75" customHeight="1">
      <c r="A604" s="56"/>
    </row>
    <row r="605" spans="1:1" ht="15.75" customHeight="1">
      <c r="A605" s="56"/>
    </row>
    <row r="606" spans="1:1" ht="15.75" customHeight="1">
      <c r="A606" s="56"/>
    </row>
    <row r="607" spans="1:1" ht="15.75" customHeight="1">
      <c r="A607" s="56"/>
    </row>
    <row r="608" spans="1:1" ht="15.75" customHeight="1">
      <c r="A608" s="56"/>
    </row>
    <row r="609" spans="1:1" ht="15.75" customHeight="1">
      <c r="A609" s="56"/>
    </row>
    <row r="610" spans="1:1" ht="15.75" customHeight="1">
      <c r="A610" s="56"/>
    </row>
    <row r="611" spans="1:1" ht="15.75" customHeight="1">
      <c r="A611" s="56"/>
    </row>
    <row r="612" spans="1:1" ht="15.75" customHeight="1">
      <c r="A612" s="56"/>
    </row>
    <row r="613" spans="1:1" ht="15.75" customHeight="1">
      <c r="A613" s="56"/>
    </row>
    <row r="614" spans="1:1" ht="15.75" customHeight="1">
      <c r="A614" s="56"/>
    </row>
    <row r="615" spans="1:1" ht="15.75" customHeight="1">
      <c r="A615" s="56"/>
    </row>
    <row r="616" spans="1:1" ht="15.75" customHeight="1">
      <c r="A616" s="56"/>
    </row>
    <row r="617" spans="1:1" ht="15.75" customHeight="1">
      <c r="A617" s="56"/>
    </row>
    <row r="618" spans="1:1" ht="15.75" customHeight="1">
      <c r="A618" s="56"/>
    </row>
    <row r="619" spans="1:1" ht="15.75" customHeight="1">
      <c r="A619" s="56"/>
    </row>
    <row r="620" spans="1:1" ht="15.75" customHeight="1">
      <c r="A620" s="56"/>
    </row>
    <row r="621" spans="1:1" ht="15.75" customHeight="1">
      <c r="A621" s="56"/>
    </row>
    <row r="622" spans="1:1" ht="15.75" customHeight="1">
      <c r="A622" s="56"/>
    </row>
    <row r="623" spans="1:1" ht="15.75" customHeight="1">
      <c r="A623" s="56"/>
    </row>
    <row r="624" spans="1:1" ht="15.75" customHeight="1">
      <c r="A624" s="56"/>
    </row>
    <row r="625" spans="1:1" ht="15.75" customHeight="1">
      <c r="A625" s="56"/>
    </row>
    <row r="626" spans="1:1" ht="15.75" customHeight="1">
      <c r="A626" s="56"/>
    </row>
    <row r="627" spans="1:1" ht="15.75" customHeight="1">
      <c r="A627" s="56"/>
    </row>
    <row r="628" spans="1:1" ht="15.75" customHeight="1">
      <c r="A628" s="56"/>
    </row>
    <row r="629" spans="1:1" ht="15.75" customHeight="1">
      <c r="A629" s="56"/>
    </row>
    <row r="630" spans="1:1" ht="15.75" customHeight="1">
      <c r="A630" s="56"/>
    </row>
    <row r="631" spans="1:1" ht="15.75" customHeight="1">
      <c r="A631" s="56"/>
    </row>
    <row r="632" spans="1:1" ht="15.75" customHeight="1">
      <c r="A632" s="56"/>
    </row>
    <row r="633" spans="1:1" ht="15.75" customHeight="1">
      <c r="A633" s="56"/>
    </row>
    <row r="634" spans="1:1" ht="15.75" customHeight="1">
      <c r="A634" s="56"/>
    </row>
    <row r="635" spans="1:1" ht="15.75" customHeight="1">
      <c r="A635" s="56"/>
    </row>
    <row r="636" spans="1:1" ht="15.75" customHeight="1">
      <c r="A636" s="56"/>
    </row>
    <row r="637" spans="1:1" ht="15.75" customHeight="1">
      <c r="A637" s="56"/>
    </row>
    <row r="638" spans="1:1" ht="15.75" customHeight="1">
      <c r="A638" s="56"/>
    </row>
    <row r="639" spans="1:1" ht="15.75" customHeight="1">
      <c r="A639" s="56"/>
    </row>
    <row r="640" spans="1:1" ht="15.75" customHeight="1">
      <c r="A640" s="56"/>
    </row>
    <row r="641" spans="1:1" ht="15.75" customHeight="1">
      <c r="A641" s="56"/>
    </row>
    <row r="642" spans="1:1" ht="15.75" customHeight="1">
      <c r="A642" s="56"/>
    </row>
    <row r="643" spans="1:1" ht="15.75" customHeight="1">
      <c r="A643" s="56"/>
    </row>
    <row r="644" spans="1:1" ht="15.75" customHeight="1">
      <c r="A644" s="56"/>
    </row>
    <row r="645" spans="1:1" ht="15.75" customHeight="1">
      <c r="A645" s="56"/>
    </row>
    <row r="646" spans="1:1" ht="15.75" customHeight="1">
      <c r="A646" s="56"/>
    </row>
    <row r="647" spans="1:1" ht="15.75" customHeight="1">
      <c r="A647" s="56"/>
    </row>
    <row r="648" spans="1:1" ht="15.75" customHeight="1">
      <c r="A648" s="56"/>
    </row>
    <row r="649" spans="1:1" ht="15.75" customHeight="1">
      <c r="A649" s="56"/>
    </row>
    <row r="650" spans="1:1" ht="15.75" customHeight="1">
      <c r="A650" s="56"/>
    </row>
    <row r="651" spans="1:1" ht="15.75" customHeight="1">
      <c r="A651" s="56"/>
    </row>
    <row r="652" spans="1:1" ht="15.75" customHeight="1">
      <c r="A652" s="56"/>
    </row>
    <row r="653" spans="1:1" ht="15.75" customHeight="1">
      <c r="A653" s="56"/>
    </row>
    <row r="654" spans="1:1" ht="15.75" customHeight="1">
      <c r="A654" s="56"/>
    </row>
    <row r="655" spans="1:1" ht="15.75" customHeight="1">
      <c r="A655" s="56"/>
    </row>
    <row r="656" spans="1:1" ht="15.75" customHeight="1">
      <c r="A656" s="56"/>
    </row>
    <row r="657" spans="1:1" ht="15.75" customHeight="1">
      <c r="A657" s="56"/>
    </row>
    <row r="658" spans="1:1" ht="15.75" customHeight="1">
      <c r="A658" s="56"/>
    </row>
    <row r="659" spans="1:1" ht="15.75" customHeight="1">
      <c r="A659" s="56"/>
    </row>
    <row r="660" spans="1:1" ht="15.75" customHeight="1">
      <c r="A660" s="56"/>
    </row>
    <row r="661" spans="1:1" ht="15.75" customHeight="1">
      <c r="A661" s="56"/>
    </row>
    <row r="662" spans="1:1" ht="15.75" customHeight="1">
      <c r="A662" s="56"/>
    </row>
    <row r="663" spans="1:1" ht="15.75" customHeight="1">
      <c r="A663" s="56"/>
    </row>
    <row r="664" spans="1:1" ht="15.75" customHeight="1">
      <c r="A664" s="56"/>
    </row>
    <row r="665" spans="1:1" ht="15.75" customHeight="1">
      <c r="A665" s="56"/>
    </row>
    <row r="666" spans="1:1" ht="15.75" customHeight="1">
      <c r="A666" s="56"/>
    </row>
    <row r="667" spans="1:1" ht="15.75" customHeight="1">
      <c r="A667" s="56"/>
    </row>
    <row r="668" spans="1:1" ht="15.75" customHeight="1">
      <c r="A668" s="56"/>
    </row>
    <row r="669" spans="1:1" ht="15.75" customHeight="1">
      <c r="A669" s="56"/>
    </row>
    <row r="670" spans="1:1" ht="15.75" customHeight="1">
      <c r="A670" s="56"/>
    </row>
    <row r="671" spans="1:1" ht="15.75" customHeight="1">
      <c r="A671" s="56"/>
    </row>
    <row r="672" spans="1:1" ht="15.75" customHeight="1">
      <c r="A672" s="56"/>
    </row>
    <row r="673" spans="1:1" ht="15.75" customHeight="1">
      <c r="A673" s="56"/>
    </row>
    <row r="674" spans="1:1" ht="15.75" customHeight="1">
      <c r="A674" s="56"/>
    </row>
    <row r="675" spans="1:1" ht="15.75" customHeight="1">
      <c r="A675" s="56"/>
    </row>
    <row r="676" spans="1:1" ht="15.75" customHeight="1">
      <c r="A676" s="56"/>
    </row>
    <row r="677" spans="1:1" ht="15.75" customHeight="1">
      <c r="A677" s="56"/>
    </row>
    <row r="678" spans="1:1" ht="15.75" customHeight="1">
      <c r="A678" s="56"/>
    </row>
    <row r="679" spans="1:1" ht="15.75" customHeight="1">
      <c r="A679" s="56"/>
    </row>
    <row r="680" spans="1:1" ht="15.75" customHeight="1">
      <c r="A680" s="56"/>
    </row>
    <row r="681" spans="1:1" ht="15.75" customHeight="1">
      <c r="A681" s="56"/>
    </row>
    <row r="682" spans="1:1" ht="15.75" customHeight="1">
      <c r="A682" s="56"/>
    </row>
    <row r="683" spans="1:1" ht="15.75" customHeight="1">
      <c r="A683" s="56"/>
    </row>
    <row r="684" spans="1:1" ht="15.75" customHeight="1">
      <c r="A684" s="56"/>
    </row>
    <row r="685" spans="1:1" ht="15.75" customHeight="1">
      <c r="A685" s="56"/>
    </row>
    <row r="686" spans="1:1" ht="15.75" customHeight="1">
      <c r="A686" s="56"/>
    </row>
    <row r="687" spans="1:1" ht="15.75" customHeight="1">
      <c r="A687" s="56"/>
    </row>
    <row r="688" spans="1:1" ht="15.75" customHeight="1">
      <c r="A688" s="56"/>
    </row>
    <row r="689" spans="1:1" ht="15.75" customHeight="1">
      <c r="A689" s="56"/>
    </row>
    <row r="690" spans="1:1" ht="15.75" customHeight="1">
      <c r="A690" s="56"/>
    </row>
    <row r="691" spans="1:1" ht="15.75" customHeight="1">
      <c r="A691" s="56"/>
    </row>
    <row r="692" spans="1:1" ht="15.75" customHeight="1">
      <c r="A692" s="56"/>
    </row>
    <row r="693" spans="1:1" ht="15.75" customHeight="1">
      <c r="A693" s="56"/>
    </row>
    <row r="694" spans="1:1" ht="15.75" customHeight="1">
      <c r="A694" s="56"/>
    </row>
    <row r="695" spans="1:1" ht="15.75" customHeight="1">
      <c r="A695" s="56"/>
    </row>
    <row r="696" spans="1:1" ht="15.75" customHeight="1">
      <c r="A696" s="56"/>
    </row>
    <row r="697" spans="1:1" ht="15.75" customHeight="1">
      <c r="A697" s="56"/>
    </row>
    <row r="698" spans="1:1" ht="15.75" customHeight="1">
      <c r="A698" s="56"/>
    </row>
    <row r="699" spans="1:1" ht="15.75" customHeight="1">
      <c r="A699" s="56"/>
    </row>
    <row r="700" spans="1:1" ht="15.75" customHeight="1">
      <c r="A700" s="56"/>
    </row>
    <row r="701" spans="1:1" ht="15.75" customHeight="1">
      <c r="A701" s="56"/>
    </row>
    <row r="702" spans="1:1" ht="15.75" customHeight="1">
      <c r="A702" s="56"/>
    </row>
    <row r="703" spans="1:1" ht="15.75" customHeight="1">
      <c r="A703" s="56"/>
    </row>
    <row r="704" spans="1:1" ht="15.75" customHeight="1">
      <c r="A704" s="56"/>
    </row>
    <row r="705" spans="1:1" ht="15.75" customHeight="1">
      <c r="A705" s="56"/>
    </row>
    <row r="706" spans="1:1" ht="15.75" customHeight="1">
      <c r="A706" s="56"/>
    </row>
    <row r="707" spans="1:1" ht="15.75" customHeight="1">
      <c r="A707" s="56"/>
    </row>
    <row r="708" spans="1:1" ht="15.75" customHeight="1">
      <c r="A708" s="56"/>
    </row>
    <row r="709" spans="1:1" ht="15.75" customHeight="1">
      <c r="A709" s="56"/>
    </row>
    <row r="710" spans="1:1" ht="15.75" customHeight="1">
      <c r="A710" s="56"/>
    </row>
    <row r="711" spans="1:1" ht="15.75" customHeight="1">
      <c r="A711" s="56"/>
    </row>
    <row r="712" spans="1:1" ht="15.75" customHeight="1">
      <c r="A712" s="56"/>
    </row>
    <row r="713" spans="1:1" ht="15.75" customHeight="1">
      <c r="A713" s="56"/>
    </row>
    <row r="714" spans="1:1" ht="15.75" customHeight="1">
      <c r="A714" s="56"/>
    </row>
    <row r="715" spans="1:1" ht="15.75" customHeight="1">
      <c r="A715" s="56"/>
    </row>
    <row r="716" spans="1:1" ht="15.75" customHeight="1">
      <c r="A716" s="56"/>
    </row>
    <row r="717" spans="1:1" ht="15.75" customHeight="1">
      <c r="A717" s="56"/>
    </row>
    <row r="718" spans="1:1" ht="15.75" customHeight="1">
      <c r="A718" s="56"/>
    </row>
    <row r="719" spans="1:1" ht="15.75" customHeight="1">
      <c r="A719" s="56"/>
    </row>
    <row r="720" spans="1:1" ht="15.75" customHeight="1">
      <c r="A720" s="56"/>
    </row>
    <row r="721" spans="1:1" ht="15.75" customHeight="1">
      <c r="A721" s="56"/>
    </row>
    <row r="722" spans="1:1" ht="15.75" customHeight="1">
      <c r="A722" s="56"/>
    </row>
    <row r="723" spans="1:1" ht="15.75" customHeight="1">
      <c r="A723" s="56"/>
    </row>
    <row r="724" spans="1:1" ht="15.75" customHeight="1">
      <c r="A724" s="56"/>
    </row>
    <row r="725" spans="1:1" ht="15.75" customHeight="1">
      <c r="A725" s="56"/>
    </row>
    <row r="726" spans="1:1" ht="15.75" customHeight="1">
      <c r="A726" s="56"/>
    </row>
    <row r="727" spans="1:1" ht="15.75" customHeight="1">
      <c r="A727" s="56"/>
    </row>
    <row r="728" spans="1:1" ht="15.75" customHeight="1">
      <c r="A728" s="56"/>
    </row>
    <row r="729" spans="1:1" ht="15.75" customHeight="1">
      <c r="A729" s="56"/>
    </row>
    <row r="730" spans="1:1" ht="15.75" customHeight="1">
      <c r="A730" s="56"/>
    </row>
    <row r="731" spans="1:1" ht="15.75" customHeight="1">
      <c r="A731" s="56"/>
    </row>
    <row r="732" spans="1:1" ht="15.75" customHeight="1">
      <c r="A732" s="56"/>
    </row>
    <row r="733" spans="1:1" ht="15.75" customHeight="1">
      <c r="A733" s="56"/>
    </row>
    <row r="734" spans="1:1" ht="15.75" customHeight="1">
      <c r="A734" s="56"/>
    </row>
    <row r="735" spans="1:1" ht="15.75" customHeight="1">
      <c r="A735" s="56"/>
    </row>
    <row r="736" spans="1:1" ht="15.75" customHeight="1">
      <c r="A736" s="56"/>
    </row>
    <row r="737" spans="1:1" ht="15.75" customHeight="1">
      <c r="A737" s="56"/>
    </row>
    <row r="738" spans="1:1" ht="15.75" customHeight="1">
      <c r="A738" s="56"/>
    </row>
    <row r="739" spans="1:1" ht="15.75" customHeight="1">
      <c r="A739" s="56"/>
    </row>
    <row r="740" spans="1:1" ht="15.75" customHeight="1">
      <c r="A740" s="56"/>
    </row>
    <row r="741" spans="1:1" ht="15.75" customHeight="1">
      <c r="A741" s="56"/>
    </row>
    <row r="742" spans="1:1" ht="15.75" customHeight="1">
      <c r="A742" s="56"/>
    </row>
    <row r="743" spans="1:1" ht="15.75" customHeight="1">
      <c r="A743" s="56"/>
    </row>
    <row r="744" spans="1:1" ht="15.75" customHeight="1">
      <c r="A744" s="56"/>
    </row>
    <row r="745" spans="1:1" ht="15.75" customHeight="1">
      <c r="A745" s="56"/>
    </row>
    <row r="746" spans="1:1" ht="15.75" customHeight="1">
      <c r="A746" s="56"/>
    </row>
    <row r="747" spans="1:1" ht="15.75" customHeight="1">
      <c r="A747" s="56"/>
    </row>
    <row r="748" spans="1:1" ht="15.75" customHeight="1">
      <c r="A748" s="56"/>
    </row>
    <row r="749" spans="1:1" ht="15.75" customHeight="1">
      <c r="A749" s="56"/>
    </row>
    <row r="750" spans="1:1" ht="15.75" customHeight="1">
      <c r="A750" s="56"/>
    </row>
    <row r="751" spans="1:1" ht="15.75" customHeight="1">
      <c r="A751" s="56"/>
    </row>
    <row r="752" spans="1:1" ht="15.75" customHeight="1">
      <c r="A752" s="56"/>
    </row>
    <row r="753" spans="1:1" ht="15.75" customHeight="1">
      <c r="A753" s="56"/>
    </row>
    <row r="754" spans="1:1" ht="15.75" customHeight="1">
      <c r="A754" s="56"/>
    </row>
    <row r="755" spans="1:1" ht="15.75" customHeight="1">
      <c r="A755" s="56"/>
    </row>
    <row r="756" spans="1:1" ht="15.75" customHeight="1">
      <c r="A756" s="56"/>
    </row>
    <row r="757" spans="1:1" ht="15.75" customHeight="1">
      <c r="A757" s="56"/>
    </row>
    <row r="758" spans="1:1" ht="15.75" customHeight="1">
      <c r="A758" s="56"/>
    </row>
    <row r="759" spans="1:1" ht="15.75" customHeight="1">
      <c r="A759" s="56"/>
    </row>
    <row r="760" spans="1:1" ht="15.75" customHeight="1">
      <c r="A760" s="56"/>
    </row>
    <row r="761" spans="1:1" ht="15.75" customHeight="1">
      <c r="A761" s="56"/>
    </row>
    <row r="762" spans="1:1" ht="15.75" customHeight="1">
      <c r="A762" s="56"/>
    </row>
    <row r="763" spans="1:1" ht="15.75" customHeight="1">
      <c r="A763" s="56"/>
    </row>
    <row r="764" spans="1:1" ht="15.75" customHeight="1">
      <c r="A764" s="56"/>
    </row>
    <row r="765" spans="1:1" ht="15.75" customHeight="1">
      <c r="A765" s="56"/>
    </row>
    <row r="766" spans="1:1" ht="15.75" customHeight="1">
      <c r="A766" s="56"/>
    </row>
    <row r="767" spans="1:1" ht="15.75" customHeight="1">
      <c r="A767" s="56"/>
    </row>
    <row r="768" spans="1:1" ht="15.75" customHeight="1">
      <c r="A768" s="56"/>
    </row>
    <row r="769" spans="1:1" ht="15.75" customHeight="1">
      <c r="A769" s="56"/>
    </row>
    <row r="770" spans="1:1" ht="15.75" customHeight="1">
      <c r="A770" s="56"/>
    </row>
    <row r="771" spans="1:1" ht="15.75" customHeight="1">
      <c r="A771" s="56"/>
    </row>
    <row r="772" spans="1:1" ht="15.75" customHeight="1">
      <c r="A772" s="56"/>
    </row>
    <row r="773" spans="1:1" ht="15.75" customHeight="1">
      <c r="A773" s="56"/>
    </row>
    <row r="774" spans="1:1" ht="15.75" customHeight="1">
      <c r="A774" s="56"/>
    </row>
    <row r="775" spans="1:1" ht="15.75" customHeight="1">
      <c r="A775" s="56"/>
    </row>
    <row r="776" spans="1:1" ht="15.75" customHeight="1">
      <c r="A776" s="56"/>
    </row>
    <row r="777" spans="1:1" ht="15.75" customHeight="1">
      <c r="A777" s="56"/>
    </row>
    <row r="778" spans="1:1" ht="15.75" customHeight="1">
      <c r="A778" s="56"/>
    </row>
    <row r="779" spans="1:1" ht="15.75" customHeight="1">
      <c r="A779" s="56"/>
    </row>
    <row r="780" spans="1:1" ht="15.75" customHeight="1">
      <c r="A780" s="56"/>
    </row>
    <row r="781" spans="1:1" ht="15.75" customHeight="1">
      <c r="A781" s="56"/>
    </row>
    <row r="782" spans="1:1" ht="15.75" customHeight="1">
      <c r="A782" s="56"/>
    </row>
    <row r="783" spans="1:1" ht="15.75" customHeight="1">
      <c r="A783" s="56"/>
    </row>
    <row r="784" spans="1:1" ht="15.75" customHeight="1">
      <c r="A784" s="56"/>
    </row>
    <row r="785" spans="1:1" ht="15.75" customHeight="1">
      <c r="A785" s="56"/>
    </row>
    <row r="786" spans="1:1" ht="15.75" customHeight="1">
      <c r="A786" s="56"/>
    </row>
    <row r="787" spans="1:1" ht="15.75" customHeight="1">
      <c r="A787" s="56"/>
    </row>
    <row r="788" spans="1:1" ht="15.75" customHeight="1">
      <c r="A788" s="56"/>
    </row>
    <row r="789" spans="1:1" ht="15.75" customHeight="1">
      <c r="A789" s="56"/>
    </row>
    <row r="790" spans="1:1" ht="15.75" customHeight="1">
      <c r="A790" s="56"/>
    </row>
    <row r="791" spans="1:1" ht="15.75" customHeight="1">
      <c r="A791" s="56"/>
    </row>
    <row r="792" spans="1:1" ht="15.75" customHeight="1">
      <c r="A792" s="56"/>
    </row>
    <row r="793" spans="1:1" ht="15.75" customHeight="1">
      <c r="A793" s="56"/>
    </row>
    <row r="794" spans="1:1" ht="15.75" customHeight="1">
      <c r="A794" s="56"/>
    </row>
    <row r="795" spans="1:1" ht="15.75" customHeight="1">
      <c r="A795" s="56"/>
    </row>
    <row r="796" spans="1:1" ht="15.75" customHeight="1">
      <c r="A796" s="56"/>
    </row>
    <row r="797" spans="1:1" ht="15.75" customHeight="1">
      <c r="A797" s="56"/>
    </row>
    <row r="798" spans="1:1" ht="15.75" customHeight="1">
      <c r="A798" s="56"/>
    </row>
    <row r="799" spans="1:1" ht="15.75" customHeight="1">
      <c r="A799" s="56"/>
    </row>
    <row r="800" spans="1:1" ht="15.75" customHeight="1">
      <c r="A800" s="56"/>
    </row>
    <row r="801" spans="1:1" ht="15.75" customHeight="1">
      <c r="A801" s="56"/>
    </row>
    <row r="802" spans="1:1" ht="15.75" customHeight="1">
      <c r="A802" s="56"/>
    </row>
    <row r="803" spans="1:1" ht="15.75" customHeight="1">
      <c r="A803" s="56"/>
    </row>
    <row r="804" spans="1:1" ht="15.75" customHeight="1">
      <c r="A804" s="56"/>
    </row>
    <row r="805" spans="1:1" ht="15.75" customHeight="1">
      <c r="A805" s="56"/>
    </row>
    <row r="806" spans="1:1" ht="15.75" customHeight="1">
      <c r="A806" s="56"/>
    </row>
    <row r="807" spans="1:1" ht="15.75" customHeight="1">
      <c r="A807" s="56"/>
    </row>
    <row r="808" spans="1:1" ht="15.75" customHeight="1">
      <c r="A808" s="56"/>
    </row>
    <row r="809" spans="1:1" ht="15.75" customHeight="1">
      <c r="A809" s="56"/>
    </row>
    <row r="810" spans="1:1" ht="15.75" customHeight="1">
      <c r="A810" s="56"/>
    </row>
    <row r="811" spans="1:1" ht="15.75" customHeight="1">
      <c r="A811" s="56"/>
    </row>
    <row r="812" spans="1:1" ht="15.75" customHeight="1">
      <c r="A812" s="56"/>
    </row>
    <row r="813" spans="1:1" ht="15.75" customHeight="1">
      <c r="A813" s="56"/>
    </row>
    <row r="814" spans="1:1" ht="15.75" customHeight="1">
      <c r="A814" s="56"/>
    </row>
    <row r="815" spans="1:1" ht="15.75" customHeight="1">
      <c r="A815" s="56"/>
    </row>
    <row r="816" spans="1:1" ht="15.75" customHeight="1">
      <c r="A816" s="56"/>
    </row>
    <row r="817" spans="1:1" ht="15.75" customHeight="1">
      <c r="A817" s="56"/>
    </row>
    <row r="818" spans="1:1" ht="15.75" customHeight="1">
      <c r="A818" s="56"/>
    </row>
    <row r="819" spans="1:1" ht="15.75" customHeight="1">
      <c r="A819" s="56"/>
    </row>
    <row r="820" spans="1:1" ht="15.75" customHeight="1">
      <c r="A820" s="56"/>
    </row>
    <row r="821" spans="1:1" ht="15.75" customHeight="1">
      <c r="A821" s="56"/>
    </row>
    <row r="822" spans="1:1" ht="15.75" customHeight="1">
      <c r="A822" s="56"/>
    </row>
    <row r="823" spans="1:1" ht="15.75" customHeight="1">
      <c r="A823" s="56"/>
    </row>
    <row r="824" spans="1:1" ht="15.75" customHeight="1">
      <c r="A824" s="56"/>
    </row>
    <row r="825" spans="1:1" ht="15.75" customHeight="1">
      <c r="A825" s="56"/>
    </row>
    <row r="826" spans="1:1" ht="15.75" customHeight="1">
      <c r="A826" s="56"/>
    </row>
    <row r="827" spans="1:1" ht="15.75" customHeight="1">
      <c r="A827" s="56"/>
    </row>
    <row r="828" spans="1:1" ht="15.75" customHeight="1">
      <c r="A828" s="56"/>
    </row>
    <row r="829" spans="1:1" ht="15.75" customHeight="1">
      <c r="A829" s="56"/>
    </row>
    <row r="830" spans="1:1" ht="15.75" customHeight="1">
      <c r="A830" s="56"/>
    </row>
    <row r="831" spans="1:1" ht="15.75" customHeight="1">
      <c r="A831" s="56"/>
    </row>
    <row r="832" spans="1:1" ht="15.75" customHeight="1">
      <c r="A832" s="56"/>
    </row>
    <row r="833" spans="1:1" ht="15.75" customHeight="1">
      <c r="A833" s="56"/>
    </row>
    <row r="834" spans="1:1" ht="15.75" customHeight="1">
      <c r="A834" s="56"/>
    </row>
    <row r="835" spans="1:1" ht="15.75" customHeight="1">
      <c r="A835" s="56"/>
    </row>
    <row r="836" spans="1:1" ht="15.75" customHeight="1">
      <c r="A836" s="56"/>
    </row>
    <row r="837" spans="1:1" ht="15.75" customHeight="1">
      <c r="A837" s="56"/>
    </row>
    <row r="838" spans="1:1" ht="15.75" customHeight="1">
      <c r="A838" s="56"/>
    </row>
    <row r="839" spans="1:1" ht="15.75" customHeight="1">
      <c r="A839" s="56"/>
    </row>
    <row r="840" spans="1:1" ht="15.75" customHeight="1">
      <c r="A840" s="56"/>
    </row>
    <row r="841" spans="1:1" ht="15.75" customHeight="1">
      <c r="A841" s="56"/>
    </row>
    <row r="842" spans="1:1" ht="15.75" customHeight="1">
      <c r="A842" s="56"/>
    </row>
    <row r="843" spans="1:1" ht="15.75" customHeight="1">
      <c r="A843" s="56"/>
    </row>
    <row r="844" spans="1:1" ht="15.75" customHeight="1">
      <c r="A844" s="56"/>
    </row>
    <row r="845" spans="1:1" ht="15.75" customHeight="1">
      <c r="A845" s="56"/>
    </row>
    <row r="846" spans="1:1" ht="15.75" customHeight="1">
      <c r="A846" s="56"/>
    </row>
    <row r="847" spans="1:1" ht="15.75" customHeight="1">
      <c r="A847" s="56"/>
    </row>
    <row r="848" spans="1:1" ht="15.75" customHeight="1">
      <c r="A848" s="56"/>
    </row>
    <row r="849" spans="1:1" ht="15.75" customHeight="1">
      <c r="A849" s="56"/>
    </row>
    <row r="850" spans="1:1" ht="15.75" customHeight="1">
      <c r="A850" s="56"/>
    </row>
    <row r="851" spans="1:1" ht="15.75" customHeight="1">
      <c r="A851" s="56"/>
    </row>
    <row r="852" spans="1:1" ht="15.75" customHeight="1">
      <c r="A852" s="56"/>
    </row>
    <row r="853" spans="1:1" ht="15.75" customHeight="1">
      <c r="A853" s="56"/>
    </row>
    <row r="854" spans="1:1" ht="15.75" customHeight="1">
      <c r="A854" s="56"/>
    </row>
    <row r="855" spans="1:1" ht="15.75" customHeight="1">
      <c r="A855" s="56"/>
    </row>
    <row r="856" spans="1:1" ht="15.75" customHeight="1">
      <c r="A856" s="56"/>
    </row>
    <row r="857" spans="1:1" ht="15.75" customHeight="1">
      <c r="A857" s="56"/>
    </row>
    <row r="858" spans="1:1" ht="15.75" customHeight="1">
      <c r="A858" s="56"/>
    </row>
    <row r="859" spans="1:1" ht="15.75" customHeight="1">
      <c r="A859" s="56"/>
    </row>
    <row r="860" spans="1:1" ht="15.75" customHeight="1">
      <c r="A860" s="56"/>
    </row>
    <row r="861" spans="1:1" ht="15.75" customHeight="1">
      <c r="A861" s="56"/>
    </row>
    <row r="862" spans="1:1" ht="15.75" customHeight="1">
      <c r="A862" s="56"/>
    </row>
    <row r="863" spans="1:1" ht="15.75" customHeight="1">
      <c r="A863" s="56"/>
    </row>
    <row r="864" spans="1:1" ht="15.75" customHeight="1">
      <c r="A864" s="56"/>
    </row>
    <row r="865" spans="1:1" ht="15.75" customHeight="1">
      <c r="A865" s="56"/>
    </row>
    <row r="866" spans="1:1" ht="15.75" customHeight="1">
      <c r="A866" s="56"/>
    </row>
    <row r="867" spans="1:1" ht="15.75" customHeight="1">
      <c r="A867" s="56"/>
    </row>
    <row r="868" spans="1:1" ht="15.75" customHeight="1">
      <c r="A868" s="56"/>
    </row>
    <row r="869" spans="1:1" ht="15.75" customHeight="1">
      <c r="A869" s="56"/>
    </row>
    <row r="870" spans="1:1" ht="15.75" customHeight="1">
      <c r="A870" s="56"/>
    </row>
    <row r="871" spans="1:1" ht="15.75" customHeight="1">
      <c r="A871" s="56"/>
    </row>
    <row r="872" spans="1:1" ht="15.75" customHeight="1">
      <c r="A872" s="56"/>
    </row>
    <row r="873" spans="1:1" ht="15.75" customHeight="1">
      <c r="A873" s="56"/>
    </row>
    <row r="874" spans="1:1" ht="15.75" customHeight="1">
      <c r="A874" s="56"/>
    </row>
    <row r="875" spans="1:1" ht="15.75" customHeight="1">
      <c r="A875" s="56"/>
    </row>
    <row r="876" spans="1:1" ht="15.75" customHeight="1">
      <c r="A876" s="56"/>
    </row>
    <row r="877" spans="1:1" ht="15.75" customHeight="1">
      <c r="A877" s="56"/>
    </row>
    <row r="878" spans="1:1" ht="15.75" customHeight="1">
      <c r="A878" s="56"/>
    </row>
    <row r="879" spans="1:1" ht="15.75" customHeight="1">
      <c r="A879" s="56"/>
    </row>
    <row r="880" spans="1:1" ht="15.75" customHeight="1">
      <c r="A880" s="56"/>
    </row>
    <row r="881" spans="1:1" ht="15.75" customHeight="1">
      <c r="A881" s="56"/>
    </row>
    <row r="882" spans="1:1" ht="15.75" customHeight="1">
      <c r="A882" s="56"/>
    </row>
    <row r="883" spans="1:1" ht="15.75" customHeight="1">
      <c r="A883" s="56"/>
    </row>
    <row r="884" spans="1:1" ht="15.75" customHeight="1">
      <c r="A884" s="56"/>
    </row>
    <row r="885" spans="1:1" ht="15.75" customHeight="1">
      <c r="A885" s="56"/>
    </row>
    <row r="886" spans="1:1" ht="15.75" customHeight="1">
      <c r="A886" s="56"/>
    </row>
    <row r="887" spans="1:1" ht="15.75" customHeight="1">
      <c r="A887" s="56"/>
    </row>
    <row r="888" spans="1:1" ht="15.75" customHeight="1">
      <c r="A888" s="56"/>
    </row>
    <row r="889" spans="1:1" ht="15.75" customHeight="1">
      <c r="A889" s="56"/>
    </row>
    <row r="890" spans="1:1" ht="15.75" customHeight="1">
      <c r="A890" s="56"/>
    </row>
    <row r="891" spans="1:1" ht="15.75" customHeight="1">
      <c r="A891" s="56"/>
    </row>
    <row r="892" spans="1:1" ht="15.75" customHeight="1">
      <c r="A892" s="56"/>
    </row>
    <row r="893" spans="1:1" ht="15.75" customHeight="1">
      <c r="A893" s="56"/>
    </row>
    <row r="894" spans="1:1" ht="15.75" customHeight="1">
      <c r="A894" s="56"/>
    </row>
    <row r="895" spans="1:1" ht="15.75" customHeight="1">
      <c r="A895" s="56"/>
    </row>
    <row r="896" spans="1:1" ht="15.75" customHeight="1">
      <c r="A896" s="56"/>
    </row>
    <row r="897" spans="1:1" ht="15.75" customHeight="1">
      <c r="A897" s="56"/>
    </row>
    <row r="898" spans="1:1" ht="15.75" customHeight="1">
      <c r="A898" s="56"/>
    </row>
    <row r="899" spans="1:1" ht="15.75" customHeight="1">
      <c r="A899" s="56"/>
    </row>
    <row r="900" spans="1:1" ht="15.75" customHeight="1">
      <c r="A900" s="56"/>
    </row>
    <row r="901" spans="1:1" ht="15.75" customHeight="1">
      <c r="A901" s="56"/>
    </row>
    <row r="902" spans="1:1" ht="15.75" customHeight="1">
      <c r="A902" s="56"/>
    </row>
    <row r="903" spans="1:1" ht="15.75" customHeight="1">
      <c r="A903" s="56"/>
    </row>
    <row r="904" spans="1:1" ht="15.75" customHeight="1">
      <c r="A904" s="56"/>
    </row>
    <row r="905" spans="1:1" ht="15.75" customHeight="1">
      <c r="A905" s="56"/>
    </row>
    <row r="906" spans="1:1" ht="15.75" customHeight="1">
      <c r="A906" s="56"/>
    </row>
    <row r="907" spans="1:1" ht="15.75" customHeight="1">
      <c r="A907" s="56"/>
    </row>
    <row r="908" spans="1:1" ht="15.75" customHeight="1">
      <c r="A908" s="56"/>
    </row>
    <row r="909" spans="1:1" ht="15.75" customHeight="1">
      <c r="A909" s="56"/>
    </row>
    <row r="910" spans="1:1" ht="15.75" customHeight="1">
      <c r="A910" s="56"/>
    </row>
    <row r="911" spans="1:1" ht="15.75" customHeight="1">
      <c r="A911" s="56"/>
    </row>
    <row r="912" spans="1:1" ht="15.75" customHeight="1">
      <c r="A912" s="56"/>
    </row>
    <row r="913" spans="1:1" ht="15.75" customHeight="1">
      <c r="A913" s="56"/>
    </row>
    <row r="914" spans="1:1" ht="15.75" customHeight="1">
      <c r="A914" s="56"/>
    </row>
    <row r="915" spans="1:1" ht="15.75" customHeight="1">
      <c r="A915" s="56"/>
    </row>
    <row r="916" spans="1:1" ht="15.75" customHeight="1">
      <c r="A916" s="56"/>
    </row>
    <row r="917" spans="1:1" ht="15.75" customHeight="1">
      <c r="A917" s="56"/>
    </row>
    <row r="918" spans="1:1" ht="15.75" customHeight="1">
      <c r="A918" s="56"/>
    </row>
    <row r="919" spans="1:1" ht="15.75" customHeight="1">
      <c r="A919" s="56"/>
    </row>
    <row r="920" spans="1:1" ht="15.75" customHeight="1">
      <c r="A920" s="56"/>
    </row>
    <row r="921" spans="1:1" ht="15.75" customHeight="1">
      <c r="A921" s="56"/>
    </row>
    <row r="922" spans="1:1" ht="15.75" customHeight="1">
      <c r="A922" s="56"/>
    </row>
    <row r="923" spans="1:1" ht="15.75" customHeight="1">
      <c r="A923" s="56"/>
    </row>
    <row r="924" spans="1:1" ht="15.75" customHeight="1">
      <c r="A924" s="56"/>
    </row>
    <row r="925" spans="1:1" ht="15.75" customHeight="1">
      <c r="A925" s="56"/>
    </row>
    <row r="926" spans="1:1" ht="15.75" customHeight="1">
      <c r="A926" s="56"/>
    </row>
    <row r="927" spans="1:1" ht="15.75" customHeight="1">
      <c r="A927" s="56"/>
    </row>
    <row r="928" spans="1:1" ht="15.75" customHeight="1">
      <c r="A928" s="56"/>
    </row>
    <row r="929" spans="1:1" ht="15.75" customHeight="1">
      <c r="A929" s="56"/>
    </row>
    <row r="930" spans="1:1" ht="15.75" customHeight="1">
      <c r="A930" s="56"/>
    </row>
    <row r="931" spans="1:1" ht="15.75" customHeight="1">
      <c r="A931" s="56"/>
    </row>
    <row r="932" spans="1:1" ht="15.75" customHeight="1">
      <c r="A932" s="56"/>
    </row>
    <row r="933" spans="1:1" ht="15.75" customHeight="1">
      <c r="A933" s="56"/>
    </row>
    <row r="934" spans="1:1" ht="15.75" customHeight="1">
      <c r="A934" s="56"/>
    </row>
    <row r="935" spans="1:1" ht="15.75" customHeight="1">
      <c r="A935" s="56"/>
    </row>
    <row r="936" spans="1:1" ht="15.75" customHeight="1">
      <c r="A936" s="56"/>
    </row>
    <row r="937" spans="1:1" ht="15.75" customHeight="1">
      <c r="A937" s="56"/>
    </row>
    <row r="938" spans="1:1" ht="15.75" customHeight="1">
      <c r="A938" s="56"/>
    </row>
    <row r="939" spans="1:1" ht="15.75" customHeight="1">
      <c r="A939" s="56"/>
    </row>
    <row r="940" spans="1:1" ht="15.75" customHeight="1">
      <c r="A940" s="56"/>
    </row>
    <row r="941" spans="1:1" ht="15.75" customHeight="1">
      <c r="A941" s="56"/>
    </row>
    <row r="942" spans="1:1" ht="15.75" customHeight="1">
      <c r="A942" s="56"/>
    </row>
    <row r="943" spans="1:1" ht="15.75" customHeight="1">
      <c r="A943" s="56"/>
    </row>
    <row r="944" spans="1:1" ht="15.75" customHeight="1">
      <c r="A944" s="56"/>
    </row>
    <row r="945" spans="1:1" ht="15.75" customHeight="1">
      <c r="A945" s="56"/>
    </row>
    <row r="946" spans="1:1" ht="15.75" customHeight="1">
      <c r="A946" s="56"/>
    </row>
    <row r="947" spans="1:1" ht="15.75" customHeight="1">
      <c r="A947" s="56"/>
    </row>
    <row r="948" spans="1:1" ht="15.75" customHeight="1">
      <c r="A948" s="56"/>
    </row>
    <row r="949" spans="1:1" ht="15.75" customHeight="1">
      <c r="A949" s="56"/>
    </row>
    <row r="950" spans="1:1" ht="15.75" customHeight="1">
      <c r="A950" s="56"/>
    </row>
    <row r="951" spans="1:1" ht="15.75" customHeight="1">
      <c r="A951" s="56"/>
    </row>
    <row r="952" spans="1:1" ht="15.75" customHeight="1">
      <c r="A952" s="56"/>
    </row>
    <row r="953" spans="1:1" ht="15.75" customHeight="1">
      <c r="A953" s="56"/>
    </row>
    <row r="954" spans="1:1" ht="15.75" customHeight="1">
      <c r="A954" s="56"/>
    </row>
    <row r="955" spans="1:1" ht="15.75" customHeight="1">
      <c r="A955" s="56"/>
    </row>
    <row r="956" spans="1:1" ht="15.75" customHeight="1">
      <c r="A956" s="56"/>
    </row>
    <row r="957" spans="1:1" ht="15.75" customHeight="1">
      <c r="A957" s="56"/>
    </row>
    <row r="958" spans="1:1" ht="15.75" customHeight="1">
      <c r="A958" s="56"/>
    </row>
    <row r="959" spans="1:1" ht="15.75" customHeight="1">
      <c r="A959" s="56"/>
    </row>
    <row r="960" spans="1:1" ht="15.75" customHeight="1">
      <c r="A960" s="56"/>
    </row>
    <row r="961" spans="1:1" ht="15.75" customHeight="1">
      <c r="A961" s="56"/>
    </row>
    <row r="962" spans="1:1" ht="15.75" customHeight="1">
      <c r="A962" s="56"/>
    </row>
    <row r="963" spans="1:1" ht="15.75" customHeight="1">
      <c r="A963" s="56"/>
    </row>
    <row r="964" spans="1:1" ht="15.75" customHeight="1">
      <c r="A964" s="56"/>
    </row>
    <row r="965" spans="1:1" ht="15.75" customHeight="1">
      <c r="A965" s="56"/>
    </row>
    <row r="966" spans="1:1" ht="15.75" customHeight="1">
      <c r="A966" s="56"/>
    </row>
    <row r="967" spans="1:1" ht="15.75" customHeight="1">
      <c r="A967" s="56"/>
    </row>
    <row r="968" spans="1:1" ht="15.75" customHeight="1">
      <c r="A968" s="56"/>
    </row>
    <row r="969" spans="1:1" ht="15.75" customHeight="1">
      <c r="A969" s="56"/>
    </row>
    <row r="970" spans="1:1" ht="15.75" customHeight="1">
      <c r="A970" s="56"/>
    </row>
    <row r="971" spans="1:1" ht="15.75" customHeight="1">
      <c r="A971" s="56"/>
    </row>
    <row r="972" spans="1:1" ht="15.75" customHeight="1">
      <c r="A972" s="56"/>
    </row>
    <row r="973" spans="1:1" ht="15.75" customHeight="1">
      <c r="A973" s="56"/>
    </row>
    <row r="974" spans="1:1" ht="15.75" customHeight="1">
      <c r="A974" s="56"/>
    </row>
    <row r="975" spans="1:1" ht="15.75" customHeight="1">
      <c r="A975" s="56"/>
    </row>
    <row r="976" spans="1:1" ht="15.75" customHeight="1">
      <c r="A976" s="56"/>
    </row>
    <row r="977" spans="1:1" ht="15.75" customHeight="1">
      <c r="A977" s="56"/>
    </row>
    <row r="978" spans="1:1" ht="15.75" customHeight="1">
      <c r="A978" s="56"/>
    </row>
    <row r="979" spans="1:1" ht="15.75" customHeight="1">
      <c r="A979" s="56"/>
    </row>
    <row r="980" spans="1:1" ht="15.75" customHeight="1">
      <c r="A980" s="56"/>
    </row>
    <row r="981" spans="1:1" ht="15.75" customHeight="1">
      <c r="A981" s="56"/>
    </row>
    <row r="982" spans="1:1" ht="15.75" customHeight="1">
      <c r="A982" s="56"/>
    </row>
    <row r="983" spans="1:1" ht="15.75" customHeight="1">
      <c r="A983" s="56"/>
    </row>
    <row r="984" spans="1:1" ht="15.75" customHeight="1">
      <c r="A984" s="56"/>
    </row>
    <row r="985" spans="1:1" ht="15.75" customHeight="1">
      <c r="A985" s="56"/>
    </row>
    <row r="986" spans="1:1" ht="15.75" customHeight="1">
      <c r="A986" s="56"/>
    </row>
    <row r="987" spans="1:1" ht="15.75" customHeight="1">
      <c r="A987" s="56"/>
    </row>
    <row r="988" spans="1:1" ht="15.75" customHeight="1">
      <c r="A988" s="56"/>
    </row>
    <row r="989" spans="1:1" ht="15.75" customHeight="1">
      <c r="A989" s="56"/>
    </row>
    <row r="990" spans="1:1" ht="15.75" customHeight="1">
      <c r="A990" s="56"/>
    </row>
    <row r="991" spans="1:1" ht="15.75" customHeight="1">
      <c r="A991" s="56"/>
    </row>
    <row r="992" spans="1:1" ht="15.75" customHeight="1">
      <c r="A992" s="56"/>
    </row>
    <row r="993" spans="1:1" ht="15.75" customHeight="1">
      <c r="A993" s="56"/>
    </row>
    <row r="994" spans="1:1" ht="15.75" customHeight="1">
      <c r="A994" s="56"/>
    </row>
    <row r="995" spans="1:1" ht="15.75" customHeight="1">
      <c r="A995" s="56"/>
    </row>
    <row r="996" spans="1:1" ht="15.75" customHeight="1">
      <c r="A996" s="56"/>
    </row>
    <row r="997" spans="1:1" ht="15.75" customHeight="1">
      <c r="A997" s="56"/>
    </row>
    <row r="998" spans="1:1" ht="15.75" customHeight="1">
      <c r="A998" s="56"/>
    </row>
    <row r="999" spans="1:1" ht="15.75" customHeight="1">
      <c r="A999" s="56"/>
    </row>
    <row r="1000" spans="1:1" ht="15.75" customHeight="1">
      <c r="A1000" s="56"/>
    </row>
  </sheetData>
  <autoFilter ref="A1:E207" xr:uid="{00000000-0009-0000-0000-000009000000}"/>
  <conditionalFormatting sqref="H2:H10">
    <cfRule type="expression" dxfId="552" priority="1">
      <formula>H2=#REF!</formula>
    </cfRule>
  </conditionalFormatting>
  <conditionalFormatting sqref="H2:H19">
    <cfRule type="expression" dxfId="551" priority="2">
      <formula>COUNTIF($C$1:$C$959, H2) &gt; 1</formula>
    </cfRule>
    <cfRule type="expression" dxfId="550" priority="3">
      <formula>COUNTIF($B$2:$B$940, H2) &gt; 1</formula>
    </cfRule>
    <cfRule type="expression" dxfId="549" priority="4">
      <formula>COUNTIF($C$1:$C$960, H2) &gt; 1</formula>
    </cfRule>
    <cfRule type="expression" dxfId="548" priority="5">
      <formula>COUNTIF($B$2:$B$941, H2) &gt; 1</formula>
    </cfRule>
    <cfRule type="expression" dxfId="547" priority="6">
      <formula>COUNTIF($C$1:$C$957, H2) &gt; 1</formula>
    </cfRule>
    <cfRule type="expression" dxfId="546" priority="7">
      <formula>COUNTIF($B$2:$B$938, H2) &gt; 1</formula>
    </cfRule>
    <cfRule type="expression" dxfId="545" priority="8">
      <formula>COUNTIF($B$2:$B$939, H2) &gt; 1</formula>
    </cfRule>
  </conditionalFormatting>
  <conditionalFormatting sqref="H2:H20">
    <cfRule type="expression" dxfId="544" priority="9">
      <formula>COUNTIF($C$1:$C$962, H2) &gt; 1</formula>
    </cfRule>
    <cfRule type="expression" dxfId="543" priority="10">
      <formula>COUNTIF($C$1:$C$958, H2) &gt; 1</formula>
    </cfRule>
  </conditionalFormatting>
  <conditionalFormatting sqref="H2:H21">
    <cfRule type="expression" dxfId="542" priority="11">
      <formula>COUNTIF($C$1:$C$963, H2) &gt; 1</formula>
    </cfRule>
    <cfRule type="expression" dxfId="541" priority="12">
      <formula>COUNTIF($B$2:$B$944, H2) &gt; 1</formula>
    </cfRule>
    <cfRule type="expression" dxfId="540" priority="13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16">
      <formula>COUNTIF($B$2:$B$952, H2) &gt; 1</formula>
    </cfRule>
    <cfRule type="expression" dxfId="536" priority="17">
      <formula>COUNTIF($C$1:$C$964, H2) &gt; 1</formula>
    </cfRule>
  </conditionalFormatting>
  <conditionalFormatting sqref="H2:H25 H27:H44">
    <cfRule type="expression" dxfId="535" priority="18">
      <formula>COUNTIF($B$2:$B$991, H2) &gt; 1</formula>
    </cfRule>
  </conditionalFormatting>
  <conditionalFormatting sqref="H2:H25">
    <cfRule type="expression" dxfId="534" priority="19">
      <formula>COUNTIF($C$1:$C$966, H2) &gt; 1</formula>
    </cfRule>
    <cfRule type="expression" dxfId="533" priority="20">
      <formula>COUNTIF($B$2:$B$947, H2) &gt; 1</formula>
    </cfRule>
    <cfRule type="expression" dxfId="532" priority="21">
      <formula>COUNTIF($C$1:$C$969, H2) &gt; 1</formula>
    </cfRule>
    <cfRule type="expression" dxfId="531" priority="22">
      <formula>COUNTIF($B$2:$B$950, H2) &gt; 1</formula>
    </cfRule>
    <cfRule type="expression" dxfId="530" priority="23">
      <formula>COUNTIF($C$1:$C$970, H2) &gt; 1</formula>
    </cfRule>
    <cfRule type="expression" dxfId="529" priority="24">
      <formula>COUNTIF($B$2:$B$951, H2) &gt; 1</formula>
    </cfRule>
    <cfRule type="expression" dxfId="528" priority="25">
      <formula>COUNTIF($B$2:$B$948, H2) &gt; 1</formula>
    </cfRule>
    <cfRule type="expression" dxfId="527" priority="26">
      <formula>COUNTIF($B$2:$B$949, H2) &gt; 1</formula>
    </cfRule>
  </conditionalFormatting>
  <conditionalFormatting sqref="H2:H26">
    <cfRule type="expression" dxfId="526" priority="27">
      <formula>COUNTIF($B$1:$B$970, H2) &gt; 1</formula>
    </cfRule>
    <cfRule type="expression" dxfId="525" priority="28">
      <formula>COUNTIF($B$2:$B$964, H2) &gt; 1</formula>
    </cfRule>
    <cfRule type="expression" dxfId="524" priority="29">
      <formula>COUNTIF($C$1:$C$971, H2) &gt; 1</formula>
    </cfRule>
    <cfRule type="expression" dxfId="523" priority="30">
      <formula>COUNTIF($C$1:$C$967, H2) &gt; 1</formula>
    </cfRule>
    <cfRule type="expression" dxfId="522" priority="31">
      <formula>COUNTIF($C$1:$C$968, H2) &gt; 1</formula>
    </cfRule>
  </conditionalFormatting>
  <conditionalFormatting sqref="H2:H27">
    <cfRule type="expression" dxfId="521" priority="32">
      <formula>COUNTIF($B$2:$B$958, H2) &gt; 1</formula>
    </cfRule>
    <cfRule type="expression" dxfId="520" priority="33">
      <formula>COUNTIF($B$2:$B$953, H2) &gt; 1</formula>
    </cfRule>
    <cfRule type="expression" dxfId="519" priority="34">
      <formula>COUNTIF($C$1:$C$972, H2) &gt; 1</formula>
    </cfRule>
    <cfRule type="expression" dxfId="518" priority="35">
      <formula>COUNTIF($B$2:$B$954, H2) &gt; 1</formula>
    </cfRule>
  </conditionalFormatting>
  <conditionalFormatting sqref="H2:H28">
    <cfRule type="expression" dxfId="517" priority="36">
      <formula>COUNTIF($B$1:$B$958, H2) &gt; 1</formula>
    </cfRule>
    <cfRule type="expression" dxfId="516" priority="37">
      <formula>COUNTIF($B$1:$B$962, H2) &gt; 1</formula>
    </cfRule>
    <cfRule type="expression" dxfId="515" priority="38">
      <formula>COUNTIF($B$2:$B$965, H2) &gt; 1</formula>
    </cfRule>
    <cfRule type="expression" dxfId="514" priority="39">
      <formula>COUNTIF($B$2:$B$966, H2) &gt; 1</formula>
    </cfRule>
    <cfRule type="expression" dxfId="513" priority="40">
      <formula>COUNTIF($C$1:$C$977, H2) &gt; 1</formula>
    </cfRule>
    <cfRule type="expression" dxfId="512" priority="41">
      <formula>COUNTIF($C$1:$C$975, H2) &gt; 1</formula>
    </cfRule>
    <cfRule type="expression" dxfId="511" priority="42">
      <formula>COUNTIF($B$2:$B$956, H2) &gt; 1</formula>
    </cfRule>
    <cfRule type="expression" dxfId="510" priority="43">
      <formula>COUNTIF($C$1:$C$976, H2) &gt; 1</formula>
    </cfRule>
    <cfRule type="expression" dxfId="509" priority="44">
      <formula>COUNTIF($B$2:$B$957, H2) &gt; 1</formula>
    </cfRule>
    <cfRule type="expression" dxfId="508" priority="45">
      <formula>COUNTIF($B$2:$B$955, H2) &gt; 1</formula>
    </cfRule>
  </conditionalFormatting>
  <conditionalFormatting sqref="H2:H30">
    <cfRule type="expression" dxfId="507" priority="46">
      <formula>COUNTIF($K$2:$K$65, H2) &gt; 1</formula>
    </cfRule>
    <cfRule type="expression" dxfId="506" priority="47">
      <formula>COUNTIF($J$2:$J$65, H2) &gt; 1</formula>
    </cfRule>
    <cfRule type="expression" dxfId="505" priority="48">
      <formula>COUNTIF($B$2:$B$66, H2) &gt; 1</formula>
    </cfRule>
  </conditionalFormatting>
  <conditionalFormatting sqref="H2:H31">
    <cfRule type="expression" dxfId="504" priority="49">
      <formula>COUNTIF($C$1:$C$978, H2) &gt; 1</formula>
    </cfRule>
    <cfRule type="expression" dxfId="503" priority="50">
      <formula>COUNTIF($B$2:$B$959, H2) &gt; 1</formula>
    </cfRule>
    <cfRule type="expression" dxfId="502" priority="51">
      <formula>COUNTIF($C$1:$C$973, H2) &gt; 1</formula>
    </cfRule>
    <cfRule type="expression" dxfId="501" priority="52">
      <formula>COUNTIF($B$2:$B$962, H2) &gt; 1</formula>
    </cfRule>
    <cfRule type="expression" dxfId="500" priority="53">
      <formula>COUNTIF($C$1:$C$982, H2) &gt; 1</formula>
    </cfRule>
    <cfRule type="expression" dxfId="499" priority="54">
      <formula>COUNTIF($B$2:$B$963, H2) &gt; 1</formula>
    </cfRule>
    <cfRule type="expression" dxfId="498" priority="55">
      <formula>COUNTIF($C$1:$C$979, H2) &gt; 1</formula>
    </cfRule>
    <cfRule type="expression" dxfId="497" priority="56">
      <formula>COUNTIF($B$2:$B$960, H2) &gt; 1</formula>
    </cfRule>
    <cfRule type="expression" dxfId="496" priority="57">
      <formula>COUNTIF($B$2:$B$961, H2) &gt; 1</formula>
    </cfRule>
    <cfRule type="expression" dxfId="495" priority="58">
      <formula>COUNTIF($C$1:$C$974, H2) &gt; 1</formula>
    </cfRule>
  </conditionalFormatting>
  <conditionalFormatting sqref="H2:H32 H34:H53 H57">
    <cfRule type="expression" dxfId="494" priority="59">
      <formula>COUNTIF($C$1:$C$847, H2) &gt; 1</formula>
    </cfRule>
  </conditionalFormatting>
  <conditionalFormatting sqref="H2:H32">
    <cfRule type="expression" dxfId="493" priority="60">
      <formula>COUNTIF($C$1:$C$983, H2) &gt; 1</formula>
    </cfRule>
    <cfRule type="expression" dxfId="492" priority="61">
      <formula>COUNTIF($C$1:$C$980, H2) &gt; 1</formula>
    </cfRule>
    <cfRule type="expression" dxfId="491" priority="62">
      <formula>COUNTIF($C$1:$C$981, H2) &gt; 1</formula>
    </cfRule>
  </conditionalFormatting>
  <conditionalFormatting sqref="H2:H33 H35:H62">
    <cfRule type="expression" dxfId="490" priority="63">
      <formula>COUNTIF($C$1:$C$853, H2) &gt; 1</formula>
    </cfRule>
  </conditionalFormatting>
  <conditionalFormatting sqref="H2:H33">
    <cfRule type="expression" dxfId="489" priority="64">
      <formula>COUNTIF($B$2:$B$972, H2) &gt; 1</formula>
    </cfRule>
    <cfRule type="expression" dxfId="488" priority="65">
      <formula>COUNTIF($C$1:$C$984, H2) &gt; 1</formula>
    </cfRule>
    <cfRule type="expression" dxfId="487" priority="66">
      <formula>COUNTIF($C$1:$C$985, H2) &gt; 1</formula>
    </cfRule>
  </conditionalFormatting>
  <conditionalFormatting sqref="H2:H34 H36:H61">
    <cfRule type="expression" dxfId="486" priority="67">
      <formula>COUNTIF($C$1:$C$864, H2) &gt; 1</formula>
    </cfRule>
  </conditionalFormatting>
  <conditionalFormatting sqref="H2:H34">
    <cfRule type="expression" dxfId="485" priority="68">
      <formula>COUNTIF($B$2:$B$973, H2) &gt; 1</formula>
    </cfRule>
  </conditionalFormatting>
  <conditionalFormatting sqref="H2:H35">
    <cfRule type="expression" dxfId="484" priority="69">
      <formula>COUNTIF($B$1:$B$979, H2) &gt; 1</formula>
    </cfRule>
    <cfRule type="expression" dxfId="483" priority="70">
      <formula>COUNTIF($B$1:$B$980, H2) &gt; 1</formula>
    </cfRule>
    <cfRule type="expression" dxfId="482" priority="71">
      <formula>COUNTIF($B$2:$B$974, H2) &gt; 1</formula>
    </cfRule>
  </conditionalFormatting>
  <conditionalFormatting sqref="H2:H36">
    <cfRule type="expression" dxfId="481" priority="72">
      <formula>COUNTIF($B$1:$B$976, H2) &gt; 1</formula>
    </cfRule>
    <cfRule type="expression" dxfId="480" priority="73">
      <formula>COUNTIF($C$1:$C$986, H2) &gt; 1</formula>
    </cfRule>
    <cfRule type="expression" dxfId="479" priority="74">
      <formula>COUNTIF($B$2:$B$967, H2) &gt; 1</formula>
    </cfRule>
    <cfRule type="expression" dxfId="478" priority="75">
      <formula>COUNTIF($B$1:$B$977, H2) &gt; 1</formula>
    </cfRule>
    <cfRule type="expression" dxfId="477" priority="76">
      <formula>COUNTIF($C$1:$C$987, H2) &gt; 1</formula>
    </cfRule>
    <cfRule type="expression" dxfId="476" priority="77">
      <formula>COUNTIF($B$2:$B$968, H2) &gt; 1</formula>
    </cfRule>
  </conditionalFormatting>
  <conditionalFormatting sqref="H2:H37">
    <cfRule type="expression" dxfId="475" priority="78">
      <formula>COUNTIF($B$1:$B$987, H2) &gt; 1</formula>
    </cfRule>
    <cfRule type="expression" dxfId="474" priority="79">
      <formula>COUNTIF($B$2:$B$979, H2) &gt; 1</formula>
    </cfRule>
    <cfRule type="expression" dxfId="473" priority="80">
      <formula>COUNTIF($B$1:$B$967, H2) &gt; 1</formula>
    </cfRule>
    <cfRule type="expression" dxfId="472" priority="81">
      <formula>COUNTIF($B$1:$B$971, H2) &gt; 1</formula>
    </cfRule>
    <cfRule type="expression" dxfId="471" priority="82">
      <formula>COUNTIF($B$1:$B$968, H2) &gt; 1</formula>
    </cfRule>
    <cfRule type="expression" dxfId="470" priority="83">
      <formula>COUNTIF($B$1:$B$972, H2) &gt; 1</formula>
    </cfRule>
    <cfRule type="expression" dxfId="469" priority="84">
      <formula>COUNTIF($B$1:$B$990, H2) &gt; 1</formula>
    </cfRule>
    <cfRule type="expression" dxfId="468" priority="85">
      <formula>COUNTIF($C$1:$C$989, H2) &gt; 1</formula>
    </cfRule>
    <cfRule type="expression" dxfId="467" priority="86">
      <formula>COUNTIF($B$2:$B$970, H2) &gt; 1</formula>
    </cfRule>
    <cfRule type="expression" dxfId="466" priority="87">
      <formula>COUNTIF($B$2:$B$971, H2) &gt; 1</formula>
    </cfRule>
    <cfRule type="expression" dxfId="465" priority="88">
      <formula>COUNTIF($B$2:$B$969, H2) &gt; 1</formula>
    </cfRule>
    <cfRule type="expression" dxfId="464" priority="89">
      <formula>COUNTIF($B$2:$B$977, H2) &gt; 1</formula>
    </cfRule>
    <cfRule type="expression" dxfId="463" priority="90">
      <formula>COUNTIF($B$2:$B$978, H2) &gt; 1</formula>
    </cfRule>
    <cfRule type="expression" dxfId="462" priority="91">
      <formula>COUNTIF($B$2:$B$975, H2) &gt; 1</formula>
    </cfRule>
    <cfRule type="expression" dxfId="461" priority="92">
      <formula>COUNTIF($B$2:$B$976, H2) &gt; 1</formula>
    </cfRule>
  </conditionalFormatting>
  <conditionalFormatting sqref="H2:H38">
    <cfRule type="expression" dxfId="460" priority="93">
      <formula>COUNTIF($B$1:$B$978, H2) &gt; 1</formula>
    </cfRule>
    <cfRule type="expression" dxfId="459" priority="94">
      <formula>COUNTIF($C$1:$C$991, H2) &gt; 1</formula>
    </cfRule>
    <cfRule type="expression" dxfId="458" priority="95">
      <formula>COUNTIF($C$1:$C$990, H2) &gt; 1</formula>
    </cfRule>
  </conditionalFormatting>
  <conditionalFormatting sqref="H2:H39">
    <cfRule type="expression" dxfId="457" priority="96">
      <formula>COUNTIF($K$2:$K$74, H2) &gt; 1</formula>
    </cfRule>
    <cfRule type="expression" dxfId="456" priority="97">
      <formula>COUNTIF($B$2:$B$75, H2) &gt; 1</formula>
    </cfRule>
    <cfRule type="expression" dxfId="455" priority="98">
      <formula>COUNTIF($C$1:$C$998, H2) &gt; 1</formula>
    </cfRule>
    <cfRule type="expression" dxfId="454" priority="99">
      <formula>COUNTIF($K$2:$K$75, H2) &gt; 1</formula>
    </cfRule>
    <cfRule type="expression" dxfId="453" priority="100">
      <formula>COUNTIF($B$2:$B$76, H2) &gt; 1</formula>
    </cfRule>
    <cfRule type="expression" dxfId="452" priority="101">
      <formula>COUNTIF($C$1:$C$996, H2) &gt; 1</formula>
    </cfRule>
  </conditionalFormatting>
  <conditionalFormatting sqref="H2:H40">
    <cfRule type="expression" dxfId="451" priority="102">
      <formula>COUNTIF($B$1:$B$982, H2) &gt; 1</formula>
    </cfRule>
    <cfRule type="expression" dxfId="450" priority="103">
      <formula>COUNTIF($C$1:$C$992, H2) &gt; 1</formula>
    </cfRule>
    <cfRule type="expression" dxfId="449" priority="104">
      <formula>COUNTIF($C$1:$C$993, H2) &gt; 1</formula>
    </cfRule>
    <cfRule type="expression" dxfId="448" priority="105">
      <formula>COUNTIF($B$2:$B$980, H2) &gt; 1</formula>
    </cfRule>
    <cfRule type="expression" dxfId="447" priority="106">
      <formula>COUNTIF($C$1:$C$999, H2) &gt; 1</formula>
    </cfRule>
    <cfRule type="expression" dxfId="446" priority="107">
      <formula>COUNTIF($C$1:$C$994, H2) &gt; 1</formula>
    </cfRule>
    <cfRule type="expression" dxfId="445" priority="108">
      <formula>COUNTIF($C$1:$C$995, H2) &gt; 1</formula>
    </cfRule>
  </conditionalFormatting>
  <conditionalFormatting sqref="H2:H41 H43:H67">
    <cfRule type="expression" dxfId="444" priority="109">
      <formula>COUNTIF($C$1:$C$870, H2) &gt; 1</formula>
    </cfRule>
  </conditionalFormatting>
  <conditionalFormatting sqref="H2:H41">
    <cfRule type="expression" dxfId="443" priority="110">
      <formula>COUNTIF($C$1:$C$1000, H2) &gt; 1</formula>
    </cfRule>
    <cfRule type="expression" dxfId="442" priority="111">
      <formula>COUNTIF($B$2:$B$981, H2) &gt; 1</formula>
    </cfRule>
  </conditionalFormatting>
  <conditionalFormatting sqref="H2:H42">
    <cfRule type="expression" dxfId="441" priority="112">
      <formula>COUNTIF($J$2:$J$85, H2) &gt; 1</formula>
    </cfRule>
    <cfRule type="expression" dxfId="440" priority="113">
      <formula>COUNTIF($B$2:$B$86, H2) &gt; 1</formula>
    </cfRule>
    <cfRule type="expression" dxfId="439" priority="114">
      <formula>COUNTIF($C$1:$C$1001, H2) &gt; 1</formula>
    </cfRule>
    <cfRule type="expression" dxfId="438" priority="115">
      <formula>COUNTIF($B$2:$B$982, H2) &gt; 1</formula>
    </cfRule>
  </conditionalFormatting>
  <conditionalFormatting sqref="H2:H43">
    <cfRule type="expression" dxfId="437" priority="116">
      <formula>COUNTIF($B$1:$B$994, H2) &gt; 1</formula>
    </cfRule>
    <cfRule type="expression" dxfId="436" priority="117">
      <formula>COUNTIF($C$1:$C$1002, H2) &gt; 1</formula>
    </cfRule>
    <cfRule type="expression" dxfId="435" priority="118">
      <formula>COUNTIF($B$2:$B$983, H2) &gt; 1</formula>
    </cfRule>
    <cfRule type="expression" dxfId="434" priority="119">
      <formula>COUNTIF($B$2:$B$984, H2) &gt; 1</formula>
    </cfRule>
  </conditionalFormatting>
  <conditionalFormatting sqref="H2:H44">
    <cfRule type="expression" dxfId="433" priority="120">
      <formula>COUNTIF($B$1:$B$964, H2) &gt; 1</formula>
    </cfRule>
    <cfRule type="expression" dxfId="432" priority="121">
      <formula>COUNTIF($B$1:$B$985, H2) &gt; 1</formula>
    </cfRule>
    <cfRule type="expression" dxfId="431" priority="122">
      <formula>COUNTIF($H$2:$H$92, H2) &gt; 1</formula>
    </cfRule>
    <cfRule type="expression" dxfId="430" priority="123">
      <formula>COUNTIF($B$2:$B$93, H2) &gt; 1</formula>
    </cfRule>
    <cfRule type="expression" dxfId="429" priority="124">
      <formula>COUNTIF($B$1:$B$989, H2) &gt; 1</formula>
    </cfRule>
    <cfRule type="expression" dxfId="428" priority="125">
      <formula>COUNTIF($B$1:$B$973, H2) &gt; 1</formula>
    </cfRule>
    <cfRule type="expression" dxfId="427" priority="126">
      <formula>COUNTIF($B$1:$B$974, H2) &gt; 1</formula>
    </cfRule>
    <cfRule type="expression" dxfId="426" priority="127">
      <formula>COUNTIF($B$1:$B$988, H2) &gt; 1</formula>
    </cfRule>
    <cfRule type="expression" dxfId="425" priority="128">
      <formula>COUNTIF($B$1:$B$992, H2) &gt; 1</formula>
    </cfRule>
    <cfRule type="expression" dxfId="424" priority="129">
      <formula>COUNTIF($B$1:$B$997, H2) &gt; 1</formula>
    </cfRule>
    <cfRule type="expression" dxfId="423" priority="130">
      <formula>COUNTIF($B$1:$B$1000, H2) &gt; 1</formula>
    </cfRule>
    <cfRule type="expression" dxfId="422" priority="131">
      <formula>COUNTIF($B$1:$B$1010, H2) &gt; 1</formula>
    </cfRule>
    <cfRule type="expression" dxfId="421" priority="132">
      <formula>COUNTIF($K$2:$K$95, H2) &gt; 1</formula>
    </cfRule>
    <cfRule type="expression" dxfId="420" priority="133">
      <formula>COUNTIF($B$2:$B$96, H2) &gt; 1</formula>
    </cfRule>
    <cfRule type="expression" dxfId="419" priority="134">
      <formula>COUNTIF($B$1:$B$995, H2) &gt; 1</formula>
    </cfRule>
    <cfRule type="expression" dxfId="418" priority="135">
      <formula>COUNTIF($B$1:$B$999, H2) &gt; 1</formula>
    </cfRule>
    <cfRule type="expression" dxfId="417" priority="136">
      <formula>COUNTIF($B$1:$B$1004, H2) &gt; 1</formula>
    </cfRule>
    <cfRule type="expression" dxfId="416" priority="137">
      <formula>COUNTIF($B$1:$B$1007, H2) &gt; 1</formula>
    </cfRule>
    <cfRule type="expression" dxfId="415" priority="138">
      <formula>COUNTIF($B$1:$B$1017, H2) &gt; 1</formula>
    </cfRule>
    <cfRule type="expression" dxfId="414" priority="139">
      <formula>COUNTIF($B$2:$B$989, H2) &gt; 1</formula>
    </cfRule>
    <cfRule type="expression" dxfId="413" priority="140">
      <formula>COUNTIF($B$2:$B$990, H2) &gt; 1</formula>
    </cfRule>
    <cfRule type="expression" dxfId="412" priority="141">
      <formula>COUNTIF($B$2:$B$987, H2) &gt; 1</formula>
    </cfRule>
    <cfRule type="expression" dxfId="411" priority="142">
      <formula>COUNTIF($B$2:$B$988, H2) &gt; 1</formula>
    </cfRule>
  </conditionalFormatting>
  <conditionalFormatting sqref="H2:H57">
    <cfRule type="expression" dxfId="410" priority="143">
      <formula>COUNTIF($C$1:$C$1017, H2) &gt; 1</formula>
    </cfRule>
    <cfRule type="expression" dxfId="409" priority="144">
      <formula>COUNTIF($C$1:$C$1003, H2) &gt; 1</formula>
    </cfRule>
  </conditionalFormatting>
  <conditionalFormatting sqref="H2:H58">
    <cfRule type="expression" dxfId="408" priority="145">
      <formula>COUNTIF($C$1:$C$1004, H2) &gt; 1</formula>
    </cfRule>
    <cfRule type="expression" dxfId="407" priority="146">
      <formula>COUNTIF($C$1:$C$988, H2) &gt; 1</formula>
    </cfRule>
    <cfRule type="expression" dxfId="406" priority="147">
      <formula>COUNTIF($C$1:$C$849, H2) &gt; 1</formula>
    </cfRule>
    <cfRule type="expression" dxfId="405" priority="148">
      <formula>COUNTIF($C$1:$C$860, H2) &gt; 1</formula>
    </cfRule>
  </conditionalFormatting>
  <conditionalFormatting sqref="H2:H59">
    <cfRule type="expression" dxfId="404" priority="149">
      <formula>COUNTIF($I$2:$I$105, H2) &gt; 1</formula>
    </cfRule>
    <cfRule type="expression" dxfId="403" priority="150">
      <formula>COUNTIF($C$1:$C$1019, H2) &gt; 1</formula>
    </cfRule>
    <cfRule type="expression" dxfId="402" priority="151">
      <formula>COUNTIF($H$2:$H$103, H2) &gt; 1</formula>
    </cfRule>
    <cfRule type="expression" dxfId="401" priority="152">
      <formula>COUNTIF($C$1:$C$1009, H2) &gt; 1</formula>
    </cfRule>
    <cfRule type="expression" dxfId="400" priority="153">
      <formula>COUNTIF($C$1:$C$1005, H2) &gt; 1</formula>
    </cfRule>
  </conditionalFormatting>
  <conditionalFormatting sqref="H2:H60">
    <cfRule type="expression" dxfId="399" priority="154">
      <formula>COUNTIF($C$1:$C$1020, H2) &gt; 1</formula>
    </cfRule>
    <cfRule type="expression" dxfId="398" priority="155">
      <formula>COUNTIF($C$1:$C$861, H2) &gt; 1</formula>
    </cfRule>
    <cfRule type="expression" dxfId="397" priority="156">
      <formula>COUNTIF($C$1:$C$1011, H2) &gt; 1</formula>
    </cfRule>
    <cfRule type="expression" dxfId="396" priority="157">
      <formula>COUNTIF($C$1:$C$1010, H2) &gt; 1</formula>
    </cfRule>
  </conditionalFormatting>
  <conditionalFormatting sqref="H2:H61">
    <cfRule type="expression" dxfId="395" priority="158">
      <formula>COUNTIF($C$1:$C$1025, H2) &gt; 1</formula>
    </cfRule>
    <cfRule type="expression" dxfId="394" priority="159">
      <formula>COUNTIF($C$1:$C$850, H2) &gt; 1</formula>
    </cfRule>
    <cfRule type="expression" dxfId="393" priority="160">
      <formula>COUNTIF($C$1:$C$1021, H2) &gt; 1</formula>
    </cfRule>
    <cfRule type="expression" dxfId="392" priority="161">
      <formula>COUNTIF($C$1:$C$862, H2) &gt; 1</formula>
    </cfRule>
    <cfRule type="expression" dxfId="391" priority="162">
      <formula>COUNTIF($C$1:$C$1012, H2) &gt; 1</formula>
    </cfRule>
    <cfRule type="expression" dxfId="390" priority="163">
      <formula>COUNTIF($C$1:$C$1006, H2) &gt; 1</formula>
    </cfRule>
  </conditionalFormatting>
  <conditionalFormatting sqref="H2:H62">
    <cfRule type="expression" dxfId="389" priority="164">
      <formula>COUNTIF($C$1:$C$851, H2) &gt; 1</formula>
    </cfRule>
    <cfRule type="expression" dxfId="388" priority="165">
      <formula>COUNTIF($C$1:$C$1022, H2) &gt; 1</formula>
    </cfRule>
    <cfRule type="expression" dxfId="387" priority="166">
      <formula>COUNTIF($C$1:$C$863, H2) &gt; 1</formula>
    </cfRule>
    <cfRule type="expression" dxfId="386" priority="167">
      <formula>COUNTIF($C$1:$C$1007, H2) &gt; 1</formula>
    </cfRule>
  </conditionalFormatting>
  <conditionalFormatting sqref="H2:H63">
    <cfRule type="expression" dxfId="385" priority="168">
      <formula>COUNTIF($C$1:$C$1008, H2) &gt; 1</formula>
    </cfRule>
    <cfRule type="expression" dxfId="384" priority="169">
      <formula>COUNTIF($C$1:$C$852, H2) &gt; 1</formula>
    </cfRule>
  </conditionalFormatting>
  <conditionalFormatting sqref="H2:H64">
    <cfRule type="expression" dxfId="383" priority="170">
      <formula>COUNTIF($C$1:$C$865, H2) &gt; 1</formula>
    </cfRule>
    <cfRule type="expression" dxfId="382" priority="171">
      <formula>COUNTIF($C$1:$C$867, H2) &gt; 1</formula>
    </cfRule>
    <cfRule type="expression" dxfId="381" priority="172">
      <formula>COUNTIF($C$1:$C$1014, H2) &gt; 1</formula>
    </cfRule>
  </conditionalFormatting>
  <conditionalFormatting sqref="H2:H65">
    <cfRule type="expression" dxfId="380" priority="173">
      <formula>COUNTIF($C$1:$C$854, H2) &gt; 1</formula>
    </cfRule>
    <cfRule type="expression" dxfId="379" priority="174">
      <formula>COUNTIF($C$1:$C$856, H2) &gt; 1</formula>
    </cfRule>
    <cfRule type="expression" dxfId="378" priority="175">
      <formula>COUNTIF($C$1:$C$866, H2) &gt; 1</formula>
    </cfRule>
    <cfRule type="expression" dxfId="377" priority="176">
      <formula>COUNTIF($C$1:$C$868, H2) &gt; 1</formula>
    </cfRule>
  </conditionalFormatting>
  <conditionalFormatting sqref="H2:H66">
    <cfRule type="expression" dxfId="376" priority="177">
      <formula>COUNTIF($C$1:$C$855, H2) &gt; 1</formula>
    </cfRule>
    <cfRule type="expression" dxfId="375" priority="178">
      <formula>COUNTIF($C$1:$C$857, H2) &gt; 1</formula>
    </cfRule>
    <cfRule type="expression" dxfId="374" priority="179">
      <formula>COUNTIF($C$1:$C$1016, H2) &gt; 1</formula>
    </cfRule>
  </conditionalFormatting>
  <conditionalFormatting sqref="H2:H67">
    <cfRule type="expression" dxfId="373" priority="180">
      <formula>COUNTIF($C$1:$C$1027, H2) &gt; 1</formula>
    </cfRule>
  </conditionalFormatting>
  <conditionalFormatting sqref="H2:H68">
    <cfRule type="expression" dxfId="372" priority="181">
      <formula>COUNTIF($C$1:$C$859, H2) &gt; 1</formula>
    </cfRule>
    <cfRule type="expression" dxfId="371" priority="182">
      <formula>COUNTIF($K$2:$K$103, H2) &gt; 1</formula>
    </cfRule>
    <cfRule type="expression" dxfId="370" priority="183">
      <formula>COUNTIF($C$1:$C$1018, H2) &gt; 1</formula>
    </cfRule>
    <cfRule type="expression" dxfId="369" priority="184">
      <formula>COUNTIF($C$1:$C$1013, H2) &gt; 1</formula>
    </cfRule>
  </conditionalFormatting>
  <conditionalFormatting sqref="H2:H69">
    <cfRule type="expression" dxfId="368" priority="185">
      <formula>COUNTIF($C$1:$C$997, H2) &gt; 1</formula>
    </cfRule>
    <cfRule type="expression" dxfId="367" priority="186">
      <formula>COUNTIF($C$1:$C$1030, H2) &gt; 1</formula>
    </cfRule>
  </conditionalFormatting>
  <conditionalFormatting sqref="H2:H70">
    <cfRule type="expression" dxfId="366" priority="187">
      <formula>COUNTIF($L$2:$L$105, H2) &gt; 1</formula>
    </cfRule>
    <cfRule type="expression" dxfId="365" priority="188">
      <formula>COUNTIF($C$1:$C$1015, H2) &gt; 1</formula>
    </cfRule>
  </conditionalFormatting>
  <conditionalFormatting sqref="H2:H98">
    <cfRule type="expression" dxfId="364" priority="189">
      <formula>COUNTIF($H$2:$H$102, H2) &gt; 1</formula>
    </cfRule>
  </conditionalFormatting>
  <conditionalFormatting sqref="H21">
    <cfRule type="expression" dxfId="363" priority="190">
      <formula>COUNTIF($C$1:$C$1028, H21) &gt; 1</formula>
    </cfRule>
  </conditionalFormatting>
  <conditionalFormatting sqref="H31">
    <cfRule type="expression" dxfId="362" priority="191">
      <formula>COUNTIF($C$1:$C$1033, H31) &gt; 1</formula>
    </cfRule>
  </conditionalFormatting>
  <conditionalFormatting sqref="I2:J1000">
    <cfRule type="expression" dxfId="361" priority="192">
      <formula>I2&gt;0</formula>
    </cfRule>
  </conditionalFormatting>
  <dataValidations count="2">
    <dataValidation type="list" allowBlank="1" showErrorMessage="1" sqref="A96:A1000" xr:uid="{00000000-0002-0000-09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95 G2:G58" xr:uid="{00000000-0002-0000-09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4.88671875" customWidth="1"/>
    <col min="3" max="3" width="15.33203125" customWidth="1"/>
    <col min="4" max="4" width="35.88671875" customWidth="1"/>
    <col min="5" max="5" width="18.6640625" customWidth="1"/>
    <col min="6" max="8" width="16.44140625" customWidth="1"/>
    <col min="9" max="9" width="16" customWidth="1"/>
    <col min="10" max="10" width="17.88671875" customWidth="1"/>
    <col min="11" max="11" width="25.88671875" customWidth="1"/>
    <col min="12" max="12" width="29.44140625" customWidth="1"/>
    <col min="13" max="13" width="20.6640625" customWidth="1"/>
    <col min="17" max="17" width="19.88671875" customWidth="1"/>
  </cols>
  <sheetData>
    <row r="1" spans="1:30" ht="33.75" customHeight="1">
      <c r="A1" s="5" t="s">
        <v>0</v>
      </c>
      <c r="B1" s="5" t="s">
        <v>180</v>
      </c>
      <c r="C1" s="5" t="s">
        <v>463</v>
      </c>
      <c r="D1" s="1" t="s">
        <v>177</v>
      </c>
      <c r="E1" s="5" t="s">
        <v>464</v>
      </c>
      <c r="F1" s="115" t="s">
        <v>465</v>
      </c>
      <c r="G1" s="63" t="s">
        <v>466</v>
      </c>
      <c r="H1" s="116" t="s">
        <v>467</v>
      </c>
      <c r="I1" s="14" t="s">
        <v>468</v>
      </c>
      <c r="J1" s="35"/>
      <c r="K1" s="57" t="s">
        <v>0</v>
      </c>
      <c r="L1" s="57" t="s">
        <v>162</v>
      </c>
      <c r="M1" s="57" t="s">
        <v>469</v>
      </c>
      <c r="N1" s="57" t="s">
        <v>470</v>
      </c>
      <c r="O1" s="117" t="s">
        <v>471</v>
      </c>
      <c r="P1" s="36"/>
      <c r="Q1" s="36"/>
      <c r="R1" s="79" t="s">
        <v>472</v>
      </c>
      <c r="S1" s="79" t="s">
        <v>473</v>
      </c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ht="15.75" customHeight="1">
      <c r="A2" s="10" t="s">
        <v>17</v>
      </c>
      <c r="B2" s="36" t="s">
        <v>86</v>
      </c>
      <c r="C2" s="118">
        <v>46255</v>
      </c>
      <c r="D2" s="109" t="s">
        <v>186</v>
      </c>
      <c r="E2" s="75" t="s">
        <v>187</v>
      </c>
      <c r="F2" s="121">
        <v>3.02</v>
      </c>
      <c r="G2" s="122">
        <f t="shared" ref="G2:G65" si="0">IF(AND(ISNUMBER(F2), F2&lt;=4), 1, 0)</f>
        <v>1</v>
      </c>
      <c r="H2" s="123">
        <f>IF(AND(ISNUMBER(F2), F2&gt;4, COUNTIFS($A$2:A2, A2, $B$2:B2, B2, $C$2:C2, C2, $F$2:F2, "&gt;4")=1), 1, 0)</f>
        <v>0</v>
      </c>
      <c r="I2" s="10">
        <f t="shared" ref="I2:I65" si="1">IF(AND(ISNUMBER(F2), F2&gt;4, ISNUMBER(SEARCH("đêm", D2))), 1, 0)</f>
        <v>0</v>
      </c>
      <c r="J2" s="10"/>
      <c r="K2" s="10" t="s">
        <v>15</v>
      </c>
      <c r="L2" s="7" t="s">
        <v>72</v>
      </c>
      <c r="M2" s="37">
        <f t="shared" ref="M2:M33" si="2">SUMIFS(H:H, A:A, K2, B:B, L2)</f>
        <v>2</v>
      </c>
      <c r="N2" s="113">
        <f>'Giờ công'!K2</f>
        <v>15.69</v>
      </c>
      <c r="O2" s="113">
        <f t="shared" ref="O2:O33" si="3">IF(M2&gt;0, N2/M2, "")</f>
        <v>7.8449999999999998</v>
      </c>
      <c r="P2" s="7"/>
      <c r="Q2" s="7"/>
      <c r="R2" s="120"/>
      <c r="S2" s="120"/>
      <c r="T2" s="120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>
      <c r="A3" s="10" t="s">
        <v>17</v>
      </c>
      <c r="B3" s="36" t="s">
        <v>86</v>
      </c>
      <c r="C3" s="118">
        <v>46235</v>
      </c>
      <c r="D3" s="109" t="s">
        <v>188</v>
      </c>
      <c r="E3" s="75" t="s">
        <v>474</v>
      </c>
      <c r="F3" s="121">
        <v>7.9</v>
      </c>
      <c r="G3" s="122">
        <f t="shared" si="0"/>
        <v>0</v>
      </c>
      <c r="H3" s="123">
        <f>IF(AND(ISNUMBER(F3), F3&gt;4, COUNTIFS($A$2:A3, A3, $B$2:B3, B3, $C$2:C3, C3, $F$2:F3, "&gt;4")=1), 1, 0)</f>
        <v>1</v>
      </c>
      <c r="I3" s="10">
        <f t="shared" si="1"/>
        <v>1</v>
      </c>
      <c r="J3" s="10"/>
      <c r="K3" s="10" t="s">
        <v>15</v>
      </c>
      <c r="L3" s="7" t="s">
        <v>74</v>
      </c>
      <c r="M3" s="37">
        <f t="shared" si="2"/>
        <v>26</v>
      </c>
      <c r="N3" s="113">
        <f>'Giờ công'!K3</f>
        <v>215.01999999999998</v>
      </c>
      <c r="O3" s="113">
        <f t="shared" si="3"/>
        <v>8.27</v>
      </c>
      <c r="P3" s="7"/>
      <c r="Q3" s="7"/>
      <c r="R3" s="120"/>
      <c r="S3" s="120"/>
      <c r="T3" s="120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>
      <c r="A4" s="10" t="s">
        <v>17</v>
      </c>
      <c r="B4" s="44" t="s">
        <v>86</v>
      </c>
      <c r="C4" s="118">
        <v>46236</v>
      </c>
      <c r="D4" s="109" t="s">
        <v>188</v>
      </c>
      <c r="E4" s="75" t="s">
        <v>207</v>
      </c>
      <c r="F4" s="121">
        <v>8.1</v>
      </c>
      <c r="G4" s="122">
        <f t="shared" si="0"/>
        <v>0</v>
      </c>
      <c r="H4" s="123">
        <f>IF(AND(ISNUMBER(F4), F4&gt;4, COUNTIFS($A$2:A4, A4, $B$2:B4, B4, $C$2:C4, C4, $F$2:F4, "&gt;4")=1), 1, 0)</f>
        <v>1</v>
      </c>
      <c r="I4" s="10">
        <f t="shared" si="1"/>
        <v>1</v>
      </c>
      <c r="J4" s="50"/>
      <c r="K4" s="10" t="s">
        <v>15</v>
      </c>
      <c r="L4" s="7" t="s">
        <v>76</v>
      </c>
      <c r="M4" s="37">
        <f t="shared" si="2"/>
        <v>29</v>
      </c>
      <c r="N4" s="113">
        <f>'Giờ công'!K4</f>
        <v>238.48</v>
      </c>
      <c r="O4" s="113">
        <f t="shared" si="3"/>
        <v>8.2234482758620686</v>
      </c>
      <c r="P4" s="7"/>
      <c r="Q4" s="7"/>
      <c r="R4" s="120"/>
      <c r="S4" s="120"/>
      <c r="T4" s="120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>
      <c r="A5" s="10" t="s">
        <v>17</v>
      </c>
      <c r="B5" s="36" t="s">
        <v>86</v>
      </c>
      <c r="C5" s="118">
        <v>46237</v>
      </c>
      <c r="D5" s="109" t="s">
        <v>188</v>
      </c>
      <c r="E5" s="75" t="s">
        <v>409</v>
      </c>
      <c r="F5" s="121">
        <v>7.93</v>
      </c>
      <c r="G5" s="122">
        <f t="shared" si="0"/>
        <v>0</v>
      </c>
      <c r="H5" s="123">
        <f>IF(AND(ISNUMBER(F5), F5&gt;4, COUNTIFS($A$2:A5, A5, $B$2:B5, B5, $C$2:C5, C5, $F$2:F5, "&gt;4")=1), 1, 0)</f>
        <v>1</v>
      </c>
      <c r="I5" s="10">
        <f t="shared" si="1"/>
        <v>1</v>
      </c>
      <c r="J5" s="10"/>
      <c r="K5" s="10" t="s">
        <v>15</v>
      </c>
      <c r="L5" s="7" t="s">
        <v>78</v>
      </c>
      <c r="M5" s="37">
        <f t="shared" si="2"/>
        <v>21</v>
      </c>
      <c r="N5" s="113">
        <f>'Giờ công'!K5</f>
        <v>164.59</v>
      </c>
      <c r="O5" s="113">
        <f t="shared" si="3"/>
        <v>7.8376190476190475</v>
      </c>
      <c r="P5" s="7"/>
      <c r="Q5" s="7"/>
      <c r="R5" s="120"/>
      <c r="S5" s="120"/>
      <c r="T5" s="120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>
      <c r="A6" s="10" t="s">
        <v>17</v>
      </c>
      <c r="B6" s="36" t="s">
        <v>86</v>
      </c>
      <c r="C6" s="118">
        <v>46238</v>
      </c>
      <c r="D6" s="109" t="s">
        <v>188</v>
      </c>
      <c r="E6" s="75" t="s">
        <v>475</v>
      </c>
      <c r="F6" s="121">
        <v>7.87</v>
      </c>
      <c r="G6" s="122">
        <f t="shared" si="0"/>
        <v>0</v>
      </c>
      <c r="H6" s="123">
        <f>IF(AND(ISNUMBER(F6), F6&gt;4, COUNTIFS($A$2:A6, A6, $B$2:B6, B6, $C$2:C6, C6, $F$2:F6, "&gt;4")=1), 1, 0)</f>
        <v>1</v>
      </c>
      <c r="I6" s="10">
        <f t="shared" si="1"/>
        <v>1</v>
      </c>
      <c r="J6" s="10"/>
      <c r="K6" s="10" t="s">
        <v>15</v>
      </c>
      <c r="L6" s="7" t="s">
        <v>80</v>
      </c>
      <c r="M6" s="37">
        <f t="shared" si="2"/>
        <v>11</v>
      </c>
      <c r="N6" s="113">
        <f>'Giờ công'!K6</f>
        <v>89.38000000000001</v>
      </c>
      <c r="O6" s="113">
        <f t="shared" si="3"/>
        <v>8.1254545454545468</v>
      </c>
      <c r="P6" s="7"/>
      <c r="Q6" s="7"/>
      <c r="R6" s="120"/>
      <c r="S6" s="120"/>
      <c r="T6" s="120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>
      <c r="A7" s="10" t="s">
        <v>17</v>
      </c>
      <c r="B7" s="36" t="s">
        <v>86</v>
      </c>
      <c r="C7" s="118">
        <v>46239</v>
      </c>
      <c r="D7" s="109" t="s">
        <v>188</v>
      </c>
      <c r="E7" s="75" t="s">
        <v>476</v>
      </c>
      <c r="F7" s="121">
        <v>8.1199999999999992</v>
      </c>
      <c r="G7" s="122">
        <f t="shared" si="0"/>
        <v>0</v>
      </c>
      <c r="H7" s="123">
        <f>IF(AND(ISNUMBER(F7), F7&gt;4, COUNTIFS($A$2:A7, A7, $B$2:B7, B7, $C$2:C7, C7, $F$2:F7, "&gt;4")=1), 1, 0)</f>
        <v>1</v>
      </c>
      <c r="I7" s="10">
        <f t="shared" si="1"/>
        <v>1</v>
      </c>
      <c r="J7" s="10"/>
      <c r="K7" s="10" t="s">
        <v>15</v>
      </c>
      <c r="L7" s="7" t="s">
        <v>82</v>
      </c>
      <c r="M7" s="37">
        <f t="shared" si="2"/>
        <v>23</v>
      </c>
      <c r="N7" s="113">
        <f>'Giờ công'!K7</f>
        <v>188.39999999999995</v>
      </c>
      <c r="O7" s="113">
        <f t="shared" si="3"/>
        <v>8.191304347826085</v>
      </c>
      <c r="P7" s="7"/>
      <c r="Q7" s="7"/>
      <c r="R7" s="120"/>
      <c r="S7" s="120"/>
      <c r="T7" s="120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>
      <c r="A8" s="10" t="s">
        <v>17</v>
      </c>
      <c r="B8" s="36" t="s">
        <v>86</v>
      </c>
      <c r="C8" s="118">
        <v>46240</v>
      </c>
      <c r="D8" s="109" t="s">
        <v>188</v>
      </c>
      <c r="E8" s="75" t="s">
        <v>475</v>
      </c>
      <c r="F8" s="121">
        <v>7.87</v>
      </c>
      <c r="G8" s="122">
        <f t="shared" si="0"/>
        <v>0</v>
      </c>
      <c r="H8" s="123">
        <f>IF(AND(ISNUMBER(F8), F8&gt;4, COUNTIFS($A$2:A8, A8, $B$2:B8, B8, $C$2:C8, C8, $F$2:F8, "&gt;4")=1), 1, 0)</f>
        <v>1</v>
      </c>
      <c r="I8" s="10">
        <f t="shared" si="1"/>
        <v>1</v>
      </c>
      <c r="J8" s="10"/>
      <c r="K8" s="10" t="s">
        <v>15</v>
      </c>
      <c r="L8" s="114" t="s">
        <v>83</v>
      </c>
      <c r="M8" s="37">
        <f t="shared" si="2"/>
        <v>29</v>
      </c>
      <c r="N8" s="113">
        <f>'Giờ công'!K8</f>
        <v>276.86</v>
      </c>
      <c r="O8" s="113">
        <f t="shared" si="3"/>
        <v>9.5468965517241386</v>
      </c>
      <c r="P8" s="7"/>
      <c r="Q8" s="7"/>
      <c r="R8" s="120"/>
      <c r="S8" s="120"/>
      <c r="T8" s="120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>
      <c r="A9" s="10" t="s">
        <v>17</v>
      </c>
      <c r="B9" s="36" t="s">
        <v>86</v>
      </c>
      <c r="C9" s="118">
        <v>46241</v>
      </c>
      <c r="D9" s="109" t="s">
        <v>188</v>
      </c>
      <c r="E9" s="75" t="s">
        <v>474</v>
      </c>
      <c r="F9" s="121">
        <v>7.9</v>
      </c>
      <c r="G9" s="122">
        <f t="shared" si="0"/>
        <v>0</v>
      </c>
      <c r="H9" s="123">
        <f>IF(AND(ISNUMBER(F9), F9&gt;4, COUNTIFS($A$2:A9, A9, $B$2:B9, B9, $C$2:C9, C9, $F$2:F9, "&gt;4")=1), 1, 0)</f>
        <v>1</v>
      </c>
      <c r="I9" s="10">
        <f t="shared" si="1"/>
        <v>1</v>
      </c>
      <c r="J9" s="10"/>
      <c r="K9" s="10" t="s">
        <v>17</v>
      </c>
      <c r="L9" s="7" t="s">
        <v>84</v>
      </c>
      <c r="M9" s="37">
        <f t="shared" si="2"/>
        <v>23</v>
      </c>
      <c r="N9" s="113">
        <f>'Giờ công'!K9</f>
        <v>183.01</v>
      </c>
      <c r="O9" s="113">
        <f t="shared" si="3"/>
        <v>7.95695652173913</v>
      </c>
      <c r="P9" s="7"/>
      <c r="Q9" s="7"/>
      <c r="R9" s="120"/>
      <c r="S9" s="120"/>
      <c r="T9" s="120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75" customHeight="1">
      <c r="A10" s="10" t="s">
        <v>17</v>
      </c>
      <c r="B10" s="36" t="s">
        <v>86</v>
      </c>
      <c r="C10" s="118">
        <v>46243</v>
      </c>
      <c r="D10" s="109" t="s">
        <v>188</v>
      </c>
      <c r="E10" s="75" t="s">
        <v>477</v>
      </c>
      <c r="F10" s="121">
        <v>7.88</v>
      </c>
      <c r="G10" s="122">
        <f t="shared" si="0"/>
        <v>0</v>
      </c>
      <c r="H10" s="123">
        <f>IF(AND(ISNUMBER(F10), F10&gt;4, COUNTIFS($A$2:A10, A10, $B$2:B10, B10, $C$2:C10, C10, $F$2:F10, "&gt;4")=1), 1, 0)</f>
        <v>1</v>
      </c>
      <c r="I10" s="10">
        <f t="shared" si="1"/>
        <v>1</v>
      </c>
      <c r="J10" s="10"/>
      <c r="K10" s="10" t="s">
        <v>17</v>
      </c>
      <c r="L10" s="7" t="s">
        <v>85</v>
      </c>
      <c r="M10" s="37">
        <f t="shared" si="2"/>
        <v>4</v>
      </c>
      <c r="N10" s="113">
        <f>'Giờ công'!K10</f>
        <v>32.49</v>
      </c>
      <c r="O10" s="113">
        <f t="shared" si="3"/>
        <v>8.1225000000000005</v>
      </c>
      <c r="P10" s="7"/>
      <c r="Q10" s="7"/>
      <c r="R10" s="120"/>
      <c r="S10" s="120"/>
      <c r="T10" s="120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75" customHeight="1">
      <c r="A11" s="10" t="s">
        <v>17</v>
      </c>
      <c r="B11" s="36" t="s">
        <v>86</v>
      </c>
      <c r="C11" s="118">
        <v>46244</v>
      </c>
      <c r="D11" s="109" t="s">
        <v>188</v>
      </c>
      <c r="E11" s="75" t="s">
        <v>477</v>
      </c>
      <c r="F11" s="121">
        <v>7.88</v>
      </c>
      <c r="G11" s="122">
        <f t="shared" si="0"/>
        <v>0</v>
      </c>
      <c r="H11" s="123">
        <f>IF(AND(ISNUMBER(F11), F11&gt;4, COUNTIFS($A$2:A11, A11, $B$2:B11, B11, $C$2:C11, C11, $F$2:F11, "&gt;4")=1), 1, 0)</f>
        <v>1</v>
      </c>
      <c r="I11" s="10">
        <f t="shared" si="1"/>
        <v>1</v>
      </c>
      <c r="J11" s="10"/>
      <c r="K11" s="10" t="s">
        <v>17</v>
      </c>
      <c r="L11" s="7" t="s">
        <v>86</v>
      </c>
      <c r="M11" s="37">
        <f t="shared" si="2"/>
        <v>29</v>
      </c>
      <c r="N11" s="113">
        <f>'Giờ công'!K11</f>
        <v>233.28</v>
      </c>
      <c r="O11" s="113">
        <f t="shared" si="3"/>
        <v>8.0441379310344825</v>
      </c>
      <c r="P11" s="7"/>
      <c r="Q11" s="7"/>
      <c r="R11" s="120"/>
      <c r="S11" s="120"/>
      <c r="T11" s="120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75" customHeight="1">
      <c r="A12" s="10" t="s">
        <v>17</v>
      </c>
      <c r="B12" s="44" t="s">
        <v>86</v>
      </c>
      <c r="C12" s="118">
        <v>46245</v>
      </c>
      <c r="D12" s="109" t="s">
        <v>188</v>
      </c>
      <c r="E12" s="75" t="s">
        <v>199</v>
      </c>
      <c r="F12" s="121">
        <v>8</v>
      </c>
      <c r="G12" s="122">
        <f t="shared" si="0"/>
        <v>0</v>
      </c>
      <c r="H12" s="123">
        <f>IF(AND(ISNUMBER(F12), F12&gt;4, COUNTIFS($A$2:A12, A12, $B$2:B12, B12, $C$2:C12, C12, $F$2:F12, "&gt;4")=1), 1, 0)</f>
        <v>1</v>
      </c>
      <c r="I12" s="10">
        <f t="shared" si="1"/>
        <v>1</v>
      </c>
      <c r="J12" s="10"/>
      <c r="K12" s="10" t="s">
        <v>17</v>
      </c>
      <c r="L12" s="7" t="s">
        <v>87</v>
      </c>
      <c r="M12" s="37">
        <f t="shared" si="2"/>
        <v>31</v>
      </c>
      <c r="N12" s="113">
        <f>'Giờ công'!K12</f>
        <v>245.43999999999991</v>
      </c>
      <c r="O12" s="113">
        <f t="shared" si="3"/>
        <v>7.9174193548387066</v>
      </c>
      <c r="P12" s="7"/>
      <c r="Q12" s="7"/>
      <c r="R12" s="120"/>
      <c r="S12" s="120"/>
      <c r="T12" s="120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75" customHeight="1">
      <c r="A13" s="10" t="s">
        <v>17</v>
      </c>
      <c r="B13" s="44" t="s">
        <v>86</v>
      </c>
      <c r="C13" s="118">
        <v>46246</v>
      </c>
      <c r="D13" s="109" t="s">
        <v>188</v>
      </c>
      <c r="E13" s="75" t="s">
        <v>478</v>
      </c>
      <c r="F13" s="121">
        <v>7.7</v>
      </c>
      <c r="G13" s="122">
        <f t="shared" si="0"/>
        <v>0</v>
      </c>
      <c r="H13" s="123">
        <f>IF(AND(ISNUMBER(F13), F13&gt;4, COUNTIFS($A$2:A13, A13, $B$2:B13, B13, $C$2:C13, C13, $F$2:F13, "&gt;4")=1), 1, 0)</f>
        <v>1</v>
      </c>
      <c r="I13" s="10">
        <f t="shared" si="1"/>
        <v>1</v>
      </c>
      <c r="J13" s="10"/>
      <c r="K13" s="10" t="s">
        <v>17</v>
      </c>
      <c r="L13" s="7" t="s">
        <v>88</v>
      </c>
      <c r="M13" s="37">
        <f t="shared" si="2"/>
        <v>4</v>
      </c>
      <c r="N13" s="113">
        <f>'Giờ công'!K13</f>
        <v>29.27</v>
      </c>
      <c r="O13" s="113">
        <f t="shared" si="3"/>
        <v>7.3174999999999999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75" customHeight="1">
      <c r="A14" s="10" t="s">
        <v>17</v>
      </c>
      <c r="B14" s="44" t="s">
        <v>86</v>
      </c>
      <c r="C14" s="118">
        <v>46247</v>
      </c>
      <c r="D14" s="109" t="s">
        <v>188</v>
      </c>
      <c r="E14" s="75" t="s">
        <v>479</v>
      </c>
      <c r="F14" s="121">
        <v>8.02</v>
      </c>
      <c r="G14" s="122">
        <f t="shared" si="0"/>
        <v>0</v>
      </c>
      <c r="H14" s="123">
        <f>IF(AND(ISNUMBER(F14), F14&gt;4, COUNTIFS($A$2:A14, A14, $B$2:B14, B14, $C$2:C14, C14, $F$2:F14, "&gt;4")=1), 1, 0)</f>
        <v>1</v>
      </c>
      <c r="I14" s="10">
        <f t="shared" si="1"/>
        <v>1</v>
      </c>
      <c r="J14" s="10"/>
      <c r="K14" s="10" t="s">
        <v>17</v>
      </c>
      <c r="L14" s="7" t="s">
        <v>89</v>
      </c>
      <c r="M14" s="37">
        <f t="shared" si="2"/>
        <v>30</v>
      </c>
      <c r="N14" s="113">
        <f>'Giờ công'!K14</f>
        <v>247.47</v>
      </c>
      <c r="O14" s="113">
        <f t="shared" si="3"/>
        <v>8.2490000000000006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75" customHeight="1">
      <c r="A15" s="10" t="s">
        <v>17</v>
      </c>
      <c r="B15" s="44" t="s">
        <v>86</v>
      </c>
      <c r="C15" s="118">
        <v>46249</v>
      </c>
      <c r="D15" s="109" t="s">
        <v>188</v>
      </c>
      <c r="E15" s="75" t="s">
        <v>480</v>
      </c>
      <c r="F15" s="121">
        <v>7.97</v>
      </c>
      <c r="G15" s="122">
        <f t="shared" si="0"/>
        <v>0</v>
      </c>
      <c r="H15" s="123">
        <f>IF(AND(ISNUMBER(F15), F15&gt;4, COUNTIFS($A$2:A15, A15, $B$2:B15, B15, $C$2:C15, C15, $F$2:F15, "&gt;4")=1), 1, 0)</f>
        <v>1</v>
      </c>
      <c r="I15" s="10">
        <f t="shared" si="1"/>
        <v>1</v>
      </c>
      <c r="J15" s="10"/>
      <c r="K15" s="10" t="s">
        <v>17</v>
      </c>
      <c r="L15" s="7" t="s">
        <v>90</v>
      </c>
      <c r="M15" s="37">
        <f t="shared" si="2"/>
        <v>30</v>
      </c>
      <c r="N15" s="113">
        <f>'Giờ công'!K15</f>
        <v>244.24</v>
      </c>
      <c r="O15" s="113">
        <f t="shared" si="3"/>
        <v>8.1413333333333338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75" customHeight="1">
      <c r="A16" s="10" t="s">
        <v>17</v>
      </c>
      <c r="B16" s="44" t="s">
        <v>86</v>
      </c>
      <c r="C16" s="118">
        <v>46250</v>
      </c>
      <c r="D16" s="109" t="s">
        <v>188</v>
      </c>
      <c r="E16" s="75" t="s">
        <v>477</v>
      </c>
      <c r="F16" s="121">
        <v>7.88</v>
      </c>
      <c r="G16" s="122">
        <f t="shared" si="0"/>
        <v>0</v>
      </c>
      <c r="H16" s="123">
        <f>IF(AND(ISNUMBER(F16), F16&gt;4, COUNTIFS($A$2:A16, A16, $B$2:B16, B16, $C$2:C16, C16, $F$2:F16, "&gt;4")=1), 1, 0)</f>
        <v>1</v>
      </c>
      <c r="I16" s="10">
        <f t="shared" si="1"/>
        <v>1</v>
      </c>
      <c r="J16" s="10"/>
      <c r="K16" s="10" t="s">
        <v>18</v>
      </c>
      <c r="L16" s="7" t="s">
        <v>91</v>
      </c>
      <c r="M16" s="37">
        <f t="shared" si="2"/>
        <v>27</v>
      </c>
      <c r="N16" s="113">
        <f>'Giờ công'!K16</f>
        <v>246.53000000000003</v>
      </c>
      <c r="O16" s="113">
        <f t="shared" si="3"/>
        <v>9.130740740740741</v>
      </c>
      <c r="P16" s="120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75" customHeight="1">
      <c r="A17" s="10" t="s">
        <v>17</v>
      </c>
      <c r="B17" s="44" t="s">
        <v>86</v>
      </c>
      <c r="C17" s="118">
        <v>46251</v>
      </c>
      <c r="D17" s="109" t="s">
        <v>188</v>
      </c>
      <c r="E17" s="75" t="s">
        <v>481</v>
      </c>
      <c r="F17" s="121">
        <v>7.98</v>
      </c>
      <c r="G17" s="122">
        <f t="shared" si="0"/>
        <v>0</v>
      </c>
      <c r="H17" s="123">
        <f>IF(AND(ISNUMBER(F17), F17&gt;4, COUNTIFS($A$2:A17, A17, $B$2:B17, B17, $C$2:C17, C17, $F$2:F17, "&gt;4")=1), 1, 0)</f>
        <v>1</v>
      </c>
      <c r="I17" s="10">
        <f t="shared" si="1"/>
        <v>1</v>
      </c>
      <c r="J17" s="10"/>
      <c r="K17" s="10" t="s">
        <v>18</v>
      </c>
      <c r="L17" s="7" t="s">
        <v>78</v>
      </c>
      <c r="M17" s="37">
        <f t="shared" si="2"/>
        <v>6</v>
      </c>
      <c r="N17" s="113">
        <f>'Giờ công'!K17</f>
        <v>46.45</v>
      </c>
      <c r="O17" s="113">
        <f t="shared" si="3"/>
        <v>7.7416666666666671</v>
      </c>
      <c r="P17" s="12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75" customHeight="1">
      <c r="A18" s="10" t="s">
        <v>17</v>
      </c>
      <c r="B18" s="36" t="s">
        <v>86</v>
      </c>
      <c r="C18" s="118">
        <v>46252</v>
      </c>
      <c r="D18" s="109" t="s">
        <v>188</v>
      </c>
      <c r="E18" s="75" t="s">
        <v>482</v>
      </c>
      <c r="F18" s="121">
        <v>7.85</v>
      </c>
      <c r="G18" s="122">
        <f t="shared" si="0"/>
        <v>0</v>
      </c>
      <c r="H18" s="123">
        <f>IF(AND(ISNUMBER(F18), F18&gt;4, COUNTIFS($A$2:A18, A18, $B$2:B18, B18, $C$2:C18, C18, $F$2:F18, "&gt;4")=1), 1, 0)</f>
        <v>1</v>
      </c>
      <c r="I18" s="10">
        <f t="shared" si="1"/>
        <v>1</v>
      </c>
      <c r="J18" s="10"/>
      <c r="K18" s="10" t="s">
        <v>18</v>
      </c>
      <c r="L18" s="7" t="s">
        <v>92</v>
      </c>
      <c r="M18" s="37">
        <f t="shared" si="2"/>
        <v>28</v>
      </c>
      <c r="N18" s="113">
        <f>'Giờ công'!K18</f>
        <v>239</v>
      </c>
      <c r="O18" s="113">
        <f t="shared" si="3"/>
        <v>8.5357142857142865</v>
      </c>
      <c r="P18" s="120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75" customHeight="1">
      <c r="A19" s="10" t="s">
        <v>17</v>
      </c>
      <c r="B19" s="36" t="s">
        <v>86</v>
      </c>
      <c r="C19" s="118">
        <v>46253</v>
      </c>
      <c r="D19" s="109" t="s">
        <v>188</v>
      </c>
      <c r="E19" s="75" t="s">
        <v>207</v>
      </c>
      <c r="F19" s="121">
        <v>8.1</v>
      </c>
      <c r="G19" s="122">
        <f t="shared" si="0"/>
        <v>0</v>
      </c>
      <c r="H19" s="123">
        <f>IF(AND(ISNUMBER(F19), F19&gt;4, COUNTIFS($A$2:A19, A19, $B$2:B19, B19, $C$2:C19, C19, $F$2:F19, "&gt;4")=1), 1, 0)</f>
        <v>1</v>
      </c>
      <c r="I19" s="10">
        <f t="shared" si="1"/>
        <v>1</v>
      </c>
      <c r="J19" s="10"/>
      <c r="K19" s="10" t="s">
        <v>18</v>
      </c>
      <c r="L19" s="114" t="s">
        <v>93</v>
      </c>
      <c r="M19" s="37">
        <f t="shared" si="2"/>
        <v>30</v>
      </c>
      <c r="N19" s="113">
        <f>'Giờ công'!K19</f>
        <v>320.77999999999997</v>
      </c>
      <c r="O19" s="113">
        <f t="shared" si="3"/>
        <v>10.692666666666666</v>
      </c>
      <c r="P19" s="120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75" customHeight="1">
      <c r="A20" s="10" t="s">
        <v>17</v>
      </c>
      <c r="B20" s="36" t="s">
        <v>86</v>
      </c>
      <c r="C20" s="118">
        <v>46254</v>
      </c>
      <c r="D20" s="109" t="s">
        <v>188</v>
      </c>
      <c r="E20" s="75" t="s">
        <v>199</v>
      </c>
      <c r="F20" s="121">
        <v>8</v>
      </c>
      <c r="G20" s="122">
        <f t="shared" si="0"/>
        <v>0</v>
      </c>
      <c r="H20" s="123">
        <f>IF(AND(ISNUMBER(F20), F20&gt;4, COUNTIFS($A$2:A20, A20, $B$2:B20, B20, $C$2:C20, C20, $F$2:F20, "&gt;4")=1), 1, 0)</f>
        <v>1</v>
      </c>
      <c r="I20" s="10">
        <f t="shared" si="1"/>
        <v>1</v>
      </c>
      <c r="J20" s="10"/>
      <c r="K20" s="10" t="s">
        <v>18</v>
      </c>
      <c r="L20" s="7" t="s">
        <v>94</v>
      </c>
      <c r="M20" s="37">
        <f t="shared" si="2"/>
        <v>28</v>
      </c>
      <c r="N20" s="113">
        <f>'Giờ công'!K20</f>
        <v>231.15</v>
      </c>
      <c r="O20" s="113">
        <f t="shared" si="3"/>
        <v>8.2553571428571431</v>
      </c>
      <c r="P20" s="120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75" customHeight="1">
      <c r="A21" s="10" t="s">
        <v>17</v>
      </c>
      <c r="B21" s="36" t="s">
        <v>86</v>
      </c>
      <c r="C21" s="118">
        <v>46255</v>
      </c>
      <c r="D21" s="109" t="s">
        <v>188</v>
      </c>
      <c r="E21" s="75" t="s">
        <v>409</v>
      </c>
      <c r="F21" s="121">
        <v>7.93</v>
      </c>
      <c r="G21" s="122">
        <f t="shared" si="0"/>
        <v>0</v>
      </c>
      <c r="H21" s="123">
        <f>IF(AND(ISNUMBER(F21), F21&gt;4, COUNTIFS($A$2:A21, A21, $B$2:B21, B21, $C$2:C21, C21, $F$2:F21, "&gt;4")=1), 1, 0)</f>
        <v>1</v>
      </c>
      <c r="I21" s="10">
        <f t="shared" si="1"/>
        <v>1</v>
      </c>
      <c r="J21" s="10"/>
      <c r="K21" s="10" t="s">
        <v>19</v>
      </c>
      <c r="L21" s="7" t="s">
        <v>85</v>
      </c>
      <c r="M21" s="37">
        <f t="shared" si="2"/>
        <v>24</v>
      </c>
      <c r="N21" s="113">
        <f>'Giờ công'!K21</f>
        <v>194.48999999999998</v>
      </c>
      <c r="O21" s="113">
        <f t="shared" si="3"/>
        <v>8.1037499999999998</v>
      </c>
      <c r="P21" s="120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75" customHeight="1">
      <c r="A22" s="10" t="s">
        <v>17</v>
      </c>
      <c r="B22" s="36" t="s">
        <v>86</v>
      </c>
      <c r="C22" s="118">
        <v>46256</v>
      </c>
      <c r="D22" s="109" t="s">
        <v>188</v>
      </c>
      <c r="E22" s="75" t="s">
        <v>409</v>
      </c>
      <c r="F22" s="121">
        <v>7.93</v>
      </c>
      <c r="G22" s="122">
        <f t="shared" si="0"/>
        <v>0</v>
      </c>
      <c r="H22" s="123">
        <f>IF(AND(ISNUMBER(F22), F22&gt;4, COUNTIFS($A$2:A22, A22, $B$2:B22, B22, $C$2:C22, C22, $F$2:F22, "&gt;4")=1), 1, 0)</f>
        <v>1</v>
      </c>
      <c r="I22" s="10">
        <f t="shared" si="1"/>
        <v>1</v>
      </c>
      <c r="J22" s="10"/>
      <c r="K22" s="10" t="s">
        <v>19</v>
      </c>
      <c r="L22" s="7" t="s">
        <v>96</v>
      </c>
      <c r="M22" s="37">
        <f t="shared" si="2"/>
        <v>29</v>
      </c>
      <c r="N22" s="113">
        <f>'Giờ công'!K22</f>
        <v>245.18000000000012</v>
      </c>
      <c r="O22" s="113">
        <f t="shared" si="3"/>
        <v>8.4544827586206939</v>
      </c>
      <c r="P22" s="120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75" customHeight="1">
      <c r="A23" s="10" t="s">
        <v>17</v>
      </c>
      <c r="B23" s="36" t="s">
        <v>86</v>
      </c>
      <c r="C23" s="118">
        <v>46257</v>
      </c>
      <c r="D23" s="109" t="s">
        <v>188</v>
      </c>
      <c r="E23" s="75" t="s">
        <v>409</v>
      </c>
      <c r="F23" s="121">
        <v>7.93</v>
      </c>
      <c r="G23" s="122">
        <f t="shared" si="0"/>
        <v>0</v>
      </c>
      <c r="H23" s="123">
        <f>IF(AND(ISNUMBER(F23), F23&gt;4, COUNTIFS($A$2:A23, A23, $B$2:B23, B23, $C$2:C23, C23, $F$2:F23, "&gt;4")=1), 1, 0)</f>
        <v>1</v>
      </c>
      <c r="I23" s="10">
        <f t="shared" si="1"/>
        <v>1</v>
      </c>
      <c r="J23" s="10"/>
      <c r="K23" s="10" t="s">
        <v>19</v>
      </c>
      <c r="L23" s="7" t="s">
        <v>97</v>
      </c>
      <c r="M23" s="37">
        <f t="shared" si="2"/>
        <v>5</v>
      </c>
      <c r="N23" s="113">
        <f>'Giờ công'!K23</f>
        <v>60.179999999999993</v>
      </c>
      <c r="O23" s="113">
        <f t="shared" si="3"/>
        <v>12.035999999999998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>
      <c r="A24" s="10" t="s">
        <v>17</v>
      </c>
      <c r="B24" s="36" t="s">
        <v>86</v>
      </c>
      <c r="C24" s="118">
        <v>46258</v>
      </c>
      <c r="D24" s="109" t="s">
        <v>188</v>
      </c>
      <c r="E24" s="75" t="s">
        <v>199</v>
      </c>
      <c r="F24" s="121">
        <v>8</v>
      </c>
      <c r="G24" s="122">
        <f t="shared" si="0"/>
        <v>0</v>
      </c>
      <c r="H24" s="123">
        <f>IF(AND(ISNUMBER(F24), F24&gt;4, COUNTIFS($A$2:A24, A24, $B$2:B24, B24, $C$2:C24, C24, $F$2:F24, "&gt;4")=1), 1, 0)</f>
        <v>1</v>
      </c>
      <c r="I24" s="10">
        <f t="shared" si="1"/>
        <v>1</v>
      </c>
      <c r="J24" s="10"/>
      <c r="K24" s="10" t="s">
        <v>19</v>
      </c>
      <c r="L24" s="7" t="s">
        <v>98</v>
      </c>
      <c r="M24" s="37">
        <f t="shared" si="2"/>
        <v>30</v>
      </c>
      <c r="N24" s="113">
        <f>'Giờ công'!K24</f>
        <v>290.98</v>
      </c>
      <c r="O24" s="113">
        <f t="shared" si="3"/>
        <v>9.6993333333333336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>
      <c r="A25" s="10" t="s">
        <v>17</v>
      </c>
      <c r="B25" s="36" t="s">
        <v>86</v>
      </c>
      <c r="C25" s="118">
        <v>46259</v>
      </c>
      <c r="D25" s="109" t="s">
        <v>188</v>
      </c>
      <c r="E25" s="75" t="s">
        <v>474</v>
      </c>
      <c r="F25" s="121">
        <v>7.9</v>
      </c>
      <c r="G25" s="122">
        <f t="shared" si="0"/>
        <v>0</v>
      </c>
      <c r="H25" s="123">
        <f>IF(AND(ISNUMBER(F25), F25&gt;4, COUNTIFS($A$2:A25, A25, $B$2:B25, B25, $C$2:C25, C25, $F$2:F25, "&gt;4")=1), 1, 0)</f>
        <v>1</v>
      </c>
      <c r="I25" s="10">
        <f t="shared" si="1"/>
        <v>1</v>
      </c>
      <c r="J25" s="10"/>
      <c r="K25" s="10" t="s">
        <v>19</v>
      </c>
      <c r="L25" s="114" t="s">
        <v>88</v>
      </c>
      <c r="M25" s="37">
        <f t="shared" si="2"/>
        <v>0</v>
      </c>
      <c r="N25" s="113">
        <f>'Giờ công'!K25</f>
        <v>0</v>
      </c>
      <c r="O25" s="113" t="str">
        <f t="shared" si="3"/>
        <v/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>
      <c r="A26" s="10" t="s">
        <v>17</v>
      </c>
      <c r="B26" s="36" t="s">
        <v>86</v>
      </c>
      <c r="C26" s="118">
        <v>46260</v>
      </c>
      <c r="D26" s="109" t="s">
        <v>188</v>
      </c>
      <c r="E26" s="75" t="s">
        <v>479</v>
      </c>
      <c r="F26" s="121">
        <v>8.02</v>
      </c>
      <c r="G26" s="122">
        <f t="shared" si="0"/>
        <v>0</v>
      </c>
      <c r="H26" s="123">
        <f>IF(AND(ISNUMBER(F26), F26&gt;4, COUNTIFS($A$2:A26, A26, $B$2:B26, B26, $C$2:C26, C26, $F$2:F26, "&gt;4")=1), 1, 0)</f>
        <v>1</v>
      </c>
      <c r="I26" s="10">
        <f t="shared" si="1"/>
        <v>1</v>
      </c>
      <c r="J26" s="10"/>
      <c r="K26" s="10" t="s">
        <v>19</v>
      </c>
      <c r="L26" s="114" t="s">
        <v>100</v>
      </c>
      <c r="M26" s="37">
        <f t="shared" si="2"/>
        <v>30</v>
      </c>
      <c r="N26" s="113">
        <f>'Giờ công'!K26</f>
        <v>286.84999999999997</v>
      </c>
      <c r="O26" s="113">
        <f t="shared" si="3"/>
        <v>9.5616666666666656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>
      <c r="A27" s="10" t="s">
        <v>17</v>
      </c>
      <c r="B27" s="36" t="s">
        <v>86</v>
      </c>
      <c r="C27" s="118">
        <v>46261</v>
      </c>
      <c r="D27" s="109" t="s">
        <v>188</v>
      </c>
      <c r="E27" s="75" t="s">
        <v>409</v>
      </c>
      <c r="F27" s="121">
        <v>7.93</v>
      </c>
      <c r="G27" s="122">
        <f t="shared" si="0"/>
        <v>0</v>
      </c>
      <c r="H27" s="123">
        <f>IF(AND(ISNUMBER(F27), F27&gt;4, COUNTIFS($A$2:A27, A27, $B$2:B27, B27, $C$2:C27, C27, $F$2:F27, "&gt;4")=1), 1, 0)</f>
        <v>1</v>
      </c>
      <c r="I27" s="10">
        <f t="shared" si="1"/>
        <v>1</v>
      </c>
      <c r="J27" s="10"/>
      <c r="K27" s="10" t="s">
        <v>19</v>
      </c>
      <c r="L27" s="7" t="s">
        <v>92</v>
      </c>
      <c r="M27" s="37">
        <f t="shared" si="2"/>
        <v>16</v>
      </c>
      <c r="N27" s="113">
        <f>'Giờ công'!K27</f>
        <v>115.32000000000001</v>
      </c>
      <c r="O27" s="113">
        <f t="shared" si="3"/>
        <v>7.2075000000000005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>
      <c r="A28" s="10" t="s">
        <v>17</v>
      </c>
      <c r="B28" s="36" t="s">
        <v>86</v>
      </c>
      <c r="C28" s="118">
        <v>46262</v>
      </c>
      <c r="D28" s="109" t="s">
        <v>188</v>
      </c>
      <c r="E28" s="75" t="s">
        <v>475</v>
      </c>
      <c r="F28" s="121">
        <v>7.87</v>
      </c>
      <c r="G28" s="122">
        <f t="shared" si="0"/>
        <v>0</v>
      </c>
      <c r="H28" s="123">
        <f>IF(AND(ISNUMBER(F28), F28&gt;4, COUNTIFS($A$2:A28, A28, $B$2:B28, B28, $C$2:C28, C28, $F$2:F28, "&gt;4")=1), 1, 0)</f>
        <v>1</v>
      </c>
      <c r="I28" s="10">
        <f t="shared" si="1"/>
        <v>1</v>
      </c>
      <c r="J28" s="10"/>
      <c r="K28" s="10" t="s">
        <v>19</v>
      </c>
      <c r="L28" s="114" t="s">
        <v>101</v>
      </c>
      <c r="M28" s="37">
        <f t="shared" si="2"/>
        <v>1</v>
      </c>
      <c r="N28" s="113">
        <f>'Giờ công'!K28</f>
        <v>8.25</v>
      </c>
      <c r="O28" s="113">
        <f t="shared" si="3"/>
        <v>8.25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>
      <c r="A29" s="10" t="s">
        <v>17</v>
      </c>
      <c r="B29" s="36" t="s">
        <v>86</v>
      </c>
      <c r="C29" s="118">
        <v>46263</v>
      </c>
      <c r="D29" s="109" t="s">
        <v>188</v>
      </c>
      <c r="E29" s="75" t="s">
        <v>409</v>
      </c>
      <c r="F29" s="121">
        <v>7.93</v>
      </c>
      <c r="G29" s="122">
        <f t="shared" si="0"/>
        <v>0</v>
      </c>
      <c r="H29" s="123">
        <f>IF(AND(ISNUMBER(F29), F29&gt;4, COUNTIFS($A$2:A29, A29, $B$2:B29, B29, $C$2:C29, C29, $F$2:F29, "&gt;4")=1), 1, 0)</f>
        <v>1</v>
      </c>
      <c r="I29" s="10">
        <f t="shared" si="1"/>
        <v>1</v>
      </c>
      <c r="J29" s="10"/>
      <c r="K29" s="10" t="s">
        <v>20</v>
      </c>
      <c r="L29" s="7" t="s">
        <v>103</v>
      </c>
      <c r="M29" s="37">
        <f t="shared" si="2"/>
        <v>28</v>
      </c>
      <c r="N29" s="113">
        <f>'Giờ công'!K29</f>
        <v>242.4</v>
      </c>
      <c r="O29" s="113">
        <f t="shared" si="3"/>
        <v>8.6571428571428566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>
      <c r="A30" s="10" t="s">
        <v>17</v>
      </c>
      <c r="B30" s="36" t="s">
        <v>86</v>
      </c>
      <c r="C30" s="118">
        <v>46264</v>
      </c>
      <c r="D30" s="109" t="s">
        <v>188</v>
      </c>
      <c r="E30" s="75" t="s">
        <v>483</v>
      </c>
      <c r="F30" s="121">
        <v>7.92</v>
      </c>
      <c r="G30" s="122">
        <f t="shared" si="0"/>
        <v>0</v>
      </c>
      <c r="H30" s="123">
        <f>IF(AND(ISNUMBER(F30), F30&gt;4, COUNTIFS($A$2:A30, A30, $B$2:B30, B30, $C$2:C30, C30, $F$2:F30, "&gt;4")=1), 1, 0)</f>
        <v>1</v>
      </c>
      <c r="I30" s="10">
        <f t="shared" si="1"/>
        <v>1</v>
      </c>
      <c r="J30" s="10"/>
      <c r="K30" s="10" t="s">
        <v>20</v>
      </c>
      <c r="L30" s="7" t="s">
        <v>104</v>
      </c>
      <c r="M30" s="37">
        <f t="shared" si="2"/>
        <v>28</v>
      </c>
      <c r="N30" s="113">
        <f>'Giờ công'!K30</f>
        <v>219.36</v>
      </c>
      <c r="O30" s="113">
        <f t="shared" si="3"/>
        <v>7.8342857142857145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>
      <c r="A31" s="10" t="s">
        <v>17</v>
      </c>
      <c r="B31" s="36" t="s">
        <v>86</v>
      </c>
      <c r="C31" s="118">
        <v>46265</v>
      </c>
      <c r="D31" s="109" t="s">
        <v>188</v>
      </c>
      <c r="E31" s="75" t="s">
        <v>348</v>
      </c>
      <c r="F31" s="121">
        <v>7.95</v>
      </c>
      <c r="G31" s="122">
        <f t="shared" si="0"/>
        <v>0</v>
      </c>
      <c r="H31" s="123">
        <f>IF(AND(ISNUMBER(F31), F31&gt;4, COUNTIFS($A$2:A31, A31, $B$2:B31, B31, $C$2:C31, C31, $F$2:F31, "&gt;4")=1), 1, 0)</f>
        <v>1</v>
      </c>
      <c r="I31" s="10">
        <f t="shared" si="1"/>
        <v>1</v>
      </c>
      <c r="J31" s="10"/>
      <c r="K31" s="10" t="s">
        <v>20</v>
      </c>
      <c r="L31" s="7" t="s">
        <v>105</v>
      </c>
      <c r="M31" s="37">
        <f t="shared" si="2"/>
        <v>30</v>
      </c>
      <c r="N31" s="113">
        <f>'Giờ công'!K31</f>
        <v>243.33</v>
      </c>
      <c r="O31" s="113">
        <f t="shared" si="3"/>
        <v>8.1110000000000007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>
      <c r="A32" s="10" t="s">
        <v>17</v>
      </c>
      <c r="B32" s="36" t="s">
        <v>87</v>
      </c>
      <c r="C32" s="118">
        <v>46235</v>
      </c>
      <c r="D32" s="109" t="s">
        <v>188</v>
      </c>
      <c r="E32" s="75" t="s">
        <v>482</v>
      </c>
      <c r="F32" s="121">
        <v>7.85</v>
      </c>
      <c r="G32" s="122">
        <f t="shared" si="0"/>
        <v>0</v>
      </c>
      <c r="H32" s="123">
        <f>IF(AND(ISNUMBER(F32), F32&gt;4, COUNTIFS($A$2:A32, A32, $B$2:B32, B32, $C$2:C32, C32, $F$2:F32, "&gt;4")=1), 1, 0)</f>
        <v>1</v>
      </c>
      <c r="I32" s="10">
        <f t="shared" si="1"/>
        <v>1</v>
      </c>
      <c r="J32" s="10"/>
      <c r="K32" s="10" t="s">
        <v>20</v>
      </c>
      <c r="L32" s="7" t="s">
        <v>106</v>
      </c>
      <c r="M32" s="37">
        <f t="shared" si="2"/>
        <v>30</v>
      </c>
      <c r="N32" s="113">
        <f>'Giờ công'!K32</f>
        <v>248.12</v>
      </c>
      <c r="O32" s="113">
        <f t="shared" si="3"/>
        <v>8.2706666666666671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>
      <c r="A33" s="10" t="s">
        <v>17</v>
      </c>
      <c r="B33" s="36" t="s">
        <v>87</v>
      </c>
      <c r="C33" s="118">
        <v>46236</v>
      </c>
      <c r="D33" s="109" t="s">
        <v>188</v>
      </c>
      <c r="E33" s="75" t="s">
        <v>484</v>
      </c>
      <c r="F33" s="121">
        <v>7.82</v>
      </c>
      <c r="G33" s="122">
        <f t="shared" si="0"/>
        <v>0</v>
      </c>
      <c r="H33" s="123">
        <f>IF(AND(ISNUMBER(F33), F33&gt;4, COUNTIFS($A$2:A33, A33, $B$2:B33, B33, $C$2:C33, C33, $F$2:F33, "&gt;4")=1), 1, 0)</f>
        <v>1</v>
      </c>
      <c r="I33" s="10">
        <f t="shared" si="1"/>
        <v>1</v>
      </c>
      <c r="J33" s="10"/>
      <c r="K33" s="10" t="s">
        <v>20</v>
      </c>
      <c r="L33" s="114" t="s">
        <v>107</v>
      </c>
      <c r="M33" s="37">
        <f t="shared" si="2"/>
        <v>1</v>
      </c>
      <c r="N33" s="113">
        <f>'Giờ công'!K33</f>
        <v>8</v>
      </c>
      <c r="O33" s="113">
        <f t="shared" si="3"/>
        <v>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>
      <c r="A34" s="10" t="s">
        <v>17</v>
      </c>
      <c r="B34" s="36" t="s">
        <v>87</v>
      </c>
      <c r="C34" s="118">
        <v>46237</v>
      </c>
      <c r="D34" s="109" t="s">
        <v>188</v>
      </c>
      <c r="E34" s="75" t="s">
        <v>482</v>
      </c>
      <c r="F34" s="121">
        <v>7.85</v>
      </c>
      <c r="G34" s="122">
        <f t="shared" si="0"/>
        <v>0</v>
      </c>
      <c r="H34" s="123">
        <f>IF(AND(ISNUMBER(F34), F34&gt;4, COUNTIFS($A$2:A34, A34, $B$2:B34, B34, $C$2:C34, C34, $F$2:F34, "&gt;4")=1), 1, 0)</f>
        <v>1</v>
      </c>
      <c r="I34" s="10">
        <f t="shared" si="1"/>
        <v>1</v>
      </c>
      <c r="J34" s="10"/>
      <c r="K34" s="10" t="s">
        <v>20</v>
      </c>
      <c r="L34" s="7" t="s">
        <v>108</v>
      </c>
      <c r="M34" s="37">
        <f t="shared" ref="M34:M65" si="4">SUMIFS(H:H, A:A, K34, B:B, L34)</f>
        <v>31</v>
      </c>
      <c r="N34" s="113">
        <f>'Giờ công'!K34</f>
        <v>257.94</v>
      </c>
      <c r="O34" s="113">
        <f t="shared" ref="O34:O65" si="5">IF(M34&gt;0, N34/M34, "")</f>
        <v>8.3206451612903223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>
      <c r="A35" s="10" t="s">
        <v>17</v>
      </c>
      <c r="B35" s="36" t="s">
        <v>87</v>
      </c>
      <c r="C35" s="132">
        <v>46238</v>
      </c>
      <c r="D35" s="109" t="s">
        <v>188</v>
      </c>
      <c r="E35" s="75" t="s">
        <v>485</v>
      </c>
      <c r="F35" s="121">
        <v>7.67</v>
      </c>
      <c r="G35" s="122">
        <f t="shared" si="0"/>
        <v>0</v>
      </c>
      <c r="H35" s="123">
        <f>IF(AND(ISNUMBER(F35), F35&gt;4, COUNTIFS($A$2:A35, A35, $B$2:B35, B35, $C$2:C35, C35, $F$2:F35, "&gt;4")=1), 1, 0)</f>
        <v>1</v>
      </c>
      <c r="I35" s="10">
        <f t="shared" si="1"/>
        <v>1</v>
      </c>
      <c r="J35" s="10"/>
      <c r="K35" s="10" t="s">
        <v>21</v>
      </c>
      <c r="L35" s="7" t="s">
        <v>109</v>
      </c>
      <c r="M35" s="37">
        <f t="shared" si="4"/>
        <v>1</v>
      </c>
      <c r="N35" s="113">
        <f>'Giờ công'!K35</f>
        <v>15.68</v>
      </c>
      <c r="O35" s="113">
        <f t="shared" si="5"/>
        <v>15.68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>
      <c r="A36" s="10" t="s">
        <v>17</v>
      </c>
      <c r="B36" s="36" t="s">
        <v>87</v>
      </c>
      <c r="C36" s="118">
        <v>46239</v>
      </c>
      <c r="D36" s="109" t="s">
        <v>188</v>
      </c>
      <c r="E36" s="75" t="s">
        <v>409</v>
      </c>
      <c r="F36" s="121">
        <v>7.93</v>
      </c>
      <c r="G36" s="122">
        <f t="shared" si="0"/>
        <v>0</v>
      </c>
      <c r="H36" s="123">
        <f>IF(AND(ISNUMBER(F36), F36&gt;4, COUNTIFS($A$2:A36, A36, $B$2:B36, B36, $C$2:C36, C36, $F$2:F36, "&gt;4")=1), 1, 0)</f>
        <v>1</v>
      </c>
      <c r="I36" s="10">
        <f t="shared" si="1"/>
        <v>1</v>
      </c>
      <c r="J36" s="10"/>
      <c r="K36" s="10" t="s">
        <v>21</v>
      </c>
      <c r="L36" s="7" t="s">
        <v>110</v>
      </c>
      <c r="M36" s="37">
        <f t="shared" si="4"/>
        <v>31</v>
      </c>
      <c r="N36" s="113">
        <f>'Giờ công'!K36</f>
        <v>381.88000000000011</v>
      </c>
      <c r="O36" s="113">
        <f t="shared" si="5"/>
        <v>12.318709677419358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>
      <c r="A37" s="10" t="s">
        <v>17</v>
      </c>
      <c r="B37" s="36" t="s">
        <v>87</v>
      </c>
      <c r="C37" s="118">
        <v>46240</v>
      </c>
      <c r="D37" s="109" t="s">
        <v>188</v>
      </c>
      <c r="E37" s="75" t="s">
        <v>329</v>
      </c>
      <c r="F37" s="121">
        <v>8.0299999999999994</v>
      </c>
      <c r="G37" s="122">
        <f t="shared" si="0"/>
        <v>0</v>
      </c>
      <c r="H37" s="123">
        <f>IF(AND(ISNUMBER(F37), F37&gt;4, COUNTIFS($A$2:A37, A37, $B$2:B37, B37, $C$2:C37, C37, $F$2:F37, "&gt;4")=1), 1, 0)</f>
        <v>1</v>
      </c>
      <c r="I37" s="10">
        <f t="shared" si="1"/>
        <v>1</v>
      </c>
      <c r="J37" s="10"/>
      <c r="K37" s="10" t="s">
        <v>21</v>
      </c>
      <c r="L37" s="7" t="s">
        <v>111</v>
      </c>
      <c r="M37" s="37">
        <f t="shared" si="4"/>
        <v>28</v>
      </c>
      <c r="N37" s="113">
        <f>'Giờ công'!K37</f>
        <v>269.22999999999996</v>
      </c>
      <c r="O37" s="113">
        <f t="shared" si="5"/>
        <v>9.6153571428571407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>
      <c r="A38" s="10" t="s">
        <v>17</v>
      </c>
      <c r="B38" s="36" t="s">
        <v>87</v>
      </c>
      <c r="C38" s="135">
        <v>46241</v>
      </c>
      <c r="D38" s="44" t="s">
        <v>188</v>
      </c>
      <c r="E38" s="35" t="s">
        <v>481</v>
      </c>
      <c r="F38" s="121">
        <v>7.98</v>
      </c>
      <c r="G38" s="122">
        <f t="shared" si="0"/>
        <v>0</v>
      </c>
      <c r="H38" s="123">
        <f>IF(AND(ISNUMBER(F38), F38&gt;4, COUNTIFS($A$2:A38, A38, $B$2:B38, B38, $C$2:C38, C38, $F$2:F38, "&gt;4")=1), 1, 0)</f>
        <v>1</v>
      </c>
      <c r="I38" s="10">
        <f t="shared" si="1"/>
        <v>1</v>
      </c>
      <c r="J38" s="10"/>
      <c r="K38" s="10" t="s">
        <v>21</v>
      </c>
      <c r="L38" s="7" t="s">
        <v>112</v>
      </c>
      <c r="M38" s="37">
        <f t="shared" si="4"/>
        <v>28</v>
      </c>
      <c r="N38" s="113">
        <f>'Giờ công'!K38</f>
        <v>271.28999999999996</v>
      </c>
      <c r="O38" s="113">
        <f t="shared" si="5"/>
        <v>9.6889285714285709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>
      <c r="A39" s="10" t="s">
        <v>17</v>
      </c>
      <c r="B39" s="36" t="s">
        <v>87</v>
      </c>
      <c r="C39" s="135">
        <v>46242</v>
      </c>
      <c r="D39" s="44" t="s">
        <v>188</v>
      </c>
      <c r="E39" s="35" t="s">
        <v>199</v>
      </c>
      <c r="F39" s="121">
        <v>8</v>
      </c>
      <c r="G39" s="122">
        <f t="shared" si="0"/>
        <v>0</v>
      </c>
      <c r="H39" s="123">
        <f>IF(AND(ISNUMBER(F39), F39&gt;4, COUNTIFS($A$2:A39, A39, $B$2:B39, B39, $C$2:C39, C39, $F$2:F39, "&gt;4")=1), 1, 0)</f>
        <v>1</v>
      </c>
      <c r="I39" s="10">
        <f t="shared" si="1"/>
        <v>1</v>
      </c>
      <c r="J39" s="10"/>
      <c r="K39" s="10" t="s">
        <v>21</v>
      </c>
      <c r="L39" s="7" t="s">
        <v>88</v>
      </c>
      <c r="M39" s="37">
        <f t="shared" si="4"/>
        <v>7</v>
      </c>
      <c r="N39" s="113">
        <f>'Giờ công'!K39</f>
        <v>42.37</v>
      </c>
      <c r="O39" s="113">
        <f t="shared" si="5"/>
        <v>6.0528571428571425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>
      <c r="A40" s="10" t="s">
        <v>17</v>
      </c>
      <c r="B40" s="36" t="s">
        <v>87</v>
      </c>
      <c r="C40" s="135">
        <v>46243</v>
      </c>
      <c r="D40" s="44" t="s">
        <v>188</v>
      </c>
      <c r="E40" s="35" t="s">
        <v>477</v>
      </c>
      <c r="F40" s="121">
        <v>7.88</v>
      </c>
      <c r="G40" s="122">
        <f t="shared" si="0"/>
        <v>0</v>
      </c>
      <c r="H40" s="123">
        <f>IF(AND(ISNUMBER(F40), F40&gt;4, COUNTIFS($A$2:A40, A40, $B$2:B40, B40, $C$2:C40, C40, $F$2:F40, "&gt;4")=1), 1, 0)</f>
        <v>1</v>
      </c>
      <c r="I40" s="10">
        <f t="shared" si="1"/>
        <v>1</v>
      </c>
      <c r="J40" s="10"/>
      <c r="K40" s="10" t="s">
        <v>21</v>
      </c>
      <c r="L40" s="114" t="s">
        <v>113</v>
      </c>
      <c r="M40" s="37">
        <f t="shared" si="4"/>
        <v>15</v>
      </c>
      <c r="N40" s="113">
        <f>'Giờ công'!K40</f>
        <v>115.93</v>
      </c>
      <c r="O40" s="113">
        <f t="shared" si="5"/>
        <v>7.7286666666666672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>
      <c r="A41" s="10" t="s">
        <v>17</v>
      </c>
      <c r="B41" s="36" t="s">
        <v>87</v>
      </c>
      <c r="C41" s="135">
        <v>46244</v>
      </c>
      <c r="D41" s="44" t="s">
        <v>188</v>
      </c>
      <c r="E41" s="35" t="s">
        <v>482</v>
      </c>
      <c r="F41" s="121">
        <v>7.85</v>
      </c>
      <c r="G41" s="122">
        <f t="shared" si="0"/>
        <v>0</v>
      </c>
      <c r="H41" s="123">
        <f>IF(AND(ISNUMBER(F41), F41&gt;4, COUNTIFS($A$2:A41, A41, $B$2:B41, B41, $C$2:C41, C41, $F$2:F41, "&gt;4")=1), 1, 0)</f>
        <v>1</v>
      </c>
      <c r="I41" s="10">
        <f t="shared" si="1"/>
        <v>1</v>
      </c>
      <c r="J41" s="10"/>
      <c r="K41" s="10" t="s">
        <v>21</v>
      </c>
      <c r="L41" s="7" t="s">
        <v>92</v>
      </c>
      <c r="M41" s="37">
        <f t="shared" si="4"/>
        <v>2</v>
      </c>
      <c r="N41" s="113">
        <f>'Giờ công'!K41</f>
        <v>11.42</v>
      </c>
      <c r="O41" s="113">
        <f t="shared" si="5"/>
        <v>5.71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>
      <c r="A42" s="10" t="s">
        <v>17</v>
      </c>
      <c r="B42" s="36" t="s">
        <v>87</v>
      </c>
      <c r="C42" s="135">
        <v>46245</v>
      </c>
      <c r="D42" s="44" t="s">
        <v>188</v>
      </c>
      <c r="E42" s="35" t="s">
        <v>474</v>
      </c>
      <c r="F42" s="121">
        <v>7.9</v>
      </c>
      <c r="G42" s="122">
        <f t="shared" si="0"/>
        <v>0</v>
      </c>
      <c r="H42" s="123">
        <f>IF(AND(ISNUMBER(F42), F42&gt;4, COUNTIFS($A$2:A42, A42, $B$2:B42, B42, $C$2:C42, C42, $F$2:F42, "&gt;4")=1), 1, 0)</f>
        <v>1</v>
      </c>
      <c r="I42" s="10">
        <f t="shared" si="1"/>
        <v>1</v>
      </c>
      <c r="J42" s="10"/>
      <c r="K42" s="10" t="s">
        <v>21</v>
      </c>
      <c r="L42" s="7" t="s">
        <v>114</v>
      </c>
      <c r="M42" s="37">
        <f t="shared" si="4"/>
        <v>7</v>
      </c>
      <c r="N42" s="113">
        <f>'Giờ công'!K42</f>
        <v>56.78</v>
      </c>
      <c r="O42" s="113">
        <f t="shared" si="5"/>
        <v>8.1114285714285721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>
      <c r="A43" s="10" t="s">
        <v>17</v>
      </c>
      <c r="B43" s="36" t="s">
        <v>87</v>
      </c>
      <c r="C43" s="135">
        <v>46246</v>
      </c>
      <c r="D43" s="44" t="s">
        <v>188</v>
      </c>
      <c r="E43" s="35" t="s">
        <v>477</v>
      </c>
      <c r="F43" s="121">
        <v>7.88</v>
      </c>
      <c r="G43" s="122">
        <f t="shared" si="0"/>
        <v>0</v>
      </c>
      <c r="H43" s="123">
        <f>IF(AND(ISNUMBER(F43), F43&gt;4, COUNTIFS($A$2:A43, A43, $B$2:B43, B43, $C$2:C43, C43, $F$2:F43, "&gt;4")=1), 1, 0)</f>
        <v>1</v>
      </c>
      <c r="I43" s="10">
        <f t="shared" si="1"/>
        <v>1</v>
      </c>
      <c r="J43" s="10"/>
      <c r="K43" s="10" t="s">
        <v>21</v>
      </c>
      <c r="L43" s="114" t="s">
        <v>115</v>
      </c>
      <c r="M43" s="37">
        <f t="shared" si="4"/>
        <v>15</v>
      </c>
      <c r="N43" s="113">
        <f>'Giờ công'!K43</f>
        <v>121.39</v>
      </c>
      <c r="O43" s="113">
        <f t="shared" si="5"/>
        <v>8.0926666666666662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>
      <c r="A44" s="10" t="s">
        <v>17</v>
      </c>
      <c r="B44" s="36" t="s">
        <v>87</v>
      </c>
      <c r="C44" s="135">
        <v>46247</v>
      </c>
      <c r="D44" s="44" t="s">
        <v>188</v>
      </c>
      <c r="E44" s="35" t="s">
        <v>486</v>
      </c>
      <c r="F44" s="121">
        <v>7.68</v>
      </c>
      <c r="G44" s="122">
        <f t="shared" si="0"/>
        <v>0</v>
      </c>
      <c r="H44" s="123">
        <f>IF(AND(ISNUMBER(F44), F44&gt;4, COUNTIFS($A$2:A44, A44, $B$2:B44, B44, $C$2:C44, C44, $F$2:F44, "&gt;4")=1), 1, 0)</f>
        <v>1</v>
      </c>
      <c r="I44" s="10">
        <f t="shared" si="1"/>
        <v>1</v>
      </c>
      <c r="J44" s="10"/>
      <c r="K44" s="10" t="s">
        <v>22</v>
      </c>
      <c r="L44" s="7" t="s">
        <v>116</v>
      </c>
      <c r="M44" s="37">
        <f t="shared" si="4"/>
        <v>24</v>
      </c>
      <c r="N44" s="113">
        <f>'Giờ công'!K44</f>
        <v>187.86</v>
      </c>
      <c r="O44" s="113">
        <f t="shared" si="5"/>
        <v>7.8275000000000006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>
      <c r="A45" s="10" t="s">
        <v>17</v>
      </c>
      <c r="B45" s="36" t="s">
        <v>87</v>
      </c>
      <c r="C45" s="135">
        <v>46248</v>
      </c>
      <c r="D45" s="44" t="s">
        <v>188</v>
      </c>
      <c r="E45" s="35" t="s">
        <v>477</v>
      </c>
      <c r="F45" s="121">
        <v>7.88</v>
      </c>
      <c r="G45" s="122">
        <f t="shared" si="0"/>
        <v>0</v>
      </c>
      <c r="H45" s="123">
        <f>IF(AND(ISNUMBER(F45), F45&gt;4, COUNTIFS($A$2:A45, A45, $B$2:B45, B45, $C$2:C45, C45, $F$2:F45, "&gt;4")=1), 1, 0)</f>
        <v>1</v>
      </c>
      <c r="I45" s="10">
        <f t="shared" si="1"/>
        <v>1</v>
      </c>
      <c r="J45" s="10"/>
      <c r="K45" s="10" t="s">
        <v>22</v>
      </c>
      <c r="L45" s="7" t="s">
        <v>117</v>
      </c>
      <c r="M45" s="37">
        <f t="shared" si="4"/>
        <v>27</v>
      </c>
      <c r="N45" s="113">
        <f>'Giờ công'!K45</f>
        <v>214.92000000000002</v>
      </c>
      <c r="O45" s="113">
        <f t="shared" si="5"/>
        <v>7.9600000000000009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>
      <c r="A46" s="10" t="s">
        <v>17</v>
      </c>
      <c r="B46" s="36" t="s">
        <v>87</v>
      </c>
      <c r="C46" s="135">
        <v>46249</v>
      </c>
      <c r="D46" s="44" t="s">
        <v>188</v>
      </c>
      <c r="E46" s="35" t="s">
        <v>484</v>
      </c>
      <c r="F46" s="121">
        <v>7.82</v>
      </c>
      <c r="G46" s="122">
        <f t="shared" si="0"/>
        <v>0</v>
      </c>
      <c r="H46" s="123">
        <f>IF(AND(ISNUMBER(F46), F46&gt;4, COUNTIFS($A$2:A46, A46, $B$2:B46, B46, $C$2:C46, C46, $F$2:F46, "&gt;4")=1), 1, 0)</f>
        <v>1</v>
      </c>
      <c r="I46" s="10">
        <f t="shared" si="1"/>
        <v>1</v>
      </c>
      <c r="J46" s="10"/>
      <c r="K46" s="10" t="s">
        <v>22</v>
      </c>
      <c r="L46" s="7" t="s">
        <v>118</v>
      </c>
      <c r="M46" s="37">
        <f t="shared" si="4"/>
        <v>27</v>
      </c>
      <c r="N46" s="113">
        <f>'Giờ công'!K46</f>
        <v>291.02999999999997</v>
      </c>
      <c r="O46" s="113">
        <f t="shared" si="5"/>
        <v>10.778888888888888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>
      <c r="A47" s="10" t="s">
        <v>17</v>
      </c>
      <c r="B47" s="36" t="s">
        <v>87</v>
      </c>
      <c r="C47" s="135">
        <v>46250</v>
      </c>
      <c r="D47" s="44" t="s">
        <v>188</v>
      </c>
      <c r="E47" s="35" t="s">
        <v>474</v>
      </c>
      <c r="F47" s="121">
        <v>7.9</v>
      </c>
      <c r="G47" s="122">
        <f t="shared" si="0"/>
        <v>0</v>
      </c>
      <c r="H47" s="123">
        <f>IF(AND(ISNUMBER(F47), F47&gt;4, COUNTIFS($A$2:A47, A47, $B$2:B47, B47, $C$2:C47, C47, $F$2:F47, "&gt;4")=1), 1, 0)</f>
        <v>1</v>
      </c>
      <c r="I47" s="10">
        <f t="shared" si="1"/>
        <v>1</v>
      </c>
      <c r="J47" s="10"/>
      <c r="K47" s="10" t="s">
        <v>22</v>
      </c>
      <c r="L47" s="7" t="s">
        <v>119</v>
      </c>
      <c r="M47" s="37">
        <f t="shared" si="4"/>
        <v>28</v>
      </c>
      <c r="N47" s="113">
        <f>'Giờ công'!K47</f>
        <v>216.52</v>
      </c>
      <c r="O47" s="113">
        <f t="shared" si="5"/>
        <v>7.7328571428571431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>
      <c r="A48" s="10" t="s">
        <v>17</v>
      </c>
      <c r="B48" s="36" t="s">
        <v>87</v>
      </c>
      <c r="C48" s="135">
        <v>46251</v>
      </c>
      <c r="D48" s="44" t="s">
        <v>188</v>
      </c>
      <c r="E48" s="35" t="s">
        <v>484</v>
      </c>
      <c r="F48" s="121">
        <v>7.82</v>
      </c>
      <c r="G48" s="122">
        <f t="shared" si="0"/>
        <v>0</v>
      </c>
      <c r="H48" s="123">
        <f>IF(AND(ISNUMBER(F48), F48&gt;4, COUNTIFS($A$2:A48, A48, $B$2:B48, B48, $C$2:C48, C48, $F$2:F48, "&gt;4")=1), 1, 0)</f>
        <v>1</v>
      </c>
      <c r="I48" s="10">
        <f t="shared" si="1"/>
        <v>1</v>
      </c>
      <c r="J48" s="10"/>
      <c r="K48" s="10" t="s">
        <v>23</v>
      </c>
      <c r="L48" s="7" t="s">
        <v>109</v>
      </c>
      <c r="M48" s="37">
        <f t="shared" si="4"/>
        <v>23</v>
      </c>
      <c r="N48" s="113">
        <f>'Giờ công'!K48</f>
        <v>262.32</v>
      </c>
      <c r="O48" s="113">
        <f t="shared" si="5"/>
        <v>11.405217391304348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>
      <c r="A49" s="10" t="s">
        <v>17</v>
      </c>
      <c r="B49" s="36" t="s">
        <v>87</v>
      </c>
      <c r="C49" s="135">
        <v>46252</v>
      </c>
      <c r="D49" s="44" t="s">
        <v>188</v>
      </c>
      <c r="E49" s="35" t="s">
        <v>199</v>
      </c>
      <c r="F49" s="121">
        <v>8</v>
      </c>
      <c r="G49" s="122">
        <f t="shared" si="0"/>
        <v>0</v>
      </c>
      <c r="H49" s="123">
        <f>IF(AND(ISNUMBER(F49), F49&gt;4, COUNTIFS($A$2:A49, A49, $B$2:B49, B49, $C$2:C49, C49, $F$2:F49, "&gt;4")=1), 1, 0)</f>
        <v>1</v>
      </c>
      <c r="I49" s="10">
        <f t="shared" si="1"/>
        <v>1</v>
      </c>
      <c r="J49" s="10"/>
      <c r="K49" s="10" t="s">
        <v>23</v>
      </c>
      <c r="L49" s="7" t="s">
        <v>120</v>
      </c>
      <c r="M49" s="37">
        <f t="shared" si="4"/>
        <v>26</v>
      </c>
      <c r="N49" s="113">
        <f>'Giờ công'!K49</f>
        <v>215.43</v>
      </c>
      <c r="O49" s="113">
        <f t="shared" si="5"/>
        <v>8.2857692307692314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>
      <c r="A50" s="10" t="s">
        <v>17</v>
      </c>
      <c r="B50" s="44" t="s">
        <v>87</v>
      </c>
      <c r="C50" s="135">
        <v>46253</v>
      </c>
      <c r="D50" s="44" t="s">
        <v>188</v>
      </c>
      <c r="E50" s="35" t="s">
        <v>199</v>
      </c>
      <c r="F50" s="121">
        <v>8</v>
      </c>
      <c r="G50" s="122">
        <f t="shared" si="0"/>
        <v>0</v>
      </c>
      <c r="H50" s="123">
        <f>IF(AND(ISNUMBER(F50), F50&gt;4, COUNTIFS($A$2:A50, A50, $B$2:B50, B50, $C$2:C50, C50, $F$2:F50, "&gt;4")=1), 1, 0)</f>
        <v>1</v>
      </c>
      <c r="I50" s="10">
        <f t="shared" si="1"/>
        <v>1</v>
      </c>
      <c r="J50" s="10"/>
      <c r="K50" s="10" t="s">
        <v>23</v>
      </c>
      <c r="L50" s="7" t="s">
        <v>121</v>
      </c>
      <c r="M50" s="37">
        <f t="shared" si="4"/>
        <v>25</v>
      </c>
      <c r="N50" s="113">
        <f>'Giờ công'!K50</f>
        <v>204.27</v>
      </c>
      <c r="O50" s="113">
        <f t="shared" si="5"/>
        <v>8.1707999999999998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>
      <c r="A51" s="10" t="s">
        <v>17</v>
      </c>
      <c r="B51" s="44" t="s">
        <v>87</v>
      </c>
      <c r="C51" s="135">
        <v>46254</v>
      </c>
      <c r="D51" s="44" t="s">
        <v>188</v>
      </c>
      <c r="E51" s="35" t="s">
        <v>207</v>
      </c>
      <c r="F51" s="121">
        <v>8.1</v>
      </c>
      <c r="G51" s="122">
        <f t="shared" si="0"/>
        <v>0</v>
      </c>
      <c r="H51" s="123">
        <f>IF(AND(ISNUMBER(F51), F51&gt;4, COUNTIFS($A$2:A51, A51, $B$2:B51, B51, $C$2:C51, C51, $F$2:F51, "&gt;4")=1), 1, 0)</f>
        <v>1</v>
      </c>
      <c r="I51" s="10">
        <f t="shared" si="1"/>
        <v>1</v>
      </c>
      <c r="J51" s="10"/>
      <c r="K51" s="10" t="s">
        <v>23</v>
      </c>
      <c r="L51" s="7" t="s">
        <v>107</v>
      </c>
      <c r="M51" s="37">
        <f t="shared" si="4"/>
        <v>27</v>
      </c>
      <c r="N51" s="113">
        <f>'Giờ công'!K51</f>
        <v>225.78999999999996</v>
      </c>
      <c r="O51" s="113">
        <f t="shared" si="5"/>
        <v>8.3625925925925912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>
      <c r="A52" s="10" t="s">
        <v>17</v>
      </c>
      <c r="B52" s="36" t="s">
        <v>87</v>
      </c>
      <c r="C52" s="135">
        <v>46255</v>
      </c>
      <c r="D52" s="44" t="s">
        <v>188</v>
      </c>
      <c r="E52" s="35" t="s">
        <v>348</v>
      </c>
      <c r="F52" s="121">
        <v>7.95</v>
      </c>
      <c r="G52" s="122">
        <f t="shared" si="0"/>
        <v>0</v>
      </c>
      <c r="H52" s="123">
        <f>IF(AND(ISNUMBER(F52), F52&gt;4, COUNTIFS($A$2:A52, A52, $B$2:B52, B52, $C$2:C52, C52, $F$2:F52, "&gt;4")=1), 1, 0)</f>
        <v>1</v>
      </c>
      <c r="I52" s="10">
        <f t="shared" si="1"/>
        <v>1</v>
      </c>
      <c r="J52" s="10"/>
      <c r="K52" s="10" t="s">
        <v>23</v>
      </c>
      <c r="L52" s="114" t="s">
        <v>92</v>
      </c>
      <c r="M52" s="37">
        <f t="shared" si="4"/>
        <v>4</v>
      </c>
      <c r="N52" s="113">
        <f>'Giờ công'!K52</f>
        <v>32.700000000000003</v>
      </c>
      <c r="O52" s="113">
        <f t="shared" si="5"/>
        <v>8.1750000000000007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>
      <c r="A53" s="10" t="s">
        <v>17</v>
      </c>
      <c r="B53" s="36" t="s">
        <v>87</v>
      </c>
      <c r="C53" s="135">
        <v>46256</v>
      </c>
      <c r="D53" s="44" t="s">
        <v>188</v>
      </c>
      <c r="E53" s="35" t="s">
        <v>483</v>
      </c>
      <c r="F53" s="121">
        <v>7.92</v>
      </c>
      <c r="G53" s="122">
        <f t="shared" si="0"/>
        <v>0</v>
      </c>
      <c r="H53" s="123">
        <f>IF(AND(ISNUMBER(F53), F53&gt;4, COUNTIFS($A$2:A53, A53, $B$2:B53, B53, $C$2:C53, C53, $F$2:F53, "&gt;4")=1), 1, 0)</f>
        <v>1</v>
      </c>
      <c r="I53" s="10">
        <f t="shared" si="1"/>
        <v>1</v>
      </c>
      <c r="J53" s="10"/>
      <c r="K53" s="10" t="s">
        <v>23</v>
      </c>
      <c r="L53" s="114" t="s">
        <v>122</v>
      </c>
      <c r="M53" s="37">
        <f t="shared" si="4"/>
        <v>27</v>
      </c>
      <c r="N53" s="113">
        <f>'Giờ công'!K53</f>
        <v>261.95</v>
      </c>
      <c r="O53" s="113">
        <f t="shared" si="5"/>
        <v>9.7018518518518508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>
      <c r="A54" s="10" t="s">
        <v>17</v>
      </c>
      <c r="B54" s="36" t="s">
        <v>87</v>
      </c>
      <c r="C54" s="135">
        <v>46257</v>
      </c>
      <c r="D54" s="44" t="s">
        <v>188</v>
      </c>
      <c r="E54" s="35" t="s">
        <v>480</v>
      </c>
      <c r="F54" s="121">
        <v>7.97</v>
      </c>
      <c r="G54" s="122">
        <f t="shared" si="0"/>
        <v>0</v>
      </c>
      <c r="H54" s="123">
        <f>IF(AND(ISNUMBER(F54), F54&gt;4, COUNTIFS($A$2:A54, A54, $B$2:B54, B54, $C$2:C54, C54, $F$2:F54, "&gt;4")=1), 1, 0)</f>
        <v>1</v>
      </c>
      <c r="I54" s="10">
        <f t="shared" si="1"/>
        <v>1</v>
      </c>
      <c r="J54" s="10"/>
      <c r="K54" s="10" t="s">
        <v>24</v>
      </c>
      <c r="L54" s="7" t="s">
        <v>72</v>
      </c>
      <c r="M54" s="37">
        <f t="shared" si="4"/>
        <v>28</v>
      </c>
      <c r="N54" s="113">
        <f>'Giờ công'!K54</f>
        <v>278.94</v>
      </c>
      <c r="O54" s="113">
        <f t="shared" si="5"/>
        <v>9.9621428571428563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>
      <c r="A55" s="10" t="s">
        <v>17</v>
      </c>
      <c r="B55" s="36" t="s">
        <v>87</v>
      </c>
      <c r="C55" s="135">
        <v>46258</v>
      </c>
      <c r="D55" s="44" t="s">
        <v>188</v>
      </c>
      <c r="E55" s="35" t="s">
        <v>481</v>
      </c>
      <c r="F55" s="121">
        <v>7.98</v>
      </c>
      <c r="G55" s="122">
        <f t="shared" si="0"/>
        <v>0</v>
      </c>
      <c r="H55" s="123">
        <f>IF(AND(ISNUMBER(F55), F55&gt;4, COUNTIFS($A$2:A55, A55, $B$2:B55, B55, $C$2:C55, C55, $F$2:F55, "&gt;4")=1), 1, 0)</f>
        <v>1</v>
      </c>
      <c r="I55" s="10">
        <f t="shared" si="1"/>
        <v>1</v>
      </c>
      <c r="J55" s="10"/>
      <c r="K55" s="10" t="s">
        <v>24</v>
      </c>
      <c r="L55" s="7" t="s">
        <v>74</v>
      </c>
      <c r="M55" s="37">
        <f t="shared" si="4"/>
        <v>1</v>
      </c>
      <c r="N55" s="113">
        <f>'Giờ công'!K55</f>
        <v>10</v>
      </c>
      <c r="O55" s="113">
        <f t="shared" si="5"/>
        <v>10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>
      <c r="A56" s="10" t="s">
        <v>17</v>
      </c>
      <c r="B56" s="36" t="s">
        <v>87</v>
      </c>
      <c r="C56" s="135">
        <v>46259</v>
      </c>
      <c r="D56" s="44" t="s">
        <v>188</v>
      </c>
      <c r="E56" s="35" t="s">
        <v>214</v>
      </c>
      <c r="F56" s="121">
        <v>8.08</v>
      </c>
      <c r="G56" s="122">
        <f t="shared" si="0"/>
        <v>0</v>
      </c>
      <c r="H56" s="123">
        <f>IF(AND(ISNUMBER(F56), F56&gt;4, COUNTIFS($A$2:A56, A56, $B$2:B56, B56, $C$2:C56, C56, $F$2:F56, "&gt;4")=1), 1, 0)</f>
        <v>1</v>
      </c>
      <c r="I56" s="10">
        <f t="shared" si="1"/>
        <v>1</v>
      </c>
      <c r="J56" s="10"/>
      <c r="K56" s="10" t="s">
        <v>24</v>
      </c>
      <c r="L56" s="7" t="s">
        <v>123</v>
      </c>
      <c r="M56" s="37">
        <f t="shared" si="4"/>
        <v>30</v>
      </c>
      <c r="N56" s="113">
        <f>'Giờ công'!K56</f>
        <v>259.87</v>
      </c>
      <c r="O56" s="113">
        <f t="shared" si="5"/>
        <v>8.6623333333333328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>
      <c r="A57" s="10" t="s">
        <v>17</v>
      </c>
      <c r="B57" s="138" t="s">
        <v>87</v>
      </c>
      <c r="C57" s="118">
        <v>46260</v>
      </c>
      <c r="D57" s="109" t="s">
        <v>188</v>
      </c>
      <c r="E57" s="75" t="s">
        <v>348</v>
      </c>
      <c r="F57" s="121">
        <v>7.95</v>
      </c>
      <c r="G57" s="122">
        <f t="shared" si="0"/>
        <v>0</v>
      </c>
      <c r="H57" s="123">
        <f>IF(AND(ISNUMBER(F57), F57&gt;4, COUNTIFS($A$2:A57, A57, $B$2:B57, B57, $C$2:C57, C57, $F$2:F57, "&gt;4")=1), 1, 0)</f>
        <v>1</v>
      </c>
      <c r="I57" s="10">
        <f t="shared" si="1"/>
        <v>1</v>
      </c>
      <c r="J57" s="10"/>
      <c r="K57" s="10" t="s">
        <v>24</v>
      </c>
      <c r="L57" s="7" t="s">
        <v>124</v>
      </c>
      <c r="M57" s="37">
        <f t="shared" si="4"/>
        <v>27</v>
      </c>
      <c r="N57" s="113">
        <f>'Giờ công'!K57</f>
        <v>222.05999999999997</v>
      </c>
      <c r="O57" s="113">
        <f t="shared" si="5"/>
        <v>8.224444444444444</v>
      </c>
      <c r="P57" s="7"/>
      <c r="Q57" s="7"/>
      <c r="R57" s="120"/>
      <c r="S57" s="120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>
      <c r="A58" s="10" t="s">
        <v>17</v>
      </c>
      <c r="B58" s="138" t="s">
        <v>87</v>
      </c>
      <c r="C58" s="135">
        <v>46261</v>
      </c>
      <c r="D58" s="44" t="s">
        <v>188</v>
      </c>
      <c r="E58" s="35" t="s">
        <v>348</v>
      </c>
      <c r="F58" s="121">
        <v>7.95</v>
      </c>
      <c r="G58" s="122">
        <f t="shared" si="0"/>
        <v>0</v>
      </c>
      <c r="H58" s="123">
        <f>IF(AND(ISNUMBER(F58), F58&gt;4, COUNTIFS($A$2:A58, A58, $B$2:B58, B58, $C$2:C58, C58, $F$2:F58, "&gt;4")=1), 1, 0)</f>
        <v>1</v>
      </c>
      <c r="I58" s="10">
        <f t="shared" si="1"/>
        <v>1</v>
      </c>
      <c r="J58" s="10"/>
      <c r="K58" s="10" t="s">
        <v>24</v>
      </c>
      <c r="L58" s="7" t="s">
        <v>88</v>
      </c>
      <c r="M58" s="37">
        <f t="shared" si="4"/>
        <v>20</v>
      </c>
      <c r="N58" s="113">
        <f>'Giờ công'!K58</f>
        <v>180.97</v>
      </c>
      <c r="O58" s="113">
        <f t="shared" si="5"/>
        <v>9.0485000000000007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>
      <c r="A59" s="10" t="s">
        <v>17</v>
      </c>
      <c r="B59" s="138" t="s">
        <v>87</v>
      </c>
      <c r="C59" s="135">
        <v>46262</v>
      </c>
      <c r="D59" s="44" t="s">
        <v>188</v>
      </c>
      <c r="E59" s="35" t="s">
        <v>483</v>
      </c>
      <c r="F59" s="121">
        <v>7.92</v>
      </c>
      <c r="G59" s="122">
        <f t="shared" si="0"/>
        <v>0</v>
      </c>
      <c r="H59" s="123">
        <f>IF(AND(ISNUMBER(F59), F59&gt;4, COUNTIFS($A$2:A59, A59, $B$2:B59, B59, $C$2:C59, C59, $F$2:F59, "&gt;4")=1), 1, 0)</f>
        <v>1</v>
      </c>
      <c r="I59" s="10">
        <f t="shared" si="1"/>
        <v>1</v>
      </c>
      <c r="J59" s="10"/>
      <c r="K59" s="10" t="s">
        <v>24</v>
      </c>
      <c r="L59" s="114" t="s">
        <v>100</v>
      </c>
      <c r="M59" s="37">
        <f t="shared" si="4"/>
        <v>1</v>
      </c>
      <c r="N59" s="113">
        <f>'Giờ công'!K59</f>
        <v>11.25</v>
      </c>
      <c r="O59" s="113">
        <f t="shared" si="5"/>
        <v>11.25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>
      <c r="A60" s="10" t="s">
        <v>17</v>
      </c>
      <c r="B60" s="138" t="s">
        <v>87</v>
      </c>
      <c r="C60" s="135">
        <v>46263</v>
      </c>
      <c r="D60" s="44" t="s">
        <v>188</v>
      </c>
      <c r="E60" s="35" t="s">
        <v>199</v>
      </c>
      <c r="F60" s="121">
        <v>8</v>
      </c>
      <c r="G60" s="122">
        <f t="shared" si="0"/>
        <v>0</v>
      </c>
      <c r="H60" s="123">
        <f>IF(AND(ISNUMBER(F60), F60&gt;4, COUNTIFS($A$2:A60, A60, $B$2:B60, B60, $C$2:C60, C60, $F$2:F60, "&gt;4")=1), 1, 0)</f>
        <v>1</v>
      </c>
      <c r="I60" s="10">
        <f t="shared" si="1"/>
        <v>1</v>
      </c>
      <c r="J60" s="10"/>
      <c r="K60" s="10" t="s">
        <v>24</v>
      </c>
      <c r="L60" s="7" t="s">
        <v>82</v>
      </c>
      <c r="M60" s="37">
        <f t="shared" si="4"/>
        <v>1</v>
      </c>
      <c r="N60" s="113">
        <f>'Giờ công'!K60</f>
        <v>8.6199999999999992</v>
      </c>
      <c r="O60" s="113">
        <f t="shared" si="5"/>
        <v>8.6199999999999992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>
      <c r="A61" s="10" t="s">
        <v>17</v>
      </c>
      <c r="B61" s="7" t="s">
        <v>87</v>
      </c>
      <c r="C61" s="135">
        <v>46264</v>
      </c>
      <c r="D61" s="44" t="s">
        <v>188</v>
      </c>
      <c r="E61" s="35" t="s">
        <v>409</v>
      </c>
      <c r="F61" s="121">
        <v>7.93</v>
      </c>
      <c r="G61" s="122">
        <f t="shared" si="0"/>
        <v>0</v>
      </c>
      <c r="H61" s="123">
        <f>IF(AND(ISNUMBER(F61), F61&gt;4, COUNTIFS($A$2:A61, A61, $B$2:B61, B61, $C$2:C61, C61, $F$2:F61, "&gt;4")=1), 1, 0)</f>
        <v>1</v>
      </c>
      <c r="I61" s="10">
        <f t="shared" si="1"/>
        <v>1</v>
      </c>
      <c r="J61" s="10"/>
      <c r="K61" s="10" t="s">
        <v>24</v>
      </c>
      <c r="L61" s="7" t="s">
        <v>125</v>
      </c>
      <c r="M61" s="37">
        <f t="shared" si="4"/>
        <v>29</v>
      </c>
      <c r="N61" s="113">
        <f>'Giờ công'!K61</f>
        <v>240.54999999999998</v>
      </c>
      <c r="O61" s="113">
        <f t="shared" si="5"/>
        <v>8.2948275862068961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>
      <c r="A62" s="10" t="s">
        <v>17</v>
      </c>
      <c r="B62" s="7" t="s">
        <v>87</v>
      </c>
      <c r="C62" s="135">
        <v>46265</v>
      </c>
      <c r="D62" s="44" t="s">
        <v>188</v>
      </c>
      <c r="E62" s="35" t="s">
        <v>348</v>
      </c>
      <c r="F62" s="121">
        <v>7.95</v>
      </c>
      <c r="G62" s="122">
        <f t="shared" si="0"/>
        <v>0</v>
      </c>
      <c r="H62" s="123">
        <f>IF(AND(ISNUMBER(F62), F62&gt;4, COUNTIFS($A$2:A62, A62, $B$2:B62, B62, $C$2:C62, C62, $F$2:F62, "&gt;4")=1), 1, 0)</f>
        <v>1</v>
      </c>
      <c r="I62" s="10">
        <f t="shared" si="1"/>
        <v>1</v>
      </c>
      <c r="J62" s="10"/>
      <c r="K62" s="10" t="s">
        <v>25</v>
      </c>
      <c r="L62" s="114" t="s">
        <v>126</v>
      </c>
      <c r="M62" s="37">
        <f t="shared" si="4"/>
        <v>23</v>
      </c>
      <c r="N62" s="113">
        <f>'Giờ công'!K62</f>
        <v>213.08</v>
      </c>
      <c r="O62" s="113">
        <f t="shared" si="5"/>
        <v>9.2643478260869578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>
      <c r="A63" s="10" t="s">
        <v>17</v>
      </c>
      <c r="B63" s="7" t="s">
        <v>84</v>
      </c>
      <c r="C63" s="135">
        <v>46236</v>
      </c>
      <c r="D63" s="44" t="s">
        <v>191</v>
      </c>
      <c r="E63" s="35" t="s">
        <v>487</v>
      </c>
      <c r="F63" s="121">
        <v>7.78</v>
      </c>
      <c r="G63" s="122">
        <f t="shared" si="0"/>
        <v>0</v>
      </c>
      <c r="H63" s="123">
        <f>IF(AND(ISNUMBER(F63), F63&gt;4, COUNTIFS($A$2:A63, A63, $B$2:B63, B63, $C$2:C63, C63, $F$2:F63, "&gt;4")=1), 1, 0)</f>
        <v>1</v>
      </c>
      <c r="I63" s="10">
        <f t="shared" si="1"/>
        <v>0</v>
      </c>
      <c r="J63" s="10"/>
      <c r="K63" s="10" t="s">
        <v>25</v>
      </c>
      <c r="L63" s="7" t="s">
        <v>127</v>
      </c>
      <c r="M63" s="37">
        <f t="shared" si="4"/>
        <v>31</v>
      </c>
      <c r="N63" s="113">
        <f>'Giờ công'!K63</f>
        <v>247.77</v>
      </c>
      <c r="O63" s="113">
        <f t="shared" si="5"/>
        <v>7.9925806451612909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>
      <c r="A64" s="10" t="s">
        <v>17</v>
      </c>
      <c r="B64" s="7" t="s">
        <v>84</v>
      </c>
      <c r="C64" s="135">
        <v>46239</v>
      </c>
      <c r="D64" s="44" t="s">
        <v>191</v>
      </c>
      <c r="E64" s="35" t="s">
        <v>488</v>
      </c>
      <c r="F64" s="121">
        <v>8.3800000000000008</v>
      </c>
      <c r="G64" s="122">
        <f t="shared" si="0"/>
        <v>0</v>
      </c>
      <c r="H64" s="123">
        <f>IF(AND(ISNUMBER(F64), F64&gt;4, COUNTIFS($A$2:A64, A64, $B$2:B64, B64, $C$2:C64, C64, $F$2:F64, "&gt;4")=1), 1, 0)</f>
        <v>1</v>
      </c>
      <c r="I64" s="10">
        <f t="shared" si="1"/>
        <v>0</v>
      </c>
      <c r="J64" s="10"/>
      <c r="K64" s="10" t="s">
        <v>25</v>
      </c>
      <c r="L64" s="7" t="s">
        <v>128</v>
      </c>
      <c r="M64" s="37">
        <f t="shared" si="4"/>
        <v>28</v>
      </c>
      <c r="N64" s="113">
        <f>'Giờ công'!K64</f>
        <v>288.75000000000011</v>
      </c>
      <c r="O64" s="113">
        <f t="shared" si="5"/>
        <v>10.312500000000004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>
      <c r="A65" s="10" t="s">
        <v>17</v>
      </c>
      <c r="B65" s="7" t="s">
        <v>84</v>
      </c>
      <c r="C65" s="135">
        <v>46241</v>
      </c>
      <c r="D65" s="44" t="s">
        <v>191</v>
      </c>
      <c r="E65" s="35" t="s">
        <v>489</v>
      </c>
      <c r="F65" s="121">
        <v>8.33</v>
      </c>
      <c r="G65" s="122">
        <f t="shared" si="0"/>
        <v>0</v>
      </c>
      <c r="H65" s="123">
        <f>IF(AND(ISNUMBER(F65), F65&gt;4, COUNTIFS($A$2:A65, A65, $B$2:B65, B65, $C$2:C65, C65, $F$2:F65, "&gt;4")=1), 1, 0)</f>
        <v>1</v>
      </c>
      <c r="I65" s="10">
        <f t="shared" si="1"/>
        <v>0</v>
      </c>
      <c r="J65" s="10"/>
      <c r="K65" s="10" t="s">
        <v>25</v>
      </c>
      <c r="L65" s="7" t="s">
        <v>129</v>
      </c>
      <c r="M65" s="37">
        <f t="shared" si="4"/>
        <v>28</v>
      </c>
      <c r="N65" s="113">
        <f>'Giờ công'!K65</f>
        <v>288.44</v>
      </c>
      <c r="O65" s="113">
        <f t="shared" si="5"/>
        <v>10.301428571428572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>
      <c r="A66" s="10" t="s">
        <v>17</v>
      </c>
      <c r="B66" s="7" t="s">
        <v>84</v>
      </c>
      <c r="C66" s="135">
        <v>46243</v>
      </c>
      <c r="D66" s="44" t="s">
        <v>191</v>
      </c>
      <c r="E66" s="35" t="s">
        <v>490</v>
      </c>
      <c r="F66" s="121">
        <v>8.23</v>
      </c>
      <c r="G66" s="122">
        <f t="shared" ref="G66:G129" si="6">IF(AND(ISNUMBER(F66), F66&lt;=4), 1, 0)</f>
        <v>0</v>
      </c>
      <c r="H66" s="123">
        <f>IF(AND(ISNUMBER(F66), F66&gt;4, COUNTIFS($A$2:A66, A66, $B$2:B66, B66, $C$2:C66, C66, $F$2:F66, "&gt;4")=1), 1, 0)</f>
        <v>1</v>
      </c>
      <c r="I66" s="10">
        <f t="shared" ref="I66:I129" si="7">IF(AND(ISNUMBER(F66), F66&gt;4, ISNUMBER(SEARCH("đêm", D66))), 1, 0)</f>
        <v>0</v>
      </c>
      <c r="J66" s="10"/>
      <c r="K66" s="10" t="s">
        <v>25</v>
      </c>
      <c r="L66" s="7" t="s">
        <v>130</v>
      </c>
      <c r="M66" s="37">
        <f t="shared" ref="M66:M97" si="8">SUMIFS(H:H, A:A, K66, B:B, L66)</f>
        <v>26</v>
      </c>
      <c r="N66" s="113">
        <f>'Giờ công'!K66</f>
        <v>252.81</v>
      </c>
      <c r="O66" s="113">
        <f t="shared" ref="O66:O97" si="9">IF(M66&gt;0, N66/M66, "")</f>
        <v>9.7234615384615388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>
      <c r="A67" s="10" t="s">
        <v>17</v>
      </c>
      <c r="B67" s="7" t="s">
        <v>84</v>
      </c>
      <c r="C67" s="135">
        <v>46245</v>
      </c>
      <c r="D67" s="44" t="s">
        <v>191</v>
      </c>
      <c r="E67" s="35" t="s">
        <v>214</v>
      </c>
      <c r="F67" s="121">
        <v>8.08</v>
      </c>
      <c r="G67" s="122">
        <f t="shared" si="6"/>
        <v>0</v>
      </c>
      <c r="H67" s="123">
        <f>IF(AND(ISNUMBER(F67), F67&gt;4, COUNTIFS($A$2:A67, A67, $B$2:B67, B67, $C$2:C67, C67, $F$2:F67, "&gt;4")=1), 1, 0)</f>
        <v>1</v>
      </c>
      <c r="I67" s="10">
        <f t="shared" si="7"/>
        <v>0</v>
      </c>
      <c r="J67" s="10"/>
      <c r="K67" s="35" t="s">
        <v>26</v>
      </c>
      <c r="L67" s="36" t="s">
        <v>131</v>
      </c>
      <c r="M67" s="37">
        <f t="shared" si="8"/>
        <v>30</v>
      </c>
      <c r="N67" s="113">
        <f>'Giờ công'!K67</f>
        <v>254.83000000000004</v>
      </c>
      <c r="O67" s="113">
        <f t="shared" si="9"/>
        <v>8.4943333333333353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>
      <c r="A68" s="10" t="s">
        <v>17</v>
      </c>
      <c r="B68" s="7" t="s">
        <v>84</v>
      </c>
      <c r="C68" s="135">
        <v>46254</v>
      </c>
      <c r="D68" s="44" t="s">
        <v>191</v>
      </c>
      <c r="E68" s="35" t="s">
        <v>400</v>
      </c>
      <c r="F68" s="121">
        <v>8.6199999999999992</v>
      </c>
      <c r="G68" s="122">
        <f t="shared" si="6"/>
        <v>0</v>
      </c>
      <c r="H68" s="123">
        <f>IF(AND(ISNUMBER(F68), F68&gt;4, COUNTIFS($A$2:A68, A68, $B$2:B68, B68, $C$2:C68, C68, $F$2:F68, "&gt;4")=1), 1, 0)</f>
        <v>1</v>
      </c>
      <c r="I68" s="10">
        <f t="shared" si="7"/>
        <v>0</v>
      </c>
      <c r="J68" s="10"/>
      <c r="K68" s="35" t="s">
        <v>26</v>
      </c>
      <c r="L68" s="36" t="s">
        <v>132</v>
      </c>
      <c r="M68" s="37">
        <f t="shared" si="8"/>
        <v>26</v>
      </c>
      <c r="N68" s="113">
        <f>'Giờ công'!K68</f>
        <v>219.51</v>
      </c>
      <c r="O68" s="113">
        <f t="shared" si="9"/>
        <v>8.4426923076923082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>
      <c r="A69" s="10" t="s">
        <v>17</v>
      </c>
      <c r="B69" s="7" t="s">
        <v>84</v>
      </c>
      <c r="C69" s="135">
        <v>46257</v>
      </c>
      <c r="D69" s="44" t="s">
        <v>191</v>
      </c>
      <c r="E69" s="35" t="s">
        <v>280</v>
      </c>
      <c r="F69" s="121">
        <v>8.25</v>
      </c>
      <c r="G69" s="122">
        <f t="shared" si="6"/>
        <v>0</v>
      </c>
      <c r="H69" s="123">
        <f>IF(AND(ISNUMBER(F69), F69&gt;4, COUNTIFS($A$2:A69, A69, $B$2:B69, B69, $C$2:C69, C69, $F$2:F69, "&gt;4")=1), 1, 0)</f>
        <v>1</v>
      </c>
      <c r="I69" s="10">
        <f t="shared" si="7"/>
        <v>0</v>
      </c>
      <c r="J69" s="10"/>
      <c r="K69" s="35" t="s">
        <v>26</v>
      </c>
      <c r="L69" s="36" t="s">
        <v>133</v>
      </c>
      <c r="M69" s="37">
        <f t="shared" si="8"/>
        <v>28</v>
      </c>
      <c r="N69" s="113">
        <f>'Giờ công'!K69</f>
        <v>232.58999999999997</v>
      </c>
      <c r="O69" s="113">
        <f t="shared" si="9"/>
        <v>8.3067857142857129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>
      <c r="A70" s="10" t="s">
        <v>17</v>
      </c>
      <c r="B70" s="7" t="s">
        <v>84</v>
      </c>
      <c r="C70" s="135">
        <v>46260</v>
      </c>
      <c r="D70" s="44" t="s">
        <v>191</v>
      </c>
      <c r="E70" s="35" t="s">
        <v>491</v>
      </c>
      <c r="F70" s="121">
        <v>9.0299999999999994</v>
      </c>
      <c r="G70" s="122">
        <f t="shared" si="6"/>
        <v>0</v>
      </c>
      <c r="H70" s="123">
        <f>IF(AND(ISNUMBER(F70), F70&gt;4, COUNTIFS($A$2:A70, A70, $B$2:B70, B70, $C$2:C70, C70, $F$2:F70, "&gt;4")=1), 1, 0)</f>
        <v>1</v>
      </c>
      <c r="I70" s="10">
        <f t="shared" si="7"/>
        <v>0</v>
      </c>
      <c r="J70" s="10"/>
      <c r="K70" s="35" t="s">
        <v>26</v>
      </c>
      <c r="L70" s="36" t="s">
        <v>134</v>
      </c>
      <c r="M70" s="37">
        <f t="shared" si="8"/>
        <v>27</v>
      </c>
      <c r="N70" s="113">
        <f>'Giờ công'!K70</f>
        <v>240.32</v>
      </c>
      <c r="O70" s="113">
        <f t="shared" si="9"/>
        <v>8.9007407407407406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>
      <c r="A71" s="10" t="s">
        <v>17</v>
      </c>
      <c r="B71" s="7" t="s">
        <v>84</v>
      </c>
      <c r="C71" s="135">
        <v>46261</v>
      </c>
      <c r="D71" s="44" t="s">
        <v>191</v>
      </c>
      <c r="E71" s="35" t="s">
        <v>492</v>
      </c>
      <c r="F71" s="121">
        <v>8.42</v>
      </c>
      <c r="G71" s="122">
        <f t="shared" si="6"/>
        <v>0</v>
      </c>
      <c r="H71" s="123">
        <f>IF(AND(ISNUMBER(F71), F71&gt;4, COUNTIFS($A$2:A71, A71, $B$2:B71, B71, $C$2:C71, C71, $F$2:F71, "&gt;4")=1), 1, 0)</f>
        <v>1</v>
      </c>
      <c r="I71" s="10">
        <f t="shared" si="7"/>
        <v>0</v>
      </c>
      <c r="J71" s="10"/>
      <c r="K71" s="10" t="s">
        <v>26</v>
      </c>
      <c r="L71" s="7" t="s">
        <v>135</v>
      </c>
      <c r="M71" s="37">
        <f t="shared" si="8"/>
        <v>14</v>
      </c>
      <c r="N71" s="113">
        <f>'Giờ công'!K71</f>
        <v>112.03</v>
      </c>
      <c r="O71" s="113">
        <f t="shared" si="9"/>
        <v>8.0021428571428572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>
      <c r="A72" s="10" t="s">
        <v>17</v>
      </c>
      <c r="B72" s="7" t="s">
        <v>84</v>
      </c>
      <c r="C72" s="135">
        <v>46264</v>
      </c>
      <c r="D72" s="44" t="s">
        <v>191</v>
      </c>
      <c r="E72" s="35" t="s">
        <v>409</v>
      </c>
      <c r="F72" s="121">
        <v>7.93</v>
      </c>
      <c r="G72" s="122">
        <f t="shared" si="6"/>
        <v>0</v>
      </c>
      <c r="H72" s="123">
        <f>IF(AND(ISNUMBER(F72), F72&gt;4, COUNTIFS($A$2:A72, A72, $B$2:B72, B72, $C$2:C72, C72, $F$2:F72, "&gt;4")=1), 1, 0)</f>
        <v>1</v>
      </c>
      <c r="I72" s="10">
        <f t="shared" si="7"/>
        <v>0</v>
      </c>
      <c r="J72" s="10"/>
      <c r="K72" s="10"/>
      <c r="L72" s="7"/>
      <c r="M72" s="10"/>
      <c r="N72" s="99"/>
      <c r="O72" s="11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>
      <c r="A73" s="10" t="s">
        <v>17</v>
      </c>
      <c r="B73" s="7" t="s">
        <v>84</v>
      </c>
      <c r="C73" s="135">
        <v>46235</v>
      </c>
      <c r="D73" s="44" t="s">
        <v>193</v>
      </c>
      <c r="E73" s="35" t="s">
        <v>482</v>
      </c>
      <c r="F73" s="121">
        <v>7.85</v>
      </c>
      <c r="G73" s="122">
        <f t="shared" si="6"/>
        <v>0</v>
      </c>
      <c r="H73" s="123">
        <f>IF(AND(ISNUMBER(F73), F73&gt;4, COUNTIFS($A$2:A73, A73, $B$2:B73, B73, $C$2:C73, C73, $F$2:F73, "&gt;4")=1), 1, 0)</f>
        <v>1</v>
      </c>
      <c r="I73" s="10">
        <f t="shared" si="7"/>
        <v>0</v>
      </c>
      <c r="J73" s="10"/>
      <c r="K73" s="10"/>
      <c r="L73" s="7"/>
      <c r="M73" s="10"/>
      <c r="N73" s="99"/>
      <c r="O73" s="11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>
      <c r="A74" s="10" t="s">
        <v>17</v>
      </c>
      <c r="B74" s="7" t="s">
        <v>84</v>
      </c>
      <c r="C74" s="135">
        <v>46237</v>
      </c>
      <c r="D74" s="44" t="s">
        <v>193</v>
      </c>
      <c r="E74" s="35" t="s">
        <v>475</v>
      </c>
      <c r="F74" s="121">
        <v>7.87</v>
      </c>
      <c r="G74" s="122">
        <f t="shared" si="6"/>
        <v>0</v>
      </c>
      <c r="H74" s="123">
        <f>IF(AND(ISNUMBER(F74), F74&gt;4, COUNTIFS($A$2:A74, A74, $B$2:B74, B74, $C$2:C74, C74, $F$2:F74, "&gt;4")=1), 1, 0)</f>
        <v>1</v>
      </c>
      <c r="I74" s="10">
        <f t="shared" si="7"/>
        <v>0</v>
      </c>
      <c r="J74" s="10"/>
      <c r="K74" s="10"/>
      <c r="L74" s="7"/>
      <c r="M74" s="10"/>
      <c r="N74" s="99"/>
      <c r="O74" s="11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>
      <c r="A75" s="10" t="s">
        <v>17</v>
      </c>
      <c r="B75" s="7" t="s">
        <v>84</v>
      </c>
      <c r="C75" s="135">
        <v>46238</v>
      </c>
      <c r="D75" s="44" t="s">
        <v>193</v>
      </c>
      <c r="E75" s="35" t="s">
        <v>493</v>
      </c>
      <c r="F75" s="121">
        <v>7.77</v>
      </c>
      <c r="G75" s="122">
        <f t="shared" si="6"/>
        <v>0</v>
      </c>
      <c r="H75" s="123">
        <f>IF(AND(ISNUMBER(F75), F75&gt;4, COUNTIFS($A$2:A75, A75, $B$2:B75, B75, $C$2:C75, C75, $F$2:F75, "&gt;4")=1), 1, 0)</f>
        <v>1</v>
      </c>
      <c r="I75" s="10">
        <f t="shared" si="7"/>
        <v>0</v>
      </c>
      <c r="J75" s="10"/>
      <c r="K75" s="10"/>
      <c r="L75" s="7"/>
      <c r="M75" s="10"/>
      <c r="N75" s="99"/>
      <c r="O75" s="11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>
      <c r="A76" s="10" t="s">
        <v>17</v>
      </c>
      <c r="B76" s="7" t="s">
        <v>84</v>
      </c>
      <c r="C76" s="135">
        <v>46240</v>
      </c>
      <c r="D76" s="44" t="s">
        <v>193</v>
      </c>
      <c r="E76" s="35" t="s">
        <v>478</v>
      </c>
      <c r="F76" s="121">
        <v>7.7</v>
      </c>
      <c r="G76" s="122">
        <f t="shared" si="6"/>
        <v>0</v>
      </c>
      <c r="H76" s="123">
        <f>IF(AND(ISNUMBER(F76), F76&gt;4, COUNTIFS($A$2:A76, A76, $B$2:B76, B76, $C$2:C76, C76, $F$2:F76, "&gt;4")=1), 1, 0)</f>
        <v>1</v>
      </c>
      <c r="I76" s="10">
        <f t="shared" si="7"/>
        <v>0</v>
      </c>
      <c r="J76" s="10"/>
      <c r="K76" s="10"/>
      <c r="L76" s="7"/>
      <c r="M76" s="10"/>
      <c r="N76" s="99"/>
      <c r="O76" s="11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>
      <c r="A77" s="10" t="s">
        <v>17</v>
      </c>
      <c r="B77" s="7" t="s">
        <v>84</v>
      </c>
      <c r="C77" s="135">
        <v>46242</v>
      </c>
      <c r="D77" s="44" t="s">
        <v>193</v>
      </c>
      <c r="E77" s="35" t="s">
        <v>483</v>
      </c>
      <c r="F77" s="121">
        <v>7.92</v>
      </c>
      <c r="G77" s="122">
        <f t="shared" si="6"/>
        <v>0</v>
      </c>
      <c r="H77" s="123">
        <f>IF(AND(ISNUMBER(F77), F77&gt;4, COUNTIFS($A$2:A77, A77, $B$2:B77, B77, $C$2:C77, C77, $F$2:F77, "&gt;4")=1), 1, 0)</f>
        <v>1</v>
      </c>
      <c r="I77" s="10">
        <f t="shared" si="7"/>
        <v>0</v>
      </c>
      <c r="J77" s="10"/>
      <c r="K77" s="10"/>
      <c r="L77" s="7"/>
      <c r="M77" s="10"/>
      <c r="N77" s="99"/>
      <c r="O77" s="11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>
      <c r="A78" s="10" t="s">
        <v>17</v>
      </c>
      <c r="B78" s="7" t="s">
        <v>84</v>
      </c>
      <c r="C78" s="135">
        <v>46244</v>
      </c>
      <c r="D78" s="44" t="s">
        <v>193</v>
      </c>
      <c r="E78" s="35" t="s">
        <v>475</v>
      </c>
      <c r="F78" s="121">
        <v>7.87</v>
      </c>
      <c r="G78" s="122">
        <f t="shared" si="6"/>
        <v>0</v>
      </c>
      <c r="H78" s="123">
        <f>IF(AND(ISNUMBER(F78), F78&gt;4, COUNTIFS($A$2:A78, A78, $B$2:B78, B78, $C$2:C78, C78, $F$2:F78, "&gt;4")=1), 1, 0)</f>
        <v>1</v>
      </c>
      <c r="I78" s="10">
        <f t="shared" si="7"/>
        <v>0</v>
      </c>
      <c r="J78" s="10"/>
      <c r="K78" s="10"/>
      <c r="L78" s="7"/>
      <c r="M78" s="10"/>
      <c r="N78" s="99"/>
      <c r="O78" s="11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>
      <c r="A79" s="10" t="s">
        <v>17</v>
      </c>
      <c r="B79" s="7" t="s">
        <v>84</v>
      </c>
      <c r="C79" s="135">
        <v>46253</v>
      </c>
      <c r="D79" s="44" t="s">
        <v>193</v>
      </c>
      <c r="E79" s="35" t="s">
        <v>348</v>
      </c>
      <c r="F79" s="121">
        <v>7.95</v>
      </c>
      <c r="G79" s="122">
        <f t="shared" si="6"/>
        <v>0</v>
      </c>
      <c r="H79" s="123">
        <f>IF(AND(ISNUMBER(F79), F79&gt;4, COUNTIFS($A$2:A79, A79, $B$2:B79, B79, $C$2:C79, C79, $F$2:F79, "&gt;4")=1), 1, 0)</f>
        <v>1</v>
      </c>
      <c r="I79" s="10">
        <f t="shared" si="7"/>
        <v>0</v>
      </c>
      <c r="J79" s="10"/>
      <c r="K79" s="10"/>
      <c r="L79" s="7"/>
      <c r="M79" s="10"/>
      <c r="N79" s="99"/>
      <c r="O79" s="11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>
      <c r="A80" s="10" t="s">
        <v>17</v>
      </c>
      <c r="B80" s="7" t="s">
        <v>84</v>
      </c>
      <c r="C80" s="135">
        <v>46255</v>
      </c>
      <c r="D80" s="44" t="s">
        <v>193</v>
      </c>
      <c r="E80" s="35" t="s">
        <v>494</v>
      </c>
      <c r="F80" s="121">
        <v>5.58</v>
      </c>
      <c r="G80" s="122">
        <f t="shared" si="6"/>
        <v>0</v>
      </c>
      <c r="H80" s="123">
        <f>IF(AND(ISNUMBER(F80), F80&gt;4, COUNTIFS($A$2:A80, A80, $B$2:B80, B80, $C$2:C80, C80, $F$2:F80, "&gt;4")=1), 1, 0)</f>
        <v>1</v>
      </c>
      <c r="I80" s="10">
        <f t="shared" si="7"/>
        <v>0</v>
      </c>
      <c r="J80" s="10"/>
      <c r="K80" s="10"/>
      <c r="L80" s="7"/>
      <c r="M80" s="10"/>
      <c r="N80" s="99"/>
      <c r="O80" s="11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>
      <c r="A81" s="10" t="s">
        <v>17</v>
      </c>
      <c r="B81" s="7" t="s">
        <v>84</v>
      </c>
      <c r="C81" s="135">
        <v>46256</v>
      </c>
      <c r="D81" s="44" t="s">
        <v>193</v>
      </c>
      <c r="E81" s="35" t="s">
        <v>474</v>
      </c>
      <c r="F81" s="121">
        <v>7.9</v>
      </c>
      <c r="G81" s="122">
        <f t="shared" si="6"/>
        <v>0</v>
      </c>
      <c r="H81" s="123">
        <f>IF(AND(ISNUMBER(F81), F81&gt;4, COUNTIFS($A$2:A81, A81, $B$2:B81, B81, $C$2:C81, C81, $F$2:F81, "&gt;4")=1), 1, 0)</f>
        <v>1</v>
      </c>
      <c r="I81" s="10">
        <f t="shared" si="7"/>
        <v>0</v>
      </c>
      <c r="J81" s="10"/>
      <c r="K81" s="7"/>
      <c r="L81" s="7"/>
      <c r="M81" s="10"/>
      <c r="N81" s="10"/>
      <c r="O81" s="11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>
      <c r="A82" s="10" t="s">
        <v>17</v>
      </c>
      <c r="B82" s="7" t="s">
        <v>84</v>
      </c>
      <c r="C82" s="135">
        <v>46258</v>
      </c>
      <c r="D82" s="44" t="s">
        <v>193</v>
      </c>
      <c r="E82" s="35" t="s">
        <v>300</v>
      </c>
      <c r="F82" s="121">
        <v>7.75</v>
      </c>
      <c r="G82" s="122">
        <f t="shared" si="6"/>
        <v>0</v>
      </c>
      <c r="H82" s="123">
        <f>IF(AND(ISNUMBER(F82), F82&gt;4, COUNTIFS($A$2:A82, A82, $B$2:B82, B82, $C$2:C82, C82, $F$2:F82, "&gt;4")=1), 1, 0)</f>
        <v>1</v>
      </c>
      <c r="I82" s="10">
        <f t="shared" si="7"/>
        <v>0</v>
      </c>
      <c r="J82" s="10"/>
      <c r="K82" s="7"/>
      <c r="L82" s="7"/>
      <c r="M82" s="10"/>
      <c r="N82" s="10"/>
      <c r="O82" s="11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>
      <c r="A83" s="10" t="s">
        <v>17</v>
      </c>
      <c r="B83" s="7" t="s">
        <v>84</v>
      </c>
      <c r="C83" s="135">
        <v>46259</v>
      </c>
      <c r="D83" s="44" t="s">
        <v>193</v>
      </c>
      <c r="E83" s="35" t="s">
        <v>348</v>
      </c>
      <c r="F83" s="121">
        <v>7.95</v>
      </c>
      <c r="G83" s="122">
        <f t="shared" si="6"/>
        <v>0</v>
      </c>
      <c r="H83" s="123">
        <f>IF(AND(ISNUMBER(F83), F83&gt;4, COUNTIFS($A$2:A83, A83, $B$2:B83, B83, $C$2:C83, C83, $F$2:F83, "&gt;4")=1), 1, 0)</f>
        <v>1</v>
      </c>
      <c r="I83" s="10">
        <f t="shared" si="7"/>
        <v>0</v>
      </c>
      <c r="J83" s="10"/>
      <c r="K83" s="7"/>
      <c r="L83" s="7"/>
      <c r="M83" s="10"/>
      <c r="N83" s="10"/>
      <c r="O83" s="11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>
      <c r="A84" s="10" t="s">
        <v>17</v>
      </c>
      <c r="B84" s="7" t="s">
        <v>84</v>
      </c>
      <c r="C84" s="135">
        <v>46263</v>
      </c>
      <c r="D84" s="44" t="s">
        <v>193</v>
      </c>
      <c r="E84" s="35" t="s">
        <v>483</v>
      </c>
      <c r="F84" s="121">
        <v>7.92</v>
      </c>
      <c r="G84" s="122">
        <f t="shared" si="6"/>
        <v>0</v>
      </c>
      <c r="H84" s="123">
        <f>IF(AND(ISNUMBER(F84), F84&gt;4, COUNTIFS($A$2:A84, A84, $B$2:B84, B84, $C$2:C84, C84, $F$2:F84, "&gt;4")=1), 1, 0)</f>
        <v>1</v>
      </c>
      <c r="I84" s="10">
        <f t="shared" si="7"/>
        <v>0</v>
      </c>
      <c r="J84" s="10"/>
      <c r="K84" s="7"/>
      <c r="L84" s="7"/>
      <c r="M84" s="10"/>
      <c r="N84" s="10"/>
      <c r="O84" s="11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>
      <c r="A85" s="10" t="s">
        <v>17</v>
      </c>
      <c r="B85" s="7" t="s">
        <v>84</v>
      </c>
      <c r="C85" s="135">
        <v>46265</v>
      </c>
      <c r="D85" s="44" t="s">
        <v>193</v>
      </c>
      <c r="E85" s="35" t="s">
        <v>409</v>
      </c>
      <c r="F85" s="121">
        <v>7.93</v>
      </c>
      <c r="G85" s="122">
        <f t="shared" si="6"/>
        <v>0</v>
      </c>
      <c r="H85" s="123">
        <f>IF(AND(ISNUMBER(F85), F85&gt;4, COUNTIFS($A$2:A85, A85, $B$2:B85, B85, $C$2:C85, C85, $F$2:F85, "&gt;4")=1), 1, 0)</f>
        <v>1</v>
      </c>
      <c r="I85" s="10">
        <f t="shared" si="7"/>
        <v>0</v>
      </c>
      <c r="J85" s="10"/>
      <c r="K85" s="7"/>
      <c r="L85" s="7"/>
      <c r="M85" s="10"/>
      <c r="N85" s="10"/>
      <c r="O85" s="11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>
      <c r="A86" s="10" t="s">
        <v>17</v>
      </c>
      <c r="B86" s="7" t="s">
        <v>89</v>
      </c>
      <c r="C86" s="135">
        <v>46235</v>
      </c>
      <c r="D86" s="44" t="s">
        <v>191</v>
      </c>
      <c r="E86" s="35" t="s">
        <v>495</v>
      </c>
      <c r="F86" s="121">
        <v>8.52</v>
      </c>
      <c r="G86" s="122">
        <f t="shared" si="6"/>
        <v>0</v>
      </c>
      <c r="H86" s="123">
        <f>IF(AND(ISNUMBER(F86), F86&gt;4, COUNTIFS($A$2:A86, A86, $B$2:B86, B86, $C$2:C86, C86, $F$2:F86, "&gt;4")=1), 1, 0)</f>
        <v>1</v>
      </c>
      <c r="I86" s="10">
        <f t="shared" si="7"/>
        <v>0</v>
      </c>
      <c r="J86" s="10"/>
      <c r="K86" s="7"/>
      <c r="L86" s="7"/>
      <c r="M86" s="10"/>
      <c r="N86" s="10"/>
      <c r="O86" s="11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>
      <c r="A87" s="10" t="s">
        <v>17</v>
      </c>
      <c r="B87" s="7" t="s">
        <v>89</v>
      </c>
      <c r="C87" s="135">
        <v>46238</v>
      </c>
      <c r="D87" s="44" t="s">
        <v>191</v>
      </c>
      <c r="E87" s="35" t="s">
        <v>489</v>
      </c>
      <c r="F87" s="121">
        <v>8.33</v>
      </c>
      <c r="G87" s="122">
        <f t="shared" si="6"/>
        <v>0</v>
      </c>
      <c r="H87" s="123">
        <f>IF(AND(ISNUMBER(F87), F87&gt;4, COUNTIFS($A$2:A87, A87, $B$2:B87, B87, $C$2:C87, C87, $F$2:F87, "&gt;4")=1), 1, 0)</f>
        <v>1</v>
      </c>
      <c r="I87" s="10">
        <f t="shared" si="7"/>
        <v>0</v>
      </c>
      <c r="J87" s="10"/>
      <c r="K87" s="7"/>
      <c r="L87" s="7"/>
      <c r="M87" s="10"/>
      <c r="N87" s="10"/>
      <c r="O87" s="11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>
      <c r="A88" s="10" t="s">
        <v>17</v>
      </c>
      <c r="B88" s="7" t="s">
        <v>89</v>
      </c>
      <c r="C88" s="135">
        <v>46240</v>
      </c>
      <c r="D88" s="44" t="s">
        <v>191</v>
      </c>
      <c r="E88" s="35" t="s">
        <v>496</v>
      </c>
      <c r="F88" s="121">
        <v>8.35</v>
      </c>
      <c r="G88" s="122">
        <f t="shared" si="6"/>
        <v>0</v>
      </c>
      <c r="H88" s="123">
        <f>IF(AND(ISNUMBER(F88), F88&gt;4, COUNTIFS($A$2:A88, A88, $B$2:B88, B88, $C$2:C88, C88, $F$2:F88, "&gt;4")=1), 1, 0)</f>
        <v>1</v>
      </c>
      <c r="I88" s="10">
        <f t="shared" si="7"/>
        <v>0</v>
      </c>
      <c r="J88" s="10"/>
      <c r="K88" s="7"/>
      <c r="L88" s="7"/>
      <c r="M88" s="10"/>
      <c r="N88" s="10"/>
      <c r="O88" s="11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>
      <c r="A89" s="10" t="s">
        <v>17</v>
      </c>
      <c r="B89" s="7" t="s">
        <v>89</v>
      </c>
      <c r="C89" s="135">
        <v>46242</v>
      </c>
      <c r="D89" s="44" t="s">
        <v>191</v>
      </c>
      <c r="E89" s="35" t="s">
        <v>497</v>
      </c>
      <c r="F89" s="121">
        <v>8.43</v>
      </c>
      <c r="G89" s="122">
        <f t="shared" si="6"/>
        <v>0</v>
      </c>
      <c r="H89" s="123">
        <f>IF(AND(ISNUMBER(F89), F89&gt;4, COUNTIFS($A$2:A89, A89, $B$2:B89, B89, $C$2:C89, C89, $F$2:F89, "&gt;4")=1), 1, 0)</f>
        <v>1</v>
      </c>
      <c r="I89" s="10">
        <f t="shared" si="7"/>
        <v>0</v>
      </c>
      <c r="J89" s="10"/>
      <c r="K89" s="7"/>
      <c r="L89" s="7"/>
      <c r="M89" s="10"/>
      <c r="N89" s="10"/>
      <c r="O89" s="11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>
      <c r="A90" s="10" t="s">
        <v>17</v>
      </c>
      <c r="B90" s="7" t="s">
        <v>89</v>
      </c>
      <c r="C90" s="135">
        <v>46244</v>
      </c>
      <c r="D90" s="44" t="s">
        <v>191</v>
      </c>
      <c r="E90" s="35" t="s">
        <v>498</v>
      </c>
      <c r="F90" s="121">
        <v>8.4700000000000006</v>
      </c>
      <c r="G90" s="122">
        <f t="shared" si="6"/>
        <v>0</v>
      </c>
      <c r="H90" s="123">
        <f>IF(AND(ISNUMBER(F90), F90&gt;4, COUNTIFS($A$2:A90, A90, $B$2:B90, B90, $C$2:C90, C90, $F$2:F90, "&gt;4")=1), 1, 0)</f>
        <v>1</v>
      </c>
      <c r="I90" s="10">
        <f t="shared" si="7"/>
        <v>0</v>
      </c>
      <c r="J90" s="10"/>
      <c r="K90" s="7"/>
      <c r="L90" s="7"/>
      <c r="M90" s="10"/>
      <c r="N90" s="10"/>
      <c r="O90" s="11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>
      <c r="A91" s="10" t="s">
        <v>17</v>
      </c>
      <c r="B91" s="7" t="s">
        <v>89</v>
      </c>
      <c r="C91" s="135">
        <v>46248</v>
      </c>
      <c r="D91" s="44" t="s">
        <v>191</v>
      </c>
      <c r="E91" s="35" t="s">
        <v>499</v>
      </c>
      <c r="F91" s="121">
        <v>8.15</v>
      </c>
      <c r="G91" s="122">
        <f t="shared" si="6"/>
        <v>0</v>
      </c>
      <c r="H91" s="123">
        <f>IF(AND(ISNUMBER(F91), F91&gt;4, COUNTIFS($A$2:A91, A91, $B$2:B91, B91, $C$2:C91, C91, $F$2:F91, "&gt;4")=1), 1, 0)</f>
        <v>1</v>
      </c>
      <c r="I91" s="10">
        <f t="shared" si="7"/>
        <v>0</v>
      </c>
      <c r="J91" s="10"/>
      <c r="K91" s="7"/>
      <c r="L91" s="7"/>
      <c r="M91" s="10"/>
      <c r="N91" s="10"/>
      <c r="O91" s="11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>
      <c r="A92" s="10" t="s">
        <v>17</v>
      </c>
      <c r="B92" s="7" t="s">
        <v>89</v>
      </c>
      <c r="C92" s="135">
        <v>46249</v>
      </c>
      <c r="D92" s="44" t="s">
        <v>191</v>
      </c>
      <c r="E92" s="35" t="s">
        <v>207</v>
      </c>
      <c r="F92" s="121">
        <v>8.1</v>
      </c>
      <c r="G92" s="122">
        <f t="shared" si="6"/>
        <v>0</v>
      </c>
      <c r="H92" s="123">
        <f>IF(AND(ISNUMBER(F92), F92&gt;4, COUNTIFS($A$2:A92, A92, $B$2:B92, B92, $C$2:C92, C92, $F$2:F92, "&gt;4")=1), 1, 0)</f>
        <v>1</v>
      </c>
      <c r="I92" s="10">
        <f t="shared" si="7"/>
        <v>0</v>
      </c>
      <c r="J92" s="10"/>
      <c r="K92" s="7"/>
      <c r="L92" s="7"/>
      <c r="M92" s="10"/>
      <c r="N92" s="10"/>
      <c r="O92" s="11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>
      <c r="A93" s="10" t="s">
        <v>17</v>
      </c>
      <c r="B93" s="7" t="s">
        <v>89</v>
      </c>
      <c r="C93" s="135">
        <v>46252</v>
      </c>
      <c r="D93" s="44" t="s">
        <v>191</v>
      </c>
      <c r="E93" s="35" t="s">
        <v>495</v>
      </c>
      <c r="F93" s="121">
        <v>8.52</v>
      </c>
      <c r="G93" s="122">
        <f t="shared" si="6"/>
        <v>0</v>
      </c>
      <c r="H93" s="123">
        <f>IF(AND(ISNUMBER(F93), F93&gt;4, COUNTIFS($A$2:A93, A93, $B$2:B93, B93, $C$2:C93, C93, $F$2:F93, "&gt;4")=1), 1, 0)</f>
        <v>1</v>
      </c>
      <c r="I93" s="10">
        <f t="shared" si="7"/>
        <v>0</v>
      </c>
      <c r="J93" s="10"/>
      <c r="K93" s="7"/>
      <c r="L93" s="7"/>
      <c r="M93" s="10"/>
      <c r="N93" s="10"/>
      <c r="O93" s="11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>
      <c r="A94" s="10" t="s">
        <v>17</v>
      </c>
      <c r="B94" s="7" t="s">
        <v>89</v>
      </c>
      <c r="C94" s="135">
        <v>46255</v>
      </c>
      <c r="D94" s="44" t="s">
        <v>191</v>
      </c>
      <c r="E94" s="35" t="s">
        <v>207</v>
      </c>
      <c r="F94" s="121">
        <v>8.1</v>
      </c>
      <c r="G94" s="122">
        <f t="shared" si="6"/>
        <v>0</v>
      </c>
      <c r="H94" s="123">
        <f>IF(AND(ISNUMBER(F94), F94&gt;4, COUNTIFS($A$2:A94, A94, $B$2:B94, B94, $C$2:C94, C94, $F$2:F94, "&gt;4")=1), 1, 0)</f>
        <v>1</v>
      </c>
      <c r="I94" s="10">
        <f t="shared" si="7"/>
        <v>0</v>
      </c>
      <c r="J94" s="10"/>
      <c r="K94" s="7"/>
      <c r="L94" s="7"/>
      <c r="M94" s="10"/>
      <c r="N94" s="10"/>
      <c r="O94" s="11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>
      <c r="A95" s="10" t="s">
        <v>17</v>
      </c>
      <c r="B95" s="7" t="s">
        <v>89</v>
      </c>
      <c r="C95" s="135">
        <v>46258</v>
      </c>
      <c r="D95" s="44" t="s">
        <v>191</v>
      </c>
      <c r="E95" s="35" t="s">
        <v>500</v>
      </c>
      <c r="F95" s="121">
        <v>8.48</v>
      </c>
      <c r="G95" s="122">
        <f t="shared" si="6"/>
        <v>0</v>
      </c>
      <c r="H95" s="123">
        <f>IF(AND(ISNUMBER(F95), F95&gt;4, COUNTIFS($A$2:A95, A95, $B$2:B95, B95, $C$2:C95, C95, $F$2:F95, "&gt;4")=1), 1, 0)</f>
        <v>1</v>
      </c>
      <c r="I95" s="10">
        <f t="shared" si="7"/>
        <v>0</v>
      </c>
      <c r="J95" s="10"/>
      <c r="K95" s="7"/>
      <c r="L95" s="7"/>
      <c r="M95" s="10"/>
      <c r="N95" s="10"/>
      <c r="O95" s="11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>
      <c r="A96" s="10" t="s">
        <v>17</v>
      </c>
      <c r="B96" s="7" t="s">
        <v>89</v>
      </c>
      <c r="C96" s="135">
        <v>46263</v>
      </c>
      <c r="D96" s="44" t="s">
        <v>191</v>
      </c>
      <c r="E96" s="35" t="s">
        <v>496</v>
      </c>
      <c r="F96" s="121">
        <v>8.35</v>
      </c>
      <c r="G96" s="122">
        <f t="shared" si="6"/>
        <v>0</v>
      </c>
      <c r="H96" s="123">
        <f>IF(AND(ISNUMBER(F96), F96&gt;4, COUNTIFS($A$2:A96, A96, $B$2:B96, B96, $C$2:C96, C96, $F$2:F96, "&gt;4")=1), 1, 0)</f>
        <v>1</v>
      </c>
      <c r="I96" s="10">
        <f t="shared" si="7"/>
        <v>0</v>
      </c>
      <c r="J96" s="10"/>
      <c r="K96" s="7"/>
      <c r="L96" s="7"/>
      <c r="M96" s="10"/>
      <c r="N96" s="10"/>
      <c r="O96" s="11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>
      <c r="A97" s="10" t="s">
        <v>17</v>
      </c>
      <c r="B97" s="7" t="s">
        <v>89</v>
      </c>
      <c r="C97" s="135">
        <v>46236</v>
      </c>
      <c r="D97" s="44" t="s">
        <v>193</v>
      </c>
      <c r="E97" s="35" t="s">
        <v>490</v>
      </c>
      <c r="F97" s="121">
        <v>8.23</v>
      </c>
      <c r="G97" s="122">
        <f t="shared" si="6"/>
        <v>0</v>
      </c>
      <c r="H97" s="123">
        <f>IF(AND(ISNUMBER(F97), F97&gt;4, COUNTIFS($A$2:A97, A97, $B$2:B97, B97, $C$2:C97, C97, $F$2:F97, "&gt;4")=1), 1, 0)</f>
        <v>1</v>
      </c>
      <c r="I97" s="10">
        <f t="shared" si="7"/>
        <v>0</v>
      </c>
      <c r="J97" s="10"/>
      <c r="K97" s="7"/>
      <c r="L97" s="7"/>
      <c r="M97" s="10"/>
      <c r="N97" s="10"/>
      <c r="O97" s="11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>
      <c r="A98" s="10" t="s">
        <v>17</v>
      </c>
      <c r="B98" s="7" t="s">
        <v>89</v>
      </c>
      <c r="C98" s="135">
        <v>46237</v>
      </c>
      <c r="D98" s="44" t="s">
        <v>193</v>
      </c>
      <c r="E98" s="35" t="s">
        <v>501</v>
      </c>
      <c r="F98" s="121">
        <v>8.2200000000000006</v>
      </c>
      <c r="G98" s="122">
        <f t="shared" si="6"/>
        <v>0</v>
      </c>
      <c r="H98" s="123">
        <f>IF(AND(ISNUMBER(F98), F98&gt;4, COUNTIFS($A$2:A98, A98, $B$2:B98, B98, $C$2:C98, C98, $F$2:F98, "&gt;4")=1), 1, 0)</f>
        <v>1</v>
      </c>
      <c r="I98" s="10">
        <f t="shared" si="7"/>
        <v>0</v>
      </c>
      <c r="J98" s="10"/>
      <c r="K98" s="7"/>
      <c r="L98" s="7"/>
      <c r="M98" s="10"/>
      <c r="N98" s="10"/>
      <c r="O98" s="11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>
      <c r="A99" s="10" t="s">
        <v>17</v>
      </c>
      <c r="B99" s="7" t="s">
        <v>89</v>
      </c>
      <c r="C99" s="135">
        <v>46239</v>
      </c>
      <c r="D99" s="44" t="s">
        <v>193</v>
      </c>
      <c r="E99" s="35" t="s">
        <v>409</v>
      </c>
      <c r="F99" s="121">
        <v>7.93</v>
      </c>
      <c r="G99" s="122">
        <f t="shared" si="6"/>
        <v>0</v>
      </c>
      <c r="H99" s="123">
        <f>IF(AND(ISNUMBER(F99), F99&gt;4, COUNTIFS($A$2:A99, A99, $B$2:B99, B99, $C$2:C99, C99, $F$2:F99, "&gt;4")=1), 1, 0)</f>
        <v>1</v>
      </c>
      <c r="I99" s="10">
        <f t="shared" si="7"/>
        <v>0</v>
      </c>
      <c r="J99" s="10"/>
      <c r="K99" s="7"/>
      <c r="L99" s="7"/>
      <c r="M99" s="10"/>
      <c r="N99" s="10"/>
      <c r="O99" s="113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>
      <c r="A100" s="10" t="s">
        <v>17</v>
      </c>
      <c r="B100" s="7" t="s">
        <v>89</v>
      </c>
      <c r="C100" s="135">
        <v>46241</v>
      </c>
      <c r="D100" s="44" t="s">
        <v>193</v>
      </c>
      <c r="E100" s="35" t="s">
        <v>288</v>
      </c>
      <c r="F100" s="121">
        <v>8.0500000000000007</v>
      </c>
      <c r="G100" s="122">
        <f t="shared" si="6"/>
        <v>0</v>
      </c>
      <c r="H100" s="123">
        <f>IF(AND(ISNUMBER(F100), F100&gt;4, COUNTIFS($A$2:A100, A100, $B$2:B100, B100, $C$2:C100, C100, $F$2:F100, "&gt;4")=1), 1, 0)</f>
        <v>1</v>
      </c>
      <c r="I100" s="10">
        <f t="shared" si="7"/>
        <v>0</v>
      </c>
      <c r="J100" s="10"/>
      <c r="K100" s="7"/>
      <c r="L100" s="7"/>
      <c r="M100" s="10"/>
      <c r="N100" s="10"/>
      <c r="O100" s="11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>
      <c r="A101" s="10" t="s">
        <v>17</v>
      </c>
      <c r="B101" s="7" t="s">
        <v>89</v>
      </c>
      <c r="C101" s="135">
        <v>46243</v>
      </c>
      <c r="D101" s="44" t="s">
        <v>193</v>
      </c>
      <c r="E101" s="35" t="s">
        <v>476</v>
      </c>
      <c r="F101" s="121">
        <v>8.1199999999999992</v>
      </c>
      <c r="G101" s="122">
        <f t="shared" si="6"/>
        <v>0</v>
      </c>
      <c r="H101" s="123">
        <f>IF(AND(ISNUMBER(F101), F101&gt;4, COUNTIFS($A$2:A101, A101, $B$2:B101, B101, $C$2:C101, C101, $F$2:F101, "&gt;4")=1), 1, 0)</f>
        <v>1</v>
      </c>
      <c r="I101" s="10">
        <f t="shared" si="7"/>
        <v>0</v>
      </c>
      <c r="J101" s="10"/>
      <c r="K101" s="7"/>
      <c r="L101" s="7"/>
      <c r="M101" s="10"/>
      <c r="N101" s="10"/>
      <c r="O101" s="11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>
      <c r="A102" s="10" t="s">
        <v>17</v>
      </c>
      <c r="B102" s="7" t="s">
        <v>89</v>
      </c>
      <c r="C102" s="135">
        <v>46245</v>
      </c>
      <c r="D102" s="44" t="s">
        <v>193</v>
      </c>
      <c r="E102" s="35" t="s">
        <v>199</v>
      </c>
      <c r="F102" s="121">
        <v>8</v>
      </c>
      <c r="G102" s="122">
        <f t="shared" si="6"/>
        <v>0</v>
      </c>
      <c r="H102" s="123">
        <f>IF(AND(ISNUMBER(F102), F102&gt;4, COUNTIFS($A$2:A102, A102, $B$2:B102, B102, $C$2:C102, C102, $F$2:F102, "&gt;4")=1), 1, 0)</f>
        <v>1</v>
      </c>
      <c r="I102" s="10">
        <f t="shared" si="7"/>
        <v>0</v>
      </c>
      <c r="J102" s="10"/>
      <c r="K102" s="7"/>
      <c r="L102" s="7"/>
      <c r="M102" s="10"/>
      <c r="N102" s="10"/>
      <c r="O102" s="11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>
      <c r="A103" s="10" t="s">
        <v>17</v>
      </c>
      <c r="B103" s="7" t="s">
        <v>89</v>
      </c>
      <c r="C103" s="135">
        <v>46246</v>
      </c>
      <c r="D103" s="44" t="s">
        <v>193</v>
      </c>
      <c r="E103" s="35" t="s">
        <v>492</v>
      </c>
      <c r="F103" s="121">
        <v>8.42</v>
      </c>
      <c r="G103" s="122">
        <f t="shared" si="6"/>
        <v>0</v>
      </c>
      <c r="H103" s="123">
        <f>IF(AND(ISNUMBER(F103), F103&gt;4, COUNTIFS($A$2:A103, A103, $B$2:B103, B103, $C$2:C103, C103, $F$2:F103, "&gt;4")=1), 1, 0)</f>
        <v>1</v>
      </c>
      <c r="I103" s="10">
        <f t="shared" si="7"/>
        <v>0</v>
      </c>
      <c r="J103" s="10"/>
      <c r="K103" s="7"/>
      <c r="L103" s="7"/>
      <c r="M103" s="10"/>
      <c r="N103" s="10"/>
      <c r="O103" s="11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>
      <c r="A104" s="10" t="s">
        <v>17</v>
      </c>
      <c r="B104" s="7" t="s">
        <v>89</v>
      </c>
      <c r="C104" s="135">
        <v>46247</v>
      </c>
      <c r="D104" s="44" t="s">
        <v>193</v>
      </c>
      <c r="E104" s="35" t="s">
        <v>502</v>
      </c>
      <c r="F104" s="121">
        <v>8.17</v>
      </c>
      <c r="G104" s="122">
        <f t="shared" si="6"/>
        <v>0</v>
      </c>
      <c r="H104" s="123">
        <f>IF(AND(ISNUMBER(F104), F104&gt;4, COUNTIFS($A$2:A104, A104, $B$2:B104, B104, $C$2:C104, C104, $F$2:F104, "&gt;4")=1), 1, 0)</f>
        <v>1</v>
      </c>
      <c r="I104" s="10">
        <f t="shared" si="7"/>
        <v>0</v>
      </c>
      <c r="J104" s="10"/>
      <c r="K104" s="7"/>
      <c r="L104" s="7"/>
      <c r="M104" s="10"/>
      <c r="N104" s="10"/>
      <c r="O104" s="11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>
      <c r="A105" s="10" t="s">
        <v>17</v>
      </c>
      <c r="B105" s="7" t="s">
        <v>89</v>
      </c>
      <c r="C105" s="135">
        <v>46250</v>
      </c>
      <c r="D105" s="44" t="s">
        <v>193</v>
      </c>
      <c r="E105" s="35" t="s">
        <v>214</v>
      </c>
      <c r="F105" s="121">
        <v>8.08</v>
      </c>
      <c r="G105" s="122">
        <f t="shared" si="6"/>
        <v>0</v>
      </c>
      <c r="H105" s="123">
        <f>IF(AND(ISNUMBER(F105), F105&gt;4, COUNTIFS($A$2:A105, A105, $B$2:B105, B105, $C$2:C105, C105, $F$2:F105, "&gt;4")=1), 1, 0)</f>
        <v>1</v>
      </c>
      <c r="I105" s="10">
        <f t="shared" si="7"/>
        <v>0</v>
      </c>
      <c r="J105" s="10"/>
      <c r="K105" s="7"/>
      <c r="L105" s="7"/>
      <c r="M105" s="10"/>
      <c r="N105" s="10"/>
      <c r="O105" s="11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>
      <c r="A106" s="10" t="s">
        <v>17</v>
      </c>
      <c r="B106" s="7" t="s">
        <v>89</v>
      </c>
      <c r="C106" s="135">
        <v>46251</v>
      </c>
      <c r="D106" s="44" t="s">
        <v>193</v>
      </c>
      <c r="E106" s="35" t="s">
        <v>239</v>
      </c>
      <c r="F106" s="121">
        <v>8.07</v>
      </c>
      <c r="G106" s="122">
        <f t="shared" si="6"/>
        <v>0</v>
      </c>
      <c r="H106" s="123">
        <f>IF(AND(ISNUMBER(F106), F106&gt;4, COUNTIFS($A$2:A106, A106, $B$2:B106, B106, $C$2:C106, C106, $F$2:F106, "&gt;4")=1), 1, 0)</f>
        <v>1</v>
      </c>
      <c r="I106" s="10">
        <f t="shared" si="7"/>
        <v>0</v>
      </c>
      <c r="J106" s="10"/>
      <c r="K106" s="7"/>
      <c r="L106" s="7"/>
      <c r="M106" s="10"/>
      <c r="N106" s="10"/>
      <c r="O106" s="11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>
      <c r="A107" s="10" t="s">
        <v>17</v>
      </c>
      <c r="B107" s="7" t="s">
        <v>89</v>
      </c>
      <c r="C107" s="135">
        <v>46253</v>
      </c>
      <c r="D107" s="44" t="s">
        <v>193</v>
      </c>
      <c r="E107" s="35" t="s">
        <v>480</v>
      </c>
      <c r="F107" s="121">
        <v>7.97</v>
      </c>
      <c r="G107" s="122">
        <f t="shared" si="6"/>
        <v>0</v>
      </c>
      <c r="H107" s="123">
        <f>IF(AND(ISNUMBER(F107), F107&gt;4, COUNTIFS($A$2:A107, A107, $B$2:B107, B107, $C$2:C107, C107, $F$2:F107, "&gt;4")=1), 1, 0)</f>
        <v>1</v>
      </c>
      <c r="I107" s="10">
        <f t="shared" si="7"/>
        <v>0</v>
      </c>
      <c r="J107" s="10"/>
      <c r="K107" s="7"/>
      <c r="L107" s="7"/>
      <c r="M107" s="10"/>
      <c r="N107" s="10"/>
      <c r="O107" s="11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>
      <c r="A108" s="10" t="s">
        <v>17</v>
      </c>
      <c r="B108" s="7" t="s">
        <v>89</v>
      </c>
      <c r="C108" s="135">
        <v>46254</v>
      </c>
      <c r="D108" s="44" t="s">
        <v>193</v>
      </c>
      <c r="E108" s="35" t="s">
        <v>489</v>
      </c>
      <c r="F108" s="121">
        <v>8.33</v>
      </c>
      <c r="G108" s="122">
        <f t="shared" si="6"/>
        <v>0</v>
      </c>
      <c r="H108" s="123">
        <f>IF(AND(ISNUMBER(F108), F108&gt;4, COUNTIFS($A$2:A108, A108, $B$2:B108, B108, $C$2:C108, C108, $F$2:F108, "&gt;4")=1), 1, 0)</f>
        <v>1</v>
      </c>
      <c r="I108" s="10">
        <f t="shared" si="7"/>
        <v>0</v>
      </c>
      <c r="J108" s="10"/>
      <c r="K108" s="7"/>
      <c r="L108" s="7"/>
      <c r="M108" s="10"/>
      <c r="N108" s="10"/>
      <c r="O108" s="11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>
      <c r="A109" s="10" t="s">
        <v>17</v>
      </c>
      <c r="B109" s="7" t="s">
        <v>89</v>
      </c>
      <c r="C109" s="135">
        <v>46256</v>
      </c>
      <c r="D109" s="44" t="s">
        <v>193</v>
      </c>
      <c r="E109" s="35" t="s">
        <v>199</v>
      </c>
      <c r="F109" s="121">
        <v>8</v>
      </c>
      <c r="G109" s="122">
        <f t="shared" si="6"/>
        <v>0</v>
      </c>
      <c r="H109" s="123">
        <f>IF(AND(ISNUMBER(F109), F109&gt;4, COUNTIFS($A$2:A109, A109, $B$2:B109, B109, $C$2:C109, C109, $F$2:F109, "&gt;4")=1), 1, 0)</f>
        <v>1</v>
      </c>
      <c r="I109" s="10">
        <f t="shared" si="7"/>
        <v>0</v>
      </c>
      <c r="J109" s="10"/>
      <c r="K109" s="7"/>
      <c r="L109" s="7"/>
      <c r="M109" s="10"/>
      <c r="N109" s="10"/>
      <c r="O109" s="11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>
      <c r="A110" s="10" t="s">
        <v>17</v>
      </c>
      <c r="B110" s="7" t="s">
        <v>89</v>
      </c>
      <c r="C110" s="135">
        <v>46257</v>
      </c>
      <c r="D110" s="44" t="s">
        <v>193</v>
      </c>
      <c r="E110" s="35" t="s">
        <v>503</v>
      </c>
      <c r="F110" s="121">
        <v>8.1999999999999993</v>
      </c>
      <c r="G110" s="122">
        <f t="shared" si="6"/>
        <v>0</v>
      </c>
      <c r="H110" s="123">
        <f>IF(AND(ISNUMBER(F110), F110&gt;4, COUNTIFS($A$2:A110, A110, $B$2:B110, B110, $C$2:C110, C110, $F$2:F110, "&gt;4")=1), 1, 0)</f>
        <v>1</v>
      </c>
      <c r="I110" s="10">
        <f t="shared" si="7"/>
        <v>0</v>
      </c>
      <c r="J110" s="10"/>
      <c r="K110" s="7"/>
      <c r="L110" s="7"/>
      <c r="M110" s="10"/>
      <c r="N110" s="10"/>
      <c r="O110" s="11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>
      <c r="A111" s="10" t="s">
        <v>17</v>
      </c>
      <c r="B111" s="7" t="s">
        <v>89</v>
      </c>
      <c r="C111" s="135">
        <v>46259</v>
      </c>
      <c r="D111" s="44" t="s">
        <v>193</v>
      </c>
      <c r="E111" s="35" t="s">
        <v>490</v>
      </c>
      <c r="F111" s="121">
        <v>8.23</v>
      </c>
      <c r="G111" s="122">
        <f t="shared" si="6"/>
        <v>0</v>
      </c>
      <c r="H111" s="123">
        <f>IF(AND(ISNUMBER(F111), F111&gt;4, COUNTIFS($A$2:A111, A111, $B$2:B111, B111, $C$2:C111, C111, $F$2:F111, "&gt;4")=1), 1, 0)</f>
        <v>1</v>
      </c>
      <c r="I111" s="10">
        <f t="shared" si="7"/>
        <v>0</v>
      </c>
      <c r="J111" s="10"/>
      <c r="K111" s="7"/>
      <c r="L111" s="7"/>
      <c r="M111" s="10"/>
      <c r="N111" s="10"/>
      <c r="O111" s="11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>
      <c r="A112" s="10" t="s">
        <v>17</v>
      </c>
      <c r="B112" s="7" t="s">
        <v>89</v>
      </c>
      <c r="C112" s="135">
        <v>46261</v>
      </c>
      <c r="D112" s="44" t="s">
        <v>193</v>
      </c>
      <c r="E112" s="35" t="s">
        <v>499</v>
      </c>
      <c r="F112" s="121">
        <v>8.15</v>
      </c>
      <c r="G112" s="122">
        <f t="shared" si="6"/>
        <v>0</v>
      </c>
      <c r="H112" s="123">
        <f>IF(AND(ISNUMBER(F112), F112&gt;4, COUNTIFS($A$2:A112, A112, $B$2:B112, B112, $C$2:C112, C112, $F$2:F112, "&gt;4")=1), 1, 0)</f>
        <v>1</v>
      </c>
      <c r="I112" s="10">
        <f t="shared" si="7"/>
        <v>0</v>
      </c>
      <c r="J112" s="10"/>
      <c r="K112" s="7"/>
      <c r="L112" s="7"/>
      <c r="M112" s="10"/>
      <c r="N112" s="10"/>
      <c r="O112" s="11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>
      <c r="A113" s="10" t="s">
        <v>17</v>
      </c>
      <c r="B113" s="7" t="s">
        <v>89</v>
      </c>
      <c r="C113" s="135">
        <v>46262</v>
      </c>
      <c r="D113" s="44" t="s">
        <v>193</v>
      </c>
      <c r="E113" s="35" t="s">
        <v>479</v>
      </c>
      <c r="F113" s="121">
        <v>8.02</v>
      </c>
      <c r="G113" s="122">
        <f t="shared" si="6"/>
        <v>0</v>
      </c>
      <c r="H113" s="123">
        <f>IF(AND(ISNUMBER(F113), F113&gt;4, COUNTIFS($A$2:A113, A113, $B$2:B113, B113, $C$2:C113, C113, $F$2:F113, "&gt;4")=1), 1, 0)</f>
        <v>1</v>
      </c>
      <c r="I113" s="10">
        <f t="shared" si="7"/>
        <v>0</v>
      </c>
      <c r="J113" s="10"/>
      <c r="K113" s="7"/>
      <c r="L113" s="7"/>
      <c r="M113" s="10"/>
      <c r="N113" s="10"/>
      <c r="O113" s="11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>
      <c r="A114" s="10" t="s">
        <v>17</v>
      </c>
      <c r="B114" s="7" t="s">
        <v>89</v>
      </c>
      <c r="C114" s="135">
        <v>46264</v>
      </c>
      <c r="D114" s="44" t="s">
        <v>193</v>
      </c>
      <c r="E114" s="35" t="s">
        <v>504</v>
      </c>
      <c r="F114" s="121">
        <v>8.18</v>
      </c>
      <c r="G114" s="122">
        <f t="shared" si="6"/>
        <v>0</v>
      </c>
      <c r="H114" s="123">
        <f>IF(AND(ISNUMBER(F114), F114&gt;4, COUNTIFS($A$2:A114, A114, $B$2:B114, B114, $C$2:C114, C114, $F$2:F114, "&gt;4")=1), 1, 0)</f>
        <v>1</v>
      </c>
      <c r="I114" s="10">
        <f t="shared" si="7"/>
        <v>0</v>
      </c>
      <c r="J114" s="10"/>
      <c r="K114" s="7"/>
      <c r="L114" s="7"/>
      <c r="M114" s="10"/>
      <c r="N114" s="10"/>
      <c r="O114" s="11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>
      <c r="A115" s="10" t="s">
        <v>17</v>
      </c>
      <c r="B115" s="7" t="s">
        <v>89</v>
      </c>
      <c r="C115" s="135">
        <v>46265</v>
      </c>
      <c r="D115" s="44" t="s">
        <v>193</v>
      </c>
      <c r="E115" s="35" t="s">
        <v>503</v>
      </c>
      <c r="F115" s="121">
        <v>8.1999999999999993</v>
      </c>
      <c r="G115" s="122">
        <f t="shared" si="6"/>
        <v>0</v>
      </c>
      <c r="H115" s="123">
        <f>IF(AND(ISNUMBER(F115), F115&gt;4, COUNTIFS($A$2:A115, A115, $B$2:B115, B115, $C$2:C115, C115, $F$2:F115, "&gt;4")=1), 1, 0)</f>
        <v>1</v>
      </c>
      <c r="I115" s="10">
        <f t="shared" si="7"/>
        <v>0</v>
      </c>
      <c r="J115" s="10"/>
      <c r="K115" s="7"/>
      <c r="L115" s="7"/>
      <c r="M115" s="10"/>
      <c r="N115" s="10"/>
      <c r="O115" s="11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>
      <c r="A116" s="10" t="s">
        <v>17</v>
      </c>
      <c r="B116" s="7" t="s">
        <v>89</v>
      </c>
      <c r="C116" s="135">
        <v>46246</v>
      </c>
      <c r="D116" s="44" t="s">
        <v>188</v>
      </c>
      <c r="E116" s="35" t="s">
        <v>505</v>
      </c>
      <c r="F116" s="121">
        <v>0.53</v>
      </c>
      <c r="G116" s="122">
        <f t="shared" si="6"/>
        <v>1</v>
      </c>
      <c r="H116" s="123">
        <f>IF(AND(ISNUMBER(F116), F116&gt;4, COUNTIFS($A$2:A116, A116, $B$2:B116, B116, $C$2:C116, C116, $F$2:F116, "&gt;4")=1), 1, 0)</f>
        <v>0</v>
      </c>
      <c r="I116" s="10">
        <f t="shared" si="7"/>
        <v>0</v>
      </c>
      <c r="J116" s="10"/>
      <c r="K116" s="7"/>
      <c r="L116" s="7"/>
      <c r="M116" s="10"/>
      <c r="N116" s="10"/>
      <c r="O116" s="11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>
      <c r="A117" s="10" t="s">
        <v>17</v>
      </c>
      <c r="B117" s="7" t="s">
        <v>89</v>
      </c>
      <c r="C117" s="135">
        <v>46262</v>
      </c>
      <c r="D117" s="44" t="s">
        <v>188</v>
      </c>
      <c r="E117" s="35" t="s">
        <v>506</v>
      </c>
      <c r="F117" s="121">
        <v>0.56999999999999995</v>
      </c>
      <c r="G117" s="122">
        <f t="shared" si="6"/>
        <v>1</v>
      </c>
      <c r="H117" s="123">
        <f>IF(AND(ISNUMBER(F117), F117&gt;4, COUNTIFS($A$2:A117, A117, $B$2:B117, B117, $C$2:C117, C117, $F$2:F117, "&gt;4")=1), 1, 0)</f>
        <v>0</v>
      </c>
      <c r="I117" s="10">
        <f t="shared" si="7"/>
        <v>0</v>
      </c>
      <c r="J117" s="10"/>
      <c r="K117" s="7"/>
      <c r="L117" s="7"/>
      <c r="M117" s="10"/>
      <c r="N117" s="10"/>
      <c r="O117" s="11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>
      <c r="A118" s="10" t="s">
        <v>20</v>
      </c>
      <c r="B118" s="7" t="s">
        <v>107</v>
      </c>
      <c r="C118" s="135">
        <v>46264</v>
      </c>
      <c r="D118" s="44" t="s">
        <v>198</v>
      </c>
      <c r="E118" s="35" t="s">
        <v>199</v>
      </c>
      <c r="F118" s="121">
        <v>8</v>
      </c>
      <c r="G118" s="122">
        <f t="shared" si="6"/>
        <v>0</v>
      </c>
      <c r="H118" s="123">
        <f>IF(AND(ISNUMBER(F118), F118&gt;4, COUNTIFS($A$2:A118, A118, $B$2:B118, B118, $C$2:C118, C118, $F$2:F118, "&gt;4")=1), 1, 0)</f>
        <v>1</v>
      </c>
      <c r="I118" s="10">
        <f t="shared" si="7"/>
        <v>0</v>
      </c>
      <c r="J118" s="10"/>
      <c r="K118" s="7"/>
      <c r="L118" s="7"/>
      <c r="M118" s="10"/>
      <c r="N118" s="10"/>
      <c r="O118" s="11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>
      <c r="A119" s="10" t="s">
        <v>23</v>
      </c>
      <c r="B119" s="7" t="s">
        <v>107</v>
      </c>
      <c r="C119" s="135">
        <v>46238</v>
      </c>
      <c r="D119" s="44" t="s">
        <v>200</v>
      </c>
      <c r="E119" s="35" t="s">
        <v>207</v>
      </c>
      <c r="F119" s="121">
        <v>8.1</v>
      </c>
      <c r="G119" s="122">
        <f t="shared" si="6"/>
        <v>0</v>
      </c>
      <c r="H119" s="123">
        <f>IF(AND(ISNUMBER(F119), F119&gt;4, COUNTIFS($A$2:A119, A119, $B$2:B119, B119, $C$2:C119, C119, $F$2:F119, "&gt;4")=1), 1, 0)</f>
        <v>1</v>
      </c>
      <c r="I119" s="10">
        <f t="shared" si="7"/>
        <v>0</v>
      </c>
      <c r="J119" s="10"/>
      <c r="K119" s="7"/>
      <c r="L119" s="7"/>
      <c r="M119" s="10"/>
      <c r="N119" s="10"/>
      <c r="O119" s="11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>
      <c r="A120" s="10" t="s">
        <v>23</v>
      </c>
      <c r="B120" s="7" t="s">
        <v>107</v>
      </c>
      <c r="C120" s="135">
        <v>46250</v>
      </c>
      <c r="D120" s="44" t="s">
        <v>200</v>
      </c>
      <c r="E120" s="35" t="s">
        <v>501</v>
      </c>
      <c r="F120" s="121">
        <v>8.2200000000000006</v>
      </c>
      <c r="G120" s="122">
        <f t="shared" si="6"/>
        <v>0</v>
      </c>
      <c r="H120" s="123">
        <f>IF(AND(ISNUMBER(F120), F120&gt;4, COUNTIFS($A$2:A120, A120, $B$2:B120, B120, $C$2:C120, C120, $F$2:F120, "&gt;4")=1), 1, 0)</f>
        <v>1</v>
      </c>
      <c r="I120" s="10">
        <f t="shared" si="7"/>
        <v>0</v>
      </c>
      <c r="J120" s="10"/>
      <c r="K120" s="7"/>
      <c r="L120" s="7"/>
      <c r="M120" s="10"/>
      <c r="N120" s="10"/>
      <c r="O120" s="11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>
      <c r="A121" s="10" t="s">
        <v>23</v>
      </c>
      <c r="B121" s="7" t="s">
        <v>107</v>
      </c>
      <c r="C121" s="135">
        <v>46256</v>
      </c>
      <c r="D121" s="44" t="s">
        <v>200</v>
      </c>
      <c r="E121" s="35" t="s">
        <v>239</v>
      </c>
      <c r="F121" s="121">
        <v>8.07</v>
      </c>
      <c r="G121" s="122">
        <f t="shared" si="6"/>
        <v>0</v>
      </c>
      <c r="H121" s="123">
        <f>IF(AND(ISNUMBER(F121), F121&gt;4, COUNTIFS($A$2:A121, A121, $B$2:B121, B121, $C$2:C121, C121, $F$2:F121, "&gt;4")=1), 1, 0)</f>
        <v>1</v>
      </c>
      <c r="I121" s="10">
        <f t="shared" si="7"/>
        <v>0</v>
      </c>
      <c r="J121" s="10"/>
      <c r="K121" s="7"/>
      <c r="L121" s="7"/>
      <c r="M121" s="10"/>
      <c r="N121" s="10"/>
      <c r="O121" s="11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>
      <c r="A122" s="10" t="s">
        <v>23</v>
      </c>
      <c r="B122" s="7" t="s">
        <v>107</v>
      </c>
      <c r="C122" s="135">
        <v>46261</v>
      </c>
      <c r="D122" s="44" t="s">
        <v>200</v>
      </c>
      <c r="E122" s="35" t="s">
        <v>476</v>
      </c>
      <c r="F122" s="121">
        <v>8.1199999999999992</v>
      </c>
      <c r="G122" s="122">
        <f t="shared" si="6"/>
        <v>0</v>
      </c>
      <c r="H122" s="123">
        <f>IF(AND(ISNUMBER(F122), F122&gt;4, COUNTIFS($A$2:A122, A122, $B$2:B122, B122, $C$2:C122, C122, $F$2:F122, "&gt;4")=1), 1, 0)</f>
        <v>1</v>
      </c>
      <c r="I122" s="10">
        <f t="shared" si="7"/>
        <v>0</v>
      </c>
      <c r="J122" s="10"/>
      <c r="K122" s="7"/>
      <c r="L122" s="7"/>
      <c r="M122" s="10"/>
      <c r="N122" s="10"/>
      <c r="O122" s="11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>
      <c r="A123" s="10" t="s">
        <v>23</v>
      </c>
      <c r="B123" s="7" t="s">
        <v>107</v>
      </c>
      <c r="C123" s="135">
        <v>46265</v>
      </c>
      <c r="D123" s="44" t="s">
        <v>200</v>
      </c>
      <c r="E123" s="35" t="s">
        <v>214</v>
      </c>
      <c r="F123" s="121">
        <v>8.08</v>
      </c>
      <c r="G123" s="122">
        <f t="shared" si="6"/>
        <v>0</v>
      </c>
      <c r="H123" s="123">
        <f>IF(AND(ISNUMBER(F123), F123&gt;4, COUNTIFS($A$2:A123, A123, $B$2:B123, B123, $C$2:C123, C123, $F$2:F123, "&gt;4")=1), 1, 0)</f>
        <v>1</v>
      </c>
      <c r="I123" s="10">
        <f t="shared" si="7"/>
        <v>0</v>
      </c>
      <c r="J123" s="10"/>
      <c r="K123" s="7"/>
      <c r="L123" s="7"/>
      <c r="M123" s="10"/>
      <c r="N123" s="10"/>
      <c r="O123" s="11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>
      <c r="A124" s="10" t="s">
        <v>23</v>
      </c>
      <c r="B124" s="7" t="s">
        <v>107</v>
      </c>
      <c r="C124" s="135">
        <v>46251</v>
      </c>
      <c r="D124" s="44" t="s">
        <v>202</v>
      </c>
      <c r="E124" s="35" t="s">
        <v>203</v>
      </c>
      <c r="F124" s="121">
        <v>8.68</v>
      </c>
      <c r="G124" s="122">
        <f t="shared" si="6"/>
        <v>0</v>
      </c>
      <c r="H124" s="123">
        <f>IF(AND(ISNUMBER(F124), F124&gt;4, COUNTIFS($A$2:A124, A124, $B$2:B124, B124, $C$2:C124, C124, $F$2:F124, "&gt;4")=1), 1, 0)</f>
        <v>1</v>
      </c>
      <c r="I124" s="10">
        <f t="shared" si="7"/>
        <v>0</v>
      </c>
      <c r="J124" s="10"/>
      <c r="K124" s="7"/>
      <c r="L124" s="7"/>
      <c r="M124" s="10"/>
      <c r="N124" s="10"/>
      <c r="O124" s="11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>
      <c r="A125" s="10" t="s">
        <v>23</v>
      </c>
      <c r="B125" s="7" t="s">
        <v>107</v>
      </c>
      <c r="C125" s="135">
        <v>46237</v>
      </c>
      <c r="D125" s="44" t="s">
        <v>204</v>
      </c>
      <c r="E125" s="35" t="s">
        <v>214</v>
      </c>
      <c r="F125" s="121">
        <v>8.08</v>
      </c>
      <c r="G125" s="122">
        <f t="shared" si="6"/>
        <v>0</v>
      </c>
      <c r="H125" s="123">
        <f>IF(AND(ISNUMBER(F125), F125&gt;4, COUNTIFS($A$2:A125, A125, $B$2:B125, B125, $C$2:C125, C125, $F$2:F125, "&gt;4")=1), 1, 0)</f>
        <v>1</v>
      </c>
      <c r="I125" s="10">
        <f t="shared" si="7"/>
        <v>0</v>
      </c>
      <c r="J125" s="10"/>
      <c r="K125" s="7"/>
      <c r="L125" s="7"/>
      <c r="M125" s="10"/>
      <c r="N125" s="10"/>
      <c r="O125" s="11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>
      <c r="A126" s="10" t="s">
        <v>23</v>
      </c>
      <c r="B126" s="7" t="s">
        <v>107</v>
      </c>
      <c r="C126" s="135">
        <v>46240</v>
      </c>
      <c r="D126" s="44" t="s">
        <v>204</v>
      </c>
      <c r="E126" s="35" t="s">
        <v>507</v>
      </c>
      <c r="F126" s="121">
        <v>0</v>
      </c>
      <c r="G126" s="122">
        <f t="shared" si="6"/>
        <v>1</v>
      </c>
      <c r="H126" s="123">
        <f>IF(AND(ISNUMBER(F126), F126&gt;4, COUNTIFS($A$2:A126, A126, $B$2:B126, B126, $C$2:C126, C126, $F$2:F126, "&gt;4")=1), 1, 0)</f>
        <v>0</v>
      </c>
      <c r="I126" s="10">
        <f t="shared" si="7"/>
        <v>0</v>
      </c>
      <c r="J126" s="10"/>
      <c r="K126" s="7"/>
      <c r="L126" s="7"/>
      <c r="M126" s="10"/>
      <c r="N126" s="10"/>
      <c r="O126" s="11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>
      <c r="A127" s="10" t="s">
        <v>23</v>
      </c>
      <c r="B127" s="7" t="s">
        <v>107</v>
      </c>
      <c r="C127" s="135">
        <v>46241</v>
      </c>
      <c r="D127" s="44" t="s">
        <v>204</v>
      </c>
      <c r="E127" s="35" t="s">
        <v>282</v>
      </c>
      <c r="F127" s="121">
        <v>2</v>
      </c>
      <c r="G127" s="122">
        <f t="shared" si="6"/>
        <v>1</v>
      </c>
      <c r="H127" s="123">
        <f>IF(AND(ISNUMBER(F127), F127&gt;4, COUNTIFS($A$2:A127, A127, $B$2:B127, B127, $C$2:C127, C127, $F$2:F127, "&gt;4")=1), 1, 0)</f>
        <v>0</v>
      </c>
      <c r="I127" s="10">
        <f t="shared" si="7"/>
        <v>0</v>
      </c>
      <c r="J127" s="10"/>
      <c r="K127" s="7"/>
      <c r="L127" s="7"/>
      <c r="M127" s="10"/>
      <c r="N127" s="10"/>
      <c r="O127" s="11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>
      <c r="A128" s="10" t="s">
        <v>23</v>
      </c>
      <c r="B128" s="7" t="s">
        <v>107</v>
      </c>
      <c r="C128" s="135">
        <v>46242</v>
      </c>
      <c r="D128" s="44" t="s">
        <v>204</v>
      </c>
      <c r="E128" s="35" t="s">
        <v>508</v>
      </c>
      <c r="F128" s="121">
        <v>8.83</v>
      </c>
      <c r="G128" s="122">
        <f t="shared" si="6"/>
        <v>0</v>
      </c>
      <c r="H128" s="123">
        <f>IF(AND(ISNUMBER(F128), F128&gt;4, COUNTIFS($A$2:A128, A128, $B$2:B128, B128, $C$2:C128, C128, $F$2:F128, "&gt;4")=1), 1, 0)</f>
        <v>1</v>
      </c>
      <c r="I128" s="10">
        <f t="shared" si="7"/>
        <v>0</v>
      </c>
      <c r="J128" s="10"/>
      <c r="K128" s="7"/>
      <c r="L128" s="7"/>
      <c r="M128" s="10"/>
      <c r="N128" s="10"/>
      <c r="O128" s="11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>
      <c r="A129" s="10" t="s">
        <v>23</v>
      </c>
      <c r="B129" s="7" t="s">
        <v>107</v>
      </c>
      <c r="C129" s="135">
        <v>46243</v>
      </c>
      <c r="D129" s="44" t="s">
        <v>204</v>
      </c>
      <c r="E129" s="35" t="s">
        <v>509</v>
      </c>
      <c r="F129" s="121">
        <v>9.42</v>
      </c>
      <c r="G129" s="122">
        <f t="shared" si="6"/>
        <v>0</v>
      </c>
      <c r="H129" s="123">
        <f>IF(AND(ISNUMBER(F129), F129&gt;4, COUNTIFS($A$2:A129, A129, $B$2:B129, B129, $C$2:C129, C129, $F$2:F129, "&gt;4")=1), 1, 0)</f>
        <v>1</v>
      </c>
      <c r="I129" s="10">
        <f t="shared" si="7"/>
        <v>0</v>
      </c>
      <c r="J129" s="10"/>
      <c r="K129" s="7"/>
      <c r="L129" s="7"/>
      <c r="M129" s="10"/>
      <c r="N129" s="10"/>
      <c r="O129" s="11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>
      <c r="A130" s="10" t="s">
        <v>23</v>
      </c>
      <c r="B130" s="7" t="s">
        <v>107</v>
      </c>
      <c r="C130" s="135">
        <v>46244</v>
      </c>
      <c r="D130" s="44" t="s">
        <v>204</v>
      </c>
      <c r="E130" s="35" t="s">
        <v>510</v>
      </c>
      <c r="F130" s="121">
        <v>8.75</v>
      </c>
      <c r="G130" s="122">
        <f t="shared" ref="G130:G193" si="10">IF(AND(ISNUMBER(F130), F130&lt;=4), 1, 0)</f>
        <v>0</v>
      </c>
      <c r="H130" s="123">
        <f>IF(AND(ISNUMBER(F130), F130&gt;4, COUNTIFS($A$2:A130, A130, $B$2:B130, B130, $C$2:C130, C130, $F$2:F130, "&gt;4")=1), 1, 0)</f>
        <v>1</v>
      </c>
      <c r="I130" s="10">
        <f t="shared" ref="I130:I193" si="11">IF(AND(ISNUMBER(F130), F130&gt;4, ISNUMBER(SEARCH("đêm", D130))), 1, 0)</f>
        <v>0</v>
      </c>
      <c r="J130" s="10"/>
      <c r="K130" s="7"/>
      <c r="L130" s="7"/>
      <c r="M130" s="10"/>
      <c r="N130" s="10"/>
      <c r="O130" s="11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>
      <c r="A131" s="10" t="s">
        <v>23</v>
      </c>
      <c r="B131" s="7" t="s">
        <v>107</v>
      </c>
      <c r="C131" s="135">
        <v>46249</v>
      </c>
      <c r="D131" s="44" t="s">
        <v>204</v>
      </c>
      <c r="E131" s="35" t="s">
        <v>300</v>
      </c>
      <c r="F131" s="121">
        <v>7.75</v>
      </c>
      <c r="G131" s="122">
        <f t="shared" si="10"/>
        <v>0</v>
      </c>
      <c r="H131" s="123">
        <f>IF(AND(ISNUMBER(F131), F131&gt;4, COUNTIFS($A$2:A131, A131, $B$2:B131, B131, $C$2:C131, C131, $F$2:F131, "&gt;4")=1), 1, 0)</f>
        <v>1</v>
      </c>
      <c r="I131" s="10">
        <f t="shared" si="11"/>
        <v>0</v>
      </c>
      <c r="J131" s="10"/>
      <c r="K131" s="7"/>
      <c r="L131" s="7"/>
      <c r="M131" s="10"/>
      <c r="N131" s="10"/>
      <c r="O131" s="11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>
      <c r="A132" s="10" t="s">
        <v>23</v>
      </c>
      <c r="B132" s="7" t="s">
        <v>107</v>
      </c>
      <c r="C132" s="135">
        <v>46252</v>
      </c>
      <c r="D132" s="44" t="s">
        <v>204</v>
      </c>
      <c r="E132" s="35" t="s">
        <v>207</v>
      </c>
      <c r="F132" s="121">
        <v>8.1</v>
      </c>
      <c r="G132" s="122">
        <f t="shared" si="10"/>
        <v>0</v>
      </c>
      <c r="H132" s="123">
        <f>IF(AND(ISNUMBER(F132), F132&gt;4, COUNTIFS($A$2:A132, A132, $B$2:B132, B132, $C$2:C132, C132, $F$2:F132, "&gt;4")=1), 1, 0)</f>
        <v>1</v>
      </c>
      <c r="I132" s="10">
        <f t="shared" si="11"/>
        <v>0</v>
      </c>
      <c r="J132" s="10"/>
      <c r="K132" s="7"/>
      <c r="L132" s="7"/>
      <c r="M132" s="10"/>
      <c r="N132" s="10"/>
      <c r="O132" s="11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>
      <c r="A133" s="10" t="s">
        <v>23</v>
      </c>
      <c r="B133" s="7" t="s">
        <v>107</v>
      </c>
      <c r="C133" s="135">
        <v>46253</v>
      </c>
      <c r="D133" s="44" t="s">
        <v>204</v>
      </c>
      <c r="E133" s="35" t="s">
        <v>479</v>
      </c>
      <c r="F133" s="121">
        <v>8.02</v>
      </c>
      <c r="G133" s="122">
        <f t="shared" si="10"/>
        <v>0</v>
      </c>
      <c r="H133" s="123">
        <f>IF(AND(ISNUMBER(F133), F133&gt;4, COUNTIFS($A$2:A133, A133, $B$2:B133, B133, $C$2:C133, C133, $F$2:F133, "&gt;4")=1), 1, 0)</f>
        <v>1</v>
      </c>
      <c r="I133" s="10">
        <f t="shared" si="11"/>
        <v>0</v>
      </c>
      <c r="J133" s="10"/>
      <c r="K133" s="7"/>
      <c r="L133" s="7"/>
      <c r="M133" s="10"/>
      <c r="N133" s="10"/>
      <c r="O133" s="11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>
      <c r="A134" s="10" t="s">
        <v>23</v>
      </c>
      <c r="B134" s="7" t="s">
        <v>107</v>
      </c>
      <c r="C134" s="135">
        <v>46255</v>
      </c>
      <c r="D134" s="44" t="s">
        <v>204</v>
      </c>
      <c r="E134" s="35" t="s">
        <v>239</v>
      </c>
      <c r="F134" s="121">
        <v>8.07</v>
      </c>
      <c r="G134" s="122">
        <f t="shared" si="10"/>
        <v>0</v>
      </c>
      <c r="H134" s="123">
        <f>IF(AND(ISNUMBER(F134), F134&gt;4, COUNTIFS($A$2:A134, A134, $B$2:B134, B134, $C$2:C134, C134, $F$2:F134, "&gt;4")=1), 1, 0)</f>
        <v>1</v>
      </c>
      <c r="I134" s="10">
        <f t="shared" si="11"/>
        <v>0</v>
      </c>
      <c r="J134" s="10"/>
      <c r="K134" s="7"/>
      <c r="L134" s="7"/>
      <c r="M134" s="10"/>
      <c r="N134" s="10"/>
      <c r="O134" s="11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>
      <c r="A135" s="10" t="s">
        <v>23</v>
      </c>
      <c r="B135" s="7" t="s">
        <v>107</v>
      </c>
      <c r="C135" s="135">
        <v>46258</v>
      </c>
      <c r="D135" s="44" t="s">
        <v>204</v>
      </c>
      <c r="E135" s="35" t="s">
        <v>499</v>
      </c>
      <c r="F135" s="121">
        <v>8.15</v>
      </c>
      <c r="G135" s="122">
        <f t="shared" si="10"/>
        <v>0</v>
      </c>
      <c r="H135" s="123">
        <f>IF(AND(ISNUMBER(F135), F135&gt;4, COUNTIFS($A$2:A135, A135, $B$2:B135, B135, $C$2:C135, C135, $F$2:F135, "&gt;4")=1), 1, 0)</f>
        <v>1</v>
      </c>
      <c r="I135" s="10">
        <f t="shared" si="11"/>
        <v>0</v>
      </c>
      <c r="J135" s="10"/>
      <c r="K135" s="7"/>
      <c r="L135" s="7"/>
      <c r="M135" s="10"/>
      <c r="N135" s="10"/>
      <c r="O135" s="11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>
      <c r="A136" s="10" t="s">
        <v>23</v>
      </c>
      <c r="B136" s="7" t="s">
        <v>107</v>
      </c>
      <c r="C136" s="135">
        <v>46259</v>
      </c>
      <c r="D136" s="44" t="s">
        <v>204</v>
      </c>
      <c r="E136" s="35" t="s">
        <v>503</v>
      </c>
      <c r="F136" s="121">
        <v>8.1999999999999993</v>
      </c>
      <c r="G136" s="122">
        <f t="shared" si="10"/>
        <v>0</v>
      </c>
      <c r="H136" s="123">
        <f>IF(AND(ISNUMBER(F136), F136&gt;4, COUNTIFS($A$2:A136, A136, $B$2:B136, B136, $C$2:C136, C136, $F$2:F136, "&gt;4")=1), 1, 0)</f>
        <v>1</v>
      </c>
      <c r="I136" s="10">
        <f t="shared" si="11"/>
        <v>0</v>
      </c>
      <c r="J136" s="10"/>
      <c r="K136" s="7"/>
      <c r="L136" s="7"/>
      <c r="M136" s="10"/>
      <c r="N136" s="10"/>
      <c r="O136" s="11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>
      <c r="A137" s="10" t="s">
        <v>23</v>
      </c>
      <c r="B137" s="7" t="s">
        <v>107</v>
      </c>
      <c r="C137" s="135">
        <v>46260</v>
      </c>
      <c r="D137" s="44" t="s">
        <v>204</v>
      </c>
      <c r="E137" s="35" t="s">
        <v>511</v>
      </c>
      <c r="F137" s="121">
        <v>8.1300000000000008</v>
      </c>
      <c r="G137" s="122">
        <f t="shared" si="10"/>
        <v>0</v>
      </c>
      <c r="H137" s="123">
        <f>IF(AND(ISNUMBER(F137), F137&gt;4, COUNTIFS($A$2:A137, A137, $B$2:B137, B137, $C$2:C137, C137, $F$2:F137, "&gt;4")=1), 1, 0)</f>
        <v>1</v>
      </c>
      <c r="I137" s="10">
        <f t="shared" si="11"/>
        <v>0</v>
      </c>
      <c r="J137" s="10"/>
      <c r="K137" s="7"/>
      <c r="L137" s="7"/>
      <c r="M137" s="10"/>
      <c r="N137" s="10"/>
      <c r="O137" s="11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>
      <c r="A138" s="10" t="s">
        <v>23</v>
      </c>
      <c r="B138" s="7" t="s">
        <v>107</v>
      </c>
      <c r="C138" s="135">
        <v>46262</v>
      </c>
      <c r="D138" s="44" t="s">
        <v>204</v>
      </c>
      <c r="E138" s="35" t="s">
        <v>497</v>
      </c>
      <c r="F138" s="121">
        <v>8.43</v>
      </c>
      <c r="G138" s="122">
        <f t="shared" si="10"/>
        <v>0</v>
      </c>
      <c r="H138" s="123">
        <f>IF(AND(ISNUMBER(F138), F138&gt;4, COUNTIFS($A$2:A138, A138, $B$2:B138, B138, $C$2:C138, C138, $F$2:F138, "&gt;4")=1), 1, 0)</f>
        <v>1</v>
      </c>
      <c r="I138" s="10">
        <f t="shared" si="11"/>
        <v>0</v>
      </c>
      <c r="J138" s="10"/>
      <c r="K138" s="7"/>
      <c r="L138" s="7"/>
      <c r="M138" s="10"/>
      <c r="N138" s="10"/>
      <c r="O138" s="11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>
      <c r="A139" s="10" t="s">
        <v>23</v>
      </c>
      <c r="B139" s="7" t="s">
        <v>107</v>
      </c>
      <c r="C139" s="135">
        <v>46263</v>
      </c>
      <c r="D139" s="44" t="s">
        <v>204</v>
      </c>
      <c r="E139" s="35" t="s">
        <v>305</v>
      </c>
      <c r="F139" s="121">
        <v>8.2799999999999994</v>
      </c>
      <c r="G139" s="122">
        <f t="shared" si="10"/>
        <v>0</v>
      </c>
      <c r="H139" s="123">
        <f>IF(AND(ISNUMBER(F139), F139&gt;4, COUNTIFS($A$2:A139, A139, $B$2:B139, B139, $C$2:C139, C139, $F$2:F139, "&gt;4")=1), 1, 0)</f>
        <v>1</v>
      </c>
      <c r="I139" s="10">
        <f t="shared" si="11"/>
        <v>0</v>
      </c>
      <c r="J139" s="10"/>
      <c r="K139" s="7"/>
      <c r="L139" s="7"/>
      <c r="M139" s="10"/>
      <c r="N139" s="10"/>
      <c r="O139" s="11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>
      <c r="A140" s="10" t="s">
        <v>23</v>
      </c>
      <c r="B140" s="7" t="s">
        <v>107</v>
      </c>
      <c r="C140" s="135">
        <v>46236</v>
      </c>
      <c r="D140" s="44" t="s">
        <v>206</v>
      </c>
      <c r="E140" s="35" t="s">
        <v>512</v>
      </c>
      <c r="F140" s="121">
        <v>3.9</v>
      </c>
      <c r="G140" s="122">
        <f t="shared" si="10"/>
        <v>1</v>
      </c>
      <c r="H140" s="123">
        <f>IF(AND(ISNUMBER(F140), F140&gt;4, COUNTIFS($A$2:A140, A140, $B$2:B140, B140, $C$2:C140, C140, $F$2:F140, "&gt;4")=1), 1, 0)</f>
        <v>0</v>
      </c>
      <c r="I140" s="10">
        <f t="shared" si="11"/>
        <v>0</v>
      </c>
      <c r="J140" s="10"/>
      <c r="K140" s="7"/>
      <c r="L140" s="7"/>
      <c r="M140" s="10"/>
      <c r="N140" s="10"/>
      <c r="O140" s="11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>
      <c r="A141" s="10" t="s">
        <v>23</v>
      </c>
      <c r="B141" s="7" t="s">
        <v>107</v>
      </c>
      <c r="C141" s="135">
        <v>46248</v>
      </c>
      <c r="D141" s="44" t="s">
        <v>206</v>
      </c>
      <c r="E141" s="35" t="s">
        <v>513</v>
      </c>
      <c r="F141" s="121">
        <v>4.2</v>
      </c>
      <c r="G141" s="122">
        <f t="shared" si="10"/>
        <v>0</v>
      </c>
      <c r="H141" s="123">
        <f>IF(AND(ISNUMBER(F141), F141&gt;4, COUNTIFS($A$2:A141, A141, $B$2:B141, B141, $C$2:C141, C141, $F$2:F141, "&gt;4")=1), 1, 0)</f>
        <v>1</v>
      </c>
      <c r="I141" s="10">
        <f t="shared" si="11"/>
        <v>0</v>
      </c>
      <c r="J141" s="10"/>
      <c r="K141" s="7"/>
      <c r="L141" s="7"/>
      <c r="M141" s="10"/>
      <c r="N141" s="10"/>
      <c r="O141" s="11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>
      <c r="A142" s="10" t="s">
        <v>23</v>
      </c>
      <c r="B142" s="7" t="s">
        <v>107</v>
      </c>
      <c r="C142" s="135">
        <v>46240</v>
      </c>
      <c r="D142" s="44" t="s">
        <v>208</v>
      </c>
      <c r="E142" s="35" t="s">
        <v>209</v>
      </c>
      <c r="F142" s="121">
        <v>2.0299999999999998</v>
      </c>
      <c r="G142" s="122">
        <f t="shared" si="10"/>
        <v>1</v>
      </c>
      <c r="H142" s="123">
        <f>IF(AND(ISNUMBER(F142), F142&gt;4, COUNTIFS($A$2:A142, A142, $B$2:B142, B142, $C$2:C142, C142, $F$2:F142, "&gt;4")=1), 1, 0)</f>
        <v>0</v>
      </c>
      <c r="I142" s="10">
        <f t="shared" si="11"/>
        <v>0</v>
      </c>
      <c r="J142" s="10"/>
      <c r="K142" s="7"/>
      <c r="L142" s="7"/>
      <c r="M142" s="10"/>
      <c r="N142" s="10"/>
      <c r="O142" s="11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>
      <c r="A143" s="10" t="s">
        <v>23</v>
      </c>
      <c r="B143" s="7" t="s">
        <v>107</v>
      </c>
      <c r="C143" s="142">
        <v>46235</v>
      </c>
      <c r="D143" s="44" t="s">
        <v>210</v>
      </c>
      <c r="E143" s="35" t="s">
        <v>199</v>
      </c>
      <c r="F143" s="121">
        <v>8</v>
      </c>
      <c r="G143" s="122">
        <f t="shared" si="10"/>
        <v>0</v>
      </c>
      <c r="H143" s="123">
        <f>IF(AND(ISNUMBER(F143), F143&gt;4, COUNTIFS($A$2:A143, A143, $B$2:B143, B143, $C$2:C143, C143, $F$2:F143, "&gt;4")=1), 1, 0)</f>
        <v>1</v>
      </c>
      <c r="I143" s="10">
        <f t="shared" si="11"/>
        <v>1</v>
      </c>
      <c r="J143" s="10"/>
      <c r="K143" s="7"/>
      <c r="L143" s="7"/>
      <c r="M143" s="10"/>
      <c r="N143" s="10"/>
      <c r="O143" s="11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>
      <c r="A144" s="10" t="s">
        <v>23</v>
      </c>
      <c r="B144" s="7" t="s">
        <v>107</v>
      </c>
      <c r="C144" s="142">
        <v>46239</v>
      </c>
      <c r="D144" s="44" t="s">
        <v>210</v>
      </c>
      <c r="E144" s="35" t="s">
        <v>214</v>
      </c>
      <c r="F144" s="121">
        <v>8.08</v>
      </c>
      <c r="G144" s="122">
        <f t="shared" si="10"/>
        <v>0</v>
      </c>
      <c r="H144" s="123">
        <f>IF(AND(ISNUMBER(F144), F144&gt;4, COUNTIFS($A$2:A144, A144, $B$2:B144, B144, $C$2:C144, C144, $F$2:F144, "&gt;4")=1), 1, 0)</f>
        <v>1</v>
      </c>
      <c r="I144" s="10">
        <f t="shared" si="11"/>
        <v>1</v>
      </c>
      <c r="J144" s="10"/>
      <c r="K144" s="7"/>
      <c r="L144" s="7"/>
      <c r="M144" s="10"/>
      <c r="N144" s="10"/>
      <c r="O144" s="11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>
      <c r="A145" s="10" t="s">
        <v>23</v>
      </c>
      <c r="B145" s="7" t="s">
        <v>107</v>
      </c>
      <c r="C145" s="142">
        <v>46240</v>
      </c>
      <c r="D145" s="44" t="s">
        <v>210</v>
      </c>
      <c r="E145" s="35" t="s">
        <v>199</v>
      </c>
      <c r="F145" s="121">
        <v>8</v>
      </c>
      <c r="G145" s="122">
        <f t="shared" si="10"/>
        <v>0</v>
      </c>
      <c r="H145" s="123">
        <f>IF(AND(ISNUMBER(F145), F145&gt;4, COUNTIFS($A$2:A145, A145, $B$2:B145, B145, $C$2:C145, C145, $F$2:F145, "&gt;4")=1), 1, 0)</f>
        <v>1</v>
      </c>
      <c r="I145" s="10">
        <f t="shared" si="11"/>
        <v>1</v>
      </c>
      <c r="J145" s="10"/>
      <c r="K145" s="7"/>
      <c r="L145" s="7"/>
      <c r="M145" s="10"/>
      <c r="N145" s="10"/>
      <c r="O145" s="11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>
      <c r="A146" s="10" t="s">
        <v>23</v>
      </c>
      <c r="B146" s="7" t="s">
        <v>107</v>
      </c>
      <c r="C146" s="142">
        <v>46241</v>
      </c>
      <c r="D146" s="44" t="s">
        <v>210</v>
      </c>
      <c r="E146" s="35" t="s">
        <v>199</v>
      </c>
      <c r="F146" s="121">
        <v>8</v>
      </c>
      <c r="G146" s="122">
        <f t="shared" si="10"/>
        <v>0</v>
      </c>
      <c r="H146" s="123">
        <f>IF(AND(ISNUMBER(F146), F146&gt;4, COUNTIFS($A$2:A146, A146, $B$2:B146, B146, $C$2:C146, C146, $F$2:F146, "&gt;4")=1), 1, 0)</f>
        <v>1</v>
      </c>
      <c r="I146" s="10">
        <f t="shared" si="11"/>
        <v>1</v>
      </c>
      <c r="J146" s="10"/>
      <c r="K146" s="7"/>
      <c r="L146" s="7"/>
      <c r="M146" s="10"/>
      <c r="N146" s="10"/>
      <c r="O146" s="11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>
      <c r="A147" s="10" t="s">
        <v>23</v>
      </c>
      <c r="B147" s="7" t="s">
        <v>107</v>
      </c>
      <c r="C147" s="142">
        <v>46245</v>
      </c>
      <c r="D147" s="44" t="s">
        <v>210</v>
      </c>
      <c r="E147" s="35" t="s">
        <v>479</v>
      </c>
      <c r="F147" s="121">
        <v>8.02</v>
      </c>
      <c r="G147" s="122">
        <f t="shared" si="10"/>
        <v>0</v>
      </c>
      <c r="H147" s="123">
        <f>IF(AND(ISNUMBER(F147), F147&gt;4, COUNTIFS($A$2:A147, A147, $B$2:B147, B147, $C$2:C147, C147, $F$2:F147, "&gt;4")=1), 1, 0)</f>
        <v>1</v>
      </c>
      <c r="I147" s="10">
        <f t="shared" si="11"/>
        <v>1</v>
      </c>
      <c r="J147" s="10"/>
      <c r="K147" s="7"/>
      <c r="L147" s="7"/>
      <c r="M147" s="10"/>
      <c r="N147" s="10"/>
      <c r="O147" s="11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>
      <c r="A148" s="10" t="s">
        <v>23</v>
      </c>
      <c r="B148" s="7" t="s">
        <v>107</v>
      </c>
      <c r="C148" s="142">
        <v>46246</v>
      </c>
      <c r="D148" s="44" t="s">
        <v>210</v>
      </c>
      <c r="E148" s="35" t="s">
        <v>199</v>
      </c>
      <c r="F148" s="121">
        <v>8</v>
      </c>
      <c r="G148" s="122">
        <f t="shared" si="10"/>
        <v>0</v>
      </c>
      <c r="H148" s="123">
        <f>IF(AND(ISNUMBER(F148), F148&gt;4, COUNTIFS($A$2:A148, A148, $B$2:B148, B148, $C$2:C148, C148, $F$2:F148, "&gt;4")=1), 1, 0)</f>
        <v>1</v>
      </c>
      <c r="I148" s="10">
        <f t="shared" si="11"/>
        <v>1</v>
      </c>
      <c r="J148" s="10"/>
      <c r="K148" s="7"/>
      <c r="L148" s="7"/>
      <c r="M148" s="10"/>
      <c r="N148" s="10"/>
      <c r="O148" s="11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>
      <c r="A149" s="10" t="s">
        <v>23</v>
      </c>
      <c r="B149" s="7" t="s">
        <v>107</v>
      </c>
      <c r="C149" s="142">
        <v>46247</v>
      </c>
      <c r="D149" s="44" t="s">
        <v>210</v>
      </c>
      <c r="E149" s="35" t="s">
        <v>214</v>
      </c>
      <c r="F149" s="121">
        <v>8.08</v>
      </c>
      <c r="G149" s="122">
        <f t="shared" si="10"/>
        <v>0</v>
      </c>
      <c r="H149" s="123">
        <f>IF(AND(ISNUMBER(F149), F149&gt;4, COUNTIFS($A$2:A149, A149, $B$2:B149, B149, $C$2:C149, C149, $F$2:F149, "&gt;4")=1), 1, 0)</f>
        <v>1</v>
      </c>
      <c r="I149" s="10">
        <f t="shared" si="11"/>
        <v>1</v>
      </c>
      <c r="J149" s="10"/>
      <c r="K149" s="7"/>
      <c r="L149" s="7"/>
      <c r="M149" s="10"/>
      <c r="N149" s="10"/>
      <c r="O149" s="11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>
      <c r="A150" s="10" t="s">
        <v>17</v>
      </c>
      <c r="B150" s="7" t="s">
        <v>90</v>
      </c>
      <c r="C150" s="142">
        <v>46237</v>
      </c>
      <c r="D150" s="44" t="s">
        <v>191</v>
      </c>
      <c r="E150" s="35" t="s">
        <v>476</v>
      </c>
      <c r="F150" s="121">
        <v>8.1199999999999992</v>
      </c>
      <c r="G150" s="122">
        <f t="shared" si="10"/>
        <v>0</v>
      </c>
      <c r="H150" s="123">
        <f>IF(AND(ISNUMBER(F150), F150&gt;4, COUNTIFS($A$2:A150, A150, $B$2:B150, B150, $C$2:C150, C150, $F$2:F150, "&gt;4")=1), 1, 0)</f>
        <v>1</v>
      </c>
      <c r="I150" s="10">
        <f t="shared" si="11"/>
        <v>0</v>
      </c>
      <c r="J150" s="10"/>
      <c r="K150" s="7"/>
      <c r="L150" s="7"/>
      <c r="M150" s="10"/>
      <c r="N150" s="10"/>
      <c r="O150" s="11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>
      <c r="A151" s="10" t="s">
        <v>17</v>
      </c>
      <c r="B151" s="7" t="s">
        <v>90</v>
      </c>
      <c r="C151" s="142">
        <v>46238</v>
      </c>
      <c r="D151" s="44" t="s">
        <v>191</v>
      </c>
      <c r="E151" s="35" t="s">
        <v>207</v>
      </c>
      <c r="F151" s="121">
        <v>8.1</v>
      </c>
      <c r="G151" s="122">
        <f t="shared" si="10"/>
        <v>0</v>
      </c>
      <c r="H151" s="123">
        <f>IF(AND(ISNUMBER(F151), F151&gt;4, COUNTIFS($A$2:A151, A151, $B$2:B151, B151, $C$2:C151, C151, $F$2:F151, "&gt;4")=1), 1, 0)</f>
        <v>1</v>
      </c>
      <c r="I151" s="10">
        <f t="shared" si="11"/>
        <v>0</v>
      </c>
      <c r="J151" s="10"/>
      <c r="K151" s="7"/>
      <c r="L151" s="7"/>
      <c r="M151" s="10"/>
      <c r="N151" s="10"/>
      <c r="O151" s="11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>
      <c r="A152" s="10" t="s">
        <v>17</v>
      </c>
      <c r="B152" s="7" t="s">
        <v>90</v>
      </c>
      <c r="C152" s="142">
        <v>46246</v>
      </c>
      <c r="D152" s="44" t="s">
        <v>191</v>
      </c>
      <c r="E152" s="35" t="s">
        <v>305</v>
      </c>
      <c r="F152" s="121">
        <v>8.2799999999999994</v>
      </c>
      <c r="G152" s="122">
        <f t="shared" si="10"/>
        <v>0</v>
      </c>
      <c r="H152" s="123">
        <f>IF(AND(ISNUMBER(F152), F152&gt;4, COUNTIFS($A$2:A152, A152, $B$2:B152, B152, $C$2:C152, C152, $F$2:F152, "&gt;4")=1), 1, 0)</f>
        <v>1</v>
      </c>
      <c r="I152" s="10">
        <f t="shared" si="11"/>
        <v>0</v>
      </c>
      <c r="J152" s="10"/>
      <c r="K152" s="7"/>
      <c r="L152" s="7"/>
      <c r="M152" s="10"/>
      <c r="N152" s="10"/>
      <c r="O152" s="11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>
      <c r="A153" s="10" t="s">
        <v>17</v>
      </c>
      <c r="B153" s="7" t="s">
        <v>90</v>
      </c>
      <c r="C153" s="142">
        <v>46247</v>
      </c>
      <c r="D153" s="44" t="s">
        <v>191</v>
      </c>
      <c r="E153" s="35" t="s">
        <v>214</v>
      </c>
      <c r="F153" s="121">
        <v>8.08</v>
      </c>
      <c r="G153" s="122">
        <f t="shared" si="10"/>
        <v>0</v>
      </c>
      <c r="H153" s="123">
        <f>IF(AND(ISNUMBER(F153), F153&gt;4, COUNTIFS($A$2:A153, A153, $B$2:B153, B153, $C$2:C153, C153, $F$2:F153, "&gt;4")=1), 1, 0)</f>
        <v>1</v>
      </c>
      <c r="I153" s="10">
        <f t="shared" si="11"/>
        <v>0</v>
      </c>
      <c r="J153" s="10"/>
      <c r="K153" s="7"/>
      <c r="L153" s="7"/>
      <c r="M153" s="10"/>
      <c r="N153" s="10"/>
      <c r="O153" s="11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>
      <c r="A154" s="10" t="s">
        <v>17</v>
      </c>
      <c r="B154" s="7" t="s">
        <v>90</v>
      </c>
      <c r="C154" s="142">
        <v>46250</v>
      </c>
      <c r="D154" s="44" t="s">
        <v>191</v>
      </c>
      <c r="E154" s="35" t="s">
        <v>497</v>
      </c>
      <c r="F154" s="121">
        <v>8.43</v>
      </c>
      <c r="G154" s="122">
        <f t="shared" si="10"/>
        <v>0</v>
      </c>
      <c r="H154" s="123">
        <f>IF(AND(ISNUMBER(F154), F154&gt;4, COUNTIFS($A$2:A154, A154, $B$2:B154, B154, $C$2:C154, C154, $F$2:F154, "&gt;4")=1), 1, 0)</f>
        <v>1</v>
      </c>
      <c r="I154" s="10">
        <f t="shared" si="11"/>
        <v>0</v>
      </c>
      <c r="J154" s="10"/>
      <c r="K154" s="7"/>
      <c r="L154" s="7"/>
      <c r="M154" s="10"/>
      <c r="N154" s="10"/>
      <c r="O154" s="11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>
      <c r="A155" s="10" t="s">
        <v>17</v>
      </c>
      <c r="B155" s="7" t="s">
        <v>90</v>
      </c>
      <c r="C155" s="142">
        <v>46251</v>
      </c>
      <c r="D155" s="44" t="s">
        <v>191</v>
      </c>
      <c r="E155" s="35" t="s">
        <v>514</v>
      </c>
      <c r="F155" s="121">
        <v>8.5500000000000007</v>
      </c>
      <c r="G155" s="122">
        <f t="shared" si="10"/>
        <v>0</v>
      </c>
      <c r="H155" s="123">
        <f>IF(AND(ISNUMBER(F155), F155&gt;4, COUNTIFS($A$2:A155, A155, $B$2:B155, B155, $C$2:C155, C155, $F$2:F155, "&gt;4")=1), 1, 0)</f>
        <v>1</v>
      </c>
      <c r="I155" s="10">
        <f t="shared" si="11"/>
        <v>0</v>
      </c>
      <c r="J155" s="10"/>
      <c r="K155" s="7"/>
      <c r="L155" s="7"/>
      <c r="M155" s="10"/>
      <c r="N155" s="10"/>
      <c r="O155" s="11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>
      <c r="A156" s="10" t="s">
        <v>17</v>
      </c>
      <c r="B156" s="7" t="s">
        <v>90</v>
      </c>
      <c r="C156" s="142">
        <v>46253</v>
      </c>
      <c r="D156" s="44" t="s">
        <v>191</v>
      </c>
      <c r="E156" s="35" t="s">
        <v>502</v>
      </c>
      <c r="F156" s="121">
        <v>8.17</v>
      </c>
      <c r="G156" s="122">
        <f t="shared" si="10"/>
        <v>0</v>
      </c>
      <c r="H156" s="123">
        <f>IF(AND(ISNUMBER(F156), F156&gt;4, COUNTIFS($A$2:A156, A156, $B$2:B156, B156, $C$2:C156, C156, $F$2:F156, "&gt;4")=1), 1, 0)</f>
        <v>1</v>
      </c>
      <c r="I156" s="10">
        <f t="shared" si="11"/>
        <v>0</v>
      </c>
      <c r="J156" s="10"/>
      <c r="K156" s="7"/>
      <c r="L156" s="7"/>
      <c r="M156" s="10"/>
      <c r="N156" s="10"/>
      <c r="O156" s="11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>
      <c r="A157" s="10" t="s">
        <v>17</v>
      </c>
      <c r="B157" s="7" t="s">
        <v>90</v>
      </c>
      <c r="C157" s="142">
        <v>46256</v>
      </c>
      <c r="D157" s="44" t="s">
        <v>191</v>
      </c>
      <c r="E157" s="35" t="s">
        <v>502</v>
      </c>
      <c r="F157" s="121">
        <v>8.17</v>
      </c>
      <c r="G157" s="122">
        <f t="shared" si="10"/>
        <v>0</v>
      </c>
      <c r="H157" s="123">
        <f>IF(AND(ISNUMBER(F157), F157&gt;4, COUNTIFS($A$2:A157, A157, $B$2:B157, B157, $C$2:C157, C157, $F$2:F157, "&gt;4")=1), 1, 0)</f>
        <v>1</v>
      </c>
      <c r="I157" s="10">
        <f t="shared" si="11"/>
        <v>0</v>
      </c>
      <c r="J157" s="10"/>
      <c r="K157" s="7"/>
      <c r="L157" s="7"/>
      <c r="M157" s="10"/>
      <c r="N157" s="10"/>
      <c r="O157" s="11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>
      <c r="A158" s="10" t="s">
        <v>17</v>
      </c>
      <c r="B158" s="7" t="s">
        <v>90</v>
      </c>
      <c r="C158" s="142">
        <v>46259</v>
      </c>
      <c r="D158" s="44" t="s">
        <v>191</v>
      </c>
      <c r="E158" s="35" t="s">
        <v>214</v>
      </c>
      <c r="F158" s="121">
        <v>8.08</v>
      </c>
      <c r="G158" s="122">
        <f t="shared" si="10"/>
        <v>0</v>
      </c>
      <c r="H158" s="123">
        <f>IF(AND(ISNUMBER(F158), F158&gt;4, COUNTIFS($A$2:A158, A158, $B$2:B158, B158, $C$2:C158, C158, $F$2:F158, "&gt;4")=1), 1, 0)</f>
        <v>1</v>
      </c>
      <c r="I158" s="10">
        <f t="shared" si="11"/>
        <v>0</v>
      </c>
      <c r="J158" s="10"/>
      <c r="K158" s="7"/>
      <c r="L158" s="7"/>
      <c r="M158" s="10"/>
      <c r="N158" s="10"/>
      <c r="O158" s="11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>
      <c r="A159" s="10" t="s">
        <v>17</v>
      </c>
      <c r="B159" s="7" t="s">
        <v>90</v>
      </c>
      <c r="C159" s="142">
        <v>46262</v>
      </c>
      <c r="D159" s="44" t="s">
        <v>191</v>
      </c>
      <c r="E159" s="35" t="s">
        <v>515</v>
      </c>
      <c r="F159" s="121">
        <v>8.27</v>
      </c>
      <c r="G159" s="122">
        <f t="shared" si="10"/>
        <v>0</v>
      </c>
      <c r="H159" s="123">
        <f>IF(AND(ISNUMBER(F159), F159&gt;4, COUNTIFS($A$2:A159, A159, $B$2:B159, B159, $C$2:C159, C159, $F$2:F159, "&gt;4")=1), 1, 0)</f>
        <v>1</v>
      </c>
      <c r="I159" s="10">
        <f t="shared" si="11"/>
        <v>0</v>
      </c>
      <c r="J159" s="10"/>
      <c r="K159" s="7"/>
      <c r="L159" s="7"/>
      <c r="M159" s="10"/>
      <c r="N159" s="10"/>
      <c r="O159" s="11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>
      <c r="A160" s="10" t="s">
        <v>17</v>
      </c>
      <c r="B160" s="7" t="s">
        <v>90</v>
      </c>
      <c r="C160" s="142">
        <v>46265</v>
      </c>
      <c r="D160" s="44" t="s">
        <v>191</v>
      </c>
      <c r="E160" s="35" t="s">
        <v>239</v>
      </c>
      <c r="F160" s="121">
        <v>8.07</v>
      </c>
      <c r="G160" s="122">
        <f t="shared" si="10"/>
        <v>0</v>
      </c>
      <c r="H160" s="123">
        <f>IF(AND(ISNUMBER(F160), F160&gt;4, COUNTIFS($A$2:A160, A160, $B$2:B160, B160, $C$2:C160, C160, $F$2:F160, "&gt;4")=1), 1, 0)</f>
        <v>1</v>
      </c>
      <c r="I160" s="10">
        <f t="shared" si="11"/>
        <v>0</v>
      </c>
      <c r="J160" s="10"/>
      <c r="K160" s="7"/>
      <c r="L160" s="7"/>
      <c r="M160" s="10"/>
      <c r="N160" s="10"/>
      <c r="O160" s="11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>
      <c r="A161" s="10" t="s">
        <v>17</v>
      </c>
      <c r="B161" s="7" t="s">
        <v>90</v>
      </c>
      <c r="C161" s="142">
        <v>46235</v>
      </c>
      <c r="D161" s="44" t="s">
        <v>193</v>
      </c>
      <c r="E161" s="35" t="s">
        <v>288</v>
      </c>
      <c r="F161" s="121">
        <v>8.0500000000000007</v>
      </c>
      <c r="G161" s="122">
        <f t="shared" si="10"/>
        <v>0</v>
      </c>
      <c r="H161" s="123">
        <f>IF(AND(ISNUMBER(F161), F161&gt;4, COUNTIFS($A$2:A161, A161, $B$2:B161, B161, $C$2:C161, C161, $F$2:F161, "&gt;4")=1), 1, 0)</f>
        <v>1</v>
      </c>
      <c r="I161" s="10">
        <f t="shared" si="11"/>
        <v>0</v>
      </c>
      <c r="J161" s="10"/>
      <c r="K161" s="7"/>
      <c r="L161" s="7"/>
      <c r="M161" s="10"/>
      <c r="N161" s="10"/>
      <c r="O161" s="11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>
      <c r="A162" s="10" t="s">
        <v>17</v>
      </c>
      <c r="B162" s="7" t="s">
        <v>90</v>
      </c>
      <c r="C162" s="142">
        <v>46236</v>
      </c>
      <c r="D162" s="44" t="s">
        <v>193</v>
      </c>
      <c r="E162" s="35" t="s">
        <v>479</v>
      </c>
      <c r="F162" s="121">
        <v>8.02</v>
      </c>
      <c r="G162" s="122">
        <f t="shared" si="10"/>
        <v>0</v>
      </c>
      <c r="H162" s="123">
        <f>IF(AND(ISNUMBER(F162), F162&gt;4, COUNTIFS($A$2:A162, A162, $B$2:B162, B162, $C$2:C162, C162, $F$2:F162, "&gt;4")=1), 1, 0)</f>
        <v>1</v>
      </c>
      <c r="I162" s="10">
        <f t="shared" si="11"/>
        <v>0</v>
      </c>
      <c r="J162" s="10"/>
      <c r="K162" s="7"/>
      <c r="L162" s="7"/>
      <c r="M162" s="10"/>
      <c r="N162" s="10"/>
      <c r="O162" s="11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>
      <c r="A163" s="10" t="s">
        <v>17</v>
      </c>
      <c r="B163" s="7" t="s">
        <v>90</v>
      </c>
      <c r="C163" s="142">
        <v>46239</v>
      </c>
      <c r="D163" s="44" t="s">
        <v>193</v>
      </c>
      <c r="E163" s="35" t="s">
        <v>199</v>
      </c>
      <c r="F163" s="121">
        <v>8</v>
      </c>
      <c r="G163" s="122">
        <f t="shared" si="10"/>
        <v>0</v>
      </c>
      <c r="H163" s="123">
        <f>IF(AND(ISNUMBER(F163), F163&gt;4, COUNTIFS($A$2:A163, A163, $B$2:B163, B163, $C$2:C163, C163, $F$2:F163, "&gt;4")=1), 1, 0)</f>
        <v>1</v>
      </c>
      <c r="I163" s="10">
        <f t="shared" si="11"/>
        <v>0</v>
      </c>
      <c r="J163" s="10"/>
      <c r="K163" s="7"/>
      <c r="L163" s="7"/>
      <c r="M163" s="10"/>
      <c r="N163" s="10"/>
      <c r="O163" s="11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>
      <c r="A164" s="10" t="s">
        <v>17</v>
      </c>
      <c r="B164" s="7" t="s">
        <v>90</v>
      </c>
      <c r="C164" s="142">
        <v>46240</v>
      </c>
      <c r="D164" s="44" t="s">
        <v>193</v>
      </c>
      <c r="E164" s="35" t="s">
        <v>479</v>
      </c>
      <c r="F164" s="121">
        <v>8.02</v>
      </c>
      <c r="G164" s="122">
        <f t="shared" si="10"/>
        <v>0</v>
      </c>
      <c r="H164" s="123">
        <f>IF(AND(ISNUMBER(F164), F164&gt;4, COUNTIFS($A$2:A164, A164, $B$2:B164, B164, $C$2:C164, C164, $F$2:F164, "&gt;4")=1), 1, 0)</f>
        <v>1</v>
      </c>
      <c r="I164" s="10">
        <f t="shared" si="11"/>
        <v>0</v>
      </c>
      <c r="J164" s="10"/>
      <c r="K164" s="7"/>
      <c r="L164" s="7"/>
      <c r="M164" s="10"/>
      <c r="N164" s="10"/>
      <c r="O164" s="11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>
      <c r="A165" s="10" t="s">
        <v>17</v>
      </c>
      <c r="B165" s="7" t="s">
        <v>90</v>
      </c>
      <c r="C165" s="142">
        <v>46241</v>
      </c>
      <c r="D165" s="44" t="s">
        <v>193</v>
      </c>
      <c r="E165" s="35" t="s">
        <v>207</v>
      </c>
      <c r="F165" s="121">
        <v>8.1</v>
      </c>
      <c r="G165" s="122">
        <f t="shared" si="10"/>
        <v>0</v>
      </c>
      <c r="H165" s="123">
        <f>IF(AND(ISNUMBER(F165), F165&gt;4, COUNTIFS($A$2:A165, A165, $B$2:B165, B165, $C$2:C165, C165, $F$2:F165, "&gt;4")=1), 1, 0)</f>
        <v>1</v>
      </c>
      <c r="I165" s="10">
        <f t="shared" si="11"/>
        <v>0</v>
      </c>
      <c r="J165" s="10"/>
      <c r="K165" s="7"/>
      <c r="L165" s="7"/>
      <c r="M165" s="10"/>
      <c r="N165" s="10"/>
      <c r="O165" s="11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>
      <c r="A166" s="10" t="s">
        <v>17</v>
      </c>
      <c r="B166" s="7" t="s">
        <v>90</v>
      </c>
      <c r="C166" s="142">
        <v>46244</v>
      </c>
      <c r="D166" s="44" t="s">
        <v>193</v>
      </c>
      <c r="E166" s="35" t="s">
        <v>207</v>
      </c>
      <c r="F166" s="121">
        <v>8.1</v>
      </c>
      <c r="G166" s="122">
        <f t="shared" si="10"/>
        <v>0</v>
      </c>
      <c r="H166" s="123">
        <f>IF(AND(ISNUMBER(F166), F166&gt;4, COUNTIFS($A$2:A166, A166, $B$2:B166, B166, $C$2:C166, C166, $F$2:F166, "&gt;4")=1), 1, 0)</f>
        <v>1</v>
      </c>
      <c r="I166" s="10">
        <f t="shared" si="11"/>
        <v>0</v>
      </c>
      <c r="J166" s="10"/>
      <c r="K166" s="7"/>
      <c r="L166" s="7"/>
      <c r="M166" s="10"/>
      <c r="N166" s="10"/>
      <c r="O166" s="11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>
      <c r="A167" s="10" t="s">
        <v>17</v>
      </c>
      <c r="B167" s="7" t="s">
        <v>90</v>
      </c>
      <c r="C167" s="142">
        <v>46245</v>
      </c>
      <c r="D167" s="44" t="s">
        <v>193</v>
      </c>
      <c r="E167" s="35" t="s">
        <v>348</v>
      </c>
      <c r="F167" s="121">
        <v>7.95</v>
      </c>
      <c r="G167" s="122">
        <f t="shared" si="10"/>
        <v>0</v>
      </c>
      <c r="H167" s="123">
        <f>IF(AND(ISNUMBER(F167), F167&gt;4, COUNTIFS($A$2:A167, A167, $B$2:B167, B167, $C$2:C167, C167, $F$2:F167, "&gt;4")=1), 1, 0)</f>
        <v>1</v>
      </c>
      <c r="I167" s="10">
        <f t="shared" si="11"/>
        <v>0</v>
      </c>
      <c r="J167" s="10"/>
      <c r="K167" s="7"/>
      <c r="L167" s="7"/>
      <c r="M167" s="10"/>
      <c r="N167" s="10"/>
      <c r="O167" s="11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>
      <c r="A168" s="10" t="s">
        <v>17</v>
      </c>
      <c r="B168" s="7" t="s">
        <v>90</v>
      </c>
      <c r="C168" s="142">
        <v>46248</v>
      </c>
      <c r="D168" s="44" t="s">
        <v>193</v>
      </c>
      <c r="E168" s="35" t="s">
        <v>516</v>
      </c>
      <c r="F168" s="121">
        <v>8.3699999999999992</v>
      </c>
      <c r="G168" s="122">
        <f t="shared" si="10"/>
        <v>0</v>
      </c>
      <c r="H168" s="123">
        <f>IF(AND(ISNUMBER(F168), F168&gt;4, COUNTIFS($A$2:A168, A168, $B$2:B168, B168, $C$2:C168, C168, $F$2:F168, "&gt;4")=1), 1, 0)</f>
        <v>1</v>
      </c>
      <c r="I168" s="10">
        <f t="shared" si="11"/>
        <v>0</v>
      </c>
      <c r="J168" s="10"/>
      <c r="K168" s="7"/>
      <c r="L168" s="7"/>
      <c r="M168" s="10"/>
      <c r="N168" s="10"/>
      <c r="O168" s="11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>
      <c r="A169" s="10" t="s">
        <v>17</v>
      </c>
      <c r="B169" s="7" t="s">
        <v>90</v>
      </c>
      <c r="C169" s="142">
        <v>46249</v>
      </c>
      <c r="D169" s="44" t="s">
        <v>193</v>
      </c>
      <c r="E169" s="35" t="s">
        <v>476</v>
      </c>
      <c r="F169" s="121">
        <v>8.1199999999999992</v>
      </c>
      <c r="G169" s="122">
        <f t="shared" si="10"/>
        <v>0</v>
      </c>
      <c r="H169" s="123">
        <f>IF(AND(ISNUMBER(F169), F169&gt;4, COUNTIFS($A$2:A169, A169, $B$2:B169, B169, $C$2:C169, C169, $F$2:F169, "&gt;4")=1), 1, 0)</f>
        <v>1</v>
      </c>
      <c r="I169" s="10">
        <f t="shared" si="11"/>
        <v>0</v>
      </c>
      <c r="J169" s="10"/>
      <c r="K169" s="7"/>
      <c r="L169" s="7"/>
      <c r="M169" s="10"/>
      <c r="N169" s="10"/>
      <c r="O169" s="11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>
      <c r="A170" s="10" t="s">
        <v>17</v>
      </c>
      <c r="B170" s="7" t="s">
        <v>90</v>
      </c>
      <c r="C170" s="142">
        <v>46252</v>
      </c>
      <c r="D170" s="44" t="s">
        <v>193</v>
      </c>
      <c r="E170" s="35" t="s">
        <v>329</v>
      </c>
      <c r="F170" s="121">
        <v>8.0299999999999994</v>
      </c>
      <c r="G170" s="122">
        <f t="shared" si="10"/>
        <v>0</v>
      </c>
      <c r="H170" s="123">
        <f>IF(AND(ISNUMBER(F170), F170&gt;4, COUNTIFS($A$2:A170, A170, $B$2:B170, B170, $C$2:C170, C170, $F$2:F170, "&gt;4")=1), 1, 0)</f>
        <v>1</v>
      </c>
      <c r="I170" s="10">
        <f t="shared" si="11"/>
        <v>0</v>
      </c>
      <c r="J170" s="10"/>
      <c r="K170" s="7"/>
      <c r="L170" s="7"/>
      <c r="M170" s="10"/>
      <c r="N170" s="10"/>
      <c r="O170" s="11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>
      <c r="A171" s="10" t="s">
        <v>17</v>
      </c>
      <c r="B171" s="7" t="s">
        <v>90</v>
      </c>
      <c r="C171" s="142">
        <v>46254</v>
      </c>
      <c r="D171" s="44" t="s">
        <v>193</v>
      </c>
      <c r="E171" s="35" t="s">
        <v>502</v>
      </c>
      <c r="F171" s="121">
        <v>8.17</v>
      </c>
      <c r="G171" s="122">
        <f t="shared" si="10"/>
        <v>0</v>
      </c>
      <c r="H171" s="123">
        <f>IF(AND(ISNUMBER(F171), F171&gt;4, COUNTIFS($A$2:A171, A171, $B$2:B171, B171, $C$2:C171, C171, $F$2:F171, "&gt;4")=1), 1, 0)</f>
        <v>1</v>
      </c>
      <c r="I171" s="10">
        <f t="shared" si="11"/>
        <v>0</v>
      </c>
      <c r="J171" s="10"/>
      <c r="K171" s="7"/>
      <c r="L171" s="7"/>
      <c r="M171" s="10"/>
      <c r="N171" s="10"/>
      <c r="O171" s="11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>
      <c r="A172" s="10" t="s">
        <v>17</v>
      </c>
      <c r="B172" s="7" t="s">
        <v>90</v>
      </c>
      <c r="C172" s="135">
        <v>46255</v>
      </c>
      <c r="D172" s="44" t="s">
        <v>193</v>
      </c>
      <c r="E172" s="35" t="s">
        <v>502</v>
      </c>
      <c r="F172" s="121">
        <v>8.17</v>
      </c>
      <c r="G172" s="122">
        <f t="shared" si="10"/>
        <v>0</v>
      </c>
      <c r="H172" s="123">
        <f>IF(AND(ISNUMBER(F172), F172&gt;4, COUNTIFS($A$2:A172, A172, $B$2:B172, B172, $C$2:C172, C172, $F$2:F172, "&gt;4")=1), 1, 0)</f>
        <v>1</v>
      </c>
      <c r="I172" s="10">
        <f t="shared" si="11"/>
        <v>0</v>
      </c>
      <c r="J172" s="10"/>
      <c r="K172" s="7"/>
      <c r="L172" s="7"/>
      <c r="M172" s="10"/>
      <c r="N172" s="10"/>
      <c r="O172" s="11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>
      <c r="A173" s="10" t="s">
        <v>17</v>
      </c>
      <c r="B173" s="7" t="s">
        <v>90</v>
      </c>
      <c r="C173" s="135">
        <v>46257</v>
      </c>
      <c r="D173" s="44" t="s">
        <v>193</v>
      </c>
      <c r="E173" s="35" t="s">
        <v>489</v>
      </c>
      <c r="F173" s="121">
        <v>8.33</v>
      </c>
      <c r="G173" s="122">
        <f t="shared" si="10"/>
        <v>0</v>
      </c>
      <c r="H173" s="123">
        <f>IF(AND(ISNUMBER(F173), F173&gt;4, COUNTIFS($A$2:A173, A173, $B$2:B173, B173, $C$2:C173, C173, $F$2:F173, "&gt;4")=1), 1, 0)</f>
        <v>1</v>
      </c>
      <c r="I173" s="10">
        <f t="shared" si="11"/>
        <v>0</v>
      </c>
      <c r="J173" s="10"/>
      <c r="K173" s="7"/>
      <c r="L173" s="7"/>
      <c r="M173" s="10"/>
      <c r="N173" s="10"/>
      <c r="O173" s="11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>
      <c r="A174" s="10" t="s">
        <v>17</v>
      </c>
      <c r="B174" s="7" t="s">
        <v>90</v>
      </c>
      <c r="C174" s="135">
        <v>46258</v>
      </c>
      <c r="D174" s="44" t="s">
        <v>193</v>
      </c>
      <c r="E174" s="35" t="s">
        <v>214</v>
      </c>
      <c r="F174" s="121">
        <v>8.08</v>
      </c>
      <c r="G174" s="122">
        <f t="shared" si="10"/>
        <v>0</v>
      </c>
      <c r="H174" s="123">
        <f>IF(AND(ISNUMBER(F174), F174&gt;4, COUNTIFS($A$2:A174, A174, $B$2:B174, B174, $C$2:C174, C174, $F$2:F174, "&gt;4")=1), 1, 0)</f>
        <v>1</v>
      </c>
      <c r="I174" s="10">
        <f t="shared" si="11"/>
        <v>0</v>
      </c>
      <c r="J174" s="10"/>
      <c r="K174" s="7"/>
      <c r="L174" s="7"/>
      <c r="M174" s="10"/>
      <c r="N174" s="10"/>
      <c r="O174" s="11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>
      <c r="A175" s="10" t="s">
        <v>17</v>
      </c>
      <c r="B175" s="7" t="s">
        <v>90</v>
      </c>
      <c r="C175" s="135">
        <v>46260</v>
      </c>
      <c r="D175" s="44" t="s">
        <v>193</v>
      </c>
      <c r="E175" s="35" t="s">
        <v>214</v>
      </c>
      <c r="F175" s="121">
        <v>8.08</v>
      </c>
      <c r="G175" s="122">
        <f t="shared" si="10"/>
        <v>0</v>
      </c>
      <c r="H175" s="123">
        <f>IF(AND(ISNUMBER(F175), F175&gt;4, COUNTIFS($A$2:A175, A175, $B$2:B175, B175, $C$2:C175, C175, $F$2:F175, "&gt;4")=1), 1, 0)</f>
        <v>1</v>
      </c>
      <c r="I175" s="10">
        <f t="shared" si="11"/>
        <v>0</v>
      </c>
      <c r="J175" s="10"/>
      <c r="K175" s="7"/>
      <c r="L175" s="7"/>
      <c r="M175" s="10"/>
      <c r="N175" s="10"/>
      <c r="O175" s="11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>
      <c r="A176" s="10" t="s">
        <v>17</v>
      </c>
      <c r="B176" s="7" t="s">
        <v>90</v>
      </c>
      <c r="C176" s="135">
        <v>46261</v>
      </c>
      <c r="D176" s="44" t="s">
        <v>193</v>
      </c>
      <c r="E176" s="35" t="s">
        <v>288</v>
      </c>
      <c r="F176" s="121">
        <v>8.0500000000000007</v>
      </c>
      <c r="G176" s="122">
        <f t="shared" si="10"/>
        <v>0</v>
      </c>
      <c r="H176" s="123">
        <f>IF(AND(ISNUMBER(F176), F176&gt;4, COUNTIFS($A$2:A176, A176, $B$2:B176, B176, $C$2:C176, C176, $F$2:F176, "&gt;4")=1), 1, 0)</f>
        <v>1</v>
      </c>
      <c r="I176" s="10">
        <f t="shared" si="11"/>
        <v>0</v>
      </c>
      <c r="J176" s="10"/>
      <c r="K176" s="7"/>
      <c r="L176" s="7"/>
      <c r="M176" s="10"/>
      <c r="N176" s="10"/>
      <c r="O176" s="11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>
      <c r="A177" s="10" t="s">
        <v>17</v>
      </c>
      <c r="B177" s="7" t="s">
        <v>90</v>
      </c>
      <c r="C177" s="135">
        <v>46263</v>
      </c>
      <c r="D177" s="44" t="s">
        <v>193</v>
      </c>
      <c r="E177" s="35" t="s">
        <v>479</v>
      </c>
      <c r="F177" s="121">
        <v>8.02</v>
      </c>
      <c r="G177" s="122">
        <f t="shared" si="10"/>
        <v>0</v>
      </c>
      <c r="H177" s="123">
        <f>IF(AND(ISNUMBER(F177), F177&gt;4, COUNTIFS($A$2:A177, A177, $B$2:B177, B177, $C$2:C177, C177, $F$2:F177, "&gt;4")=1), 1, 0)</f>
        <v>1</v>
      </c>
      <c r="I177" s="10">
        <f t="shared" si="11"/>
        <v>0</v>
      </c>
      <c r="J177" s="10"/>
      <c r="K177" s="7"/>
      <c r="L177" s="7"/>
      <c r="M177" s="10"/>
      <c r="N177" s="10"/>
      <c r="O177" s="11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>
      <c r="A178" s="10" t="s">
        <v>17</v>
      </c>
      <c r="B178" s="7" t="s">
        <v>90</v>
      </c>
      <c r="C178" s="135">
        <v>46264</v>
      </c>
      <c r="D178" s="44" t="s">
        <v>193</v>
      </c>
      <c r="E178" s="35" t="s">
        <v>504</v>
      </c>
      <c r="F178" s="121">
        <v>8.18</v>
      </c>
      <c r="G178" s="122">
        <f t="shared" si="10"/>
        <v>0</v>
      </c>
      <c r="H178" s="123">
        <f>IF(AND(ISNUMBER(F178), F178&gt;4, COUNTIFS($A$2:A178, A178, $B$2:B178, B178, $C$2:C178, C178, $F$2:F178, "&gt;4")=1), 1, 0)</f>
        <v>1</v>
      </c>
      <c r="I178" s="10">
        <f t="shared" si="11"/>
        <v>0</v>
      </c>
      <c r="J178" s="10"/>
      <c r="K178" s="7"/>
      <c r="L178" s="7"/>
      <c r="M178" s="10"/>
      <c r="N178" s="10"/>
      <c r="O178" s="11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>
      <c r="A179" s="10" t="s">
        <v>17</v>
      </c>
      <c r="B179" s="7" t="s">
        <v>90</v>
      </c>
      <c r="C179" s="135">
        <v>46242</v>
      </c>
      <c r="D179" s="44" t="s">
        <v>188</v>
      </c>
      <c r="E179" s="35" t="s">
        <v>214</v>
      </c>
      <c r="F179" s="121">
        <v>8.08</v>
      </c>
      <c r="G179" s="122">
        <f t="shared" si="10"/>
        <v>0</v>
      </c>
      <c r="H179" s="123">
        <f>IF(AND(ISNUMBER(F179), F179&gt;4, COUNTIFS($A$2:A179, A179, $B$2:B179, B179, $C$2:C179, C179, $F$2:F179, "&gt;4")=1), 1, 0)</f>
        <v>1</v>
      </c>
      <c r="I179" s="10">
        <f t="shared" si="11"/>
        <v>1</v>
      </c>
      <c r="J179" s="10"/>
      <c r="K179" s="7"/>
      <c r="L179" s="7"/>
      <c r="M179" s="10"/>
      <c r="N179" s="10"/>
      <c r="O179" s="11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>
      <c r="A180" s="10" t="s">
        <v>24</v>
      </c>
      <c r="B180" s="7" t="s">
        <v>125</v>
      </c>
      <c r="C180" s="135">
        <v>46238</v>
      </c>
      <c r="D180" s="44" t="s">
        <v>215</v>
      </c>
      <c r="E180" s="35" t="s">
        <v>479</v>
      </c>
      <c r="F180" s="121">
        <v>8.02</v>
      </c>
      <c r="G180" s="122">
        <f t="shared" si="10"/>
        <v>0</v>
      </c>
      <c r="H180" s="123">
        <f>IF(AND(ISNUMBER(F180), F180&gt;4, COUNTIFS($A$2:A180, A180, $B$2:B180, B180, $C$2:C180, C180, $F$2:F180, "&gt;4")=1), 1, 0)</f>
        <v>1</v>
      </c>
      <c r="I180" s="10">
        <f t="shared" si="11"/>
        <v>0</v>
      </c>
      <c r="J180" s="10"/>
      <c r="K180" s="7"/>
      <c r="L180" s="7"/>
      <c r="M180" s="10"/>
      <c r="N180" s="10"/>
      <c r="O180" s="11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>
      <c r="A181" s="10" t="s">
        <v>24</v>
      </c>
      <c r="B181" s="7" t="s">
        <v>125</v>
      </c>
      <c r="C181" s="135">
        <v>46241</v>
      </c>
      <c r="D181" s="44" t="s">
        <v>215</v>
      </c>
      <c r="E181" s="35" t="s">
        <v>476</v>
      </c>
      <c r="F181" s="121">
        <v>8.1199999999999992</v>
      </c>
      <c r="G181" s="122">
        <f t="shared" si="10"/>
        <v>0</v>
      </c>
      <c r="H181" s="123">
        <f>IF(AND(ISNUMBER(F181), F181&gt;4, COUNTIFS($A$2:A181, A181, $B$2:B181, B181, $C$2:C181, C181, $F$2:F181, "&gt;4")=1), 1, 0)</f>
        <v>1</v>
      </c>
      <c r="I181" s="10">
        <f t="shared" si="11"/>
        <v>0</v>
      </c>
      <c r="J181" s="10"/>
      <c r="K181" s="7"/>
      <c r="L181" s="7"/>
      <c r="M181" s="10"/>
      <c r="N181" s="10"/>
      <c r="O181" s="11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>
      <c r="A182" s="10" t="s">
        <v>24</v>
      </c>
      <c r="B182" s="7" t="s">
        <v>125</v>
      </c>
      <c r="C182" s="142">
        <v>46242</v>
      </c>
      <c r="D182" s="44" t="s">
        <v>215</v>
      </c>
      <c r="E182" s="35" t="s">
        <v>297</v>
      </c>
      <c r="F182" s="121">
        <v>8.5</v>
      </c>
      <c r="G182" s="122">
        <f t="shared" si="10"/>
        <v>0</v>
      </c>
      <c r="H182" s="123">
        <f>IF(AND(ISNUMBER(F182), F182&gt;4, COUNTIFS($A$2:A182, A182, $B$2:B182, B182, $C$2:C182, C182, $F$2:F182, "&gt;4")=1), 1, 0)</f>
        <v>1</v>
      </c>
      <c r="I182" s="10">
        <f t="shared" si="11"/>
        <v>0</v>
      </c>
      <c r="J182" s="10"/>
      <c r="K182" s="7"/>
      <c r="L182" s="7"/>
      <c r="M182" s="10"/>
      <c r="N182" s="10"/>
      <c r="O182" s="11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>
      <c r="A183" s="10" t="s">
        <v>24</v>
      </c>
      <c r="B183" s="7" t="s">
        <v>125</v>
      </c>
      <c r="C183" s="142">
        <v>46243</v>
      </c>
      <c r="D183" s="44" t="s">
        <v>215</v>
      </c>
      <c r="E183" s="35" t="s">
        <v>517</v>
      </c>
      <c r="F183" s="121">
        <v>9.27</v>
      </c>
      <c r="G183" s="122">
        <f t="shared" si="10"/>
        <v>0</v>
      </c>
      <c r="H183" s="123">
        <f>IF(AND(ISNUMBER(F183), F183&gt;4, COUNTIFS($A$2:A183, A183, $B$2:B183, B183, $C$2:C183, C183, $F$2:F183, "&gt;4")=1), 1, 0)</f>
        <v>1</v>
      </c>
      <c r="I183" s="10">
        <f t="shared" si="11"/>
        <v>0</v>
      </c>
      <c r="J183" s="10"/>
      <c r="K183" s="7"/>
      <c r="L183" s="7"/>
      <c r="M183" s="10"/>
      <c r="N183" s="10"/>
      <c r="O183" s="11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>
      <c r="A184" s="10" t="s">
        <v>24</v>
      </c>
      <c r="B184" s="7" t="s">
        <v>125</v>
      </c>
      <c r="C184" s="142">
        <v>46246</v>
      </c>
      <c r="D184" s="44" t="s">
        <v>215</v>
      </c>
      <c r="E184" s="35" t="s">
        <v>518</v>
      </c>
      <c r="F184" s="121">
        <v>7.63</v>
      </c>
      <c r="G184" s="122">
        <f t="shared" si="10"/>
        <v>0</v>
      </c>
      <c r="H184" s="123">
        <f>IF(AND(ISNUMBER(F184), F184&gt;4, COUNTIFS($A$2:A184, A184, $B$2:B184, B184, $C$2:C184, C184, $F$2:F184, "&gt;4")=1), 1, 0)</f>
        <v>1</v>
      </c>
      <c r="I184" s="10">
        <f t="shared" si="11"/>
        <v>0</v>
      </c>
      <c r="J184" s="10"/>
      <c r="K184" s="7"/>
      <c r="L184" s="7"/>
      <c r="M184" s="10"/>
      <c r="N184" s="10"/>
      <c r="O184" s="11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>
      <c r="A185" s="10" t="s">
        <v>24</v>
      </c>
      <c r="B185" s="7" t="s">
        <v>125</v>
      </c>
      <c r="C185" s="142">
        <v>46247</v>
      </c>
      <c r="D185" s="44" t="s">
        <v>215</v>
      </c>
      <c r="E185" s="35" t="s">
        <v>519</v>
      </c>
      <c r="F185" s="121">
        <v>8.4</v>
      </c>
      <c r="G185" s="122">
        <f t="shared" si="10"/>
        <v>0</v>
      </c>
      <c r="H185" s="123">
        <f>IF(AND(ISNUMBER(F185), F185&gt;4, COUNTIFS($A$2:A185, A185, $B$2:B185, B185, $C$2:C185, C185, $F$2:F185, "&gt;4")=1), 1, 0)</f>
        <v>1</v>
      </c>
      <c r="I185" s="10">
        <f t="shared" si="11"/>
        <v>0</v>
      </c>
      <c r="J185" s="10"/>
      <c r="K185" s="7"/>
      <c r="L185" s="7"/>
      <c r="M185" s="10"/>
      <c r="N185" s="10"/>
      <c r="O185" s="11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>
      <c r="A186" s="10" t="s">
        <v>24</v>
      </c>
      <c r="B186" s="7" t="s">
        <v>125</v>
      </c>
      <c r="C186" s="142">
        <v>46248</v>
      </c>
      <c r="D186" s="44" t="s">
        <v>215</v>
      </c>
      <c r="E186" s="35" t="s">
        <v>499</v>
      </c>
      <c r="F186" s="121">
        <v>8.15</v>
      </c>
      <c r="G186" s="122">
        <f t="shared" si="10"/>
        <v>0</v>
      </c>
      <c r="H186" s="123">
        <f>IF(AND(ISNUMBER(F186), F186&gt;4, COUNTIFS($A$2:A186, A186, $B$2:B186, B186, $C$2:C186, C186, $F$2:F186, "&gt;4")=1), 1, 0)</f>
        <v>1</v>
      </c>
      <c r="I186" s="10">
        <f t="shared" si="11"/>
        <v>0</v>
      </c>
      <c r="J186" s="10"/>
      <c r="K186" s="7"/>
      <c r="L186" s="7"/>
      <c r="M186" s="10"/>
      <c r="N186" s="10"/>
      <c r="O186" s="11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>
      <c r="A187" s="10" t="s">
        <v>24</v>
      </c>
      <c r="B187" s="7" t="s">
        <v>125</v>
      </c>
      <c r="C187" s="142">
        <v>46255</v>
      </c>
      <c r="D187" s="44" t="s">
        <v>215</v>
      </c>
      <c r="E187" s="35" t="s">
        <v>498</v>
      </c>
      <c r="F187" s="121">
        <v>8.4700000000000006</v>
      </c>
      <c r="G187" s="122">
        <f t="shared" si="10"/>
        <v>0</v>
      </c>
      <c r="H187" s="123">
        <f>IF(AND(ISNUMBER(F187), F187&gt;4, COUNTIFS($A$2:A187, A187, $B$2:B187, B187, $C$2:C187, C187, $F$2:F187, "&gt;4")=1), 1, 0)</f>
        <v>1</v>
      </c>
      <c r="I187" s="10">
        <f t="shared" si="11"/>
        <v>0</v>
      </c>
      <c r="J187" s="10"/>
      <c r="K187" s="7"/>
      <c r="L187" s="7"/>
      <c r="M187" s="10"/>
      <c r="N187" s="10"/>
      <c r="O187" s="11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>
      <c r="A188" s="10" t="s">
        <v>24</v>
      </c>
      <c r="B188" s="7" t="s">
        <v>125</v>
      </c>
      <c r="C188" s="142">
        <v>46256</v>
      </c>
      <c r="D188" s="44" t="s">
        <v>215</v>
      </c>
      <c r="E188" s="35" t="s">
        <v>207</v>
      </c>
      <c r="F188" s="121">
        <v>8.1</v>
      </c>
      <c r="G188" s="122">
        <f t="shared" si="10"/>
        <v>0</v>
      </c>
      <c r="H188" s="123">
        <f>IF(AND(ISNUMBER(F188), F188&gt;4, COUNTIFS($A$2:A188, A188, $B$2:B188, B188, $C$2:C188, C188, $F$2:F188, "&gt;4")=1), 1, 0)</f>
        <v>1</v>
      </c>
      <c r="I188" s="10">
        <f t="shared" si="11"/>
        <v>0</v>
      </c>
      <c r="J188" s="10"/>
      <c r="K188" s="7"/>
      <c r="L188" s="7"/>
      <c r="M188" s="10"/>
      <c r="N188" s="10"/>
      <c r="O188" s="11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>
      <c r="A189" s="10" t="s">
        <v>24</v>
      </c>
      <c r="B189" s="7" t="s">
        <v>125</v>
      </c>
      <c r="C189" s="142">
        <v>46257</v>
      </c>
      <c r="D189" s="44" t="s">
        <v>215</v>
      </c>
      <c r="E189" s="35" t="s">
        <v>520</v>
      </c>
      <c r="F189" s="121">
        <v>11.72</v>
      </c>
      <c r="G189" s="122">
        <f t="shared" si="10"/>
        <v>0</v>
      </c>
      <c r="H189" s="123">
        <f>IF(AND(ISNUMBER(F189), F189&gt;4, COUNTIFS($A$2:A189, A189, $B$2:B189, B189, $C$2:C189, C189, $F$2:F189, "&gt;4")=1), 1, 0)</f>
        <v>1</v>
      </c>
      <c r="I189" s="10">
        <f t="shared" si="11"/>
        <v>0</v>
      </c>
      <c r="J189" s="10"/>
      <c r="K189" s="7"/>
      <c r="L189" s="7"/>
      <c r="M189" s="10"/>
      <c r="N189" s="10"/>
      <c r="O189" s="11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>
      <c r="A190" s="10" t="s">
        <v>24</v>
      </c>
      <c r="B190" s="7" t="s">
        <v>125</v>
      </c>
      <c r="C190" s="142">
        <v>46258</v>
      </c>
      <c r="D190" s="44" t="s">
        <v>215</v>
      </c>
      <c r="E190" s="35" t="s">
        <v>511</v>
      </c>
      <c r="F190" s="121">
        <v>8.1300000000000008</v>
      </c>
      <c r="G190" s="122">
        <f t="shared" si="10"/>
        <v>0</v>
      </c>
      <c r="H190" s="123">
        <f>IF(AND(ISNUMBER(F190), F190&gt;4, COUNTIFS($A$2:A190, A190, $B$2:B190, B190, $C$2:C190, C190, $F$2:F190, "&gt;4")=1), 1, 0)</f>
        <v>1</v>
      </c>
      <c r="I190" s="10">
        <f t="shared" si="11"/>
        <v>0</v>
      </c>
      <c r="J190" s="10"/>
      <c r="K190" s="7"/>
      <c r="L190" s="7"/>
      <c r="M190" s="10"/>
      <c r="N190" s="10"/>
      <c r="O190" s="11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>
      <c r="A191" s="10" t="s">
        <v>24</v>
      </c>
      <c r="B191" s="7" t="s">
        <v>125</v>
      </c>
      <c r="C191" s="142">
        <v>46259</v>
      </c>
      <c r="D191" s="44" t="s">
        <v>215</v>
      </c>
      <c r="E191" s="35" t="s">
        <v>490</v>
      </c>
      <c r="F191" s="121">
        <v>8.23</v>
      </c>
      <c r="G191" s="122">
        <f t="shared" si="10"/>
        <v>0</v>
      </c>
      <c r="H191" s="123">
        <f>IF(AND(ISNUMBER(F191), F191&gt;4, COUNTIFS($A$2:A191, A191, $B$2:B191, B191, $C$2:C191, C191, $F$2:F191, "&gt;4")=1), 1, 0)</f>
        <v>1</v>
      </c>
      <c r="I191" s="10">
        <f t="shared" si="11"/>
        <v>0</v>
      </c>
      <c r="J191" s="10"/>
      <c r="K191" s="7"/>
      <c r="L191" s="7"/>
      <c r="M191" s="10"/>
      <c r="N191" s="10"/>
      <c r="O191" s="11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>
      <c r="A192" s="10" t="s">
        <v>24</v>
      </c>
      <c r="B192" s="7" t="s">
        <v>125</v>
      </c>
      <c r="C192" s="142">
        <v>46260</v>
      </c>
      <c r="D192" s="44" t="s">
        <v>215</v>
      </c>
      <c r="E192" s="35" t="s">
        <v>521</v>
      </c>
      <c r="F192" s="121">
        <v>9.43</v>
      </c>
      <c r="G192" s="122">
        <f t="shared" si="10"/>
        <v>0</v>
      </c>
      <c r="H192" s="123">
        <f>IF(AND(ISNUMBER(F192), F192&gt;4, COUNTIFS($A$2:A192, A192, $B$2:B192, B192, $C$2:C192, C192, $F$2:F192, "&gt;4")=1), 1, 0)</f>
        <v>1</v>
      </c>
      <c r="I192" s="10">
        <f t="shared" si="11"/>
        <v>0</v>
      </c>
      <c r="J192" s="10"/>
      <c r="K192" s="7"/>
      <c r="L192" s="7"/>
      <c r="M192" s="10"/>
      <c r="N192" s="10"/>
      <c r="O192" s="11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>
      <c r="A193" s="10" t="s">
        <v>24</v>
      </c>
      <c r="B193" s="7" t="s">
        <v>125</v>
      </c>
      <c r="C193" s="142">
        <v>46235</v>
      </c>
      <c r="D193" s="44" t="s">
        <v>198</v>
      </c>
      <c r="E193" s="35" t="s">
        <v>479</v>
      </c>
      <c r="F193" s="121">
        <v>8.02</v>
      </c>
      <c r="G193" s="122">
        <f t="shared" si="10"/>
        <v>0</v>
      </c>
      <c r="H193" s="123">
        <f>IF(AND(ISNUMBER(F193), F193&gt;4, COUNTIFS($A$2:A193, A193, $B$2:B193, B193, $C$2:C193, C193, $F$2:F193, "&gt;4")=1), 1, 0)</f>
        <v>1</v>
      </c>
      <c r="I193" s="10">
        <f t="shared" si="11"/>
        <v>0</v>
      </c>
      <c r="J193" s="10"/>
      <c r="K193" s="7"/>
      <c r="L193" s="7"/>
      <c r="M193" s="10"/>
      <c r="N193" s="10"/>
      <c r="O193" s="11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>
      <c r="A194" s="10" t="s">
        <v>24</v>
      </c>
      <c r="B194" s="7" t="s">
        <v>125</v>
      </c>
      <c r="C194" s="142">
        <v>46236</v>
      </c>
      <c r="D194" s="44" t="s">
        <v>198</v>
      </c>
      <c r="E194" s="35" t="s">
        <v>522</v>
      </c>
      <c r="F194" s="121">
        <v>8.32</v>
      </c>
      <c r="G194" s="122">
        <f t="shared" ref="G194:G257" si="12">IF(AND(ISNUMBER(F194), F194&lt;=4), 1, 0)</f>
        <v>0</v>
      </c>
      <c r="H194" s="123">
        <f>IF(AND(ISNUMBER(F194), F194&gt;4, COUNTIFS($A$2:A194, A194, $B$2:B194, B194, $C$2:C194, C194, $F$2:F194, "&gt;4")=1), 1, 0)</f>
        <v>1</v>
      </c>
      <c r="I194" s="10">
        <f t="shared" ref="I194:I257" si="13">IF(AND(ISNUMBER(F194), F194&gt;4, ISNUMBER(SEARCH("đêm", D194))), 1, 0)</f>
        <v>0</v>
      </c>
      <c r="J194" s="10"/>
      <c r="K194" s="7"/>
      <c r="L194" s="7"/>
      <c r="M194" s="10"/>
      <c r="N194" s="10"/>
      <c r="O194" s="11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>
      <c r="A195" s="10" t="s">
        <v>24</v>
      </c>
      <c r="B195" s="7" t="s">
        <v>125</v>
      </c>
      <c r="C195" s="142">
        <v>46237</v>
      </c>
      <c r="D195" s="44" t="s">
        <v>198</v>
      </c>
      <c r="E195" s="35" t="s">
        <v>199</v>
      </c>
      <c r="F195" s="121">
        <v>8</v>
      </c>
      <c r="G195" s="122">
        <f t="shared" si="12"/>
        <v>0</v>
      </c>
      <c r="H195" s="123">
        <f>IF(AND(ISNUMBER(F195), F195&gt;4, COUNTIFS($A$2:A195, A195, $B$2:B195, B195, $C$2:C195, C195, $F$2:F195, "&gt;4")=1), 1, 0)</f>
        <v>1</v>
      </c>
      <c r="I195" s="10">
        <f t="shared" si="13"/>
        <v>0</v>
      </c>
      <c r="J195" s="10"/>
      <c r="K195" s="7"/>
      <c r="L195" s="7"/>
      <c r="M195" s="10"/>
      <c r="N195" s="10"/>
      <c r="O195" s="11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>
      <c r="A196" s="10" t="s">
        <v>24</v>
      </c>
      <c r="B196" s="7" t="s">
        <v>125</v>
      </c>
      <c r="C196" s="142">
        <v>46239</v>
      </c>
      <c r="D196" s="44" t="s">
        <v>198</v>
      </c>
      <c r="E196" s="35" t="s">
        <v>501</v>
      </c>
      <c r="F196" s="121">
        <v>8.2200000000000006</v>
      </c>
      <c r="G196" s="122">
        <f t="shared" si="12"/>
        <v>0</v>
      </c>
      <c r="H196" s="123">
        <f>IF(AND(ISNUMBER(F196), F196&gt;4, COUNTIFS($A$2:A196, A196, $B$2:B196, B196, $C$2:C196, C196, $F$2:F196, "&gt;4")=1), 1, 0)</f>
        <v>1</v>
      </c>
      <c r="I196" s="10">
        <f t="shared" si="13"/>
        <v>0</v>
      </c>
      <c r="J196" s="10"/>
      <c r="K196" s="7"/>
      <c r="L196" s="7"/>
      <c r="M196" s="10"/>
      <c r="N196" s="10"/>
      <c r="O196" s="11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>
      <c r="A197" s="10" t="s">
        <v>24</v>
      </c>
      <c r="B197" s="7" t="s">
        <v>125</v>
      </c>
      <c r="C197" s="142">
        <v>46240</v>
      </c>
      <c r="D197" s="44" t="s">
        <v>198</v>
      </c>
      <c r="E197" s="35" t="s">
        <v>329</v>
      </c>
      <c r="F197" s="121">
        <v>8.0299999999999994</v>
      </c>
      <c r="G197" s="122">
        <f t="shared" si="12"/>
        <v>0</v>
      </c>
      <c r="H197" s="123">
        <f>IF(AND(ISNUMBER(F197), F197&gt;4, COUNTIFS($A$2:A197, A197, $B$2:B197, B197, $C$2:C197, C197, $F$2:F197, "&gt;4")=1), 1, 0)</f>
        <v>1</v>
      </c>
      <c r="I197" s="10">
        <f t="shared" si="13"/>
        <v>0</v>
      </c>
      <c r="J197" s="10"/>
      <c r="K197" s="7"/>
      <c r="L197" s="7"/>
      <c r="M197" s="10"/>
      <c r="N197" s="10"/>
      <c r="O197" s="11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>
      <c r="A198" s="10" t="s">
        <v>24</v>
      </c>
      <c r="B198" s="7" t="s">
        <v>125</v>
      </c>
      <c r="C198" s="142">
        <v>46245</v>
      </c>
      <c r="D198" s="44" t="s">
        <v>198</v>
      </c>
      <c r="E198" s="35" t="s">
        <v>288</v>
      </c>
      <c r="F198" s="121">
        <v>8.0500000000000007</v>
      </c>
      <c r="G198" s="122">
        <f t="shared" si="12"/>
        <v>0</v>
      </c>
      <c r="H198" s="123">
        <f>IF(AND(ISNUMBER(F198), F198&gt;4, COUNTIFS($A$2:A198, A198, $B$2:B198, B198, $C$2:C198, C198, $F$2:F198, "&gt;4")=1), 1, 0)</f>
        <v>1</v>
      </c>
      <c r="I198" s="10">
        <f t="shared" si="13"/>
        <v>0</v>
      </c>
      <c r="J198" s="10"/>
      <c r="K198" s="7"/>
      <c r="L198" s="7"/>
      <c r="M198" s="10"/>
      <c r="N198" s="10"/>
      <c r="O198" s="11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>
      <c r="A199" s="10" t="s">
        <v>24</v>
      </c>
      <c r="B199" s="7" t="s">
        <v>125</v>
      </c>
      <c r="C199" s="142">
        <v>46252</v>
      </c>
      <c r="D199" s="44" t="s">
        <v>198</v>
      </c>
      <c r="E199" s="35" t="s">
        <v>329</v>
      </c>
      <c r="F199" s="121">
        <v>8.0299999999999994</v>
      </c>
      <c r="G199" s="122">
        <f t="shared" si="12"/>
        <v>0</v>
      </c>
      <c r="H199" s="123">
        <f>IF(AND(ISNUMBER(F199), F199&gt;4, COUNTIFS($A$2:A199, A199, $B$2:B199, B199, $C$2:C199, C199, $F$2:F199, "&gt;4")=1), 1, 0)</f>
        <v>1</v>
      </c>
      <c r="I199" s="10">
        <f t="shared" si="13"/>
        <v>0</v>
      </c>
      <c r="J199" s="10"/>
      <c r="K199" s="7"/>
      <c r="L199" s="7"/>
      <c r="M199" s="10"/>
      <c r="N199" s="10"/>
      <c r="O199" s="11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>
      <c r="A200" s="10" t="s">
        <v>24</v>
      </c>
      <c r="B200" s="7" t="s">
        <v>125</v>
      </c>
      <c r="C200" s="142">
        <v>46253</v>
      </c>
      <c r="D200" s="44" t="s">
        <v>198</v>
      </c>
      <c r="E200" s="35" t="s">
        <v>207</v>
      </c>
      <c r="F200" s="121">
        <v>8.1</v>
      </c>
      <c r="G200" s="122">
        <f t="shared" si="12"/>
        <v>0</v>
      </c>
      <c r="H200" s="123">
        <f>IF(AND(ISNUMBER(F200), F200&gt;4, COUNTIFS($A$2:A200, A200, $B$2:B200, B200, $C$2:C200, C200, $F$2:F200, "&gt;4")=1), 1, 0)</f>
        <v>1</v>
      </c>
      <c r="I200" s="10">
        <f t="shared" si="13"/>
        <v>0</v>
      </c>
      <c r="J200" s="10"/>
      <c r="K200" s="7"/>
      <c r="L200" s="7"/>
      <c r="M200" s="10"/>
      <c r="N200" s="10"/>
      <c r="O200" s="11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>
      <c r="A201" s="10" t="s">
        <v>24</v>
      </c>
      <c r="B201" s="7" t="s">
        <v>125</v>
      </c>
      <c r="C201" s="142">
        <v>46254</v>
      </c>
      <c r="D201" s="44" t="s">
        <v>198</v>
      </c>
      <c r="E201" s="35" t="s">
        <v>207</v>
      </c>
      <c r="F201" s="121">
        <v>8.1</v>
      </c>
      <c r="G201" s="122">
        <f t="shared" si="12"/>
        <v>0</v>
      </c>
      <c r="H201" s="123">
        <f>IF(AND(ISNUMBER(F201), F201&gt;4, COUNTIFS($A$2:A201, A201, $B$2:B201, B201, $C$2:C201, C201, $F$2:F201, "&gt;4")=1), 1, 0)</f>
        <v>1</v>
      </c>
      <c r="I201" s="10">
        <f t="shared" si="13"/>
        <v>0</v>
      </c>
      <c r="J201" s="10"/>
      <c r="K201" s="7"/>
      <c r="L201" s="7"/>
      <c r="M201" s="10"/>
      <c r="N201" s="10"/>
      <c r="O201" s="11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>
      <c r="A202" s="10" t="s">
        <v>24</v>
      </c>
      <c r="B202" s="7" t="s">
        <v>125</v>
      </c>
      <c r="C202" s="142">
        <v>46261</v>
      </c>
      <c r="D202" s="44" t="s">
        <v>198</v>
      </c>
      <c r="E202" s="35" t="s">
        <v>504</v>
      </c>
      <c r="F202" s="121">
        <v>8.18</v>
      </c>
      <c r="G202" s="122">
        <f t="shared" si="12"/>
        <v>0</v>
      </c>
      <c r="H202" s="123">
        <f>IF(AND(ISNUMBER(F202), F202&gt;4, COUNTIFS($A$2:A202, A202, $B$2:B202, B202, $C$2:C202, C202, $F$2:F202, "&gt;4")=1), 1, 0)</f>
        <v>1</v>
      </c>
      <c r="I202" s="10">
        <f t="shared" si="13"/>
        <v>0</v>
      </c>
      <c r="J202" s="10"/>
      <c r="K202" s="7"/>
      <c r="L202" s="7"/>
      <c r="M202" s="10"/>
      <c r="N202" s="10"/>
      <c r="O202" s="11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>
      <c r="A203" s="10" t="s">
        <v>24</v>
      </c>
      <c r="B203" s="7" t="s">
        <v>125</v>
      </c>
      <c r="C203" s="142">
        <v>46262</v>
      </c>
      <c r="D203" s="44" t="s">
        <v>198</v>
      </c>
      <c r="E203" s="35" t="s">
        <v>499</v>
      </c>
      <c r="F203" s="121">
        <v>8.15</v>
      </c>
      <c r="G203" s="122">
        <f t="shared" si="12"/>
        <v>0</v>
      </c>
      <c r="H203" s="123">
        <f>IF(AND(ISNUMBER(F203), F203&gt;4, COUNTIFS($A$2:A203, A203, $B$2:B203, B203, $C$2:C203, C203, $F$2:F203, "&gt;4")=1), 1, 0)</f>
        <v>1</v>
      </c>
      <c r="I203" s="10">
        <f t="shared" si="13"/>
        <v>0</v>
      </c>
      <c r="J203" s="10"/>
      <c r="K203" s="7"/>
      <c r="L203" s="7"/>
      <c r="M203" s="10"/>
      <c r="N203" s="10"/>
      <c r="O203" s="11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>
      <c r="A204" s="10" t="s">
        <v>24</v>
      </c>
      <c r="B204" s="7" t="s">
        <v>125</v>
      </c>
      <c r="C204" s="142">
        <v>46263</v>
      </c>
      <c r="D204" s="44" t="s">
        <v>198</v>
      </c>
      <c r="E204" s="35" t="s">
        <v>288</v>
      </c>
      <c r="F204" s="121">
        <v>8.0500000000000007</v>
      </c>
      <c r="G204" s="122">
        <f t="shared" si="12"/>
        <v>0</v>
      </c>
      <c r="H204" s="123">
        <f>IF(AND(ISNUMBER(F204), F204&gt;4, COUNTIFS($A$2:A204, A204, $B$2:B204, B204, $C$2:C204, C204, $F$2:F204, "&gt;4")=1), 1, 0)</f>
        <v>1</v>
      </c>
      <c r="I204" s="10">
        <f t="shared" si="13"/>
        <v>0</v>
      </c>
      <c r="J204" s="10"/>
      <c r="K204" s="7"/>
      <c r="L204" s="7"/>
      <c r="M204" s="10"/>
      <c r="N204" s="10"/>
      <c r="O204" s="11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>
      <c r="A205" s="10" t="s">
        <v>24</v>
      </c>
      <c r="B205" s="7" t="s">
        <v>125</v>
      </c>
      <c r="C205" s="135">
        <v>46264</v>
      </c>
      <c r="D205" s="44" t="s">
        <v>198</v>
      </c>
      <c r="E205" s="35" t="s">
        <v>214</v>
      </c>
      <c r="F205" s="121">
        <v>8.08</v>
      </c>
      <c r="G205" s="122">
        <f t="shared" si="12"/>
        <v>0</v>
      </c>
      <c r="H205" s="123">
        <f>IF(AND(ISNUMBER(F205), F205&gt;4, COUNTIFS($A$2:A205, A205, $B$2:B205, B205, $C$2:C205, C205, $F$2:F205, "&gt;4")=1), 1, 0)</f>
        <v>1</v>
      </c>
      <c r="I205" s="10">
        <f t="shared" si="13"/>
        <v>0</v>
      </c>
      <c r="J205" s="10"/>
      <c r="K205" s="7"/>
      <c r="L205" s="7"/>
      <c r="M205" s="10"/>
      <c r="N205" s="10"/>
      <c r="O205" s="11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>
      <c r="A206" s="10" t="s">
        <v>24</v>
      </c>
      <c r="B206" s="7" t="s">
        <v>125</v>
      </c>
      <c r="C206" s="135">
        <v>46251</v>
      </c>
      <c r="D206" s="44" t="s">
        <v>218</v>
      </c>
      <c r="E206" s="35" t="s">
        <v>219</v>
      </c>
      <c r="F206" s="121">
        <v>6.1</v>
      </c>
      <c r="G206" s="122">
        <f t="shared" si="12"/>
        <v>0</v>
      </c>
      <c r="H206" s="123">
        <f>IF(AND(ISNUMBER(F206), F206&gt;4, COUNTIFS($A$2:A206, A206, $B$2:B206, B206, $C$2:C206, C206, $F$2:F206, "&gt;4")=1), 1, 0)</f>
        <v>1</v>
      </c>
      <c r="I206" s="10">
        <f t="shared" si="13"/>
        <v>0</v>
      </c>
      <c r="J206" s="10"/>
      <c r="K206" s="7"/>
      <c r="L206" s="7"/>
      <c r="M206" s="10"/>
      <c r="N206" s="10"/>
      <c r="O206" s="11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>
      <c r="A207" s="10" t="s">
        <v>24</v>
      </c>
      <c r="B207" s="7" t="s">
        <v>125</v>
      </c>
      <c r="C207" s="135">
        <v>46240</v>
      </c>
      <c r="D207" s="44" t="s">
        <v>220</v>
      </c>
      <c r="E207" s="35" t="s">
        <v>231</v>
      </c>
      <c r="F207" s="121">
        <v>0.5</v>
      </c>
      <c r="G207" s="122">
        <f t="shared" si="12"/>
        <v>1</v>
      </c>
      <c r="H207" s="123">
        <f>IF(AND(ISNUMBER(F207), F207&gt;4, COUNTIFS($A$2:A207, A207, $B$2:B207, B207, $C$2:C207, C207, $F$2:F207, "&gt;4")=1), 1, 0)</f>
        <v>0</v>
      </c>
      <c r="I207" s="10">
        <f t="shared" si="13"/>
        <v>0</v>
      </c>
      <c r="J207" s="10"/>
      <c r="K207" s="7"/>
      <c r="L207" s="7"/>
      <c r="M207" s="10"/>
      <c r="N207" s="10"/>
      <c r="O207" s="11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>
      <c r="A208" s="10" t="s">
        <v>24</v>
      </c>
      <c r="B208" s="7" t="s">
        <v>125</v>
      </c>
      <c r="C208" s="135">
        <v>46244</v>
      </c>
      <c r="D208" s="44" t="s">
        <v>220</v>
      </c>
      <c r="E208" s="35" t="s">
        <v>515</v>
      </c>
      <c r="F208" s="121">
        <v>8.27</v>
      </c>
      <c r="G208" s="122">
        <f t="shared" si="12"/>
        <v>0</v>
      </c>
      <c r="H208" s="123">
        <f>IF(AND(ISNUMBER(F208), F208&gt;4, COUNTIFS($A$2:A208, A208, $B$2:B208, B208, $C$2:C208, C208, $F$2:F208, "&gt;4")=1), 1, 0)</f>
        <v>1</v>
      </c>
      <c r="I208" s="10">
        <f t="shared" si="13"/>
        <v>1</v>
      </c>
      <c r="J208" s="10"/>
      <c r="K208" s="7"/>
      <c r="L208" s="7"/>
      <c r="M208" s="10"/>
      <c r="N208" s="10"/>
      <c r="O208" s="11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>
      <c r="A209" s="10" t="s">
        <v>24</v>
      </c>
      <c r="B209" s="7" t="s">
        <v>125</v>
      </c>
      <c r="C209" s="135">
        <v>46265</v>
      </c>
      <c r="D209" s="44" t="s">
        <v>220</v>
      </c>
      <c r="E209" s="35" t="s">
        <v>504</v>
      </c>
      <c r="F209" s="121">
        <v>8.18</v>
      </c>
      <c r="G209" s="122">
        <f t="shared" si="12"/>
        <v>0</v>
      </c>
      <c r="H209" s="123">
        <f>IF(AND(ISNUMBER(F209), F209&gt;4, COUNTIFS($A$2:A209, A209, $B$2:B209, B209, $C$2:C209, C209, $F$2:F209, "&gt;4")=1), 1, 0)</f>
        <v>1</v>
      </c>
      <c r="I209" s="10">
        <f t="shared" si="13"/>
        <v>1</v>
      </c>
      <c r="J209" s="10"/>
      <c r="K209" s="7"/>
      <c r="L209" s="7"/>
      <c r="M209" s="10"/>
      <c r="N209" s="10"/>
      <c r="O209" s="11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>
      <c r="A210" s="10" t="s">
        <v>24</v>
      </c>
      <c r="B210" s="7" t="s">
        <v>123</v>
      </c>
      <c r="C210" s="135">
        <v>46250</v>
      </c>
      <c r="D210" s="44" t="s">
        <v>222</v>
      </c>
      <c r="E210" s="35" t="s">
        <v>296</v>
      </c>
      <c r="F210" s="121">
        <v>4</v>
      </c>
      <c r="G210" s="122">
        <f t="shared" si="12"/>
        <v>1</v>
      </c>
      <c r="H210" s="123">
        <f>IF(AND(ISNUMBER(F210), F210&gt;4, COUNTIFS($A$2:A210, A210, $B$2:B210, B210, $C$2:C210, C210, $F$2:F210, "&gt;4")=1), 1, 0)</f>
        <v>0</v>
      </c>
      <c r="I210" s="10">
        <f t="shared" si="13"/>
        <v>0</v>
      </c>
      <c r="J210" s="10"/>
      <c r="K210" s="7"/>
      <c r="L210" s="7"/>
      <c r="M210" s="10"/>
      <c r="N210" s="10"/>
      <c r="O210" s="11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>
      <c r="A211" s="10" t="s">
        <v>24</v>
      </c>
      <c r="B211" s="7" t="s">
        <v>123</v>
      </c>
      <c r="C211" s="135">
        <v>46257</v>
      </c>
      <c r="D211" s="44" t="s">
        <v>222</v>
      </c>
      <c r="E211" s="35" t="s">
        <v>523</v>
      </c>
      <c r="F211" s="121">
        <v>1.4</v>
      </c>
      <c r="G211" s="122">
        <f t="shared" si="12"/>
        <v>1</v>
      </c>
      <c r="H211" s="123">
        <f>IF(AND(ISNUMBER(F211), F211&gt;4, COUNTIFS($A$2:A211, A211, $B$2:B211, B211, $C$2:C211, C211, $F$2:F211, "&gt;4")=1), 1, 0)</f>
        <v>0</v>
      </c>
      <c r="I211" s="10">
        <f t="shared" si="13"/>
        <v>0</v>
      </c>
      <c r="J211" s="10"/>
      <c r="K211" s="7"/>
      <c r="L211" s="7"/>
      <c r="M211" s="10"/>
      <c r="N211" s="10"/>
      <c r="O211" s="11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>
      <c r="A212" s="10" t="s">
        <v>24</v>
      </c>
      <c r="B212" s="7" t="s">
        <v>123</v>
      </c>
      <c r="C212" s="135">
        <v>46246</v>
      </c>
      <c r="D212" s="44" t="s">
        <v>215</v>
      </c>
      <c r="E212" s="35" t="s">
        <v>524</v>
      </c>
      <c r="F212" s="121">
        <v>0.97</v>
      </c>
      <c r="G212" s="122">
        <f t="shared" si="12"/>
        <v>1</v>
      </c>
      <c r="H212" s="123">
        <f>IF(AND(ISNUMBER(F212), F212&gt;4, COUNTIFS($A$2:A212, A212, $B$2:B212, B212, $C$2:C212, C212, $F$2:F212, "&gt;4")=1), 1, 0)</f>
        <v>0</v>
      </c>
      <c r="I212" s="10">
        <f t="shared" si="13"/>
        <v>0</v>
      </c>
      <c r="J212" s="10"/>
      <c r="K212" s="7"/>
      <c r="L212" s="7"/>
      <c r="M212" s="10"/>
      <c r="N212" s="10"/>
      <c r="O212" s="11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>
      <c r="A213" s="10" t="s">
        <v>24</v>
      </c>
      <c r="B213" s="7" t="s">
        <v>123</v>
      </c>
      <c r="C213" s="135">
        <v>46262</v>
      </c>
      <c r="D213" s="44" t="s">
        <v>215</v>
      </c>
      <c r="E213" s="35" t="s">
        <v>525</v>
      </c>
      <c r="F213" s="121">
        <v>3.63</v>
      </c>
      <c r="G213" s="122">
        <f t="shared" si="12"/>
        <v>1</v>
      </c>
      <c r="H213" s="123">
        <f>IF(AND(ISNUMBER(F213), F213&gt;4, COUNTIFS($A$2:A213, A213, $B$2:B213, B213, $C$2:C213, C213, $F$2:F213, "&gt;4")=1), 1, 0)</f>
        <v>0</v>
      </c>
      <c r="I213" s="10">
        <f t="shared" si="13"/>
        <v>0</v>
      </c>
      <c r="J213" s="10"/>
      <c r="K213" s="7"/>
      <c r="L213" s="7"/>
      <c r="M213" s="10"/>
      <c r="N213" s="10"/>
      <c r="O213" s="11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>
      <c r="A214" s="10" t="s">
        <v>24</v>
      </c>
      <c r="B214" s="7" t="s">
        <v>123</v>
      </c>
      <c r="C214" s="135">
        <v>46265</v>
      </c>
      <c r="D214" s="44" t="s">
        <v>215</v>
      </c>
      <c r="E214" s="35" t="s">
        <v>356</v>
      </c>
      <c r="F214" s="121">
        <v>4.17</v>
      </c>
      <c r="G214" s="122">
        <f t="shared" si="12"/>
        <v>0</v>
      </c>
      <c r="H214" s="123">
        <f>IF(AND(ISNUMBER(F214), F214&gt;4, COUNTIFS($A$2:A214, A214, $B$2:B214, B214, $C$2:C214, C214, $F$2:F214, "&gt;4")=1), 1, 0)</f>
        <v>1</v>
      </c>
      <c r="I214" s="10">
        <f t="shared" si="13"/>
        <v>0</v>
      </c>
      <c r="J214" s="10"/>
      <c r="K214" s="7"/>
      <c r="L214" s="7"/>
      <c r="M214" s="10"/>
      <c r="N214" s="10"/>
      <c r="O214" s="11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>
      <c r="A215" s="10" t="s">
        <v>24</v>
      </c>
      <c r="B215" s="7" t="s">
        <v>123</v>
      </c>
      <c r="C215" s="135">
        <v>46259</v>
      </c>
      <c r="D215" s="44" t="s">
        <v>225</v>
      </c>
      <c r="E215" s="35" t="s">
        <v>526</v>
      </c>
      <c r="F215" s="121">
        <v>1.1499999999999999</v>
      </c>
      <c r="G215" s="122">
        <f t="shared" si="12"/>
        <v>1</v>
      </c>
      <c r="H215" s="123">
        <f>IF(AND(ISNUMBER(F215), F215&gt;4, COUNTIFS($A$2:A215, A215, $B$2:B215, B215, $C$2:C215, C215, $F$2:F215, "&gt;4")=1), 1, 0)</f>
        <v>0</v>
      </c>
      <c r="I215" s="10">
        <f t="shared" si="13"/>
        <v>0</v>
      </c>
      <c r="J215" s="10"/>
      <c r="K215" s="7"/>
      <c r="L215" s="7"/>
      <c r="M215" s="10"/>
      <c r="N215" s="10"/>
      <c r="O215" s="11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>
      <c r="A216" s="10" t="s">
        <v>24</v>
      </c>
      <c r="B216" s="7" t="s">
        <v>123</v>
      </c>
      <c r="C216" s="135">
        <v>46260</v>
      </c>
      <c r="D216" s="44" t="s">
        <v>225</v>
      </c>
      <c r="E216" s="35" t="s">
        <v>527</v>
      </c>
      <c r="F216" s="121">
        <v>1.07</v>
      </c>
      <c r="G216" s="122">
        <f t="shared" si="12"/>
        <v>1</v>
      </c>
      <c r="H216" s="123">
        <f>IF(AND(ISNUMBER(F216), F216&gt;4, COUNTIFS($A$2:A216, A216, $B$2:B216, B216, $C$2:C216, C216, $F$2:F216, "&gt;4")=1), 1, 0)</f>
        <v>0</v>
      </c>
      <c r="I216" s="10">
        <f t="shared" si="13"/>
        <v>0</v>
      </c>
      <c r="J216" s="10"/>
      <c r="K216" s="7"/>
      <c r="L216" s="7"/>
      <c r="M216" s="10"/>
      <c r="N216" s="10"/>
      <c r="O216" s="11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>
      <c r="A217" s="10" t="s">
        <v>24</v>
      </c>
      <c r="B217" s="7" t="s">
        <v>123</v>
      </c>
      <c r="C217" s="135">
        <v>46235</v>
      </c>
      <c r="D217" s="44" t="s">
        <v>220</v>
      </c>
      <c r="E217" s="35" t="s">
        <v>239</v>
      </c>
      <c r="F217" s="121">
        <v>8.07</v>
      </c>
      <c r="G217" s="122">
        <f t="shared" si="12"/>
        <v>0</v>
      </c>
      <c r="H217" s="123">
        <f>IF(AND(ISNUMBER(F217), F217&gt;4, COUNTIFS($A$2:A217, A217, $B$2:B217, B217, $C$2:C217, C217, $F$2:F217, "&gt;4")=1), 1, 0)</f>
        <v>1</v>
      </c>
      <c r="I217" s="10">
        <f t="shared" si="13"/>
        <v>1</v>
      </c>
      <c r="J217" s="10"/>
      <c r="K217" s="7"/>
      <c r="L217" s="7"/>
      <c r="M217" s="10"/>
      <c r="N217" s="10"/>
      <c r="O217" s="11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>
      <c r="A218" s="10" t="s">
        <v>24</v>
      </c>
      <c r="B218" s="7" t="s">
        <v>123</v>
      </c>
      <c r="C218" s="135">
        <v>46236</v>
      </c>
      <c r="D218" s="44" t="s">
        <v>220</v>
      </c>
      <c r="E218" s="35" t="s">
        <v>214</v>
      </c>
      <c r="F218" s="121">
        <v>8.08</v>
      </c>
      <c r="G218" s="122">
        <f t="shared" si="12"/>
        <v>0</v>
      </c>
      <c r="H218" s="123">
        <f>IF(AND(ISNUMBER(F218), F218&gt;4, COUNTIFS($A$2:A218, A218, $B$2:B218, B218, $C$2:C218, C218, $F$2:F218, "&gt;4")=1), 1, 0)</f>
        <v>1</v>
      </c>
      <c r="I218" s="10">
        <f t="shared" si="13"/>
        <v>1</v>
      </c>
      <c r="J218" s="10"/>
      <c r="K218" s="7"/>
      <c r="L218" s="7"/>
      <c r="M218" s="10"/>
      <c r="N218" s="10"/>
      <c r="O218" s="11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>
      <c r="A219" s="10" t="s">
        <v>24</v>
      </c>
      <c r="B219" s="7" t="s">
        <v>123</v>
      </c>
      <c r="C219" s="135">
        <v>46237</v>
      </c>
      <c r="D219" s="44" t="s">
        <v>220</v>
      </c>
      <c r="E219" s="35" t="s">
        <v>288</v>
      </c>
      <c r="F219" s="121">
        <v>8.0500000000000007</v>
      </c>
      <c r="G219" s="122">
        <f t="shared" si="12"/>
        <v>0</v>
      </c>
      <c r="H219" s="123">
        <f>IF(AND(ISNUMBER(F219), F219&gt;4, COUNTIFS($A$2:A219, A219, $B$2:B219, B219, $C$2:C219, C219, $F$2:F219, "&gt;4")=1), 1, 0)</f>
        <v>1</v>
      </c>
      <c r="I219" s="10">
        <f t="shared" si="13"/>
        <v>1</v>
      </c>
      <c r="J219" s="10"/>
      <c r="K219" s="7"/>
      <c r="L219" s="7"/>
      <c r="M219" s="10"/>
      <c r="N219" s="10"/>
      <c r="O219" s="11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>
      <c r="A220" s="10" t="s">
        <v>24</v>
      </c>
      <c r="B220" s="7" t="s">
        <v>123</v>
      </c>
      <c r="C220" s="135">
        <v>46238</v>
      </c>
      <c r="D220" s="44" t="s">
        <v>220</v>
      </c>
      <c r="E220" s="35" t="s">
        <v>511</v>
      </c>
      <c r="F220" s="121">
        <v>8.1300000000000008</v>
      </c>
      <c r="G220" s="122">
        <f t="shared" si="12"/>
        <v>0</v>
      </c>
      <c r="H220" s="123">
        <f>IF(AND(ISNUMBER(F220), F220&gt;4, COUNTIFS($A$2:A220, A220, $B$2:B220, B220, $C$2:C220, C220, $F$2:F220, "&gt;4")=1), 1, 0)</f>
        <v>1</v>
      </c>
      <c r="I220" s="10">
        <f t="shared" si="13"/>
        <v>1</v>
      </c>
      <c r="J220" s="10"/>
      <c r="K220" s="7"/>
      <c r="L220" s="7"/>
      <c r="M220" s="10"/>
      <c r="N220" s="10"/>
      <c r="O220" s="11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>
      <c r="A221" s="10" t="s">
        <v>24</v>
      </c>
      <c r="B221" s="7" t="s">
        <v>123</v>
      </c>
      <c r="C221" s="135">
        <v>46239</v>
      </c>
      <c r="D221" s="44" t="s">
        <v>220</v>
      </c>
      <c r="E221" s="35" t="s">
        <v>476</v>
      </c>
      <c r="F221" s="121">
        <v>8.1199999999999992</v>
      </c>
      <c r="G221" s="122">
        <f t="shared" si="12"/>
        <v>0</v>
      </c>
      <c r="H221" s="123">
        <f>IF(AND(ISNUMBER(F221), F221&gt;4, COUNTIFS($A$2:A221, A221, $B$2:B221, B221, $C$2:C221, C221, $F$2:F221, "&gt;4")=1), 1, 0)</f>
        <v>1</v>
      </c>
      <c r="I221" s="10">
        <f t="shared" si="13"/>
        <v>1</v>
      </c>
      <c r="J221" s="10"/>
      <c r="K221" s="7"/>
      <c r="L221" s="7"/>
      <c r="M221" s="10"/>
      <c r="N221" s="10"/>
      <c r="O221" s="11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>
      <c r="A222" s="10" t="s">
        <v>24</v>
      </c>
      <c r="B222" s="7" t="s">
        <v>123</v>
      </c>
      <c r="C222" s="135">
        <v>46240</v>
      </c>
      <c r="D222" s="44" t="s">
        <v>220</v>
      </c>
      <c r="E222" s="35" t="s">
        <v>297</v>
      </c>
      <c r="F222" s="121">
        <v>8.5</v>
      </c>
      <c r="G222" s="122">
        <f t="shared" si="12"/>
        <v>0</v>
      </c>
      <c r="H222" s="123">
        <f>IF(AND(ISNUMBER(F222), F222&gt;4, COUNTIFS($A$2:A222, A222, $B$2:B222, B222, $C$2:C222, C222, $F$2:F222, "&gt;4")=1), 1, 0)</f>
        <v>1</v>
      </c>
      <c r="I222" s="10">
        <f t="shared" si="13"/>
        <v>1</v>
      </c>
      <c r="J222" s="10"/>
      <c r="K222" s="7"/>
      <c r="L222" s="7"/>
      <c r="M222" s="10"/>
      <c r="N222" s="10"/>
      <c r="O222" s="11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>
      <c r="A223" s="10" t="s">
        <v>24</v>
      </c>
      <c r="B223" s="7" t="s">
        <v>123</v>
      </c>
      <c r="C223" s="135">
        <v>46241</v>
      </c>
      <c r="D223" s="44" t="s">
        <v>220</v>
      </c>
      <c r="E223" s="35" t="s">
        <v>239</v>
      </c>
      <c r="F223" s="121">
        <v>8.07</v>
      </c>
      <c r="G223" s="122">
        <f t="shared" si="12"/>
        <v>0</v>
      </c>
      <c r="H223" s="123">
        <f>IF(AND(ISNUMBER(F223), F223&gt;4, COUNTIFS($A$2:A223, A223, $B$2:B223, B223, $C$2:C223, C223, $F$2:F223, "&gt;4")=1), 1, 0)</f>
        <v>1</v>
      </c>
      <c r="I223" s="10">
        <f t="shared" si="13"/>
        <v>1</v>
      </c>
      <c r="J223" s="10"/>
      <c r="K223" s="7"/>
      <c r="L223" s="7"/>
      <c r="M223" s="10"/>
      <c r="N223" s="10"/>
      <c r="O223" s="11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>
      <c r="A224" s="10" t="s">
        <v>24</v>
      </c>
      <c r="B224" s="7" t="s">
        <v>123</v>
      </c>
      <c r="C224" s="135">
        <v>46242</v>
      </c>
      <c r="D224" s="44" t="s">
        <v>220</v>
      </c>
      <c r="E224" s="35" t="s">
        <v>511</v>
      </c>
      <c r="F224" s="121">
        <v>8.1300000000000008</v>
      </c>
      <c r="G224" s="122">
        <f t="shared" si="12"/>
        <v>0</v>
      </c>
      <c r="H224" s="123">
        <f>IF(AND(ISNUMBER(F224), F224&gt;4, COUNTIFS($A$2:A224, A224, $B$2:B224, B224, $C$2:C224, C224, $F$2:F224, "&gt;4")=1), 1, 0)</f>
        <v>1</v>
      </c>
      <c r="I224" s="10">
        <f t="shared" si="13"/>
        <v>1</v>
      </c>
      <c r="J224" s="10"/>
      <c r="K224" s="7"/>
      <c r="L224" s="7"/>
      <c r="M224" s="10"/>
      <c r="N224" s="10"/>
      <c r="O224" s="11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>
      <c r="A225" s="10" t="s">
        <v>24</v>
      </c>
      <c r="B225" s="7" t="s">
        <v>123</v>
      </c>
      <c r="C225" s="135">
        <v>46243</v>
      </c>
      <c r="D225" s="44" t="s">
        <v>220</v>
      </c>
      <c r="E225" s="35" t="s">
        <v>519</v>
      </c>
      <c r="F225" s="121">
        <v>8.4</v>
      </c>
      <c r="G225" s="122">
        <f t="shared" si="12"/>
        <v>0</v>
      </c>
      <c r="H225" s="123">
        <f>IF(AND(ISNUMBER(F225), F225&gt;4, COUNTIFS($A$2:A225, A225, $B$2:B225, B225, $C$2:C225, C225, $F$2:F225, "&gt;4")=1), 1, 0)</f>
        <v>1</v>
      </c>
      <c r="I225" s="10">
        <f t="shared" si="13"/>
        <v>1</v>
      </c>
      <c r="J225" s="10"/>
      <c r="K225" s="7"/>
      <c r="L225" s="7"/>
      <c r="M225" s="10"/>
      <c r="N225" s="10"/>
      <c r="O225" s="11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>
      <c r="A226" s="10" t="s">
        <v>24</v>
      </c>
      <c r="B226" s="7" t="s">
        <v>123</v>
      </c>
      <c r="C226" s="135">
        <v>46245</v>
      </c>
      <c r="D226" s="44" t="s">
        <v>220</v>
      </c>
      <c r="E226" s="35" t="s">
        <v>239</v>
      </c>
      <c r="F226" s="121">
        <v>8.07</v>
      </c>
      <c r="G226" s="122">
        <f t="shared" si="12"/>
        <v>0</v>
      </c>
      <c r="H226" s="123">
        <f>IF(AND(ISNUMBER(F226), F226&gt;4, COUNTIFS($A$2:A226, A226, $B$2:B226, B226, $C$2:C226, C226, $F$2:F226, "&gt;4")=1), 1, 0)</f>
        <v>1</v>
      </c>
      <c r="I226" s="10">
        <f t="shared" si="13"/>
        <v>1</v>
      </c>
      <c r="J226" s="10"/>
      <c r="K226" s="7"/>
      <c r="L226" s="7"/>
      <c r="M226" s="10"/>
      <c r="N226" s="10"/>
      <c r="O226" s="11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>
      <c r="A227" s="10" t="s">
        <v>24</v>
      </c>
      <c r="B227" s="7" t="s">
        <v>123</v>
      </c>
      <c r="C227" s="135">
        <v>46246</v>
      </c>
      <c r="D227" s="44" t="s">
        <v>220</v>
      </c>
      <c r="E227" s="35" t="s">
        <v>214</v>
      </c>
      <c r="F227" s="121">
        <v>8.08</v>
      </c>
      <c r="G227" s="122">
        <f t="shared" si="12"/>
        <v>0</v>
      </c>
      <c r="H227" s="123">
        <f>IF(AND(ISNUMBER(F227), F227&gt;4, COUNTIFS($A$2:A227, A227, $B$2:B227, B227, $C$2:C227, C227, $F$2:F227, "&gt;4")=1), 1, 0)</f>
        <v>1</v>
      </c>
      <c r="I227" s="10">
        <f t="shared" si="13"/>
        <v>1</v>
      </c>
      <c r="J227" s="10"/>
      <c r="K227" s="7"/>
      <c r="L227" s="7"/>
      <c r="M227" s="10"/>
      <c r="N227" s="10"/>
      <c r="O227" s="11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>
      <c r="A228" s="10" t="s">
        <v>24</v>
      </c>
      <c r="B228" s="7" t="s">
        <v>123</v>
      </c>
      <c r="C228" s="135">
        <v>46247</v>
      </c>
      <c r="D228" s="44" t="s">
        <v>220</v>
      </c>
      <c r="E228" s="35" t="s">
        <v>239</v>
      </c>
      <c r="F228" s="121">
        <v>8.07</v>
      </c>
      <c r="G228" s="122">
        <f t="shared" si="12"/>
        <v>0</v>
      </c>
      <c r="H228" s="123">
        <f>IF(AND(ISNUMBER(F228), F228&gt;4, COUNTIFS($A$2:A228, A228, $B$2:B228, B228, $C$2:C228, C228, $F$2:F228, "&gt;4")=1), 1, 0)</f>
        <v>1</v>
      </c>
      <c r="I228" s="10">
        <f t="shared" si="13"/>
        <v>1</v>
      </c>
      <c r="J228" s="10"/>
      <c r="K228" s="7"/>
      <c r="L228" s="7"/>
      <c r="M228" s="10"/>
      <c r="N228" s="10"/>
      <c r="O228" s="11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>
      <c r="A229" s="10" t="s">
        <v>24</v>
      </c>
      <c r="B229" s="7" t="s">
        <v>123</v>
      </c>
      <c r="C229" s="135">
        <v>46248</v>
      </c>
      <c r="D229" s="44" t="s">
        <v>220</v>
      </c>
      <c r="E229" s="35" t="s">
        <v>329</v>
      </c>
      <c r="F229" s="121">
        <v>8.0299999999999994</v>
      </c>
      <c r="G229" s="122">
        <f t="shared" si="12"/>
        <v>0</v>
      </c>
      <c r="H229" s="123">
        <f>IF(AND(ISNUMBER(F229), F229&gt;4, COUNTIFS($A$2:A229, A229, $B$2:B229, B229, $C$2:C229, C229, $F$2:F229, "&gt;4")=1), 1, 0)</f>
        <v>1</v>
      </c>
      <c r="I229" s="10">
        <f t="shared" si="13"/>
        <v>1</v>
      </c>
      <c r="J229" s="10"/>
      <c r="K229" s="7"/>
      <c r="L229" s="7"/>
      <c r="M229" s="10"/>
      <c r="N229" s="10"/>
      <c r="O229" s="11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>
      <c r="A230" s="10" t="s">
        <v>24</v>
      </c>
      <c r="B230" s="7" t="s">
        <v>123</v>
      </c>
      <c r="C230" s="135">
        <v>46249</v>
      </c>
      <c r="D230" s="44" t="s">
        <v>220</v>
      </c>
      <c r="E230" s="35" t="s">
        <v>214</v>
      </c>
      <c r="F230" s="121">
        <v>8.08</v>
      </c>
      <c r="G230" s="122">
        <f t="shared" si="12"/>
        <v>0</v>
      </c>
      <c r="H230" s="123">
        <f>IF(AND(ISNUMBER(F230), F230&gt;4, COUNTIFS($A$2:A230, A230, $B$2:B230, B230, $C$2:C230, C230, $F$2:F230, "&gt;4")=1), 1, 0)</f>
        <v>1</v>
      </c>
      <c r="I230" s="10">
        <f t="shared" si="13"/>
        <v>1</v>
      </c>
      <c r="J230" s="10"/>
      <c r="K230" s="7"/>
      <c r="L230" s="7"/>
      <c r="M230" s="10"/>
      <c r="N230" s="10"/>
      <c r="O230" s="11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>
      <c r="A231" s="10" t="s">
        <v>24</v>
      </c>
      <c r="B231" s="7" t="s">
        <v>123</v>
      </c>
      <c r="C231" s="135">
        <v>46250</v>
      </c>
      <c r="D231" s="44" t="s">
        <v>220</v>
      </c>
      <c r="E231" s="35" t="s">
        <v>511</v>
      </c>
      <c r="F231" s="121">
        <v>8.1300000000000008</v>
      </c>
      <c r="G231" s="122">
        <f t="shared" si="12"/>
        <v>0</v>
      </c>
      <c r="H231" s="123">
        <f>IF(AND(ISNUMBER(F231), F231&gt;4, COUNTIFS($A$2:A231, A231, $B$2:B231, B231, $C$2:C231, C231, $F$2:F231, "&gt;4")=1), 1, 0)</f>
        <v>1</v>
      </c>
      <c r="I231" s="10">
        <f t="shared" si="13"/>
        <v>1</v>
      </c>
      <c r="J231" s="10"/>
      <c r="K231" s="7"/>
      <c r="L231" s="7"/>
      <c r="M231" s="10"/>
      <c r="N231" s="10"/>
      <c r="O231" s="11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>
      <c r="A232" s="10" t="s">
        <v>24</v>
      </c>
      <c r="B232" s="7" t="s">
        <v>123</v>
      </c>
      <c r="C232" s="142">
        <v>46251</v>
      </c>
      <c r="D232" s="44" t="s">
        <v>220</v>
      </c>
      <c r="E232" s="35" t="s">
        <v>511</v>
      </c>
      <c r="F232" s="121">
        <v>8.1300000000000008</v>
      </c>
      <c r="G232" s="122">
        <f t="shared" si="12"/>
        <v>0</v>
      </c>
      <c r="H232" s="123">
        <f>IF(AND(ISNUMBER(F232), F232&gt;4, COUNTIFS($A$2:A232, A232, $B$2:B232, B232, $C$2:C232, C232, $F$2:F232, "&gt;4")=1), 1, 0)</f>
        <v>1</v>
      </c>
      <c r="I232" s="10">
        <f t="shared" si="13"/>
        <v>1</v>
      </c>
      <c r="J232" s="10"/>
      <c r="K232" s="7"/>
      <c r="L232" s="7"/>
      <c r="M232" s="10"/>
      <c r="N232" s="10"/>
      <c r="O232" s="11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>
      <c r="A233" s="10" t="s">
        <v>24</v>
      </c>
      <c r="B233" s="7" t="s">
        <v>123</v>
      </c>
      <c r="C233" s="142">
        <v>46252</v>
      </c>
      <c r="D233" s="44" t="s">
        <v>220</v>
      </c>
      <c r="E233" s="35" t="s">
        <v>503</v>
      </c>
      <c r="F233" s="121">
        <v>8.1999999999999993</v>
      </c>
      <c r="G233" s="122">
        <f t="shared" si="12"/>
        <v>0</v>
      </c>
      <c r="H233" s="123">
        <f>IF(AND(ISNUMBER(F233), F233&gt;4, COUNTIFS($A$2:A233, A233, $B$2:B233, B233, $C$2:C233, C233, $F$2:F233, "&gt;4")=1), 1, 0)</f>
        <v>1</v>
      </c>
      <c r="I233" s="10">
        <f t="shared" si="13"/>
        <v>1</v>
      </c>
      <c r="J233" s="10"/>
      <c r="K233" s="7"/>
      <c r="L233" s="7"/>
      <c r="M233" s="10"/>
      <c r="N233" s="10"/>
      <c r="O233" s="11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>
      <c r="A234" s="10" t="s">
        <v>24</v>
      </c>
      <c r="B234" s="7" t="s">
        <v>123</v>
      </c>
      <c r="C234" s="142">
        <v>46253</v>
      </c>
      <c r="D234" s="44" t="s">
        <v>220</v>
      </c>
      <c r="E234" s="35" t="s">
        <v>280</v>
      </c>
      <c r="F234" s="121">
        <v>8.25</v>
      </c>
      <c r="G234" s="122">
        <f t="shared" si="12"/>
        <v>0</v>
      </c>
      <c r="H234" s="123">
        <f>IF(AND(ISNUMBER(F234), F234&gt;4, COUNTIFS($A$2:A234, A234, $B$2:B234, B234, $C$2:C234, C234, $F$2:F234, "&gt;4")=1), 1, 0)</f>
        <v>1</v>
      </c>
      <c r="I234" s="10">
        <f t="shared" si="13"/>
        <v>1</v>
      </c>
      <c r="J234" s="10"/>
      <c r="K234" s="7"/>
      <c r="L234" s="7"/>
      <c r="M234" s="10"/>
      <c r="N234" s="10"/>
      <c r="O234" s="11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>
      <c r="A235" s="10" t="s">
        <v>24</v>
      </c>
      <c r="B235" s="7" t="s">
        <v>123</v>
      </c>
      <c r="C235" s="142">
        <v>46254</v>
      </c>
      <c r="D235" s="44" t="s">
        <v>220</v>
      </c>
      <c r="E235" s="35" t="s">
        <v>288</v>
      </c>
      <c r="F235" s="121">
        <v>8.0500000000000007</v>
      </c>
      <c r="G235" s="122">
        <f t="shared" si="12"/>
        <v>0</v>
      </c>
      <c r="H235" s="123">
        <f>IF(AND(ISNUMBER(F235), F235&gt;4, COUNTIFS($A$2:A235, A235, $B$2:B235, B235, $C$2:C235, C235, $F$2:F235, "&gt;4")=1), 1, 0)</f>
        <v>1</v>
      </c>
      <c r="I235" s="10">
        <f t="shared" si="13"/>
        <v>1</v>
      </c>
      <c r="J235" s="10"/>
      <c r="K235" s="7"/>
      <c r="L235" s="7"/>
      <c r="M235" s="10"/>
      <c r="N235" s="10"/>
      <c r="O235" s="11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>
      <c r="A236" s="10" t="s">
        <v>24</v>
      </c>
      <c r="B236" s="7" t="s">
        <v>123</v>
      </c>
      <c r="C236" s="142">
        <v>46255</v>
      </c>
      <c r="D236" s="44" t="s">
        <v>220</v>
      </c>
      <c r="E236" s="35" t="s">
        <v>511</v>
      </c>
      <c r="F236" s="121">
        <v>8.1300000000000008</v>
      </c>
      <c r="G236" s="122">
        <f t="shared" si="12"/>
        <v>0</v>
      </c>
      <c r="H236" s="123">
        <f>IF(AND(ISNUMBER(F236), F236&gt;4, COUNTIFS($A$2:A236, A236, $B$2:B236, B236, $C$2:C236, C236, $F$2:F236, "&gt;4")=1), 1, 0)</f>
        <v>1</v>
      </c>
      <c r="I236" s="10">
        <f t="shared" si="13"/>
        <v>1</v>
      </c>
      <c r="J236" s="10"/>
      <c r="K236" s="7"/>
      <c r="L236" s="7"/>
      <c r="M236" s="10"/>
      <c r="N236" s="10"/>
      <c r="O236" s="11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>
      <c r="A237" s="10" t="s">
        <v>24</v>
      </c>
      <c r="B237" s="7" t="s">
        <v>123</v>
      </c>
      <c r="C237" s="142">
        <v>46256</v>
      </c>
      <c r="D237" s="44" t="s">
        <v>220</v>
      </c>
      <c r="E237" s="35" t="s">
        <v>479</v>
      </c>
      <c r="F237" s="121">
        <v>8.02</v>
      </c>
      <c r="G237" s="122">
        <f t="shared" si="12"/>
        <v>0</v>
      </c>
      <c r="H237" s="123">
        <f>IF(AND(ISNUMBER(F237), F237&gt;4, COUNTIFS($A$2:A237, A237, $B$2:B237, B237, $C$2:C237, C237, $F$2:F237, "&gt;4")=1), 1, 0)</f>
        <v>1</v>
      </c>
      <c r="I237" s="10">
        <f t="shared" si="13"/>
        <v>1</v>
      </c>
      <c r="J237" s="10"/>
      <c r="K237" s="7"/>
      <c r="L237" s="7"/>
      <c r="M237" s="10"/>
      <c r="N237" s="10"/>
      <c r="O237" s="11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>
      <c r="A238" s="10" t="s">
        <v>24</v>
      </c>
      <c r="B238" s="7" t="s">
        <v>123</v>
      </c>
      <c r="C238" s="142">
        <v>46257</v>
      </c>
      <c r="D238" s="44" t="s">
        <v>220</v>
      </c>
      <c r="E238" s="35" t="s">
        <v>199</v>
      </c>
      <c r="F238" s="121">
        <v>8</v>
      </c>
      <c r="G238" s="122">
        <f t="shared" si="12"/>
        <v>0</v>
      </c>
      <c r="H238" s="123">
        <f>IF(AND(ISNUMBER(F238), F238&gt;4, COUNTIFS($A$2:A238, A238, $B$2:B238, B238, $C$2:C238, C238, $F$2:F238, "&gt;4")=1), 1, 0)</f>
        <v>1</v>
      </c>
      <c r="I238" s="10">
        <f t="shared" si="13"/>
        <v>1</v>
      </c>
      <c r="J238" s="10"/>
      <c r="K238" s="7"/>
      <c r="L238" s="7"/>
      <c r="M238" s="10"/>
      <c r="N238" s="10"/>
      <c r="O238" s="11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>
      <c r="A239" s="10" t="s">
        <v>24</v>
      </c>
      <c r="B239" s="7" t="s">
        <v>123</v>
      </c>
      <c r="C239" s="142">
        <v>46258</v>
      </c>
      <c r="D239" s="44" t="s">
        <v>220</v>
      </c>
      <c r="E239" s="35" t="s">
        <v>239</v>
      </c>
      <c r="F239" s="121">
        <v>8.07</v>
      </c>
      <c r="G239" s="122">
        <f t="shared" si="12"/>
        <v>0</v>
      </c>
      <c r="H239" s="123">
        <f>IF(AND(ISNUMBER(F239), F239&gt;4, COUNTIFS($A$2:A239, A239, $B$2:B239, B239, $C$2:C239, C239, $F$2:F239, "&gt;4")=1), 1, 0)</f>
        <v>1</v>
      </c>
      <c r="I239" s="10">
        <f t="shared" si="13"/>
        <v>1</v>
      </c>
      <c r="J239" s="10"/>
      <c r="K239" s="7"/>
      <c r="L239" s="7"/>
      <c r="M239" s="10"/>
      <c r="N239" s="10"/>
      <c r="O239" s="11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>
      <c r="A240" s="10" t="s">
        <v>24</v>
      </c>
      <c r="B240" s="7" t="s">
        <v>123</v>
      </c>
      <c r="C240" s="142">
        <v>46259</v>
      </c>
      <c r="D240" s="44" t="s">
        <v>220</v>
      </c>
      <c r="E240" s="35" t="s">
        <v>480</v>
      </c>
      <c r="F240" s="121">
        <v>7.97</v>
      </c>
      <c r="G240" s="122">
        <f t="shared" si="12"/>
        <v>0</v>
      </c>
      <c r="H240" s="123">
        <f>IF(AND(ISNUMBER(F240), F240&gt;4, COUNTIFS($A$2:A240, A240, $B$2:B240, B240, $C$2:C240, C240, $F$2:F240, "&gt;4")=1), 1, 0)</f>
        <v>1</v>
      </c>
      <c r="I240" s="10">
        <f t="shared" si="13"/>
        <v>1</v>
      </c>
      <c r="J240" s="10"/>
      <c r="K240" s="7"/>
      <c r="L240" s="7"/>
      <c r="M240" s="10"/>
      <c r="N240" s="10"/>
      <c r="O240" s="11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>
      <c r="A241" s="10" t="s">
        <v>24</v>
      </c>
      <c r="B241" s="7" t="s">
        <v>123</v>
      </c>
      <c r="C241" s="142">
        <v>46260</v>
      </c>
      <c r="D241" s="44" t="s">
        <v>220</v>
      </c>
      <c r="E241" s="35" t="s">
        <v>310</v>
      </c>
      <c r="F241" s="121">
        <v>8.3000000000000007</v>
      </c>
      <c r="G241" s="122">
        <f t="shared" si="12"/>
        <v>0</v>
      </c>
      <c r="H241" s="123">
        <f>IF(AND(ISNUMBER(F241), F241&gt;4, COUNTIFS($A$2:A241, A241, $B$2:B241, B241, $C$2:C241, C241, $F$2:F241, "&gt;4")=1), 1, 0)</f>
        <v>1</v>
      </c>
      <c r="I241" s="10">
        <f t="shared" si="13"/>
        <v>1</v>
      </c>
      <c r="J241" s="10"/>
      <c r="K241" s="7"/>
      <c r="L241" s="7"/>
      <c r="M241" s="10"/>
      <c r="N241" s="10"/>
      <c r="O241" s="11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>
      <c r="A242" s="10" t="s">
        <v>24</v>
      </c>
      <c r="B242" s="7" t="s">
        <v>123</v>
      </c>
      <c r="C242" s="142">
        <v>46261</v>
      </c>
      <c r="D242" s="44" t="s">
        <v>220</v>
      </c>
      <c r="E242" s="35" t="s">
        <v>329</v>
      </c>
      <c r="F242" s="121">
        <v>8.0299999999999994</v>
      </c>
      <c r="G242" s="122">
        <f t="shared" si="12"/>
        <v>0</v>
      </c>
      <c r="H242" s="123">
        <f>IF(AND(ISNUMBER(F242), F242&gt;4, COUNTIFS($A$2:A242, A242, $B$2:B242, B242, $C$2:C242, C242, $F$2:F242, "&gt;4")=1), 1, 0)</f>
        <v>1</v>
      </c>
      <c r="I242" s="10">
        <f t="shared" si="13"/>
        <v>1</v>
      </c>
      <c r="J242" s="10"/>
      <c r="K242" s="7"/>
      <c r="L242" s="7"/>
      <c r="M242" s="10"/>
      <c r="N242" s="10"/>
      <c r="O242" s="11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>
      <c r="A243" s="10" t="s">
        <v>24</v>
      </c>
      <c r="B243" s="7" t="s">
        <v>123</v>
      </c>
      <c r="C243" s="142">
        <v>46262</v>
      </c>
      <c r="D243" s="44" t="s">
        <v>220</v>
      </c>
      <c r="E243" s="35" t="s">
        <v>511</v>
      </c>
      <c r="F243" s="121">
        <v>8.1300000000000008</v>
      </c>
      <c r="G243" s="122">
        <f t="shared" si="12"/>
        <v>0</v>
      </c>
      <c r="H243" s="123">
        <f>IF(AND(ISNUMBER(F243), F243&gt;4, COUNTIFS($A$2:A243, A243, $B$2:B243, B243, $C$2:C243, C243, $F$2:F243, "&gt;4")=1), 1, 0)</f>
        <v>1</v>
      </c>
      <c r="I243" s="10">
        <f t="shared" si="13"/>
        <v>1</v>
      </c>
      <c r="J243" s="10"/>
      <c r="K243" s="7"/>
      <c r="L243" s="7"/>
      <c r="M243" s="10"/>
      <c r="N243" s="10"/>
      <c r="O243" s="11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75" customHeight="1">
      <c r="A244" s="10" t="s">
        <v>24</v>
      </c>
      <c r="B244" s="7" t="s">
        <v>123</v>
      </c>
      <c r="C244" s="142">
        <v>46263</v>
      </c>
      <c r="D244" s="44" t="s">
        <v>220</v>
      </c>
      <c r="E244" s="35" t="s">
        <v>502</v>
      </c>
      <c r="F244" s="121">
        <v>8.17</v>
      </c>
      <c r="G244" s="122">
        <f t="shared" si="12"/>
        <v>0</v>
      </c>
      <c r="H244" s="123">
        <f>IF(AND(ISNUMBER(F244), F244&gt;4, COUNTIFS($A$2:A244, A244, $B$2:B244, B244, $C$2:C244, C244, $F$2:F244, "&gt;4")=1), 1, 0)</f>
        <v>1</v>
      </c>
      <c r="I244" s="10">
        <f t="shared" si="13"/>
        <v>1</v>
      </c>
      <c r="J244" s="10"/>
      <c r="K244" s="7"/>
      <c r="L244" s="7"/>
      <c r="M244" s="10"/>
      <c r="N244" s="10"/>
      <c r="O244" s="11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75" customHeight="1">
      <c r="A245" s="10" t="s">
        <v>24</v>
      </c>
      <c r="B245" s="7" t="s">
        <v>123</v>
      </c>
      <c r="C245" s="142">
        <v>46264</v>
      </c>
      <c r="D245" s="44" t="s">
        <v>220</v>
      </c>
      <c r="E245" s="35" t="s">
        <v>199</v>
      </c>
      <c r="F245" s="121">
        <v>8</v>
      </c>
      <c r="G245" s="122">
        <f t="shared" si="12"/>
        <v>0</v>
      </c>
      <c r="H245" s="123">
        <f>IF(AND(ISNUMBER(F245), F245&gt;4, COUNTIFS($A$2:A245, A245, $B$2:B245, B245, $C$2:C245, C245, $F$2:F245, "&gt;4")=1), 1, 0)</f>
        <v>1</v>
      </c>
      <c r="I245" s="10">
        <f t="shared" si="13"/>
        <v>1</v>
      </c>
      <c r="J245" s="10"/>
      <c r="K245" s="7"/>
      <c r="L245" s="7"/>
      <c r="M245" s="10"/>
      <c r="N245" s="10"/>
      <c r="O245" s="11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75" customHeight="1">
      <c r="A246" s="10" t="s">
        <v>24</v>
      </c>
      <c r="B246" s="7" t="s">
        <v>123</v>
      </c>
      <c r="C246" s="142">
        <v>46265</v>
      </c>
      <c r="D246" s="44" t="s">
        <v>220</v>
      </c>
      <c r="E246" s="35" t="s">
        <v>479</v>
      </c>
      <c r="F246" s="121">
        <v>8.02</v>
      </c>
      <c r="G246" s="122">
        <f t="shared" si="12"/>
        <v>0</v>
      </c>
      <c r="H246" s="123">
        <f>IF(AND(ISNUMBER(F246), F246&gt;4, COUNTIFS($A$2:A246, A246, $B$2:B246, B246, $C$2:C246, C246, $F$2:F246, "&gt;4")=1), 1, 0)</f>
        <v>0</v>
      </c>
      <c r="I246" s="10">
        <f t="shared" si="13"/>
        <v>1</v>
      </c>
      <c r="J246" s="10"/>
      <c r="K246" s="7"/>
      <c r="L246" s="7"/>
      <c r="M246" s="10"/>
      <c r="N246" s="10"/>
      <c r="O246" s="11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75" customHeight="1">
      <c r="A247" s="10" t="s">
        <v>17</v>
      </c>
      <c r="B247" s="7" t="s">
        <v>88</v>
      </c>
      <c r="C247" s="142">
        <v>46239</v>
      </c>
      <c r="D247" s="44" t="s">
        <v>228</v>
      </c>
      <c r="E247" s="35" t="s">
        <v>528</v>
      </c>
      <c r="F247" s="121">
        <v>4.62</v>
      </c>
      <c r="G247" s="122">
        <f t="shared" si="12"/>
        <v>0</v>
      </c>
      <c r="H247" s="123">
        <f>IF(AND(ISNUMBER(F247), F247&gt;4, COUNTIFS($A$2:A247, A247, $B$2:B247, B247, $C$2:C247, C247, $F$2:F247, "&gt;4")=1), 1, 0)</f>
        <v>1</v>
      </c>
      <c r="I247" s="10">
        <f t="shared" si="13"/>
        <v>0</v>
      </c>
      <c r="J247" s="10"/>
      <c r="K247" s="7"/>
      <c r="L247" s="7"/>
      <c r="M247" s="10"/>
      <c r="N247" s="10"/>
      <c r="O247" s="11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75" customHeight="1">
      <c r="A248" s="10" t="s">
        <v>17</v>
      </c>
      <c r="B248" s="7" t="s">
        <v>88</v>
      </c>
      <c r="C248" s="142">
        <v>46256</v>
      </c>
      <c r="D248" s="44" t="s">
        <v>228</v>
      </c>
      <c r="E248" s="35" t="s">
        <v>214</v>
      </c>
      <c r="F248" s="121">
        <v>8.08</v>
      </c>
      <c r="G248" s="122">
        <f t="shared" si="12"/>
        <v>0</v>
      </c>
      <c r="H248" s="123">
        <f>IF(AND(ISNUMBER(F248), F248&gt;4, COUNTIFS($A$2:A248, A248, $B$2:B248, B248, $C$2:C248, C248, $F$2:F248, "&gt;4")=1), 1, 0)</f>
        <v>1</v>
      </c>
      <c r="I248" s="10">
        <f t="shared" si="13"/>
        <v>0</v>
      </c>
      <c r="J248" s="10"/>
      <c r="K248" s="7"/>
      <c r="L248" s="7"/>
      <c r="M248" s="10"/>
      <c r="N248" s="10"/>
      <c r="O248" s="11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75" customHeight="1">
      <c r="A249" s="10" t="s">
        <v>17</v>
      </c>
      <c r="B249" s="7" t="s">
        <v>88</v>
      </c>
      <c r="C249" s="142">
        <v>46238</v>
      </c>
      <c r="D249" s="44" t="s">
        <v>193</v>
      </c>
      <c r="E249" s="35" t="s">
        <v>479</v>
      </c>
      <c r="F249" s="121">
        <v>8.02</v>
      </c>
      <c r="G249" s="122">
        <f t="shared" si="12"/>
        <v>0</v>
      </c>
      <c r="H249" s="123">
        <f>IF(AND(ISNUMBER(F249), F249&gt;4, COUNTIFS($A$2:A249, A249, $B$2:B249, B249, $C$2:C249, C249, $F$2:F249, "&gt;4")=1), 1, 0)</f>
        <v>1</v>
      </c>
      <c r="I249" s="10">
        <f t="shared" si="13"/>
        <v>0</v>
      </c>
      <c r="J249" s="10"/>
      <c r="K249" s="7"/>
      <c r="L249" s="7"/>
      <c r="M249" s="10"/>
      <c r="N249" s="10"/>
      <c r="O249" s="11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75" customHeight="1">
      <c r="A250" s="10" t="s">
        <v>17</v>
      </c>
      <c r="B250" s="7" t="s">
        <v>88</v>
      </c>
      <c r="C250" s="142">
        <v>46247</v>
      </c>
      <c r="D250" s="44" t="s">
        <v>193</v>
      </c>
      <c r="E250" s="35" t="s">
        <v>288</v>
      </c>
      <c r="F250" s="121">
        <v>8.0500000000000007</v>
      </c>
      <c r="G250" s="122">
        <f t="shared" si="12"/>
        <v>0</v>
      </c>
      <c r="H250" s="123">
        <f>IF(AND(ISNUMBER(F250), F250&gt;4, COUNTIFS($A$2:A250, A250, $B$2:B250, B250, $C$2:C250, C250, $F$2:F250, "&gt;4")=1), 1, 0)</f>
        <v>1</v>
      </c>
      <c r="I250" s="10">
        <f t="shared" si="13"/>
        <v>0</v>
      </c>
      <c r="J250" s="10"/>
      <c r="K250" s="7"/>
      <c r="L250" s="7"/>
      <c r="M250" s="10"/>
      <c r="N250" s="10"/>
      <c r="O250" s="11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75" customHeight="1">
      <c r="A251" s="10" t="s">
        <v>17</v>
      </c>
      <c r="B251" s="7" t="s">
        <v>88</v>
      </c>
      <c r="C251" s="142">
        <v>46247</v>
      </c>
      <c r="D251" s="44" t="s">
        <v>188</v>
      </c>
      <c r="E251" s="35" t="s">
        <v>231</v>
      </c>
      <c r="F251" s="121">
        <v>0.5</v>
      </c>
      <c r="G251" s="122">
        <f t="shared" si="12"/>
        <v>1</v>
      </c>
      <c r="H251" s="123">
        <f>IF(AND(ISNUMBER(F251), F251&gt;4, COUNTIFS($A$2:A251, A251, $B$2:B251, B251, $C$2:C251, C251, $F$2:F251, "&gt;4")=1), 1, 0)</f>
        <v>0</v>
      </c>
      <c r="I251" s="10">
        <f t="shared" si="13"/>
        <v>0</v>
      </c>
      <c r="J251" s="10"/>
      <c r="K251" s="7"/>
      <c r="L251" s="7"/>
      <c r="M251" s="7"/>
      <c r="N251" s="10"/>
      <c r="O251" s="11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75" customHeight="1">
      <c r="A252" s="10" t="s">
        <v>24</v>
      </c>
      <c r="B252" s="7" t="s">
        <v>88</v>
      </c>
      <c r="C252" s="142">
        <v>46237</v>
      </c>
      <c r="D252" s="44" t="s">
        <v>215</v>
      </c>
      <c r="E252" s="35" t="s">
        <v>199</v>
      </c>
      <c r="F252" s="121">
        <v>8</v>
      </c>
      <c r="G252" s="122">
        <f t="shared" si="12"/>
        <v>0</v>
      </c>
      <c r="H252" s="123">
        <f>IF(AND(ISNUMBER(F252), F252&gt;4, COUNTIFS($A$2:A252, A252, $B$2:B252, B252, $C$2:C252, C252, $F$2:F252, "&gt;4")=1), 1, 0)</f>
        <v>1</v>
      </c>
      <c r="I252" s="10">
        <f t="shared" si="13"/>
        <v>0</v>
      </c>
      <c r="J252" s="10"/>
      <c r="K252" s="7"/>
      <c r="L252" s="7"/>
      <c r="M252" s="7"/>
      <c r="N252" s="10"/>
      <c r="O252" s="11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75" customHeight="1">
      <c r="A253" s="10" t="s">
        <v>24</v>
      </c>
      <c r="B253" s="7" t="s">
        <v>88</v>
      </c>
      <c r="C253" s="142">
        <v>46238</v>
      </c>
      <c r="D253" s="44" t="s">
        <v>215</v>
      </c>
      <c r="E253" s="35" t="s">
        <v>199</v>
      </c>
      <c r="F253" s="121">
        <v>8</v>
      </c>
      <c r="G253" s="122">
        <f t="shared" si="12"/>
        <v>0</v>
      </c>
      <c r="H253" s="123">
        <f>IF(AND(ISNUMBER(F253), F253&gt;4, COUNTIFS($A$2:A253, A253, $B$2:B253, B253, $C$2:C253, C253, $F$2:F253, "&gt;4")=1), 1, 0)</f>
        <v>1</v>
      </c>
      <c r="I253" s="10">
        <f t="shared" si="13"/>
        <v>0</v>
      </c>
      <c r="J253" s="10"/>
      <c r="K253" s="7"/>
      <c r="L253" s="7"/>
      <c r="M253" s="7"/>
      <c r="N253" s="10"/>
      <c r="O253" s="11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75" customHeight="1">
      <c r="A254" s="10" t="s">
        <v>24</v>
      </c>
      <c r="B254" s="7" t="s">
        <v>88</v>
      </c>
      <c r="C254" s="142">
        <v>46242</v>
      </c>
      <c r="D254" s="44" t="s">
        <v>215</v>
      </c>
      <c r="E254" s="35" t="s">
        <v>529</v>
      </c>
      <c r="F254" s="121">
        <v>10.42</v>
      </c>
      <c r="G254" s="122">
        <f t="shared" si="12"/>
        <v>0</v>
      </c>
      <c r="H254" s="123">
        <f>IF(AND(ISNUMBER(F254), F254&gt;4, COUNTIFS($A$2:A254, A254, $B$2:B254, B254, $C$2:C254, C254, $F$2:F254, "&gt;4")=1), 1, 0)</f>
        <v>1</v>
      </c>
      <c r="I254" s="10">
        <f t="shared" si="13"/>
        <v>0</v>
      </c>
      <c r="J254" s="10"/>
      <c r="K254" s="7"/>
      <c r="L254" s="7"/>
      <c r="M254" s="7"/>
      <c r="N254" s="10"/>
      <c r="O254" s="11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75" customHeight="1">
      <c r="A255" s="10" t="s">
        <v>24</v>
      </c>
      <c r="B255" s="7" t="s">
        <v>88</v>
      </c>
      <c r="C255" s="142">
        <v>46243</v>
      </c>
      <c r="D255" s="44" t="s">
        <v>215</v>
      </c>
      <c r="E255" s="35" t="s">
        <v>297</v>
      </c>
      <c r="F255" s="121">
        <v>8.5</v>
      </c>
      <c r="G255" s="122">
        <f t="shared" si="12"/>
        <v>0</v>
      </c>
      <c r="H255" s="123">
        <f>IF(AND(ISNUMBER(F255), F255&gt;4, COUNTIFS($A$2:A255, A255, $B$2:B255, B255, $C$2:C255, C255, $F$2:F255, "&gt;4")=1), 1, 0)</f>
        <v>1</v>
      </c>
      <c r="I255" s="10">
        <f t="shared" si="13"/>
        <v>0</v>
      </c>
      <c r="J255" s="10"/>
      <c r="K255" s="7"/>
      <c r="L255" s="7"/>
      <c r="M255" s="7"/>
      <c r="N255" s="10"/>
      <c r="O255" s="11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75" customHeight="1">
      <c r="A256" s="10" t="s">
        <v>24</v>
      </c>
      <c r="B256" s="7" t="s">
        <v>88</v>
      </c>
      <c r="C256" s="142">
        <v>46246</v>
      </c>
      <c r="D256" s="44" t="s">
        <v>215</v>
      </c>
      <c r="E256" s="35" t="s">
        <v>530</v>
      </c>
      <c r="F256" s="121">
        <v>11.97</v>
      </c>
      <c r="G256" s="122">
        <f t="shared" si="12"/>
        <v>0</v>
      </c>
      <c r="H256" s="123">
        <f>IF(AND(ISNUMBER(F256), F256&gt;4, COUNTIFS($A$2:A256, A256, $B$2:B256, B256, $C$2:C256, C256, $F$2:F256, "&gt;4")=1), 1, 0)</f>
        <v>1</v>
      </c>
      <c r="I256" s="10">
        <f t="shared" si="13"/>
        <v>0</v>
      </c>
      <c r="J256" s="10"/>
      <c r="K256" s="7"/>
      <c r="L256" s="7"/>
      <c r="M256" s="7"/>
      <c r="N256" s="10"/>
      <c r="O256" s="11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75" customHeight="1">
      <c r="A257" s="10" t="s">
        <v>24</v>
      </c>
      <c r="B257" s="7" t="s">
        <v>88</v>
      </c>
      <c r="C257" s="142">
        <v>46247</v>
      </c>
      <c r="D257" s="44" t="s">
        <v>215</v>
      </c>
      <c r="E257" s="35" t="s">
        <v>214</v>
      </c>
      <c r="F257" s="121">
        <v>8.08</v>
      </c>
      <c r="G257" s="122">
        <f t="shared" si="12"/>
        <v>0</v>
      </c>
      <c r="H257" s="123">
        <f>IF(AND(ISNUMBER(F257), F257&gt;4, COUNTIFS($A$2:A257, A257, $B$2:B257, B257, $C$2:C257, C257, $F$2:F257, "&gt;4")=1), 1, 0)</f>
        <v>1</v>
      </c>
      <c r="I257" s="10">
        <f t="shared" si="13"/>
        <v>0</v>
      </c>
      <c r="J257" s="10"/>
      <c r="K257" s="7"/>
      <c r="L257" s="7"/>
      <c r="M257" s="7"/>
      <c r="N257" s="10"/>
      <c r="O257" s="11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75" customHeight="1">
      <c r="A258" s="10" t="s">
        <v>24</v>
      </c>
      <c r="B258" s="7" t="s">
        <v>88</v>
      </c>
      <c r="C258" s="142">
        <v>46255</v>
      </c>
      <c r="D258" s="44" t="s">
        <v>215</v>
      </c>
      <c r="E258" s="35" t="s">
        <v>313</v>
      </c>
      <c r="F258" s="121">
        <v>8.58</v>
      </c>
      <c r="G258" s="122">
        <f t="shared" ref="G258:G321" si="14">IF(AND(ISNUMBER(F258), F258&lt;=4), 1, 0)</f>
        <v>0</v>
      </c>
      <c r="H258" s="123">
        <f>IF(AND(ISNUMBER(F258), F258&gt;4, COUNTIFS($A$2:A258, A258, $B$2:B258, B258, $C$2:C258, C258, $F$2:F258, "&gt;4")=1), 1, 0)</f>
        <v>1</v>
      </c>
      <c r="I258" s="10">
        <f t="shared" ref="I258:I321" si="15">IF(AND(ISNUMBER(F258), F258&gt;4, ISNUMBER(SEARCH("đêm", D258))), 1, 0)</f>
        <v>0</v>
      </c>
      <c r="J258" s="10"/>
      <c r="K258" s="7"/>
      <c r="L258" s="7"/>
      <c r="M258" s="7"/>
      <c r="N258" s="10"/>
      <c r="O258" s="11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75" customHeight="1">
      <c r="A259" s="10" t="s">
        <v>24</v>
      </c>
      <c r="B259" s="7" t="s">
        <v>88</v>
      </c>
      <c r="C259" s="142">
        <v>46235</v>
      </c>
      <c r="D259" s="44" t="s">
        <v>198</v>
      </c>
      <c r="E259" s="35" t="s">
        <v>504</v>
      </c>
      <c r="F259" s="121">
        <v>8.18</v>
      </c>
      <c r="G259" s="122">
        <f t="shared" si="14"/>
        <v>0</v>
      </c>
      <c r="H259" s="123">
        <f>IF(AND(ISNUMBER(F259), F259&gt;4, COUNTIFS($A$2:A259, A259, $B$2:B259, B259, $C$2:C259, C259, $F$2:F259, "&gt;4")=1), 1, 0)</f>
        <v>1</v>
      </c>
      <c r="I259" s="10">
        <f t="shared" si="15"/>
        <v>0</v>
      </c>
      <c r="J259" s="10"/>
      <c r="K259" s="7"/>
      <c r="L259" s="7"/>
      <c r="M259" s="7"/>
      <c r="N259" s="10"/>
      <c r="O259" s="11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75" customHeight="1">
      <c r="A260" s="10" t="s">
        <v>24</v>
      </c>
      <c r="B260" s="7" t="s">
        <v>88</v>
      </c>
      <c r="C260" s="142">
        <v>46237</v>
      </c>
      <c r="D260" s="44" t="s">
        <v>198</v>
      </c>
      <c r="E260" s="35" t="s">
        <v>239</v>
      </c>
      <c r="F260" s="121">
        <v>8.07</v>
      </c>
      <c r="G260" s="122">
        <f t="shared" si="14"/>
        <v>0</v>
      </c>
      <c r="H260" s="123">
        <f>IF(AND(ISNUMBER(F260), F260&gt;4, COUNTIFS($A$2:A260, A260, $B$2:B260, B260, $C$2:C260, C260, $F$2:F260, "&gt;4")=1), 1, 0)</f>
        <v>0</v>
      </c>
      <c r="I260" s="10">
        <f t="shared" si="15"/>
        <v>0</v>
      </c>
      <c r="J260" s="10"/>
      <c r="K260" s="7"/>
      <c r="L260" s="7"/>
      <c r="M260" s="7"/>
      <c r="N260" s="10"/>
      <c r="O260" s="11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75" customHeight="1">
      <c r="A261" s="10" t="s">
        <v>24</v>
      </c>
      <c r="B261" s="7" t="s">
        <v>88</v>
      </c>
      <c r="C261" s="142">
        <v>46239</v>
      </c>
      <c r="D261" s="44" t="s">
        <v>198</v>
      </c>
      <c r="E261" s="35" t="s">
        <v>207</v>
      </c>
      <c r="F261" s="121">
        <v>8.1</v>
      </c>
      <c r="G261" s="122">
        <f t="shared" si="14"/>
        <v>0</v>
      </c>
      <c r="H261" s="123">
        <f>IF(AND(ISNUMBER(F261), F261&gt;4, COUNTIFS($A$2:A261, A261, $B$2:B261, B261, $C$2:C261, C261, $F$2:F261, "&gt;4")=1), 1, 0)</f>
        <v>1</v>
      </c>
      <c r="I261" s="10">
        <f t="shared" si="15"/>
        <v>0</v>
      </c>
      <c r="J261" s="10"/>
      <c r="K261" s="7"/>
      <c r="L261" s="7"/>
      <c r="M261" s="7"/>
      <c r="N261" s="10"/>
      <c r="O261" s="11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75" customHeight="1">
      <c r="A262" s="10" t="s">
        <v>24</v>
      </c>
      <c r="B262" s="7" t="s">
        <v>88</v>
      </c>
      <c r="C262" s="142">
        <v>46240</v>
      </c>
      <c r="D262" s="44" t="s">
        <v>198</v>
      </c>
      <c r="E262" s="35" t="s">
        <v>504</v>
      </c>
      <c r="F262" s="121">
        <v>8.18</v>
      </c>
      <c r="G262" s="122">
        <f t="shared" si="14"/>
        <v>0</v>
      </c>
      <c r="H262" s="123">
        <f>IF(AND(ISNUMBER(F262), F262&gt;4, COUNTIFS($A$2:A262, A262, $B$2:B262, B262, $C$2:C262, C262, $F$2:F262, "&gt;4")=1), 1, 0)</f>
        <v>1</v>
      </c>
      <c r="I262" s="10">
        <f t="shared" si="15"/>
        <v>0</v>
      </c>
      <c r="J262" s="10"/>
      <c r="K262" s="7"/>
      <c r="L262" s="7"/>
      <c r="M262" s="7"/>
      <c r="N262" s="10"/>
      <c r="O262" s="11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75" customHeight="1">
      <c r="A263" s="10" t="s">
        <v>24</v>
      </c>
      <c r="B263" s="7" t="s">
        <v>88</v>
      </c>
      <c r="C263" s="142">
        <v>46241</v>
      </c>
      <c r="D263" s="44" t="s">
        <v>198</v>
      </c>
      <c r="E263" s="35" t="s">
        <v>500</v>
      </c>
      <c r="F263" s="121">
        <v>8.48</v>
      </c>
      <c r="G263" s="122">
        <f t="shared" si="14"/>
        <v>0</v>
      </c>
      <c r="H263" s="123">
        <f>IF(AND(ISNUMBER(F263), F263&gt;4, COUNTIFS($A$2:A263, A263, $B$2:B263, B263, $C$2:C263, C263, $F$2:F263, "&gt;4")=1), 1, 0)</f>
        <v>1</v>
      </c>
      <c r="I263" s="10">
        <f t="shared" si="15"/>
        <v>0</v>
      </c>
      <c r="J263" s="10"/>
      <c r="K263" s="7"/>
      <c r="L263" s="7"/>
      <c r="M263" s="7"/>
      <c r="N263" s="10"/>
      <c r="O263" s="11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75" customHeight="1">
      <c r="A264" s="10" t="s">
        <v>24</v>
      </c>
      <c r="B264" s="7" t="s">
        <v>88</v>
      </c>
      <c r="C264" s="142">
        <v>46244</v>
      </c>
      <c r="D264" s="44" t="s">
        <v>198</v>
      </c>
      <c r="E264" s="35" t="s">
        <v>516</v>
      </c>
      <c r="F264" s="121">
        <v>8.3699999999999992</v>
      </c>
      <c r="G264" s="122">
        <f t="shared" si="14"/>
        <v>0</v>
      </c>
      <c r="H264" s="123">
        <f>IF(AND(ISNUMBER(F264), F264&gt;4, COUNTIFS($A$2:A264, A264, $B$2:B264, B264, $C$2:C264, C264, $F$2:F264, "&gt;4")=1), 1, 0)</f>
        <v>1</v>
      </c>
      <c r="I264" s="10">
        <f t="shared" si="15"/>
        <v>0</v>
      </c>
      <c r="J264" s="10"/>
      <c r="K264" s="7"/>
      <c r="L264" s="7"/>
      <c r="M264" s="7"/>
      <c r="N264" s="10"/>
      <c r="O264" s="11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75" customHeight="1">
      <c r="A265" s="10" t="s">
        <v>24</v>
      </c>
      <c r="B265" s="7" t="s">
        <v>88</v>
      </c>
      <c r="C265" s="142">
        <v>46245</v>
      </c>
      <c r="D265" s="44" t="s">
        <v>198</v>
      </c>
      <c r="E265" s="35" t="s">
        <v>511</v>
      </c>
      <c r="F265" s="121">
        <v>8.1300000000000008</v>
      </c>
      <c r="G265" s="122">
        <f t="shared" si="14"/>
        <v>0</v>
      </c>
      <c r="H265" s="123">
        <f>IF(AND(ISNUMBER(F265), F265&gt;4, COUNTIFS($A$2:A265, A265, $B$2:B265, B265, $C$2:C265, C265, $F$2:F265, "&gt;4")=1), 1, 0)</f>
        <v>1</v>
      </c>
      <c r="I265" s="10">
        <f t="shared" si="15"/>
        <v>0</v>
      </c>
      <c r="J265" s="10"/>
      <c r="K265" s="7"/>
      <c r="L265" s="7"/>
      <c r="M265" s="7"/>
      <c r="N265" s="10"/>
      <c r="O265" s="11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75" customHeight="1">
      <c r="A266" s="10" t="s">
        <v>24</v>
      </c>
      <c r="B266" s="7" t="s">
        <v>88</v>
      </c>
      <c r="C266" s="142">
        <v>46252</v>
      </c>
      <c r="D266" s="44" t="s">
        <v>198</v>
      </c>
      <c r="E266" s="35" t="s">
        <v>479</v>
      </c>
      <c r="F266" s="121">
        <v>8.02</v>
      </c>
      <c r="G266" s="122">
        <f t="shared" si="14"/>
        <v>0</v>
      </c>
      <c r="H266" s="123">
        <f>IF(AND(ISNUMBER(F266), F266&gt;4, COUNTIFS($A$2:A266, A266, $B$2:B266, B266, $C$2:C266, C266, $F$2:F266, "&gt;4")=1), 1, 0)</f>
        <v>1</v>
      </c>
      <c r="I266" s="10">
        <f t="shared" si="15"/>
        <v>0</v>
      </c>
      <c r="J266" s="10"/>
      <c r="K266" s="7"/>
      <c r="L266" s="7"/>
      <c r="M266" s="7"/>
      <c r="N266" s="10"/>
      <c r="O266" s="11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75" customHeight="1">
      <c r="A267" s="10" t="s">
        <v>24</v>
      </c>
      <c r="B267" s="7" t="s">
        <v>88</v>
      </c>
      <c r="C267" s="142">
        <v>46253</v>
      </c>
      <c r="D267" s="44" t="s">
        <v>198</v>
      </c>
      <c r="E267" s="35" t="s">
        <v>502</v>
      </c>
      <c r="F267" s="121">
        <v>8.17</v>
      </c>
      <c r="G267" s="122">
        <f t="shared" si="14"/>
        <v>0</v>
      </c>
      <c r="H267" s="123">
        <f>IF(AND(ISNUMBER(F267), F267&gt;4, COUNTIFS($A$2:A267, A267, $B$2:B267, B267, $C$2:C267, C267, $F$2:F267, "&gt;4")=1), 1, 0)</f>
        <v>1</v>
      </c>
      <c r="I267" s="10">
        <f t="shared" si="15"/>
        <v>0</v>
      </c>
      <c r="J267" s="10"/>
      <c r="K267" s="7"/>
      <c r="L267" s="7"/>
      <c r="M267" s="7"/>
      <c r="N267" s="10"/>
      <c r="O267" s="11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75" customHeight="1">
      <c r="A268" s="10" t="s">
        <v>24</v>
      </c>
      <c r="B268" s="7" t="s">
        <v>88</v>
      </c>
      <c r="C268" s="142">
        <v>46254</v>
      </c>
      <c r="D268" s="44" t="s">
        <v>198</v>
      </c>
      <c r="E268" s="35" t="s">
        <v>531</v>
      </c>
      <c r="F268" s="121">
        <v>9.57</v>
      </c>
      <c r="G268" s="122">
        <f t="shared" si="14"/>
        <v>0</v>
      </c>
      <c r="H268" s="123">
        <f>IF(AND(ISNUMBER(F268), F268&gt;4, COUNTIFS($A$2:A268, A268, $B$2:B268, B268, $C$2:C268, C268, $F$2:F268, "&gt;4")=1), 1, 0)</f>
        <v>1</v>
      </c>
      <c r="I268" s="10">
        <f t="shared" si="15"/>
        <v>0</v>
      </c>
      <c r="J268" s="10"/>
      <c r="K268" s="7"/>
      <c r="L268" s="7"/>
      <c r="M268" s="7"/>
      <c r="N268" s="10"/>
      <c r="O268" s="11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75" customHeight="1">
      <c r="A269" s="10" t="s">
        <v>24</v>
      </c>
      <c r="B269" s="7" t="s">
        <v>88</v>
      </c>
      <c r="C269" s="142">
        <v>46256</v>
      </c>
      <c r="D269" s="44" t="s">
        <v>198</v>
      </c>
      <c r="E269" s="35" t="s">
        <v>199</v>
      </c>
      <c r="F269" s="121">
        <v>8</v>
      </c>
      <c r="G269" s="122">
        <f t="shared" si="14"/>
        <v>0</v>
      </c>
      <c r="H269" s="123">
        <f>IF(AND(ISNUMBER(F269), F269&gt;4, COUNTIFS($A$2:A269, A269, $B$2:B269, B269, $C$2:C269, C269, $F$2:F269, "&gt;4")=1), 1, 0)</f>
        <v>1</v>
      </c>
      <c r="I269" s="10">
        <f t="shared" si="15"/>
        <v>0</v>
      </c>
      <c r="J269" s="10"/>
      <c r="K269" s="7"/>
      <c r="L269" s="7"/>
      <c r="M269" s="7"/>
      <c r="N269" s="10"/>
      <c r="O269" s="11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75" customHeight="1">
      <c r="A270" s="10" t="s">
        <v>24</v>
      </c>
      <c r="B270" s="7" t="s">
        <v>88</v>
      </c>
      <c r="C270" s="142">
        <v>46257</v>
      </c>
      <c r="D270" s="44" t="s">
        <v>198</v>
      </c>
      <c r="E270" s="35" t="s">
        <v>479</v>
      </c>
      <c r="F270" s="121">
        <v>8.02</v>
      </c>
      <c r="G270" s="122">
        <f t="shared" si="14"/>
        <v>0</v>
      </c>
      <c r="H270" s="123">
        <f>IF(AND(ISNUMBER(F270), F270&gt;4, COUNTIFS($A$2:A270, A270, $B$2:B270, B270, $C$2:C270, C270, $F$2:F270, "&gt;4")=1), 1, 0)</f>
        <v>1</v>
      </c>
      <c r="I270" s="10">
        <f t="shared" si="15"/>
        <v>0</v>
      </c>
      <c r="J270" s="10"/>
      <c r="K270" s="7"/>
      <c r="L270" s="7"/>
      <c r="M270" s="7"/>
      <c r="N270" s="10"/>
      <c r="O270" s="11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75" customHeight="1">
      <c r="A271" s="10" t="s">
        <v>24</v>
      </c>
      <c r="B271" s="7" t="s">
        <v>88</v>
      </c>
      <c r="C271" s="142">
        <v>46259</v>
      </c>
      <c r="D271" s="44" t="s">
        <v>198</v>
      </c>
      <c r="E271" s="35" t="s">
        <v>532</v>
      </c>
      <c r="F271" s="121">
        <v>8.7799999999999994</v>
      </c>
      <c r="G271" s="122">
        <f t="shared" si="14"/>
        <v>0</v>
      </c>
      <c r="H271" s="123">
        <f>IF(AND(ISNUMBER(F271), F271&gt;4, COUNTIFS($A$2:A271, A271, $B$2:B271, B271, $C$2:C271, C271, $F$2:F271, "&gt;4")=1), 1, 0)</f>
        <v>1</v>
      </c>
      <c r="I271" s="10">
        <f t="shared" si="15"/>
        <v>0</v>
      </c>
      <c r="J271" s="10"/>
      <c r="K271" s="7"/>
      <c r="L271" s="7"/>
      <c r="M271" s="7"/>
      <c r="N271" s="10"/>
      <c r="O271" s="11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75" customHeight="1">
      <c r="A272" s="10" t="s">
        <v>24</v>
      </c>
      <c r="B272" s="7" t="s">
        <v>88</v>
      </c>
      <c r="C272" s="142">
        <v>46264</v>
      </c>
      <c r="D272" s="44" t="s">
        <v>198</v>
      </c>
      <c r="E272" s="35" t="s">
        <v>199</v>
      </c>
      <c r="F272" s="121">
        <v>8</v>
      </c>
      <c r="G272" s="122">
        <f t="shared" si="14"/>
        <v>0</v>
      </c>
      <c r="H272" s="123">
        <f>IF(AND(ISNUMBER(F272), F272&gt;4, COUNTIFS($A$2:A272, A272, $B$2:B272, B272, $C$2:C272, C272, $F$2:F272, "&gt;4")=1), 1, 0)</f>
        <v>1</v>
      </c>
      <c r="I272" s="10">
        <f t="shared" si="15"/>
        <v>0</v>
      </c>
      <c r="J272" s="10"/>
      <c r="K272" s="7"/>
      <c r="L272" s="7"/>
      <c r="M272" s="7"/>
      <c r="N272" s="10"/>
      <c r="O272" s="11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75" customHeight="1">
      <c r="A273" s="10" t="s">
        <v>24</v>
      </c>
      <c r="B273" s="7" t="s">
        <v>88</v>
      </c>
      <c r="C273" s="142">
        <v>46240</v>
      </c>
      <c r="D273" s="44" t="s">
        <v>220</v>
      </c>
      <c r="E273" s="35" t="s">
        <v>231</v>
      </c>
      <c r="F273" s="121">
        <v>0.5</v>
      </c>
      <c r="G273" s="122">
        <f t="shared" si="14"/>
        <v>1</v>
      </c>
      <c r="H273" s="123">
        <f>IF(AND(ISNUMBER(F273), F273&gt;4, COUNTIFS($A$2:A273, A273, $B$2:B273, B273, $C$2:C273, C273, $F$2:F273, "&gt;4")=1), 1, 0)</f>
        <v>0</v>
      </c>
      <c r="I273" s="10">
        <f t="shared" si="15"/>
        <v>0</v>
      </c>
      <c r="J273" s="10"/>
      <c r="K273" s="7"/>
      <c r="L273" s="7"/>
      <c r="M273" s="7"/>
      <c r="N273" s="10"/>
      <c r="O273" s="11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75" customHeight="1">
      <c r="A274" s="10" t="s">
        <v>24</v>
      </c>
      <c r="B274" s="7" t="s">
        <v>88</v>
      </c>
      <c r="C274" s="142">
        <v>46256</v>
      </c>
      <c r="D274" s="44" t="s">
        <v>220</v>
      </c>
      <c r="E274" s="35" t="s">
        <v>533</v>
      </c>
      <c r="F274" s="121">
        <v>0.85</v>
      </c>
      <c r="G274" s="122">
        <f t="shared" si="14"/>
        <v>1</v>
      </c>
      <c r="H274" s="123">
        <f>IF(AND(ISNUMBER(F274), F274&gt;4, COUNTIFS($A$2:A274, A274, $B$2:B274, B274, $C$2:C274, C274, $F$2:F274, "&gt;4")=1), 1, 0)</f>
        <v>0</v>
      </c>
      <c r="I274" s="10">
        <f t="shared" si="15"/>
        <v>0</v>
      </c>
      <c r="J274" s="10"/>
      <c r="K274" s="7"/>
      <c r="L274" s="7"/>
      <c r="M274" s="7"/>
      <c r="N274" s="10"/>
      <c r="O274" s="11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75" customHeight="1">
      <c r="A275" s="10" t="s">
        <v>21</v>
      </c>
      <c r="B275" s="7" t="s">
        <v>88</v>
      </c>
      <c r="C275" s="142">
        <v>46252</v>
      </c>
      <c r="D275" s="44" t="s">
        <v>191</v>
      </c>
      <c r="E275" s="35" t="s">
        <v>236</v>
      </c>
      <c r="F275" s="121">
        <v>7.5</v>
      </c>
      <c r="G275" s="122">
        <f t="shared" si="14"/>
        <v>0</v>
      </c>
      <c r="H275" s="123">
        <f>IF(AND(ISNUMBER(F275), F275&gt;4, COUNTIFS($A$2:A275, A275, $B$2:B275, B275, $C$2:C275, C275, $F$2:F275, "&gt;4")=1), 1, 0)</f>
        <v>1</v>
      </c>
      <c r="I275" s="10">
        <f t="shared" si="15"/>
        <v>0</v>
      </c>
      <c r="J275" s="10"/>
      <c r="K275" s="7"/>
      <c r="L275" s="7"/>
      <c r="M275" s="7"/>
      <c r="N275" s="10"/>
      <c r="O275" s="11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75" customHeight="1">
      <c r="A276" s="10" t="s">
        <v>21</v>
      </c>
      <c r="B276" s="7" t="s">
        <v>88</v>
      </c>
      <c r="C276" s="142">
        <v>46253</v>
      </c>
      <c r="D276" s="44" t="s">
        <v>191</v>
      </c>
      <c r="E276" s="35" t="s">
        <v>534</v>
      </c>
      <c r="F276" s="121">
        <v>5.5</v>
      </c>
      <c r="G276" s="122">
        <f t="shared" si="14"/>
        <v>0</v>
      </c>
      <c r="H276" s="123">
        <f>IF(AND(ISNUMBER(F276), F276&gt;4, COUNTIFS($A$2:A276, A276, $B$2:B276, B276, $C$2:C276, C276, $F$2:F276, "&gt;4")=1), 1, 0)</f>
        <v>1</v>
      </c>
      <c r="I276" s="10">
        <f t="shared" si="15"/>
        <v>0</v>
      </c>
      <c r="J276" s="10"/>
      <c r="K276" s="7"/>
      <c r="L276" s="7"/>
      <c r="M276" s="7"/>
      <c r="N276" s="10"/>
      <c r="O276" s="11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75" customHeight="1">
      <c r="A277" s="10" t="s">
        <v>21</v>
      </c>
      <c r="B277" s="7" t="s">
        <v>88</v>
      </c>
      <c r="C277" s="142">
        <v>46257</v>
      </c>
      <c r="D277" s="44" t="s">
        <v>191</v>
      </c>
      <c r="E277" s="35" t="s">
        <v>535</v>
      </c>
      <c r="F277" s="121">
        <v>6</v>
      </c>
      <c r="G277" s="122">
        <f t="shared" si="14"/>
        <v>0</v>
      </c>
      <c r="H277" s="123">
        <f>IF(AND(ISNUMBER(F277), F277&gt;4, COUNTIFS($A$2:A277, A277, $B$2:B277, B277, $C$2:C277, C277, $F$2:F277, "&gt;4")=1), 1, 0)</f>
        <v>1</v>
      </c>
      <c r="I277" s="10">
        <f t="shared" si="15"/>
        <v>0</v>
      </c>
      <c r="J277" s="10"/>
      <c r="K277" s="7"/>
      <c r="L277" s="7"/>
      <c r="M277" s="7"/>
      <c r="N277" s="10"/>
      <c r="O277" s="11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75" customHeight="1">
      <c r="A278" s="10" t="s">
        <v>21</v>
      </c>
      <c r="B278" s="7" t="s">
        <v>88</v>
      </c>
      <c r="C278" s="142">
        <v>46259</v>
      </c>
      <c r="D278" s="44" t="s">
        <v>191</v>
      </c>
      <c r="E278" s="35" t="s">
        <v>536</v>
      </c>
      <c r="F278" s="121">
        <v>4.7300000000000004</v>
      </c>
      <c r="G278" s="122">
        <f t="shared" si="14"/>
        <v>0</v>
      </c>
      <c r="H278" s="123">
        <f>IF(AND(ISNUMBER(F278), F278&gt;4, COUNTIFS($A$2:A278, A278, $B$2:B278, B278, $C$2:C278, C278, $F$2:F278, "&gt;4")=1), 1, 0)</f>
        <v>1</v>
      </c>
      <c r="I278" s="10">
        <f t="shared" si="15"/>
        <v>0</v>
      </c>
      <c r="J278" s="10"/>
      <c r="K278" s="7"/>
      <c r="L278" s="7"/>
      <c r="M278" s="7"/>
      <c r="N278" s="10"/>
      <c r="O278" s="11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75" customHeight="1">
      <c r="A279" s="10" t="s">
        <v>21</v>
      </c>
      <c r="B279" s="7" t="s">
        <v>88</v>
      </c>
      <c r="C279" s="142">
        <v>46261</v>
      </c>
      <c r="D279" s="44" t="s">
        <v>191</v>
      </c>
      <c r="E279" s="35" t="s">
        <v>537</v>
      </c>
      <c r="F279" s="121">
        <v>4.55</v>
      </c>
      <c r="G279" s="122">
        <f t="shared" si="14"/>
        <v>0</v>
      </c>
      <c r="H279" s="123">
        <f>IF(AND(ISNUMBER(F279), F279&gt;4, COUNTIFS($A$2:A279, A279, $B$2:B279, B279, $C$2:C279, C279, $F$2:F279, "&gt;4")=1), 1, 0)</f>
        <v>1</v>
      </c>
      <c r="I279" s="10">
        <f t="shared" si="15"/>
        <v>0</v>
      </c>
      <c r="J279" s="10"/>
      <c r="K279" s="7"/>
      <c r="L279" s="7"/>
      <c r="M279" s="7"/>
      <c r="N279" s="10"/>
      <c r="O279" s="11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75" customHeight="1">
      <c r="A280" s="10" t="s">
        <v>21</v>
      </c>
      <c r="B280" s="7" t="s">
        <v>88</v>
      </c>
      <c r="C280" s="142">
        <v>46263</v>
      </c>
      <c r="D280" s="44" t="s">
        <v>191</v>
      </c>
      <c r="E280" s="35" t="s">
        <v>479</v>
      </c>
      <c r="F280" s="121">
        <v>8.02</v>
      </c>
      <c r="G280" s="122">
        <f t="shared" si="14"/>
        <v>0</v>
      </c>
      <c r="H280" s="123">
        <f>IF(AND(ISNUMBER(F280), F280&gt;4, COUNTIFS($A$2:A280, A280, $B$2:B280, B280, $C$2:C280, C280, $F$2:F280, "&gt;4")=1), 1, 0)</f>
        <v>1</v>
      </c>
      <c r="I280" s="10">
        <f t="shared" si="15"/>
        <v>0</v>
      </c>
      <c r="J280" s="10"/>
      <c r="K280" s="7"/>
      <c r="L280" s="7"/>
      <c r="M280" s="7"/>
      <c r="N280" s="10"/>
      <c r="O280" s="11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75" customHeight="1">
      <c r="A281" s="10" t="s">
        <v>21</v>
      </c>
      <c r="B281" s="7" t="s">
        <v>88</v>
      </c>
      <c r="C281" s="142">
        <v>46264</v>
      </c>
      <c r="D281" s="44" t="s">
        <v>191</v>
      </c>
      <c r="E281" s="35" t="s">
        <v>538</v>
      </c>
      <c r="F281" s="121">
        <v>6.07</v>
      </c>
      <c r="G281" s="122">
        <f t="shared" si="14"/>
        <v>0</v>
      </c>
      <c r="H281" s="123">
        <f>IF(AND(ISNUMBER(F281), F281&gt;4, COUNTIFS($A$2:A281, A281, $B$2:B281, B281, $C$2:C281, C281, $F$2:F281, "&gt;4")=1), 1, 0)</f>
        <v>1</v>
      </c>
      <c r="I281" s="10">
        <f t="shared" si="15"/>
        <v>0</v>
      </c>
      <c r="J281" s="10"/>
      <c r="K281" s="7"/>
      <c r="L281" s="7"/>
      <c r="M281" s="7"/>
      <c r="N281" s="10"/>
      <c r="O281" s="11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75" customHeight="1">
      <c r="A282" s="10" t="s">
        <v>15</v>
      </c>
      <c r="B282" s="7" t="s">
        <v>88</v>
      </c>
      <c r="C282" s="142">
        <v>46243</v>
      </c>
      <c r="D282" s="44" t="s">
        <v>193</v>
      </c>
      <c r="E282" s="35" t="s">
        <v>236</v>
      </c>
      <c r="F282" s="121">
        <v>7.5</v>
      </c>
      <c r="G282" s="122">
        <f t="shared" si="14"/>
        <v>0</v>
      </c>
      <c r="H282" s="123">
        <f>IF(AND(ISNUMBER(F282), F282&gt;4, COUNTIFS($A$2:A282, A282, $B$2:B282, B282, $C$2:C282, C282, $F$2:F282, "&gt;4")=1), 1, 0)</f>
        <v>1</v>
      </c>
      <c r="I282" s="10">
        <f t="shared" si="15"/>
        <v>0</v>
      </c>
      <c r="J282" s="10"/>
      <c r="K282" s="7"/>
      <c r="L282" s="7"/>
      <c r="M282" s="7"/>
      <c r="N282" s="10"/>
      <c r="O282" s="11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75" customHeight="1">
      <c r="A283" s="10" t="s">
        <v>18</v>
      </c>
      <c r="B283" s="7" t="s">
        <v>91</v>
      </c>
      <c r="C283" s="142">
        <v>46237</v>
      </c>
      <c r="D283" s="44" t="s">
        <v>215</v>
      </c>
      <c r="E283" s="35" t="s">
        <v>499</v>
      </c>
      <c r="F283" s="121">
        <v>8.15</v>
      </c>
      <c r="G283" s="122">
        <f t="shared" si="14"/>
        <v>0</v>
      </c>
      <c r="H283" s="123">
        <f>IF(AND(ISNUMBER(F283), F283&gt;4, COUNTIFS($A$2:A283, A283, $B$2:B283, B283, $C$2:C283, C283, $F$2:F283, "&gt;4")=1), 1, 0)</f>
        <v>1</v>
      </c>
      <c r="I283" s="10">
        <f t="shared" si="15"/>
        <v>0</v>
      </c>
      <c r="J283" s="10"/>
      <c r="K283" s="7"/>
      <c r="L283" s="7"/>
      <c r="M283" s="7"/>
      <c r="N283" s="10"/>
      <c r="O283" s="11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75" customHeight="1">
      <c r="A284" s="10" t="s">
        <v>18</v>
      </c>
      <c r="B284" s="7" t="s">
        <v>91</v>
      </c>
      <c r="C284" s="142">
        <v>46238</v>
      </c>
      <c r="D284" s="44" t="s">
        <v>215</v>
      </c>
      <c r="E284" s="35" t="s">
        <v>499</v>
      </c>
      <c r="F284" s="121">
        <v>8.15</v>
      </c>
      <c r="G284" s="122">
        <f t="shared" si="14"/>
        <v>0</v>
      </c>
      <c r="H284" s="123">
        <f>IF(AND(ISNUMBER(F284), F284&gt;4, COUNTIFS($A$2:A284, A284, $B$2:B284, B284, $C$2:C284, C284, $F$2:F284, "&gt;4")=1), 1, 0)</f>
        <v>1</v>
      </c>
      <c r="I284" s="10">
        <f t="shared" si="15"/>
        <v>0</v>
      </c>
      <c r="J284" s="10"/>
      <c r="K284" s="7"/>
      <c r="L284" s="7"/>
      <c r="M284" s="7"/>
      <c r="N284" s="10"/>
      <c r="O284" s="11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75" customHeight="1">
      <c r="A285" s="10" t="s">
        <v>18</v>
      </c>
      <c r="B285" s="7" t="s">
        <v>91</v>
      </c>
      <c r="C285" s="142">
        <v>46244</v>
      </c>
      <c r="D285" s="44" t="s">
        <v>215</v>
      </c>
      <c r="E285" s="35" t="s">
        <v>539</v>
      </c>
      <c r="F285" s="121">
        <v>8.6999999999999993</v>
      </c>
      <c r="G285" s="122">
        <f t="shared" si="14"/>
        <v>0</v>
      </c>
      <c r="H285" s="123">
        <f>IF(AND(ISNUMBER(F285), F285&gt;4, COUNTIFS($A$2:A285, A285, $B$2:B285, B285, $C$2:C285, C285, $F$2:F285, "&gt;4")=1), 1, 0)</f>
        <v>1</v>
      </c>
      <c r="I285" s="10">
        <f t="shared" si="15"/>
        <v>0</v>
      </c>
      <c r="J285" s="10"/>
      <c r="K285" s="7"/>
      <c r="L285" s="7"/>
      <c r="M285" s="7"/>
      <c r="N285" s="10"/>
      <c r="O285" s="11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75" customHeight="1">
      <c r="A286" s="10" t="s">
        <v>18</v>
      </c>
      <c r="B286" s="7" t="s">
        <v>91</v>
      </c>
      <c r="C286" s="142">
        <v>46245</v>
      </c>
      <c r="D286" s="44" t="s">
        <v>215</v>
      </c>
      <c r="E286" s="35" t="s">
        <v>522</v>
      </c>
      <c r="F286" s="121">
        <v>8.32</v>
      </c>
      <c r="G286" s="122">
        <f t="shared" si="14"/>
        <v>0</v>
      </c>
      <c r="H286" s="123">
        <f>IF(AND(ISNUMBER(F286), F286&gt;4, COUNTIFS($A$2:A286, A286, $B$2:B286, B286, $C$2:C286, C286, $F$2:F286, "&gt;4")=1), 1, 0)</f>
        <v>1</v>
      </c>
      <c r="I286" s="10">
        <f t="shared" si="15"/>
        <v>0</v>
      </c>
      <c r="J286" s="10"/>
      <c r="K286" s="7"/>
      <c r="L286" s="7"/>
      <c r="M286" s="7"/>
      <c r="N286" s="10"/>
      <c r="O286" s="11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75" customHeight="1">
      <c r="A287" s="10" t="s">
        <v>18</v>
      </c>
      <c r="B287" s="7" t="s">
        <v>91</v>
      </c>
      <c r="C287" s="142">
        <v>46246</v>
      </c>
      <c r="D287" s="44" t="s">
        <v>215</v>
      </c>
      <c r="E287" s="35" t="s">
        <v>280</v>
      </c>
      <c r="F287" s="121">
        <v>8.25</v>
      </c>
      <c r="G287" s="122">
        <f t="shared" si="14"/>
        <v>0</v>
      </c>
      <c r="H287" s="123">
        <f>IF(AND(ISNUMBER(F287), F287&gt;4, COUNTIFS($A$2:A287, A287, $B$2:B287, B287, $C$2:C287, C287, $F$2:F287, "&gt;4")=1), 1, 0)</f>
        <v>1</v>
      </c>
      <c r="I287" s="10">
        <f t="shared" si="15"/>
        <v>0</v>
      </c>
      <c r="J287" s="10"/>
      <c r="K287" s="7"/>
      <c r="L287" s="7"/>
      <c r="M287" s="7"/>
      <c r="N287" s="10"/>
      <c r="O287" s="11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75" customHeight="1">
      <c r="A288" s="10" t="s">
        <v>18</v>
      </c>
      <c r="B288" s="7" t="s">
        <v>91</v>
      </c>
      <c r="C288" s="142">
        <v>46247</v>
      </c>
      <c r="D288" s="44" t="s">
        <v>215</v>
      </c>
      <c r="E288" s="35" t="s">
        <v>540</v>
      </c>
      <c r="F288" s="121">
        <v>8.65</v>
      </c>
      <c r="G288" s="122">
        <f t="shared" si="14"/>
        <v>0</v>
      </c>
      <c r="H288" s="123">
        <f>IF(AND(ISNUMBER(F288), F288&gt;4, COUNTIFS($A$2:A288, A288, $B$2:B288, B288, $C$2:C288, C288, $F$2:F288, "&gt;4")=1), 1, 0)</f>
        <v>1</v>
      </c>
      <c r="I288" s="10">
        <f t="shared" si="15"/>
        <v>0</v>
      </c>
      <c r="J288" s="10"/>
      <c r="K288" s="7"/>
      <c r="L288" s="7"/>
      <c r="M288" s="7"/>
      <c r="N288" s="10"/>
      <c r="O288" s="11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75" customHeight="1">
      <c r="A289" s="10" t="s">
        <v>18</v>
      </c>
      <c r="B289" s="7" t="s">
        <v>91</v>
      </c>
      <c r="C289" s="142">
        <v>46248</v>
      </c>
      <c r="D289" s="44" t="s">
        <v>215</v>
      </c>
      <c r="E289" s="35" t="s">
        <v>541</v>
      </c>
      <c r="F289" s="121">
        <v>9.2200000000000006</v>
      </c>
      <c r="G289" s="122">
        <f t="shared" si="14"/>
        <v>0</v>
      </c>
      <c r="H289" s="123">
        <f>IF(AND(ISNUMBER(F289), F289&gt;4, COUNTIFS($A$2:A289, A289, $B$2:B289, B289, $C$2:C289, C289, $F$2:F289, "&gt;4")=1), 1, 0)</f>
        <v>1</v>
      </c>
      <c r="I289" s="10">
        <f t="shared" si="15"/>
        <v>0</v>
      </c>
      <c r="J289" s="10"/>
      <c r="K289" s="7"/>
      <c r="L289" s="7"/>
      <c r="M289" s="7"/>
      <c r="N289" s="10"/>
      <c r="O289" s="11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75" customHeight="1">
      <c r="A290" s="10" t="s">
        <v>18</v>
      </c>
      <c r="B290" s="7" t="s">
        <v>91</v>
      </c>
      <c r="C290" s="142">
        <v>46249</v>
      </c>
      <c r="D290" s="44" t="s">
        <v>215</v>
      </c>
      <c r="E290" s="35" t="s">
        <v>542</v>
      </c>
      <c r="F290" s="121">
        <v>10.15</v>
      </c>
      <c r="G290" s="122">
        <f t="shared" si="14"/>
        <v>0</v>
      </c>
      <c r="H290" s="123">
        <f>IF(AND(ISNUMBER(F290), F290&gt;4, COUNTIFS($A$2:A290, A290, $B$2:B290, B290, $C$2:C290, C290, $F$2:F290, "&gt;4")=1), 1, 0)</f>
        <v>1</v>
      </c>
      <c r="I290" s="10">
        <f t="shared" si="15"/>
        <v>0</v>
      </c>
      <c r="J290" s="10"/>
      <c r="K290" s="7"/>
      <c r="L290" s="7"/>
      <c r="M290" s="7"/>
      <c r="N290" s="10"/>
      <c r="O290" s="11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75" customHeight="1">
      <c r="A291" s="10" t="s">
        <v>18</v>
      </c>
      <c r="B291" s="7" t="s">
        <v>91</v>
      </c>
      <c r="C291" s="142">
        <v>46250</v>
      </c>
      <c r="D291" s="44" t="s">
        <v>215</v>
      </c>
      <c r="E291" s="35" t="s">
        <v>489</v>
      </c>
      <c r="F291" s="121">
        <v>8.33</v>
      </c>
      <c r="G291" s="122">
        <f t="shared" si="14"/>
        <v>0</v>
      </c>
      <c r="H291" s="123">
        <f>IF(AND(ISNUMBER(F291), F291&gt;4, COUNTIFS($A$2:A291, A291, $B$2:B291, B291, $C$2:C291, C291, $F$2:F291, "&gt;4")=1), 1, 0)</f>
        <v>1</v>
      </c>
      <c r="I291" s="10">
        <f t="shared" si="15"/>
        <v>0</v>
      </c>
      <c r="J291" s="10"/>
      <c r="K291" s="7"/>
      <c r="L291" s="7"/>
      <c r="M291" s="7"/>
      <c r="N291" s="10"/>
      <c r="O291" s="11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75" customHeight="1">
      <c r="A292" s="10" t="s">
        <v>18</v>
      </c>
      <c r="B292" s="7" t="s">
        <v>91</v>
      </c>
      <c r="C292" s="142">
        <v>46258</v>
      </c>
      <c r="D292" s="44" t="s">
        <v>215</v>
      </c>
      <c r="E292" s="35" t="s">
        <v>479</v>
      </c>
      <c r="F292" s="121">
        <v>8.02</v>
      </c>
      <c r="G292" s="122">
        <f t="shared" si="14"/>
        <v>0</v>
      </c>
      <c r="H292" s="123">
        <f>IF(AND(ISNUMBER(F292), F292&gt;4, COUNTIFS($A$2:A292, A292, $B$2:B292, B292, $C$2:C292, C292, $F$2:F292, "&gt;4")=1), 1, 0)</f>
        <v>1</v>
      </c>
      <c r="I292" s="10">
        <f t="shared" si="15"/>
        <v>0</v>
      </c>
      <c r="J292" s="10"/>
      <c r="K292" s="7"/>
      <c r="L292" s="7"/>
      <c r="M292" s="7"/>
      <c r="N292" s="10"/>
      <c r="O292" s="11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75" customHeight="1">
      <c r="A293" s="10" t="s">
        <v>18</v>
      </c>
      <c r="B293" s="7" t="s">
        <v>91</v>
      </c>
      <c r="C293" s="142">
        <v>46259</v>
      </c>
      <c r="D293" s="44" t="s">
        <v>215</v>
      </c>
      <c r="E293" s="35" t="s">
        <v>543</v>
      </c>
      <c r="F293" s="121">
        <v>9.08</v>
      </c>
      <c r="G293" s="122">
        <f t="shared" si="14"/>
        <v>0</v>
      </c>
      <c r="H293" s="123">
        <f>IF(AND(ISNUMBER(F293), F293&gt;4, COUNTIFS($A$2:A293, A293, $B$2:B293, B293, $C$2:C293, C293, $F$2:F293, "&gt;4")=1), 1, 0)</f>
        <v>1</v>
      </c>
      <c r="I293" s="10">
        <f t="shared" si="15"/>
        <v>0</v>
      </c>
      <c r="J293" s="10"/>
      <c r="K293" s="7"/>
      <c r="L293" s="7"/>
      <c r="M293" s="7"/>
      <c r="N293" s="10"/>
      <c r="O293" s="11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75" customHeight="1">
      <c r="A294" s="10" t="s">
        <v>18</v>
      </c>
      <c r="B294" s="7" t="s">
        <v>91</v>
      </c>
      <c r="C294" s="142">
        <v>46260</v>
      </c>
      <c r="D294" s="44" t="s">
        <v>215</v>
      </c>
      <c r="E294" s="35" t="s">
        <v>544</v>
      </c>
      <c r="F294" s="121">
        <v>9.9700000000000006</v>
      </c>
      <c r="G294" s="122">
        <f t="shared" si="14"/>
        <v>0</v>
      </c>
      <c r="H294" s="123">
        <f>IF(AND(ISNUMBER(F294), F294&gt;4, COUNTIFS($A$2:A294, A294, $B$2:B294, B294, $C$2:C294, C294, $F$2:F294, "&gt;4")=1), 1, 0)</f>
        <v>1</v>
      </c>
      <c r="I294" s="10">
        <f t="shared" si="15"/>
        <v>0</v>
      </c>
      <c r="J294" s="10"/>
      <c r="K294" s="7"/>
      <c r="L294" s="7"/>
      <c r="M294" s="7"/>
      <c r="N294" s="10"/>
      <c r="O294" s="11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75" customHeight="1">
      <c r="A295" s="10" t="s">
        <v>18</v>
      </c>
      <c r="B295" s="7" t="s">
        <v>91</v>
      </c>
      <c r="C295" s="142">
        <v>46261</v>
      </c>
      <c r="D295" s="44" t="s">
        <v>215</v>
      </c>
      <c r="E295" s="35" t="s">
        <v>545</v>
      </c>
      <c r="F295" s="121">
        <v>10.050000000000001</v>
      </c>
      <c r="G295" s="122">
        <f t="shared" si="14"/>
        <v>0</v>
      </c>
      <c r="H295" s="123">
        <f>IF(AND(ISNUMBER(F295), F295&gt;4, COUNTIFS($A$2:A295, A295, $B$2:B295, B295, $C$2:C295, C295, $F$2:F295, "&gt;4")=1), 1, 0)</f>
        <v>1</v>
      </c>
      <c r="I295" s="10">
        <f t="shared" si="15"/>
        <v>0</v>
      </c>
      <c r="J295" s="10"/>
      <c r="K295" s="7"/>
      <c r="L295" s="7"/>
      <c r="M295" s="7"/>
      <c r="N295" s="10"/>
      <c r="O295" s="11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75" customHeight="1">
      <c r="A296" s="10" t="s">
        <v>18</v>
      </c>
      <c r="B296" s="7" t="s">
        <v>91</v>
      </c>
      <c r="C296" s="142">
        <v>46262</v>
      </c>
      <c r="D296" s="44" t="s">
        <v>215</v>
      </c>
      <c r="E296" s="35" t="s">
        <v>490</v>
      </c>
      <c r="F296" s="121">
        <v>8.23</v>
      </c>
      <c r="G296" s="122">
        <f t="shared" si="14"/>
        <v>0</v>
      </c>
      <c r="H296" s="123">
        <f>IF(AND(ISNUMBER(F296), F296&gt;4, COUNTIFS($A$2:A296, A296, $B$2:B296, B296, $C$2:C296, C296, $F$2:F296, "&gt;4")=1), 1, 0)</f>
        <v>1</v>
      </c>
      <c r="I296" s="10">
        <f t="shared" si="15"/>
        <v>0</v>
      </c>
      <c r="J296" s="10"/>
      <c r="K296" s="7"/>
      <c r="L296" s="7"/>
      <c r="M296" s="7"/>
      <c r="N296" s="10"/>
      <c r="O296" s="11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75" customHeight="1">
      <c r="A297" s="10" t="s">
        <v>18</v>
      </c>
      <c r="B297" s="7" t="s">
        <v>91</v>
      </c>
      <c r="C297" s="142">
        <v>46264</v>
      </c>
      <c r="D297" s="44" t="s">
        <v>215</v>
      </c>
      <c r="E297" s="35" t="s">
        <v>239</v>
      </c>
      <c r="F297" s="121">
        <v>8.07</v>
      </c>
      <c r="G297" s="122">
        <f t="shared" si="14"/>
        <v>0</v>
      </c>
      <c r="H297" s="123">
        <f>IF(AND(ISNUMBER(F297), F297&gt;4, COUNTIFS($A$2:A297, A297, $B$2:B297, B297, $C$2:C297, C297, $F$2:F297, "&gt;4")=1), 1, 0)</f>
        <v>1</v>
      </c>
      <c r="I297" s="10">
        <f t="shared" si="15"/>
        <v>0</v>
      </c>
      <c r="J297" s="10"/>
      <c r="K297" s="7"/>
      <c r="L297" s="7"/>
      <c r="M297" s="7"/>
      <c r="N297" s="10"/>
      <c r="O297" s="11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75" customHeight="1">
      <c r="A298" s="10" t="s">
        <v>18</v>
      </c>
      <c r="B298" s="7" t="s">
        <v>91</v>
      </c>
      <c r="C298" s="135">
        <v>46265</v>
      </c>
      <c r="D298" s="44" t="s">
        <v>215</v>
      </c>
      <c r="E298" s="35" t="s">
        <v>504</v>
      </c>
      <c r="F298" s="121">
        <v>8.18</v>
      </c>
      <c r="G298" s="122">
        <f t="shared" si="14"/>
        <v>0</v>
      </c>
      <c r="H298" s="123">
        <f>IF(AND(ISNUMBER(F298), F298&gt;4, COUNTIFS($A$2:A298, A298, $B$2:B298, B298, $C$2:C298, C298, $F$2:F298, "&gt;4")=1), 1, 0)</f>
        <v>1</v>
      </c>
      <c r="I298" s="10">
        <f t="shared" si="15"/>
        <v>0</v>
      </c>
      <c r="J298" s="10"/>
      <c r="K298" s="7"/>
      <c r="L298" s="7"/>
      <c r="M298" s="7"/>
      <c r="N298" s="10"/>
      <c r="O298" s="11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75" customHeight="1">
      <c r="A299" s="10" t="s">
        <v>18</v>
      </c>
      <c r="B299" s="7" t="s">
        <v>91</v>
      </c>
      <c r="C299" s="135">
        <v>46251</v>
      </c>
      <c r="D299" s="44" t="s">
        <v>228</v>
      </c>
      <c r="E299" s="35" t="s">
        <v>479</v>
      </c>
      <c r="F299" s="121">
        <v>8.02</v>
      </c>
      <c r="G299" s="122">
        <f t="shared" si="14"/>
        <v>0</v>
      </c>
      <c r="H299" s="123">
        <f>IF(AND(ISNUMBER(F299), F299&gt;4, COUNTIFS($A$2:A299, A299, $B$2:B299, B299, $C$2:C299, C299, $F$2:F299, "&gt;4")=1), 1, 0)</f>
        <v>1</v>
      </c>
      <c r="I299" s="10">
        <f t="shared" si="15"/>
        <v>0</v>
      </c>
      <c r="J299" s="10"/>
      <c r="K299" s="7"/>
      <c r="L299" s="7"/>
      <c r="M299" s="7"/>
      <c r="N299" s="10"/>
      <c r="O299" s="11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75" customHeight="1">
      <c r="A300" s="10" t="s">
        <v>18</v>
      </c>
      <c r="B300" s="7" t="s">
        <v>91</v>
      </c>
      <c r="C300" s="135">
        <v>46263</v>
      </c>
      <c r="D300" s="44" t="s">
        <v>228</v>
      </c>
      <c r="E300" s="35" t="s">
        <v>280</v>
      </c>
      <c r="F300" s="121">
        <v>8.25</v>
      </c>
      <c r="G300" s="122">
        <f t="shared" si="14"/>
        <v>0</v>
      </c>
      <c r="H300" s="123">
        <f>IF(AND(ISNUMBER(F300), F300&gt;4, COUNTIFS($A$2:A300, A300, $B$2:B300, B300, $C$2:C300, C300, $F$2:F300, "&gt;4")=1), 1, 0)</f>
        <v>1</v>
      </c>
      <c r="I300" s="10">
        <f t="shared" si="15"/>
        <v>0</v>
      </c>
      <c r="J300" s="10"/>
      <c r="K300" s="7"/>
      <c r="L300" s="7"/>
      <c r="M300" s="7"/>
      <c r="N300" s="10"/>
      <c r="O300" s="11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75" customHeight="1">
      <c r="A301" s="10" t="s">
        <v>18</v>
      </c>
      <c r="B301" s="7" t="s">
        <v>91</v>
      </c>
      <c r="C301" s="135">
        <v>46255</v>
      </c>
      <c r="D301" s="44" t="s">
        <v>198</v>
      </c>
      <c r="E301" s="35" t="s">
        <v>239</v>
      </c>
      <c r="F301" s="121">
        <v>8.07</v>
      </c>
      <c r="G301" s="122">
        <f t="shared" si="14"/>
        <v>0</v>
      </c>
      <c r="H301" s="123">
        <f>IF(AND(ISNUMBER(F301), F301&gt;4, COUNTIFS($A$2:A301, A301, $B$2:B301, B301, $C$2:C301, C301, $F$2:F301, "&gt;4")=1), 1, 0)</f>
        <v>1</v>
      </c>
      <c r="I301" s="10">
        <f t="shared" si="15"/>
        <v>0</v>
      </c>
      <c r="J301" s="10"/>
      <c r="K301" s="7"/>
      <c r="L301" s="7"/>
      <c r="M301" s="7"/>
      <c r="N301" s="10"/>
      <c r="O301" s="11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75" customHeight="1">
      <c r="A302" s="10" t="s">
        <v>18</v>
      </c>
      <c r="B302" s="7" t="s">
        <v>91</v>
      </c>
      <c r="C302" s="135">
        <v>46251</v>
      </c>
      <c r="D302" s="44" t="s">
        <v>240</v>
      </c>
      <c r="E302" s="35" t="s">
        <v>546</v>
      </c>
      <c r="F302" s="121">
        <v>6.27</v>
      </c>
      <c r="G302" s="122">
        <f t="shared" si="14"/>
        <v>0</v>
      </c>
      <c r="H302" s="123">
        <f>IF(AND(ISNUMBER(F302), F302&gt;4, COUNTIFS($A$2:A302, A302, $B$2:B302, B302, $C$2:C302, C302, $F$2:F302, "&gt;4")=1), 1, 0)</f>
        <v>0</v>
      </c>
      <c r="I302" s="10">
        <f t="shared" si="15"/>
        <v>0</v>
      </c>
      <c r="J302" s="10"/>
      <c r="K302" s="7"/>
      <c r="L302" s="7"/>
      <c r="M302" s="7"/>
      <c r="N302" s="10"/>
      <c r="O302" s="11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75" customHeight="1">
      <c r="A303" s="10" t="s">
        <v>18</v>
      </c>
      <c r="B303" s="7" t="s">
        <v>91</v>
      </c>
      <c r="C303" s="135">
        <v>46252</v>
      </c>
      <c r="D303" s="44" t="s">
        <v>240</v>
      </c>
      <c r="E303" s="35" t="s">
        <v>547</v>
      </c>
      <c r="F303" s="121">
        <v>7.1</v>
      </c>
      <c r="G303" s="122">
        <f t="shared" si="14"/>
        <v>0</v>
      </c>
      <c r="H303" s="123">
        <f>IF(AND(ISNUMBER(F303), F303&gt;4, COUNTIFS($A$2:A303, A303, $B$2:B303, B303, $C$2:C303, C303, $F$2:F303, "&gt;4")=1), 1, 0)</f>
        <v>1</v>
      </c>
      <c r="I303" s="10">
        <f t="shared" si="15"/>
        <v>0</v>
      </c>
      <c r="J303" s="10"/>
      <c r="K303" s="7"/>
      <c r="L303" s="7"/>
      <c r="M303" s="7"/>
      <c r="N303" s="10"/>
      <c r="O303" s="11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75" customHeight="1">
      <c r="A304" s="10" t="s">
        <v>18</v>
      </c>
      <c r="B304" s="7" t="s">
        <v>91</v>
      </c>
      <c r="C304" s="135">
        <v>46253</v>
      </c>
      <c r="D304" s="44" t="s">
        <v>240</v>
      </c>
      <c r="E304" s="35" t="s">
        <v>548</v>
      </c>
      <c r="F304" s="121">
        <v>3.38</v>
      </c>
      <c r="G304" s="122">
        <f t="shared" si="14"/>
        <v>1</v>
      </c>
      <c r="H304" s="123">
        <f>IF(AND(ISNUMBER(F304), F304&gt;4, COUNTIFS($A$2:A304, A304, $B$2:B304, B304, $C$2:C304, C304, $F$2:F304, "&gt;4")=1), 1, 0)</f>
        <v>0</v>
      </c>
      <c r="I304" s="10">
        <f t="shared" si="15"/>
        <v>0</v>
      </c>
      <c r="J304" s="10"/>
      <c r="K304" s="7"/>
      <c r="L304" s="7"/>
      <c r="M304" s="7"/>
      <c r="N304" s="10"/>
      <c r="O304" s="11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75" customHeight="1">
      <c r="A305" s="10" t="s">
        <v>18</v>
      </c>
      <c r="B305" s="7" t="s">
        <v>91</v>
      </c>
      <c r="C305" s="135">
        <v>46254</v>
      </c>
      <c r="D305" s="44" t="s">
        <v>240</v>
      </c>
      <c r="E305" s="35" t="s">
        <v>549</v>
      </c>
      <c r="F305" s="121">
        <v>6.33</v>
      </c>
      <c r="G305" s="122">
        <f t="shared" si="14"/>
        <v>0</v>
      </c>
      <c r="H305" s="123">
        <f>IF(AND(ISNUMBER(F305), F305&gt;4, COUNTIFS($A$2:A305, A305, $B$2:B305, B305, $C$2:C305, C305, $F$2:F305, "&gt;4")=1), 1, 0)</f>
        <v>1</v>
      </c>
      <c r="I305" s="10">
        <f t="shared" si="15"/>
        <v>0</v>
      </c>
      <c r="J305" s="10"/>
      <c r="K305" s="7"/>
      <c r="L305" s="7"/>
      <c r="M305" s="7"/>
      <c r="N305" s="10"/>
      <c r="O305" s="11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75" customHeight="1">
      <c r="A306" s="10" t="s">
        <v>18</v>
      </c>
      <c r="B306" s="7" t="s">
        <v>91</v>
      </c>
      <c r="C306" s="135">
        <v>46256</v>
      </c>
      <c r="D306" s="44" t="s">
        <v>240</v>
      </c>
      <c r="E306" s="35" t="s">
        <v>550</v>
      </c>
      <c r="F306" s="121">
        <v>6.28</v>
      </c>
      <c r="G306" s="122">
        <f t="shared" si="14"/>
        <v>0</v>
      </c>
      <c r="H306" s="123">
        <f>IF(AND(ISNUMBER(F306), F306&gt;4, COUNTIFS($A$2:A306, A306, $B$2:B306, B306, $C$2:C306, C306, $F$2:F306, "&gt;4")=1), 1, 0)</f>
        <v>1</v>
      </c>
      <c r="I306" s="10">
        <f t="shared" si="15"/>
        <v>0</v>
      </c>
      <c r="J306" s="10"/>
      <c r="K306" s="7"/>
      <c r="L306" s="7"/>
      <c r="M306" s="7"/>
      <c r="N306" s="10"/>
      <c r="O306" s="11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75" customHeight="1">
      <c r="A307" s="10" t="s">
        <v>18</v>
      </c>
      <c r="B307" s="7" t="s">
        <v>91</v>
      </c>
      <c r="C307" s="135">
        <v>46257</v>
      </c>
      <c r="D307" s="44" t="s">
        <v>240</v>
      </c>
      <c r="E307" s="35" t="s">
        <v>281</v>
      </c>
      <c r="F307" s="121">
        <v>4.2699999999999996</v>
      </c>
      <c r="G307" s="122">
        <f t="shared" si="14"/>
        <v>0</v>
      </c>
      <c r="H307" s="123">
        <f>IF(AND(ISNUMBER(F307), F307&gt;4, COUNTIFS($A$2:A307, A307, $B$2:B307, B307, $C$2:C307, C307, $F$2:F307, "&gt;4")=1), 1, 0)</f>
        <v>1</v>
      </c>
      <c r="I307" s="10">
        <f t="shared" si="15"/>
        <v>0</v>
      </c>
      <c r="J307" s="10"/>
      <c r="K307" s="7"/>
      <c r="L307" s="7"/>
      <c r="M307" s="7"/>
      <c r="N307" s="10"/>
      <c r="O307" s="11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75" customHeight="1">
      <c r="A308" s="10" t="s">
        <v>18</v>
      </c>
      <c r="B308" s="7" t="s">
        <v>91</v>
      </c>
      <c r="C308" s="135">
        <v>46235</v>
      </c>
      <c r="D308" s="44" t="s">
        <v>242</v>
      </c>
      <c r="E308" s="35" t="s">
        <v>214</v>
      </c>
      <c r="F308" s="121">
        <v>8.08</v>
      </c>
      <c r="G308" s="122">
        <f t="shared" si="14"/>
        <v>0</v>
      </c>
      <c r="H308" s="123">
        <f>IF(AND(ISNUMBER(F308), F308&gt;4, COUNTIFS($A$2:A308, A308, $B$2:B308, B308, $C$2:C308, C308, $F$2:F308, "&gt;4")=1), 1, 0)</f>
        <v>1</v>
      </c>
      <c r="I308" s="10">
        <f t="shared" si="15"/>
        <v>1</v>
      </c>
      <c r="J308" s="10"/>
      <c r="K308" s="7"/>
      <c r="L308" s="7"/>
      <c r="M308" s="7"/>
      <c r="N308" s="10"/>
      <c r="O308" s="11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75" customHeight="1">
      <c r="A309" s="10" t="s">
        <v>18</v>
      </c>
      <c r="B309" s="7" t="s">
        <v>91</v>
      </c>
      <c r="C309" s="135">
        <v>46236</v>
      </c>
      <c r="D309" s="44" t="s">
        <v>242</v>
      </c>
      <c r="E309" s="35" t="s">
        <v>214</v>
      </c>
      <c r="F309" s="121">
        <v>8.08</v>
      </c>
      <c r="G309" s="122">
        <f t="shared" si="14"/>
        <v>0</v>
      </c>
      <c r="H309" s="123">
        <f>IF(AND(ISNUMBER(F309), F309&gt;4, COUNTIFS($A$2:A309, A309, $B$2:B309, B309, $C$2:C309, C309, $F$2:F309, "&gt;4")=1), 1, 0)</f>
        <v>1</v>
      </c>
      <c r="I309" s="10">
        <f t="shared" si="15"/>
        <v>1</v>
      </c>
      <c r="J309" s="10"/>
      <c r="K309" s="7"/>
      <c r="L309" s="7"/>
      <c r="M309" s="7"/>
      <c r="N309" s="10"/>
      <c r="O309" s="11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75" customHeight="1">
      <c r="A310" s="10" t="s">
        <v>18</v>
      </c>
      <c r="B310" s="7" t="s">
        <v>91</v>
      </c>
      <c r="C310" s="135">
        <v>46243</v>
      </c>
      <c r="D310" s="44" t="s">
        <v>242</v>
      </c>
      <c r="E310" s="35" t="s">
        <v>214</v>
      </c>
      <c r="F310" s="121">
        <v>8.08</v>
      </c>
      <c r="G310" s="122">
        <f t="shared" si="14"/>
        <v>0</v>
      </c>
      <c r="H310" s="123">
        <f>IF(AND(ISNUMBER(F310), F310&gt;4, COUNTIFS($A$2:A310, A310, $B$2:B310, B310, $C$2:C310, C310, $F$2:F310, "&gt;4")=1), 1, 0)</f>
        <v>1</v>
      </c>
      <c r="I310" s="10">
        <f t="shared" si="15"/>
        <v>1</v>
      </c>
      <c r="J310" s="10"/>
      <c r="K310" s="7"/>
      <c r="L310" s="7"/>
      <c r="M310" s="7"/>
      <c r="N310" s="10"/>
      <c r="O310" s="11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75" customHeight="1">
      <c r="A311" s="10" t="s">
        <v>18</v>
      </c>
      <c r="B311" s="7" t="s">
        <v>91</v>
      </c>
      <c r="C311" s="135">
        <v>46253</v>
      </c>
      <c r="D311" s="44" t="s">
        <v>242</v>
      </c>
      <c r="E311" s="35" t="s">
        <v>288</v>
      </c>
      <c r="F311" s="121">
        <v>8.0500000000000007</v>
      </c>
      <c r="G311" s="122">
        <f t="shared" si="14"/>
        <v>0</v>
      </c>
      <c r="H311" s="123">
        <f>IF(AND(ISNUMBER(F311), F311&gt;4, COUNTIFS($A$2:A311, A311, $B$2:B311, B311, $C$2:C311, C311, $F$2:F311, "&gt;4")=1), 1, 0)</f>
        <v>1</v>
      </c>
      <c r="I311" s="10">
        <f t="shared" si="15"/>
        <v>1</v>
      </c>
      <c r="J311" s="10"/>
      <c r="K311" s="7"/>
      <c r="L311" s="7"/>
      <c r="M311" s="7"/>
      <c r="N311" s="10"/>
      <c r="O311" s="11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75" customHeight="1">
      <c r="A312" s="10" t="s">
        <v>18</v>
      </c>
      <c r="B312" s="7" t="s">
        <v>91</v>
      </c>
      <c r="C312" s="135">
        <v>46254</v>
      </c>
      <c r="D312" s="44" t="s">
        <v>242</v>
      </c>
      <c r="E312" s="35" t="s">
        <v>551</v>
      </c>
      <c r="F312" s="121">
        <v>0.7</v>
      </c>
      <c r="G312" s="122">
        <f t="shared" si="14"/>
        <v>1</v>
      </c>
      <c r="H312" s="123">
        <f>IF(AND(ISNUMBER(F312), F312&gt;4, COUNTIFS($A$2:A312, A312, $B$2:B312, B312, $C$2:C312, C312, $F$2:F312, "&gt;4")=1), 1, 0)</f>
        <v>0</v>
      </c>
      <c r="I312" s="10">
        <f t="shared" si="15"/>
        <v>0</v>
      </c>
      <c r="J312" s="10"/>
      <c r="K312" s="7"/>
      <c r="L312" s="7"/>
      <c r="M312" s="7"/>
      <c r="N312" s="10"/>
      <c r="O312" s="11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75" customHeight="1">
      <c r="A313" s="10" t="s">
        <v>18</v>
      </c>
      <c r="B313" s="7" t="s">
        <v>91</v>
      </c>
      <c r="C313" s="135">
        <v>46255</v>
      </c>
      <c r="D313" s="44" t="s">
        <v>242</v>
      </c>
      <c r="E313" s="35" t="s">
        <v>329</v>
      </c>
      <c r="F313" s="121">
        <v>8.0299999999999994</v>
      </c>
      <c r="G313" s="122">
        <f t="shared" si="14"/>
        <v>0</v>
      </c>
      <c r="H313" s="123">
        <f>IF(AND(ISNUMBER(F313), F313&gt;4, COUNTIFS($A$2:A313, A313, $B$2:B313, B313, $C$2:C313, C313, $F$2:F313, "&gt;4")=1), 1, 0)</f>
        <v>0</v>
      </c>
      <c r="I313" s="10">
        <f t="shared" si="15"/>
        <v>1</v>
      </c>
      <c r="J313" s="10"/>
      <c r="K313" s="7"/>
      <c r="L313" s="7"/>
      <c r="M313" s="7"/>
      <c r="N313" s="10"/>
      <c r="O313" s="11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75" customHeight="1">
      <c r="A314" s="10" t="s">
        <v>18</v>
      </c>
      <c r="B314" s="7" t="s">
        <v>91</v>
      </c>
      <c r="C314" s="135">
        <v>46257</v>
      </c>
      <c r="D314" s="44" t="s">
        <v>242</v>
      </c>
      <c r="E314" s="35" t="s">
        <v>479</v>
      </c>
      <c r="F314" s="121">
        <v>8.02</v>
      </c>
      <c r="G314" s="122">
        <f t="shared" si="14"/>
        <v>0</v>
      </c>
      <c r="H314" s="123">
        <f>IF(AND(ISNUMBER(F314), F314&gt;4, COUNTIFS($A$2:A314, A314, $B$2:B314, B314, $C$2:C314, C314, $F$2:F314, "&gt;4")=1), 1, 0)</f>
        <v>0</v>
      </c>
      <c r="I314" s="10">
        <f t="shared" si="15"/>
        <v>1</v>
      </c>
      <c r="J314" s="10"/>
      <c r="K314" s="7"/>
      <c r="L314" s="7"/>
      <c r="M314" s="7"/>
      <c r="N314" s="10"/>
      <c r="O314" s="11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75" customHeight="1">
      <c r="A315" s="10" t="s">
        <v>18</v>
      </c>
      <c r="B315" s="7" t="s">
        <v>78</v>
      </c>
      <c r="C315" s="135">
        <v>46235</v>
      </c>
      <c r="D315" s="44" t="s">
        <v>242</v>
      </c>
      <c r="E315" s="35" t="s">
        <v>552</v>
      </c>
      <c r="F315" s="121">
        <v>6.73</v>
      </c>
      <c r="G315" s="122">
        <f t="shared" si="14"/>
        <v>0</v>
      </c>
      <c r="H315" s="123">
        <f>IF(AND(ISNUMBER(F315), F315&gt;4, COUNTIFS($A$2:A315, A315, $B$2:B315, B315, $C$2:C315, C315, $F$2:F315, "&gt;4")=1), 1, 0)</f>
        <v>1</v>
      </c>
      <c r="I315" s="10">
        <f t="shared" si="15"/>
        <v>1</v>
      </c>
      <c r="J315" s="10"/>
      <c r="K315" s="7"/>
      <c r="L315" s="7"/>
      <c r="M315" s="7"/>
      <c r="N315" s="10"/>
      <c r="O315" s="11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75" customHeight="1">
      <c r="A316" s="10" t="s">
        <v>18</v>
      </c>
      <c r="B316" s="7" t="s">
        <v>78</v>
      </c>
      <c r="C316" s="135">
        <v>46236</v>
      </c>
      <c r="D316" s="44" t="s">
        <v>242</v>
      </c>
      <c r="E316" s="35" t="s">
        <v>480</v>
      </c>
      <c r="F316" s="121">
        <v>7.97</v>
      </c>
      <c r="G316" s="122">
        <f t="shared" si="14"/>
        <v>0</v>
      </c>
      <c r="H316" s="123">
        <f>IF(AND(ISNUMBER(F316), F316&gt;4, COUNTIFS($A$2:A316, A316, $B$2:B316, B316, $C$2:C316, C316, $F$2:F316, "&gt;4")=1), 1, 0)</f>
        <v>1</v>
      </c>
      <c r="I316" s="10">
        <f t="shared" si="15"/>
        <v>1</v>
      </c>
      <c r="J316" s="10"/>
      <c r="K316" s="7"/>
      <c r="L316" s="7"/>
      <c r="M316" s="7"/>
      <c r="N316" s="10"/>
      <c r="O316" s="11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75" customHeight="1">
      <c r="A317" s="10" t="s">
        <v>18</v>
      </c>
      <c r="B317" s="7" t="s">
        <v>78</v>
      </c>
      <c r="C317" s="135">
        <v>46239</v>
      </c>
      <c r="D317" s="44" t="s">
        <v>242</v>
      </c>
      <c r="E317" s="35" t="s">
        <v>483</v>
      </c>
      <c r="F317" s="121">
        <v>7.92</v>
      </c>
      <c r="G317" s="122">
        <f t="shared" si="14"/>
        <v>0</v>
      </c>
      <c r="H317" s="123">
        <f>IF(AND(ISNUMBER(F317), F317&gt;4, COUNTIFS($A$2:A317, A317, $B$2:B317, B317, $C$2:C317, C317, $F$2:F317, "&gt;4")=1), 1, 0)</f>
        <v>1</v>
      </c>
      <c r="I317" s="10">
        <f t="shared" si="15"/>
        <v>1</v>
      </c>
      <c r="J317" s="10"/>
      <c r="K317" s="7"/>
      <c r="L317" s="7"/>
      <c r="M317" s="7"/>
      <c r="N317" s="10"/>
      <c r="O317" s="11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75" customHeight="1">
      <c r="A318" s="10" t="s">
        <v>18</v>
      </c>
      <c r="B318" s="7" t="s">
        <v>78</v>
      </c>
      <c r="C318" s="135">
        <v>46240</v>
      </c>
      <c r="D318" s="44" t="s">
        <v>242</v>
      </c>
      <c r="E318" s="35" t="s">
        <v>553</v>
      </c>
      <c r="F318" s="121">
        <v>7.8</v>
      </c>
      <c r="G318" s="122">
        <f t="shared" si="14"/>
        <v>0</v>
      </c>
      <c r="H318" s="123">
        <f>IF(AND(ISNUMBER(F318), F318&gt;4, COUNTIFS($A$2:A318, A318, $B$2:B318, B318, $C$2:C318, C318, $F$2:F318, "&gt;4")=1), 1, 0)</f>
        <v>1</v>
      </c>
      <c r="I318" s="10">
        <f t="shared" si="15"/>
        <v>1</v>
      </c>
      <c r="J318" s="10"/>
      <c r="K318" s="7"/>
      <c r="L318" s="7"/>
      <c r="M318" s="7"/>
      <c r="N318" s="10"/>
      <c r="O318" s="11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75" customHeight="1">
      <c r="A319" s="10" t="s">
        <v>18</v>
      </c>
      <c r="B319" s="7" t="s">
        <v>78</v>
      </c>
      <c r="C319" s="135">
        <v>46241</v>
      </c>
      <c r="D319" s="44" t="s">
        <v>242</v>
      </c>
      <c r="E319" s="35" t="s">
        <v>329</v>
      </c>
      <c r="F319" s="121">
        <v>8.0299999999999994</v>
      </c>
      <c r="G319" s="122">
        <f t="shared" si="14"/>
        <v>0</v>
      </c>
      <c r="H319" s="123">
        <f>IF(AND(ISNUMBER(F319), F319&gt;4, COUNTIFS($A$2:A319, A319, $B$2:B319, B319, $C$2:C319, C319, $F$2:F319, "&gt;4")=1), 1, 0)</f>
        <v>1</v>
      </c>
      <c r="I319" s="10">
        <f t="shared" si="15"/>
        <v>1</v>
      </c>
      <c r="J319" s="10"/>
      <c r="K319" s="7"/>
      <c r="L319" s="7"/>
      <c r="M319" s="7"/>
      <c r="N319" s="10"/>
      <c r="O319" s="11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75" customHeight="1">
      <c r="A320" s="10" t="s">
        <v>18</v>
      </c>
      <c r="B320" s="7" t="s">
        <v>78</v>
      </c>
      <c r="C320" s="135">
        <v>46259</v>
      </c>
      <c r="D320" s="44" t="s">
        <v>242</v>
      </c>
      <c r="E320" s="35" t="s">
        <v>199</v>
      </c>
      <c r="F320" s="121">
        <v>8</v>
      </c>
      <c r="G320" s="122">
        <f t="shared" si="14"/>
        <v>0</v>
      </c>
      <c r="H320" s="123">
        <f>IF(AND(ISNUMBER(F320), F320&gt;4, COUNTIFS($A$2:A320, A320, $B$2:B320, B320, $C$2:C320, C320, $F$2:F320, "&gt;4")=1), 1, 0)</f>
        <v>1</v>
      </c>
      <c r="I320" s="10">
        <f t="shared" si="15"/>
        <v>1</v>
      </c>
      <c r="J320" s="10"/>
      <c r="K320" s="7"/>
      <c r="L320" s="7"/>
      <c r="M320" s="7"/>
      <c r="N320" s="10"/>
      <c r="O320" s="11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75" customHeight="1">
      <c r="A321" s="10" t="s">
        <v>15</v>
      </c>
      <c r="B321" s="7" t="s">
        <v>78</v>
      </c>
      <c r="C321" s="135">
        <v>46247</v>
      </c>
      <c r="D321" s="44" t="s">
        <v>245</v>
      </c>
      <c r="E321" s="35" t="s">
        <v>246</v>
      </c>
      <c r="F321" s="121">
        <v>0.38</v>
      </c>
      <c r="G321" s="122">
        <f t="shared" si="14"/>
        <v>1</v>
      </c>
      <c r="H321" s="123">
        <f>IF(AND(ISNUMBER(F321), F321&gt;4, COUNTIFS($A$2:A321, A321, $B$2:B321, B321, $C$2:C321, C321, $F$2:F321, "&gt;4")=1), 1, 0)</f>
        <v>0</v>
      </c>
      <c r="I321" s="10">
        <f t="shared" si="15"/>
        <v>0</v>
      </c>
      <c r="J321" s="10"/>
      <c r="K321" s="7"/>
      <c r="L321" s="7"/>
      <c r="M321" s="7"/>
      <c r="N321" s="10"/>
      <c r="O321" s="11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75" customHeight="1">
      <c r="A322" s="10" t="s">
        <v>15</v>
      </c>
      <c r="B322" s="7" t="s">
        <v>78</v>
      </c>
      <c r="C322" s="135">
        <v>46243</v>
      </c>
      <c r="D322" s="44" t="s">
        <v>247</v>
      </c>
      <c r="E322" s="35" t="s">
        <v>554</v>
      </c>
      <c r="F322" s="121">
        <v>4.8499999999999996</v>
      </c>
      <c r="G322" s="122">
        <f t="shared" ref="G322:G385" si="16">IF(AND(ISNUMBER(F322), F322&lt;=4), 1, 0)</f>
        <v>0</v>
      </c>
      <c r="H322" s="123">
        <f>IF(AND(ISNUMBER(F322), F322&gt;4, COUNTIFS($A$2:A322, A322, $B$2:B322, B322, $C$2:C322, C322, $F$2:F322, "&gt;4")=1), 1, 0)</f>
        <v>1</v>
      </c>
      <c r="I322" s="10">
        <f t="shared" ref="I322:I385" si="17">IF(AND(ISNUMBER(F322), F322&gt;4, ISNUMBER(SEARCH("đêm", D322))), 1, 0)</f>
        <v>1</v>
      </c>
      <c r="J322" s="10"/>
      <c r="K322" s="7"/>
      <c r="L322" s="7"/>
      <c r="M322" s="7"/>
      <c r="N322" s="10"/>
      <c r="O322" s="11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75" customHeight="1">
      <c r="A323" s="10" t="s">
        <v>15</v>
      </c>
      <c r="B323" s="7" t="s">
        <v>78</v>
      </c>
      <c r="C323" s="135">
        <v>46244</v>
      </c>
      <c r="D323" s="44" t="s">
        <v>247</v>
      </c>
      <c r="E323" s="35" t="s">
        <v>288</v>
      </c>
      <c r="F323" s="121">
        <v>8.0500000000000007</v>
      </c>
      <c r="G323" s="122">
        <f t="shared" si="16"/>
        <v>0</v>
      </c>
      <c r="H323" s="123">
        <f>IF(AND(ISNUMBER(F323), F323&gt;4, COUNTIFS($A$2:A323, A323, $B$2:B323, B323, $C$2:C323, C323, $F$2:F323, "&gt;4")=1), 1, 0)</f>
        <v>1</v>
      </c>
      <c r="I323" s="10">
        <f t="shared" si="17"/>
        <v>1</v>
      </c>
      <c r="J323" s="10"/>
      <c r="K323" s="7"/>
      <c r="L323" s="7"/>
      <c r="M323" s="7"/>
      <c r="N323" s="10"/>
      <c r="O323" s="11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75" customHeight="1">
      <c r="A324" s="10" t="s">
        <v>15</v>
      </c>
      <c r="B324" s="7" t="s">
        <v>78</v>
      </c>
      <c r="C324" s="135">
        <v>46245</v>
      </c>
      <c r="D324" s="44" t="s">
        <v>247</v>
      </c>
      <c r="E324" s="35" t="s">
        <v>329</v>
      </c>
      <c r="F324" s="121">
        <v>8.0299999999999994</v>
      </c>
      <c r="G324" s="122">
        <f t="shared" si="16"/>
        <v>0</v>
      </c>
      <c r="H324" s="123">
        <f>IF(AND(ISNUMBER(F324), F324&gt;4, COUNTIFS($A$2:A324, A324, $B$2:B324, B324, $C$2:C324, C324, $F$2:F324, "&gt;4")=1), 1, 0)</f>
        <v>1</v>
      </c>
      <c r="I324" s="10">
        <f t="shared" si="17"/>
        <v>1</v>
      </c>
      <c r="J324" s="10"/>
      <c r="K324" s="7"/>
      <c r="L324" s="7"/>
      <c r="M324" s="7"/>
      <c r="N324" s="10"/>
      <c r="O324" s="11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75" customHeight="1">
      <c r="A325" s="10" t="s">
        <v>15</v>
      </c>
      <c r="B325" s="7" t="s">
        <v>78</v>
      </c>
      <c r="C325" s="135">
        <v>46246</v>
      </c>
      <c r="D325" s="44" t="s">
        <v>247</v>
      </c>
      <c r="E325" s="35" t="s">
        <v>239</v>
      </c>
      <c r="F325" s="121">
        <v>8.07</v>
      </c>
      <c r="G325" s="122">
        <f t="shared" si="16"/>
        <v>0</v>
      </c>
      <c r="H325" s="123">
        <f>IF(AND(ISNUMBER(F325), F325&gt;4, COUNTIFS($A$2:A325, A325, $B$2:B325, B325, $C$2:C325, C325, $F$2:F325, "&gt;4")=1), 1, 0)</f>
        <v>1</v>
      </c>
      <c r="I325" s="10">
        <f t="shared" si="17"/>
        <v>1</v>
      </c>
      <c r="J325" s="10"/>
      <c r="K325" s="7"/>
      <c r="L325" s="7"/>
      <c r="M325" s="7"/>
      <c r="N325" s="10"/>
      <c r="O325" s="11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75" customHeight="1">
      <c r="A326" s="10" t="s">
        <v>15</v>
      </c>
      <c r="B326" s="7" t="s">
        <v>78</v>
      </c>
      <c r="C326" s="135">
        <v>46248</v>
      </c>
      <c r="D326" s="44" t="s">
        <v>247</v>
      </c>
      <c r="E326" s="35" t="s">
        <v>199</v>
      </c>
      <c r="F326" s="121">
        <v>8</v>
      </c>
      <c r="G326" s="122">
        <f t="shared" si="16"/>
        <v>0</v>
      </c>
      <c r="H326" s="123">
        <f>IF(AND(ISNUMBER(F326), F326&gt;4, COUNTIFS($A$2:A326, A326, $B$2:B326, B326, $C$2:C326, C326, $F$2:F326, "&gt;4")=1), 1, 0)</f>
        <v>1</v>
      </c>
      <c r="I326" s="10">
        <f t="shared" si="17"/>
        <v>1</v>
      </c>
      <c r="J326" s="10"/>
      <c r="K326" s="7"/>
      <c r="L326" s="7"/>
      <c r="M326" s="7"/>
      <c r="N326" s="10"/>
      <c r="O326" s="11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75" customHeight="1">
      <c r="A327" s="10" t="s">
        <v>15</v>
      </c>
      <c r="B327" s="7" t="s">
        <v>78</v>
      </c>
      <c r="C327" s="135">
        <v>46249</v>
      </c>
      <c r="D327" s="44" t="s">
        <v>247</v>
      </c>
      <c r="E327" s="35" t="s">
        <v>483</v>
      </c>
      <c r="F327" s="121">
        <v>7.92</v>
      </c>
      <c r="G327" s="122">
        <f t="shared" si="16"/>
        <v>0</v>
      </c>
      <c r="H327" s="123">
        <f>IF(AND(ISNUMBER(F327), F327&gt;4, COUNTIFS($A$2:A327, A327, $B$2:B327, B327, $C$2:C327, C327, $F$2:F327, "&gt;4")=1), 1, 0)</f>
        <v>1</v>
      </c>
      <c r="I327" s="10">
        <f t="shared" si="17"/>
        <v>1</v>
      </c>
      <c r="J327" s="10"/>
      <c r="K327" s="7"/>
      <c r="L327" s="7"/>
      <c r="M327" s="7"/>
      <c r="N327" s="10"/>
      <c r="O327" s="11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75" customHeight="1">
      <c r="A328" s="10" t="s">
        <v>15</v>
      </c>
      <c r="B328" s="7" t="s">
        <v>78</v>
      </c>
      <c r="C328" s="135">
        <v>46250</v>
      </c>
      <c r="D328" s="44" t="s">
        <v>247</v>
      </c>
      <c r="E328" s="35" t="s">
        <v>409</v>
      </c>
      <c r="F328" s="121">
        <v>7.93</v>
      </c>
      <c r="G328" s="122">
        <f t="shared" si="16"/>
        <v>0</v>
      </c>
      <c r="H328" s="123">
        <f>IF(AND(ISNUMBER(F328), F328&gt;4, COUNTIFS($A$2:A328, A328, $B$2:B328, B328, $C$2:C328, C328, $F$2:F328, "&gt;4")=1), 1, 0)</f>
        <v>1</v>
      </c>
      <c r="I328" s="10">
        <f t="shared" si="17"/>
        <v>1</v>
      </c>
      <c r="J328" s="10"/>
      <c r="K328" s="7"/>
      <c r="L328" s="7"/>
      <c r="M328" s="7"/>
      <c r="N328" s="10"/>
      <c r="O328" s="11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75" customHeight="1">
      <c r="A329" s="10" t="s">
        <v>15</v>
      </c>
      <c r="B329" s="7" t="s">
        <v>78</v>
      </c>
      <c r="C329" s="135">
        <v>46251</v>
      </c>
      <c r="D329" s="44" t="s">
        <v>247</v>
      </c>
      <c r="E329" s="35" t="s">
        <v>239</v>
      </c>
      <c r="F329" s="121">
        <v>8.07</v>
      </c>
      <c r="G329" s="122">
        <f t="shared" si="16"/>
        <v>0</v>
      </c>
      <c r="H329" s="123">
        <f>IF(AND(ISNUMBER(F329), F329&gt;4, COUNTIFS($A$2:A329, A329, $B$2:B329, B329, $C$2:C329, C329, $F$2:F329, "&gt;4")=1), 1, 0)</f>
        <v>1</v>
      </c>
      <c r="I329" s="10">
        <f t="shared" si="17"/>
        <v>1</v>
      </c>
      <c r="J329" s="10"/>
      <c r="K329" s="7"/>
      <c r="L329" s="7"/>
      <c r="M329" s="7"/>
      <c r="N329" s="10"/>
      <c r="O329" s="11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75" customHeight="1">
      <c r="A330" s="10" t="s">
        <v>15</v>
      </c>
      <c r="B330" s="7" t="s">
        <v>78</v>
      </c>
      <c r="C330" s="135">
        <v>46252</v>
      </c>
      <c r="D330" s="44" t="s">
        <v>247</v>
      </c>
      <c r="E330" s="35" t="s">
        <v>288</v>
      </c>
      <c r="F330" s="121">
        <v>8.0500000000000007</v>
      </c>
      <c r="G330" s="122">
        <f t="shared" si="16"/>
        <v>0</v>
      </c>
      <c r="H330" s="123">
        <f>IF(AND(ISNUMBER(F330), F330&gt;4, COUNTIFS($A$2:A330, A330, $B$2:B330, B330, $C$2:C330, C330, $F$2:F330, "&gt;4")=1), 1, 0)</f>
        <v>1</v>
      </c>
      <c r="I330" s="10">
        <f t="shared" si="17"/>
        <v>1</v>
      </c>
      <c r="J330" s="10"/>
      <c r="K330" s="7"/>
      <c r="L330" s="7"/>
      <c r="M330" s="7"/>
      <c r="N330" s="10"/>
      <c r="O330" s="11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75" customHeight="1">
      <c r="A331" s="10" t="s">
        <v>15</v>
      </c>
      <c r="B331" s="7" t="s">
        <v>78</v>
      </c>
      <c r="C331" s="135">
        <v>46253</v>
      </c>
      <c r="D331" s="44" t="s">
        <v>247</v>
      </c>
      <c r="E331" s="35" t="s">
        <v>329</v>
      </c>
      <c r="F331" s="121">
        <v>8.0299999999999994</v>
      </c>
      <c r="G331" s="122">
        <f t="shared" si="16"/>
        <v>0</v>
      </c>
      <c r="H331" s="123">
        <f>IF(AND(ISNUMBER(F331), F331&gt;4, COUNTIFS($A$2:A331, A331, $B$2:B331, B331, $C$2:C331, C331, $F$2:F331, "&gt;4")=1), 1, 0)</f>
        <v>1</v>
      </c>
      <c r="I331" s="10">
        <f t="shared" si="17"/>
        <v>1</v>
      </c>
      <c r="J331" s="10"/>
      <c r="K331" s="7"/>
      <c r="L331" s="7"/>
      <c r="M331" s="7"/>
      <c r="N331" s="10"/>
      <c r="O331" s="11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75" customHeight="1">
      <c r="A332" s="10" t="s">
        <v>15</v>
      </c>
      <c r="B332" s="7" t="s">
        <v>78</v>
      </c>
      <c r="C332" s="135">
        <v>46254</v>
      </c>
      <c r="D332" s="44" t="s">
        <v>247</v>
      </c>
      <c r="E332" s="35" t="s">
        <v>214</v>
      </c>
      <c r="F332" s="121">
        <v>8.08</v>
      </c>
      <c r="G332" s="122">
        <f t="shared" si="16"/>
        <v>0</v>
      </c>
      <c r="H332" s="123">
        <f>IF(AND(ISNUMBER(F332), F332&gt;4, COUNTIFS($A$2:A332, A332, $B$2:B332, B332, $C$2:C332, C332, $F$2:F332, "&gt;4")=1), 1, 0)</f>
        <v>1</v>
      </c>
      <c r="I332" s="10">
        <f t="shared" si="17"/>
        <v>1</v>
      </c>
      <c r="J332" s="10"/>
      <c r="K332" s="7"/>
      <c r="L332" s="7"/>
      <c r="M332" s="7"/>
      <c r="N332" s="10"/>
      <c r="O332" s="11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75" customHeight="1">
      <c r="A333" s="10" t="s">
        <v>15</v>
      </c>
      <c r="B333" s="7" t="s">
        <v>78</v>
      </c>
      <c r="C333" s="135">
        <v>46255</v>
      </c>
      <c r="D333" s="44" t="s">
        <v>247</v>
      </c>
      <c r="E333" s="35" t="s">
        <v>348</v>
      </c>
      <c r="F333" s="121">
        <v>7.95</v>
      </c>
      <c r="G333" s="122">
        <f t="shared" si="16"/>
        <v>0</v>
      </c>
      <c r="H333" s="123">
        <f>IF(AND(ISNUMBER(F333), F333&gt;4, COUNTIFS($A$2:A333, A333, $B$2:B333, B333, $C$2:C333, C333, $F$2:F333, "&gt;4")=1), 1, 0)</f>
        <v>1</v>
      </c>
      <c r="I333" s="10">
        <f t="shared" si="17"/>
        <v>1</v>
      </c>
      <c r="J333" s="10"/>
      <c r="K333" s="7"/>
      <c r="L333" s="7"/>
      <c r="M333" s="7"/>
      <c r="N333" s="10"/>
      <c r="O333" s="11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75" customHeight="1">
      <c r="A334" s="10" t="s">
        <v>15</v>
      </c>
      <c r="B334" s="7" t="s">
        <v>78</v>
      </c>
      <c r="C334" s="135">
        <v>46256</v>
      </c>
      <c r="D334" s="44" t="s">
        <v>247</v>
      </c>
      <c r="E334" s="35" t="s">
        <v>288</v>
      </c>
      <c r="F334" s="121">
        <v>8.0500000000000007</v>
      </c>
      <c r="G334" s="122">
        <f t="shared" si="16"/>
        <v>0</v>
      </c>
      <c r="H334" s="123">
        <f>IF(AND(ISNUMBER(F334), F334&gt;4, COUNTIFS($A$2:A334, A334, $B$2:B334, B334, $C$2:C334, C334, $F$2:F334, "&gt;4")=1), 1, 0)</f>
        <v>1</v>
      </c>
      <c r="I334" s="10">
        <f t="shared" si="17"/>
        <v>1</v>
      </c>
      <c r="J334" s="10"/>
      <c r="K334" s="7"/>
      <c r="L334" s="7"/>
      <c r="M334" s="7"/>
      <c r="N334" s="10"/>
      <c r="O334" s="11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75" customHeight="1">
      <c r="A335" s="10" t="s">
        <v>15</v>
      </c>
      <c r="B335" s="7" t="s">
        <v>78</v>
      </c>
      <c r="C335" s="135">
        <v>46257</v>
      </c>
      <c r="D335" s="44" t="s">
        <v>247</v>
      </c>
      <c r="E335" s="35" t="s">
        <v>555</v>
      </c>
      <c r="F335" s="121">
        <v>7.55</v>
      </c>
      <c r="G335" s="122">
        <f t="shared" si="16"/>
        <v>0</v>
      </c>
      <c r="H335" s="123">
        <f>IF(AND(ISNUMBER(F335), F335&gt;4, COUNTIFS($A$2:A335, A335, $B$2:B335, B335, $C$2:C335, C335, $F$2:F335, "&gt;4")=1), 1, 0)</f>
        <v>1</v>
      </c>
      <c r="I335" s="10">
        <f t="shared" si="17"/>
        <v>1</v>
      </c>
      <c r="J335" s="10"/>
      <c r="K335" s="7"/>
      <c r="L335" s="7"/>
      <c r="M335" s="7"/>
      <c r="N335" s="10"/>
      <c r="O335" s="11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75" customHeight="1">
      <c r="A336" s="10" t="s">
        <v>15</v>
      </c>
      <c r="B336" s="7" t="s">
        <v>78</v>
      </c>
      <c r="C336" s="135">
        <v>46258</v>
      </c>
      <c r="D336" s="44" t="s">
        <v>247</v>
      </c>
      <c r="E336" s="35" t="s">
        <v>481</v>
      </c>
      <c r="F336" s="121">
        <v>7.98</v>
      </c>
      <c r="G336" s="122">
        <f t="shared" si="16"/>
        <v>0</v>
      </c>
      <c r="H336" s="123">
        <f>IF(AND(ISNUMBER(F336), F336&gt;4, COUNTIFS($A$2:A336, A336, $B$2:B336, B336, $C$2:C336, C336, $F$2:F336, "&gt;4")=1), 1, 0)</f>
        <v>1</v>
      </c>
      <c r="I336" s="10">
        <f t="shared" si="17"/>
        <v>1</v>
      </c>
      <c r="J336" s="10"/>
      <c r="K336" s="7"/>
      <c r="L336" s="7"/>
      <c r="M336" s="7"/>
      <c r="N336" s="10"/>
      <c r="O336" s="11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.75" customHeight="1">
      <c r="A337" s="10" t="s">
        <v>15</v>
      </c>
      <c r="B337" s="7" t="s">
        <v>78</v>
      </c>
      <c r="C337" s="135">
        <v>46259</v>
      </c>
      <c r="D337" s="44" t="s">
        <v>247</v>
      </c>
      <c r="E337" s="35" t="s">
        <v>409</v>
      </c>
      <c r="F337" s="121">
        <v>7.93</v>
      </c>
      <c r="G337" s="122">
        <f t="shared" si="16"/>
        <v>0</v>
      </c>
      <c r="H337" s="123">
        <f>IF(AND(ISNUMBER(F337), F337&gt;4, COUNTIFS($A$2:A337, A337, $B$2:B337, B337, $C$2:C337, C337, $F$2:F337, "&gt;4")=1), 1, 0)</f>
        <v>1</v>
      </c>
      <c r="I337" s="10">
        <f t="shared" si="17"/>
        <v>1</v>
      </c>
      <c r="J337" s="10"/>
      <c r="K337" s="7"/>
      <c r="L337" s="7"/>
      <c r="M337" s="7"/>
      <c r="N337" s="10"/>
      <c r="O337" s="11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.75" customHeight="1">
      <c r="A338" s="10" t="s">
        <v>15</v>
      </c>
      <c r="B338" s="7" t="s">
        <v>78</v>
      </c>
      <c r="C338" s="135">
        <v>46260</v>
      </c>
      <c r="D338" s="44" t="s">
        <v>247</v>
      </c>
      <c r="E338" s="35" t="s">
        <v>484</v>
      </c>
      <c r="F338" s="121">
        <v>7.82</v>
      </c>
      <c r="G338" s="122">
        <f t="shared" si="16"/>
        <v>0</v>
      </c>
      <c r="H338" s="123">
        <f>IF(AND(ISNUMBER(F338), F338&gt;4, COUNTIFS($A$2:A338, A338, $B$2:B338, B338, $C$2:C338, C338, $F$2:F338, "&gt;4")=1), 1, 0)</f>
        <v>1</v>
      </c>
      <c r="I338" s="10">
        <f t="shared" si="17"/>
        <v>1</v>
      </c>
      <c r="J338" s="10"/>
      <c r="K338" s="7"/>
      <c r="L338" s="7"/>
      <c r="M338" s="7"/>
      <c r="N338" s="10"/>
      <c r="O338" s="11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.75" customHeight="1">
      <c r="A339" s="10" t="s">
        <v>15</v>
      </c>
      <c r="B339" s="7" t="s">
        <v>78</v>
      </c>
      <c r="C339" s="135">
        <v>46262</v>
      </c>
      <c r="D339" s="44" t="s">
        <v>247</v>
      </c>
      <c r="E339" s="35" t="s">
        <v>288</v>
      </c>
      <c r="F339" s="121">
        <v>8.0500000000000007</v>
      </c>
      <c r="G339" s="122">
        <f t="shared" si="16"/>
        <v>0</v>
      </c>
      <c r="H339" s="123">
        <f>IF(AND(ISNUMBER(F339), F339&gt;4, COUNTIFS($A$2:A339, A339, $B$2:B339, B339, $C$2:C339, C339, $F$2:F339, "&gt;4")=1), 1, 0)</f>
        <v>1</v>
      </c>
      <c r="I339" s="10">
        <f t="shared" si="17"/>
        <v>1</v>
      </c>
      <c r="J339" s="10"/>
      <c r="K339" s="7"/>
      <c r="L339" s="7"/>
      <c r="M339" s="7"/>
      <c r="N339" s="10"/>
      <c r="O339" s="11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.75" customHeight="1">
      <c r="A340" s="10" t="s">
        <v>15</v>
      </c>
      <c r="B340" s="7" t="s">
        <v>78</v>
      </c>
      <c r="C340" s="135">
        <v>46263</v>
      </c>
      <c r="D340" s="44" t="s">
        <v>247</v>
      </c>
      <c r="E340" s="35" t="s">
        <v>199</v>
      </c>
      <c r="F340" s="121">
        <v>8</v>
      </c>
      <c r="G340" s="122">
        <f t="shared" si="16"/>
        <v>0</v>
      </c>
      <c r="H340" s="123">
        <f>IF(AND(ISNUMBER(F340), F340&gt;4, COUNTIFS($A$2:A340, A340, $B$2:B340, B340, $C$2:C340, C340, $F$2:F340, "&gt;4")=1), 1, 0)</f>
        <v>1</v>
      </c>
      <c r="I340" s="10">
        <f t="shared" si="17"/>
        <v>1</v>
      </c>
      <c r="J340" s="10"/>
      <c r="K340" s="7"/>
      <c r="L340" s="7"/>
      <c r="M340" s="7"/>
      <c r="N340" s="10"/>
      <c r="O340" s="11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.75" customHeight="1">
      <c r="A341" s="10" t="s">
        <v>15</v>
      </c>
      <c r="B341" s="7" t="s">
        <v>78</v>
      </c>
      <c r="C341" s="135">
        <v>46264</v>
      </c>
      <c r="D341" s="44" t="s">
        <v>247</v>
      </c>
      <c r="E341" s="35" t="s">
        <v>482</v>
      </c>
      <c r="F341" s="121">
        <v>7.85</v>
      </c>
      <c r="G341" s="122">
        <f t="shared" si="16"/>
        <v>0</v>
      </c>
      <c r="H341" s="123">
        <f>IF(AND(ISNUMBER(F341), F341&gt;4, COUNTIFS($A$2:A341, A341, $B$2:B341, B341, $C$2:C341, C341, $F$2:F341, "&gt;4")=1), 1, 0)</f>
        <v>1</v>
      </c>
      <c r="I341" s="10">
        <f t="shared" si="17"/>
        <v>1</v>
      </c>
      <c r="J341" s="10"/>
      <c r="K341" s="7"/>
      <c r="L341" s="7"/>
      <c r="M341" s="7"/>
      <c r="N341" s="10"/>
      <c r="O341" s="11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.75" customHeight="1">
      <c r="A342" s="10" t="s">
        <v>15</v>
      </c>
      <c r="B342" s="7" t="s">
        <v>78</v>
      </c>
      <c r="C342" s="135">
        <v>46265</v>
      </c>
      <c r="D342" s="44" t="s">
        <v>247</v>
      </c>
      <c r="E342" s="35" t="s">
        <v>348</v>
      </c>
      <c r="F342" s="121">
        <v>7.95</v>
      </c>
      <c r="G342" s="122">
        <f t="shared" si="16"/>
        <v>0</v>
      </c>
      <c r="H342" s="123">
        <f>IF(AND(ISNUMBER(F342), F342&gt;4, COUNTIFS($A$2:A342, A342, $B$2:B342, B342, $C$2:C342, C342, $F$2:F342, "&gt;4")=1), 1, 0)</f>
        <v>1</v>
      </c>
      <c r="I342" s="10">
        <f t="shared" si="17"/>
        <v>1</v>
      </c>
      <c r="J342" s="10"/>
      <c r="K342" s="7"/>
      <c r="L342" s="7"/>
      <c r="M342" s="7"/>
      <c r="N342" s="10"/>
      <c r="O342" s="11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.75" customHeight="1">
      <c r="A343" s="10" t="s">
        <v>18</v>
      </c>
      <c r="B343" s="7" t="s">
        <v>92</v>
      </c>
      <c r="C343" s="135">
        <v>46251</v>
      </c>
      <c r="D343" s="44" t="s">
        <v>249</v>
      </c>
      <c r="E343" s="35" t="s">
        <v>296</v>
      </c>
      <c r="F343" s="121">
        <v>4</v>
      </c>
      <c r="G343" s="122">
        <f t="shared" si="16"/>
        <v>1</v>
      </c>
      <c r="H343" s="123">
        <f>IF(AND(ISNUMBER(F343), F343&gt;4, COUNTIFS($A$2:A343, A343, $B$2:B343, B343, $C$2:C343, C343, $F$2:F343, "&gt;4")=1), 1, 0)</f>
        <v>0</v>
      </c>
      <c r="I343" s="10">
        <f t="shared" si="17"/>
        <v>0</v>
      </c>
      <c r="J343" s="10"/>
      <c r="K343" s="7"/>
      <c r="L343" s="7"/>
      <c r="M343" s="7"/>
      <c r="N343" s="10"/>
      <c r="O343" s="11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.75" customHeight="1">
      <c r="A344" s="10" t="s">
        <v>18</v>
      </c>
      <c r="B344" s="7" t="s">
        <v>92</v>
      </c>
      <c r="C344" s="135">
        <v>46263</v>
      </c>
      <c r="D344" s="44" t="s">
        <v>249</v>
      </c>
      <c r="E344" s="35" t="s">
        <v>556</v>
      </c>
      <c r="F344" s="121">
        <v>2.0499999999999998</v>
      </c>
      <c r="G344" s="122">
        <f t="shared" si="16"/>
        <v>1</v>
      </c>
      <c r="H344" s="123">
        <f>IF(AND(ISNUMBER(F344), F344&gt;4, COUNTIFS($A$2:A344, A344, $B$2:B344, B344, $C$2:C344, C344, $F$2:F344, "&gt;4")=1), 1, 0)</f>
        <v>0</v>
      </c>
      <c r="I344" s="10">
        <f t="shared" si="17"/>
        <v>0</v>
      </c>
      <c r="J344" s="10"/>
      <c r="K344" s="7"/>
      <c r="L344" s="7"/>
      <c r="M344" s="7"/>
      <c r="N344" s="10"/>
      <c r="O344" s="11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.75" customHeight="1">
      <c r="A345" s="10" t="s">
        <v>18</v>
      </c>
      <c r="B345" s="7" t="s">
        <v>92</v>
      </c>
      <c r="C345" s="135">
        <v>46235</v>
      </c>
      <c r="D345" s="44" t="s">
        <v>215</v>
      </c>
      <c r="E345" s="35" t="s">
        <v>490</v>
      </c>
      <c r="F345" s="121">
        <v>8.23</v>
      </c>
      <c r="G345" s="122">
        <f t="shared" si="16"/>
        <v>0</v>
      </c>
      <c r="H345" s="123">
        <f>IF(AND(ISNUMBER(F345), F345&gt;4, COUNTIFS($A$2:A345, A345, $B$2:B345, B345, $C$2:C345, C345, $F$2:F345, "&gt;4")=1), 1, 0)</f>
        <v>1</v>
      </c>
      <c r="I345" s="10">
        <f t="shared" si="17"/>
        <v>0</v>
      </c>
      <c r="J345" s="10"/>
      <c r="K345" s="7"/>
      <c r="L345" s="7"/>
      <c r="M345" s="7"/>
      <c r="N345" s="10"/>
      <c r="O345" s="11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.75" customHeight="1">
      <c r="A346" s="10" t="s">
        <v>18</v>
      </c>
      <c r="B346" s="7" t="s">
        <v>92</v>
      </c>
      <c r="C346" s="135">
        <v>46236</v>
      </c>
      <c r="D346" s="44" t="s">
        <v>215</v>
      </c>
      <c r="E346" s="35" t="s">
        <v>479</v>
      </c>
      <c r="F346" s="121">
        <v>8.02</v>
      </c>
      <c r="G346" s="122">
        <f t="shared" si="16"/>
        <v>0</v>
      </c>
      <c r="H346" s="123">
        <f>IF(AND(ISNUMBER(F346), F346&gt;4, COUNTIFS($A$2:A346, A346, $B$2:B346, B346, $C$2:C346, C346, $F$2:F346, "&gt;4")=1), 1, 0)</f>
        <v>1</v>
      </c>
      <c r="I346" s="10">
        <f t="shared" si="17"/>
        <v>0</v>
      </c>
      <c r="J346" s="10"/>
      <c r="K346" s="7"/>
      <c r="L346" s="7"/>
      <c r="M346" s="7"/>
      <c r="N346" s="10"/>
      <c r="O346" s="11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.75" customHeight="1">
      <c r="A347" s="10" t="s">
        <v>18</v>
      </c>
      <c r="B347" s="7" t="s">
        <v>92</v>
      </c>
      <c r="C347" s="135">
        <v>46239</v>
      </c>
      <c r="D347" s="44" t="s">
        <v>198</v>
      </c>
      <c r="E347" s="35" t="s">
        <v>486</v>
      </c>
      <c r="F347" s="121">
        <v>7.68</v>
      </c>
      <c r="G347" s="122">
        <f t="shared" si="16"/>
        <v>0</v>
      </c>
      <c r="H347" s="123">
        <f>IF(AND(ISNUMBER(F347), F347&gt;4, COUNTIFS($A$2:A347, A347, $B$2:B347, B347, $C$2:C347, C347, $F$2:F347, "&gt;4")=1), 1, 0)</f>
        <v>1</v>
      </c>
      <c r="I347" s="10">
        <f t="shared" si="17"/>
        <v>0</v>
      </c>
      <c r="J347" s="10"/>
      <c r="K347" s="7"/>
      <c r="L347" s="7"/>
      <c r="M347" s="7"/>
      <c r="N347" s="10"/>
      <c r="O347" s="11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.75" customHeight="1">
      <c r="A348" s="10" t="s">
        <v>18</v>
      </c>
      <c r="B348" s="7" t="s">
        <v>92</v>
      </c>
      <c r="C348" s="135">
        <v>46265</v>
      </c>
      <c r="D348" s="44" t="s">
        <v>198</v>
      </c>
      <c r="E348" s="35" t="s">
        <v>479</v>
      </c>
      <c r="F348" s="121">
        <v>8.02</v>
      </c>
      <c r="G348" s="122">
        <f t="shared" si="16"/>
        <v>0</v>
      </c>
      <c r="H348" s="123">
        <f>IF(AND(ISNUMBER(F348), F348&gt;4, COUNTIFS($A$2:A348, A348, $B$2:B348, B348, $C$2:C348, C348, $F$2:F348, "&gt;4")=1), 1, 0)</f>
        <v>1</v>
      </c>
      <c r="I348" s="10">
        <f t="shared" si="17"/>
        <v>0</v>
      </c>
      <c r="J348" s="10"/>
      <c r="K348" s="7"/>
      <c r="L348" s="7"/>
      <c r="M348" s="7"/>
      <c r="N348" s="10"/>
      <c r="O348" s="11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.75" customHeight="1">
      <c r="A349" s="10" t="s">
        <v>18</v>
      </c>
      <c r="B349" s="7" t="s">
        <v>92</v>
      </c>
      <c r="C349" s="135">
        <v>46240</v>
      </c>
      <c r="D349" s="44" t="s">
        <v>240</v>
      </c>
      <c r="E349" s="35" t="s">
        <v>557</v>
      </c>
      <c r="F349" s="121">
        <v>5.98</v>
      </c>
      <c r="G349" s="122">
        <f t="shared" si="16"/>
        <v>0</v>
      </c>
      <c r="H349" s="123">
        <f>IF(AND(ISNUMBER(F349), F349&gt;4, COUNTIFS($A$2:A349, A349, $B$2:B349, B349, $C$2:C349, C349, $F$2:F349, "&gt;4")=1), 1, 0)</f>
        <v>1</v>
      </c>
      <c r="I349" s="10">
        <f t="shared" si="17"/>
        <v>0</v>
      </c>
      <c r="J349" s="10"/>
      <c r="K349" s="7"/>
      <c r="L349" s="7"/>
      <c r="M349" s="7"/>
      <c r="N349" s="10"/>
      <c r="O349" s="11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.75" customHeight="1">
      <c r="A350" s="10" t="s">
        <v>18</v>
      </c>
      <c r="B350" s="7" t="s">
        <v>92</v>
      </c>
      <c r="C350" s="135">
        <v>46241</v>
      </c>
      <c r="D350" s="44" t="s">
        <v>240</v>
      </c>
      <c r="E350" s="35" t="s">
        <v>325</v>
      </c>
      <c r="F350" s="121">
        <v>2.37</v>
      </c>
      <c r="G350" s="122">
        <f t="shared" si="16"/>
        <v>1</v>
      </c>
      <c r="H350" s="123">
        <f>IF(AND(ISNUMBER(F350), F350&gt;4, COUNTIFS($A$2:A350, A350, $B$2:B350, B350, $C$2:C350, C350, $F$2:F350, "&gt;4")=1), 1, 0)</f>
        <v>0</v>
      </c>
      <c r="I350" s="10">
        <f t="shared" si="17"/>
        <v>0</v>
      </c>
      <c r="J350" s="10"/>
      <c r="K350" s="7"/>
      <c r="L350" s="7"/>
      <c r="M350" s="7"/>
      <c r="N350" s="10"/>
      <c r="O350" s="11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.75" customHeight="1">
      <c r="A351" s="10" t="s">
        <v>18</v>
      </c>
      <c r="B351" s="7" t="s">
        <v>92</v>
      </c>
      <c r="C351" s="135">
        <v>46243</v>
      </c>
      <c r="D351" s="44" t="s">
        <v>240</v>
      </c>
      <c r="E351" s="35" t="s">
        <v>558</v>
      </c>
      <c r="F351" s="121">
        <v>7.4</v>
      </c>
      <c r="G351" s="122">
        <f t="shared" si="16"/>
        <v>0</v>
      </c>
      <c r="H351" s="123">
        <f>IF(AND(ISNUMBER(F351), F351&gt;4, COUNTIFS($A$2:A351, A351, $B$2:B351, B351, $C$2:C351, C351, $F$2:F351, "&gt;4")=1), 1, 0)</f>
        <v>1</v>
      </c>
      <c r="I351" s="10">
        <f t="shared" si="17"/>
        <v>0</v>
      </c>
      <c r="J351" s="10"/>
      <c r="K351" s="7"/>
      <c r="L351" s="7"/>
      <c r="M351" s="7"/>
      <c r="N351" s="10"/>
      <c r="O351" s="11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.75" customHeight="1">
      <c r="A352" s="10" t="s">
        <v>18</v>
      </c>
      <c r="B352" s="7" t="s">
        <v>92</v>
      </c>
      <c r="C352" s="135">
        <v>46238</v>
      </c>
      <c r="D352" s="44" t="s">
        <v>242</v>
      </c>
      <c r="E352" s="35" t="s">
        <v>214</v>
      </c>
      <c r="F352" s="121">
        <v>8.08</v>
      </c>
      <c r="G352" s="122">
        <f t="shared" si="16"/>
        <v>0</v>
      </c>
      <c r="H352" s="123">
        <f>IF(AND(ISNUMBER(F352), F352&gt;4, COUNTIFS($A$2:A352, A352, $B$2:B352, B352, $C$2:C352, C352, $F$2:F352, "&gt;4")=1), 1, 0)</f>
        <v>1</v>
      </c>
      <c r="I352" s="10">
        <f t="shared" si="17"/>
        <v>1</v>
      </c>
      <c r="J352" s="10"/>
      <c r="K352" s="7"/>
      <c r="L352" s="7"/>
      <c r="M352" s="7"/>
      <c r="N352" s="10"/>
      <c r="O352" s="11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.75" customHeight="1">
      <c r="A353" s="10" t="s">
        <v>18</v>
      </c>
      <c r="B353" s="7" t="s">
        <v>92</v>
      </c>
      <c r="C353" s="135">
        <v>46239</v>
      </c>
      <c r="D353" s="44" t="s">
        <v>242</v>
      </c>
      <c r="E353" s="35" t="s">
        <v>479</v>
      </c>
      <c r="F353" s="121">
        <v>8.02</v>
      </c>
      <c r="G353" s="122">
        <f t="shared" si="16"/>
        <v>0</v>
      </c>
      <c r="H353" s="123">
        <f>IF(AND(ISNUMBER(F353), F353&gt;4, COUNTIFS($A$2:A353, A353, $B$2:B353, B353, $C$2:C353, C353, $F$2:F353, "&gt;4")=1), 1, 0)</f>
        <v>0</v>
      </c>
      <c r="I353" s="10">
        <f t="shared" si="17"/>
        <v>1</v>
      </c>
      <c r="J353" s="10"/>
      <c r="K353" s="7"/>
      <c r="L353" s="7"/>
      <c r="M353" s="7"/>
      <c r="N353" s="10"/>
      <c r="O353" s="11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.75" customHeight="1">
      <c r="A354" s="10" t="s">
        <v>18</v>
      </c>
      <c r="B354" s="7" t="s">
        <v>92</v>
      </c>
      <c r="C354" s="135">
        <v>46240</v>
      </c>
      <c r="D354" s="44" t="s">
        <v>242</v>
      </c>
      <c r="E354" s="35" t="s">
        <v>329</v>
      </c>
      <c r="F354" s="121">
        <v>8.0299999999999994</v>
      </c>
      <c r="G354" s="122">
        <f t="shared" si="16"/>
        <v>0</v>
      </c>
      <c r="H354" s="123">
        <f>IF(AND(ISNUMBER(F354), F354&gt;4, COUNTIFS($A$2:A354, A354, $B$2:B354, B354, $C$2:C354, C354, $F$2:F354, "&gt;4")=1), 1, 0)</f>
        <v>0</v>
      </c>
      <c r="I354" s="10">
        <f t="shared" si="17"/>
        <v>1</v>
      </c>
      <c r="J354" s="10"/>
      <c r="K354" s="7"/>
      <c r="L354" s="7"/>
      <c r="M354" s="7"/>
      <c r="N354" s="10"/>
      <c r="O354" s="11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.75" customHeight="1">
      <c r="A355" s="10" t="s">
        <v>18</v>
      </c>
      <c r="B355" s="7" t="s">
        <v>92</v>
      </c>
      <c r="C355" s="135">
        <v>46241</v>
      </c>
      <c r="D355" s="44" t="s">
        <v>242</v>
      </c>
      <c r="E355" s="35" t="s">
        <v>329</v>
      </c>
      <c r="F355" s="121">
        <v>8.0299999999999994</v>
      </c>
      <c r="G355" s="122">
        <f t="shared" si="16"/>
        <v>0</v>
      </c>
      <c r="H355" s="123">
        <f>IF(AND(ISNUMBER(F355), F355&gt;4, COUNTIFS($A$2:A355, A355, $B$2:B355, B355, $C$2:C355, C355, $F$2:F355, "&gt;4")=1), 1, 0)</f>
        <v>1</v>
      </c>
      <c r="I355" s="10">
        <f t="shared" si="17"/>
        <v>1</v>
      </c>
      <c r="J355" s="10"/>
      <c r="K355" s="7"/>
      <c r="L355" s="7"/>
      <c r="M355" s="7"/>
      <c r="N355" s="10"/>
      <c r="O355" s="11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.75" customHeight="1">
      <c r="A356" s="10" t="s">
        <v>18</v>
      </c>
      <c r="B356" s="7" t="s">
        <v>92</v>
      </c>
      <c r="C356" s="135">
        <v>46242</v>
      </c>
      <c r="D356" s="44" t="s">
        <v>242</v>
      </c>
      <c r="E356" s="35" t="s">
        <v>487</v>
      </c>
      <c r="F356" s="121">
        <v>7.78</v>
      </c>
      <c r="G356" s="122">
        <f t="shared" si="16"/>
        <v>0</v>
      </c>
      <c r="H356" s="123">
        <f>IF(AND(ISNUMBER(F356), F356&gt;4, COUNTIFS($A$2:A356, A356, $B$2:B356, B356, $C$2:C356, C356, $F$2:F356, "&gt;4")=1), 1, 0)</f>
        <v>1</v>
      </c>
      <c r="I356" s="10">
        <f t="shared" si="17"/>
        <v>1</v>
      </c>
      <c r="J356" s="10"/>
      <c r="K356" s="7"/>
      <c r="L356" s="7"/>
      <c r="M356" s="7"/>
      <c r="N356" s="10"/>
      <c r="O356" s="11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.75" customHeight="1">
      <c r="A357" s="10" t="s">
        <v>18</v>
      </c>
      <c r="B357" s="7" t="s">
        <v>92</v>
      </c>
      <c r="C357" s="135">
        <v>46245</v>
      </c>
      <c r="D357" s="44" t="s">
        <v>242</v>
      </c>
      <c r="E357" s="35" t="s">
        <v>480</v>
      </c>
      <c r="F357" s="121">
        <v>7.97</v>
      </c>
      <c r="G357" s="122">
        <f t="shared" si="16"/>
        <v>0</v>
      </c>
      <c r="H357" s="123">
        <f>IF(AND(ISNUMBER(F357), F357&gt;4, COUNTIFS($A$2:A357, A357, $B$2:B357, B357, $C$2:C357, C357, $F$2:F357, "&gt;4")=1), 1, 0)</f>
        <v>1</v>
      </c>
      <c r="I357" s="10">
        <f t="shared" si="17"/>
        <v>1</v>
      </c>
      <c r="J357" s="10"/>
      <c r="K357" s="7"/>
      <c r="L357" s="7"/>
      <c r="M357" s="7"/>
      <c r="N357" s="10"/>
      <c r="O357" s="11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.75" customHeight="1">
      <c r="A358" s="10" t="s">
        <v>18</v>
      </c>
      <c r="B358" s="7" t="s">
        <v>92</v>
      </c>
      <c r="C358" s="135">
        <v>46246</v>
      </c>
      <c r="D358" s="44" t="s">
        <v>242</v>
      </c>
      <c r="E358" s="35" t="s">
        <v>348</v>
      </c>
      <c r="F358" s="121">
        <v>7.95</v>
      </c>
      <c r="G358" s="122">
        <f t="shared" si="16"/>
        <v>0</v>
      </c>
      <c r="H358" s="123">
        <f>IF(AND(ISNUMBER(F358), F358&gt;4, COUNTIFS($A$2:A358, A358, $B$2:B358, B358, $C$2:C358, C358, $F$2:F358, "&gt;4")=1), 1, 0)</f>
        <v>1</v>
      </c>
      <c r="I358" s="10">
        <f t="shared" si="17"/>
        <v>1</v>
      </c>
      <c r="J358" s="10"/>
      <c r="K358" s="7"/>
      <c r="L358" s="7"/>
      <c r="M358" s="7"/>
      <c r="N358" s="10"/>
      <c r="O358" s="11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.75" customHeight="1">
      <c r="A359" s="10" t="s">
        <v>18</v>
      </c>
      <c r="B359" s="7" t="s">
        <v>92</v>
      </c>
      <c r="C359" s="135">
        <v>46247</v>
      </c>
      <c r="D359" s="44" t="s">
        <v>242</v>
      </c>
      <c r="E359" s="35" t="s">
        <v>303</v>
      </c>
      <c r="F359" s="121">
        <v>7.83</v>
      </c>
      <c r="G359" s="122">
        <f t="shared" si="16"/>
        <v>0</v>
      </c>
      <c r="H359" s="123">
        <f>IF(AND(ISNUMBER(F359), F359&gt;4, COUNTIFS($A$2:A359, A359, $B$2:B359, B359, $C$2:C359, C359, $F$2:F359, "&gt;4")=1), 1, 0)</f>
        <v>1</v>
      </c>
      <c r="I359" s="10">
        <f t="shared" si="17"/>
        <v>1</v>
      </c>
      <c r="J359" s="10"/>
      <c r="K359" s="7"/>
      <c r="L359" s="7"/>
      <c r="M359" s="7"/>
      <c r="N359" s="10"/>
      <c r="O359" s="11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.75" customHeight="1">
      <c r="A360" s="10" t="s">
        <v>18</v>
      </c>
      <c r="B360" s="7" t="s">
        <v>92</v>
      </c>
      <c r="C360" s="135">
        <v>46248</v>
      </c>
      <c r="D360" s="44" t="s">
        <v>242</v>
      </c>
      <c r="E360" s="35" t="s">
        <v>214</v>
      </c>
      <c r="F360" s="121">
        <v>8.08</v>
      </c>
      <c r="G360" s="122">
        <f t="shared" si="16"/>
        <v>0</v>
      </c>
      <c r="H360" s="123">
        <f>IF(AND(ISNUMBER(F360), F360&gt;4, COUNTIFS($A$2:A360, A360, $B$2:B360, B360, $C$2:C360, C360, $F$2:F360, "&gt;4")=1), 1, 0)</f>
        <v>1</v>
      </c>
      <c r="I360" s="10">
        <f t="shared" si="17"/>
        <v>1</v>
      </c>
      <c r="J360" s="10"/>
      <c r="K360" s="7"/>
      <c r="L360" s="7"/>
      <c r="M360" s="7"/>
      <c r="N360" s="10"/>
      <c r="O360" s="11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.75" customHeight="1">
      <c r="A361" s="10" t="s">
        <v>18</v>
      </c>
      <c r="B361" s="7" t="s">
        <v>92</v>
      </c>
      <c r="C361" s="135">
        <v>46249</v>
      </c>
      <c r="D361" s="44" t="s">
        <v>242</v>
      </c>
      <c r="E361" s="35" t="s">
        <v>288</v>
      </c>
      <c r="F361" s="121">
        <v>8.0500000000000007</v>
      </c>
      <c r="G361" s="122">
        <f t="shared" si="16"/>
        <v>0</v>
      </c>
      <c r="H361" s="123">
        <f>IF(AND(ISNUMBER(F361), F361&gt;4, COUNTIFS($A$2:A361, A361, $B$2:B361, B361, $C$2:C361, C361, $F$2:F361, "&gt;4")=1), 1, 0)</f>
        <v>1</v>
      </c>
      <c r="I361" s="10">
        <f t="shared" si="17"/>
        <v>1</v>
      </c>
      <c r="J361" s="10"/>
      <c r="K361" s="7"/>
      <c r="L361" s="7"/>
      <c r="M361" s="7"/>
      <c r="N361" s="10"/>
      <c r="O361" s="11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.75" customHeight="1">
      <c r="A362" s="10" t="s">
        <v>18</v>
      </c>
      <c r="B362" s="7" t="s">
        <v>92</v>
      </c>
      <c r="C362" s="135">
        <v>46250</v>
      </c>
      <c r="D362" s="44" t="s">
        <v>242</v>
      </c>
      <c r="E362" s="35" t="s">
        <v>239</v>
      </c>
      <c r="F362" s="121">
        <v>8.07</v>
      </c>
      <c r="G362" s="122">
        <f t="shared" si="16"/>
        <v>0</v>
      </c>
      <c r="H362" s="123">
        <f>IF(AND(ISNUMBER(F362), F362&gt;4, COUNTIFS($A$2:A362, A362, $B$2:B362, B362, $C$2:C362, C362, $F$2:F362, "&gt;4")=1), 1, 0)</f>
        <v>1</v>
      </c>
      <c r="I362" s="10">
        <f t="shared" si="17"/>
        <v>1</v>
      </c>
      <c r="J362" s="10"/>
      <c r="K362" s="7"/>
      <c r="L362" s="7"/>
      <c r="M362" s="7"/>
      <c r="N362" s="10"/>
      <c r="O362" s="11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.75" customHeight="1">
      <c r="A363" s="10" t="s">
        <v>18</v>
      </c>
      <c r="B363" s="7" t="s">
        <v>92</v>
      </c>
      <c r="C363" s="135">
        <v>46251</v>
      </c>
      <c r="D363" s="44" t="s">
        <v>242</v>
      </c>
      <c r="E363" s="35" t="s">
        <v>475</v>
      </c>
      <c r="F363" s="121">
        <v>7.87</v>
      </c>
      <c r="G363" s="122">
        <f t="shared" si="16"/>
        <v>0</v>
      </c>
      <c r="H363" s="123">
        <f>IF(AND(ISNUMBER(F363), F363&gt;4, COUNTIFS($A$2:A363, A363, $B$2:B363, B363, $C$2:C363, C363, $F$2:F363, "&gt;4")=1), 1, 0)</f>
        <v>1</v>
      </c>
      <c r="I363" s="10">
        <f t="shared" si="17"/>
        <v>1</v>
      </c>
      <c r="J363" s="10"/>
      <c r="K363" s="7"/>
      <c r="L363" s="7"/>
      <c r="M363" s="7"/>
      <c r="N363" s="10"/>
      <c r="O363" s="11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.75" customHeight="1">
      <c r="A364" s="10" t="s">
        <v>18</v>
      </c>
      <c r="B364" s="7" t="s">
        <v>92</v>
      </c>
      <c r="C364" s="135">
        <v>46252</v>
      </c>
      <c r="D364" s="44" t="s">
        <v>242</v>
      </c>
      <c r="E364" s="35" t="s">
        <v>484</v>
      </c>
      <c r="F364" s="121">
        <v>7.82</v>
      </c>
      <c r="G364" s="122">
        <f t="shared" si="16"/>
        <v>0</v>
      </c>
      <c r="H364" s="123">
        <f>IF(AND(ISNUMBER(F364), F364&gt;4, COUNTIFS($A$2:A364, A364, $B$2:B364, B364, $C$2:C364, C364, $F$2:F364, "&gt;4")=1), 1, 0)</f>
        <v>1</v>
      </c>
      <c r="I364" s="10">
        <f t="shared" si="17"/>
        <v>1</v>
      </c>
      <c r="J364" s="10"/>
      <c r="K364" s="7"/>
      <c r="L364" s="7"/>
      <c r="M364" s="7"/>
      <c r="N364" s="10"/>
      <c r="O364" s="11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.75" customHeight="1">
      <c r="A365" s="10" t="s">
        <v>18</v>
      </c>
      <c r="B365" s="7" t="s">
        <v>92</v>
      </c>
      <c r="C365" s="135">
        <v>46253</v>
      </c>
      <c r="D365" s="44" t="s">
        <v>242</v>
      </c>
      <c r="E365" s="35" t="s">
        <v>214</v>
      </c>
      <c r="F365" s="121">
        <v>8.08</v>
      </c>
      <c r="G365" s="122">
        <f t="shared" si="16"/>
        <v>0</v>
      </c>
      <c r="H365" s="123">
        <f>IF(AND(ISNUMBER(F365), F365&gt;4, COUNTIFS($A$2:A365, A365, $B$2:B365, B365, $C$2:C365, C365, $F$2:F365, "&gt;4")=1), 1, 0)</f>
        <v>1</v>
      </c>
      <c r="I365" s="10">
        <f t="shared" si="17"/>
        <v>1</v>
      </c>
      <c r="J365" s="10"/>
      <c r="K365" s="7"/>
      <c r="L365" s="7"/>
      <c r="M365" s="7"/>
      <c r="N365" s="10"/>
      <c r="O365" s="11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.75" customHeight="1">
      <c r="A366" s="10" t="s">
        <v>18</v>
      </c>
      <c r="B366" s="7" t="s">
        <v>92</v>
      </c>
      <c r="C366" s="135">
        <v>46254</v>
      </c>
      <c r="D366" s="44" t="s">
        <v>242</v>
      </c>
      <c r="E366" s="35" t="s">
        <v>559</v>
      </c>
      <c r="F366" s="121">
        <v>7.43</v>
      </c>
      <c r="G366" s="122">
        <f t="shared" si="16"/>
        <v>0</v>
      </c>
      <c r="H366" s="123">
        <f>IF(AND(ISNUMBER(F366), F366&gt;4, COUNTIFS($A$2:A366, A366, $B$2:B366, B366, $C$2:C366, C366, $F$2:F366, "&gt;4")=1), 1, 0)</f>
        <v>1</v>
      </c>
      <c r="I366" s="10">
        <f t="shared" si="17"/>
        <v>1</v>
      </c>
      <c r="J366" s="10"/>
      <c r="K366" s="7"/>
      <c r="L366" s="7"/>
      <c r="M366" s="7"/>
      <c r="N366" s="10"/>
      <c r="O366" s="11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.75" customHeight="1">
      <c r="A367" s="10" t="s">
        <v>18</v>
      </c>
      <c r="B367" s="7" t="s">
        <v>92</v>
      </c>
      <c r="C367" s="135">
        <v>46255</v>
      </c>
      <c r="D367" s="44" t="s">
        <v>242</v>
      </c>
      <c r="E367" s="35" t="s">
        <v>199</v>
      </c>
      <c r="F367" s="121">
        <v>8</v>
      </c>
      <c r="G367" s="122">
        <f t="shared" si="16"/>
        <v>0</v>
      </c>
      <c r="H367" s="123">
        <f>IF(AND(ISNUMBER(F367), F367&gt;4, COUNTIFS($A$2:A367, A367, $B$2:B367, B367, $C$2:C367, C367, $F$2:F367, "&gt;4")=1), 1, 0)</f>
        <v>1</v>
      </c>
      <c r="I367" s="10">
        <f t="shared" si="17"/>
        <v>1</v>
      </c>
      <c r="J367" s="10"/>
      <c r="K367" s="7"/>
      <c r="L367" s="7"/>
      <c r="M367" s="7"/>
      <c r="N367" s="10"/>
      <c r="O367" s="11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.75" customHeight="1">
      <c r="A368" s="10" t="s">
        <v>18</v>
      </c>
      <c r="B368" s="7" t="s">
        <v>92</v>
      </c>
      <c r="C368" s="135">
        <v>46256</v>
      </c>
      <c r="D368" s="44" t="s">
        <v>242</v>
      </c>
      <c r="E368" s="35" t="s">
        <v>479</v>
      </c>
      <c r="F368" s="121">
        <v>8.02</v>
      </c>
      <c r="G368" s="122">
        <f t="shared" si="16"/>
        <v>0</v>
      </c>
      <c r="H368" s="123">
        <f>IF(AND(ISNUMBER(F368), F368&gt;4, COUNTIFS($A$2:A368, A368, $B$2:B368, B368, $C$2:C368, C368, $F$2:F368, "&gt;4")=1), 1, 0)</f>
        <v>1</v>
      </c>
      <c r="I368" s="10">
        <f t="shared" si="17"/>
        <v>1</v>
      </c>
      <c r="J368" s="10"/>
      <c r="K368" s="7"/>
      <c r="L368" s="7"/>
      <c r="M368" s="7"/>
      <c r="N368" s="10"/>
      <c r="O368" s="11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.75" customHeight="1">
      <c r="A369" s="10" t="s">
        <v>18</v>
      </c>
      <c r="B369" s="7" t="s">
        <v>92</v>
      </c>
      <c r="C369" s="135">
        <v>46257</v>
      </c>
      <c r="D369" s="44" t="s">
        <v>242</v>
      </c>
      <c r="E369" s="35" t="s">
        <v>440</v>
      </c>
      <c r="F369" s="121">
        <v>7.37</v>
      </c>
      <c r="G369" s="122">
        <f t="shared" si="16"/>
        <v>0</v>
      </c>
      <c r="H369" s="123">
        <f>IF(AND(ISNUMBER(F369), F369&gt;4, COUNTIFS($A$2:A369, A369, $B$2:B369, B369, $C$2:C369, C369, $F$2:F369, "&gt;4")=1), 1, 0)</f>
        <v>1</v>
      </c>
      <c r="I369" s="10">
        <f t="shared" si="17"/>
        <v>1</v>
      </c>
      <c r="J369" s="10"/>
      <c r="K369" s="7"/>
      <c r="L369" s="7"/>
      <c r="M369" s="7"/>
      <c r="N369" s="10"/>
      <c r="O369" s="11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.75" customHeight="1">
      <c r="A370" s="10" t="s">
        <v>18</v>
      </c>
      <c r="B370" s="7" t="s">
        <v>92</v>
      </c>
      <c r="C370" s="135">
        <v>46258</v>
      </c>
      <c r="D370" s="44" t="s">
        <v>242</v>
      </c>
      <c r="E370" s="35" t="s">
        <v>348</v>
      </c>
      <c r="F370" s="121">
        <v>7.95</v>
      </c>
      <c r="G370" s="122">
        <f t="shared" si="16"/>
        <v>0</v>
      </c>
      <c r="H370" s="123">
        <f>IF(AND(ISNUMBER(F370), F370&gt;4, COUNTIFS($A$2:A370, A370, $B$2:B370, B370, $C$2:C370, C370, $F$2:F370, "&gt;4")=1), 1, 0)</f>
        <v>1</v>
      </c>
      <c r="I370" s="10">
        <f t="shared" si="17"/>
        <v>1</v>
      </c>
      <c r="J370" s="10"/>
      <c r="K370" s="7"/>
      <c r="L370" s="7"/>
      <c r="M370" s="7"/>
      <c r="N370" s="10"/>
      <c r="O370" s="11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.75" customHeight="1">
      <c r="A371" s="10" t="s">
        <v>18</v>
      </c>
      <c r="B371" s="7" t="s">
        <v>92</v>
      </c>
      <c r="C371" s="135">
        <v>46259</v>
      </c>
      <c r="D371" s="44" t="s">
        <v>242</v>
      </c>
      <c r="E371" s="35" t="s">
        <v>546</v>
      </c>
      <c r="F371" s="121">
        <v>6.27</v>
      </c>
      <c r="G371" s="122">
        <f t="shared" si="16"/>
        <v>0</v>
      </c>
      <c r="H371" s="123">
        <f>IF(AND(ISNUMBER(F371), F371&gt;4, COUNTIFS($A$2:A371, A371, $B$2:B371, B371, $C$2:C371, C371, $F$2:F371, "&gt;4")=1), 1, 0)</f>
        <v>1</v>
      </c>
      <c r="I371" s="10">
        <f t="shared" si="17"/>
        <v>1</v>
      </c>
      <c r="J371" s="10"/>
      <c r="K371" s="7"/>
      <c r="L371" s="7"/>
      <c r="M371" s="7"/>
      <c r="N371" s="10"/>
      <c r="O371" s="11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.75" customHeight="1">
      <c r="A372" s="10" t="s">
        <v>18</v>
      </c>
      <c r="B372" s="7" t="s">
        <v>92</v>
      </c>
      <c r="C372" s="135">
        <v>46260</v>
      </c>
      <c r="D372" s="44" t="s">
        <v>242</v>
      </c>
      <c r="E372" s="35" t="s">
        <v>199</v>
      </c>
      <c r="F372" s="121">
        <v>8</v>
      </c>
      <c r="G372" s="122">
        <f t="shared" si="16"/>
        <v>0</v>
      </c>
      <c r="H372" s="123">
        <f>IF(AND(ISNUMBER(F372), F372&gt;4, COUNTIFS($A$2:A372, A372, $B$2:B372, B372, $C$2:C372, C372, $F$2:F372, "&gt;4")=1), 1, 0)</f>
        <v>1</v>
      </c>
      <c r="I372" s="10">
        <f t="shared" si="17"/>
        <v>1</v>
      </c>
      <c r="J372" s="10"/>
      <c r="K372" s="7"/>
      <c r="L372" s="7"/>
      <c r="M372" s="7"/>
      <c r="N372" s="10"/>
      <c r="O372" s="11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.75" customHeight="1">
      <c r="A373" s="10" t="s">
        <v>18</v>
      </c>
      <c r="B373" s="7" t="s">
        <v>92</v>
      </c>
      <c r="C373" s="135">
        <v>46262</v>
      </c>
      <c r="D373" s="44" t="s">
        <v>242</v>
      </c>
      <c r="E373" s="35" t="s">
        <v>199</v>
      </c>
      <c r="F373" s="121">
        <v>8</v>
      </c>
      <c r="G373" s="122">
        <f t="shared" si="16"/>
        <v>0</v>
      </c>
      <c r="H373" s="123">
        <f>IF(AND(ISNUMBER(F373), F373&gt;4, COUNTIFS($A$2:A373, A373, $B$2:B373, B373, $C$2:C373, C373, $F$2:F373, "&gt;4")=1), 1, 0)</f>
        <v>1</v>
      </c>
      <c r="I373" s="10">
        <f t="shared" si="17"/>
        <v>1</v>
      </c>
      <c r="J373" s="10"/>
      <c r="K373" s="7"/>
      <c r="L373" s="7"/>
      <c r="M373" s="7"/>
      <c r="N373" s="10"/>
      <c r="O373" s="11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.75" customHeight="1">
      <c r="A374" s="10" t="s">
        <v>18</v>
      </c>
      <c r="B374" s="7" t="s">
        <v>92</v>
      </c>
      <c r="C374" s="135">
        <v>46263</v>
      </c>
      <c r="D374" s="44" t="s">
        <v>242</v>
      </c>
      <c r="E374" s="35" t="s">
        <v>537</v>
      </c>
      <c r="F374" s="121">
        <v>4.55</v>
      </c>
      <c r="G374" s="122">
        <f t="shared" si="16"/>
        <v>0</v>
      </c>
      <c r="H374" s="123">
        <f>IF(AND(ISNUMBER(F374), F374&gt;4, COUNTIFS($A$2:A374, A374, $B$2:B374, B374, $C$2:C374, C374, $F$2:F374, "&gt;4")=1), 1, 0)</f>
        <v>1</v>
      </c>
      <c r="I374" s="10">
        <f t="shared" si="17"/>
        <v>1</v>
      </c>
      <c r="J374" s="10"/>
      <c r="K374" s="7"/>
      <c r="L374" s="7"/>
      <c r="M374" s="7"/>
      <c r="N374" s="10"/>
      <c r="O374" s="11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.75" customHeight="1">
      <c r="A375" s="10" t="s">
        <v>18</v>
      </c>
      <c r="B375" s="7" t="s">
        <v>92</v>
      </c>
      <c r="C375" s="135">
        <v>46264</v>
      </c>
      <c r="D375" s="44" t="s">
        <v>242</v>
      </c>
      <c r="E375" s="35" t="s">
        <v>199</v>
      </c>
      <c r="F375" s="121">
        <v>8</v>
      </c>
      <c r="G375" s="122">
        <f t="shared" si="16"/>
        <v>0</v>
      </c>
      <c r="H375" s="123">
        <f>IF(AND(ISNUMBER(F375), F375&gt;4, COUNTIFS($A$2:A375, A375, $B$2:B375, B375, $C$2:C375, C375, $F$2:F375, "&gt;4")=1), 1, 0)</f>
        <v>1</v>
      </c>
      <c r="I375" s="10">
        <f t="shared" si="17"/>
        <v>1</v>
      </c>
      <c r="J375" s="10"/>
      <c r="K375" s="7"/>
      <c r="L375" s="7"/>
      <c r="M375" s="7"/>
      <c r="N375" s="10"/>
      <c r="O375" s="11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.75" customHeight="1">
      <c r="A376" s="10" t="s">
        <v>19</v>
      </c>
      <c r="B376" s="7" t="s">
        <v>92</v>
      </c>
      <c r="C376" s="135">
        <v>46243</v>
      </c>
      <c r="D376" s="44" t="s">
        <v>255</v>
      </c>
      <c r="E376" s="35" t="s">
        <v>400</v>
      </c>
      <c r="F376" s="121">
        <v>8.6199999999999992</v>
      </c>
      <c r="G376" s="122">
        <f t="shared" si="16"/>
        <v>0</v>
      </c>
      <c r="H376" s="123">
        <f>IF(AND(ISNUMBER(F376), F376&gt;4, COUNTIFS($A$2:A376, A376, $B$2:B376, B376, $C$2:C376, C376, $F$2:F376, "&gt;4")=1), 1, 0)</f>
        <v>1</v>
      </c>
      <c r="I376" s="10">
        <f t="shared" si="17"/>
        <v>0</v>
      </c>
      <c r="J376" s="10"/>
      <c r="K376" s="7"/>
      <c r="L376" s="7"/>
      <c r="M376" s="7"/>
      <c r="N376" s="10"/>
      <c r="O376" s="11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.75" customHeight="1">
      <c r="A377" s="10" t="s">
        <v>19</v>
      </c>
      <c r="B377" s="7" t="s">
        <v>92</v>
      </c>
      <c r="C377" s="135">
        <v>46246</v>
      </c>
      <c r="D377" s="44" t="s">
        <v>255</v>
      </c>
      <c r="E377" s="35" t="s">
        <v>288</v>
      </c>
      <c r="F377" s="121">
        <v>8.0500000000000007</v>
      </c>
      <c r="G377" s="122">
        <f t="shared" si="16"/>
        <v>0</v>
      </c>
      <c r="H377" s="123">
        <f>IF(AND(ISNUMBER(F377), F377&gt;4, COUNTIFS($A$2:A377, A377, $B$2:B377, B377, $C$2:C377, C377, $F$2:F377, "&gt;4")=1), 1, 0)</f>
        <v>1</v>
      </c>
      <c r="I377" s="10">
        <f t="shared" si="17"/>
        <v>0</v>
      </c>
      <c r="J377" s="10"/>
      <c r="K377" s="7"/>
      <c r="L377" s="7"/>
      <c r="M377" s="7"/>
      <c r="N377" s="10"/>
      <c r="O377" s="11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.75" customHeight="1">
      <c r="A378" s="10" t="s">
        <v>19</v>
      </c>
      <c r="B378" s="7" t="s">
        <v>92</v>
      </c>
      <c r="C378" s="135">
        <v>46247</v>
      </c>
      <c r="D378" s="44" t="s">
        <v>255</v>
      </c>
      <c r="E378" s="35" t="s">
        <v>496</v>
      </c>
      <c r="F378" s="121">
        <v>8.35</v>
      </c>
      <c r="G378" s="122">
        <f t="shared" si="16"/>
        <v>0</v>
      </c>
      <c r="H378" s="123">
        <f>IF(AND(ISNUMBER(F378), F378&gt;4, COUNTIFS($A$2:A378, A378, $B$2:B378, B378, $C$2:C378, C378, $F$2:F378, "&gt;4")=1), 1, 0)</f>
        <v>1</v>
      </c>
      <c r="I378" s="10">
        <f t="shared" si="17"/>
        <v>0</v>
      </c>
      <c r="J378" s="10"/>
      <c r="K378" s="7"/>
      <c r="L378" s="7"/>
      <c r="M378" s="7"/>
      <c r="N378" s="10"/>
      <c r="O378" s="11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.75" customHeight="1">
      <c r="A379" s="10" t="s">
        <v>19</v>
      </c>
      <c r="B379" s="7" t="s">
        <v>92</v>
      </c>
      <c r="C379" s="135">
        <v>46257</v>
      </c>
      <c r="D379" s="44" t="s">
        <v>255</v>
      </c>
      <c r="E379" s="35" t="s">
        <v>479</v>
      </c>
      <c r="F379" s="121">
        <v>8.02</v>
      </c>
      <c r="G379" s="122">
        <f t="shared" si="16"/>
        <v>0</v>
      </c>
      <c r="H379" s="123">
        <f>IF(AND(ISNUMBER(F379), F379&gt;4, COUNTIFS($A$2:A379, A379, $B$2:B379, B379, $C$2:C379, C379, $F$2:F379, "&gt;4")=1), 1, 0)</f>
        <v>1</v>
      </c>
      <c r="I379" s="10">
        <f t="shared" si="17"/>
        <v>0</v>
      </c>
      <c r="J379" s="10"/>
      <c r="K379" s="7"/>
      <c r="L379" s="7"/>
      <c r="M379" s="7"/>
      <c r="N379" s="10"/>
      <c r="O379" s="11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.75" customHeight="1">
      <c r="A380" s="10" t="s">
        <v>19</v>
      </c>
      <c r="B380" s="7" t="s">
        <v>92</v>
      </c>
      <c r="C380" s="135">
        <v>46259</v>
      </c>
      <c r="D380" s="44" t="s">
        <v>255</v>
      </c>
      <c r="E380" s="35" t="s">
        <v>560</v>
      </c>
      <c r="F380" s="121">
        <v>7.05</v>
      </c>
      <c r="G380" s="122">
        <f t="shared" si="16"/>
        <v>0</v>
      </c>
      <c r="H380" s="123">
        <f>IF(AND(ISNUMBER(F380), F380&gt;4, COUNTIFS($A$2:A380, A380, $B$2:B380, B380, $C$2:C380, C380, $F$2:F380, "&gt;4")=1), 1, 0)</f>
        <v>1</v>
      </c>
      <c r="I380" s="10">
        <f t="shared" si="17"/>
        <v>0</v>
      </c>
      <c r="J380" s="10"/>
      <c r="K380" s="7"/>
      <c r="L380" s="7"/>
      <c r="M380" s="7"/>
      <c r="N380" s="10"/>
      <c r="O380" s="11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.75" customHeight="1">
      <c r="A381" s="10" t="s">
        <v>19</v>
      </c>
      <c r="B381" s="7" t="s">
        <v>92</v>
      </c>
      <c r="C381" s="135">
        <v>46261</v>
      </c>
      <c r="D381" s="44" t="s">
        <v>255</v>
      </c>
      <c r="E381" s="35" t="s">
        <v>214</v>
      </c>
      <c r="F381" s="121">
        <v>8.08</v>
      </c>
      <c r="G381" s="122">
        <f t="shared" si="16"/>
        <v>0</v>
      </c>
      <c r="H381" s="123">
        <f>IF(AND(ISNUMBER(F381), F381&gt;4, COUNTIFS($A$2:A381, A381, $B$2:B381, B381, $C$2:C381, C381, $F$2:F381, "&gt;4")=1), 1, 0)</f>
        <v>1</v>
      </c>
      <c r="I381" s="10">
        <f t="shared" si="17"/>
        <v>0</v>
      </c>
      <c r="J381" s="10"/>
      <c r="K381" s="7"/>
      <c r="L381" s="7"/>
      <c r="M381" s="7"/>
      <c r="N381" s="10"/>
      <c r="O381" s="11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.75" customHeight="1">
      <c r="A382" s="10" t="s">
        <v>19</v>
      </c>
      <c r="B382" s="7" t="s">
        <v>92</v>
      </c>
      <c r="C382" s="135">
        <v>46263</v>
      </c>
      <c r="D382" s="44" t="s">
        <v>255</v>
      </c>
      <c r="E382" s="35" t="s">
        <v>358</v>
      </c>
      <c r="F382" s="121">
        <v>6.37</v>
      </c>
      <c r="G382" s="122">
        <f t="shared" si="16"/>
        <v>0</v>
      </c>
      <c r="H382" s="123">
        <f>IF(AND(ISNUMBER(F382), F382&gt;4, COUNTIFS($A$2:A382, A382, $B$2:B382, B382, $C$2:C382, C382, $F$2:F382, "&gt;4")=1), 1, 0)</f>
        <v>1</v>
      </c>
      <c r="I382" s="10">
        <f t="shared" si="17"/>
        <v>0</v>
      </c>
      <c r="J382" s="10"/>
      <c r="K382" s="7"/>
      <c r="L382" s="7"/>
      <c r="M382" s="7"/>
      <c r="N382" s="10"/>
      <c r="O382" s="11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.75" customHeight="1">
      <c r="A383" s="10" t="s">
        <v>19</v>
      </c>
      <c r="B383" s="7" t="s">
        <v>92</v>
      </c>
      <c r="C383" s="135">
        <v>46245</v>
      </c>
      <c r="D383" s="44" t="s">
        <v>257</v>
      </c>
      <c r="E383" s="35" t="s">
        <v>199</v>
      </c>
      <c r="F383" s="121">
        <v>8</v>
      </c>
      <c r="G383" s="122">
        <f t="shared" si="16"/>
        <v>0</v>
      </c>
      <c r="H383" s="123">
        <f>IF(AND(ISNUMBER(F383), F383&gt;4, COUNTIFS($A$2:A383, A383, $B$2:B383, B383, $C$2:C383, C383, $F$2:F383, "&gt;4")=1), 1, 0)</f>
        <v>1</v>
      </c>
      <c r="I383" s="10">
        <f t="shared" si="17"/>
        <v>0</v>
      </c>
      <c r="J383" s="10"/>
      <c r="K383" s="7"/>
      <c r="L383" s="7"/>
      <c r="M383" s="7"/>
      <c r="N383" s="10"/>
      <c r="O383" s="11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.75" customHeight="1">
      <c r="A384" s="10" t="s">
        <v>19</v>
      </c>
      <c r="B384" s="7" t="s">
        <v>92</v>
      </c>
      <c r="C384" s="135">
        <v>46252</v>
      </c>
      <c r="D384" s="44" t="s">
        <v>257</v>
      </c>
      <c r="E384" s="35" t="s">
        <v>368</v>
      </c>
      <c r="F384" s="121">
        <v>5.7</v>
      </c>
      <c r="G384" s="122">
        <f t="shared" si="16"/>
        <v>0</v>
      </c>
      <c r="H384" s="123">
        <f>IF(AND(ISNUMBER(F384), F384&gt;4, COUNTIFS($A$2:A384, A384, $B$2:B384, B384, $C$2:C384, C384, $F$2:F384, "&gt;4")=1), 1, 0)</f>
        <v>1</v>
      </c>
      <c r="I384" s="10">
        <f t="shared" si="17"/>
        <v>0</v>
      </c>
      <c r="J384" s="10"/>
      <c r="K384" s="7"/>
      <c r="L384" s="7"/>
      <c r="M384" s="7"/>
      <c r="N384" s="10"/>
      <c r="O384" s="11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.75" customHeight="1">
      <c r="A385" s="10" t="s">
        <v>19</v>
      </c>
      <c r="B385" s="7" t="s">
        <v>92</v>
      </c>
      <c r="C385" s="135">
        <v>46260</v>
      </c>
      <c r="D385" s="44" t="s">
        <v>257</v>
      </c>
      <c r="E385" s="35" t="s">
        <v>561</v>
      </c>
      <c r="F385" s="121">
        <v>5.85</v>
      </c>
      <c r="G385" s="122">
        <f t="shared" si="16"/>
        <v>0</v>
      </c>
      <c r="H385" s="123">
        <f>IF(AND(ISNUMBER(F385), F385&gt;4, COUNTIFS($A$2:A385, A385, $B$2:B385, B385, $C$2:C385, C385, $F$2:F385, "&gt;4")=1), 1, 0)</f>
        <v>1</v>
      </c>
      <c r="I385" s="10">
        <f t="shared" si="17"/>
        <v>0</v>
      </c>
      <c r="J385" s="10"/>
      <c r="K385" s="7"/>
      <c r="L385" s="7"/>
      <c r="M385" s="7"/>
      <c r="N385" s="10"/>
      <c r="O385" s="11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.75" customHeight="1">
      <c r="A386" s="10" t="s">
        <v>19</v>
      </c>
      <c r="B386" s="7" t="s">
        <v>92</v>
      </c>
      <c r="C386" s="135">
        <v>46264</v>
      </c>
      <c r="D386" s="44" t="s">
        <v>257</v>
      </c>
      <c r="E386" s="35" t="s">
        <v>199</v>
      </c>
      <c r="F386" s="121">
        <v>8</v>
      </c>
      <c r="G386" s="122">
        <f t="shared" ref="G386:G449" si="18">IF(AND(ISNUMBER(F386), F386&lt;=4), 1, 0)</f>
        <v>0</v>
      </c>
      <c r="H386" s="123">
        <f>IF(AND(ISNUMBER(F386), F386&gt;4, COUNTIFS($A$2:A386, A386, $B$2:B386, B386, $C$2:C386, C386, $F$2:F386, "&gt;4")=1), 1, 0)</f>
        <v>1</v>
      </c>
      <c r="I386" s="10">
        <f t="shared" ref="I386:I449" si="19">IF(AND(ISNUMBER(F386), F386&gt;4, ISNUMBER(SEARCH("đêm", D386))), 1, 0)</f>
        <v>0</v>
      </c>
      <c r="J386" s="10"/>
      <c r="K386" s="7"/>
      <c r="L386" s="7"/>
      <c r="M386" s="7"/>
      <c r="N386" s="10"/>
      <c r="O386" s="11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.75" customHeight="1">
      <c r="A387" s="10" t="s">
        <v>19</v>
      </c>
      <c r="B387" s="7" t="s">
        <v>92</v>
      </c>
      <c r="C387" s="135">
        <v>46248</v>
      </c>
      <c r="D387" s="44" t="s">
        <v>259</v>
      </c>
      <c r="E387" s="35" t="s">
        <v>562</v>
      </c>
      <c r="F387" s="121">
        <v>7.35</v>
      </c>
      <c r="G387" s="122">
        <f t="shared" si="18"/>
        <v>0</v>
      </c>
      <c r="H387" s="123">
        <f>IF(AND(ISNUMBER(F387), F387&gt;4, COUNTIFS($A$2:A387, A387, $B$2:B387, B387, $C$2:C387, C387, $F$2:F387, "&gt;4")=1), 1, 0)</f>
        <v>1</v>
      </c>
      <c r="I387" s="10">
        <f t="shared" si="19"/>
        <v>0</v>
      </c>
      <c r="J387" s="10"/>
      <c r="K387" s="7"/>
      <c r="L387" s="7"/>
      <c r="M387" s="7"/>
      <c r="N387" s="10"/>
      <c r="O387" s="11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.75" customHeight="1">
      <c r="A388" s="10" t="s">
        <v>19</v>
      </c>
      <c r="B388" s="7" t="s">
        <v>92</v>
      </c>
      <c r="C388" s="135">
        <v>46253</v>
      </c>
      <c r="D388" s="44" t="s">
        <v>259</v>
      </c>
      <c r="E388" s="35" t="s">
        <v>563</v>
      </c>
      <c r="F388" s="121">
        <v>7.22</v>
      </c>
      <c r="G388" s="122">
        <f t="shared" si="18"/>
        <v>0</v>
      </c>
      <c r="H388" s="123">
        <f>IF(AND(ISNUMBER(F388), F388&gt;4, COUNTIFS($A$2:A388, A388, $B$2:B388, B388, $C$2:C388, C388, $F$2:F388, "&gt;4")=1), 1, 0)</f>
        <v>1</v>
      </c>
      <c r="I388" s="10">
        <f t="shared" si="19"/>
        <v>0</v>
      </c>
      <c r="J388" s="10"/>
      <c r="K388" s="7"/>
      <c r="L388" s="7"/>
      <c r="M388" s="7"/>
      <c r="N388" s="10"/>
      <c r="O388" s="11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.75" customHeight="1">
      <c r="A389" s="10" t="s">
        <v>19</v>
      </c>
      <c r="B389" s="7" t="s">
        <v>92</v>
      </c>
      <c r="C389" s="135">
        <v>46255</v>
      </c>
      <c r="D389" s="44" t="s">
        <v>259</v>
      </c>
      <c r="E389" s="35" t="s">
        <v>559</v>
      </c>
      <c r="F389" s="121">
        <v>7.43</v>
      </c>
      <c r="G389" s="122">
        <f t="shared" si="18"/>
        <v>0</v>
      </c>
      <c r="H389" s="123">
        <f>IF(AND(ISNUMBER(F389), F389&gt;4, COUNTIFS($A$2:A389, A389, $B$2:B389, B389, $C$2:C389, C389, $F$2:F389, "&gt;4")=1), 1, 0)</f>
        <v>1</v>
      </c>
      <c r="I389" s="10">
        <f t="shared" si="19"/>
        <v>0</v>
      </c>
      <c r="J389" s="10"/>
      <c r="K389" s="7"/>
      <c r="L389" s="7"/>
      <c r="M389" s="7"/>
      <c r="N389" s="10"/>
      <c r="O389" s="11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.75" customHeight="1">
      <c r="A390" s="10" t="s">
        <v>19</v>
      </c>
      <c r="B390" s="7" t="s">
        <v>92</v>
      </c>
      <c r="C390" s="135">
        <v>46258</v>
      </c>
      <c r="D390" s="44" t="s">
        <v>259</v>
      </c>
      <c r="E390" s="35" t="s">
        <v>346</v>
      </c>
      <c r="F390" s="121">
        <v>4.1500000000000004</v>
      </c>
      <c r="G390" s="122">
        <f t="shared" si="18"/>
        <v>0</v>
      </c>
      <c r="H390" s="123">
        <f>IF(AND(ISNUMBER(F390), F390&gt;4, COUNTIFS($A$2:A390, A390, $B$2:B390, B390, $C$2:C390, C390, $F$2:F390, "&gt;4")=1), 1, 0)</f>
        <v>1</v>
      </c>
      <c r="I390" s="10">
        <f t="shared" si="19"/>
        <v>0</v>
      </c>
      <c r="J390" s="10"/>
      <c r="K390" s="7"/>
      <c r="L390" s="7"/>
      <c r="M390" s="7"/>
      <c r="N390" s="10"/>
      <c r="O390" s="11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.75" customHeight="1">
      <c r="A391" s="10" t="s">
        <v>19</v>
      </c>
      <c r="B391" s="7" t="s">
        <v>92</v>
      </c>
      <c r="C391" s="135">
        <v>46265</v>
      </c>
      <c r="D391" s="44" t="s">
        <v>261</v>
      </c>
      <c r="E391" s="35" t="s">
        <v>262</v>
      </c>
      <c r="F391" s="121">
        <v>7.08</v>
      </c>
      <c r="G391" s="122">
        <f t="shared" si="18"/>
        <v>0</v>
      </c>
      <c r="H391" s="123">
        <f>IF(AND(ISNUMBER(F391), F391&gt;4, COUNTIFS($A$2:A391, A391, $B$2:B391, B391, $C$2:C391, C391, $F$2:F391, "&gt;4")=1), 1, 0)</f>
        <v>1</v>
      </c>
      <c r="I391" s="10">
        <f t="shared" si="19"/>
        <v>1</v>
      </c>
      <c r="J391" s="10"/>
      <c r="K391" s="7"/>
      <c r="L391" s="7"/>
      <c r="M391" s="7"/>
      <c r="N391" s="10"/>
      <c r="O391" s="11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.75" customHeight="1">
      <c r="A392" s="10" t="s">
        <v>21</v>
      </c>
      <c r="B392" s="7" t="s">
        <v>92</v>
      </c>
      <c r="C392" s="135">
        <v>46251</v>
      </c>
      <c r="D392" s="44" t="s">
        <v>263</v>
      </c>
      <c r="E392" s="35" t="s">
        <v>264</v>
      </c>
      <c r="F392" s="121">
        <v>5.97</v>
      </c>
      <c r="G392" s="122">
        <f t="shared" si="18"/>
        <v>0</v>
      </c>
      <c r="H392" s="123">
        <f>IF(AND(ISNUMBER(F392), F392&gt;4, COUNTIFS($A$2:A392, A392, $B$2:B392, B392, $C$2:C392, C392, $F$2:F392, "&gt;4")=1), 1, 0)</f>
        <v>1</v>
      </c>
      <c r="I392" s="10">
        <f t="shared" si="19"/>
        <v>0</v>
      </c>
      <c r="J392" s="10"/>
      <c r="K392" s="7"/>
      <c r="L392" s="7"/>
      <c r="M392" s="7"/>
      <c r="N392" s="10"/>
      <c r="O392" s="11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.75" customHeight="1">
      <c r="A393" s="10" t="s">
        <v>21</v>
      </c>
      <c r="B393" s="7" t="s">
        <v>92</v>
      </c>
      <c r="C393" s="135">
        <v>46262</v>
      </c>
      <c r="D393" s="44" t="s">
        <v>265</v>
      </c>
      <c r="E393" s="35" t="s">
        <v>266</v>
      </c>
      <c r="F393" s="121">
        <v>5.45</v>
      </c>
      <c r="G393" s="122">
        <f t="shared" si="18"/>
        <v>0</v>
      </c>
      <c r="H393" s="123">
        <f>IF(AND(ISNUMBER(F393), F393&gt;4, COUNTIFS($A$2:A393, A393, $B$2:B393, B393, $C$2:C393, C393, $F$2:F393, "&gt;4")=1), 1, 0)</f>
        <v>1</v>
      </c>
      <c r="I393" s="10">
        <f t="shared" si="19"/>
        <v>0</v>
      </c>
      <c r="J393" s="10"/>
      <c r="K393" s="7"/>
      <c r="L393" s="7"/>
      <c r="M393" s="7"/>
      <c r="N393" s="10"/>
      <c r="O393" s="11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.75" customHeight="1">
      <c r="A394" s="10" t="s">
        <v>22</v>
      </c>
      <c r="B394" s="7" t="s">
        <v>92</v>
      </c>
      <c r="C394" s="135">
        <v>46235</v>
      </c>
      <c r="D394" s="44" t="s">
        <v>267</v>
      </c>
      <c r="E394" s="35" t="s">
        <v>262</v>
      </c>
      <c r="F394" s="121">
        <v>7.08</v>
      </c>
      <c r="G394" s="122">
        <f t="shared" si="18"/>
        <v>0</v>
      </c>
      <c r="H394" s="123">
        <f>IF(AND(ISNUMBER(F394), F394&gt;4, COUNTIFS($A$2:A394, A394, $B$2:B394, B394, $C$2:C394, C394, $F$2:F394, "&gt;4")=1), 1, 0)</f>
        <v>1</v>
      </c>
      <c r="I394" s="10">
        <f t="shared" si="19"/>
        <v>1</v>
      </c>
      <c r="J394" s="10"/>
      <c r="K394" s="7"/>
      <c r="L394" s="7"/>
      <c r="M394" s="7"/>
      <c r="N394" s="10"/>
      <c r="O394" s="11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.75" customHeight="1">
      <c r="A395" s="10" t="s">
        <v>23</v>
      </c>
      <c r="B395" s="7" t="s">
        <v>92</v>
      </c>
      <c r="C395" s="135">
        <v>46254</v>
      </c>
      <c r="D395" s="44" t="s">
        <v>200</v>
      </c>
      <c r="E395" s="35" t="s">
        <v>499</v>
      </c>
      <c r="F395" s="121">
        <v>8.15</v>
      </c>
      <c r="G395" s="122">
        <f t="shared" si="18"/>
        <v>0</v>
      </c>
      <c r="H395" s="123">
        <f>IF(AND(ISNUMBER(F395), F395&gt;4, COUNTIFS($A$2:A395, A395, $B$2:B395, B395, $C$2:C395, C395, $F$2:F395, "&gt;4")=1), 1, 0)</f>
        <v>1</v>
      </c>
      <c r="I395" s="10">
        <f t="shared" si="19"/>
        <v>0</v>
      </c>
      <c r="J395" s="10"/>
      <c r="K395" s="7"/>
      <c r="L395" s="7"/>
      <c r="M395" s="7"/>
      <c r="N395" s="10"/>
      <c r="O395" s="11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.75" customHeight="1">
      <c r="A396" s="10" t="s">
        <v>23</v>
      </c>
      <c r="B396" s="7" t="s">
        <v>92</v>
      </c>
      <c r="C396" s="135">
        <v>46255</v>
      </c>
      <c r="D396" s="44" t="s">
        <v>200</v>
      </c>
      <c r="E396" s="35" t="s">
        <v>564</v>
      </c>
      <c r="F396" s="121">
        <v>8.57</v>
      </c>
      <c r="G396" s="122">
        <f t="shared" si="18"/>
        <v>0</v>
      </c>
      <c r="H396" s="123">
        <f>IF(AND(ISNUMBER(F396), F396&gt;4, COUNTIFS($A$2:A396, A396, $B$2:B396, B396, $C$2:C396, C396, $F$2:F396, "&gt;4")=1), 1, 0)</f>
        <v>1</v>
      </c>
      <c r="I396" s="10">
        <f t="shared" si="19"/>
        <v>0</v>
      </c>
      <c r="J396" s="10"/>
      <c r="K396" s="7"/>
      <c r="L396" s="7"/>
      <c r="M396" s="7"/>
      <c r="N396" s="10"/>
      <c r="O396" s="11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.75" customHeight="1">
      <c r="A397" s="10" t="s">
        <v>23</v>
      </c>
      <c r="B397" s="7" t="s">
        <v>92</v>
      </c>
      <c r="C397" s="135">
        <v>46250</v>
      </c>
      <c r="D397" s="44" t="s">
        <v>204</v>
      </c>
      <c r="E397" s="35" t="s">
        <v>481</v>
      </c>
      <c r="F397" s="121">
        <v>7.98</v>
      </c>
      <c r="G397" s="122">
        <f t="shared" si="18"/>
        <v>0</v>
      </c>
      <c r="H397" s="123">
        <f>IF(AND(ISNUMBER(F397), F397&gt;4, COUNTIFS($A$2:A397, A397, $B$2:B397, B397, $C$2:C397, C397, $F$2:F397, "&gt;4")=1), 1, 0)</f>
        <v>1</v>
      </c>
      <c r="I397" s="10">
        <f t="shared" si="19"/>
        <v>0</v>
      </c>
      <c r="J397" s="10"/>
      <c r="K397" s="7"/>
      <c r="L397" s="7"/>
      <c r="M397" s="7"/>
      <c r="N397" s="10"/>
      <c r="O397" s="11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.75" customHeight="1">
      <c r="A398" s="10" t="s">
        <v>23</v>
      </c>
      <c r="B398" s="7" t="s">
        <v>92</v>
      </c>
      <c r="C398" s="135">
        <v>46256</v>
      </c>
      <c r="D398" s="44" t="s">
        <v>204</v>
      </c>
      <c r="E398" s="35" t="s">
        <v>199</v>
      </c>
      <c r="F398" s="121">
        <v>8</v>
      </c>
      <c r="G398" s="122">
        <f t="shared" si="18"/>
        <v>0</v>
      </c>
      <c r="H398" s="123">
        <f>IF(AND(ISNUMBER(F398), F398&gt;4, COUNTIFS($A$2:A398, A398, $B$2:B398, B398, $C$2:C398, C398, $F$2:F398, "&gt;4")=1), 1, 0)</f>
        <v>1</v>
      </c>
      <c r="I398" s="10">
        <f t="shared" si="19"/>
        <v>0</v>
      </c>
      <c r="J398" s="10"/>
      <c r="K398" s="7"/>
      <c r="L398" s="7"/>
      <c r="M398" s="7"/>
      <c r="N398" s="10"/>
      <c r="O398" s="11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.75" customHeight="1">
      <c r="A399" s="10" t="s">
        <v>18</v>
      </c>
      <c r="B399" s="7" t="s">
        <v>93</v>
      </c>
      <c r="C399" s="135">
        <v>46240</v>
      </c>
      <c r="D399" s="44" t="s">
        <v>249</v>
      </c>
      <c r="E399" s="35" t="s">
        <v>565</v>
      </c>
      <c r="F399" s="121">
        <v>4.7</v>
      </c>
      <c r="G399" s="122">
        <f t="shared" si="18"/>
        <v>0</v>
      </c>
      <c r="H399" s="123">
        <f>IF(AND(ISNUMBER(F399), F399&gt;4, COUNTIFS($A$2:A399, A399, $B$2:B399, B399, $C$2:C399, C399, $F$2:F399, "&gt;4")=1), 1, 0)</f>
        <v>1</v>
      </c>
      <c r="I399" s="10">
        <f t="shared" si="19"/>
        <v>0</v>
      </c>
      <c r="J399" s="10"/>
      <c r="K399" s="7"/>
      <c r="L399" s="7"/>
      <c r="M399" s="7"/>
      <c r="N399" s="10"/>
      <c r="O399" s="11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.75" customHeight="1">
      <c r="A400" s="10" t="s">
        <v>18</v>
      </c>
      <c r="B400" s="7" t="s">
        <v>93</v>
      </c>
      <c r="C400" s="135">
        <v>46241</v>
      </c>
      <c r="D400" s="44" t="s">
        <v>249</v>
      </c>
      <c r="E400" s="35" t="s">
        <v>501</v>
      </c>
      <c r="F400" s="121">
        <v>8.2200000000000006</v>
      </c>
      <c r="G400" s="122">
        <f t="shared" si="18"/>
        <v>0</v>
      </c>
      <c r="H400" s="123">
        <f>IF(AND(ISNUMBER(F400), F400&gt;4, COUNTIFS($A$2:A400, A400, $B$2:B400, B400, $C$2:C400, C400, $F$2:F400, "&gt;4")=1), 1, 0)</f>
        <v>1</v>
      </c>
      <c r="I400" s="10">
        <f t="shared" si="19"/>
        <v>0</v>
      </c>
      <c r="J400" s="10"/>
      <c r="K400" s="7"/>
      <c r="L400" s="7"/>
      <c r="M400" s="7"/>
      <c r="N400" s="10"/>
      <c r="O400" s="11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.75" customHeight="1">
      <c r="A401" s="10" t="s">
        <v>18</v>
      </c>
      <c r="B401" s="7" t="s">
        <v>93</v>
      </c>
      <c r="C401" s="135">
        <v>46242</v>
      </c>
      <c r="D401" s="44" t="s">
        <v>249</v>
      </c>
      <c r="E401" s="35" t="s">
        <v>490</v>
      </c>
      <c r="F401" s="121">
        <v>8.23</v>
      </c>
      <c r="G401" s="122">
        <f t="shared" si="18"/>
        <v>0</v>
      </c>
      <c r="H401" s="123">
        <f>IF(AND(ISNUMBER(F401), F401&gt;4, COUNTIFS($A$2:A401, A401, $B$2:B401, B401, $C$2:C401, C401, $F$2:F401, "&gt;4")=1), 1, 0)</f>
        <v>1</v>
      </c>
      <c r="I401" s="10">
        <f t="shared" si="19"/>
        <v>0</v>
      </c>
      <c r="J401" s="10"/>
      <c r="K401" s="7"/>
      <c r="L401" s="7"/>
      <c r="M401" s="7"/>
      <c r="N401" s="10"/>
      <c r="O401" s="11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.75" customHeight="1">
      <c r="A402" s="10" t="s">
        <v>18</v>
      </c>
      <c r="B402" s="7" t="s">
        <v>93</v>
      </c>
      <c r="C402" s="135">
        <v>46243</v>
      </c>
      <c r="D402" s="44" t="s">
        <v>249</v>
      </c>
      <c r="E402" s="35" t="s">
        <v>566</v>
      </c>
      <c r="F402" s="121">
        <v>8.9</v>
      </c>
      <c r="G402" s="122">
        <f t="shared" si="18"/>
        <v>0</v>
      </c>
      <c r="H402" s="123">
        <f>IF(AND(ISNUMBER(F402), F402&gt;4, COUNTIFS($A$2:A402, A402, $B$2:B402, B402, $C$2:C402, C402, $F$2:F402, "&gt;4")=1), 1, 0)</f>
        <v>1</v>
      </c>
      <c r="I402" s="10">
        <f t="shared" si="19"/>
        <v>0</v>
      </c>
      <c r="J402" s="10"/>
      <c r="K402" s="7"/>
      <c r="L402" s="7"/>
      <c r="M402" s="7"/>
      <c r="N402" s="10"/>
      <c r="O402" s="11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.75" customHeight="1">
      <c r="A403" s="10" t="s">
        <v>18</v>
      </c>
      <c r="B403" s="7" t="s">
        <v>93</v>
      </c>
      <c r="C403" s="135">
        <v>46239</v>
      </c>
      <c r="D403" s="44" t="s">
        <v>215</v>
      </c>
      <c r="E403" s="35" t="s">
        <v>564</v>
      </c>
      <c r="F403" s="121">
        <v>8.57</v>
      </c>
      <c r="G403" s="122">
        <f t="shared" si="18"/>
        <v>0</v>
      </c>
      <c r="H403" s="123">
        <f>IF(AND(ISNUMBER(F403), F403&gt;4, COUNTIFS($A$2:A403, A403, $B$2:B403, B403, $C$2:C403, C403, $F$2:F403, "&gt;4")=1), 1, 0)</f>
        <v>1</v>
      </c>
      <c r="I403" s="10">
        <f t="shared" si="19"/>
        <v>0</v>
      </c>
      <c r="J403" s="10"/>
      <c r="K403" s="7"/>
      <c r="L403" s="7"/>
      <c r="M403" s="7"/>
      <c r="N403" s="10"/>
      <c r="O403" s="11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.75" customHeight="1">
      <c r="A404" s="10" t="s">
        <v>18</v>
      </c>
      <c r="B404" s="7" t="s">
        <v>93</v>
      </c>
      <c r="C404" s="135">
        <v>46252</v>
      </c>
      <c r="D404" s="44" t="s">
        <v>215</v>
      </c>
      <c r="E404" s="35" t="s">
        <v>567</v>
      </c>
      <c r="F404" s="121">
        <v>9.7799999999999994</v>
      </c>
      <c r="G404" s="122">
        <f t="shared" si="18"/>
        <v>0</v>
      </c>
      <c r="H404" s="123">
        <f>IF(AND(ISNUMBER(F404), F404&gt;4, COUNTIFS($A$2:A404, A404, $B$2:B404, B404, $C$2:C404, C404, $F$2:F404, "&gt;4")=1), 1, 0)</f>
        <v>1</v>
      </c>
      <c r="I404" s="10">
        <f t="shared" si="19"/>
        <v>0</v>
      </c>
      <c r="J404" s="10"/>
      <c r="K404" s="7"/>
      <c r="L404" s="7"/>
      <c r="M404" s="7"/>
      <c r="N404" s="10"/>
      <c r="O404" s="11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.75" customHeight="1">
      <c r="A405" s="10" t="s">
        <v>18</v>
      </c>
      <c r="B405" s="7" t="s">
        <v>93</v>
      </c>
      <c r="C405" s="135">
        <v>46253</v>
      </c>
      <c r="D405" s="44" t="s">
        <v>215</v>
      </c>
      <c r="E405" s="35" t="s">
        <v>568</v>
      </c>
      <c r="F405" s="121">
        <v>9.93</v>
      </c>
      <c r="G405" s="122">
        <f t="shared" si="18"/>
        <v>0</v>
      </c>
      <c r="H405" s="123">
        <f>IF(AND(ISNUMBER(F405), F405&gt;4, COUNTIFS($A$2:A405, A405, $B$2:B405, B405, $C$2:C405, C405, $F$2:F405, "&gt;4")=1), 1, 0)</f>
        <v>1</v>
      </c>
      <c r="I405" s="10">
        <f t="shared" si="19"/>
        <v>0</v>
      </c>
      <c r="J405" s="10"/>
      <c r="K405" s="7"/>
      <c r="L405" s="7"/>
      <c r="M405" s="7"/>
      <c r="N405" s="10"/>
      <c r="O405" s="11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.75" customHeight="1">
      <c r="A406" s="10" t="s">
        <v>18</v>
      </c>
      <c r="B406" s="7" t="s">
        <v>93</v>
      </c>
      <c r="C406" s="135">
        <v>46254</v>
      </c>
      <c r="D406" s="44" t="s">
        <v>215</v>
      </c>
      <c r="E406" s="35" t="s">
        <v>569</v>
      </c>
      <c r="F406" s="121">
        <v>11.25</v>
      </c>
      <c r="G406" s="122">
        <f t="shared" si="18"/>
        <v>0</v>
      </c>
      <c r="H406" s="123">
        <f>IF(AND(ISNUMBER(F406), F406&gt;4, COUNTIFS($A$2:A406, A406, $B$2:B406, B406, $C$2:C406, C406, $F$2:F406, "&gt;4")=1), 1, 0)</f>
        <v>1</v>
      </c>
      <c r="I406" s="10">
        <f t="shared" si="19"/>
        <v>0</v>
      </c>
      <c r="J406" s="10"/>
      <c r="K406" s="7"/>
      <c r="L406" s="7"/>
      <c r="M406" s="7"/>
      <c r="N406" s="10"/>
      <c r="O406" s="11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.75" customHeight="1">
      <c r="A407" s="10" t="s">
        <v>18</v>
      </c>
      <c r="B407" s="7" t="s">
        <v>93</v>
      </c>
      <c r="C407" s="135">
        <v>46255</v>
      </c>
      <c r="D407" s="44" t="s">
        <v>215</v>
      </c>
      <c r="E407" s="35" t="s">
        <v>504</v>
      </c>
      <c r="F407" s="121">
        <v>8.18</v>
      </c>
      <c r="G407" s="122">
        <f t="shared" si="18"/>
        <v>0</v>
      </c>
      <c r="H407" s="123">
        <f>IF(AND(ISNUMBER(F407), F407&gt;4, COUNTIFS($A$2:A407, A407, $B$2:B407, B407, $C$2:C407, C407, $F$2:F407, "&gt;4")=1), 1, 0)</f>
        <v>1</v>
      </c>
      <c r="I407" s="10">
        <f t="shared" si="19"/>
        <v>0</v>
      </c>
      <c r="J407" s="10"/>
      <c r="K407" s="7"/>
      <c r="L407" s="7"/>
      <c r="M407" s="7"/>
      <c r="N407" s="10"/>
      <c r="O407" s="11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.75" customHeight="1">
      <c r="A408" s="10" t="s">
        <v>18</v>
      </c>
      <c r="B408" s="7" t="s">
        <v>93</v>
      </c>
      <c r="C408" s="135">
        <v>46256</v>
      </c>
      <c r="D408" s="44" t="s">
        <v>215</v>
      </c>
      <c r="E408" s="35" t="s">
        <v>570</v>
      </c>
      <c r="F408" s="121">
        <v>11.07</v>
      </c>
      <c r="G408" s="122">
        <f t="shared" si="18"/>
        <v>0</v>
      </c>
      <c r="H408" s="123">
        <f>IF(AND(ISNUMBER(F408), F408&gt;4, COUNTIFS($A$2:A408, A408, $B$2:B408, B408, $C$2:C408, C408, $F$2:F408, "&gt;4")=1), 1, 0)</f>
        <v>1</v>
      </c>
      <c r="I408" s="10">
        <f t="shared" si="19"/>
        <v>0</v>
      </c>
      <c r="J408" s="10"/>
      <c r="K408" s="7"/>
      <c r="L408" s="7"/>
      <c r="M408" s="7"/>
      <c r="N408" s="10"/>
      <c r="O408" s="11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.75" customHeight="1">
      <c r="A409" s="10" t="s">
        <v>18</v>
      </c>
      <c r="B409" s="7" t="s">
        <v>93</v>
      </c>
      <c r="C409" s="135">
        <v>46257</v>
      </c>
      <c r="D409" s="44" t="s">
        <v>215</v>
      </c>
      <c r="E409" s="35" t="s">
        <v>571</v>
      </c>
      <c r="F409" s="121">
        <v>12.23</v>
      </c>
      <c r="G409" s="122">
        <f t="shared" si="18"/>
        <v>0</v>
      </c>
      <c r="H409" s="123">
        <f>IF(AND(ISNUMBER(F409), F409&gt;4, COUNTIFS($A$2:A409, A409, $B$2:B409, B409, $C$2:C409, C409, $F$2:F409, "&gt;4")=1), 1, 0)</f>
        <v>1</v>
      </c>
      <c r="I409" s="10">
        <f t="shared" si="19"/>
        <v>0</v>
      </c>
      <c r="J409" s="10"/>
      <c r="K409" s="7"/>
      <c r="L409" s="7"/>
      <c r="M409" s="7"/>
      <c r="N409" s="10"/>
      <c r="O409" s="11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.75" customHeight="1">
      <c r="A410" s="10" t="s">
        <v>18</v>
      </c>
      <c r="B410" s="7" t="s">
        <v>93</v>
      </c>
      <c r="C410" s="135">
        <v>46240</v>
      </c>
      <c r="D410" s="44" t="s">
        <v>228</v>
      </c>
      <c r="E410" s="35" t="s">
        <v>572</v>
      </c>
      <c r="F410" s="121">
        <v>5.67</v>
      </c>
      <c r="G410" s="122">
        <f t="shared" si="18"/>
        <v>0</v>
      </c>
      <c r="H410" s="123">
        <f>IF(AND(ISNUMBER(F410), F410&gt;4, COUNTIFS($A$2:A410, A410, $B$2:B410, B410, $C$2:C410, C410, $F$2:F410, "&gt;4")=1), 1, 0)</f>
        <v>0</v>
      </c>
      <c r="I410" s="10">
        <f t="shared" si="19"/>
        <v>0</v>
      </c>
      <c r="J410" s="10"/>
      <c r="K410" s="7"/>
      <c r="L410" s="7"/>
      <c r="M410" s="7"/>
      <c r="N410" s="10"/>
      <c r="O410" s="11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.75" customHeight="1">
      <c r="A411" s="10" t="s">
        <v>18</v>
      </c>
      <c r="B411" s="7" t="s">
        <v>93</v>
      </c>
      <c r="C411" s="135">
        <v>46241</v>
      </c>
      <c r="D411" s="44" t="s">
        <v>228</v>
      </c>
      <c r="E411" s="35" t="s">
        <v>573</v>
      </c>
      <c r="F411" s="121">
        <v>5.33</v>
      </c>
      <c r="G411" s="122">
        <f t="shared" si="18"/>
        <v>0</v>
      </c>
      <c r="H411" s="123">
        <f>IF(AND(ISNUMBER(F411), F411&gt;4, COUNTIFS($A$2:A411, A411, $B$2:B411, B411, $C$2:C411, C411, $F$2:F411, "&gt;4")=1), 1, 0)</f>
        <v>0</v>
      </c>
      <c r="I411" s="10">
        <f t="shared" si="19"/>
        <v>0</v>
      </c>
      <c r="J411" s="10"/>
      <c r="K411" s="7"/>
      <c r="L411" s="7"/>
      <c r="M411" s="7"/>
      <c r="N411" s="10"/>
      <c r="O411" s="11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.75" customHeight="1">
      <c r="A412" s="10" t="s">
        <v>18</v>
      </c>
      <c r="B412" s="7" t="s">
        <v>93</v>
      </c>
      <c r="C412" s="135">
        <v>46235</v>
      </c>
      <c r="D412" s="44" t="s">
        <v>198</v>
      </c>
      <c r="E412" s="35" t="s">
        <v>504</v>
      </c>
      <c r="F412" s="121">
        <v>8.18</v>
      </c>
      <c r="G412" s="122">
        <f t="shared" si="18"/>
        <v>0</v>
      </c>
      <c r="H412" s="123">
        <f>IF(AND(ISNUMBER(F412), F412&gt;4, COUNTIFS($A$2:A412, A412, $B$2:B412, B412, $C$2:C412, C412, $F$2:F412, "&gt;4")=1), 1, 0)</f>
        <v>1</v>
      </c>
      <c r="I412" s="10">
        <f t="shared" si="19"/>
        <v>0</v>
      </c>
      <c r="J412" s="10"/>
      <c r="K412" s="7"/>
      <c r="L412" s="7"/>
      <c r="M412" s="7"/>
      <c r="N412" s="10"/>
      <c r="O412" s="11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.75" customHeight="1">
      <c r="A413" s="10" t="s">
        <v>18</v>
      </c>
      <c r="B413" s="7" t="s">
        <v>93</v>
      </c>
      <c r="C413" s="135">
        <v>46236</v>
      </c>
      <c r="D413" s="44" t="s">
        <v>198</v>
      </c>
      <c r="E413" s="35" t="s">
        <v>502</v>
      </c>
      <c r="F413" s="121">
        <v>8.17</v>
      </c>
      <c r="G413" s="122">
        <f t="shared" si="18"/>
        <v>0</v>
      </c>
      <c r="H413" s="123">
        <f>IF(AND(ISNUMBER(F413), F413&gt;4, COUNTIFS($A$2:A413, A413, $B$2:B413, B413, $C$2:C413, C413, $F$2:F413, "&gt;4")=1), 1, 0)</f>
        <v>1</v>
      </c>
      <c r="I413" s="10">
        <f t="shared" si="19"/>
        <v>0</v>
      </c>
      <c r="J413" s="10"/>
      <c r="K413" s="7"/>
      <c r="L413" s="7"/>
      <c r="M413" s="7"/>
      <c r="N413" s="10"/>
      <c r="O413" s="11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.75" customHeight="1">
      <c r="A414" s="10" t="s">
        <v>18</v>
      </c>
      <c r="B414" s="7" t="s">
        <v>93</v>
      </c>
      <c r="C414" s="135">
        <v>46237</v>
      </c>
      <c r="D414" s="44" t="s">
        <v>198</v>
      </c>
      <c r="E414" s="35" t="s">
        <v>499</v>
      </c>
      <c r="F414" s="121">
        <v>8.15</v>
      </c>
      <c r="G414" s="122">
        <f t="shared" si="18"/>
        <v>0</v>
      </c>
      <c r="H414" s="123">
        <f>IF(AND(ISNUMBER(F414), F414&gt;4, COUNTIFS($A$2:A414, A414, $B$2:B414, B414, $C$2:C414, C414, $F$2:F414, "&gt;4")=1), 1, 0)</f>
        <v>1</v>
      </c>
      <c r="I414" s="10">
        <f t="shared" si="19"/>
        <v>0</v>
      </c>
      <c r="J414" s="10"/>
      <c r="K414" s="7"/>
      <c r="L414" s="7"/>
      <c r="M414" s="7"/>
      <c r="N414" s="10"/>
      <c r="O414" s="11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.75" customHeight="1">
      <c r="A415" s="10" t="s">
        <v>18</v>
      </c>
      <c r="B415" s="7" t="s">
        <v>93</v>
      </c>
      <c r="C415" s="135">
        <v>46238</v>
      </c>
      <c r="D415" s="44" t="s">
        <v>198</v>
      </c>
      <c r="E415" s="35" t="s">
        <v>515</v>
      </c>
      <c r="F415" s="121">
        <v>8.27</v>
      </c>
      <c r="G415" s="122">
        <f t="shared" si="18"/>
        <v>0</v>
      </c>
      <c r="H415" s="123">
        <f>IF(AND(ISNUMBER(F415), F415&gt;4, COUNTIFS($A$2:A415, A415, $B$2:B415, B415, $C$2:C415, C415, $F$2:F415, "&gt;4")=1), 1, 0)</f>
        <v>1</v>
      </c>
      <c r="I415" s="10">
        <f t="shared" si="19"/>
        <v>0</v>
      </c>
      <c r="J415" s="10"/>
      <c r="K415" s="7"/>
      <c r="L415" s="7"/>
      <c r="M415" s="7"/>
      <c r="N415" s="10"/>
      <c r="O415" s="11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.75" customHeight="1">
      <c r="A416" s="10" t="s">
        <v>18</v>
      </c>
      <c r="B416" s="7" t="s">
        <v>93</v>
      </c>
      <c r="C416" s="135">
        <v>46242</v>
      </c>
      <c r="D416" s="44" t="s">
        <v>198</v>
      </c>
      <c r="E416" s="35" t="s">
        <v>409</v>
      </c>
      <c r="F416" s="121">
        <v>7.93</v>
      </c>
      <c r="G416" s="122">
        <f t="shared" si="18"/>
        <v>0</v>
      </c>
      <c r="H416" s="123">
        <f>IF(AND(ISNUMBER(F416), F416&gt;4, COUNTIFS($A$2:A416, A416, $B$2:B416, B416, $C$2:C416, C416, $F$2:F416, "&gt;4")=1), 1, 0)</f>
        <v>0</v>
      </c>
      <c r="I416" s="10">
        <f t="shared" si="19"/>
        <v>0</v>
      </c>
      <c r="J416" s="10"/>
      <c r="K416" s="7"/>
      <c r="L416" s="7"/>
      <c r="M416" s="7"/>
      <c r="N416" s="10"/>
      <c r="O416" s="11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.75" customHeight="1">
      <c r="A417" s="10" t="s">
        <v>18</v>
      </c>
      <c r="B417" s="7" t="s">
        <v>93</v>
      </c>
      <c r="C417" s="135">
        <v>46244</v>
      </c>
      <c r="D417" s="44" t="s">
        <v>198</v>
      </c>
      <c r="E417" s="35" t="s">
        <v>479</v>
      </c>
      <c r="F417" s="121">
        <v>8.02</v>
      </c>
      <c r="G417" s="122">
        <f t="shared" si="18"/>
        <v>0</v>
      </c>
      <c r="H417" s="123">
        <f>IF(AND(ISNUMBER(F417), F417&gt;4, COUNTIFS($A$2:A417, A417, $B$2:B417, B417, $C$2:C417, C417, $F$2:F417, "&gt;4")=1), 1, 0)</f>
        <v>1</v>
      </c>
      <c r="I417" s="10">
        <f t="shared" si="19"/>
        <v>0</v>
      </c>
      <c r="J417" s="10"/>
      <c r="K417" s="7"/>
      <c r="L417" s="7"/>
      <c r="M417" s="7"/>
      <c r="N417" s="10"/>
      <c r="O417" s="11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.75" customHeight="1">
      <c r="A418" s="10" t="s">
        <v>18</v>
      </c>
      <c r="B418" s="7" t="s">
        <v>93</v>
      </c>
      <c r="C418" s="135">
        <v>46245</v>
      </c>
      <c r="D418" s="44" t="s">
        <v>198</v>
      </c>
      <c r="E418" s="35" t="s">
        <v>288</v>
      </c>
      <c r="F418" s="121">
        <v>8.0500000000000007</v>
      </c>
      <c r="G418" s="122">
        <f t="shared" si="18"/>
        <v>0</v>
      </c>
      <c r="H418" s="123">
        <f>IF(AND(ISNUMBER(F418), F418&gt;4, COUNTIFS($A$2:A418, A418, $B$2:B418, B418, $C$2:C418, C418, $F$2:F418, "&gt;4")=1), 1, 0)</f>
        <v>1</v>
      </c>
      <c r="I418" s="10">
        <f t="shared" si="19"/>
        <v>0</v>
      </c>
      <c r="J418" s="10"/>
      <c r="K418" s="7"/>
      <c r="L418" s="7"/>
      <c r="M418" s="7"/>
      <c r="N418" s="10"/>
      <c r="O418" s="11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.75" customHeight="1">
      <c r="A419" s="10" t="s">
        <v>18</v>
      </c>
      <c r="B419" s="7" t="s">
        <v>93</v>
      </c>
      <c r="C419" s="135">
        <v>46246</v>
      </c>
      <c r="D419" s="44" t="s">
        <v>198</v>
      </c>
      <c r="E419" s="35" t="s">
        <v>490</v>
      </c>
      <c r="F419" s="121">
        <v>8.23</v>
      </c>
      <c r="G419" s="122">
        <f t="shared" si="18"/>
        <v>0</v>
      </c>
      <c r="H419" s="123">
        <f>IF(AND(ISNUMBER(F419), F419&gt;4, COUNTIFS($A$2:A419, A419, $B$2:B419, B419, $C$2:C419, C419, $F$2:F419, "&gt;4")=1), 1, 0)</f>
        <v>1</v>
      </c>
      <c r="I419" s="10">
        <f t="shared" si="19"/>
        <v>0</v>
      </c>
      <c r="J419" s="10"/>
      <c r="K419" s="7"/>
      <c r="L419" s="7"/>
      <c r="M419" s="7"/>
      <c r="N419" s="10"/>
      <c r="O419" s="11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.75" customHeight="1">
      <c r="A420" s="10" t="s">
        <v>18</v>
      </c>
      <c r="B420" s="7" t="s">
        <v>93</v>
      </c>
      <c r="C420" s="135">
        <v>46247</v>
      </c>
      <c r="D420" s="44" t="s">
        <v>198</v>
      </c>
      <c r="E420" s="35" t="s">
        <v>214</v>
      </c>
      <c r="F420" s="121">
        <v>8.08</v>
      </c>
      <c r="G420" s="122">
        <f t="shared" si="18"/>
        <v>0</v>
      </c>
      <c r="H420" s="123">
        <f>IF(AND(ISNUMBER(F420), F420&gt;4, COUNTIFS($A$2:A420, A420, $B$2:B420, B420, $C$2:C420, C420, $F$2:F420, "&gt;4")=1), 1, 0)</f>
        <v>1</v>
      </c>
      <c r="I420" s="10">
        <f t="shared" si="19"/>
        <v>0</v>
      </c>
      <c r="J420" s="10"/>
      <c r="K420" s="7"/>
      <c r="L420" s="7"/>
      <c r="M420" s="7"/>
      <c r="N420" s="10"/>
      <c r="O420" s="11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.75" customHeight="1">
      <c r="A421" s="10" t="s">
        <v>18</v>
      </c>
      <c r="B421" s="7" t="s">
        <v>93</v>
      </c>
      <c r="C421" s="135">
        <v>46248</v>
      </c>
      <c r="D421" s="44" t="s">
        <v>198</v>
      </c>
      <c r="E421" s="35" t="s">
        <v>329</v>
      </c>
      <c r="F421" s="121">
        <v>8.0299999999999994</v>
      </c>
      <c r="G421" s="122">
        <f t="shared" si="18"/>
        <v>0</v>
      </c>
      <c r="H421" s="123">
        <f>IF(AND(ISNUMBER(F421), F421&gt;4, COUNTIFS($A$2:A421, A421, $B$2:B421, B421, $C$2:C421, C421, $F$2:F421, "&gt;4")=1), 1, 0)</f>
        <v>1</v>
      </c>
      <c r="I421" s="10">
        <f t="shared" si="19"/>
        <v>0</v>
      </c>
      <c r="J421" s="10"/>
      <c r="K421" s="7"/>
      <c r="L421" s="7"/>
      <c r="M421" s="7"/>
      <c r="N421" s="10"/>
      <c r="O421" s="11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.75" customHeight="1">
      <c r="A422" s="10" t="s">
        <v>18</v>
      </c>
      <c r="B422" s="7" t="s">
        <v>93</v>
      </c>
      <c r="C422" s="135">
        <v>46250</v>
      </c>
      <c r="D422" s="44" t="s">
        <v>198</v>
      </c>
      <c r="E422" s="35" t="s">
        <v>479</v>
      </c>
      <c r="F422" s="121">
        <v>8.02</v>
      </c>
      <c r="G422" s="122">
        <f t="shared" si="18"/>
        <v>0</v>
      </c>
      <c r="H422" s="123">
        <f>IF(AND(ISNUMBER(F422), F422&gt;4, COUNTIFS($A$2:A422, A422, $B$2:B422, B422, $C$2:C422, C422, $F$2:F422, "&gt;4")=1), 1, 0)</f>
        <v>1</v>
      </c>
      <c r="I422" s="10">
        <f t="shared" si="19"/>
        <v>0</v>
      </c>
      <c r="J422" s="10"/>
      <c r="K422" s="7"/>
      <c r="L422" s="7"/>
      <c r="M422" s="7"/>
      <c r="N422" s="10"/>
      <c r="O422" s="11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.75" customHeight="1">
      <c r="A423" s="10" t="s">
        <v>18</v>
      </c>
      <c r="B423" s="7" t="s">
        <v>93</v>
      </c>
      <c r="C423" s="135">
        <v>46258</v>
      </c>
      <c r="D423" s="44" t="s">
        <v>198</v>
      </c>
      <c r="E423" s="35" t="s">
        <v>515</v>
      </c>
      <c r="F423" s="121">
        <v>8.27</v>
      </c>
      <c r="G423" s="122">
        <f t="shared" si="18"/>
        <v>0</v>
      </c>
      <c r="H423" s="123">
        <f>IF(AND(ISNUMBER(F423), F423&gt;4, COUNTIFS($A$2:A423, A423, $B$2:B423, B423, $C$2:C423, C423, $F$2:F423, "&gt;4")=1), 1, 0)</f>
        <v>1</v>
      </c>
      <c r="I423" s="10">
        <f t="shared" si="19"/>
        <v>0</v>
      </c>
      <c r="J423" s="10"/>
      <c r="K423" s="7"/>
      <c r="L423" s="7"/>
      <c r="M423" s="7"/>
      <c r="N423" s="10"/>
      <c r="O423" s="11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.75" customHeight="1">
      <c r="A424" s="10" t="s">
        <v>18</v>
      </c>
      <c r="B424" s="7" t="s">
        <v>93</v>
      </c>
      <c r="C424" s="135">
        <v>46259</v>
      </c>
      <c r="D424" s="44" t="s">
        <v>198</v>
      </c>
      <c r="E424" s="35" t="s">
        <v>214</v>
      </c>
      <c r="F424" s="121">
        <v>8.08</v>
      </c>
      <c r="G424" s="122">
        <f t="shared" si="18"/>
        <v>0</v>
      </c>
      <c r="H424" s="123">
        <f>IF(AND(ISNUMBER(F424), F424&gt;4, COUNTIFS($A$2:A424, A424, $B$2:B424, B424, $C$2:C424, C424, $F$2:F424, "&gt;4")=1), 1, 0)</f>
        <v>1</v>
      </c>
      <c r="I424" s="10">
        <f t="shared" si="19"/>
        <v>0</v>
      </c>
      <c r="J424" s="10"/>
      <c r="K424" s="7"/>
      <c r="L424" s="7"/>
      <c r="M424" s="7"/>
      <c r="N424" s="10"/>
      <c r="O424" s="11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.75" customHeight="1">
      <c r="A425" s="10" t="s">
        <v>18</v>
      </c>
      <c r="B425" s="7" t="s">
        <v>93</v>
      </c>
      <c r="C425" s="135">
        <v>46262</v>
      </c>
      <c r="D425" s="44" t="s">
        <v>198</v>
      </c>
      <c r="E425" s="35" t="s">
        <v>280</v>
      </c>
      <c r="F425" s="121">
        <v>8.25</v>
      </c>
      <c r="G425" s="122">
        <f t="shared" si="18"/>
        <v>0</v>
      </c>
      <c r="H425" s="123">
        <f>IF(AND(ISNUMBER(F425), F425&gt;4, COUNTIFS($A$2:A425, A425, $B$2:B425, B425, $C$2:C425, C425, $F$2:F425, "&gt;4")=1), 1, 0)</f>
        <v>1</v>
      </c>
      <c r="I425" s="10">
        <f t="shared" si="19"/>
        <v>0</v>
      </c>
      <c r="J425" s="10"/>
      <c r="K425" s="7"/>
      <c r="L425" s="7"/>
      <c r="M425" s="7"/>
      <c r="N425" s="10"/>
      <c r="O425" s="11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.75" customHeight="1">
      <c r="A426" s="10" t="s">
        <v>18</v>
      </c>
      <c r="B426" s="7" t="s">
        <v>93</v>
      </c>
      <c r="C426" s="135">
        <v>46263</v>
      </c>
      <c r="D426" s="44" t="s">
        <v>198</v>
      </c>
      <c r="E426" s="35" t="s">
        <v>499</v>
      </c>
      <c r="F426" s="121">
        <v>8.15</v>
      </c>
      <c r="G426" s="122">
        <f t="shared" si="18"/>
        <v>0</v>
      </c>
      <c r="H426" s="123">
        <f>IF(AND(ISNUMBER(F426), F426&gt;4, COUNTIFS($A$2:A426, A426, $B$2:B426, B426, $C$2:C426, C426, $F$2:F426, "&gt;4")=1), 1, 0)</f>
        <v>1</v>
      </c>
      <c r="I426" s="10">
        <f t="shared" si="19"/>
        <v>0</v>
      </c>
      <c r="J426" s="10"/>
      <c r="K426" s="7"/>
      <c r="L426" s="7"/>
      <c r="M426" s="7"/>
      <c r="N426" s="10"/>
      <c r="O426" s="11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.75" customHeight="1">
      <c r="A427" s="10" t="s">
        <v>18</v>
      </c>
      <c r="B427" s="7" t="s">
        <v>93</v>
      </c>
      <c r="C427" s="135">
        <v>46264</v>
      </c>
      <c r="D427" s="44" t="s">
        <v>198</v>
      </c>
      <c r="E427" s="35" t="s">
        <v>207</v>
      </c>
      <c r="F427" s="121">
        <v>8.1</v>
      </c>
      <c r="G427" s="122">
        <f t="shared" si="18"/>
        <v>0</v>
      </c>
      <c r="H427" s="123">
        <f>IF(AND(ISNUMBER(F427), F427&gt;4, COUNTIFS($A$2:A427, A427, $B$2:B427, B427, $C$2:C427, C427, $F$2:F427, "&gt;4")=1), 1, 0)</f>
        <v>1</v>
      </c>
      <c r="I427" s="10">
        <f t="shared" si="19"/>
        <v>0</v>
      </c>
      <c r="J427" s="10"/>
      <c r="K427" s="7"/>
      <c r="L427" s="7"/>
      <c r="M427" s="7"/>
      <c r="N427" s="10"/>
      <c r="O427" s="11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.75" customHeight="1">
      <c r="A428" s="10" t="s">
        <v>18</v>
      </c>
      <c r="B428" s="7" t="s">
        <v>93</v>
      </c>
      <c r="C428" s="135">
        <v>46249</v>
      </c>
      <c r="D428" s="44" t="s">
        <v>240</v>
      </c>
      <c r="E428" s="35" t="s">
        <v>574</v>
      </c>
      <c r="F428" s="121">
        <v>6.35</v>
      </c>
      <c r="G428" s="122">
        <f t="shared" si="18"/>
        <v>0</v>
      </c>
      <c r="H428" s="123">
        <f>IF(AND(ISNUMBER(F428), F428&gt;4, COUNTIFS($A$2:A428, A428, $B$2:B428, B428, $C$2:C428, C428, $F$2:F428, "&gt;4")=1), 1, 0)</f>
        <v>1</v>
      </c>
      <c r="I428" s="10">
        <f t="shared" si="19"/>
        <v>0</v>
      </c>
      <c r="J428" s="10"/>
      <c r="K428" s="7"/>
      <c r="L428" s="7"/>
      <c r="M428" s="7"/>
      <c r="N428" s="10"/>
      <c r="O428" s="11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.75" customHeight="1">
      <c r="A429" s="10" t="s">
        <v>18</v>
      </c>
      <c r="B429" s="7" t="s">
        <v>93</v>
      </c>
      <c r="C429" s="135">
        <v>46253</v>
      </c>
      <c r="D429" s="44" t="s">
        <v>240</v>
      </c>
      <c r="E429" s="35" t="s">
        <v>512</v>
      </c>
      <c r="F429" s="121">
        <v>3.9</v>
      </c>
      <c r="G429" s="122">
        <f t="shared" si="18"/>
        <v>1</v>
      </c>
      <c r="H429" s="123">
        <f>IF(AND(ISNUMBER(F429), F429&gt;4, COUNTIFS($A$2:A429, A429, $B$2:B429, B429, $C$2:C429, C429, $F$2:F429, "&gt;4")=1), 1, 0)</f>
        <v>0</v>
      </c>
      <c r="I429" s="10">
        <f t="shared" si="19"/>
        <v>0</v>
      </c>
      <c r="J429" s="10"/>
      <c r="K429" s="7"/>
      <c r="L429" s="7"/>
      <c r="M429" s="7"/>
      <c r="N429" s="10"/>
      <c r="O429" s="11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.75" customHeight="1">
      <c r="A430" s="10" t="s">
        <v>18</v>
      </c>
      <c r="B430" s="7" t="s">
        <v>93</v>
      </c>
      <c r="C430" s="135">
        <v>46260</v>
      </c>
      <c r="D430" s="44" t="s">
        <v>240</v>
      </c>
      <c r="E430" s="35" t="s">
        <v>575</v>
      </c>
      <c r="F430" s="121">
        <v>6.4</v>
      </c>
      <c r="G430" s="122">
        <f t="shared" si="18"/>
        <v>0</v>
      </c>
      <c r="H430" s="123">
        <f>IF(AND(ISNUMBER(F430), F430&gt;4, COUNTIFS($A$2:A430, A430, $B$2:B430, B430, $C$2:C430, C430, $F$2:F430, "&gt;4")=1), 1, 0)</f>
        <v>1</v>
      </c>
      <c r="I430" s="10">
        <f t="shared" si="19"/>
        <v>0</v>
      </c>
      <c r="J430" s="10"/>
      <c r="K430" s="7"/>
      <c r="L430" s="7"/>
      <c r="M430" s="7"/>
      <c r="N430" s="10"/>
      <c r="O430" s="113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.75" customHeight="1">
      <c r="A431" s="10" t="s">
        <v>18</v>
      </c>
      <c r="B431" s="7" t="s">
        <v>93</v>
      </c>
      <c r="C431" s="135">
        <v>46261</v>
      </c>
      <c r="D431" s="44" t="s">
        <v>240</v>
      </c>
      <c r="E431" s="35" t="s">
        <v>574</v>
      </c>
      <c r="F431" s="121">
        <v>6.35</v>
      </c>
      <c r="G431" s="122">
        <f t="shared" si="18"/>
        <v>0</v>
      </c>
      <c r="H431" s="123">
        <f>IF(AND(ISNUMBER(F431), F431&gt;4, COUNTIFS($A$2:A431, A431, $B$2:B431, B431, $C$2:C431, C431, $F$2:F431, "&gt;4")=1), 1, 0)</f>
        <v>1</v>
      </c>
      <c r="I431" s="10">
        <f t="shared" si="19"/>
        <v>0</v>
      </c>
      <c r="J431" s="10"/>
      <c r="K431" s="7"/>
      <c r="L431" s="7"/>
      <c r="M431" s="7"/>
      <c r="N431" s="10"/>
      <c r="O431" s="113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.75" customHeight="1">
      <c r="A432" s="10" t="s">
        <v>18</v>
      </c>
      <c r="B432" s="7" t="s">
        <v>93</v>
      </c>
      <c r="C432" s="135">
        <v>46237</v>
      </c>
      <c r="D432" s="44" t="s">
        <v>242</v>
      </c>
      <c r="E432" s="35" t="s">
        <v>214</v>
      </c>
      <c r="F432" s="121">
        <v>8.08</v>
      </c>
      <c r="G432" s="122">
        <f t="shared" si="18"/>
        <v>0</v>
      </c>
      <c r="H432" s="123">
        <f>IF(AND(ISNUMBER(F432), F432&gt;4, COUNTIFS($A$2:A432, A432, $B$2:B432, B432, $C$2:C432, C432, $F$2:F432, "&gt;4")=1), 1, 0)</f>
        <v>0</v>
      </c>
      <c r="I432" s="10">
        <f t="shared" si="19"/>
        <v>1</v>
      </c>
      <c r="J432" s="10"/>
      <c r="K432" s="7"/>
      <c r="L432" s="7"/>
      <c r="M432" s="7"/>
      <c r="N432" s="10"/>
      <c r="O432" s="113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.75" customHeight="1">
      <c r="A433" s="10" t="s">
        <v>18</v>
      </c>
      <c r="B433" s="7" t="s">
        <v>93</v>
      </c>
      <c r="C433" s="135">
        <v>46242</v>
      </c>
      <c r="D433" s="44" t="s">
        <v>242</v>
      </c>
      <c r="E433" s="35" t="s">
        <v>576</v>
      </c>
      <c r="F433" s="121">
        <v>0.25</v>
      </c>
      <c r="G433" s="122">
        <f t="shared" si="18"/>
        <v>1</v>
      </c>
      <c r="H433" s="123">
        <f>IF(AND(ISNUMBER(F433), F433&gt;4, COUNTIFS($A$2:A433, A433, $B$2:B433, B433, $C$2:C433, C433, $F$2:F433, "&gt;4")=1), 1, 0)</f>
        <v>0</v>
      </c>
      <c r="I433" s="10">
        <f t="shared" si="19"/>
        <v>0</v>
      </c>
      <c r="J433" s="10"/>
      <c r="K433" s="7"/>
      <c r="L433" s="7"/>
      <c r="M433" s="7"/>
      <c r="N433" s="10"/>
      <c r="O433" s="11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.75" customHeight="1">
      <c r="A434" s="10" t="s">
        <v>18</v>
      </c>
      <c r="B434" s="7" t="s">
        <v>93</v>
      </c>
      <c r="C434" s="135">
        <v>46244</v>
      </c>
      <c r="D434" s="44" t="s">
        <v>242</v>
      </c>
      <c r="E434" s="35" t="s">
        <v>288</v>
      </c>
      <c r="F434" s="121">
        <v>8.0500000000000007</v>
      </c>
      <c r="G434" s="122">
        <f t="shared" si="18"/>
        <v>0</v>
      </c>
      <c r="H434" s="123">
        <f>IF(AND(ISNUMBER(F434), F434&gt;4, COUNTIFS($A$2:A434, A434, $B$2:B434, B434, $C$2:C434, C434, $F$2:F434, "&gt;4")=1), 1, 0)</f>
        <v>0</v>
      </c>
      <c r="I434" s="10">
        <f t="shared" si="19"/>
        <v>1</v>
      </c>
      <c r="J434" s="10"/>
      <c r="K434" s="7"/>
      <c r="L434" s="7"/>
      <c r="M434" s="7"/>
      <c r="N434" s="10"/>
      <c r="O434" s="11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.75" customHeight="1">
      <c r="A435" s="10" t="s">
        <v>18</v>
      </c>
      <c r="B435" s="7" t="s">
        <v>93</v>
      </c>
      <c r="C435" s="135">
        <v>46245</v>
      </c>
      <c r="D435" s="44" t="s">
        <v>242</v>
      </c>
      <c r="E435" s="35" t="s">
        <v>577</v>
      </c>
      <c r="F435" s="121">
        <v>0.35</v>
      </c>
      <c r="G435" s="122">
        <f t="shared" si="18"/>
        <v>1</v>
      </c>
      <c r="H435" s="123">
        <f>IF(AND(ISNUMBER(F435), F435&gt;4, COUNTIFS($A$2:A435, A435, $B$2:B435, B435, $C$2:C435, C435, $F$2:F435, "&gt;4")=1), 1, 0)</f>
        <v>0</v>
      </c>
      <c r="I435" s="10">
        <f t="shared" si="19"/>
        <v>0</v>
      </c>
      <c r="J435" s="10"/>
      <c r="K435" s="7"/>
      <c r="L435" s="7"/>
      <c r="M435" s="7"/>
      <c r="N435" s="10"/>
      <c r="O435" s="11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.75" customHeight="1">
      <c r="A436" s="10" t="s">
        <v>18</v>
      </c>
      <c r="B436" s="7" t="s">
        <v>93</v>
      </c>
      <c r="C436" s="135">
        <v>46247</v>
      </c>
      <c r="D436" s="44" t="s">
        <v>242</v>
      </c>
      <c r="E436" s="35" t="s">
        <v>578</v>
      </c>
      <c r="F436" s="121">
        <v>0.28000000000000003</v>
      </c>
      <c r="G436" s="122">
        <f t="shared" si="18"/>
        <v>1</v>
      </c>
      <c r="H436" s="123">
        <f>IF(AND(ISNUMBER(F436), F436&gt;4, COUNTIFS($A$2:A436, A436, $B$2:B436, B436, $C$2:C436, C436, $F$2:F436, "&gt;4")=1), 1, 0)</f>
        <v>0</v>
      </c>
      <c r="I436" s="10">
        <f t="shared" si="19"/>
        <v>0</v>
      </c>
      <c r="J436" s="10"/>
      <c r="K436" s="7"/>
      <c r="L436" s="7"/>
      <c r="M436" s="7"/>
      <c r="N436" s="10"/>
      <c r="O436" s="11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.75" customHeight="1">
      <c r="A437" s="10" t="s">
        <v>18</v>
      </c>
      <c r="B437" s="7" t="s">
        <v>93</v>
      </c>
      <c r="C437" s="135">
        <v>46248</v>
      </c>
      <c r="D437" s="44" t="s">
        <v>242</v>
      </c>
      <c r="E437" s="35" t="s">
        <v>288</v>
      </c>
      <c r="F437" s="121">
        <v>8.0500000000000007</v>
      </c>
      <c r="G437" s="122">
        <f t="shared" si="18"/>
        <v>0</v>
      </c>
      <c r="H437" s="123">
        <f>IF(AND(ISNUMBER(F437), F437&gt;4, COUNTIFS($A$2:A437, A437, $B$2:B437, B437, $C$2:C437, C437, $F$2:F437, "&gt;4")=1), 1, 0)</f>
        <v>0</v>
      </c>
      <c r="I437" s="10">
        <f t="shared" si="19"/>
        <v>1</v>
      </c>
      <c r="J437" s="10"/>
      <c r="K437" s="7"/>
      <c r="L437" s="7"/>
      <c r="M437" s="7"/>
      <c r="N437" s="10"/>
      <c r="O437" s="11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.75" customHeight="1">
      <c r="A438" s="10" t="s">
        <v>18</v>
      </c>
      <c r="B438" s="7" t="s">
        <v>93</v>
      </c>
      <c r="C438" s="135">
        <v>46250</v>
      </c>
      <c r="D438" s="44" t="s">
        <v>242</v>
      </c>
      <c r="E438" s="35" t="s">
        <v>579</v>
      </c>
      <c r="F438" s="121">
        <v>1.5</v>
      </c>
      <c r="G438" s="122">
        <f t="shared" si="18"/>
        <v>1</v>
      </c>
      <c r="H438" s="123">
        <f>IF(AND(ISNUMBER(F438), F438&gt;4, COUNTIFS($A$2:A438, A438, $B$2:B438, B438, $C$2:C438, C438, $F$2:F438, "&gt;4")=1), 1, 0)</f>
        <v>0</v>
      </c>
      <c r="I438" s="10">
        <f t="shared" si="19"/>
        <v>0</v>
      </c>
      <c r="J438" s="10"/>
      <c r="K438" s="7"/>
      <c r="L438" s="7"/>
      <c r="M438" s="7"/>
      <c r="N438" s="10"/>
      <c r="O438" s="11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.75" customHeight="1">
      <c r="A439" s="10" t="s">
        <v>18</v>
      </c>
      <c r="B439" s="7" t="s">
        <v>93</v>
      </c>
      <c r="C439" s="135">
        <v>46259</v>
      </c>
      <c r="D439" s="44" t="s">
        <v>242</v>
      </c>
      <c r="E439" s="35" t="s">
        <v>288</v>
      </c>
      <c r="F439" s="121">
        <v>8.0500000000000007</v>
      </c>
      <c r="G439" s="122">
        <f t="shared" si="18"/>
        <v>0</v>
      </c>
      <c r="H439" s="123">
        <f>IF(AND(ISNUMBER(F439), F439&gt;4, COUNTIFS($A$2:A439, A439, $B$2:B439, B439, $C$2:C439, C439, $F$2:F439, "&gt;4")=1), 1, 0)</f>
        <v>0</v>
      </c>
      <c r="I439" s="10">
        <f t="shared" si="19"/>
        <v>1</v>
      </c>
      <c r="J439" s="10"/>
      <c r="K439" s="7"/>
      <c r="L439" s="7"/>
      <c r="M439" s="7"/>
      <c r="N439" s="10"/>
      <c r="O439" s="11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.75" customHeight="1">
      <c r="A440" s="10" t="s">
        <v>18</v>
      </c>
      <c r="B440" s="7" t="s">
        <v>93</v>
      </c>
      <c r="C440" s="135">
        <v>46261</v>
      </c>
      <c r="D440" s="44" t="s">
        <v>242</v>
      </c>
      <c r="E440" s="35" t="s">
        <v>239</v>
      </c>
      <c r="F440" s="121">
        <v>8.07</v>
      </c>
      <c r="G440" s="122">
        <f t="shared" si="18"/>
        <v>0</v>
      </c>
      <c r="H440" s="123">
        <f>IF(AND(ISNUMBER(F440), F440&gt;4, COUNTIFS($A$2:A440, A440, $B$2:B440, B440, $C$2:C440, C440, $F$2:F440, "&gt;4")=1), 1, 0)</f>
        <v>0</v>
      </c>
      <c r="I440" s="10">
        <f t="shared" si="19"/>
        <v>1</v>
      </c>
      <c r="J440" s="10"/>
      <c r="K440" s="7"/>
      <c r="L440" s="7"/>
      <c r="M440" s="7"/>
      <c r="N440" s="10"/>
      <c r="O440" s="11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.75" customHeight="1">
      <c r="A441" s="10" t="s">
        <v>18</v>
      </c>
      <c r="B441" s="7" t="s">
        <v>93</v>
      </c>
      <c r="C441" s="135">
        <v>46263</v>
      </c>
      <c r="D441" s="44" t="s">
        <v>242</v>
      </c>
      <c r="E441" s="35" t="s">
        <v>528</v>
      </c>
      <c r="F441" s="121">
        <v>4.62</v>
      </c>
      <c r="G441" s="122">
        <f t="shared" si="18"/>
        <v>0</v>
      </c>
      <c r="H441" s="123">
        <f>IF(AND(ISNUMBER(F441), F441&gt;4, COUNTIFS($A$2:A441, A441, $B$2:B441, B441, $C$2:C441, C441, $F$2:F441, "&gt;4")=1), 1, 0)</f>
        <v>0</v>
      </c>
      <c r="I441" s="10">
        <f t="shared" si="19"/>
        <v>1</v>
      </c>
      <c r="J441" s="10"/>
      <c r="K441" s="7"/>
      <c r="L441" s="7"/>
      <c r="M441" s="7"/>
      <c r="N441" s="10"/>
      <c r="O441" s="11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.75" customHeight="1">
      <c r="A442" s="10" t="s">
        <v>18</v>
      </c>
      <c r="B442" s="7" t="s">
        <v>93</v>
      </c>
      <c r="C442" s="135">
        <v>46264</v>
      </c>
      <c r="D442" s="44" t="s">
        <v>242</v>
      </c>
      <c r="E442" s="35" t="s">
        <v>580</v>
      </c>
      <c r="F442" s="121">
        <v>0.32</v>
      </c>
      <c r="G442" s="122">
        <f t="shared" si="18"/>
        <v>1</v>
      </c>
      <c r="H442" s="123">
        <f>IF(AND(ISNUMBER(F442), F442&gt;4, COUNTIFS($A$2:A442, A442, $B$2:B442, B442, $C$2:C442, C442, $F$2:F442, "&gt;4")=1), 1, 0)</f>
        <v>0</v>
      </c>
      <c r="I442" s="10">
        <f t="shared" si="19"/>
        <v>0</v>
      </c>
      <c r="J442" s="10"/>
      <c r="K442" s="7"/>
      <c r="L442" s="7"/>
      <c r="M442" s="7"/>
      <c r="N442" s="10"/>
      <c r="O442" s="11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.75" customHeight="1">
      <c r="A443" s="10" t="s">
        <v>18</v>
      </c>
      <c r="B443" s="7" t="s">
        <v>93</v>
      </c>
      <c r="C443" s="135">
        <v>46265</v>
      </c>
      <c r="D443" s="44" t="s">
        <v>242</v>
      </c>
      <c r="E443" s="35" t="s">
        <v>476</v>
      </c>
      <c r="F443" s="121">
        <v>8.1199999999999992</v>
      </c>
      <c r="G443" s="122">
        <f t="shared" si="18"/>
        <v>0</v>
      </c>
      <c r="H443" s="123">
        <f>IF(AND(ISNUMBER(F443), F443&gt;4, COUNTIFS($A$2:A443, A443, $B$2:B443, B443, $C$2:C443, C443, $F$2:F443, "&gt;4")=1), 1, 0)</f>
        <v>1</v>
      </c>
      <c r="I443" s="10">
        <f t="shared" si="19"/>
        <v>1</v>
      </c>
      <c r="J443" s="10"/>
      <c r="K443" s="7"/>
      <c r="L443" s="7"/>
      <c r="M443" s="7"/>
      <c r="N443" s="10"/>
      <c r="O443" s="11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.75" customHeight="1">
      <c r="A444" s="10" t="s">
        <v>18</v>
      </c>
      <c r="B444" s="7" t="s">
        <v>94</v>
      </c>
      <c r="C444" s="135">
        <v>46235</v>
      </c>
      <c r="D444" s="44" t="s">
        <v>215</v>
      </c>
      <c r="E444" s="35" t="s">
        <v>199</v>
      </c>
      <c r="F444" s="121">
        <v>8</v>
      </c>
      <c r="G444" s="122">
        <f t="shared" si="18"/>
        <v>0</v>
      </c>
      <c r="H444" s="123">
        <f>IF(AND(ISNUMBER(F444), F444&gt;4, COUNTIFS($A$2:A444, A444, $B$2:B444, B444, $C$2:C444, C444, $F$2:F444, "&gt;4")=1), 1, 0)</f>
        <v>1</v>
      </c>
      <c r="I444" s="10">
        <f t="shared" si="19"/>
        <v>0</v>
      </c>
      <c r="J444" s="10"/>
      <c r="K444" s="7"/>
      <c r="L444" s="7"/>
      <c r="M444" s="7"/>
      <c r="N444" s="10"/>
      <c r="O444" s="11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.75" customHeight="1">
      <c r="A445" s="10" t="s">
        <v>18</v>
      </c>
      <c r="B445" s="7" t="s">
        <v>94</v>
      </c>
      <c r="C445" s="135">
        <v>46236</v>
      </c>
      <c r="D445" s="44" t="s">
        <v>215</v>
      </c>
      <c r="E445" s="35" t="s">
        <v>199</v>
      </c>
      <c r="F445" s="121">
        <v>8</v>
      </c>
      <c r="G445" s="122">
        <f t="shared" si="18"/>
        <v>0</v>
      </c>
      <c r="H445" s="123">
        <f>IF(AND(ISNUMBER(F445), F445&gt;4, COUNTIFS($A$2:A445, A445, $B$2:B445, B445, $C$2:C445, C445, $F$2:F445, "&gt;4")=1), 1, 0)</f>
        <v>1</v>
      </c>
      <c r="I445" s="10">
        <f t="shared" si="19"/>
        <v>0</v>
      </c>
      <c r="J445" s="10"/>
      <c r="K445" s="7"/>
      <c r="L445" s="7"/>
      <c r="M445" s="7"/>
      <c r="N445" s="10"/>
      <c r="O445" s="11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.75" customHeight="1">
      <c r="A446" s="10" t="s">
        <v>18</v>
      </c>
      <c r="B446" s="7" t="s">
        <v>94</v>
      </c>
      <c r="C446" s="135">
        <v>46237</v>
      </c>
      <c r="D446" s="44" t="s">
        <v>215</v>
      </c>
      <c r="E446" s="35" t="s">
        <v>199</v>
      </c>
      <c r="F446" s="121">
        <v>8</v>
      </c>
      <c r="G446" s="122">
        <f t="shared" si="18"/>
        <v>0</v>
      </c>
      <c r="H446" s="123">
        <f>IF(AND(ISNUMBER(F446), F446&gt;4, COUNTIFS($A$2:A446, A446, $B$2:B446, B446, $C$2:C446, C446, $F$2:F446, "&gt;4")=1), 1, 0)</f>
        <v>1</v>
      </c>
      <c r="I446" s="10">
        <f t="shared" si="19"/>
        <v>0</v>
      </c>
      <c r="J446" s="10"/>
      <c r="K446" s="7"/>
      <c r="L446" s="7"/>
      <c r="M446" s="7"/>
      <c r="N446" s="10"/>
      <c r="O446" s="11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.75" customHeight="1">
      <c r="A447" s="10" t="s">
        <v>18</v>
      </c>
      <c r="B447" s="7" t="s">
        <v>94</v>
      </c>
      <c r="C447" s="135">
        <v>46238</v>
      </c>
      <c r="D447" s="44" t="s">
        <v>215</v>
      </c>
      <c r="E447" s="35" t="s">
        <v>199</v>
      </c>
      <c r="F447" s="121">
        <v>8</v>
      </c>
      <c r="G447" s="122">
        <f t="shared" si="18"/>
        <v>0</v>
      </c>
      <c r="H447" s="123">
        <f>IF(AND(ISNUMBER(F447), F447&gt;4, COUNTIFS($A$2:A447, A447, $B$2:B447, B447, $C$2:C447, C447, $F$2:F447, "&gt;4")=1), 1, 0)</f>
        <v>1</v>
      </c>
      <c r="I447" s="10">
        <f t="shared" si="19"/>
        <v>0</v>
      </c>
      <c r="J447" s="10"/>
      <c r="K447" s="7"/>
      <c r="L447" s="7"/>
      <c r="M447" s="7"/>
      <c r="N447" s="10"/>
      <c r="O447" s="11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.75" customHeight="1">
      <c r="A448" s="10" t="s">
        <v>18</v>
      </c>
      <c r="B448" s="7" t="s">
        <v>94</v>
      </c>
      <c r="C448" s="135">
        <v>46239</v>
      </c>
      <c r="D448" s="44" t="s">
        <v>215</v>
      </c>
      <c r="E448" s="35" t="s">
        <v>239</v>
      </c>
      <c r="F448" s="121">
        <v>8.07</v>
      </c>
      <c r="G448" s="122">
        <f t="shared" si="18"/>
        <v>0</v>
      </c>
      <c r="H448" s="123">
        <f>IF(AND(ISNUMBER(F448), F448&gt;4, COUNTIFS($A$2:A448, A448, $B$2:B448, B448, $C$2:C448, C448, $F$2:F448, "&gt;4")=1), 1, 0)</f>
        <v>1</v>
      </c>
      <c r="I448" s="10">
        <f t="shared" si="19"/>
        <v>0</v>
      </c>
      <c r="J448" s="10"/>
      <c r="K448" s="7"/>
      <c r="L448" s="7"/>
      <c r="M448" s="7"/>
      <c r="N448" s="10"/>
      <c r="O448" s="11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.75" customHeight="1">
      <c r="A449" s="10" t="s">
        <v>18</v>
      </c>
      <c r="B449" s="7" t="s">
        <v>94</v>
      </c>
      <c r="C449" s="135">
        <v>46240</v>
      </c>
      <c r="D449" s="44" t="s">
        <v>215</v>
      </c>
      <c r="E449" s="35" t="s">
        <v>199</v>
      </c>
      <c r="F449" s="121">
        <v>8</v>
      </c>
      <c r="G449" s="122">
        <f t="shared" si="18"/>
        <v>0</v>
      </c>
      <c r="H449" s="123">
        <f>IF(AND(ISNUMBER(F449), F449&gt;4, COUNTIFS($A$2:A449, A449, $B$2:B449, B449, $C$2:C449, C449, $F$2:F449, "&gt;4")=1), 1, 0)</f>
        <v>1</v>
      </c>
      <c r="I449" s="10">
        <f t="shared" si="19"/>
        <v>0</v>
      </c>
      <c r="J449" s="10"/>
      <c r="K449" s="7"/>
      <c r="L449" s="7"/>
      <c r="M449" s="7"/>
      <c r="N449" s="10"/>
      <c r="O449" s="11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.75" customHeight="1">
      <c r="A450" s="10" t="s">
        <v>18</v>
      </c>
      <c r="B450" s="7" t="s">
        <v>94</v>
      </c>
      <c r="C450" s="135">
        <v>46241</v>
      </c>
      <c r="D450" s="44" t="s">
        <v>215</v>
      </c>
      <c r="E450" s="35" t="s">
        <v>288</v>
      </c>
      <c r="F450" s="121">
        <v>8.0500000000000007</v>
      </c>
      <c r="G450" s="122">
        <f t="shared" ref="G450:G513" si="20">IF(AND(ISNUMBER(F450), F450&lt;=4), 1, 0)</f>
        <v>0</v>
      </c>
      <c r="H450" s="123">
        <f>IF(AND(ISNUMBER(F450), F450&gt;4, COUNTIFS($A$2:A450, A450, $B$2:B450, B450, $C$2:C450, C450, $F$2:F450, "&gt;4")=1), 1, 0)</f>
        <v>1</v>
      </c>
      <c r="I450" s="10">
        <f t="shared" ref="I450:I513" si="21">IF(AND(ISNUMBER(F450), F450&gt;4, ISNUMBER(SEARCH("đêm", D450))), 1, 0)</f>
        <v>0</v>
      </c>
      <c r="J450" s="10"/>
      <c r="K450" s="7"/>
      <c r="L450" s="7"/>
      <c r="M450" s="7"/>
      <c r="N450" s="10"/>
      <c r="O450" s="11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.75" customHeight="1">
      <c r="A451" s="10" t="s">
        <v>18</v>
      </c>
      <c r="B451" s="7" t="s">
        <v>94</v>
      </c>
      <c r="C451" s="135">
        <v>46242</v>
      </c>
      <c r="D451" s="44" t="s">
        <v>215</v>
      </c>
      <c r="E451" s="35" t="s">
        <v>329</v>
      </c>
      <c r="F451" s="121">
        <v>8.0299999999999994</v>
      </c>
      <c r="G451" s="122">
        <f t="shared" si="20"/>
        <v>0</v>
      </c>
      <c r="H451" s="123">
        <f>IF(AND(ISNUMBER(F451), F451&gt;4, COUNTIFS($A$2:A451, A451, $B$2:B451, B451, $C$2:C451, C451, $F$2:F451, "&gt;4")=1), 1, 0)</f>
        <v>1</v>
      </c>
      <c r="I451" s="10">
        <f t="shared" si="21"/>
        <v>0</v>
      </c>
      <c r="J451" s="10"/>
      <c r="K451" s="7"/>
      <c r="L451" s="7"/>
      <c r="M451" s="7"/>
      <c r="N451" s="10"/>
      <c r="O451" s="11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.75" customHeight="1">
      <c r="A452" s="10" t="s">
        <v>18</v>
      </c>
      <c r="B452" s="7" t="s">
        <v>94</v>
      </c>
      <c r="C452" s="135">
        <v>46243</v>
      </c>
      <c r="D452" s="44" t="s">
        <v>215</v>
      </c>
      <c r="E452" s="35" t="s">
        <v>239</v>
      </c>
      <c r="F452" s="121">
        <v>8.07</v>
      </c>
      <c r="G452" s="122">
        <f t="shared" si="20"/>
        <v>0</v>
      </c>
      <c r="H452" s="123">
        <f>IF(AND(ISNUMBER(F452), F452&gt;4, COUNTIFS($A$2:A452, A452, $B$2:B452, B452, $C$2:C452, C452, $F$2:F452, "&gt;4")=1), 1, 0)</f>
        <v>1</v>
      </c>
      <c r="I452" s="10">
        <f t="shared" si="21"/>
        <v>0</v>
      </c>
      <c r="J452" s="10"/>
      <c r="K452" s="7"/>
      <c r="L452" s="7"/>
      <c r="M452" s="7"/>
      <c r="N452" s="10"/>
      <c r="O452" s="11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.75" customHeight="1">
      <c r="A453" s="10" t="s">
        <v>18</v>
      </c>
      <c r="B453" s="7" t="s">
        <v>94</v>
      </c>
      <c r="C453" s="135">
        <v>46251</v>
      </c>
      <c r="D453" s="44" t="s">
        <v>215</v>
      </c>
      <c r="E453" s="35" t="s">
        <v>288</v>
      </c>
      <c r="F453" s="121">
        <v>8.0500000000000007</v>
      </c>
      <c r="G453" s="122">
        <f t="shared" si="20"/>
        <v>0</v>
      </c>
      <c r="H453" s="123">
        <f>IF(AND(ISNUMBER(F453), F453&gt;4, COUNTIFS($A$2:A453, A453, $B$2:B453, B453, $C$2:C453, C453, $F$2:F453, "&gt;4")=1), 1, 0)</f>
        <v>1</v>
      </c>
      <c r="I453" s="10">
        <f t="shared" si="21"/>
        <v>0</v>
      </c>
      <c r="J453" s="10"/>
      <c r="K453" s="7"/>
      <c r="L453" s="7"/>
      <c r="M453" s="7"/>
      <c r="N453" s="10"/>
      <c r="O453" s="11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.75" customHeight="1">
      <c r="A454" s="10" t="s">
        <v>18</v>
      </c>
      <c r="B454" s="7" t="s">
        <v>94</v>
      </c>
      <c r="C454" s="135">
        <v>46252</v>
      </c>
      <c r="D454" s="44" t="s">
        <v>215</v>
      </c>
      <c r="E454" s="35" t="s">
        <v>499</v>
      </c>
      <c r="F454" s="121">
        <v>8.15</v>
      </c>
      <c r="G454" s="122">
        <f t="shared" si="20"/>
        <v>0</v>
      </c>
      <c r="H454" s="123">
        <f>IF(AND(ISNUMBER(F454), F454&gt;4, COUNTIFS($A$2:A454, A454, $B$2:B454, B454, $C$2:C454, C454, $F$2:F454, "&gt;4")=1), 1, 0)</f>
        <v>1</v>
      </c>
      <c r="I454" s="10">
        <f t="shared" si="21"/>
        <v>0</v>
      </c>
      <c r="J454" s="10"/>
      <c r="K454" s="7"/>
      <c r="L454" s="7"/>
      <c r="M454" s="7"/>
      <c r="N454" s="10"/>
      <c r="O454" s="11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.75" customHeight="1">
      <c r="A455" s="10" t="s">
        <v>18</v>
      </c>
      <c r="B455" s="7" t="s">
        <v>94</v>
      </c>
      <c r="C455" s="135">
        <v>46253</v>
      </c>
      <c r="D455" s="44" t="s">
        <v>215</v>
      </c>
      <c r="E455" s="35" t="s">
        <v>499</v>
      </c>
      <c r="F455" s="121">
        <v>8.15</v>
      </c>
      <c r="G455" s="122">
        <f t="shared" si="20"/>
        <v>0</v>
      </c>
      <c r="H455" s="123">
        <f>IF(AND(ISNUMBER(F455), F455&gt;4, COUNTIFS($A$2:A455, A455, $B$2:B455, B455, $C$2:C455, C455, $F$2:F455, "&gt;4")=1), 1, 0)</f>
        <v>1</v>
      </c>
      <c r="I455" s="10">
        <f t="shared" si="21"/>
        <v>0</v>
      </c>
      <c r="J455" s="10"/>
      <c r="K455" s="7"/>
      <c r="L455" s="7"/>
      <c r="M455" s="7"/>
      <c r="N455" s="10"/>
      <c r="O455" s="11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.75" customHeight="1">
      <c r="A456" s="10" t="s">
        <v>18</v>
      </c>
      <c r="B456" s="7" t="s">
        <v>94</v>
      </c>
      <c r="C456" s="135">
        <v>46254</v>
      </c>
      <c r="D456" s="44" t="s">
        <v>215</v>
      </c>
      <c r="E456" s="35" t="s">
        <v>207</v>
      </c>
      <c r="F456" s="121">
        <v>8.1</v>
      </c>
      <c r="G456" s="122">
        <f t="shared" si="20"/>
        <v>0</v>
      </c>
      <c r="H456" s="123">
        <f>IF(AND(ISNUMBER(F456), F456&gt;4, COUNTIFS($A$2:A456, A456, $B$2:B456, B456, $C$2:C456, C456, $F$2:F456, "&gt;4")=1), 1, 0)</f>
        <v>1</v>
      </c>
      <c r="I456" s="10">
        <f t="shared" si="21"/>
        <v>0</v>
      </c>
      <c r="J456" s="10"/>
      <c r="K456" s="7"/>
      <c r="L456" s="7"/>
      <c r="M456" s="7"/>
      <c r="N456" s="10"/>
      <c r="O456" s="11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75" customHeight="1">
      <c r="A457" s="10" t="s">
        <v>18</v>
      </c>
      <c r="B457" s="7" t="s">
        <v>94</v>
      </c>
      <c r="C457" s="135">
        <v>46244</v>
      </c>
      <c r="D457" s="44" t="s">
        <v>198</v>
      </c>
      <c r="E457" s="35" t="s">
        <v>214</v>
      </c>
      <c r="F457" s="121">
        <v>8.08</v>
      </c>
      <c r="G457" s="122">
        <f t="shared" si="20"/>
        <v>0</v>
      </c>
      <c r="H457" s="123">
        <f>IF(AND(ISNUMBER(F457), F457&gt;4, COUNTIFS($A$2:A457, A457, $B$2:B457, B457, $C$2:C457, C457, $F$2:F457, "&gt;4")=1), 1, 0)</f>
        <v>1</v>
      </c>
      <c r="I457" s="10">
        <f t="shared" si="21"/>
        <v>0</v>
      </c>
      <c r="J457" s="10"/>
      <c r="K457" s="7"/>
      <c r="L457" s="7"/>
      <c r="M457" s="7"/>
      <c r="N457" s="10"/>
      <c r="O457" s="11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.75" customHeight="1">
      <c r="A458" s="10" t="s">
        <v>18</v>
      </c>
      <c r="B458" s="7" t="s">
        <v>94</v>
      </c>
      <c r="C458" s="135">
        <v>46245</v>
      </c>
      <c r="D458" s="44" t="s">
        <v>198</v>
      </c>
      <c r="E458" s="35" t="s">
        <v>239</v>
      </c>
      <c r="F458" s="121">
        <v>8.07</v>
      </c>
      <c r="G458" s="122">
        <f t="shared" si="20"/>
        <v>0</v>
      </c>
      <c r="H458" s="123">
        <f>IF(AND(ISNUMBER(F458), F458&gt;4, COUNTIFS($A$2:A458, A458, $B$2:B458, B458, $C$2:C458, C458, $F$2:F458, "&gt;4")=1), 1, 0)</f>
        <v>1</v>
      </c>
      <c r="I458" s="10">
        <f t="shared" si="21"/>
        <v>0</v>
      </c>
      <c r="J458" s="10"/>
      <c r="K458" s="7"/>
      <c r="L458" s="7"/>
      <c r="M458" s="7"/>
      <c r="N458" s="10"/>
      <c r="O458" s="11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.75" customHeight="1">
      <c r="A459" s="10" t="s">
        <v>18</v>
      </c>
      <c r="B459" s="7" t="s">
        <v>94</v>
      </c>
      <c r="C459" s="135">
        <v>46246</v>
      </c>
      <c r="D459" s="44" t="s">
        <v>198</v>
      </c>
      <c r="E459" s="35" t="s">
        <v>239</v>
      </c>
      <c r="F459" s="121">
        <v>8.07</v>
      </c>
      <c r="G459" s="122">
        <f t="shared" si="20"/>
        <v>0</v>
      </c>
      <c r="H459" s="123">
        <f>IF(AND(ISNUMBER(F459), F459&gt;4, COUNTIFS($A$2:A459, A459, $B$2:B459, B459, $C$2:C459, C459, $F$2:F459, "&gt;4")=1), 1, 0)</f>
        <v>1</v>
      </c>
      <c r="I459" s="10">
        <f t="shared" si="21"/>
        <v>0</v>
      </c>
      <c r="J459" s="10"/>
      <c r="K459" s="7"/>
      <c r="L459" s="7"/>
      <c r="M459" s="7"/>
      <c r="N459" s="10"/>
      <c r="O459" s="11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.75" customHeight="1">
      <c r="A460" s="10" t="s">
        <v>18</v>
      </c>
      <c r="B460" s="7" t="s">
        <v>94</v>
      </c>
      <c r="C460" s="135">
        <v>46247</v>
      </c>
      <c r="D460" s="44" t="s">
        <v>198</v>
      </c>
      <c r="E460" s="35" t="s">
        <v>329</v>
      </c>
      <c r="F460" s="121">
        <v>8.0299999999999994</v>
      </c>
      <c r="G460" s="122">
        <f t="shared" si="20"/>
        <v>0</v>
      </c>
      <c r="H460" s="123">
        <f>IF(AND(ISNUMBER(F460), F460&gt;4, COUNTIFS($A$2:A460, A460, $B$2:B460, B460, $C$2:C460, C460, $F$2:F460, "&gt;4")=1), 1, 0)</f>
        <v>1</v>
      </c>
      <c r="I460" s="10">
        <f t="shared" si="21"/>
        <v>0</v>
      </c>
      <c r="J460" s="10"/>
      <c r="K460" s="7"/>
      <c r="L460" s="7"/>
      <c r="M460" s="7"/>
      <c r="N460" s="10"/>
      <c r="O460" s="11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.75" customHeight="1">
      <c r="A461" s="10" t="s">
        <v>18</v>
      </c>
      <c r="B461" s="7" t="s">
        <v>94</v>
      </c>
      <c r="C461" s="135">
        <v>46248</v>
      </c>
      <c r="D461" s="44" t="s">
        <v>198</v>
      </c>
      <c r="E461" s="35" t="s">
        <v>511</v>
      </c>
      <c r="F461" s="121">
        <v>8.1300000000000008</v>
      </c>
      <c r="G461" s="122">
        <f t="shared" si="20"/>
        <v>0</v>
      </c>
      <c r="H461" s="123">
        <f>IF(AND(ISNUMBER(F461), F461&gt;4, COUNTIFS($A$2:A461, A461, $B$2:B461, B461, $C$2:C461, C461, $F$2:F461, "&gt;4")=1), 1, 0)</f>
        <v>1</v>
      </c>
      <c r="I461" s="10">
        <f t="shared" si="21"/>
        <v>0</v>
      </c>
      <c r="J461" s="10"/>
      <c r="K461" s="7"/>
      <c r="L461" s="7"/>
      <c r="M461" s="7"/>
      <c r="N461" s="10"/>
      <c r="O461" s="11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.75" customHeight="1">
      <c r="A462" s="10" t="s">
        <v>18</v>
      </c>
      <c r="B462" s="7" t="s">
        <v>94</v>
      </c>
      <c r="C462" s="135">
        <v>46249</v>
      </c>
      <c r="D462" s="44" t="s">
        <v>198</v>
      </c>
      <c r="E462" s="35" t="s">
        <v>329</v>
      </c>
      <c r="F462" s="121">
        <v>8.0299999999999994</v>
      </c>
      <c r="G462" s="122">
        <f t="shared" si="20"/>
        <v>0</v>
      </c>
      <c r="H462" s="123">
        <f>IF(AND(ISNUMBER(F462), F462&gt;4, COUNTIFS($A$2:A462, A462, $B$2:B462, B462, $C$2:C462, C462, $F$2:F462, "&gt;4")=1), 1, 0)</f>
        <v>1</v>
      </c>
      <c r="I462" s="10">
        <f t="shared" si="21"/>
        <v>0</v>
      </c>
      <c r="J462" s="10"/>
      <c r="K462" s="7"/>
      <c r="L462" s="7"/>
      <c r="M462" s="7"/>
      <c r="N462" s="10"/>
      <c r="O462" s="11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.75" customHeight="1">
      <c r="A463" s="10" t="s">
        <v>18</v>
      </c>
      <c r="B463" s="7" t="s">
        <v>94</v>
      </c>
      <c r="C463" s="135">
        <v>46250</v>
      </c>
      <c r="D463" s="44" t="s">
        <v>198</v>
      </c>
      <c r="E463" s="35" t="s">
        <v>239</v>
      </c>
      <c r="F463" s="121">
        <v>8.07</v>
      </c>
      <c r="G463" s="122">
        <f t="shared" si="20"/>
        <v>0</v>
      </c>
      <c r="H463" s="123">
        <f>IF(AND(ISNUMBER(F463), F463&gt;4, COUNTIFS($A$2:A463, A463, $B$2:B463, B463, $C$2:C463, C463, $F$2:F463, "&gt;4")=1), 1, 0)</f>
        <v>1</v>
      </c>
      <c r="I463" s="10">
        <f t="shared" si="21"/>
        <v>0</v>
      </c>
      <c r="J463" s="10"/>
      <c r="K463" s="7"/>
      <c r="L463" s="7"/>
      <c r="M463" s="7"/>
      <c r="N463" s="10"/>
      <c r="O463" s="11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.75" customHeight="1">
      <c r="A464" s="10" t="s">
        <v>18</v>
      </c>
      <c r="B464" s="7" t="s">
        <v>94</v>
      </c>
      <c r="C464" s="135">
        <v>46260</v>
      </c>
      <c r="D464" s="44" t="s">
        <v>198</v>
      </c>
      <c r="E464" s="35" t="s">
        <v>482</v>
      </c>
      <c r="F464" s="121">
        <v>7.85</v>
      </c>
      <c r="G464" s="122">
        <f t="shared" si="20"/>
        <v>0</v>
      </c>
      <c r="H464" s="123">
        <f>IF(AND(ISNUMBER(F464), F464&gt;4, COUNTIFS($A$2:A464, A464, $B$2:B464, B464, $C$2:C464, C464, $F$2:F464, "&gt;4")=1), 1, 0)</f>
        <v>1</v>
      </c>
      <c r="I464" s="10">
        <f t="shared" si="21"/>
        <v>0</v>
      </c>
      <c r="J464" s="10"/>
      <c r="K464" s="7"/>
      <c r="L464" s="7"/>
      <c r="M464" s="7"/>
      <c r="N464" s="10"/>
      <c r="O464" s="11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.75" customHeight="1">
      <c r="A465" s="10" t="s">
        <v>18</v>
      </c>
      <c r="B465" s="7" t="s">
        <v>94</v>
      </c>
      <c r="C465" s="135">
        <v>46262</v>
      </c>
      <c r="D465" s="44" t="s">
        <v>198</v>
      </c>
      <c r="E465" s="35" t="s">
        <v>409</v>
      </c>
      <c r="F465" s="121">
        <v>7.93</v>
      </c>
      <c r="G465" s="122">
        <f t="shared" si="20"/>
        <v>0</v>
      </c>
      <c r="H465" s="123">
        <f>IF(AND(ISNUMBER(F465), F465&gt;4, COUNTIFS($A$2:A465, A465, $B$2:B465, B465, $C$2:C465, C465, $F$2:F465, "&gt;4")=1), 1, 0)</f>
        <v>1</v>
      </c>
      <c r="I465" s="10">
        <f t="shared" si="21"/>
        <v>0</v>
      </c>
      <c r="J465" s="10"/>
      <c r="K465" s="7"/>
      <c r="L465" s="7"/>
      <c r="M465" s="7"/>
      <c r="N465" s="10"/>
      <c r="O465" s="11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.75" customHeight="1">
      <c r="A466" s="10" t="s">
        <v>18</v>
      </c>
      <c r="B466" s="7" t="s">
        <v>94</v>
      </c>
      <c r="C466" s="135">
        <v>46263</v>
      </c>
      <c r="D466" s="44" t="s">
        <v>198</v>
      </c>
      <c r="E466" s="35" t="s">
        <v>481</v>
      </c>
      <c r="F466" s="121">
        <v>7.98</v>
      </c>
      <c r="G466" s="122">
        <f t="shared" si="20"/>
        <v>0</v>
      </c>
      <c r="H466" s="123">
        <f>IF(AND(ISNUMBER(F466), F466&gt;4, COUNTIFS($A$2:A466, A466, $B$2:B466, B466, $C$2:C466, C466, $F$2:F466, "&gt;4")=1), 1, 0)</f>
        <v>1</v>
      </c>
      <c r="I466" s="10">
        <f t="shared" si="21"/>
        <v>0</v>
      </c>
      <c r="J466" s="10"/>
      <c r="K466" s="7"/>
      <c r="L466" s="7"/>
      <c r="M466" s="7"/>
      <c r="N466" s="10"/>
      <c r="O466" s="11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.75" customHeight="1">
      <c r="A467" s="10" t="s">
        <v>18</v>
      </c>
      <c r="B467" s="7" t="s">
        <v>94</v>
      </c>
      <c r="C467" s="135">
        <v>46264</v>
      </c>
      <c r="D467" s="44" t="s">
        <v>198</v>
      </c>
      <c r="E467" s="35" t="s">
        <v>199</v>
      </c>
      <c r="F467" s="121">
        <v>8</v>
      </c>
      <c r="G467" s="122">
        <f t="shared" si="20"/>
        <v>0</v>
      </c>
      <c r="H467" s="123">
        <f>IF(AND(ISNUMBER(F467), F467&gt;4, COUNTIFS($A$2:A467, A467, $B$2:B467, B467, $C$2:C467, C467, $F$2:F467, "&gt;4")=1), 1, 0)</f>
        <v>1</v>
      </c>
      <c r="I467" s="10">
        <f t="shared" si="21"/>
        <v>0</v>
      </c>
      <c r="J467" s="10"/>
      <c r="K467" s="7"/>
      <c r="L467" s="7"/>
      <c r="M467" s="7"/>
      <c r="N467" s="10"/>
      <c r="O467" s="11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.75" customHeight="1">
      <c r="A468" s="10" t="s">
        <v>18</v>
      </c>
      <c r="B468" s="7" t="s">
        <v>94</v>
      </c>
      <c r="C468" s="135">
        <v>46259</v>
      </c>
      <c r="D468" s="44" t="s">
        <v>240</v>
      </c>
      <c r="E468" s="35" t="s">
        <v>278</v>
      </c>
      <c r="F468" s="121">
        <v>6.02</v>
      </c>
      <c r="G468" s="122">
        <f t="shared" si="20"/>
        <v>0</v>
      </c>
      <c r="H468" s="123">
        <f>IF(AND(ISNUMBER(F468), F468&gt;4, COUNTIFS($A$2:A468, A468, $B$2:B468, B468, $C$2:C468, C468, $F$2:F468, "&gt;4")=1), 1, 0)</f>
        <v>1</v>
      </c>
      <c r="I468" s="10">
        <f t="shared" si="21"/>
        <v>0</v>
      </c>
      <c r="J468" s="10"/>
      <c r="K468" s="7"/>
      <c r="L468" s="7"/>
      <c r="M468" s="7"/>
      <c r="N468" s="10"/>
      <c r="O468" s="11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.75" customHeight="1">
      <c r="A469" s="10" t="s">
        <v>18</v>
      </c>
      <c r="B469" s="7" t="s">
        <v>94</v>
      </c>
      <c r="C469" s="135">
        <v>46244</v>
      </c>
      <c r="D469" s="44" t="s">
        <v>242</v>
      </c>
      <c r="E469" s="35" t="s">
        <v>288</v>
      </c>
      <c r="F469" s="121">
        <v>8.0500000000000007</v>
      </c>
      <c r="G469" s="122">
        <f t="shared" si="20"/>
        <v>0</v>
      </c>
      <c r="H469" s="123">
        <f>IF(AND(ISNUMBER(F469), F469&gt;4, COUNTIFS($A$2:A469, A469, $B$2:B469, B469, $C$2:C469, C469, $F$2:F469, "&gt;4")=1), 1, 0)</f>
        <v>0</v>
      </c>
      <c r="I469" s="10">
        <f t="shared" si="21"/>
        <v>1</v>
      </c>
      <c r="J469" s="10"/>
      <c r="K469" s="7"/>
      <c r="L469" s="7"/>
      <c r="M469" s="7"/>
      <c r="N469" s="10"/>
      <c r="O469" s="11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.75" customHeight="1">
      <c r="A470" s="10" t="s">
        <v>18</v>
      </c>
      <c r="B470" s="7" t="s">
        <v>94</v>
      </c>
      <c r="C470" s="135">
        <v>46258</v>
      </c>
      <c r="D470" s="44" t="s">
        <v>242</v>
      </c>
      <c r="E470" s="35" t="s">
        <v>239</v>
      </c>
      <c r="F470" s="121">
        <v>8.07</v>
      </c>
      <c r="G470" s="122">
        <f t="shared" si="20"/>
        <v>0</v>
      </c>
      <c r="H470" s="123">
        <f>IF(AND(ISNUMBER(F470), F470&gt;4, COUNTIFS($A$2:A470, A470, $B$2:B470, B470, $C$2:C470, C470, $F$2:F470, "&gt;4")=1), 1, 0)</f>
        <v>1</v>
      </c>
      <c r="I470" s="10">
        <f t="shared" si="21"/>
        <v>1</v>
      </c>
      <c r="J470" s="10"/>
      <c r="K470" s="7"/>
      <c r="L470" s="7"/>
      <c r="M470" s="7"/>
      <c r="N470" s="10"/>
      <c r="O470" s="11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.75" customHeight="1">
      <c r="A471" s="10" t="s">
        <v>18</v>
      </c>
      <c r="B471" s="7" t="s">
        <v>94</v>
      </c>
      <c r="C471" s="135">
        <v>46261</v>
      </c>
      <c r="D471" s="44" t="s">
        <v>242</v>
      </c>
      <c r="E471" s="35" t="s">
        <v>239</v>
      </c>
      <c r="F471" s="121">
        <v>8.07</v>
      </c>
      <c r="G471" s="122">
        <f t="shared" si="20"/>
        <v>0</v>
      </c>
      <c r="H471" s="123">
        <f>IF(AND(ISNUMBER(F471), F471&gt;4, COUNTIFS($A$2:A471, A471, $B$2:B471, B471, $C$2:C471, C471, $F$2:F471, "&gt;4")=1), 1, 0)</f>
        <v>1</v>
      </c>
      <c r="I471" s="10">
        <f t="shared" si="21"/>
        <v>1</v>
      </c>
      <c r="J471" s="10"/>
      <c r="K471" s="7"/>
      <c r="L471" s="7"/>
      <c r="M471" s="7"/>
      <c r="N471" s="10"/>
      <c r="O471" s="11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.75" customHeight="1">
      <c r="A472" s="10" t="s">
        <v>18</v>
      </c>
      <c r="B472" s="7" t="s">
        <v>94</v>
      </c>
      <c r="C472" s="135">
        <v>46265</v>
      </c>
      <c r="D472" s="44" t="s">
        <v>242</v>
      </c>
      <c r="E472" s="35" t="s">
        <v>329</v>
      </c>
      <c r="F472" s="121">
        <v>8.0299999999999994</v>
      </c>
      <c r="G472" s="122">
        <f t="shared" si="20"/>
        <v>0</v>
      </c>
      <c r="H472" s="123">
        <f>IF(AND(ISNUMBER(F472), F472&gt;4, COUNTIFS($A$2:A472, A472, $B$2:B472, B472, $C$2:C472, C472, $F$2:F472, "&gt;4")=1), 1, 0)</f>
        <v>1</v>
      </c>
      <c r="I472" s="10">
        <f t="shared" si="21"/>
        <v>1</v>
      </c>
      <c r="J472" s="10"/>
      <c r="K472" s="7"/>
      <c r="L472" s="7"/>
      <c r="M472" s="7"/>
      <c r="N472" s="10"/>
      <c r="O472" s="11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.75" customHeight="1">
      <c r="A473" s="10" t="s">
        <v>19</v>
      </c>
      <c r="B473" s="7" t="s">
        <v>101</v>
      </c>
      <c r="C473" s="135">
        <v>46253</v>
      </c>
      <c r="D473" s="44" t="s">
        <v>222</v>
      </c>
      <c r="E473" s="35" t="s">
        <v>280</v>
      </c>
      <c r="F473" s="121">
        <v>8.25</v>
      </c>
      <c r="G473" s="122">
        <f t="shared" si="20"/>
        <v>0</v>
      </c>
      <c r="H473" s="123">
        <f>IF(AND(ISNUMBER(F473), F473&gt;4, COUNTIFS($A$2:A473, A473, $B$2:B473, B473, $C$2:C473, C473, $F$2:F473, "&gt;4")=1), 1, 0)</f>
        <v>1</v>
      </c>
      <c r="I473" s="10">
        <f t="shared" si="21"/>
        <v>0</v>
      </c>
      <c r="J473" s="10"/>
      <c r="K473" s="7"/>
      <c r="L473" s="7"/>
      <c r="M473" s="7"/>
      <c r="N473" s="10"/>
      <c r="O473" s="11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.75" customHeight="1">
      <c r="A474" s="10" t="s">
        <v>19</v>
      </c>
      <c r="B474" s="7" t="s">
        <v>96</v>
      </c>
      <c r="C474" s="135">
        <v>46243</v>
      </c>
      <c r="D474" s="44" t="s">
        <v>255</v>
      </c>
      <c r="E474" s="35" t="s">
        <v>289</v>
      </c>
      <c r="F474" s="121">
        <v>0.92</v>
      </c>
      <c r="G474" s="122">
        <f t="shared" si="20"/>
        <v>1</v>
      </c>
      <c r="H474" s="123">
        <f>IF(AND(ISNUMBER(F474), F474&gt;4, COUNTIFS($A$2:A474, A474, $B$2:B474, B474, $C$2:C474, C474, $F$2:F474, "&gt;4")=1), 1, 0)</f>
        <v>0</v>
      </c>
      <c r="I474" s="10">
        <f t="shared" si="21"/>
        <v>0</v>
      </c>
      <c r="J474" s="10"/>
      <c r="K474" s="7"/>
      <c r="L474" s="7"/>
      <c r="M474" s="7"/>
      <c r="N474" s="10"/>
      <c r="O474" s="11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.75" customHeight="1">
      <c r="A475" s="10" t="s">
        <v>19</v>
      </c>
      <c r="B475" s="7" t="s">
        <v>96</v>
      </c>
      <c r="C475" s="135">
        <v>46263</v>
      </c>
      <c r="D475" s="44" t="s">
        <v>255</v>
      </c>
      <c r="E475" s="35" t="s">
        <v>581</v>
      </c>
      <c r="F475" s="121">
        <v>3.35</v>
      </c>
      <c r="G475" s="122">
        <f t="shared" si="20"/>
        <v>1</v>
      </c>
      <c r="H475" s="123">
        <f>IF(AND(ISNUMBER(F475), F475&gt;4, COUNTIFS($A$2:A475, A475, $B$2:B475, B475, $C$2:C475, C475, $F$2:F475, "&gt;4")=1), 1, 0)</f>
        <v>0</v>
      </c>
      <c r="I475" s="10">
        <f t="shared" si="21"/>
        <v>0</v>
      </c>
      <c r="J475" s="10"/>
      <c r="K475" s="7"/>
      <c r="L475" s="7"/>
      <c r="M475" s="7"/>
      <c r="N475" s="10"/>
      <c r="O475" s="11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.75" customHeight="1">
      <c r="A476" s="10" t="s">
        <v>19</v>
      </c>
      <c r="B476" s="7" t="s">
        <v>96</v>
      </c>
      <c r="C476" s="135">
        <v>46240</v>
      </c>
      <c r="D476" s="44" t="s">
        <v>257</v>
      </c>
      <c r="E476" s="35" t="s">
        <v>282</v>
      </c>
      <c r="F476" s="121">
        <v>2</v>
      </c>
      <c r="G476" s="122">
        <f t="shared" si="20"/>
        <v>1</v>
      </c>
      <c r="H476" s="123">
        <f>IF(AND(ISNUMBER(F476), F476&gt;4, COUNTIFS($A$2:A476, A476, $B$2:B476, B476, $C$2:C476, C476, $F$2:F476, "&gt;4")=1), 1, 0)</f>
        <v>0</v>
      </c>
      <c r="I476" s="10">
        <f t="shared" si="21"/>
        <v>0</v>
      </c>
      <c r="J476" s="10"/>
      <c r="K476" s="7"/>
      <c r="L476" s="7"/>
      <c r="M476" s="7"/>
      <c r="N476" s="10"/>
      <c r="O476" s="11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.75" customHeight="1">
      <c r="A477" s="10" t="s">
        <v>19</v>
      </c>
      <c r="B477" s="7" t="s">
        <v>96</v>
      </c>
      <c r="C477" s="135">
        <v>46243</v>
      </c>
      <c r="D477" s="44" t="s">
        <v>283</v>
      </c>
      <c r="E477" s="35" t="s">
        <v>582</v>
      </c>
      <c r="F477" s="121">
        <v>1</v>
      </c>
      <c r="G477" s="122">
        <f t="shared" si="20"/>
        <v>1</v>
      </c>
      <c r="H477" s="123">
        <f>IF(AND(ISNUMBER(F477), F477&gt;4, COUNTIFS($A$2:A477, A477, $B$2:B477, B477, $C$2:C477, C477, $F$2:F477, "&gt;4")=1), 1, 0)</f>
        <v>0</v>
      </c>
      <c r="I477" s="10">
        <f t="shared" si="21"/>
        <v>0</v>
      </c>
      <c r="J477" s="10"/>
      <c r="K477" s="7"/>
      <c r="L477" s="7"/>
      <c r="M477" s="7"/>
      <c r="N477" s="10"/>
      <c r="O477" s="11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.75" customHeight="1">
      <c r="A478" s="10" t="s">
        <v>19</v>
      </c>
      <c r="B478" s="7" t="s">
        <v>96</v>
      </c>
      <c r="C478" s="135">
        <v>46248</v>
      </c>
      <c r="D478" s="44" t="s">
        <v>283</v>
      </c>
      <c r="E478" s="35" t="s">
        <v>583</v>
      </c>
      <c r="F478" s="121">
        <v>1.02</v>
      </c>
      <c r="G478" s="122">
        <f t="shared" si="20"/>
        <v>1</v>
      </c>
      <c r="H478" s="123">
        <f>IF(AND(ISNUMBER(F478), F478&gt;4, COUNTIFS($A$2:A478, A478, $B$2:B478, B478, $C$2:C478, C478, $F$2:F478, "&gt;4")=1), 1, 0)</f>
        <v>0</v>
      </c>
      <c r="I478" s="10">
        <f t="shared" si="21"/>
        <v>0</v>
      </c>
      <c r="J478" s="10"/>
      <c r="K478" s="7"/>
      <c r="L478" s="7"/>
      <c r="M478" s="7"/>
      <c r="N478" s="10"/>
      <c r="O478" s="11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.75" customHeight="1">
      <c r="A479" s="10" t="s">
        <v>19</v>
      </c>
      <c r="B479" s="7" t="s">
        <v>96</v>
      </c>
      <c r="C479" s="135">
        <v>46255</v>
      </c>
      <c r="D479" s="44" t="s">
        <v>283</v>
      </c>
      <c r="E479" s="35" t="s">
        <v>524</v>
      </c>
      <c r="F479" s="121">
        <v>0.97</v>
      </c>
      <c r="G479" s="122">
        <f t="shared" si="20"/>
        <v>1</v>
      </c>
      <c r="H479" s="123">
        <f>IF(AND(ISNUMBER(F479), F479&gt;4, COUNTIFS($A$2:A479, A479, $B$2:B479, B479, $C$2:C479, C479, $F$2:F479, "&gt;4")=1), 1, 0)</f>
        <v>0</v>
      </c>
      <c r="I479" s="10">
        <f t="shared" si="21"/>
        <v>0</v>
      </c>
      <c r="J479" s="10"/>
      <c r="K479" s="7"/>
      <c r="L479" s="7"/>
      <c r="M479" s="7"/>
      <c r="N479" s="10"/>
      <c r="O479" s="11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.75" customHeight="1">
      <c r="A480" s="10" t="s">
        <v>19</v>
      </c>
      <c r="B480" s="7" t="s">
        <v>96</v>
      </c>
      <c r="C480" s="135">
        <v>46260</v>
      </c>
      <c r="D480" s="44" t="s">
        <v>283</v>
      </c>
      <c r="E480" s="35" t="s">
        <v>584</v>
      </c>
      <c r="F480" s="121">
        <v>0.95</v>
      </c>
      <c r="G480" s="122">
        <f t="shared" si="20"/>
        <v>1</v>
      </c>
      <c r="H480" s="123">
        <f>IF(AND(ISNUMBER(F480), F480&gt;4, COUNTIFS($A$2:A480, A480, $B$2:B480, B480, $C$2:C480, C480, $F$2:F480, "&gt;4")=1), 1, 0)</f>
        <v>0</v>
      </c>
      <c r="I480" s="10">
        <f t="shared" si="21"/>
        <v>0</v>
      </c>
      <c r="J480" s="10"/>
      <c r="K480" s="7"/>
      <c r="L480" s="7"/>
      <c r="M480" s="7"/>
      <c r="N480" s="10"/>
      <c r="O480" s="11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.75" customHeight="1">
      <c r="A481" s="10" t="s">
        <v>19</v>
      </c>
      <c r="B481" s="7" t="s">
        <v>96</v>
      </c>
      <c r="C481" s="135">
        <v>46235</v>
      </c>
      <c r="D481" s="44" t="s">
        <v>285</v>
      </c>
      <c r="E481" s="35" t="s">
        <v>207</v>
      </c>
      <c r="F481" s="121">
        <v>8.1</v>
      </c>
      <c r="G481" s="122">
        <f t="shared" si="20"/>
        <v>0</v>
      </c>
      <c r="H481" s="123">
        <f>IF(AND(ISNUMBER(F481), F481&gt;4, COUNTIFS($A$2:A481, A481, $B$2:B481, B481, $C$2:C481, C481, $F$2:F481, "&gt;4")=1), 1, 0)</f>
        <v>1</v>
      </c>
      <c r="I481" s="10">
        <f t="shared" si="21"/>
        <v>1</v>
      </c>
      <c r="J481" s="10"/>
      <c r="K481" s="7"/>
      <c r="L481" s="7"/>
      <c r="M481" s="7"/>
      <c r="N481" s="10"/>
      <c r="O481" s="11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.75" customHeight="1">
      <c r="A482" s="10" t="s">
        <v>19</v>
      </c>
      <c r="B482" s="7" t="s">
        <v>96</v>
      </c>
      <c r="C482" s="135">
        <v>46236</v>
      </c>
      <c r="D482" s="44" t="s">
        <v>285</v>
      </c>
      <c r="E482" s="35" t="s">
        <v>476</v>
      </c>
      <c r="F482" s="121">
        <v>8.1199999999999992</v>
      </c>
      <c r="G482" s="122">
        <f t="shared" si="20"/>
        <v>0</v>
      </c>
      <c r="H482" s="123">
        <f>IF(AND(ISNUMBER(F482), F482&gt;4, COUNTIFS($A$2:A482, A482, $B$2:B482, B482, $C$2:C482, C482, $F$2:F482, "&gt;4")=1), 1, 0)</f>
        <v>1</v>
      </c>
      <c r="I482" s="10">
        <f t="shared" si="21"/>
        <v>1</v>
      </c>
      <c r="J482" s="10"/>
      <c r="K482" s="7"/>
      <c r="L482" s="7"/>
      <c r="M482" s="7"/>
      <c r="N482" s="10"/>
      <c r="O482" s="11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.75" customHeight="1">
      <c r="A483" s="10" t="s">
        <v>19</v>
      </c>
      <c r="B483" s="7" t="s">
        <v>96</v>
      </c>
      <c r="C483" s="135">
        <v>46237</v>
      </c>
      <c r="D483" s="44" t="s">
        <v>285</v>
      </c>
      <c r="E483" s="35" t="s">
        <v>207</v>
      </c>
      <c r="F483" s="121">
        <v>8.1</v>
      </c>
      <c r="G483" s="122">
        <f t="shared" si="20"/>
        <v>0</v>
      </c>
      <c r="H483" s="123">
        <f>IF(AND(ISNUMBER(F483), F483&gt;4, COUNTIFS($A$2:A483, A483, $B$2:B483, B483, $C$2:C483, C483, $F$2:F483, "&gt;4")=1), 1, 0)</f>
        <v>1</v>
      </c>
      <c r="I483" s="10">
        <f t="shared" si="21"/>
        <v>1</v>
      </c>
      <c r="J483" s="10"/>
      <c r="K483" s="7"/>
      <c r="L483" s="7"/>
      <c r="M483" s="7"/>
      <c r="N483" s="10"/>
      <c r="O483" s="11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.75" customHeight="1">
      <c r="A484" s="10" t="s">
        <v>19</v>
      </c>
      <c r="B484" s="7" t="s">
        <v>96</v>
      </c>
      <c r="C484" s="135">
        <v>46238</v>
      </c>
      <c r="D484" s="44" t="s">
        <v>285</v>
      </c>
      <c r="E484" s="35" t="s">
        <v>511</v>
      </c>
      <c r="F484" s="121">
        <v>8.1300000000000008</v>
      </c>
      <c r="G484" s="122">
        <f t="shared" si="20"/>
        <v>0</v>
      </c>
      <c r="H484" s="123">
        <f>IF(AND(ISNUMBER(F484), F484&gt;4, COUNTIFS($A$2:A484, A484, $B$2:B484, B484, $C$2:C484, C484, $F$2:F484, "&gt;4")=1), 1, 0)</f>
        <v>1</v>
      </c>
      <c r="I484" s="10">
        <f t="shared" si="21"/>
        <v>1</v>
      </c>
      <c r="J484" s="10"/>
      <c r="K484" s="7"/>
      <c r="L484" s="7"/>
      <c r="M484" s="7"/>
      <c r="N484" s="10"/>
      <c r="O484" s="11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.75" customHeight="1">
      <c r="A485" s="10" t="s">
        <v>19</v>
      </c>
      <c r="B485" s="7" t="s">
        <v>96</v>
      </c>
      <c r="C485" s="135">
        <v>46239</v>
      </c>
      <c r="D485" s="44" t="s">
        <v>285</v>
      </c>
      <c r="E485" s="35" t="s">
        <v>476</v>
      </c>
      <c r="F485" s="121">
        <v>8.1199999999999992</v>
      </c>
      <c r="G485" s="122">
        <f t="shared" si="20"/>
        <v>0</v>
      </c>
      <c r="H485" s="123">
        <f>IF(AND(ISNUMBER(F485), F485&gt;4, COUNTIFS($A$2:A485, A485, $B$2:B485, B485, $C$2:C485, C485, $F$2:F485, "&gt;4")=1), 1, 0)</f>
        <v>1</v>
      </c>
      <c r="I485" s="10">
        <f t="shared" si="21"/>
        <v>1</v>
      </c>
      <c r="J485" s="10"/>
      <c r="K485" s="7"/>
      <c r="L485" s="7"/>
      <c r="M485" s="7"/>
      <c r="N485" s="10"/>
      <c r="O485" s="11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.75" customHeight="1">
      <c r="A486" s="10" t="s">
        <v>19</v>
      </c>
      <c r="B486" s="7" t="s">
        <v>96</v>
      </c>
      <c r="C486" s="135">
        <v>46240</v>
      </c>
      <c r="D486" s="44" t="s">
        <v>285</v>
      </c>
      <c r="E486" s="35" t="s">
        <v>288</v>
      </c>
      <c r="F486" s="121">
        <v>8.0500000000000007</v>
      </c>
      <c r="G486" s="122">
        <f t="shared" si="20"/>
        <v>0</v>
      </c>
      <c r="H486" s="123">
        <f>IF(AND(ISNUMBER(F486), F486&gt;4, COUNTIFS($A$2:A486, A486, $B$2:B486, B486, $C$2:C486, C486, $F$2:F486, "&gt;4")=1), 1, 0)</f>
        <v>1</v>
      </c>
      <c r="I486" s="10">
        <f t="shared" si="21"/>
        <v>1</v>
      </c>
      <c r="J486" s="10"/>
      <c r="K486" s="7"/>
      <c r="L486" s="7"/>
      <c r="M486" s="7"/>
      <c r="N486" s="10"/>
      <c r="O486" s="11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.75" customHeight="1">
      <c r="A487" s="10" t="s">
        <v>19</v>
      </c>
      <c r="B487" s="7" t="s">
        <v>96</v>
      </c>
      <c r="C487" s="135">
        <v>46241</v>
      </c>
      <c r="D487" s="44" t="s">
        <v>285</v>
      </c>
      <c r="E487" s="35" t="s">
        <v>476</v>
      </c>
      <c r="F487" s="121">
        <v>8.1199999999999992</v>
      </c>
      <c r="G487" s="122">
        <f t="shared" si="20"/>
        <v>0</v>
      </c>
      <c r="H487" s="123">
        <f>IF(AND(ISNUMBER(F487), F487&gt;4, COUNTIFS($A$2:A487, A487, $B$2:B487, B487, $C$2:C487, C487, $F$2:F487, "&gt;4")=1), 1, 0)</f>
        <v>1</v>
      </c>
      <c r="I487" s="10">
        <f t="shared" si="21"/>
        <v>1</v>
      </c>
      <c r="J487" s="10"/>
      <c r="K487" s="7"/>
      <c r="L487" s="7"/>
      <c r="M487" s="7"/>
      <c r="N487" s="10"/>
      <c r="O487" s="11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.75" customHeight="1">
      <c r="A488" s="10" t="s">
        <v>19</v>
      </c>
      <c r="B488" s="7" t="s">
        <v>96</v>
      </c>
      <c r="C488" s="135">
        <v>46242</v>
      </c>
      <c r="D488" s="44" t="s">
        <v>285</v>
      </c>
      <c r="E488" s="35" t="s">
        <v>288</v>
      </c>
      <c r="F488" s="121">
        <v>8.0500000000000007</v>
      </c>
      <c r="G488" s="122">
        <f t="shared" si="20"/>
        <v>0</v>
      </c>
      <c r="H488" s="123">
        <f>IF(AND(ISNUMBER(F488), F488&gt;4, COUNTIFS($A$2:A488, A488, $B$2:B488, B488, $C$2:C488, C488, $F$2:F488, "&gt;4")=1), 1, 0)</f>
        <v>1</v>
      </c>
      <c r="I488" s="10">
        <f t="shared" si="21"/>
        <v>1</v>
      </c>
      <c r="J488" s="10"/>
      <c r="K488" s="7"/>
      <c r="L488" s="7"/>
      <c r="M488" s="7"/>
      <c r="N488" s="10"/>
      <c r="O488" s="11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.75" customHeight="1">
      <c r="A489" s="10" t="s">
        <v>19</v>
      </c>
      <c r="B489" s="7" t="s">
        <v>96</v>
      </c>
      <c r="C489" s="135">
        <v>46243</v>
      </c>
      <c r="D489" s="44" t="s">
        <v>285</v>
      </c>
      <c r="E489" s="35" t="s">
        <v>329</v>
      </c>
      <c r="F489" s="121">
        <v>8.0299999999999994</v>
      </c>
      <c r="G489" s="122">
        <f t="shared" si="20"/>
        <v>0</v>
      </c>
      <c r="H489" s="123">
        <f>IF(AND(ISNUMBER(F489), F489&gt;4, COUNTIFS($A$2:A489, A489, $B$2:B489, B489, $C$2:C489, C489, $F$2:F489, "&gt;4")=1), 1, 0)</f>
        <v>1</v>
      </c>
      <c r="I489" s="10">
        <f t="shared" si="21"/>
        <v>1</v>
      </c>
      <c r="J489" s="10"/>
      <c r="K489" s="7"/>
      <c r="L489" s="7"/>
      <c r="M489" s="7"/>
      <c r="N489" s="10"/>
      <c r="O489" s="11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.75" customHeight="1">
      <c r="A490" s="10" t="s">
        <v>19</v>
      </c>
      <c r="B490" s="7" t="s">
        <v>96</v>
      </c>
      <c r="C490" s="135">
        <v>46245</v>
      </c>
      <c r="D490" s="44" t="s">
        <v>285</v>
      </c>
      <c r="E490" s="35" t="s">
        <v>499</v>
      </c>
      <c r="F490" s="121">
        <v>8.15</v>
      </c>
      <c r="G490" s="122">
        <f t="shared" si="20"/>
        <v>0</v>
      </c>
      <c r="H490" s="123">
        <f>IF(AND(ISNUMBER(F490), F490&gt;4, COUNTIFS($A$2:A490, A490, $B$2:B490, B490, $C$2:C490, C490, $F$2:F490, "&gt;4")=1), 1, 0)</f>
        <v>1</v>
      </c>
      <c r="I490" s="10">
        <f t="shared" si="21"/>
        <v>1</v>
      </c>
      <c r="J490" s="10"/>
      <c r="K490" s="7"/>
      <c r="L490" s="7"/>
      <c r="M490" s="7"/>
      <c r="N490" s="10"/>
      <c r="O490" s="11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.75" customHeight="1">
      <c r="A491" s="10" t="s">
        <v>19</v>
      </c>
      <c r="B491" s="7" t="s">
        <v>96</v>
      </c>
      <c r="C491" s="135">
        <v>46246</v>
      </c>
      <c r="D491" s="44" t="s">
        <v>285</v>
      </c>
      <c r="E491" s="35" t="s">
        <v>207</v>
      </c>
      <c r="F491" s="121">
        <v>8.1</v>
      </c>
      <c r="G491" s="122">
        <f t="shared" si="20"/>
        <v>0</v>
      </c>
      <c r="H491" s="123">
        <f>IF(AND(ISNUMBER(F491), F491&gt;4, COUNTIFS($A$2:A491, A491, $B$2:B491, B491, $C$2:C491, C491, $F$2:F491, "&gt;4")=1), 1, 0)</f>
        <v>1</v>
      </c>
      <c r="I491" s="10">
        <f t="shared" si="21"/>
        <v>1</v>
      </c>
      <c r="J491" s="10"/>
      <c r="K491" s="7"/>
      <c r="L491" s="7"/>
      <c r="M491" s="7"/>
      <c r="N491" s="10"/>
      <c r="O491" s="11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.75" customHeight="1">
      <c r="A492" s="10" t="s">
        <v>19</v>
      </c>
      <c r="B492" s="7" t="s">
        <v>96</v>
      </c>
      <c r="C492" s="135">
        <v>46247</v>
      </c>
      <c r="D492" s="44" t="s">
        <v>285</v>
      </c>
      <c r="E492" s="35" t="s">
        <v>511</v>
      </c>
      <c r="F492" s="121">
        <v>8.1300000000000008</v>
      </c>
      <c r="G492" s="122">
        <f t="shared" si="20"/>
        <v>0</v>
      </c>
      <c r="H492" s="123">
        <f>IF(AND(ISNUMBER(F492), F492&gt;4, COUNTIFS($A$2:A492, A492, $B$2:B492, B492, $C$2:C492, C492, $F$2:F492, "&gt;4")=1), 1, 0)</f>
        <v>1</v>
      </c>
      <c r="I492" s="10">
        <f t="shared" si="21"/>
        <v>1</v>
      </c>
      <c r="J492" s="10"/>
      <c r="K492" s="7"/>
      <c r="L492" s="7"/>
      <c r="M492" s="7"/>
      <c r="N492" s="10"/>
      <c r="O492" s="11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.75" customHeight="1">
      <c r="A493" s="10" t="s">
        <v>19</v>
      </c>
      <c r="B493" s="7" t="s">
        <v>96</v>
      </c>
      <c r="C493" s="135">
        <v>46248</v>
      </c>
      <c r="D493" s="44" t="s">
        <v>285</v>
      </c>
      <c r="E493" s="35" t="s">
        <v>288</v>
      </c>
      <c r="F493" s="121">
        <v>8.0500000000000007</v>
      </c>
      <c r="G493" s="122">
        <f t="shared" si="20"/>
        <v>0</v>
      </c>
      <c r="H493" s="123">
        <f>IF(AND(ISNUMBER(F493), F493&gt;4, COUNTIFS($A$2:A493, A493, $B$2:B493, B493, $C$2:C493, C493, $F$2:F493, "&gt;4")=1), 1, 0)</f>
        <v>1</v>
      </c>
      <c r="I493" s="10">
        <f t="shared" si="21"/>
        <v>1</v>
      </c>
      <c r="J493" s="10"/>
      <c r="K493" s="7"/>
      <c r="L493" s="7"/>
      <c r="M493" s="7"/>
      <c r="N493" s="10"/>
      <c r="O493" s="11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.75" customHeight="1">
      <c r="A494" s="10" t="s">
        <v>19</v>
      </c>
      <c r="B494" s="7" t="s">
        <v>96</v>
      </c>
      <c r="C494" s="135">
        <v>46249</v>
      </c>
      <c r="D494" s="44" t="s">
        <v>285</v>
      </c>
      <c r="E494" s="35" t="s">
        <v>511</v>
      </c>
      <c r="F494" s="121">
        <v>8.1300000000000008</v>
      </c>
      <c r="G494" s="122">
        <f t="shared" si="20"/>
        <v>0</v>
      </c>
      <c r="H494" s="123">
        <f>IF(AND(ISNUMBER(F494), F494&gt;4, COUNTIFS($A$2:A494, A494, $B$2:B494, B494, $C$2:C494, C494, $F$2:F494, "&gt;4")=1), 1, 0)</f>
        <v>1</v>
      </c>
      <c r="I494" s="10">
        <f t="shared" si="21"/>
        <v>1</v>
      </c>
      <c r="J494" s="10"/>
      <c r="K494" s="7"/>
      <c r="L494" s="7"/>
      <c r="M494" s="7"/>
      <c r="N494" s="10"/>
      <c r="O494" s="113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.75" customHeight="1">
      <c r="A495" s="10" t="s">
        <v>19</v>
      </c>
      <c r="B495" s="7" t="s">
        <v>96</v>
      </c>
      <c r="C495" s="135">
        <v>46250</v>
      </c>
      <c r="D495" s="44" t="s">
        <v>285</v>
      </c>
      <c r="E495" s="35" t="s">
        <v>476</v>
      </c>
      <c r="F495" s="121">
        <v>8.1199999999999992</v>
      </c>
      <c r="G495" s="122">
        <f t="shared" si="20"/>
        <v>0</v>
      </c>
      <c r="H495" s="123">
        <f>IF(AND(ISNUMBER(F495), F495&gt;4, COUNTIFS($A$2:A495, A495, $B$2:B495, B495, $C$2:C495, C495, $F$2:F495, "&gt;4")=1), 1, 0)</f>
        <v>1</v>
      </c>
      <c r="I495" s="10">
        <f t="shared" si="21"/>
        <v>1</v>
      </c>
      <c r="J495" s="10"/>
      <c r="K495" s="7"/>
      <c r="L495" s="7"/>
      <c r="M495" s="7"/>
      <c r="N495" s="10"/>
      <c r="O495" s="113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.75" customHeight="1">
      <c r="A496" s="10" t="s">
        <v>19</v>
      </c>
      <c r="B496" s="7" t="s">
        <v>96</v>
      </c>
      <c r="C496" s="135">
        <v>46251</v>
      </c>
      <c r="D496" s="44" t="s">
        <v>285</v>
      </c>
      <c r="E496" s="35" t="s">
        <v>214</v>
      </c>
      <c r="F496" s="121">
        <v>8.08</v>
      </c>
      <c r="G496" s="122">
        <f t="shared" si="20"/>
        <v>0</v>
      </c>
      <c r="H496" s="123">
        <f>IF(AND(ISNUMBER(F496), F496&gt;4, COUNTIFS($A$2:A496, A496, $B$2:B496, B496, $C$2:C496, C496, $F$2:F496, "&gt;4")=1), 1, 0)</f>
        <v>1</v>
      </c>
      <c r="I496" s="10">
        <f t="shared" si="21"/>
        <v>1</v>
      </c>
      <c r="J496" s="10"/>
      <c r="K496" s="7"/>
      <c r="L496" s="7"/>
      <c r="M496" s="7"/>
      <c r="N496" s="10"/>
      <c r="O496" s="11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5.75" customHeight="1">
      <c r="A497" s="10" t="s">
        <v>19</v>
      </c>
      <c r="B497" s="7" t="s">
        <v>96</v>
      </c>
      <c r="C497" s="135">
        <v>46252</v>
      </c>
      <c r="D497" s="44" t="s">
        <v>285</v>
      </c>
      <c r="E497" s="35" t="s">
        <v>239</v>
      </c>
      <c r="F497" s="121">
        <v>8.07</v>
      </c>
      <c r="G497" s="122">
        <f t="shared" si="20"/>
        <v>0</v>
      </c>
      <c r="H497" s="123">
        <f>IF(AND(ISNUMBER(F497), F497&gt;4, COUNTIFS($A$2:A497, A497, $B$2:B497, B497, $C$2:C497, C497, $F$2:F497, "&gt;4")=1), 1, 0)</f>
        <v>1</v>
      </c>
      <c r="I497" s="10">
        <f t="shared" si="21"/>
        <v>1</v>
      </c>
      <c r="J497" s="10"/>
      <c r="K497" s="7"/>
      <c r="L497" s="7"/>
      <c r="M497" s="7"/>
      <c r="N497" s="10"/>
      <c r="O497" s="11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5.75" customHeight="1">
      <c r="A498" s="10" t="s">
        <v>19</v>
      </c>
      <c r="B498" s="7" t="s">
        <v>96</v>
      </c>
      <c r="C498" s="135">
        <v>46253</v>
      </c>
      <c r="D498" s="44" t="s">
        <v>285</v>
      </c>
      <c r="E498" s="35" t="s">
        <v>511</v>
      </c>
      <c r="F498" s="121">
        <v>8.1300000000000008</v>
      </c>
      <c r="G498" s="122">
        <f t="shared" si="20"/>
        <v>0</v>
      </c>
      <c r="H498" s="123">
        <f>IF(AND(ISNUMBER(F498), F498&gt;4, COUNTIFS($A$2:A498, A498, $B$2:B498, B498, $C$2:C498, C498, $F$2:F498, "&gt;4")=1), 1, 0)</f>
        <v>1</v>
      </c>
      <c r="I498" s="10">
        <f t="shared" si="21"/>
        <v>1</v>
      </c>
      <c r="J498" s="10"/>
      <c r="K498" s="7"/>
      <c r="L498" s="7"/>
      <c r="M498" s="7"/>
      <c r="N498" s="10"/>
      <c r="O498" s="11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5.75" customHeight="1">
      <c r="A499" s="10" t="s">
        <v>19</v>
      </c>
      <c r="B499" s="7" t="s">
        <v>96</v>
      </c>
      <c r="C499" s="135">
        <v>46254</v>
      </c>
      <c r="D499" s="44" t="s">
        <v>285</v>
      </c>
      <c r="E499" s="35" t="s">
        <v>214</v>
      </c>
      <c r="F499" s="121">
        <v>8.08</v>
      </c>
      <c r="G499" s="122">
        <f t="shared" si="20"/>
        <v>0</v>
      </c>
      <c r="H499" s="123">
        <f>IF(AND(ISNUMBER(F499), F499&gt;4, COUNTIFS($A$2:A499, A499, $B$2:B499, B499, $C$2:C499, C499, $F$2:F499, "&gt;4")=1), 1, 0)</f>
        <v>1</v>
      </c>
      <c r="I499" s="10">
        <f t="shared" si="21"/>
        <v>1</v>
      </c>
      <c r="J499" s="10"/>
      <c r="K499" s="7"/>
      <c r="L499" s="7"/>
      <c r="M499" s="7"/>
      <c r="N499" s="10"/>
      <c r="O499" s="11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5.75" customHeight="1">
      <c r="A500" s="10" t="s">
        <v>19</v>
      </c>
      <c r="B500" s="7" t="s">
        <v>96</v>
      </c>
      <c r="C500" s="135">
        <v>46255</v>
      </c>
      <c r="D500" s="44" t="s">
        <v>285</v>
      </c>
      <c r="E500" s="35" t="s">
        <v>329</v>
      </c>
      <c r="F500" s="121">
        <v>8.0299999999999994</v>
      </c>
      <c r="G500" s="122">
        <f t="shared" si="20"/>
        <v>0</v>
      </c>
      <c r="H500" s="123">
        <f>IF(AND(ISNUMBER(F500), F500&gt;4, COUNTIFS($A$2:A500, A500, $B$2:B500, B500, $C$2:C500, C500, $F$2:F500, "&gt;4")=1), 1, 0)</f>
        <v>1</v>
      </c>
      <c r="I500" s="10">
        <f t="shared" si="21"/>
        <v>1</v>
      </c>
      <c r="J500" s="10"/>
      <c r="K500" s="7"/>
      <c r="L500" s="7"/>
      <c r="M500" s="7"/>
      <c r="N500" s="10"/>
      <c r="O500" s="11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5.75" customHeight="1">
      <c r="A501" s="10" t="s">
        <v>19</v>
      </c>
      <c r="B501" s="7" t="s">
        <v>96</v>
      </c>
      <c r="C501" s="135">
        <v>46256</v>
      </c>
      <c r="D501" s="44" t="s">
        <v>285</v>
      </c>
      <c r="E501" s="35" t="s">
        <v>207</v>
      </c>
      <c r="F501" s="121">
        <v>8.1</v>
      </c>
      <c r="G501" s="122">
        <f t="shared" si="20"/>
        <v>0</v>
      </c>
      <c r="H501" s="123">
        <f>IF(AND(ISNUMBER(F501), F501&gt;4, COUNTIFS($A$2:A501, A501, $B$2:B501, B501, $C$2:C501, C501, $F$2:F501, "&gt;4")=1), 1, 0)</f>
        <v>1</v>
      </c>
      <c r="I501" s="10">
        <f t="shared" si="21"/>
        <v>1</v>
      </c>
      <c r="J501" s="10"/>
      <c r="K501" s="7"/>
      <c r="L501" s="7"/>
      <c r="M501" s="7"/>
      <c r="N501" s="10"/>
      <c r="O501" s="11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5.75" customHeight="1">
      <c r="A502" s="10" t="s">
        <v>19</v>
      </c>
      <c r="B502" s="7" t="s">
        <v>96</v>
      </c>
      <c r="C502" s="135">
        <v>46257</v>
      </c>
      <c r="D502" s="44" t="s">
        <v>285</v>
      </c>
      <c r="E502" s="35" t="s">
        <v>479</v>
      </c>
      <c r="F502" s="121">
        <v>8.02</v>
      </c>
      <c r="G502" s="122">
        <f t="shared" si="20"/>
        <v>0</v>
      </c>
      <c r="H502" s="123">
        <f>IF(AND(ISNUMBER(F502), F502&gt;4, COUNTIFS($A$2:A502, A502, $B$2:B502, B502, $C$2:C502, C502, $F$2:F502, "&gt;4")=1), 1, 0)</f>
        <v>1</v>
      </c>
      <c r="I502" s="10">
        <f t="shared" si="21"/>
        <v>1</v>
      </c>
      <c r="J502" s="10"/>
      <c r="K502" s="7"/>
      <c r="L502" s="7"/>
      <c r="M502" s="7"/>
      <c r="N502" s="10"/>
      <c r="O502" s="11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5.75" customHeight="1">
      <c r="A503" s="10" t="s">
        <v>19</v>
      </c>
      <c r="B503" s="7" t="s">
        <v>96</v>
      </c>
      <c r="C503" s="135">
        <v>46258</v>
      </c>
      <c r="D503" s="44" t="s">
        <v>285</v>
      </c>
      <c r="E503" s="35" t="s">
        <v>499</v>
      </c>
      <c r="F503" s="121">
        <v>8.15</v>
      </c>
      <c r="G503" s="122">
        <f t="shared" si="20"/>
        <v>0</v>
      </c>
      <c r="H503" s="123">
        <f>IF(AND(ISNUMBER(F503), F503&gt;4, COUNTIFS($A$2:A503, A503, $B$2:B503, B503, $C$2:C503, C503, $F$2:F503, "&gt;4")=1), 1, 0)</f>
        <v>1</v>
      </c>
      <c r="I503" s="10">
        <f t="shared" si="21"/>
        <v>1</v>
      </c>
      <c r="J503" s="10"/>
      <c r="K503" s="7"/>
      <c r="L503" s="7"/>
      <c r="M503" s="7"/>
      <c r="N503" s="10"/>
      <c r="O503" s="11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5.75" customHeight="1">
      <c r="A504" s="10" t="s">
        <v>19</v>
      </c>
      <c r="B504" s="7" t="s">
        <v>96</v>
      </c>
      <c r="C504" s="135">
        <v>46259</v>
      </c>
      <c r="D504" s="44" t="s">
        <v>285</v>
      </c>
      <c r="E504" s="35" t="s">
        <v>499</v>
      </c>
      <c r="F504" s="121">
        <v>8.15</v>
      </c>
      <c r="G504" s="122">
        <f t="shared" si="20"/>
        <v>0</v>
      </c>
      <c r="H504" s="123">
        <f>IF(AND(ISNUMBER(F504), F504&gt;4, COUNTIFS($A$2:A504, A504, $B$2:B504, B504, $C$2:C504, C504, $F$2:F504, "&gt;4")=1), 1, 0)</f>
        <v>1</v>
      </c>
      <c r="I504" s="10">
        <f t="shared" si="21"/>
        <v>1</v>
      </c>
      <c r="J504" s="10"/>
      <c r="K504" s="7"/>
      <c r="L504" s="7"/>
      <c r="M504" s="7"/>
      <c r="N504" s="10"/>
      <c r="O504" s="113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5.75" customHeight="1">
      <c r="A505" s="10" t="s">
        <v>19</v>
      </c>
      <c r="B505" s="7" t="s">
        <v>96</v>
      </c>
      <c r="C505" s="135">
        <v>46260</v>
      </c>
      <c r="D505" s="44" t="s">
        <v>285</v>
      </c>
      <c r="E505" s="35" t="s">
        <v>479</v>
      </c>
      <c r="F505" s="121">
        <v>8.02</v>
      </c>
      <c r="G505" s="122">
        <f t="shared" si="20"/>
        <v>0</v>
      </c>
      <c r="H505" s="123">
        <f>IF(AND(ISNUMBER(F505), F505&gt;4, COUNTIFS($A$2:A505, A505, $B$2:B505, B505, $C$2:C505, C505, $F$2:F505, "&gt;4")=1), 1, 0)</f>
        <v>1</v>
      </c>
      <c r="I505" s="10">
        <f t="shared" si="21"/>
        <v>1</v>
      </c>
      <c r="J505" s="10"/>
      <c r="K505" s="7"/>
      <c r="L505" s="7"/>
      <c r="M505" s="7"/>
      <c r="N505" s="10"/>
      <c r="O505" s="113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5.75" customHeight="1">
      <c r="A506" s="10" t="s">
        <v>19</v>
      </c>
      <c r="B506" s="7" t="s">
        <v>96</v>
      </c>
      <c r="C506" s="135">
        <v>46261</v>
      </c>
      <c r="D506" s="44" t="s">
        <v>285</v>
      </c>
      <c r="E506" s="35" t="s">
        <v>214</v>
      </c>
      <c r="F506" s="121">
        <v>8.08</v>
      </c>
      <c r="G506" s="122">
        <f t="shared" si="20"/>
        <v>0</v>
      </c>
      <c r="H506" s="123">
        <f>IF(AND(ISNUMBER(F506), F506&gt;4, COUNTIFS($A$2:A506, A506, $B$2:B506, B506, $C$2:C506, C506, $F$2:F506, "&gt;4")=1), 1, 0)</f>
        <v>1</v>
      </c>
      <c r="I506" s="10">
        <f t="shared" si="21"/>
        <v>1</v>
      </c>
      <c r="J506" s="10"/>
      <c r="K506" s="7"/>
      <c r="L506" s="7"/>
      <c r="M506" s="7"/>
      <c r="N506" s="10"/>
      <c r="O506" s="113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5.75" customHeight="1">
      <c r="A507" s="10" t="s">
        <v>19</v>
      </c>
      <c r="B507" s="7" t="s">
        <v>96</v>
      </c>
      <c r="C507" s="135">
        <v>46262</v>
      </c>
      <c r="D507" s="44" t="s">
        <v>285</v>
      </c>
      <c r="E507" s="35" t="s">
        <v>329</v>
      </c>
      <c r="F507" s="121">
        <v>8.0299999999999994</v>
      </c>
      <c r="G507" s="122">
        <f t="shared" si="20"/>
        <v>0</v>
      </c>
      <c r="H507" s="123">
        <f>IF(AND(ISNUMBER(F507), F507&gt;4, COUNTIFS($A$2:A507, A507, $B$2:B507, B507, $C$2:C507, C507, $F$2:F507, "&gt;4")=1), 1, 0)</f>
        <v>1</v>
      </c>
      <c r="I507" s="10">
        <f t="shared" si="21"/>
        <v>1</v>
      </c>
      <c r="J507" s="10"/>
      <c r="K507" s="7"/>
      <c r="L507" s="7"/>
      <c r="M507" s="7"/>
      <c r="N507" s="10"/>
      <c r="O507" s="113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5.75" customHeight="1">
      <c r="A508" s="10" t="s">
        <v>19</v>
      </c>
      <c r="B508" s="7" t="s">
        <v>96</v>
      </c>
      <c r="C508" s="135">
        <v>46263</v>
      </c>
      <c r="D508" s="44" t="s">
        <v>285</v>
      </c>
      <c r="E508" s="35" t="s">
        <v>207</v>
      </c>
      <c r="F508" s="121">
        <v>8.1</v>
      </c>
      <c r="G508" s="122">
        <f t="shared" si="20"/>
        <v>0</v>
      </c>
      <c r="H508" s="123">
        <f>IF(AND(ISNUMBER(F508), F508&gt;4, COUNTIFS($A$2:A508, A508, $B$2:B508, B508, $C$2:C508, C508, $F$2:F508, "&gt;4")=1), 1, 0)</f>
        <v>1</v>
      </c>
      <c r="I508" s="10">
        <f t="shared" si="21"/>
        <v>1</v>
      </c>
      <c r="J508" s="10"/>
      <c r="K508" s="7"/>
      <c r="L508" s="7"/>
      <c r="M508" s="7"/>
      <c r="N508" s="10"/>
      <c r="O508" s="113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5.75" customHeight="1">
      <c r="A509" s="10" t="s">
        <v>19</v>
      </c>
      <c r="B509" s="7" t="s">
        <v>96</v>
      </c>
      <c r="C509" s="135">
        <v>46265</v>
      </c>
      <c r="D509" s="44" t="s">
        <v>285</v>
      </c>
      <c r="E509" s="35" t="s">
        <v>497</v>
      </c>
      <c r="F509" s="121">
        <v>8.43</v>
      </c>
      <c r="G509" s="122">
        <f t="shared" si="20"/>
        <v>0</v>
      </c>
      <c r="H509" s="123">
        <f>IF(AND(ISNUMBER(F509), F509&gt;4, COUNTIFS($A$2:A509, A509, $B$2:B509, B509, $C$2:C509, C509, $F$2:F509, "&gt;4")=1), 1, 0)</f>
        <v>1</v>
      </c>
      <c r="I509" s="10">
        <f t="shared" si="21"/>
        <v>1</v>
      </c>
      <c r="J509" s="10"/>
      <c r="K509" s="7"/>
      <c r="L509" s="7"/>
      <c r="M509" s="7"/>
      <c r="N509" s="10"/>
      <c r="O509" s="113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5.75" customHeight="1">
      <c r="A510" s="10" t="s">
        <v>17</v>
      </c>
      <c r="B510" s="7" t="s">
        <v>85</v>
      </c>
      <c r="C510" s="135">
        <v>46235</v>
      </c>
      <c r="D510" s="44" t="s">
        <v>228</v>
      </c>
      <c r="E510" s="35" t="s">
        <v>490</v>
      </c>
      <c r="F510" s="121">
        <v>8.23</v>
      </c>
      <c r="G510" s="122">
        <f t="shared" si="20"/>
        <v>0</v>
      </c>
      <c r="H510" s="123">
        <f>IF(AND(ISNUMBER(F510), F510&gt;4, COUNTIFS($A$2:A510, A510, $B$2:B510, B510, $C$2:C510, C510, $F$2:F510, "&gt;4")=1), 1, 0)</f>
        <v>1</v>
      </c>
      <c r="I510" s="10">
        <f t="shared" si="21"/>
        <v>0</v>
      </c>
      <c r="J510" s="10"/>
      <c r="K510" s="7"/>
      <c r="L510" s="7"/>
      <c r="M510" s="7"/>
      <c r="N510" s="10"/>
      <c r="O510" s="113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5.75" customHeight="1">
      <c r="A511" s="10" t="s">
        <v>17</v>
      </c>
      <c r="B511" s="7" t="s">
        <v>85</v>
      </c>
      <c r="C511" s="135">
        <v>46236</v>
      </c>
      <c r="D511" s="44" t="s">
        <v>228</v>
      </c>
      <c r="E511" s="35" t="s">
        <v>504</v>
      </c>
      <c r="F511" s="121">
        <v>8.18</v>
      </c>
      <c r="G511" s="122">
        <f t="shared" si="20"/>
        <v>0</v>
      </c>
      <c r="H511" s="123">
        <f>IF(AND(ISNUMBER(F511), F511&gt;4, COUNTIFS($A$2:A511, A511, $B$2:B511, B511, $C$2:C511, C511, $F$2:F511, "&gt;4")=1), 1, 0)</f>
        <v>1</v>
      </c>
      <c r="I511" s="10">
        <f t="shared" si="21"/>
        <v>0</v>
      </c>
      <c r="J511" s="10"/>
      <c r="K511" s="7"/>
      <c r="L511" s="7"/>
      <c r="M511" s="7"/>
      <c r="N511" s="10"/>
      <c r="O511" s="113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5.75" customHeight="1">
      <c r="A512" s="10" t="s">
        <v>17</v>
      </c>
      <c r="B512" s="7" t="s">
        <v>85</v>
      </c>
      <c r="C512" s="135">
        <v>46237</v>
      </c>
      <c r="D512" s="44" t="s">
        <v>228</v>
      </c>
      <c r="E512" s="35" t="s">
        <v>329</v>
      </c>
      <c r="F512" s="121">
        <v>8.0299999999999994</v>
      </c>
      <c r="G512" s="122">
        <f t="shared" si="20"/>
        <v>0</v>
      </c>
      <c r="H512" s="123">
        <f>IF(AND(ISNUMBER(F512), F512&gt;4, COUNTIFS($A$2:A512, A512, $B$2:B512, B512, $C$2:C512, C512, $F$2:F512, "&gt;4")=1), 1, 0)</f>
        <v>1</v>
      </c>
      <c r="I512" s="10">
        <f t="shared" si="21"/>
        <v>0</v>
      </c>
      <c r="J512" s="10"/>
      <c r="K512" s="7"/>
      <c r="L512" s="7"/>
      <c r="M512" s="7"/>
      <c r="N512" s="10"/>
      <c r="O512" s="113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5.75" customHeight="1">
      <c r="A513" s="10" t="s">
        <v>17</v>
      </c>
      <c r="B513" s="7" t="s">
        <v>85</v>
      </c>
      <c r="C513" s="135">
        <v>46238</v>
      </c>
      <c r="D513" s="44" t="s">
        <v>193</v>
      </c>
      <c r="E513" s="35" t="s">
        <v>288</v>
      </c>
      <c r="F513" s="121">
        <v>8.0500000000000007</v>
      </c>
      <c r="G513" s="122">
        <f t="shared" si="20"/>
        <v>0</v>
      </c>
      <c r="H513" s="123">
        <f>IF(AND(ISNUMBER(F513), F513&gt;4, COUNTIFS($A$2:A513, A513, $B$2:B513, B513, $C$2:C513, C513, $F$2:F513, "&gt;4")=1), 1, 0)</f>
        <v>1</v>
      </c>
      <c r="I513" s="10">
        <f t="shared" si="21"/>
        <v>0</v>
      </c>
      <c r="J513" s="10"/>
      <c r="K513" s="7"/>
      <c r="L513" s="7"/>
      <c r="M513" s="7"/>
      <c r="N513" s="10"/>
      <c r="O513" s="113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5.75" customHeight="1">
      <c r="A514" s="10" t="s">
        <v>19</v>
      </c>
      <c r="B514" s="7" t="s">
        <v>85</v>
      </c>
      <c r="C514" s="135">
        <v>46264</v>
      </c>
      <c r="D514" s="44" t="s">
        <v>283</v>
      </c>
      <c r="E514" s="35" t="s">
        <v>289</v>
      </c>
      <c r="F514" s="121">
        <v>0.92</v>
      </c>
      <c r="G514" s="122">
        <f t="shared" ref="G514:G577" si="22">IF(AND(ISNUMBER(F514), F514&lt;=4), 1, 0)</f>
        <v>1</v>
      </c>
      <c r="H514" s="123">
        <f>IF(AND(ISNUMBER(F514), F514&gt;4, COUNTIFS($A$2:A514, A514, $B$2:B514, B514, $C$2:C514, C514, $F$2:F514, "&gt;4")=1), 1, 0)</f>
        <v>0</v>
      </c>
      <c r="I514" s="10">
        <f t="shared" ref="I514:I577" si="23">IF(AND(ISNUMBER(F514), F514&gt;4, ISNUMBER(SEARCH("đêm", D514))), 1, 0)</f>
        <v>0</v>
      </c>
      <c r="J514" s="10"/>
      <c r="K514" s="7"/>
      <c r="L514" s="7"/>
      <c r="M514" s="7"/>
      <c r="N514" s="10"/>
      <c r="O514" s="113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5.75" customHeight="1">
      <c r="A515" s="10" t="s">
        <v>19</v>
      </c>
      <c r="B515" s="7" t="s">
        <v>85</v>
      </c>
      <c r="C515" s="135">
        <v>46241</v>
      </c>
      <c r="D515" s="44" t="s">
        <v>285</v>
      </c>
      <c r="E515" s="35" t="s">
        <v>207</v>
      </c>
      <c r="F515" s="121">
        <v>8.1</v>
      </c>
      <c r="G515" s="122">
        <f t="shared" si="22"/>
        <v>0</v>
      </c>
      <c r="H515" s="123">
        <f>IF(AND(ISNUMBER(F515), F515&gt;4, COUNTIFS($A$2:A515, A515, $B$2:B515, B515, $C$2:C515, C515, $F$2:F515, "&gt;4")=1), 1, 0)</f>
        <v>1</v>
      </c>
      <c r="I515" s="10">
        <f t="shared" si="23"/>
        <v>1</v>
      </c>
      <c r="J515" s="10"/>
      <c r="K515" s="7"/>
      <c r="L515" s="7"/>
      <c r="M515" s="7"/>
      <c r="N515" s="10"/>
      <c r="O515" s="113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5.75" customHeight="1">
      <c r="A516" s="10" t="s">
        <v>19</v>
      </c>
      <c r="B516" s="7" t="s">
        <v>85</v>
      </c>
      <c r="C516" s="135">
        <v>46242</v>
      </c>
      <c r="D516" s="44" t="s">
        <v>285</v>
      </c>
      <c r="E516" s="35" t="s">
        <v>239</v>
      </c>
      <c r="F516" s="121">
        <v>8.07</v>
      </c>
      <c r="G516" s="122">
        <f t="shared" si="22"/>
        <v>0</v>
      </c>
      <c r="H516" s="123">
        <f>IF(AND(ISNUMBER(F516), F516&gt;4, COUNTIFS($A$2:A516, A516, $B$2:B516, B516, $C$2:C516, C516, $F$2:F516, "&gt;4")=1), 1, 0)</f>
        <v>1</v>
      </c>
      <c r="I516" s="10">
        <f t="shared" si="23"/>
        <v>1</v>
      </c>
      <c r="J516" s="10"/>
      <c r="K516" s="7"/>
      <c r="L516" s="7"/>
      <c r="M516" s="7"/>
      <c r="N516" s="10"/>
      <c r="O516" s="113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5.75" customHeight="1">
      <c r="A517" s="10" t="s">
        <v>19</v>
      </c>
      <c r="B517" s="7" t="s">
        <v>85</v>
      </c>
      <c r="C517" s="135">
        <v>46243</v>
      </c>
      <c r="D517" s="44" t="s">
        <v>285</v>
      </c>
      <c r="E517" s="35" t="s">
        <v>207</v>
      </c>
      <c r="F517" s="121">
        <v>8.1</v>
      </c>
      <c r="G517" s="122">
        <f t="shared" si="22"/>
        <v>0</v>
      </c>
      <c r="H517" s="123">
        <f>IF(AND(ISNUMBER(F517), F517&gt;4, COUNTIFS($A$2:A517, A517, $B$2:B517, B517, $C$2:C517, C517, $F$2:F517, "&gt;4")=1), 1, 0)</f>
        <v>1</v>
      </c>
      <c r="I517" s="10">
        <f t="shared" si="23"/>
        <v>1</v>
      </c>
      <c r="J517" s="10"/>
      <c r="K517" s="7"/>
      <c r="L517" s="7"/>
      <c r="M517" s="7"/>
      <c r="N517" s="10"/>
      <c r="O517" s="113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5.75" customHeight="1">
      <c r="A518" s="10" t="s">
        <v>19</v>
      </c>
      <c r="B518" s="7" t="s">
        <v>85</v>
      </c>
      <c r="C518" s="135">
        <v>46244</v>
      </c>
      <c r="D518" s="44" t="s">
        <v>285</v>
      </c>
      <c r="E518" s="35" t="s">
        <v>207</v>
      </c>
      <c r="F518" s="121">
        <v>8.1</v>
      </c>
      <c r="G518" s="122">
        <f t="shared" si="22"/>
        <v>0</v>
      </c>
      <c r="H518" s="123">
        <f>IF(AND(ISNUMBER(F518), F518&gt;4, COUNTIFS($A$2:A518, A518, $B$2:B518, B518, $C$2:C518, C518, $F$2:F518, "&gt;4")=1), 1, 0)</f>
        <v>1</v>
      </c>
      <c r="I518" s="10">
        <f t="shared" si="23"/>
        <v>1</v>
      </c>
      <c r="J518" s="10"/>
      <c r="K518" s="7"/>
      <c r="L518" s="7"/>
      <c r="M518" s="7"/>
      <c r="N518" s="10"/>
      <c r="O518" s="113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5.75" customHeight="1">
      <c r="A519" s="10" t="s">
        <v>19</v>
      </c>
      <c r="B519" s="7" t="s">
        <v>85</v>
      </c>
      <c r="C519" s="135">
        <v>46245</v>
      </c>
      <c r="D519" s="44" t="s">
        <v>285</v>
      </c>
      <c r="E519" s="35" t="s">
        <v>476</v>
      </c>
      <c r="F519" s="121">
        <v>8.1199999999999992</v>
      </c>
      <c r="G519" s="122">
        <f t="shared" si="22"/>
        <v>0</v>
      </c>
      <c r="H519" s="123">
        <f>IF(AND(ISNUMBER(F519), F519&gt;4, COUNTIFS($A$2:A519, A519, $B$2:B519, B519, $C$2:C519, C519, $F$2:F519, "&gt;4")=1), 1, 0)</f>
        <v>1</v>
      </c>
      <c r="I519" s="10">
        <f t="shared" si="23"/>
        <v>1</v>
      </c>
      <c r="J519" s="10"/>
      <c r="K519" s="7"/>
      <c r="L519" s="7"/>
      <c r="M519" s="7"/>
      <c r="N519" s="10"/>
      <c r="O519" s="113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5.75" customHeight="1">
      <c r="A520" s="10" t="s">
        <v>19</v>
      </c>
      <c r="B520" s="7" t="s">
        <v>85</v>
      </c>
      <c r="C520" s="135">
        <v>46246</v>
      </c>
      <c r="D520" s="44" t="s">
        <v>285</v>
      </c>
      <c r="E520" s="35" t="s">
        <v>207</v>
      </c>
      <c r="F520" s="121">
        <v>8.1</v>
      </c>
      <c r="G520" s="122">
        <f t="shared" si="22"/>
        <v>0</v>
      </c>
      <c r="H520" s="123">
        <f>IF(AND(ISNUMBER(F520), F520&gt;4, COUNTIFS($A$2:A520, A520, $B$2:B520, B520, $C$2:C520, C520, $F$2:F520, "&gt;4")=1), 1, 0)</f>
        <v>1</v>
      </c>
      <c r="I520" s="10">
        <f t="shared" si="23"/>
        <v>1</v>
      </c>
      <c r="J520" s="10"/>
      <c r="K520" s="7"/>
      <c r="L520" s="7"/>
      <c r="M520" s="7"/>
      <c r="N520" s="10"/>
      <c r="O520" s="113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5.75" customHeight="1">
      <c r="A521" s="10" t="s">
        <v>19</v>
      </c>
      <c r="B521" s="7" t="s">
        <v>85</v>
      </c>
      <c r="C521" s="135">
        <v>46247</v>
      </c>
      <c r="D521" s="44" t="s">
        <v>285</v>
      </c>
      <c r="E521" s="35" t="s">
        <v>214</v>
      </c>
      <c r="F521" s="121">
        <v>8.08</v>
      </c>
      <c r="G521" s="122">
        <f t="shared" si="22"/>
        <v>0</v>
      </c>
      <c r="H521" s="123">
        <f>IF(AND(ISNUMBER(F521), F521&gt;4, COUNTIFS($A$2:A521, A521, $B$2:B521, B521, $C$2:C521, C521, $F$2:F521, "&gt;4")=1), 1, 0)</f>
        <v>1</v>
      </c>
      <c r="I521" s="10">
        <f t="shared" si="23"/>
        <v>1</v>
      </c>
      <c r="J521" s="10"/>
      <c r="K521" s="7"/>
      <c r="L521" s="7"/>
      <c r="M521" s="7"/>
      <c r="N521" s="10"/>
      <c r="O521" s="113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5.75" customHeight="1">
      <c r="A522" s="10" t="s">
        <v>19</v>
      </c>
      <c r="B522" s="7" t="s">
        <v>85</v>
      </c>
      <c r="C522" s="135">
        <v>46248</v>
      </c>
      <c r="D522" s="44" t="s">
        <v>285</v>
      </c>
      <c r="E522" s="35" t="s">
        <v>214</v>
      </c>
      <c r="F522" s="121">
        <v>8.08</v>
      </c>
      <c r="G522" s="122">
        <f t="shared" si="22"/>
        <v>0</v>
      </c>
      <c r="H522" s="123">
        <f>IF(AND(ISNUMBER(F522), F522&gt;4, COUNTIFS($A$2:A522, A522, $B$2:B522, B522, $C$2:C522, C522, $F$2:F522, "&gt;4")=1), 1, 0)</f>
        <v>1</v>
      </c>
      <c r="I522" s="10">
        <f t="shared" si="23"/>
        <v>1</v>
      </c>
      <c r="J522" s="10"/>
      <c r="K522" s="7"/>
      <c r="L522" s="7"/>
      <c r="M522" s="7"/>
      <c r="N522" s="10"/>
      <c r="O522" s="113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5.75" customHeight="1">
      <c r="A523" s="10" t="s">
        <v>19</v>
      </c>
      <c r="B523" s="7" t="s">
        <v>85</v>
      </c>
      <c r="C523" s="135">
        <v>46249</v>
      </c>
      <c r="D523" s="44" t="s">
        <v>285</v>
      </c>
      <c r="E523" s="35" t="s">
        <v>479</v>
      </c>
      <c r="F523" s="121">
        <v>8.02</v>
      </c>
      <c r="G523" s="122">
        <f t="shared" si="22"/>
        <v>0</v>
      </c>
      <c r="H523" s="123">
        <f>IF(AND(ISNUMBER(F523), F523&gt;4, COUNTIFS($A$2:A523, A523, $B$2:B523, B523, $C$2:C523, C523, $F$2:F523, "&gt;4")=1), 1, 0)</f>
        <v>1</v>
      </c>
      <c r="I523" s="10">
        <f t="shared" si="23"/>
        <v>1</v>
      </c>
      <c r="J523" s="10"/>
      <c r="K523" s="7"/>
      <c r="L523" s="7"/>
      <c r="M523" s="7"/>
      <c r="N523" s="10"/>
      <c r="O523" s="113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5.75" customHeight="1">
      <c r="A524" s="10" t="s">
        <v>19</v>
      </c>
      <c r="B524" s="7" t="s">
        <v>85</v>
      </c>
      <c r="C524" s="135">
        <v>46250</v>
      </c>
      <c r="D524" s="44" t="s">
        <v>285</v>
      </c>
      <c r="E524" s="35" t="s">
        <v>479</v>
      </c>
      <c r="F524" s="121">
        <v>8.02</v>
      </c>
      <c r="G524" s="122">
        <f t="shared" si="22"/>
        <v>0</v>
      </c>
      <c r="H524" s="123">
        <f>IF(AND(ISNUMBER(F524), F524&gt;4, COUNTIFS($A$2:A524, A524, $B$2:B524, B524, $C$2:C524, C524, $F$2:F524, "&gt;4")=1), 1, 0)</f>
        <v>1</v>
      </c>
      <c r="I524" s="10">
        <f t="shared" si="23"/>
        <v>1</v>
      </c>
      <c r="J524" s="10"/>
      <c r="K524" s="7"/>
      <c r="L524" s="7"/>
      <c r="M524" s="7"/>
      <c r="N524" s="10"/>
      <c r="O524" s="113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5.75" customHeight="1">
      <c r="A525" s="10" t="s">
        <v>19</v>
      </c>
      <c r="B525" s="7" t="s">
        <v>85</v>
      </c>
      <c r="C525" s="135">
        <v>46251</v>
      </c>
      <c r="D525" s="44" t="s">
        <v>285</v>
      </c>
      <c r="E525" s="35" t="s">
        <v>329</v>
      </c>
      <c r="F525" s="121">
        <v>8.0299999999999994</v>
      </c>
      <c r="G525" s="122">
        <f t="shared" si="22"/>
        <v>0</v>
      </c>
      <c r="H525" s="123">
        <f>IF(AND(ISNUMBER(F525), F525&gt;4, COUNTIFS($A$2:A525, A525, $B$2:B525, B525, $C$2:C525, C525, $F$2:F525, "&gt;4")=1), 1, 0)</f>
        <v>1</v>
      </c>
      <c r="I525" s="10">
        <f t="shared" si="23"/>
        <v>1</v>
      </c>
      <c r="J525" s="10"/>
      <c r="K525" s="7"/>
      <c r="L525" s="7"/>
      <c r="M525" s="7"/>
      <c r="N525" s="10"/>
      <c r="O525" s="113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5.75" customHeight="1">
      <c r="A526" s="10" t="s">
        <v>19</v>
      </c>
      <c r="B526" s="7" t="s">
        <v>85</v>
      </c>
      <c r="C526" s="135">
        <v>46252</v>
      </c>
      <c r="D526" s="44" t="s">
        <v>285</v>
      </c>
      <c r="E526" s="35" t="s">
        <v>239</v>
      </c>
      <c r="F526" s="121">
        <v>8.07</v>
      </c>
      <c r="G526" s="122">
        <f t="shared" si="22"/>
        <v>0</v>
      </c>
      <c r="H526" s="123">
        <f>IF(AND(ISNUMBER(F526), F526&gt;4, COUNTIFS($A$2:A526, A526, $B$2:B526, B526, $C$2:C526, C526, $F$2:F526, "&gt;4")=1), 1, 0)</f>
        <v>1</v>
      </c>
      <c r="I526" s="10">
        <f t="shared" si="23"/>
        <v>1</v>
      </c>
      <c r="J526" s="10"/>
      <c r="K526" s="7"/>
      <c r="L526" s="7"/>
      <c r="M526" s="7"/>
      <c r="N526" s="10"/>
      <c r="O526" s="113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5.75" customHeight="1">
      <c r="A527" s="10" t="s">
        <v>19</v>
      </c>
      <c r="B527" s="7" t="s">
        <v>85</v>
      </c>
      <c r="C527" s="135">
        <v>46253</v>
      </c>
      <c r="D527" s="44" t="s">
        <v>285</v>
      </c>
      <c r="E527" s="35" t="s">
        <v>199</v>
      </c>
      <c r="F527" s="121">
        <v>8</v>
      </c>
      <c r="G527" s="122">
        <f t="shared" si="22"/>
        <v>0</v>
      </c>
      <c r="H527" s="123">
        <f>IF(AND(ISNUMBER(F527), F527&gt;4, COUNTIFS($A$2:A527, A527, $B$2:B527, B527, $C$2:C527, C527, $F$2:F527, "&gt;4")=1), 1, 0)</f>
        <v>1</v>
      </c>
      <c r="I527" s="10">
        <f t="shared" si="23"/>
        <v>1</v>
      </c>
      <c r="J527" s="10"/>
      <c r="K527" s="7"/>
      <c r="L527" s="7"/>
      <c r="M527" s="7"/>
      <c r="N527" s="10"/>
      <c r="O527" s="113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5.75" customHeight="1">
      <c r="A528" s="10" t="s">
        <v>19</v>
      </c>
      <c r="B528" s="7" t="s">
        <v>85</v>
      </c>
      <c r="C528" s="135">
        <v>46254</v>
      </c>
      <c r="D528" s="44" t="s">
        <v>285</v>
      </c>
      <c r="E528" s="35" t="s">
        <v>199</v>
      </c>
      <c r="F528" s="121">
        <v>8</v>
      </c>
      <c r="G528" s="122">
        <f t="shared" si="22"/>
        <v>0</v>
      </c>
      <c r="H528" s="123">
        <f>IF(AND(ISNUMBER(F528), F528&gt;4, COUNTIFS($A$2:A528, A528, $B$2:B528, B528, $C$2:C528, C528, $F$2:F528, "&gt;4")=1), 1, 0)</f>
        <v>1</v>
      </c>
      <c r="I528" s="10">
        <f t="shared" si="23"/>
        <v>1</v>
      </c>
      <c r="J528" s="10"/>
      <c r="K528" s="7"/>
      <c r="L528" s="7"/>
      <c r="M528" s="7"/>
      <c r="N528" s="10"/>
      <c r="O528" s="113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5.75" customHeight="1">
      <c r="A529" s="10" t="s">
        <v>19</v>
      </c>
      <c r="B529" s="7" t="s">
        <v>85</v>
      </c>
      <c r="C529" s="135">
        <v>46255</v>
      </c>
      <c r="D529" s="44" t="s">
        <v>285</v>
      </c>
      <c r="E529" s="35" t="s">
        <v>207</v>
      </c>
      <c r="F529" s="121">
        <v>8.1</v>
      </c>
      <c r="G529" s="122">
        <f t="shared" si="22"/>
        <v>0</v>
      </c>
      <c r="H529" s="123">
        <f>IF(AND(ISNUMBER(F529), F529&gt;4, COUNTIFS($A$2:A529, A529, $B$2:B529, B529, $C$2:C529, C529, $F$2:F529, "&gt;4")=1), 1, 0)</f>
        <v>1</v>
      </c>
      <c r="I529" s="10">
        <f t="shared" si="23"/>
        <v>1</v>
      </c>
      <c r="J529" s="10"/>
      <c r="K529" s="7"/>
      <c r="L529" s="7"/>
      <c r="M529" s="7"/>
      <c r="N529" s="10"/>
      <c r="O529" s="113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5.75" customHeight="1">
      <c r="A530" s="10" t="s">
        <v>19</v>
      </c>
      <c r="B530" s="7" t="s">
        <v>85</v>
      </c>
      <c r="C530" s="135">
        <v>46256</v>
      </c>
      <c r="D530" s="44" t="s">
        <v>285</v>
      </c>
      <c r="E530" s="35" t="s">
        <v>214</v>
      </c>
      <c r="F530" s="121">
        <v>8.08</v>
      </c>
      <c r="G530" s="122">
        <f t="shared" si="22"/>
        <v>0</v>
      </c>
      <c r="H530" s="123">
        <f>IF(AND(ISNUMBER(F530), F530&gt;4, COUNTIFS($A$2:A530, A530, $B$2:B530, B530, $C$2:C530, C530, $F$2:F530, "&gt;4")=1), 1, 0)</f>
        <v>1</v>
      </c>
      <c r="I530" s="10">
        <f t="shared" si="23"/>
        <v>1</v>
      </c>
      <c r="J530" s="10"/>
      <c r="K530" s="7"/>
      <c r="L530" s="7"/>
      <c r="M530" s="7"/>
      <c r="N530" s="10"/>
      <c r="O530" s="113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5.75" customHeight="1">
      <c r="A531" s="10" t="s">
        <v>19</v>
      </c>
      <c r="B531" s="7" t="s">
        <v>85</v>
      </c>
      <c r="C531" s="135">
        <v>46257</v>
      </c>
      <c r="D531" s="44" t="s">
        <v>285</v>
      </c>
      <c r="E531" s="35" t="s">
        <v>214</v>
      </c>
      <c r="F531" s="121">
        <v>8.08</v>
      </c>
      <c r="G531" s="122">
        <f t="shared" si="22"/>
        <v>0</v>
      </c>
      <c r="H531" s="123">
        <f>IF(AND(ISNUMBER(F531), F531&gt;4, COUNTIFS($A$2:A531, A531, $B$2:B531, B531, $C$2:C531, C531, $F$2:F531, "&gt;4")=1), 1, 0)</f>
        <v>1</v>
      </c>
      <c r="I531" s="10">
        <f t="shared" si="23"/>
        <v>1</v>
      </c>
      <c r="J531" s="10"/>
      <c r="K531" s="7"/>
      <c r="L531" s="7"/>
      <c r="M531" s="7"/>
      <c r="N531" s="10"/>
      <c r="O531" s="113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5.75" customHeight="1">
      <c r="A532" s="10" t="s">
        <v>19</v>
      </c>
      <c r="B532" s="7" t="s">
        <v>85</v>
      </c>
      <c r="C532" s="135">
        <v>46258</v>
      </c>
      <c r="D532" s="44" t="s">
        <v>285</v>
      </c>
      <c r="E532" s="35" t="s">
        <v>239</v>
      </c>
      <c r="F532" s="121">
        <v>8.07</v>
      </c>
      <c r="G532" s="122">
        <f t="shared" si="22"/>
        <v>0</v>
      </c>
      <c r="H532" s="123">
        <f>IF(AND(ISNUMBER(F532), F532&gt;4, COUNTIFS($A$2:A532, A532, $B$2:B532, B532, $C$2:C532, C532, $F$2:F532, "&gt;4")=1), 1, 0)</f>
        <v>1</v>
      </c>
      <c r="I532" s="10">
        <f t="shared" si="23"/>
        <v>1</v>
      </c>
      <c r="J532" s="10"/>
      <c r="K532" s="7"/>
      <c r="L532" s="7"/>
      <c r="M532" s="7"/>
      <c r="N532" s="10"/>
      <c r="O532" s="113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5.75" customHeight="1">
      <c r="A533" s="10" t="s">
        <v>19</v>
      </c>
      <c r="B533" s="7" t="s">
        <v>85</v>
      </c>
      <c r="C533" s="135">
        <v>46259</v>
      </c>
      <c r="D533" s="44" t="s">
        <v>285</v>
      </c>
      <c r="E533" s="35" t="s">
        <v>239</v>
      </c>
      <c r="F533" s="121">
        <v>8.07</v>
      </c>
      <c r="G533" s="122">
        <f t="shared" si="22"/>
        <v>0</v>
      </c>
      <c r="H533" s="123">
        <f>IF(AND(ISNUMBER(F533), F533&gt;4, COUNTIFS($A$2:A533, A533, $B$2:B533, B533, $C$2:C533, C533, $F$2:F533, "&gt;4")=1), 1, 0)</f>
        <v>1</v>
      </c>
      <c r="I533" s="10">
        <f t="shared" si="23"/>
        <v>1</v>
      </c>
      <c r="J533" s="10"/>
      <c r="K533" s="7"/>
      <c r="L533" s="7"/>
      <c r="M533" s="7"/>
      <c r="N533" s="10"/>
      <c r="O533" s="113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5.75" customHeight="1">
      <c r="A534" s="10" t="s">
        <v>19</v>
      </c>
      <c r="B534" s="7" t="s">
        <v>85</v>
      </c>
      <c r="C534" s="135">
        <v>46260</v>
      </c>
      <c r="D534" s="44" t="s">
        <v>285</v>
      </c>
      <c r="E534" s="35" t="s">
        <v>239</v>
      </c>
      <c r="F534" s="121">
        <v>8.07</v>
      </c>
      <c r="G534" s="122">
        <f t="shared" si="22"/>
        <v>0</v>
      </c>
      <c r="H534" s="123">
        <f>IF(AND(ISNUMBER(F534), F534&gt;4, COUNTIFS($A$2:A534, A534, $B$2:B534, B534, $C$2:C534, C534, $F$2:F534, "&gt;4")=1), 1, 0)</f>
        <v>1</v>
      </c>
      <c r="I534" s="10">
        <f t="shared" si="23"/>
        <v>1</v>
      </c>
      <c r="J534" s="10"/>
      <c r="K534" s="7"/>
      <c r="L534" s="7"/>
      <c r="M534" s="7"/>
      <c r="N534" s="10"/>
      <c r="O534" s="113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5.75" customHeight="1">
      <c r="A535" s="10" t="s">
        <v>19</v>
      </c>
      <c r="B535" s="7" t="s">
        <v>85</v>
      </c>
      <c r="C535" s="135">
        <v>46261</v>
      </c>
      <c r="D535" s="44" t="s">
        <v>285</v>
      </c>
      <c r="E535" s="35" t="s">
        <v>239</v>
      </c>
      <c r="F535" s="121">
        <v>8.07</v>
      </c>
      <c r="G535" s="122">
        <f t="shared" si="22"/>
        <v>0</v>
      </c>
      <c r="H535" s="123">
        <f>IF(AND(ISNUMBER(F535), F535&gt;4, COUNTIFS($A$2:A535, A535, $B$2:B535, B535, $C$2:C535, C535, $F$2:F535, "&gt;4")=1), 1, 0)</f>
        <v>1</v>
      </c>
      <c r="I535" s="10">
        <f t="shared" si="23"/>
        <v>1</v>
      </c>
      <c r="J535" s="10"/>
      <c r="K535" s="7"/>
      <c r="L535" s="7"/>
      <c r="M535" s="7"/>
      <c r="N535" s="10"/>
      <c r="O535" s="113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5.75" customHeight="1">
      <c r="A536" s="10" t="s">
        <v>19</v>
      </c>
      <c r="B536" s="7" t="s">
        <v>85</v>
      </c>
      <c r="C536" s="135">
        <v>46262</v>
      </c>
      <c r="D536" s="44" t="s">
        <v>285</v>
      </c>
      <c r="E536" s="35" t="s">
        <v>239</v>
      </c>
      <c r="F536" s="121">
        <v>8.07</v>
      </c>
      <c r="G536" s="122">
        <f t="shared" si="22"/>
        <v>0</v>
      </c>
      <c r="H536" s="123">
        <f>IF(AND(ISNUMBER(F536), F536&gt;4, COUNTIFS($A$2:A536, A536, $B$2:B536, B536, $C$2:C536, C536, $F$2:F536, "&gt;4")=1), 1, 0)</f>
        <v>1</v>
      </c>
      <c r="I536" s="10">
        <f t="shared" si="23"/>
        <v>1</v>
      </c>
      <c r="J536" s="10"/>
      <c r="K536" s="7"/>
      <c r="L536" s="7"/>
      <c r="M536" s="7"/>
      <c r="N536" s="10"/>
      <c r="O536" s="113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5.75" customHeight="1">
      <c r="A537" s="10" t="s">
        <v>19</v>
      </c>
      <c r="B537" s="7" t="s">
        <v>85</v>
      </c>
      <c r="C537" s="135">
        <v>46263</v>
      </c>
      <c r="D537" s="44" t="s">
        <v>285</v>
      </c>
      <c r="E537" s="35" t="s">
        <v>239</v>
      </c>
      <c r="F537" s="121">
        <v>8.07</v>
      </c>
      <c r="G537" s="122">
        <f t="shared" si="22"/>
        <v>0</v>
      </c>
      <c r="H537" s="123">
        <f>IF(AND(ISNUMBER(F537), F537&gt;4, COUNTIFS($A$2:A537, A537, $B$2:B537, B537, $C$2:C537, C537, $F$2:F537, "&gt;4")=1), 1, 0)</f>
        <v>1</v>
      </c>
      <c r="I537" s="10">
        <f t="shared" si="23"/>
        <v>1</v>
      </c>
      <c r="J537" s="10"/>
      <c r="K537" s="7"/>
      <c r="L537" s="7"/>
      <c r="M537" s="7"/>
      <c r="N537" s="10"/>
      <c r="O537" s="113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5.75" customHeight="1">
      <c r="A538" s="10" t="s">
        <v>19</v>
      </c>
      <c r="B538" s="7" t="s">
        <v>85</v>
      </c>
      <c r="C538" s="135">
        <v>46264</v>
      </c>
      <c r="D538" s="44" t="s">
        <v>285</v>
      </c>
      <c r="E538" s="35" t="s">
        <v>199</v>
      </c>
      <c r="F538" s="121">
        <v>8</v>
      </c>
      <c r="G538" s="122">
        <f t="shared" si="22"/>
        <v>0</v>
      </c>
      <c r="H538" s="123">
        <f>IF(AND(ISNUMBER(F538), F538&gt;4, COUNTIFS($A$2:A538, A538, $B$2:B538, B538, $C$2:C538, C538, $F$2:F538, "&gt;4")=1), 1, 0)</f>
        <v>1</v>
      </c>
      <c r="I538" s="10">
        <f t="shared" si="23"/>
        <v>1</v>
      </c>
      <c r="J538" s="10"/>
      <c r="K538" s="7"/>
      <c r="L538" s="7"/>
      <c r="M538" s="7"/>
      <c r="N538" s="10"/>
      <c r="O538" s="113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5.75" customHeight="1">
      <c r="A539" s="10" t="s">
        <v>19</v>
      </c>
      <c r="B539" s="7" t="s">
        <v>98</v>
      </c>
      <c r="C539" s="135">
        <v>46235</v>
      </c>
      <c r="D539" s="44" t="s">
        <v>255</v>
      </c>
      <c r="E539" s="35" t="s">
        <v>585</v>
      </c>
      <c r="F539" s="121">
        <v>12.07</v>
      </c>
      <c r="G539" s="122">
        <f t="shared" si="22"/>
        <v>0</v>
      </c>
      <c r="H539" s="123">
        <f>IF(AND(ISNUMBER(F539), F539&gt;4, COUNTIFS($A$2:A539, A539, $B$2:B539, B539, $C$2:C539, C539, $F$2:F539, "&gt;4")=1), 1, 0)</f>
        <v>1</v>
      </c>
      <c r="I539" s="10">
        <f t="shared" si="23"/>
        <v>0</v>
      </c>
      <c r="J539" s="10"/>
      <c r="K539" s="7"/>
      <c r="L539" s="7"/>
      <c r="M539" s="7"/>
      <c r="N539" s="10"/>
      <c r="O539" s="113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5.75" customHeight="1">
      <c r="A540" s="10" t="s">
        <v>19</v>
      </c>
      <c r="B540" s="7" t="s">
        <v>98</v>
      </c>
      <c r="C540" s="135">
        <v>46236</v>
      </c>
      <c r="D540" s="44" t="s">
        <v>255</v>
      </c>
      <c r="E540" s="35" t="s">
        <v>586</v>
      </c>
      <c r="F540" s="121">
        <v>12.32</v>
      </c>
      <c r="G540" s="122">
        <f t="shared" si="22"/>
        <v>0</v>
      </c>
      <c r="H540" s="123">
        <f>IF(AND(ISNUMBER(F540), F540&gt;4, COUNTIFS($A$2:A540, A540, $B$2:B540, B540, $C$2:C540, C540, $F$2:F540, "&gt;4")=1), 1, 0)</f>
        <v>1</v>
      </c>
      <c r="I540" s="10">
        <f t="shared" si="23"/>
        <v>0</v>
      </c>
      <c r="J540" s="10"/>
      <c r="K540" s="7"/>
      <c r="L540" s="7"/>
      <c r="M540" s="7"/>
      <c r="N540" s="10"/>
      <c r="O540" s="113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5.75" customHeight="1">
      <c r="A541" s="10" t="s">
        <v>19</v>
      </c>
      <c r="B541" s="7" t="s">
        <v>98</v>
      </c>
      <c r="C541" s="135">
        <v>46237</v>
      </c>
      <c r="D541" s="44" t="s">
        <v>255</v>
      </c>
      <c r="E541" s="35" t="s">
        <v>587</v>
      </c>
      <c r="F541" s="121">
        <v>12.15</v>
      </c>
      <c r="G541" s="122">
        <f t="shared" si="22"/>
        <v>0</v>
      </c>
      <c r="H541" s="123">
        <f>IF(AND(ISNUMBER(F541), F541&gt;4, COUNTIFS($A$2:A541, A541, $B$2:B541, B541, $C$2:C541, C541, $F$2:F541, "&gt;4")=1), 1, 0)</f>
        <v>1</v>
      </c>
      <c r="I541" s="10">
        <f t="shared" si="23"/>
        <v>0</v>
      </c>
      <c r="J541" s="10"/>
      <c r="K541" s="7"/>
      <c r="L541" s="7"/>
      <c r="M541" s="7"/>
      <c r="N541" s="10"/>
      <c r="O541" s="113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5.75" customHeight="1">
      <c r="A542" s="10" t="s">
        <v>19</v>
      </c>
      <c r="B542" s="7" t="s">
        <v>98</v>
      </c>
      <c r="C542" s="135">
        <v>46238</v>
      </c>
      <c r="D542" s="44" t="s">
        <v>255</v>
      </c>
      <c r="E542" s="35" t="s">
        <v>588</v>
      </c>
      <c r="F542" s="121">
        <v>12.18</v>
      </c>
      <c r="G542" s="122">
        <f t="shared" si="22"/>
        <v>0</v>
      </c>
      <c r="H542" s="123">
        <f>IF(AND(ISNUMBER(F542), F542&gt;4, COUNTIFS($A$2:A542, A542, $B$2:B542, B542, $C$2:C542, C542, $F$2:F542, "&gt;4")=1), 1, 0)</f>
        <v>1</v>
      </c>
      <c r="I542" s="10">
        <f t="shared" si="23"/>
        <v>0</v>
      </c>
      <c r="J542" s="10"/>
      <c r="K542" s="7"/>
      <c r="L542" s="7"/>
      <c r="M542" s="7"/>
      <c r="N542" s="10"/>
      <c r="O542" s="113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5.75" customHeight="1">
      <c r="A543" s="10" t="s">
        <v>19</v>
      </c>
      <c r="B543" s="7" t="s">
        <v>98</v>
      </c>
      <c r="C543" s="135">
        <v>46239</v>
      </c>
      <c r="D543" s="44" t="s">
        <v>255</v>
      </c>
      <c r="E543" s="35" t="s">
        <v>589</v>
      </c>
      <c r="F543" s="121">
        <v>12.38</v>
      </c>
      <c r="G543" s="122">
        <f t="shared" si="22"/>
        <v>0</v>
      </c>
      <c r="H543" s="123">
        <f>IF(AND(ISNUMBER(F543), F543&gt;4, COUNTIFS($A$2:A543, A543, $B$2:B543, B543, $C$2:C543, C543, $F$2:F543, "&gt;4")=1), 1, 0)</f>
        <v>1</v>
      </c>
      <c r="I543" s="10">
        <f t="shared" si="23"/>
        <v>0</v>
      </c>
      <c r="J543" s="10"/>
      <c r="K543" s="7"/>
      <c r="L543" s="7"/>
      <c r="M543" s="7"/>
      <c r="N543" s="10"/>
      <c r="O543" s="113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5.75" customHeight="1">
      <c r="A544" s="10" t="s">
        <v>19</v>
      </c>
      <c r="B544" s="7" t="s">
        <v>98</v>
      </c>
      <c r="C544" s="135">
        <v>46240</v>
      </c>
      <c r="D544" s="44" t="s">
        <v>255</v>
      </c>
      <c r="E544" s="35" t="s">
        <v>590</v>
      </c>
      <c r="F544" s="121">
        <v>14.17</v>
      </c>
      <c r="G544" s="122">
        <f t="shared" si="22"/>
        <v>0</v>
      </c>
      <c r="H544" s="123">
        <f>IF(AND(ISNUMBER(F544), F544&gt;4, COUNTIFS($A$2:A544, A544, $B$2:B544, B544, $C$2:C544, C544, $F$2:F544, "&gt;4")=1), 1, 0)</f>
        <v>1</v>
      </c>
      <c r="I544" s="10">
        <f t="shared" si="23"/>
        <v>0</v>
      </c>
      <c r="J544" s="10"/>
      <c r="K544" s="7"/>
      <c r="L544" s="7"/>
      <c r="M544" s="7"/>
      <c r="N544" s="10"/>
      <c r="O544" s="113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5.75" customHeight="1">
      <c r="A545" s="10" t="s">
        <v>19</v>
      </c>
      <c r="B545" s="7" t="s">
        <v>98</v>
      </c>
      <c r="C545" s="135">
        <v>46242</v>
      </c>
      <c r="D545" s="44" t="s">
        <v>255</v>
      </c>
      <c r="E545" s="35" t="s">
        <v>591</v>
      </c>
      <c r="F545" s="121">
        <v>8.8699999999999992</v>
      </c>
      <c r="G545" s="122">
        <f t="shared" si="22"/>
        <v>0</v>
      </c>
      <c r="H545" s="123">
        <f>IF(AND(ISNUMBER(F545), F545&gt;4, COUNTIFS($A$2:A545, A545, $B$2:B545, B545, $C$2:C545, C545, $F$2:F545, "&gt;4")=1), 1, 0)</f>
        <v>1</v>
      </c>
      <c r="I545" s="10">
        <f t="shared" si="23"/>
        <v>0</v>
      </c>
      <c r="J545" s="10"/>
      <c r="K545" s="7"/>
      <c r="L545" s="7"/>
      <c r="M545" s="7"/>
      <c r="N545" s="10"/>
      <c r="O545" s="113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5.75" customHeight="1">
      <c r="A546" s="10" t="s">
        <v>19</v>
      </c>
      <c r="B546" s="7" t="s">
        <v>98</v>
      </c>
      <c r="C546" s="135">
        <v>46246</v>
      </c>
      <c r="D546" s="44" t="s">
        <v>255</v>
      </c>
      <c r="E546" s="35" t="s">
        <v>592</v>
      </c>
      <c r="F546" s="121">
        <v>8.8800000000000008</v>
      </c>
      <c r="G546" s="122">
        <f t="shared" si="22"/>
        <v>0</v>
      </c>
      <c r="H546" s="123">
        <f>IF(AND(ISNUMBER(F546), F546&gt;4, COUNTIFS($A$2:A546, A546, $B$2:B546, B546, $C$2:C546, C546, $F$2:F546, "&gt;4")=1), 1, 0)</f>
        <v>1</v>
      </c>
      <c r="I546" s="10">
        <f t="shared" si="23"/>
        <v>0</v>
      </c>
      <c r="J546" s="10"/>
      <c r="K546" s="7"/>
      <c r="L546" s="7"/>
      <c r="M546" s="7"/>
      <c r="N546" s="10"/>
      <c r="O546" s="113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5.75" customHeight="1">
      <c r="A547" s="10" t="s">
        <v>19</v>
      </c>
      <c r="B547" s="7" t="s">
        <v>98</v>
      </c>
      <c r="C547" s="135">
        <v>46249</v>
      </c>
      <c r="D547" s="44" t="s">
        <v>255</v>
      </c>
      <c r="E547" s="35" t="s">
        <v>400</v>
      </c>
      <c r="F547" s="121">
        <v>8.6199999999999992</v>
      </c>
      <c r="G547" s="122">
        <f t="shared" si="22"/>
        <v>0</v>
      </c>
      <c r="H547" s="123">
        <f>IF(AND(ISNUMBER(F547), F547&gt;4, COUNTIFS($A$2:A547, A547, $B$2:B547, B547, $C$2:C547, C547, $F$2:F547, "&gt;4")=1), 1, 0)</f>
        <v>1</v>
      </c>
      <c r="I547" s="10">
        <f t="shared" si="23"/>
        <v>0</v>
      </c>
      <c r="J547" s="10"/>
      <c r="K547" s="7"/>
      <c r="L547" s="7"/>
      <c r="M547" s="7"/>
      <c r="N547" s="10"/>
      <c r="O547" s="113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5.75" customHeight="1">
      <c r="A548" s="10" t="s">
        <v>19</v>
      </c>
      <c r="B548" s="7" t="s">
        <v>98</v>
      </c>
      <c r="C548" s="135">
        <v>46250</v>
      </c>
      <c r="D548" s="44" t="s">
        <v>255</v>
      </c>
      <c r="E548" s="35" t="s">
        <v>593</v>
      </c>
      <c r="F548" s="121">
        <v>12.08</v>
      </c>
      <c r="G548" s="122">
        <f t="shared" si="22"/>
        <v>0</v>
      </c>
      <c r="H548" s="123">
        <f>IF(AND(ISNUMBER(F548), F548&gt;4, COUNTIFS($A$2:A548, A548, $B$2:B548, B548, $C$2:C548, C548, $F$2:F548, "&gt;4")=1), 1, 0)</f>
        <v>1</v>
      </c>
      <c r="I548" s="10">
        <f t="shared" si="23"/>
        <v>0</v>
      </c>
      <c r="J548" s="10"/>
      <c r="K548" s="7"/>
      <c r="L548" s="7"/>
      <c r="M548" s="7"/>
      <c r="N548" s="10"/>
      <c r="O548" s="113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5.75" customHeight="1">
      <c r="A549" s="10" t="s">
        <v>19</v>
      </c>
      <c r="B549" s="7" t="s">
        <v>98</v>
      </c>
      <c r="C549" s="135">
        <v>46251</v>
      </c>
      <c r="D549" s="44" t="s">
        <v>255</v>
      </c>
      <c r="E549" s="35" t="s">
        <v>508</v>
      </c>
      <c r="F549" s="121">
        <v>8.83</v>
      </c>
      <c r="G549" s="122">
        <f t="shared" si="22"/>
        <v>0</v>
      </c>
      <c r="H549" s="123">
        <f>IF(AND(ISNUMBER(F549), F549&gt;4, COUNTIFS($A$2:A549, A549, $B$2:B549, B549, $C$2:C549, C549, $F$2:F549, "&gt;4")=1), 1, 0)</f>
        <v>1</v>
      </c>
      <c r="I549" s="10">
        <f t="shared" si="23"/>
        <v>0</v>
      </c>
      <c r="J549" s="10"/>
      <c r="K549" s="7"/>
      <c r="L549" s="7"/>
      <c r="M549" s="7"/>
      <c r="N549" s="10"/>
      <c r="O549" s="113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5.75" customHeight="1">
      <c r="A550" s="10" t="s">
        <v>19</v>
      </c>
      <c r="B550" s="7" t="s">
        <v>98</v>
      </c>
      <c r="C550" s="135">
        <v>46255</v>
      </c>
      <c r="D550" s="44" t="s">
        <v>255</v>
      </c>
      <c r="E550" s="35" t="s">
        <v>502</v>
      </c>
      <c r="F550" s="121">
        <v>8.17</v>
      </c>
      <c r="G550" s="122">
        <f t="shared" si="22"/>
        <v>0</v>
      </c>
      <c r="H550" s="123">
        <f>IF(AND(ISNUMBER(F550), F550&gt;4, COUNTIFS($A$2:A550, A550, $B$2:B550, B550, $C$2:C550, C550, $F$2:F550, "&gt;4")=1), 1, 0)</f>
        <v>1</v>
      </c>
      <c r="I550" s="10">
        <f t="shared" si="23"/>
        <v>0</v>
      </c>
      <c r="J550" s="10"/>
      <c r="K550" s="7"/>
      <c r="L550" s="7"/>
      <c r="M550" s="7"/>
      <c r="N550" s="10"/>
      <c r="O550" s="113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5.75" customHeight="1">
      <c r="A551" s="10" t="s">
        <v>19</v>
      </c>
      <c r="B551" s="7" t="s">
        <v>98</v>
      </c>
      <c r="C551" s="135">
        <v>46256</v>
      </c>
      <c r="D551" s="44" t="s">
        <v>255</v>
      </c>
      <c r="E551" s="35" t="s">
        <v>594</v>
      </c>
      <c r="F551" s="121">
        <v>8.82</v>
      </c>
      <c r="G551" s="122">
        <f t="shared" si="22"/>
        <v>0</v>
      </c>
      <c r="H551" s="123">
        <f>IF(AND(ISNUMBER(F551), F551&gt;4, COUNTIFS($A$2:A551, A551, $B$2:B551, B551, $C$2:C551, C551, $F$2:F551, "&gt;4")=1), 1, 0)</f>
        <v>1</v>
      </c>
      <c r="I551" s="10">
        <f t="shared" si="23"/>
        <v>0</v>
      </c>
      <c r="J551" s="10"/>
      <c r="K551" s="7"/>
      <c r="L551" s="7"/>
      <c r="M551" s="7"/>
      <c r="N551" s="10"/>
      <c r="O551" s="113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5.75" customHeight="1">
      <c r="A552" s="10" t="s">
        <v>19</v>
      </c>
      <c r="B552" s="7" t="s">
        <v>98</v>
      </c>
      <c r="C552" s="135">
        <v>46257</v>
      </c>
      <c r="D552" s="44" t="s">
        <v>255</v>
      </c>
      <c r="E552" s="35" t="s">
        <v>595</v>
      </c>
      <c r="F552" s="121">
        <v>11.45</v>
      </c>
      <c r="G552" s="122">
        <f t="shared" si="22"/>
        <v>0</v>
      </c>
      <c r="H552" s="123">
        <f>IF(AND(ISNUMBER(F552), F552&gt;4, COUNTIFS($A$2:A552, A552, $B$2:B552, B552, $C$2:C552, C552, $F$2:F552, "&gt;4")=1), 1, 0)</f>
        <v>1</v>
      </c>
      <c r="I552" s="10">
        <f t="shared" si="23"/>
        <v>0</v>
      </c>
      <c r="J552" s="10"/>
      <c r="K552" s="7"/>
      <c r="L552" s="7"/>
      <c r="M552" s="7"/>
      <c r="N552" s="10"/>
      <c r="O552" s="113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5.75" customHeight="1">
      <c r="A553" s="10" t="s">
        <v>19</v>
      </c>
      <c r="B553" s="7" t="s">
        <v>98</v>
      </c>
      <c r="C553" s="135">
        <v>46258</v>
      </c>
      <c r="D553" s="44" t="s">
        <v>255</v>
      </c>
      <c r="E553" s="35" t="s">
        <v>596</v>
      </c>
      <c r="F553" s="121">
        <v>8.4499999999999993</v>
      </c>
      <c r="G553" s="122">
        <f t="shared" si="22"/>
        <v>0</v>
      </c>
      <c r="H553" s="123">
        <f>IF(AND(ISNUMBER(F553), F553&gt;4, COUNTIFS($A$2:A553, A553, $B$2:B553, B553, $C$2:C553, C553, $F$2:F553, "&gt;4")=1), 1, 0)</f>
        <v>1</v>
      </c>
      <c r="I553" s="10">
        <f t="shared" si="23"/>
        <v>0</v>
      </c>
      <c r="J553" s="10"/>
      <c r="K553" s="7"/>
      <c r="L553" s="7"/>
      <c r="M553" s="7"/>
      <c r="N553" s="10"/>
      <c r="O553" s="113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5.75" customHeight="1">
      <c r="A554" s="10" t="s">
        <v>19</v>
      </c>
      <c r="B554" s="7" t="s">
        <v>98</v>
      </c>
      <c r="C554" s="135">
        <v>46260</v>
      </c>
      <c r="D554" s="44" t="s">
        <v>255</v>
      </c>
      <c r="E554" s="35" t="s">
        <v>350</v>
      </c>
      <c r="F554" s="121">
        <v>8.93</v>
      </c>
      <c r="G554" s="122">
        <f t="shared" si="22"/>
        <v>0</v>
      </c>
      <c r="H554" s="123">
        <f>IF(AND(ISNUMBER(F554), F554&gt;4, COUNTIFS($A$2:A554, A554, $B$2:B554, B554, $C$2:C554, C554, $F$2:F554, "&gt;4")=1), 1, 0)</f>
        <v>1</v>
      </c>
      <c r="I554" s="10">
        <f t="shared" si="23"/>
        <v>0</v>
      </c>
      <c r="J554" s="10"/>
      <c r="K554" s="7"/>
      <c r="L554" s="7"/>
      <c r="M554" s="7"/>
      <c r="N554" s="10"/>
      <c r="O554" s="113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5.75" customHeight="1">
      <c r="A555" s="10" t="s">
        <v>19</v>
      </c>
      <c r="B555" s="7" t="s">
        <v>98</v>
      </c>
      <c r="C555" s="135">
        <v>46264</v>
      </c>
      <c r="D555" s="44" t="s">
        <v>255</v>
      </c>
      <c r="E555" s="35" t="s">
        <v>522</v>
      </c>
      <c r="F555" s="121">
        <v>8.32</v>
      </c>
      <c r="G555" s="122">
        <f t="shared" si="22"/>
        <v>0</v>
      </c>
      <c r="H555" s="123">
        <f>IF(AND(ISNUMBER(F555), F555&gt;4, COUNTIFS($A$2:A555, A555, $B$2:B555, B555, $C$2:C555, C555, $F$2:F555, "&gt;4")=1), 1, 0)</f>
        <v>1</v>
      </c>
      <c r="I555" s="10">
        <f t="shared" si="23"/>
        <v>0</v>
      </c>
      <c r="J555" s="10"/>
      <c r="K555" s="7"/>
      <c r="L555" s="7"/>
      <c r="M555" s="7"/>
      <c r="N555" s="10"/>
      <c r="O555" s="113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5.75" customHeight="1">
      <c r="A556" s="10" t="s">
        <v>19</v>
      </c>
      <c r="B556" s="7" t="s">
        <v>98</v>
      </c>
      <c r="C556" s="135">
        <v>46265</v>
      </c>
      <c r="D556" s="44" t="s">
        <v>255</v>
      </c>
      <c r="E556" s="35" t="s">
        <v>597</v>
      </c>
      <c r="F556" s="121">
        <v>10.92</v>
      </c>
      <c r="G556" s="122">
        <f t="shared" si="22"/>
        <v>0</v>
      </c>
      <c r="H556" s="123">
        <f>IF(AND(ISNUMBER(F556), F556&gt;4, COUNTIFS($A$2:A556, A556, $B$2:B556, B556, $C$2:C556, C556, $F$2:F556, "&gt;4")=1), 1, 0)</f>
        <v>1</v>
      </c>
      <c r="I556" s="10">
        <f t="shared" si="23"/>
        <v>0</v>
      </c>
      <c r="J556" s="10"/>
      <c r="K556" s="7"/>
      <c r="L556" s="7"/>
      <c r="M556" s="7"/>
      <c r="N556" s="10"/>
      <c r="O556" s="113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5.75" customHeight="1">
      <c r="A557" s="10" t="s">
        <v>19</v>
      </c>
      <c r="B557" s="7" t="s">
        <v>98</v>
      </c>
      <c r="C557" s="135">
        <v>46243</v>
      </c>
      <c r="D557" s="44" t="s">
        <v>292</v>
      </c>
      <c r="E557" s="35" t="s">
        <v>598</v>
      </c>
      <c r="F557" s="121">
        <v>11.43</v>
      </c>
      <c r="G557" s="122">
        <f t="shared" si="22"/>
        <v>0</v>
      </c>
      <c r="H557" s="123">
        <f>IF(AND(ISNUMBER(F557), F557&gt;4, COUNTIFS($A$2:A557, A557, $B$2:B557, B557, $C$2:C557, C557, $F$2:F557, "&gt;4")=1), 1, 0)</f>
        <v>1</v>
      </c>
      <c r="I557" s="10">
        <f t="shared" si="23"/>
        <v>0</v>
      </c>
      <c r="J557" s="10"/>
      <c r="K557" s="7"/>
      <c r="L557" s="7"/>
      <c r="M557" s="7"/>
      <c r="N557" s="10"/>
      <c r="O557" s="113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5.75" customHeight="1">
      <c r="A558" s="10" t="s">
        <v>19</v>
      </c>
      <c r="B558" s="7" t="s">
        <v>98</v>
      </c>
      <c r="C558" s="135">
        <v>46263</v>
      </c>
      <c r="D558" s="44" t="s">
        <v>292</v>
      </c>
      <c r="E558" s="35" t="s">
        <v>564</v>
      </c>
      <c r="F558" s="121">
        <v>8.57</v>
      </c>
      <c r="G558" s="122">
        <f t="shared" si="22"/>
        <v>0</v>
      </c>
      <c r="H558" s="123">
        <f>IF(AND(ISNUMBER(F558), F558&gt;4, COUNTIFS($A$2:A558, A558, $B$2:B558, B558, $C$2:C558, C558, $F$2:F558, "&gt;4")=1), 1, 0)</f>
        <v>1</v>
      </c>
      <c r="I558" s="10">
        <f t="shared" si="23"/>
        <v>0</v>
      </c>
      <c r="J558" s="10"/>
      <c r="K558" s="7"/>
      <c r="L558" s="7"/>
      <c r="M558" s="7"/>
      <c r="N558" s="10"/>
      <c r="O558" s="113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5.75" customHeight="1">
      <c r="A559" s="10" t="s">
        <v>19</v>
      </c>
      <c r="B559" s="7" t="s">
        <v>98</v>
      </c>
      <c r="C559" s="135">
        <v>46241</v>
      </c>
      <c r="D559" s="44" t="s">
        <v>257</v>
      </c>
      <c r="E559" s="35" t="s">
        <v>511</v>
      </c>
      <c r="F559" s="121">
        <v>8.1300000000000008</v>
      </c>
      <c r="G559" s="122">
        <f t="shared" si="22"/>
        <v>0</v>
      </c>
      <c r="H559" s="123">
        <f>IF(AND(ISNUMBER(F559), F559&gt;4, COUNTIFS($A$2:A559, A559, $B$2:B559, B559, $C$2:C559, C559, $F$2:F559, "&gt;4")=1), 1, 0)</f>
        <v>1</v>
      </c>
      <c r="I559" s="10">
        <f t="shared" si="23"/>
        <v>0</v>
      </c>
      <c r="J559" s="10"/>
      <c r="K559" s="7"/>
      <c r="L559" s="7"/>
      <c r="M559" s="7"/>
      <c r="N559" s="10"/>
      <c r="O559" s="113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5.75" customHeight="1">
      <c r="A560" s="10" t="s">
        <v>19</v>
      </c>
      <c r="B560" s="7" t="s">
        <v>98</v>
      </c>
      <c r="C560" s="135">
        <v>46244</v>
      </c>
      <c r="D560" s="44" t="s">
        <v>257</v>
      </c>
      <c r="E560" s="35" t="s">
        <v>599</v>
      </c>
      <c r="F560" s="121">
        <v>8.98</v>
      </c>
      <c r="G560" s="122">
        <f t="shared" si="22"/>
        <v>0</v>
      </c>
      <c r="H560" s="123">
        <f>IF(AND(ISNUMBER(F560), F560&gt;4, COUNTIFS($A$2:A560, A560, $B$2:B560, B560, $C$2:C560, C560, $F$2:F560, "&gt;4")=1), 1, 0)</f>
        <v>1</v>
      </c>
      <c r="I560" s="10">
        <f t="shared" si="23"/>
        <v>0</v>
      </c>
      <c r="J560" s="10"/>
      <c r="K560" s="7"/>
      <c r="L560" s="7"/>
      <c r="M560" s="7"/>
      <c r="N560" s="10"/>
      <c r="O560" s="113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5.75" customHeight="1">
      <c r="A561" s="10" t="s">
        <v>19</v>
      </c>
      <c r="B561" s="7" t="s">
        <v>98</v>
      </c>
      <c r="C561" s="135">
        <v>46245</v>
      </c>
      <c r="D561" s="44" t="s">
        <v>257</v>
      </c>
      <c r="E561" s="35" t="s">
        <v>310</v>
      </c>
      <c r="F561" s="121">
        <v>8.3000000000000007</v>
      </c>
      <c r="G561" s="122">
        <f t="shared" si="22"/>
        <v>0</v>
      </c>
      <c r="H561" s="123">
        <f>IF(AND(ISNUMBER(F561), F561&gt;4, COUNTIFS($A$2:A561, A561, $B$2:B561, B561, $C$2:C561, C561, $F$2:F561, "&gt;4")=1), 1, 0)</f>
        <v>1</v>
      </c>
      <c r="I561" s="10">
        <f t="shared" si="23"/>
        <v>0</v>
      </c>
      <c r="J561" s="10"/>
      <c r="K561" s="7"/>
      <c r="L561" s="7"/>
      <c r="M561" s="7"/>
      <c r="N561" s="10"/>
      <c r="O561" s="113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5.75" customHeight="1">
      <c r="A562" s="10" t="s">
        <v>19</v>
      </c>
      <c r="B562" s="7" t="s">
        <v>98</v>
      </c>
      <c r="C562" s="135">
        <v>46247</v>
      </c>
      <c r="D562" s="44" t="s">
        <v>257</v>
      </c>
      <c r="E562" s="35" t="s">
        <v>310</v>
      </c>
      <c r="F562" s="121">
        <v>8.3000000000000007</v>
      </c>
      <c r="G562" s="122">
        <f t="shared" si="22"/>
        <v>0</v>
      </c>
      <c r="H562" s="123">
        <f>IF(AND(ISNUMBER(F562), F562&gt;4, COUNTIFS($A$2:A562, A562, $B$2:B562, B562, $C$2:C562, C562, $F$2:F562, "&gt;4")=1), 1, 0)</f>
        <v>1</v>
      </c>
      <c r="I562" s="10">
        <f t="shared" si="23"/>
        <v>0</v>
      </c>
      <c r="J562" s="10"/>
      <c r="K562" s="7"/>
      <c r="L562" s="7"/>
      <c r="M562" s="7"/>
      <c r="N562" s="10"/>
      <c r="O562" s="113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5.75" customHeight="1">
      <c r="A563" s="10" t="s">
        <v>19</v>
      </c>
      <c r="B563" s="7" t="s">
        <v>98</v>
      </c>
      <c r="C563" s="135">
        <v>46252</v>
      </c>
      <c r="D563" s="44" t="s">
        <v>257</v>
      </c>
      <c r="E563" s="35" t="s">
        <v>519</v>
      </c>
      <c r="F563" s="121">
        <v>8.4</v>
      </c>
      <c r="G563" s="122">
        <f t="shared" si="22"/>
        <v>0</v>
      </c>
      <c r="H563" s="123">
        <f>IF(AND(ISNUMBER(F563), F563&gt;4, COUNTIFS($A$2:A563, A563, $B$2:B563, B563, $C$2:C563, C563, $F$2:F563, "&gt;4")=1), 1, 0)</f>
        <v>1</v>
      </c>
      <c r="I563" s="10">
        <f t="shared" si="23"/>
        <v>0</v>
      </c>
      <c r="J563" s="10"/>
      <c r="K563" s="7"/>
      <c r="L563" s="7"/>
      <c r="M563" s="7"/>
      <c r="N563" s="10"/>
      <c r="O563" s="113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5.75" customHeight="1">
      <c r="A564" s="10" t="s">
        <v>19</v>
      </c>
      <c r="B564" s="7" t="s">
        <v>98</v>
      </c>
      <c r="C564" s="135">
        <v>46253</v>
      </c>
      <c r="D564" s="44" t="s">
        <v>257</v>
      </c>
      <c r="E564" s="35" t="s">
        <v>489</v>
      </c>
      <c r="F564" s="121">
        <v>8.33</v>
      </c>
      <c r="G564" s="122">
        <f t="shared" si="22"/>
        <v>0</v>
      </c>
      <c r="H564" s="123">
        <f>IF(AND(ISNUMBER(F564), F564&gt;4, COUNTIFS($A$2:A564, A564, $B$2:B564, B564, $C$2:C564, C564, $F$2:F564, "&gt;4")=1), 1, 0)</f>
        <v>1</v>
      </c>
      <c r="I564" s="10">
        <f t="shared" si="23"/>
        <v>0</v>
      </c>
      <c r="J564" s="10"/>
      <c r="K564" s="7"/>
      <c r="L564" s="7"/>
      <c r="M564" s="7"/>
      <c r="N564" s="10"/>
      <c r="O564" s="113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5.75" customHeight="1">
      <c r="A565" s="10" t="s">
        <v>19</v>
      </c>
      <c r="B565" s="7" t="s">
        <v>98</v>
      </c>
      <c r="C565" s="135">
        <v>46254</v>
      </c>
      <c r="D565" s="44" t="s">
        <v>257</v>
      </c>
      <c r="E565" s="35" t="s">
        <v>305</v>
      </c>
      <c r="F565" s="121">
        <v>8.2799999999999994</v>
      </c>
      <c r="G565" s="122">
        <f t="shared" si="22"/>
        <v>0</v>
      </c>
      <c r="H565" s="123">
        <f>IF(AND(ISNUMBER(F565), F565&gt;4, COUNTIFS($A$2:A565, A565, $B$2:B565, B565, $C$2:C565, C565, $F$2:F565, "&gt;4")=1), 1, 0)</f>
        <v>1</v>
      </c>
      <c r="I565" s="10">
        <f t="shared" si="23"/>
        <v>0</v>
      </c>
      <c r="J565" s="10"/>
      <c r="K565" s="7"/>
      <c r="L565" s="7"/>
      <c r="M565" s="7"/>
      <c r="N565" s="10"/>
      <c r="O565" s="113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.75" customHeight="1">
      <c r="A566" s="10" t="s">
        <v>19</v>
      </c>
      <c r="B566" s="7" t="s">
        <v>98</v>
      </c>
      <c r="C566" s="135">
        <v>46259</v>
      </c>
      <c r="D566" s="44" t="s">
        <v>257</v>
      </c>
      <c r="E566" s="35" t="s">
        <v>280</v>
      </c>
      <c r="F566" s="121">
        <v>8.25</v>
      </c>
      <c r="G566" s="122">
        <f t="shared" si="22"/>
        <v>0</v>
      </c>
      <c r="H566" s="123">
        <f>IF(AND(ISNUMBER(F566), F566&gt;4, COUNTIFS($A$2:A566, A566, $B$2:B566, B566, $C$2:C566, C566, $F$2:F566, "&gt;4")=1), 1, 0)</f>
        <v>1</v>
      </c>
      <c r="I566" s="10">
        <f t="shared" si="23"/>
        <v>0</v>
      </c>
      <c r="J566" s="10"/>
      <c r="K566" s="7"/>
      <c r="L566" s="7"/>
      <c r="M566" s="7"/>
      <c r="N566" s="10"/>
      <c r="O566" s="113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.75" customHeight="1">
      <c r="A567" s="10" t="s">
        <v>19</v>
      </c>
      <c r="B567" s="7" t="s">
        <v>98</v>
      </c>
      <c r="C567" s="135">
        <v>46261</v>
      </c>
      <c r="D567" s="44" t="s">
        <v>257</v>
      </c>
      <c r="E567" s="35" t="s">
        <v>310</v>
      </c>
      <c r="F567" s="121">
        <v>8.3000000000000007</v>
      </c>
      <c r="G567" s="122">
        <f t="shared" si="22"/>
        <v>0</v>
      </c>
      <c r="H567" s="123">
        <f>IF(AND(ISNUMBER(F567), F567&gt;4, COUNTIFS($A$2:A567, A567, $B$2:B567, B567, $C$2:C567, C567, $F$2:F567, "&gt;4")=1), 1, 0)</f>
        <v>1</v>
      </c>
      <c r="I567" s="10">
        <f t="shared" si="23"/>
        <v>0</v>
      </c>
      <c r="J567" s="10"/>
      <c r="K567" s="7"/>
      <c r="L567" s="7"/>
      <c r="M567" s="7"/>
      <c r="N567" s="10"/>
      <c r="O567" s="113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5.75" customHeight="1">
      <c r="A568" s="10" t="s">
        <v>19</v>
      </c>
      <c r="B568" s="7" t="s">
        <v>98</v>
      </c>
      <c r="C568" s="135">
        <v>46262</v>
      </c>
      <c r="D568" s="44" t="s">
        <v>257</v>
      </c>
      <c r="E568" s="35" t="s">
        <v>207</v>
      </c>
      <c r="F568" s="121">
        <v>8.1</v>
      </c>
      <c r="G568" s="122">
        <f t="shared" si="22"/>
        <v>0</v>
      </c>
      <c r="H568" s="123">
        <f>IF(AND(ISNUMBER(F568), F568&gt;4, COUNTIFS($A$2:A568, A568, $B$2:B568, B568, $C$2:C568, C568, $F$2:F568, "&gt;4")=1), 1, 0)</f>
        <v>1</v>
      </c>
      <c r="I568" s="10">
        <f t="shared" si="23"/>
        <v>0</v>
      </c>
      <c r="J568" s="10"/>
      <c r="K568" s="7"/>
      <c r="L568" s="7"/>
      <c r="M568" s="7"/>
      <c r="N568" s="10"/>
      <c r="O568" s="113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5.75" customHeight="1">
      <c r="A569" s="10" t="s">
        <v>24</v>
      </c>
      <c r="B569" s="7" t="s">
        <v>100</v>
      </c>
      <c r="C569" s="135">
        <v>46257</v>
      </c>
      <c r="D569" s="44" t="s">
        <v>215</v>
      </c>
      <c r="E569" s="35" t="s">
        <v>295</v>
      </c>
      <c r="F569" s="121">
        <v>7.25</v>
      </c>
      <c r="G569" s="122">
        <f t="shared" si="22"/>
        <v>0</v>
      </c>
      <c r="H569" s="123">
        <f>IF(AND(ISNUMBER(F569), F569&gt;4, COUNTIFS($A$2:A569, A569, $B$2:B569, B569, $C$2:C569, C569, $F$2:F569, "&gt;4")=1), 1, 0)</f>
        <v>1</v>
      </c>
      <c r="I569" s="10">
        <f t="shared" si="23"/>
        <v>0</v>
      </c>
      <c r="J569" s="10"/>
      <c r="K569" s="7"/>
      <c r="L569" s="7"/>
      <c r="M569" s="7"/>
      <c r="N569" s="10"/>
      <c r="O569" s="113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5.75" customHeight="1">
      <c r="A570" s="10" t="s">
        <v>24</v>
      </c>
      <c r="B570" s="7" t="s">
        <v>100</v>
      </c>
      <c r="C570" s="135">
        <v>46245</v>
      </c>
      <c r="D570" s="44" t="s">
        <v>198</v>
      </c>
      <c r="E570" s="35" t="s">
        <v>296</v>
      </c>
      <c r="F570" s="121">
        <v>4</v>
      </c>
      <c r="G570" s="122">
        <f t="shared" si="22"/>
        <v>1</v>
      </c>
      <c r="H570" s="123">
        <f>IF(AND(ISNUMBER(F570), F570&gt;4, COUNTIFS($A$2:A570, A570, $B$2:B570, B570, $C$2:C570, C570, $F$2:F570, "&gt;4")=1), 1, 0)</f>
        <v>0</v>
      </c>
      <c r="I570" s="10">
        <f t="shared" si="23"/>
        <v>0</v>
      </c>
      <c r="J570" s="10"/>
      <c r="K570" s="7"/>
      <c r="L570" s="7"/>
      <c r="M570" s="7"/>
      <c r="N570" s="10"/>
      <c r="O570" s="113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5.75" customHeight="1">
      <c r="A571" s="10" t="s">
        <v>19</v>
      </c>
      <c r="B571" s="7" t="s">
        <v>100</v>
      </c>
      <c r="C571" s="135">
        <v>46255</v>
      </c>
      <c r="D571" s="44" t="s">
        <v>222</v>
      </c>
      <c r="E571" s="35" t="s">
        <v>297</v>
      </c>
      <c r="F571" s="121">
        <v>8.5</v>
      </c>
      <c r="G571" s="122">
        <f t="shared" si="22"/>
        <v>0</v>
      </c>
      <c r="H571" s="123">
        <f>IF(AND(ISNUMBER(F571), F571&gt;4, COUNTIFS($A$2:A571, A571, $B$2:B571, B571, $C$2:C571, C571, $F$2:F571, "&gt;4")=1), 1, 0)</f>
        <v>1</v>
      </c>
      <c r="I571" s="10">
        <f t="shared" si="23"/>
        <v>0</v>
      </c>
      <c r="J571" s="10"/>
      <c r="K571" s="7"/>
      <c r="L571" s="7"/>
      <c r="M571" s="7"/>
      <c r="N571" s="10"/>
      <c r="O571" s="113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5.75" customHeight="1">
      <c r="A572" s="10" t="s">
        <v>19</v>
      </c>
      <c r="B572" s="7" t="s">
        <v>100</v>
      </c>
      <c r="C572" s="135">
        <v>46235</v>
      </c>
      <c r="D572" s="44" t="s">
        <v>255</v>
      </c>
      <c r="E572" s="35" t="s">
        <v>530</v>
      </c>
      <c r="F572" s="121">
        <v>11.97</v>
      </c>
      <c r="G572" s="122">
        <f t="shared" si="22"/>
        <v>0</v>
      </c>
      <c r="H572" s="123">
        <f>IF(AND(ISNUMBER(F572), F572&gt;4, COUNTIFS($A$2:A572, A572, $B$2:B572, B572, $C$2:C572, C572, $F$2:F572, "&gt;4")=1), 1, 0)</f>
        <v>1</v>
      </c>
      <c r="I572" s="10">
        <f t="shared" si="23"/>
        <v>0</v>
      </c>
      <c r="J572" s="10"/>
      <c r="K572" s="7"/>
      <c r="L572" s="7"/>
      <c r="M572" s="7"/>
      <c r="N572" s="10"/>
      <c r="O572" s="113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5.75" customHeight="1">
      <c r="A573" s="10" t="s">
        <v>19</v>
      </c>
      <c r="B573" s="7" t="s">
        <v>100</v>
      </c>
      <c r="C573" s="135">
        <v>46236</v>
      </c>
      <c r="D573" s="44" t="s">
        <v>255</v>
      </c>
      <c r="E573" s="35" t="s">
        <v>586</v>
      </c>
      <c r="F573" s="121">
        <v>12.32</v>
      </c>
      <c r="G573" s="122">
        <f t="shared" si="22"/>
        <v>0</v>
      </c>
      <c r="H573" s="123">
        <f>IF(AND(ISNUMBER(F573), F573&gt;4, COUNTIFS($A$2:A573, A573, $B$2:B573, B573, $C$2:C573, C573, $F$2:F573, "&gt;4")=1), 1, 0)</f>
        <v>1</v>
      </c>
      <c r="I573" s="10">
        <f t="shared" si="23"/>
        <v>0</v>
      </c>
      <c r="J573" s="10"/>
      <c r="K573" s="7"/>
      <c r="L573" s="7"/>
      <c r="M573" s="7"/>
      <c r="N573" s="10"/>
      <c r="O573" s="113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5.75" customHeight="1">
      <c r="A574" s="10" t="s">
        <v>19</v>
      </c>
      <c r="B574" s="7" t="s">
        <v>100</v>
      </c>
      <c r="C574" s="135">
        <v>46237</v>
      </c>
      <c r="D574" s="44" t="s">
        <v>255</v>
      </c>
      <c r="E574" s="35" t="s">
        <v>425</v>
      </c>
      <c r="F574" s="121">
        <v>12</v>
      </c>
      <c r="G574" s="122">
        <f t="shared" si="22"/>
        <v>0</v>
      </c>
      <c r="H574" s="123">
        <f>IF(AND(ISNUMBER(F574), F574&gt;4, COUNTIFS($A$2:A574, A574, $B$2:B574, B574, $C$2:C574, C574, $F$2:F574, "&gt;4")=1), 1, 0)</f>
        <v>1</v>
      </c>
      <c r="I574" s="10">
        <f t="shared" si="23"/>
        <v>0</v>
      </c>
      <c r="J574" s="10"/>
      <c r="K574" s="7"/>
      <c r="L574" s="7"/>
      <c r="M574" s="7"/>
      <c r="N574" s="10"/>
      <c r="O574" s="113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5.75" customHeight="1">
      <c r="A575" s="10" t="s">
        <v>19</v>
      </c>
      <c r="B575" s="7" t="s">
        <v>100</v>
      </c>
      <c r="C575" s="135">
        <v>46238</v>
      </c>
      <c r="D575" s="44" t="s">
        <v>255</v>
      </c>
      <c r="E575" s="35" t="s">
        <v>588</v>
      </c>
      <c r="F575" s="121">
        <v>12.18</v>
      </c>
      <c r="G575" s="122">
        <f t="shared" si="22"/>
        <v>0</v>
      </c>
      <c r="H575" s="123">
        <f>IF(AND(ISNUMBER(F575), F575&gt;4, COUNTIFS($A$2:A575, A575, $B$2:B575, B575, $C$2:C575, C575, $F$2:F575, "&gt;4")=1), 1, 0)</f>
        <v>1</v>
      </c>
      <c r="I575" s="10">
        <f t="shared" si="23"/>
        <v>0</v>
      </c>
      <c r="J575" s="10"/>
      <c r="K575" s="7"/>
      <c r="L575" s="7"/>
      <c r="M575" s="7"/>
      <c r="N575" s="10"/>
      <c r="O575" s="113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5.75" customHeight="1">
      <c r="A576" s="10" t="s">
        <v>19</v>
      </c>
      <c r="B576" s="7" t="s">
        <v>100</v>
      </c>
      <c r="C576" s="135">
        <v>46239</v>
      </c>
      <c r="D576" s="44" t="s">
        <v>255</v>
      </c>
      <c r="E576" s="35" t="s">
        <v>586</v>
      </c>
      <c r="F576" s="121">
        <v>12.32</v>
      </c>
      <c r="G576" s="122">
        <f t="shared" si="22"/>
        <v>0</v>
      </c>
      <c r="H576" s="123">
        <f>IF(AND(ISNUMBER(F576), F576&gt;4, COUNTIFS($A$2:A576, A576, $B$2:B576, B576, $C$2:C576, C576, $F$2:F576, "&gt;4")=1), 1, 0)</f>
        <v>1</v>
      </c>
      <c r="I576" s="10">
        <f t="shared" si="23"/>
        <v>0</v>
      </c>
      <c r="J576" s="10"/>
      <c r="K576" s="7"/>
      <c r="L576" s="7"/>
      <c r="M576" s="7"/>
      <c r="N576" s="10"/>
      <c r="O576" s="113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5.75" customHeight="1">
      <c r="A577" s="10" t="s">
        <v>19</v>
      </c>
      <c r="B577" s="7" t="s">
        <v>100</v>
      </c>
      <c r="C577" s="135">
        <v>46240</v>
      </c>
      <c r="D577" s="44" t="s">
        <v>255</v>
      </c>
      <c r="E577" s="35" t="s">
        <v>600</v>
      </c>
      <c r="F577" s="121">
        <v>14.13</v>
      </c>
      <c r="G577" s="122">
        <f t="shared" si="22"/>
        <v>0</v>
      </c>
      <c r="H577" s="123">
        <f>IF(AND(ISNUMBER(F577), F577&gt;4, COUNTIFS($A$2:A577, A577, $B$2:B577, B577, $C$2:C577, C577, $F$2:F577, "&gt;4")=1), 1, 0)</f>
        <v>1</v>
      </c>
      <c r="I577" s="10">
        <f t="shared" si="23"/>
        <v>0</v>
      </c>
      <c r="J577" s="10"/>
      <c r="K577" s="7"/>
      <c r="L577" s="7"/>
      <c r="M577" s="7"/>
      <c r="N577" s="10"/>
      <c r="O577" s="113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5.75" customHeight="1">
      <c r="A578" s="10" t="s">
        <v>19</v>
      </c>
      <c r="B578" s="7" t="s">
        <v>100</v>
      </c>
      <c r="C578" s="135">
        <v>46241</v>
      </c>
      <c r="D578" s="44" t="s">
        <v>255</v>
      </c>
      <c r="E578" s="35" t="s">
        <v>419</v>
      </c>
      <c r="F578" s="121">
        <v>9.1300000000000008</v>
      </c>
      <c r="G578" s="122">
        <f t="shared" ref="G578:G641" si="24">IF(AND(ISNUMBER(F578), F578&lt;=4), 1, 0)</f>
        <v>0</v>
      </c>
      <c r="H578" s="123">
        <f>IF(AND(ISNUMBER(F578), F578&gt;4, COUNTIFS($A$2:A578, A578, $B$2:B578, B578, $C$2:C578, C578, $F$2:F578, "&gt;4")=1), 1, 0)</f>
        <v>1</v>
      </c>
      <c r="I578" s="10">
        <f t="shared" ref="I578:I641" si="25">IF(AND(ISNUMBER(F578), F578&gt;4, ISNUMBER(SEARCH("đêm", D578))), 1, 0)</f>
        <v>0</v>
      </c>
      <c r="J578" s="10"/>
      <c r="K578" s="7"/>
      <c r="L578" s="7"/>
      <c r="M578" s="7"/>
      <c r="N578" s="10"/>
      <c r="O578" s="113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5.75" customHeight="1">
      <c r="A579" s="10" t="s">
        <v>19</v>
      </c>
      <c r="B579" s="7" t="s">
        <v>100</v>
      </c>
      <c r="C579" s="135">
        <v>46244</v>
      </c>
      <c r="D579" s="44" t="s">
        <v>255</v>
      </c>
      <c r="E579" s="35" t="s">
        <v>601</v>
      </c>
      <c r="F579" s="121">
        <v>9.73</v>
      </c>
      <c r="G579" s="122">
        <f t="shared" si="24"/>
        <v>0</v>
      </c>
      <c r="H579" s="123">
        <f>IF(AND(ISNUMBER(F579), F579&gt;4, COUNTIFS($A$2:A579, A579, $B$2:B579, B579, $C$2:C579, C579, $F$2:F579, "&gt;4")=1), 1, 0)</f>
        <v>1</v>
      </c>
      <c r="I579" s="10">
        <f t="shared" si="25"/>
        <v>0</v>
      </c>
      <c r="J579" s="10"/>
      <c r="K579" s="7"/>
      <c r="L579" s="7"/>
      <c r="M579" s="7"/>
      <c r="N579" s="10"/>
      <c r="O579" s="113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5.75" customHeight="1">
      <c r="A580" s="10" t="s">
        <v>19</v>
      </c>
      <c r="B580" s="7" t="s">
        <v>100</v>
      </c>
      <c r="C580" s="135">
        <v>46245</v>
      </c>
      <c r="D580" s="44" t="s">
        <v>255</v>
      </c>
      <c r="E580" s="35" t="s">
        <v>492</v>
      </c>
      <c r="F580" s="121">
        <v>8.42</v>
      </c>
      <c r="G580" s="122">
        <f t="shared" si="24"/>
        <v>0</v>
      </c>
      <c r="H580" s="123">
        <f>IF(AND(ISNUMBER(F580), F580&gt;4, COUNTIFS($A$2:A580, A580, $B$2:B580, B580, $C$2:C580, C580, $F$2:F580, "&gt;4")=1), 1, 0)</f>
        <v>1</v>
      </c>
      <c r="I580" s="10">
        <f t="shared" si="25"/>
        <v>0</v>
      </c>
      <c r="J580" s="10"/>
      <c r="K580" s="7"/>
      <c r="L580" s="7"/>
      <c r="M580" s="7"/>
      <c r="N580" s="10"/>
      <c r="O580" s="113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5.75" customHeight="1">
      <c r="A581" s="10" t="s">
        <v>19</v>
      </c>
      <c r="B581" s="7" t="s">
        <v>100</v>
      </c>
      <c r="C581" s="135">
        <v>46247</v>
      </c>
      <c r="D581" s="44" t="s">
        <v>255</v>
      </c>
      <c r="E581" s="35" t="s">
        <v>488</v>
      </c>
      <c r="F581" s="121">
        <v>8.3800000000000008</v>
      </c>
      <c r="G581" s="122">
        <f t="shared" si="24"/>
        <v>0</v>
      </c>
      <c r="H581" s="123">
        <f>IF(AND(ISNUMBER(F581), F581&gt;4, COUNTIFS($A$2:A581, A581, $B$2:B581, B581, $C$2:C581, C581, $F$2:F581, "&gt;4")=1), 1, 0)</f>
        <v>1</v>
      </c>
      <c r="I581" s="10">
        <f t="shared" si="25"/>
        <v>0</v>
      </c>
      <c r="J581" s="10"/>
      <c r="K581" s="7"/>
      <c r="L581" s="7"/>
      <c r="M581" s="7"/>
      <c r="N581" s="10"/>
      <c r="O581" s="113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5.75" customHeight="1">
      <c r="A582" s="10" t="s">
        <v>19</v>
      </c>
      <c r="B582" s="7" t="s">
        <v>100</v>
      </c>
      <c r="C582" s="135">
        <v>46248</v>
      </c>
      <c r="D582" s="44" t="s">
        <v>255</v>
      </c>
      <c r="E582" s="35" t="s">
        <v>602</v>
      </c>
      <c r="F582" s="121">
        <v>9.2799999999999994</v>
      </c>
      <c r="G582" s="122">
        <f t="shared" si="24"/>
        <v>0</v>
      </c>
      <c r="H582" s="123">
        <f>IF(AND(ISNUMBER(F582), F582&gt;4, COUNTIFS($A$2:A582, A582, $B$2:B582, B582, $C$2:C582, C582, $F$2:F582, "&gt;4")=1), 1, 0)</f>
        <v>1</v>
      </c>
      <c r="I582" s="10">
        <f t="shared" si="25"/>
        <v>0</v>
      </c>
      <c r="J582" s="10"/>
      <c r="K582" s="7"/>
      <c r="L582" s="7"/>
      <c r="M582" s="7"/>
      <c r="N582" s="10"/>
      <c r="O582" s="113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5.75" customHeight="1">
      <c r="A583" s="10" t="s">
        <v>19</v>
      </c>
      <c r="B583" s="7" t="s">
        <v>100</v>
      </c>
      <c r="C583" s="135">
        <v>46252</v>
      </c>
      <c r="D583" s="44" t="s">
        <v>255</v>
      </c>
      <c r="E583" s="35" t="s">
        <v>531</v>
      </c>
      <c r="F583" s="121">
        <v>9.57</v>
      </c>
      <c r="G583" s="122">
        <f t="shared" si="24"/>
        <v>0</v>
      </c>
      <c r="H583" s="123">
        <f>IF(AND(ISNUMBER(F583), F583&gt;4, COUNTIFS($A$2:A583, A583, $B$2:B583, B583, $C$2:C583, C583, $F$2:F583, "&gt;4")=1), 1, 0)</f>
        <v>1</v>
      </c>
      <c r="I583" s="10">
        <f t="shared" si="25"/>
        <v>0</v>
      </c>
      <c r="J583" s="10"/>
      <c r="K583" s="7"/>
      <c r="L583" s="7"/>
      <c r="M583" s="7"/>
      <c r="N583" s="10"/>
      <c r="O583" s="113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5.75" customHeight="1">
      <c r="A584" s="10" t="s">
        <v>19</v>
      </c>
      <c r="B584" s="7" t="s">
        <v>100</v>
      </c>
      <c r="C584" s="135">
        <v>46253</v>
      </c>
      <c r="D584" s="44" t="s">
        <v>255</v>
      </c>
      <c r="E584" s="35" t="s">
        <v>603</v>
      </c>
      <c r="F584" s="121">
        <v>9.6</v>
      </c>
      <c r="G584" s="122">
        <f t="shared" si="24"/>
        <v>0</v>
      </c>
      <c r="H584" s="123">
        <f>IF(AND(ISNUMBER(F584), F584&gt;4, COUNTIFS($A$2:A584, A584, $B$2:B584, B584, $C$2:C584, C584, $F$2:F584, "&gt;4")=1), 1, 0)</f>
        <v>1</v>
      </c>
      <c r="I584" s="10">
        <f t="shared" si="25"/>
        <v>0</v>
      </c>
      <c r="J584" s="10"/>
      <c r="K584" s="7"/>
      <c r="L584" s="7"/>
      <c r="M584" s="7"/>
      <c r="N584" s="10"/>
      <c r="O584" s="113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5.75" customHeight="1">
      <c r="A585" s="10" t="s">
        <v>19</v>
      </c>
      <c r="B585" s="7" t="s">
        <v>100</v>
      </c>
      <c r="C585" s="135">
        <v>46254</v>
      </c>
      <c r="D585" s="44" t="s">
        <v>255</v>
      </c>
      <c r="E585" s="35" t="s">
        <v>604</v>
      </c>
      <c r="F585" s="121">
        <v>13.13</v>
      </c>
      <c r="G585" s="122">
        <f t="shared" si="24"/>
        <v>0</v>
      </c>
      <c r="H585" s="123">
        <f>IF(AND(ISNUMBER(F585), F585&gt;4, COUNTIFS($A$2:A585, A585, $B$2:B585, B585, $C$2:C585, C585, $F$2:F585, "&gt;4")=1), 1, 0)</f>
        <v>1</v>
      </c>
      <c r="I585" s="10">
        <f t="shared" si="25"/>
        <v>0</v>
      </c>
      <c r="J585" s="10"/>
      <c r="K585" s="7"/>
      <c r="L585" s="7"/>
      <c r="M585" s="7"/>
      <c r="N585" s="10"/>
      <c r="O585" s="113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5.75" customHeight="1">
      <c r="A586" s="10" t="s">
        <v>19</v>
      </c>
      <c r="B586" s="7" t="s">
        <v>100</v>
      </c>
      <c r="C586" s="135">
        <v>46259</v>
      </c>
      <c r="D586" s="44" t="s">
        <v>255</v>
      </c>
      <c r="E586" s="35" t="s">
        <v>488</v>
      </c>
      <c r="F586" s="121">
        <v>8.3800000000000008</v>
      </c>
      <c r="G586" s="122">
        <f t="shared" si="24"/>
        <v>0</v>
      </c>
      <c r="H586" s="123">
        <f>IF(AND(ISNUMBER(F586), F586&gt;4, COUNTIFS($A$2:A586, A586, $B$2:B586, B586, $C$2:C586, C586, $F$2:F586, "&gt;4")=1), 1, 0)</f>
        <v>1</v>
      </c>
      <c r="I586" s="10">
        <f t="shared" si="25"/>
        <v>0</v>
      </c>
      <c r="J586" s="10"/>
      <c r="K586" s="7"/>
      <c r="L586" s="7"/>
      <c r="M586" s="7"/>
      <c r="N586" s="10"/>
      <c r="O586" s="113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5.75" customHeight="1">
      <c r="A587" s="10" t="s">
        <v>19</v>
      </c>
      <c r="B587" s="7" t="s">
        <v>100</v>
      </c>
      <c r="C587" s="135">
        <v>46260</v>
      </c>
      <c r="D587" s="44" t="s">
        <v>255</v>
      </c>
      <c r="E587" s="35" t="s">
        <v>605</v>
      </c>
      <c r="F587" s="121">
        <v>10.43</v>
      </c>
      <c r="G587" s="122">
        <f t="shared" si="24"/>
        <v>0</v>
      </c>
      <c r="H587" s="123">
        <f>IF(AND(ISNUMBER(F587), F587&gt;4, COUNTIFS($A$2:A587, A587, $B$2:B587, B587, $C$2:C587, C587, $F$2:F587, "&gt;4")=1), 1, 0)</f>
        <v>1</v>
      </c>
      <c r="I587" s="10">
        <f t="shared" si="25"/>
        <v>0</v>
      </c>
      <c r="J587" s="10"/>
      <c r="K587" s="7"/>
      <c r="L587" s="7"/>
      <c r="M587" s="7"/>
      <c r="N587" s="10"/>
      <c r="O587" s="113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5.75" customHeight="1">
      <c r="A588" s="10" t="s">
        <v>19</v>
      </c>
      <c r="B588" s="7" t="s">
        <v>100</v>
      </c>
      <c r="C588" s="135">
        <v>46261</v>
      </c>
      <c r="D588" s="44" t="s">
        <v>255</v>
      </c>
      <c r="E588" s="35" t="s">
        <v>606</v>
      </c>
      <c r="F588" s="121">
        <v>8.5299999999999994</v>
      </c>
      <c r="G588" s="122">
        <f t="shared" si="24"/>
        <v>0</v>
      </c>
      <c r="H588" s="123">
        <f>IF(AND(ISNUMBER(F588), F588&gt;4, COUNTIFS($A$2:A588, A588, $B$2:B588, B588, $C$2:C588, C588, $F$2:F588, "&gt;4")=1), 1, 0)</f>
        <v>1</v>
      </c>
      <c r="I588" s="10">
        <f t="shared" si="25"/>
        <v>0</v>
      </c>
      <c r="J588" s="10"/>
      <c r="K588" s="7"/>
      <c r="L588" s="7"/>
      <c r="M588" s="7"/>
      <c r="N588" s="10"/>
      <c r="O588" s="113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5.75" customHeight="1">
      <c r="A589" s="10" t="s">
        <v>19</v>
      </c>
      <c r="B589" s="7" t="s">
        <v>100</v>
      </c>
      <c r="C589" s="135">
        <v>46262</v>
      </c>
      <c r="D589" s="44" t="s">
        <v>255</v>
      </c>
      <c r="E589" s="35" t="s">
        <v>607</v>
      </c>
      <c r="F589" s="121">
        <v>10.73</v>
      </c>
      <c r="G589" s="122">
        <f t="shared" si="24"/>
        <v>0</v>
      </c>
      <c r="H589" s="123">
        <f>IF(AND(ISNUMBER(F589), F589&gt;4, COUNTIFS($A$2:A589, A589, $B$2:B589, B589, $C$2:C589, C589, $F$2:F589, "&gt;4")=1), 1, 0)</f>
        <v>1</v>
      </c>
      <c r="I589" s="10">
        <f t="shared" si="25"/>
        <v>0</v>
      </c>
      <c r="J589" s="10"/>
      <c r="K589" s="7"/>
      <c r="L589" s="7"/>
      <c r="M589" s="7"/>
      <c r="N589" s="10"/>
      <c r="O589" s="113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5.75" customHeight="1">
      <c r="A590" s="10" t="s">
        <v>19</v>
      </c>
      <c r="B590" s="7" t="s">
        <v>100</v>
      </c>
      <c r="C590" s="135">
        <v>46242</v>
      </c>
      <c r="D590" s="44" t="s">
        <v>257</v>
      </c>
      <c r="E590" s="35" t="s">
        <v>476</v>
      </c>
      <c r="F590" s="121">
        <v>8.1199999999999992</v>
      </c>
      <c r="G590" s="122">
        <f t="shared" si="24"/>
        <v>0</v>
      </c>
      <c r="H590" s="123">
        <f>IF(AND(ISNUMBER(F590), F590&gt;4, COUNTIFS($A$2:A590, A590, $B$2:B590, B590, $C$2:C590, C590, $F$2:F590, "&gt;4")=1), 1, 0)</f>
        <v>1</v>
      </c>
      <c r="I590" s="10">
        <f t="shared" si="25"/>
        <v>0</v>
      </c>
      <c r="J590" s="10"/>
      <c r="K590" s="7"/>
      <c r="L590" s="7"/>
      <c r="M590" s="7"/>
      <c r="N590" s="10"/>
      <c r="O590" s="113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5.75" customHeight="1">
      <c r="A591" s="10" t="s">
        <v>19</v>
      </c>
      <c r="B591" s="7" t="s">
        <v>100</v>
      </c>
      <c r="C591" s="135">
        <v>46246</v>
      </c>
      <c r="D591" s="44" t="s">
        <v>257</v>
      </c>
      <c r="E591" s="35" t="s">
        <v>207</v>
      </c>
      <c r="F591" s="121">
        <v>8.1</v>
      </c>
      <c r="G591" s="122">
        <f t="shared" si="24"/>
        <v>0</v>
      </c>
      <c r="H591" s="123">
        <f>IF(AND(ISNUMBER(F591), F591&gt;4, COUNTIFS($A$2:A591, A591, $B$2:B591, B591, $C$2:C591, C591, $F$2:F591, "&gt;4")=1), 1, 0)</f>
        <v>1</v>
      </c>
      <c r="I591" s="10">
        <f t="shared" si="25"/>
        <v>0</v>
      </c>
      <c r="J591" s="10"/>
      <c r="K591" s="7"/>
      <c r="L591" s="7"/>
      <c r="M591" s="7"/>
      <c r="N591" s="10"/>
      <c r="O591" s="113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5.75" customHeight="1">
      <c r="A592" s="10" t="s">
        <v>19</v>
      </c>
      <c r="B592" s="7" t="s">
        <v>100</v>
      </c>
      <c r="C592" s="135">
        <v>46249</v>
      </c>
      <c r="D592" s="44" t="s">
        <v>257</v>
      </c>
      <c r="E592" s="35" t="s">
        <v>214</v>
      </c>
      <c r="F592" s="121">
        <v>8.08</v>
      </c>
      <c r="G592" s="122">
        <f t="shared" si="24"/>
        <v>0</v>
      </c>
      <c r="H592" s="123">
        <f>IF(AND(ISNUMBER(F592), F592&gt;4, COUNTIFS($A$2:A592, A592, $B$2:B592, B592, $C$2:C592, C592, $F$2:F592, "&gt;4")=1), 1, 0)</f>
        <v>1</v>
      </c>
      <c r="I592" s="10">
        <f t="shared" si="25"/>
        <v>0</v>
      </c>
      <c r="J592" s="10"/>
      <c r="K592" s="7"/>
      <c r="L592" s="7"/>
      <c r="M592" s="7"/>
      <c r="N592" s="10"/>
      <c r="O592" s="113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5.75" customHeight="1">
      <c r="A593" s="10" t="s">
        <v>19</v>
      </c>
      <c r="B593" s="7" t="s">
        <v>100</v>
      </c>
      <c r="C593" s="135">
        <v>46250</v>
      </c>
      <c r="D593" s="44" t="s">
        <v>257</v>
      </c>
      <c r="E593" s="35" t="s">
        <v>515</v>
      </c>
      <c r="F593" s="121">
        <v>8.27</v>
      </c>
      <c r="G593" s="122">
        <f t="shared" si="24"/>
        <v>0</v>
      </c>
      <c r="H593" s="123">
        <f>IF(AND(ISNUMBER(F593), F593&gt;4, COUNTIFS($A$2:A593, A593, $B$2:B593, B593, $C$2:C593, C593, $F$2:F593, "&gt;4")=1), 1, 0)</f>
        <v>1</v>
      </c>
      <c r="I593" s="10">
        <f t="shared" si="25"/>
        <v>0</v>
      </c>
      <c r="J593" s="10"/>
      <c r="K593" s="7"/>
      <c r="L593" s="7"/>
      <c r="M593" s="7"/>
      <c r="N593" s="10"/>
      <c r="O593" s="113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5.75" customHeight="1">
      <c r="A594" s="10" t="s">
        <v>19</v>
      </c>
      <c r="B594" s="7" t="s">
        <v>100</v>
      </c>
      <c r="C594" s="135">
        <v>46251</v>
      </c>
      <c r="D594" s="44" t="s">
        <v>257</v>
      </c>
      <c r="E594" s="35" t="s">
        <v>500</v>
      </c>
      <c r="F594" s="121">
        <v>8.48</v>
      </c>
      <c r="G594" s="122">
        <f t="shared" si="24"/>
        <v>0</v>
      </c>
      <c r="H594" s="123">
        <f>IF(AND(ISNUMBER(F594), F594&gt;4, COUNTIFS($A$2:A594, A594, $B$2:B594, B594, $C$2:C594, C594, $F$2:F594, "&gt;4")=1), 1, 0)</f>
        <v>1</v>
      </c>
      <c r="I594" s="10">
        <f t="shared" si="25"/>
        <v>0</v>
      </c>
      <c r="J594" s="10"/>
      <c r="K594" s="7"/>
      <c r="L594" s="7"/>
      <c r="M594" s="7"/>
      <c r="N594" s="10"/>
      <c r="O594" s="113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5.75" customHeight="1">
      <c r="A595" s="10" t="s">
        <v>19</v>
      </c>
      <c r="B595" s="7" t="s">
        <v>100</v>
      </c>
      <c r="C595" s="135">
        <v>46256</v>
      </c>
      <c r="D595" s="44" t="s">
        <v>257</v>
      </c>
      <c r="E595" s="35" t="s">
        <v>476</v>
      </c>
      <c r="F595" s="121">
        <v>8.1199999999999992</v>
      </c>
      <c r="G595" s="122">
        <f t="shared" si="24"/>
        <v>0</v>
      </c>
      <c r="H595" s="123">
        <f>IF(AND(ISNUMBER(F595), F595&gt;4, COUNTIFS($A$2:A595, A595, $B$2:B595, B595, $C$2:C595, C595, $F$2:F595, "&gt;4")=1), 1, 0)</f>
        <v>1</v>
      </c>
      <c r="I595" s="10">
        <f t="shared" si="25"/>
        <v>0</v>
      </c>
      <c r="J595" s="10"/>
      <c r="K595" s="7"/>
      <c r="L595" s="7"/>
      <c r="M595" s="7"/>
      <c r="N595" s="10"/>
      <c r="O595" s="113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5.75" customHeight="1">
      <c r="A596" s="10" t="s">
        <v>19</v>
      </c>
      <c r="B596" s="7" t="s">
        <v>100</v>
      </c>
      <c r="C596" s="135">
        <v>46257</v>
      </c>
      <c r="D596" s="44" t="s">
        <v>257</v>
      </c>
      <c r="E596" s="35" t="s">
        <v>608</v>
      </c>
      <c r="F596" s="121">
        <v>6.77</v>
      </c>
      <c r="G596" s="122">
        <f t="shared" si="24"/>
        <v>0</v>
      </c>
      <c r="H596" s="123">
        <f>IF(AND(ISNUMBER(F596), F596&gt;4, COUNTIFS($A$2:A596, A596, $B$2:B596, B596, $C$2:C596, C596, $F$2:F596, "&gt;4")=1), 1, 0)</f>
        <v>1</v>
      </c>
      <c r="I596" s="10">
        <f t="shared" si="25"/>
        <v>0</v>
      </c>
      <c r="J596" s="10"/>
      <c r="K596" s="7"/>
      <c r="L596" s="7"/>
      <c r="M596" s="7"/>
      <c r="N596" s="10"/>
      <c r="O596" s="113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5.75" customHeight="1">
      <c r="A597" s="10" t="s">
        <v>19</v>
      </c>
      <c r="B597" s="7" t="s">
        <v>100</v>
      </c>
      <c r="C597" s="135">
        <v>46258</v>
      </c>
      <c r="D597" s="44" t="s">
        <v>257</v>
      </c>
      <c r="E597" s="35" t="s">
        <v>503</v>
      </c>
      <c r="F597" s="121">
        <v>8.1999999999999993</v>
      </c>
      <c r="G597" s="122">
        <f t="shared" si="24"/>
        <v>0</v>
      </c>
      <c r="H597" s="123">
        <f>IF(AND(ISNUMBER(F597), F597&gt;4, COUNTIFS($A$2:A597, A597, $B$2:B597, B597, $C$2:C597, C597, $F$2:F597, "&gt;4")=1), 1, 0)</f>
        <v>1</v>
      </c>
      <c r="I597" s="10">
        <f t="shared" si="25"/>
        <v>0</v>
      </c>
      <c r="J597" s="10"/>
      <c r="K597" s="7"/>
      <c r="L597" s="7"/>
      <c r="M597" s="7"/>
      <c r="N597" s="10"/>
      <c r="O597" s="113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5.75" customHeight="1">
      <c r="A598" s="10" t="s">
        <v>19</v>
      </c>
      <c r="B598" s="7" t="s">
        <v>100</v>
      </c>
      <c r="C598" s="135">
        <v>46263</v>
      </c>
      <c r="D598" s="44" t="s">
        <v>257</v>
      </c>
      <c r="E598" s="35" t="s">
        <v>511</v>
      </c>
      <c r="F598" s="121">
        <v>8.1300000000000008</v>
      </c>
      <c r="G598" s="122">
        <f t="shared" si="24"/>
        <v>0</v>
      </c>
      <c r="H598" s="123">
        <f>IF(AND(ISNUMBER(F598), F598&gt;4, COUNTIFS($A$2:A598, A598, $B$2:B598, B598, $C$2:C598, C598, $F$2:F598, "&gt;4")=1), 1, 0)</f>
        <v>1</v>
      </c>
      <c r="I598" s="10">
        <f t="shared" si="25"/>
        <v>0</v>
      </c>
      <c r="J598" s="10"/>
      <c r="K598" s="7"/>
      <c r="L598" s="7"/>
      <c r="M598" s="7"/>
      <c r="N598" s="10"/>
      <c r="O598" s="113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5.75" customHeight="1">
      <c r="A599" s="10" t="s">
        <v>19</v>
      </c>
      <c r="B599" s="7" t="s">
        <v>100</v>
      </c>
      <c r="C599" s="135">
        <v>46265</v>
      </c>
      <c r="D599" s="44" t="s">
        <v>257</v>
      </c>
      <c r="E599" s="35" t="s">
        <v>207</v>
      </c>
      <c r="F599" s="121">
        <v>8.1</v>
      </c>
      <c r="G599" s="122">
        <f t="shared" si="24"/>
        <v>0</v>
      </c>
      <c r="H599" s="123">
        <f>IF(AND(ISNUMBER(F599), F599&gt;4, COUNTIFS($A$2:A599, A599, $B$2:B599, B599, $C$2:C599, C599, $F$2:F599, "&gt;4")=1), 1, 0)</f>
        <v>1</v>
      </c>
      <c r="I599" s="10">
        <f t="shared" si="25"/>
        <v>0</v>
      </c>
      <c r="J599" s="10"/>
      <c r="K599" s="7"/>
      <c r="L599" s="7"/>
      <c r="M599" s="7"/>
      <c r="N599" s="10"/>
      <c r="O599" s="113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5.75" customHeight="1">
      <c r="A600" s="10" t="s">
        <v>19</v>
      </c>
      <c r="B600" s="7" t="s">
        <v>100</v>
      </c>
      <c r="C600" s="135">
        <v>46246</v>
      </c>
      <c r="D600" s="44" t="s">
        <v>285</v>
      </c>
      <c r="E600" s="35" t="s">
        <v>231</v>
      </c>
      <c r="F600" s="121">
        <v>0.5</v>
      </c>
      <c r="G600" s="122">
        <f t="shared" si="24"/>
        <v>1</v>
      </c>
      <c r="H600" s="123">
        <f>IF(AND(ISNUMBER(F600), F600&gt;4, COUNTIFS($A$2:A600, A600, $B$2:B600, B600, $C$2:C600, C600, $F$2:F600, "&gt;4")=1), 1, 0)</f>
        <v>0</v>
      </c>
      <c r="I600" s="10">
        <f t="shared" si="25"/>
        <v>0</v>
      </c>
      <c r="J600" s="10"/>
      <c r="K600" s="7"/>
      <c r="L600" s="7"/>
      <c r="M600" s="7"/>
      <c r="N600" s="10"/>
      <c r="O600" s="113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5.75" customHeight="1">
      <c r="A601" s="10" t="s">
        <v>19</v>
      </c>
      <c r="B601" s="7" t="s">
        <v>100</v>
      </c>
      <c r="C601" s="135">
        <v>46264</v>
      </c>
      <c r="D601" s="44" t="s">
        <v>285</v>
      </c>
      <c r="E601" s="35" t="s">
        <v>295</v>
      </c>
      <c r="F601" s="121">
        <v>7.25</v>
      </c>
      <c r="G601" s="122">
        <f t="shared" si="24"/>
        <v>0</v>
      </c>
      <c r="H601" s="123">
        <f>IF(AND(ISNUMBER(F601), F601&gt;4, COUNTIFS($A$2:A601, A601, $B$2:B601, B601, $C$2:C601, C601, $F$2:F601, "&gt;4")=1), 1, 0)</f>
        <v>1</v>
      </c>
      <c r="I601" s="10">
        <f t="shared" si="25"/>
        <v>1</v>
      </c>
      <c r="J601" s="10"/>
      <c r="K601" s="7"/>
      <c r="L601" s="7"/>
      <c r="M601" s="7"/>
      <c r="N601" s="10"/>
      <c r="O601" s="113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5.75" customHeight="1">
      <c r="A602" s="10" t="s">
        <v>20</v>
      </c>
      <c r="B602" s="7" t="s">
        <v>104</v>
      </c>
      <c r="C602" s="135">
        <v>46235</v>
      </c>
      <c r="D602" s="44" t="s">
        <v>301</v>
      </c>
      <c r="E602" s="35" t="s">
        <v>480</v>
      </c>
      <c r="F602" s="121">
        <v>7.97</v>
      </c>
      <c r="G602" s="122">
        <f t="shared" si="24"/>
        <v>0</v>
      </c>
      <c r="H602" s="123">
        <f>IF(AND(ISNUMBER(F602), F602&gt;4, COUNTIFS($A$2:A602, A602, $B$2:B602, B602, $C$2:C602, C602, $F$2:F602, "&gt;4")=1), 1, 0)</f>
        <v>1</v>
      </c>
      <c r="I602" s="10">
        <f t="shared" si="25"/>
        <v>1</v>
      </c>
      <c r="J602" s="10"/>
      <c r="K602" s="7"/>
      <c r="L602" s="7"/>
      <c r="M602" s="7"/>
      <c r="N602" s="10"/>
      <c r="O602" s="113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5.75" customHeight="1">
      <c r="A603" s="10" t="s">
        <v>20</v>
      </c>
      <c r="B603" s="7" t="s">
        <v>104</v>
      </c>
      <c r="C603" s="135">
        <v>46236</v>
      </c>
      <c r="D603" s="44" t="s">
        <v>301</v>
      </c>
      <c r="E603" s="35" t="s">
        <v>483</v>
      </c>
      <c r="F603" s="121">
        <v>7.92</v>
      </c>
      <c r="G603" s="122">
        <f t="shared" si="24"/>
        <v>0</v>
      </c>
      <c r="H603" s="123">
        <f>IF(AND(ISNUMBER(F603), F603&gt;4, COUNTIFS($A$2:A603, A603, $B$2:B603, B603, $C$2:C603, C603, $F$2:F603, "&gt;4")=1), 1, 0)</f>
        <v>1</v>
      </c>
      <c r="I603" s="10">
        <f t="shared" si="25"/>
        <v>1</v>
      </c>
      <c r="J603" s="10"/>
      <c r="K603" s="7"/>
      <c r="L603" s="7"/>
      <c r="M603" s="7"/>
      <c r="N603" s="10"/>
      <c r="O603" s="113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5.75" customHeight="1">
      <c r="A604" s="10" t="s">
        <v>20</v>
      </c>
      <c r="B604" s="7" t="s">
        <v>104</v>
      </c>
      <c r="C604" s="135">
        <v>46240</v>
      </c>
      <c r="D604" s="44" t="s">
        <v>301</v>
      </c>
      <c r="E604" s="35" t="s">
        <v>480</v>
      </c>
      <c r="F604" s="121">
        <v>7.97</v>
      </c>
      <c r="G604" s="122">
        <f t="shared" si="24"/>
        <v>0</v>
      </c>
      <c r="H604" s="123">
        <f>IF(AND(ISNUMBER(F604), F604&gt;4, COUNTIFS($A$2:A604, A604, $B$2:B604, B604, $C$2:C604, C604, $F$2:F604, "&gt;4")=1), 1, 0)</f>
        <v>1</v>
      </c>
      <c r="I604" s="10">
        <f t="shared" si="25"/>
        <v>1</v>
      </c>
      <c r="J604" s="10"/>
      <c r="K604" s="7"/>
      <c r="L604" s="7"/>
      <c r="M604" s="7"/>
      <c r="N604" s="10"/>
      <c r="O604" s="113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5.75" customHeight="1">
      <c r="A605" s="10" t="s">
        <v>20</v>
      </c>
      <c r="B605" s="7" t="s">
        <v>104</v>
      </c>
      <c r="C605" s="135">
        <v>46241</v>
      </c>
      <c r="D605" s="44" t="s">
        <v>301</v>
      </c>
      <c r="E605" s="35" t="s">
        <v>409</v>
      </c>
      <c r="F605" s="121">
        <v>7.93</v>
      </c>
      <c r="G605" s="122">
        <f t="shared" si="24"/>
        <v>0</v>
      </c>
      <c r="H605" s="123">
        <f>IF(AND(ISNUMBER(F605), F605&gt;4, COUNTIFS($A$2:A605, A605, $B$2:B605, B605, $C$2:C605, C605, $F$2:F605, "&gt;4")=1), 1, 0)</f>
        <v>1</v>
      </c>
      <c r="I605" s="10">
        <f t="shared" si="25"/>
        <v>1</v>
      </c>
      <c r="J605" s="10"/>
      <c r="K605" s="7"/>
      <c r="L605" s="7"/>
      <c r="M605" s="7"/>
      <c r="N605" s="10"/>
      <c r="O605" s="113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5.75" customHeight="1">
      <c r="A606" s="10" t="s">
        <v>20</v>
      </c>
      <c r="B606" s="7" t="s">
        <v>104</v>
      </c>
      <c r="C606" s="135">
        <v>46242</v>
      </c>
      <c r="D606" s="44" t="s">
        <v>301</v>
      </c>
      <c r="E606" s="35" t="s">
        <v>348</v>
      </c>
      <c r="F606" s="121">
        <v>7.95</v>
      </c>
      <c r="G606" s="122">
        <f t="shared" si="24"/>
        <v>0</v>
      </c>
      <c r="H606" s="123">
        <f>IF(AND(ISNUMBER(F606), F606&gt;4, COUNTIFS($A$2:A606, A606, $B$2:B606, B606, $C$2:C606, C606, $F$2:F606, "&gt;4")=1), 1, 0)</f>
        <v>1</v>
      </c>
      <c r="I606" s="10">
        <f t="shared" si="25"/>
        <v>1</v>
      </c>
      <c r="J606" s="10"/>
      <c r="K606" s="7"/>
      <c r="L606" s="7"/>
      <c r="M606" s="7"/>
      <c r="N606" s="10"/>
      <c r="O606" s="113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5.75" customHeight="1">
      <c r="A607" s="10" t="s">
        <v>20</v>
      </c>
      <c r="B607" s="7" t="s">
        <v>104</v>
      </c>
      <c r="C607" s="135">
        <v>46243</v>
      </c>
      <c r="D607" s="44" t="s">
        <v>301</v>
      </c>
      <c r="E607" s="35" t="s">
        <v>481</v>
      </c>
      <c r="F607" s="121">
        <v>7.98</v>
      </c>
      <c r="G607" s="122">
        <f t="shared" si="24"/>
        <v>0</v>
      </c>
      <c r="H607" s="123">
        <f>IF(AND(ISNUMBER(F607), F607&gt;4, COUNTIFS($A$2:A607, A607, $B$2:B607, B607, $C$2:C607, C607, $F$2:F607, "&gt;4")=1), 1, 0)</f>
        <v>1</v>
      </c>
      <c r="I607" s="10">
        <f t="shared" si="25"/>
        <v>1</v>
      </c>
      <c r="J607" s="10"/>
      <c r="K607" s="7"/>
      <c r="L607" s="7"/>
      <c r="M607" s="7"/>
      <c r="N607" s="10"/>
      <c r="O607" s="113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5.75" customHeight="1">
      <c r="A608" s="10" t="s">
        <v>20</v>
      </c>
      <c r="B608" s="7" t="s">
        <v>104</v>
      </c>
      <c r="C608" s="135">
        <v>46244</v>
      </c>
      <c r="D608" s="44" t="s">
        <v>301</v>
      </c>
      <c r="E608" s="35" t="s">
        <v>493</v>
      </c>
      <c r="F608" s="121">
        <v>7.77</v>
      </c>
      <c r="G608" s="122">
        <f t="shared" si="24"/>
        <v>0</v>
      </c>
      <c r="H608" s="123">
        <f>IF(AND(ISNUMBER(F608), F608&gt;4, COUNTIFS($A$2:A608, A608, $B$2:B608, B608, $C$2:C608, C608, $F$2:F608, "&gt;4")=1), 1, 0)</f>
        <v>1</v>
      </c>
      <c r="I608" s="10">
        <f t="shared" si="25"/>
        <v>1</v>
      </c>
      <c r="J608" s="10"/>
      <c r="K608" s="7"/>
      <c r="L608" s="7"/>
      <c r="M608" s="7"/>
      <c r="N608" s="10"/>
      <c r="O608" s="113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5.75" customHeight="1">
      <c r="A609" s="10" t="s">
        <v>20</v>
      </c>
      <c r="B609" s="7" t="s">
        <v>104</v>
      </c>
      <c r="C609" s="135">
        <v>46245</v>
      </c>
      <c r="D609" s="44" t="s">
        <v>301</v>
      </c>
      <c r="E609" s="35" t="s">
        <v>484</v>
      </c>
      <c r="F609" s="121">
        <v>7.82</v>
      </c>
      <c r="G609" s="122">
        <f t="shared" si="24"/>
        <v>0</v>
      </c>
      <c r="H609" s="123">
        <f>IF(AND(ISNUMBER(F609), F609&gt;4, COUNTIFS($A$2:A609, A609, $B$2:B609, B609, $C$2:C609, C609, $F$2:F609, "&gt;4")=1), 1, 0)</f>
        <v>1</v>
      </c>
      <c r="I609" s="10">
        <f t="shared" si="25"/>
        <v>1</v>
      </c>
      <c r="J609" s="10"/>
      <c r="K609" s="7"/>
      <c r="L609" s="7"/>
      <c r="M609" s="7"/>
      <c r="N609" s="10"/>
      <c r="O609" s="113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5.75" customHeight="1">
      <c r="A610" s="10" t="s">
        <v>20</v>
      </c>
      <c r="B610" s="7" t="s">
        <v>104</v>
      </c>
      <c r="C610" s="135">
        <v>46246</v>
      </c>
      <c r="D610" s="44" t="s">
        <v>301</v>
      </c>
      <c r="E610" s="35" t="s">
        <v>609</v>
      </c>
      <c r="F610" s="121">
        <v>4.03</v>
      </c>
      <c r="G610" s="122">
        <f t="shared" si="24"/>
        <v>0</v>
      </c>
      <c r="H610" s="123">
        <f>IF(AND(ISNUMBER(F610), F610&gt;4, COUNTIFS($A$2:A610, A610, $B$2:B610, B610, $C$2:C610, C610, $F$2:F610, "&gt;4")=1), 1, 0)</f>
        <v>1</v>
      </c>
      <c r="I610" s="10">
        <f t="shared" si="25"/>
        <v>1</v>
      </c>
      <c r="J610" s="10"/>
      <c r="K610" s="7"/>
      <c r="L610" s="7"/>
      <c r="M610" s="7"/>
      <c r="N610" s="10"/>
      <c r="O610" s="113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5.75" customHeight="1">
      <c r="A611" s="10" t="s">
        <v>20</v>
      </c>
      <c r="B611" s="7" t="s">
        <v>104</v>
      </c>
      <c r="C611" s="135">
        <v>46247</v>
      </c>
      <c r="D611" s="44" t="s">
        <v>301</v>
      </c>
      <c r="E611" s="35" t="s">
        <v>214</v>
      </c>
      <c r="F611" s="121">
        <v>8.08</v>
      </c>
      <c r="G611" s="122">
        <f t="shared" si="24"/>
        <v>0</v>
      </c>
      <c r="H611" s="123">
        <f>IF(AND(ISNUMBER(F611), F611&gt;4, COUNTIFS($A$2:A611, A611, $B$2:B611, B611, $C$2:C611, C611, $F$2:F611, "&gt;4")=1), 1, 0)</f>
        <v>1</v>
      </c>
      <c r="I611" s="10">
        <f t="shared" si="25"/>
        <v>1</v>
      </c>
      <c r="J611" s="10"/>
      <c r="K611" s="7"/>
      <c r="L611" s="7"/>
      <c r="M611" s="7"/>
      <c r="N611" s="10"/>
      <c r="O611" s="113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5.75" customHeight="1">
      <c r="A612" s="10" t="s">
        <v>20</v>
      </c>
      <c r="B612" s="7" t="s">
        <v>104</v>
      </c>
      <c r="C612" s="135">
        <v>46248</v>
      </c>
      <c r="D612" s="44" t="s">
        <v>301</v>
      </c>
      <c r="E612" s="35" t="s">
        <v>239</v>
      </c>
      <c r="F612" s="121">
        <v>8.07</v>
      </c>
      <c r="G612" s="122">
        <f t="shared" si="24"/>
        <v>0</v>
      </c>
      <c r="H612" s="123">
        <f>IF(AND(ISNUMBER(F612), F612&gt;4, COUNTIFS($A$2:A612, A612, $B$2:B612, B612, $C$2:C612, C612, $F$2:F612, "&gt;4")=1), 1, 0)</f>
        <v>1</v>
      </c>
      <c r="I612" s="10">
        <f t="shared" si="25"/>
        <v>1</v>
      </c>
      <c r="J612" s="10"/>
      <c r="K612" s="7"/>
      <c r="L612" s="7"/>
      <c r="M612" s="7"/>
      <c r="N612" s="10"/>
      <c r="O612" s="113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5.75" customHeight="1">
      <c r="A613" s="10" t="s">
        <v>20</v>
      </c>
      <c r="B613" s="7" t="s">
        <v>104</v>
      </c>
      <c r="C613" s="135">
        <v>46249</v>
      </c>
      <c r="D613" s="44" t="s">
        <v>301</v>
      </c>
      <c r="E613" s="35" t="s">
        <v>483</v>
      </c>
      <c r="F613" s="121">
        <v>7.92</v>
      </c>
      <c r="G613" s="122">
        <f t="shared" si="24"/>
        <v>0</v>
      </c>
      <c r="H613" s="123">
        <f>IF(AND(ISNUMBER(F613), F613&gt;4, COUNTIFS($A$2:A613, A613, $B$2:B613, B613, $C$2:C613, C613, $F$2:F613, "&gt;4")=1), 1, 0)</f>
        <v>1</v>
      </c>
      <c r="I613" s="10">
        <f t="shared" si="25"/>
        <v>1</v>
      </c>
      <c r="J613" s="10"/>
      <c r="K613" s="7"/>
      <c r="L613" s="7"/>
      <c r="M613" s="7"/>
      <c r="N613" s="10"/>
      <c r="O613" s="113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5.75" customHeight="1">
      <c r="A614" s="10" t="s">
        <v>20</v>
      </c>
      <c r="B614" s="7" t="s">
        <v>104</v>
      </c>
      <c r="C614" s="135">
        <v>46250</v>
      </c>
      <c r="D614" s="44" t="s">
        <v>301</v>
      </c>
      <c r="E614" s="35" t="s">
        <v>480</v>
      </c>
      <c r="F614" s="121">
        <v>7.97</v>
      </c>
      <c r="G614" s="122">
        <f t="shared" si="24"/>
        <v>0</v>
      </c>
      <c r="H614" s="123">
        <f>IF(AND(ISNUMBER(F614), F614&gt;4, COUNTIFS($A$2:A614, A614, $B$2:B614, B614, $C$2:C614, C614, $F$2:F614, "&gt;4")=1), 1, 0)</f>
        <v>1</v>
      </c>
      <c r="I614" s="10">
        <f t="shared" si="25"/>
        <v>1</v>
      </c>
      <c r="J614" s="10"/>
      <c r="K614" s="7"/>
      <c r="L614" s="7"/>
      <c r="M614" s="7"/>
      <c r="N614" s="10"/>
      <c r="O614" s="113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5.75" customHeight="1">
      <c r="A615" s="10" t="s">
        <v>20</v>
      </c>
      <c r="B615" s="7" t="s">
        <v>104</v>
      </c>
      <c r="C615" s="135">
        <v>46251</v>
      </c>
      <c r="D615" s="44" t="s">
        <v>301</v>
      </c>
      <c r="E615" s="35" t="s">
        <v>199</v>
      </c>
      <c r="F615" s="121">
        <v>8</v>
      </c>
      <c r="G615" s="122">
        <f t="shared" si="24"/>
        <v>0</v>
      </c>
      <c r="H615" s="123">
        <f>IF(AND(ISNUMBER(F615), F615&gt;4, COUNTIFS($A$2:A615, A615, $B$2:B615, B615, $C$2:C615, C615, $F$2:F615, "&gt;4")=1), 1, 0)</f>
        <v>1</v>
      </c>
      <c r="I615" s="10">
        <f t="shared" si="25"/>
        <v>1</v>
      </c>
      <c r="J615" s="10"/>
      <c r="K615" s="7"/>
      <c r="L615" s="7"/>
      <c r="M615" s="7"/>
      <c r="N615" s="10"/>
      <c r="O615" s="113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5.75" customHeight="1">
      <c r="A616" s="10" t="s">
        <v>20</v>
      </c>
      <c r="B616" s="7" t="s">
        <v>104</v>
      </c>
      <c r="C616" s="135">
        <v>46252</v>
      </c>
      <c r="D616" s="44" t="s">
        <v>301</v>
      </c>
      <c r="E616" s="35" t="s">
        <v>207</v>
      </c>
      <c r="F616" s="121">
        <v>8.1</v>
      </c>
      <c r="G616" s="122">
        <f t="shared" si="24"/>
        <v>0</v>
      </c>
      <c r="H616" s="123">
        <f>IF(AND(ISNUMBER(F616), F616&gt;4, COUNTIFS($A$2:A616, A616, $B$2:B616, B616, $C$2:C616, C616, $F$2:F616, "&gt;4")=1), 1, 0)</f>
        <v>1</v>
      </c>
      <c r="I616" s="10">
        <f t="shared" si="25"/>
        <v>1</v>
      </c>
      <c r="J616" s="10"/>
      <c r="K616" s="7"/>
      <c r="L616" s="7"/>
      <c r="M616" s="7"/>
      <c r="N616" s="10"/>
      <c r="O616" s="113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5.75" customHeight="1">
      <c r="A617" s="10" t="s">
        <v>20</v>
      </c>
      <c r="B617" s="7" t="s">
        <v>104</v>
      </c>
      <c r="C617" s="135">
        <v>46253</v>
      </c>
      <c r="D617" s="44" t="s">
        <v>301</v>
      </c>
      <c r="E617" s="35" t="s">
        <v>479</v>
      </c>
      <c r="F617" s="121">
        <v>8.02</v>
      </c>
      <c r="G617" s="122">
        <f t="shared" si="24"/>
        <v>0</v>
      </c>
      <c r="H617" s="123">
        <f>IF(AND(ISNUMBER(F617), F617&gt;4, COUNTIFS($A$2:A617, A617, $B$2:B617, B617, $C$2:C617, C617, $F$2:F617, "&gt;4")=1), 1, 0)</f>
        <v>1</v>
      </c>
      <c r="I617" s="10">
        <f t="shared" si="25"/>
        <v>1</v>
      </c>
      <c r="J617" s="10"/>
      <c r="K617" s="7"/>
      <c r="L617" s="7"/>
      <c r="M617" s="7"/>
      <c r="N617" s="10"/>
      <c r="O617" s="113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5.75" customHeight="1">
      <c r="A618" s="10" t="s">
        <v>20</v>
      </c>
      <c r="B618" s="7" t="s">
        <v>104</v>
      </c>
      <c r="C618" s="135">
        <v>46254</v>
      </c>
      <c r="D618" s="44" t="s">
        <v>301</v>
      </c>
      <c r="E618" s="35" t="s">
        <v>214</v>
      </c>
      <c r="F618" s="121">
        <v>8.08</v>
      </c>
      <c r="G618" s="122">
        <f t="shared" si="24"/>
        <v>0</v>
      </c>
      <c r="H618" s="123">
        <f>IF(AND(ISNUMBER(F618), F618&gt;4, COUNTIFS($A$2:A618, A618, $B$2:B618, B618, $C$2:C618, C618, $F$2:F618, "&gt;4")=1), 1, 0)</f>
        <v>1</v>
      </c>
      <c r="I618" s="10">
        <f t="shared" si="25"/>
        <v>1</v>
      </c>
      <c r="J618" s="10"/>
      <c r="K618" s="7"/>
      <c r="L618" s="7"/>
      <c r="M618" s="7"/>
      <c r="N618" s="10"/>
      <c r="O618" s="113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5.75" customHeight="1">
      <c r="A619" s="10" t="s">
        <v>20</v>
      </c>
      <c r="B619" s="7" t="s">
        <v>104</v>
      </c>
      <c r="C619" s="135">
        <v>46255</v>
      </c>
      <c r="D619" s="44" t="s">
        <v>301</v>
      </c>
      <c r="E619" s="35" t="s">
        <v>329</v>
      </c>
      <c r="F619" s="121">
        <v>8.0299999999999994</v>
      </c>
      <c r="G619" s="122">
        <f t="shared" si="24"/>
        <v>0</v>
      </c>
      <c r="H619" s="123">
        <f>IF(AND(ISNUMBER(F619), F619&gt;4, COUNTIFS($A$2:A619, A619, $B$2:B619, B619, $C$2:C619, C619, $F$2:F619, "&gt;4")=1), 1, 0)</f>
        <v>1</v>
      </c>
      <c r="I619" s="10">
        <f t="shared" si="25"/>
        <v>1</v>
      </c>
      <c r="J619" s="10"/>
      <c r="K619" s="7"/>
      <c r="L619" s="7"/>
      <c r="M619" s="7"/>
      <c r="N619" s="10"/>
      <c r="O619" s="113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5.75" customHeight="1">
      <c r="A620" s="10" t="s">
        <v>20</v>
      </c>
      <c r="B620" s="7" t="s">
        <v>104</v>
      </c>
      <c r="C620" s="135">
        <v>46256</v>
      </c>
      <c r="D620" s="44" t="s">
        <v>301</v>
      </c>
      <c r="E620" s="35" t="s">
        <v>214</v>
      </c>
      <c r="F620" s="121">
        <v>8.08</v>
      </c>
      <c r="G620" s="122">
        <f t="shared" si="24"/>
        <v>0</v>
      </c>
      <c r="H620" s="123">
        <f>IF(AND(ISNUMBER(F620), F620&gt;4, COUNTIFS($A$2:A620, A620, $B$2:B620, B620, $C$2:C620, C620, $F$2:F620, "&gt;4")=1), 1, 0)</f>
        <v>1</v>
      </c>
      <c r="I620" s="10">
        <f t="shared" si="25"/>
        <v>1</v>
      </c>
      <c r="J620" s="10"/>
      <c r="K620" s="7"/>
      <c r="L620" s="7"/>
      <c r="M620" s="7"/>
      <c r="N620" s="10"/>
      <c r="O620" s="113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5.75" customHeight="1">
      <c r="A621" s="10" t="s">
        <v>20</v>
      </c>
      <c r="B621" s="7" t="s">
        <v>104</v>
      </c>
      <c r="C621" s="135">
        <v>46257</v>
      </c>
      <c r="D621" s="44" t="s">
        <v>301</v>
      </c>
      <c r="E621" s="35" t="s">
        <v>477</v>
      </c>
      <c r="F621" s="121">
        <v>7.88</v>
      </c>
      <c r="G621" s="122">
        <f t="shared" si="24"/>
        <v>0</v>
      </c>
      <c r="H621" s="123">
        <f>IF(AND(ISNUMBER(F621), F621&gt;4, COUNTIFS($A$2:A621, A621, $B$2:B621, B621, $C$2:C621, C621, $F$2:F621, "&gt;4")=1), 1, 0)</f>
        <v>1</v>
      </c>
      <c r="I621" s="10">
        <f t="shared" si="25"/>
        <v>1</v>
      </c>
      <c r="J621" s="10"/>
      <c r="K621" s="7"/>
      <c r="L621" s="7"/>
      <c r="M621" s="7"/>
      <c r="N621" s="10"/>
      <c r="O621" s="113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5.75" customHeight="1">
      <c r="A622" s="10" t="s">
        <v>20</v>
      </c>
      <c r="B622" s="7" t="s">
        <v>104</v>
      </c>
      <c r="C622" s="135">
        <v>46258</v>
      </c>
      <c r="D622" s="44" t="s">
        <v>301</v>
      </c>
      <c r="E622" s="35" t="s">
        <v>329</v>
      </c>
      <c r="F622" s="121">
        <v>8.0299999999999994</v>
      </c>
      <c r="G622" s="122">
        <f t="shared" si="24"/>
        <v>0</v>
      </c>
      <c r="H622" s="123">
        <f>IF(AND(ISNUMBER(F622), F622&gt;4, COUNTIFS($A$2:A622, A622, $B$2:B622, B622, $C$2:C622, C622, $F$2:F622, "&gt;4")=1), 1, 0)</f>
        <v>1</v>
      </c>
      <c r="I622" s="10">
        <f t="shared" si="25"/>
        <v>1</v>
      </c>
      <c r="J622" s="10"/>
      <c r="K622" s="7"/>
      <c r="L622" s="7"/>
      <c r="M622" s="7"/>
      <c r="N622" s="10"/>
      <c r="O622" s="113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5.75" customHeight="1">
      <c r="A623" s="10" t="s">
        <v>20</v>
      </c>
      <c r="B623" s="7" t="s">
        <v>104</v>
      </c>
      <c r="C623" s="135">
        <v>46259</v>
      </c>
      <c r="D623" s="44" t="s">
        <v>301</v>
      </c>
      <c r="E623" s="35" t="s">
        <v>348</v>
      </c>
      <c r="F623" s="121">
        <v>7.95</v>
      </c>
      <c r="G623" s="122">
        <f t="shared" si="24"/>
        <v>0</v>
      </c>
      <c r="H623" s="123">
        <f>IF(AND(ISNUMBER(F623), F623&gt;4, COUNTIFS($A$2:A623, A623, $B$2:B623, B623, $C$2:C623, C623, $F$2:F623, "&gt;4")=1), 1, 0)</f>
        <v>1</v>
      </c>
      <c r="I623" s="10">
        <f t="shared" si="25"/>
        <v>1</v>
      </c>
      <c r="J623" s="10"/>
      <c r="K623" s="7"/>
      <c r="L623" s="7"/>
      <c r="M623" s="7"/>
      <c r="N623" s="10"/>
      <c r="O623" s="113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5.75" customHeight="1">
      <c r="A624" s="10" t="s">
        <v>20</v>
      </c>
      <c r="B624" s="7" t="s">
        <v>104</v>
      </c>
      <c r="C624" s="135">
        <v>46260</v>
      </c>
      <c r="D624" s="44" t="s">
        <v>301</v>
      </c>
      <c r="E624" s="35" t="s">
        <v>199</v>
      </c>
      <c r="F624" s="121">
        <v>8</v>
      </c>
      <c r="G624" s="122">
        <f t="shared" si="24"/>
        <v>0</v>
      </c>
      <c r="H624" s="123">
        <f>IF(AND(ISNUMBER(F624), F624&gt;4, COUNTIFS($A$2:A624, A624, $B$2:B624, B624, $C$2:C624, C624, $F$2:F624, "&gt;4")=1), 1, 0)</f>
        <v>1</v>
      </c>
      <c r="I624" s="10">
        <f t="shared" si="25"/>
        <v>1</v>
      </c>
      <c r="J624" s="10"/>
      <c r="K624" s="7"/>
      <c r="L624" s="7"/>
      <c r="M624" s="7"/>
      <c r="N624" s="10"/>
      <c r="O624" s="113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5.75" customHeight="1">
      <c r="A625" s="10" t="s">
        <v>20</v>
      </c>
      <c r="B625" s="7" t="s">
        <v>104</v>
      </c>
      <c r="C625" s="135">
        <v>46261</v>
      </c>
      <c r="D625" s="44" t="s">
        <v>301</v>
      </c>
      <c r="E625" s="35" t="s">
        <v>479</v>
      </c>
      <c r="F625" s="121">
        <v>8.02</v>
      </c>
      <c r="G625" s="122">
        <f t="shared" si="24"/>
        <v>0</v>
      </c>
      <c r="H625" s="123">
        <f>IF(AND(ISNUMBER(F625), F625&gt;4, COUNTIFS($A$2:A625, A625, $B$2:B625, B625, $C$2:C625, C625, $F$2:F625, "&gt;4")=1), 1, 0)</f>
        <v>1</v>
      </c>
      <c r="I625" s="10">
        <f t="shared" si="25"/>
        <v>1</v>
      </c>
      <c r="J625" s="10"/>
      <c r="K625" s="7"/>
      <c r="L625" s="7"/>
      <c r="M625" s="7"/>
      <c r="N625" s="10"/>
      <c r="O625" s="113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5.75" customHeight="1">
      <c r="A626" s="10" t="s">
        <v>20</v>
      </c>
      <c r="B626" s="7" t="s">
        <v>104</v>
      </c>
      <c r="C626" s="135">
        <v>46262</v>
      </c>
      <c r="D626" s="44" t="s">
        <v>301</v>
      </c>
      <c r="E626" s="35" t="s">
        <v>199</v>
      </c>
      <c r="F626" s="121">
        <v>8</v>
      </c>
      <c r="G626" s="122">
        <f t="shared" si="24"/>
        <v>0</v>
      </c>
      <c r="H626" s="123">
        <f>IF(AND(ISNUMBER(F626), F626&gt;4, COUNTIFS($A$2:A626, A626, $B$2:B626, B626, $C$2:C626, C626, $F$2:F626, "&gt;4")=1), 1, 0)</f>
        <v>1</v>
      </c>
      <c r="I626" s="10">
        <f t="shared" si="25"/>
        <v>1</v>
      </c>
      <c r="J626" s="10"/>
      <c r="K626" s="7"/>
      <c r="L626" s="7"/>
      <c r="M626" s="7"/>
      <c r="N626" s="10"/>
      <c r="O626" s="113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5.75" customHeight="1">
      <c r="A627" s="10" t="s">
        <v>20</v>
      </c>
      <c r="B627" s="7" t="s">
        <v>104</v>
      </c>
      <c r="C627" s="135">
        <v>46263</v>
      </c>
      <c r="D627" s="44" t="s">
        <v>301</v>
      </c>
      <c r="E627" s="35" t="s">
        <v>484</v>
      </c>
      <c r="F627" s="121">
        <v>7.82</v>
      </c>
      <c r="G627" s="122">
        <f t="shared" si="24"/>
        <v>0</v>
      </c>
      <c r="H627" s="123">
        <f>IF(AND(ISNUMBER(F627), F627&gt;4, COUNTIFS($A$2:A627, A627, $B$2:B627, B627, $C$2:C627, C627, $F$2:F627, "&gt;4")=1), 1, 0)</f>
        <v>1</v>
      </c>
      <c r="I627" s="10">
        <f t="shared" si="25"/>
        <v>1</v>
      </c>
      <c r="J627" s="10"/>
      <c r="K627" s="7"/>
      <c r="L627" s="7"/>
      <c r="M627" s="7"/>
      <c r="N627" s="10"/>
      <c r="O627" s="113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5.75" customHeight="1">
      <c r="A628" s="10" t="s">
        <v>20</v>
      </c>
      <c r="B628" s="7" t="s">
        <v>104</v>
      </c>
      <c r="C628" s="135">
        <v>46264</v>
      </c>
      <c r="D628" s="44" t="s">
        <v>301</v>
      </c>
      <c r="E628" s="35" t="s">
        <v>199</v>
      </c>
      <c r="F628" s="121">
        <v>8</v>
      </c>
      <c r="G628" s="122">
        <f t="shared" si="24"/>
        <v>0</v>
      </c>
      <c r="H628" s="123">
        <f>IF(AND(ISNUMBER(F628), F628&gt;4, COUNTIFS($A$2:A628, A628, $B$2:B628, B628, $C$2:C628, C628, $F$2:F628, "&gt;4")=1), 1, 0)</f>
        <v>1</v>
      </c>
      <c r="I628" s="10">
        <f t="shared" si="25"/>
        <v>1</v>
      </c>
      <c r="J628" s="10"/>
      <c r="K628" s="7"/>
      <c r="L628" s="7"/>
      <c r="M628" s="7"/>
      <c r="N628" s="10"/>
      <c r="O628" s="113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5.75" customHeight="1">
      <c r="A629" s="10" t="s">
        <v>20</v>
      </c>
      <c r="B629" s="7" t="s">
        <v>104</v>
      </c>
      <c r="C629" s="135">
        <v>46265</v>
      </c>
      <c r="D629" s="44" t="s">
        <v>301</v>
      </c>
      <c r="E629" s="35" t="s">
        <v>480</v>
      </c>
      <c r="F629" s="121">
        <v>7.97</v>
      </c>
      <c r="G629" s="122">
        <f t="shared" si="24"/>
        <v>0</v>
      </c>
      <c r="H629" s="123">
        <f>IF(AND(ISNUMBER(F629), F629&gt;4, COUNTIFS($A$2:A629, A629, $B$2:B629, B629, $C$2:C629, C629, $F$2:F629, "&gt;4")=1), 1, 0)</f>
        <v>1</v>
      </c>
      <c r="I629" s="10">
        <f t="shared" si="25"/>
        <v>1</v>
      </c>
      <c r="J629" s="10"/>
      <c r="K629" s="7"/>
      <c r="L629" s="7"/>
      <c r="M629" s="7"/>
      <c r="N629" s="10"/>
      <c r="O629" s="113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5.75" customHeight="1">
      <c r="A630" s="10" t="s">
        <v>20</v>
      </c>
      <c r="B630" s="7" t="s">
        <v>105</v>
      </c>
      <c r="C630" s="135">
        <v>46261</v>
      </c>
      <c r="D630" s="44" t="s">
        <v>198</v>
      </c>
      <c r="E630" s="35" t="s">
        <v>610</v>
      </c>
      <c r="F630" s="121">
        <v>3.98</v>
      </c>
      <c r="G630" s="122">
        <f t="shared" si="24"/>
        <v>1</v>
      </c>
      <c r="H630" s="123">
        <f>IF(AND(ISNUMBER(F630), F630&gt;4, COUNTIFS($A$2:A630, A630, $B$2:B630, B630, $C$2:C630, C630, $F$2:F630, "&gt;4")=1), 1, 0)</f>
        <v>0</v>
      </c>
      <c r="I630" s="10">
        <f t="shared" si="25"/>
        <v>0</v>
      </c>
      <c r="J630" s="10"/>
      <c r="K630" s="7"/>
      <c r="L630" s="7"/>
      <c r="M630" s="7"/>
      <c r="N630" s="10"/>
      <c r="O630" s="113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5.75" customHeight="1">
      <c r="A631" s="10" t="s">
        <v>20</v>
      </c>
      <c r="B631" s="7" t="s">
        <v>105</v>
      </c>
      <c r="C631" s="135">
        <v>46265</v>
      </c>
      <c r="D631" s="44" t="s">
        <v>198</v>
      </c>
      <c r="E631" s="35" t="s">
        <v>611</v>
      </c>
      <c r="F631" s="121">
        <v>3.85</v>
      </c>
      <c r="G631" s="122">
        <f t="shared" si="24"/>
        <v>1</v>
      </c>
      <c r="H631" s="123">
        <f>IF(AND(ISNUMBER(F631), F631&gt;4, COUNTIFS($A$2:A631, A631, $B$2:B631, B631, $C$2:C631, C631, $F$2:F631, "&gt;4")=1), 1, 0)</f>
        <v>0</v>
      </c>
      <c r="I631" s="10">
        <f t="shared" si="25"/>
        <v>0</v>
      </c>
      <c r="J631" s="10"/>
      <c r="K631" s="7"/>
      <c r="L631" s="7"/>
      <c r="M631" s="7"/>
      <c r="N631" s="10"/>
      <c r="O631" s="113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5.75" customHeight="1">
      <c r="A632" s="10" t="s">
        <v>20</v>
      </c>
      <c r="B632" s="7" t="s">
        <v>105</v>
      </c>
      <c r="C632" s="135">
        <v>46235</v>
      </c>
      <c r="D632" s="44" t="s">
        <v>301</v>
      </c>
      <c r="E632" s="35" t="s">
        <v>214</v>
      </c>
      <c r="F632" s="121">
        <v>8.08</v>
      </c>
      <c r="G632" s="122">
        <f t="shared" si="24"/>
        <v>0</v>
      </c>
      <c r="H632" s="123">
        <f>IF(AND(ISNUMBER(F632), F632&gt;4, COUNTIFS($A$2:A632, A632, $B$2:B632, B632, $C$2:C632, C632, $F$2:F632, "&gt;4")=1), 1, 0)</f>
        <v>1</v>
      </c>
      <c r="I632" s="10">
        <f t="shared" si="25"/>
        <v>1</v>
      </c>
      <c r="J632" s="10"/>
      <c r="K632" s="7"/>
      <c r="L632" s="7"/>
      <c r="M632" s="7"/>
      <c r="N632" s="10"/>
      <c r="O632" s="113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5.75" customHeight="1">
      <c r="A633" s="10" t="s">
        <v>20</v>
      </c>
      <c r="B633" s="7" t="s">
        <v>105</v>
      </c>
      <c r="C633" s="135">
        <v>46236</v>
      </c>
      <c r="D633" s="44" t="s">
        <v>301</v>
      </c>
      <c r="E633" s="35" t="s">
        <v>348</v>
      </c>
      <c r="F633" s="121">
        <v>7.95</v>
      </c>
      <c r="G633" s="122">
        <f t="shared" si="24"/>
        <v>0</v>
      </c>
      <c r="H633" s="123">
        <f>IF(AND(ISNUMBER(F633), F633&gt;4, COUNTIFS($A$2:A633, A633, $B$2:B633, B633, $C$2:C633, C633, $F$2:F633, "&gt;4")=1), 1, 0)</f>
        <v>1</v>
      </c>
      <c r="I633" s="10">
        <f t="shared" si="25"/>
        <v>1</v>
      </c>
      <c r="J633" s="10"/>
      <c r="K633" s="7"/>
      <c r="L633" s="7"/>
      <c r="M633" s="7"/>
      <c r="N633" s="10"/>
      <c r="O633" s="113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5.75" customHeight="1">
      <c r="A634" s="10" t="s">
        <v>20</v>
      </c>
      <c r="B634" s="7" t="s">
        <v>105</v>
      </c>
      <c r="C634" s="135">
        <v>46237</v>
      </c>
      <c r="D634" s="44" t="s">
        <v>301</v>
      </c>
      <c r="E634" s="35" t="s">
        <v>288</v>
      </c>
      <c r="F634" s="121">
        <v>8.0500000000000007</v>
      </c>
      <c r="G634" s="122">
        <f t="shared" si="24"/>
        <v>0</v>
      </c>
      <c r="H634" s="123">
        <f>IF(AND(ISNUMBER(F634), F634&gt;4, COUNTIFS($A$2:A634, A634, $B$2:B634, B634, $C$2:C634, C634, $F$2:F634, "&gt;4")=1), 1, 0)</f>
        <v>1</v>
      </c>
      <c r="I634" s="10">
        <f t="shared" si="25"/>
        <v>1</v>
      </c>
      <c r="J634" s="10"/>
      <c r="K634" s="7"/>
      <c r="L634" s="7"/>
      <c r="M634" s="7"/>
      <c r="N634" s="10"/>
      <c r="O634" s="113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5.75" customHeight="1">
      <c r="A635" s="10" t="s">
        <v>20</v>
      </c>
      <c r="B635" s="7" t="s">
        <v>105</v>
      </c>
      <c r="C635" s="135">
        <v>46238</v>
      </c>
      <c r="D635" s="44" t="s">
        <v>301</v>
      </c>
      <c r="E635" s="35" t="s">
        <v>480</v>
      </c>
      <c r="F635" s="121">
        <v>7.97</v>
      </c>
      <c r="G635" s="122">
        <f t="shared" si="24"/>
        <v>0</v>
      </c>
      <c r="H635" s="123">
        <f>IF(AND(ISNUMBER(F635), F635&gt;4, COUNTIFS($A$2:A635, A635, $B$2:B635, B635, $C$2:C635, C635, $F$2:F635, "&gt;4")=1), 1, 0)</f>
        <v>1</v>
      </c>
      <c r="I635" s="10">
        <f t="shared" si="25"/>
        <v>1</v>
      </c>
      <c r="J635" s="10"/>
      <c r="K635" s="7"/>
      <c r="L635" s="7"/>
      <c r="M635" s="7"/>
      <c r="N635" s="10"/>
      <c r="O635" s="113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5.75" customHeight="1">
      <c r="A636" s="10" t="s">
        <v>20</v>
      </c>
      <c r="B636" s="7" t="s">
        <v>105</v>
      </c>
      <c r="C636" s="135">
        <v>46239</v>
      </c>
      <c r="D636" s="44" t="s">
        <v>301</v>
      </c>
      <c r="E636" s="35" t="s">
        <v>239</v>
      </c>
      <c r="F636" s="121">
        <v>8.07</v>
      </c>
      <c r="G636" s="122">
        <f t="shared" si="24"/>
        <v>0</v>
      </c>
      <c r="H636" s="123">
        <f>IF(AND(ISNUMBER(F636), F636&gt;4, COUNTIFS($A$2:A636, A636, $B$2:B636, B636, $C$2:C636, C636, $F$2:F636, "&gt;4")=1), 1, 0)</f>
        <v>1</v>
      </c>
      <c r="I636" s="10">
        <f t="shared" si="25"/>
        <v>1</v>
      </c>
      <c r="J636" s="10"/>
      <c r="K636" s="7"/>
      <c r="L636" s="7"/>
      <c r="M636" s="7"/>
      <c r="N636" s="10"/>
      <c r="O636" s="113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5.75" customHeight="1">
      <c r="A637" s="10" t="s">
        <v>20</v>
      </c>
      <c r="B637" s="7" t="s">
        <v>105</v>
      </c>
      <c r="C637" s="135">
        <v>46240</v>
      </c>
      <c r="D637" s="44" t="s">
        <v>301</v>
      </c>
      <c r="E637" s="35" t="s">
        <v>477</v>
      </c>
      <c r="F637" s="121">
        <v>7.88</v>
      </c>
      <c r="G637" s="122">
        <f t="shared" si="24"/>
        <v>0</v>
      </c>
      <c r="H637" s="123">
        <f>IF(AND(ISNUMBER(F637), F637&gt;4, COUNTIFS($A$2:A637, A637, $B$2:B637, B637, $C$2:C637, C637, $F$2:F637, "&gt;4")=1), 1, 0)</f>
        <v>1</v>
      </c>
      <c r="I637" s="10">
        <f t="shared" si="25"/>
        <v>1</v>
      </c>
      <c r="J637" s="10"/>
      <c r="K637" s="7"/>
      <c r="L637" s="7"/>
      <c r="M637" s="7"/>
      <c r="N637" s="10"/>
      <c r="O637" s="113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5.75" customHeight="1">
      <c r="A638" s="10" t="s">
        <v>20</v>
      </c>
      <c r="B638" s="7" t="s">
        <v>105</v>
      </c>
      <c r="C638" s="135">
        <v>46241</v>
      </c>
      <c r="D638" s="44" t="s">
        <v>301</v>
      </c>
      <c r="E638" s="35" t="s">
        <v>612</v>
      </c>
      <c r="F638" s="121">
        <v>7.13</v>
      </c>
      <c r="G638" s="122">
        <f t="shared" si="24"/>
        <v>0</v>
      </c>
      <c r="H638" s="123">
        <f>IF(AND(ISNUMBER(F638), F638&gt;4, COUNTIFS($A$2:A638, A638, $B$2:B638, B638, $C$2:C638, C638, $F$2:F638, "&gt;4")=1), 1, 0)</f>
        <v>1</v>
      </c>
      <c r="I638" s="10">
        <f t="shared" si="25"/>
        <v>1</v>
      </c>
      <c r="J638" s="10"/>
      <c r="K638" s="7"/>
      <c r="L638" s="7"/>
      <c r="M638" s="7"/>
      <c r="N638" s="10"/>
      <c r="O638" s="113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5.75" customHeight="1">
      <c r="A639" s="10" t="s">
        <v>20</v>
      </c>
      <c r="B639" s="7" t="s">
        <v>105</v>
      </c>
      <c r="C639" s="135">
        <v>46242</v>
      </c>
      <c r="D639" s="44" t="s">
        <v>301</v>
      </c>
      <c r="E639" s="35" t="s">
        <v>348</v>
      </c>
      <c r="F639" s="121">
        <v>7.95</v>
      </c>
      <c r="G639" s="122">
        <f t="shared" si="24"/>
        <v>0</v>
      </c>
      <c r="H639" s="123">
        <f>IF(AND(ISNUMBER(F639), F639&gt;4, COUNTIFS($A$2:A639, A639, $B$2:B639, B639, $C$2:C639, C639, $F$2:F639, "&gt;4")=1), 1, 0)</f>
        <v>1</v>
      </c>
      <c r="I639" s="10">
        <f t="shared" si="25"/>
        <v>1</v>
      </c>
      <c r="J639" s="10"/>
      <c r="K639" s="7"/>
      <c r="L639" s="7"/>
      <c r="M639" s="7"/>
      <c r="N639" s="10"/>
      <c r="O639" s="113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5.75" customHeight="1">
      <c r="A640" s="10" t="s">
        <v>20</v>
      </c>
      <c r="B640" s="7" t="s">
        <v>105</v>
      </c>
      <c r="C640" s="135">
        <v>46243</v>
      </c>
      <c r="D640" s="44" t="s">
        <v>301</v>
      </c>
      <c r="E640" s="35" t="s">
        <v>479</v>
      </c>
      <c r="F640" s="121">
        <v>8.02</v>
      </c>
      <c r="G640" s="122">
        <f t="shared" si="24"/>
        <v>0</v>
      </c>
      <c r="H640" s="123">
        <f>IF(AND(ISNUMBER(F640), F640&gt;4, COUNTIFS($A$2:A640, A640, $B$2:B640, B640, $C$2:C640, C640, $F$2:F640, "&gt;4")=1), 1, 0)</f>
        <v>1</v>
      </c>
      <c r="I640" s="10">
        <f t="shared" si="25"/>
        <v>1</v>
      </c>
      <c r="J640" s="10"/>
      <c r="K640" s="7"/>
      <c r="L640" s="7"/>
      <c r="M640" s="7"/>
      <c r="N640" s="10"/>
      <c r="O640" s="113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5.75" customHeight="1">
      <c r="A641" s="10" t="s">
        <v>20</v>
      </c>
      <c r="B641" s="7" t="s">
        <v>105</v>
      </c>
      <c r="C641" s="135">
        <v>46244</v>
      </c>
      <c r="D641" s="44" t="s">
        <v>301</v>
      </c>
      <c r="E641" s="35" t="s">
        <v>476</v>
      </c>
      <c r="F641" s="121">
        <v>8.1199999999999992</v>
      </c>
      <c r="G641" s="122">
        <f t="shared" si="24"/>
        <v>0</v>
      </c>
      <c r="H641" s="123">
        <f>IF(AND(ISNUMBER(F641), F641&gt;4, COUNTIFS($A$2:A641, A641, $B$2:B641, B641, $C$2:C641, C641, $F$2:F641, "&gt;4")=1), 1, 0)</f>
        <v>1</v>
      </c>
      <c r="I641" s="10">
        <f t="shared" si="25"/>
        <v>1</v>
      </c>
      <c r="J641" s="10"/>
      <c r="K641" s="7"/>
      <c r="L641" s="7"/>
      <c r="M641" s="7"/>
      <c r="N641" s="10"/>
      <c r="O641" s="113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5.75" customHeight="1">
      <c r="A642" s="10" t="s">
        <v>20</v>
      </c>
      <c r="B642" s="7" t="s">
        <v>105</v>
      </c>
      <c r="C642" s="135">
        <v>46245</v>
      </c>
      <c r="D642" s="44" t="s">
        <v>301</v>
      </c>
      <c r="E642" s="35" t="s">
        <v>214</v>
      </c>
      <c r="F642" s="121">
        <v>8.08</v>
      </c>
      <c r="G642" s="122">
        <f t="shared" ref="G642:G705" si="26">IF(AND(ISNUMBER(F642), F642&lt;=4), 1, 0)</f>
        <v>0</v>
      </c>
      <c r="H642" s="123">
        <f>IF(AND(ISNUMBER(F642), F642&gt;4, COUNTIFS($A$2:A642, A642, $B$2:B642, B642, $C$2:C642, C642, $F$2:F642, "&gt;4")=1), 1, 0)</f>
        <v>1</v>
      </c>
      <c r="I642" s="10">
        <f t="shared" ref="I642:I705" si="27">IF(AND(ISNUMBER(F642), F642&gt;4, ISNUMBER(SEARCH("đêm", D642))), 1, 0)</f>
        <v>1</v>
      </c>
      <c r="J642" s="10"/>
      <c r="K642" s="7"/>
      <c r="L642" s="7"/>
      <c r="M642" s="7"/>
      <c r="N642" s="10"/>
      <c r="O642" s="113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5.75" customHeight="1">
      <c r="A643" s="10" t="s">
        <v>20</v>
      </c>
      <c r="B643" s="7" t="s">
        <v>105</v>
      </c>
      <c r="C643" s="135">
        <v>46246</v>
      </c>
      <c r="D643" s="44" t="s">
        <v>301</v>
      </c>
      <c r="E643" s="35" t="s">
        <v>409</v>
      </c>
      <c r="F643" s="121">
        <v>7.93</v>
      </c>
      <c r="G643" s="122">
        <f t="shared" si="26"/>
        <v>0</v>
      </c>
      <c r="H643" s="123">
        <f>IF(AND(ISNUMBER(F643), F643&gt;4, COUNTIFS($A$2:A643, A643, $B$2:B643, B643, $C$2:C643, C643, $F$2:F643, "&gt;4")=1), 1, 0)</f>
        <v>1</v>
      </c>
      <c r="I643" s="10">
        <f t="shared" si="27"/>
        <v>1</v>
      </c>
      <c r="J643" s="10"/>
      <c r="K643" s="7"/>
      <c r="L643" s="7"/>
      <c r="M643" s="7"/>
      <c r="N643" s="10"/>
      <c r="O643" s="113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5.75" customHeight="1">
      <c r="A644" s="10" t="s">
        <v>20</v>
      </c>
      <c r="B644" s="7" t="s">
        <v>105</v>
      </c>
      <c r="C644" s="135">
        <v>46247</v>
      </c>
      <c r="D644" s="44" t="s">
        <v>301</v>
      </c>
      <c r="E644" s="35" t="s">
        <v>482</v>
      </c>
      <c r="F644" s="121">
        <v>7.85</v>
      </c>
      <c r="G644" s="122">
        <f t="shared" si="26"/>
        <v>0</v>
      </c>
      <c r="H644" s="123">
        <f>IF(AND(ISNUMBER(F644), F644&gt;4, COUNTIFS($A$2:A644, A644, $B$2:B644, B644, $C$2:C644, C644, $F$2:F644, "&gt;4")=1), 1, 0)</f>
        <v>1</v>
      </c>
      <c r="I644" s="10">
        <f t="shared" si="27"/>
        <v>1</v>
      </c>
      <c r="J644" s="10"/>
      <c r="K644" s="7"/>
      <c r="L644" s="7"/>
      <c r="M644" s="7"/>
      <c r="N644" s="10"/>
      <c r="O644" s="113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5.75" customHeight="1">
      <c r="A645" s="10" t="s">
        <v>20</v>
      </c>
      <c r="B645" s="7" t="s">
        <v>105</v>
      </c>
      <c r="C645" s="135">
        <v>46248</v>
      </c>
      <c r="D645" s="44" t="s">
        <v>301</v>
      </c>
      <c r="E645" s="35" t="s">
        <v>300</v>
      </c>
      <c r="F645" s="121">
        <v>7.75</v>
      </c>
      <c r="G645" s="122">
        <f t="shared" si="26"/>
        <v>0</v>
      </c>
      <c r="H645" s="123">
        <f>IF(AND(ISNUMBER(F645), F645&gt;4, COUNTIFS($A$2:A645, A645, $B$2:B645, B645, $C$2:C645, C645, $F$2:F645, "&gt;4")=1), 1, 0)</f>
        <v>1</v>
      </c>
      <c r="I645" s="10">
        <f t="shared" si="27"/>
        <v>1</v>
      </c>
      <c r="J645" s="10"/>
      <c r="K645" s="7"/>
      <c r="L645" s="7"/>
      <c r="M645" s="7"/>
      <c r="N645" s="10"/>
      <c r="O645" s="113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5.75" customHeight="1">
      <c r="A646" s="10" t="s">
        <v>20</v>
      </c>
      <c r="B646" s="7" t="s">
        <v>105</v>
      </c>
      <c r="C646" s="135">
        <v>46249</v>
      </c>
      <c r="D646" s="44" t="s">
        <v>301</v>
      </c>
      <c r="E646" s="35" t="s">
        <v>613</v>
      </c>
      <c r="F646" s="121">
        <v>6.9</v>
      </c>
      <c r="G646" s="122">
        <f t="shared" si="26"/>
        <v>0</v>
      </c>
      <c r="H646" s="123">
        <f>IF(AND(ISNUMBER(F646), F646&gt;4, COUNTIFS($A$2:A646, A646, $B$2:B646, B646, $C$2:C646, C646, $F$2:F646, "&gt;4")=1), 1, 0)</f>
        <v>1</v>
      </c>
      <c r="I646" s="10">
        <f t="shared" si="27"/>
        <v>1</v>
      </c>
      <c r="J646" s="10"/>
      <c r="K646" s="7"/>
      <c r="L646" s="7"/>
      <c r="M646" s="7"/>
      <c r="N646" s="10"/>
      <c r="O646" s="113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5.75" customHeight="1">
      <c r="A647" s="10" t="s">
        <v>20</v>
      </c>
      <c r="B647" s="7" t="s">
        <v>105</v>
      </c>
      <c r="C647" s="135">
        <v>46250</v>
      </c>
      <c r="D647" s="44" t="s">
        <v>301</v>
      </c>
      <c r="E647" s="35" t="s">
        <v>199</v>
      </c>
      <c r="F647" s="121">
        <v>8</v>
      </c>
      <c r="G647" s="122">
        <f t="shared" si="26"/>
        <v>0</v>
      </c>
      <c r="H647" s="123">
        <f>IF(AND(ISNUMBER(F647), F647&gt;4, COUNTIFS($A$2:A647, A647, $B$2:B647, B647, $C$2:C647, C647, $F$2:F647, "&gt;4")=1), 1, 0)</f>
        <v>1</v>
      </c>
      <c r="I647" s="10">
        <f t="shared" si="27"/>
        <v>1</v>
      </c>
      <c r="J647" s="10"/>
      <c r="K647" s="7"/>
      <c r="L647" s="7"/>
      <c r="M647" s="7"/>
      <c r="N647" s="10"/>
      <c r="O647" s="113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5.75" customHeight="1">
      <c r="A648" s="10" t="s">
        <v>20</v>
      </c>
      <c r="B648" s="7" t="s">
        <v>105</v>
      </c>
      <c r="C648" s="135">
        <v>46251</v>
      </c>
      <c r="D648" s="44" t="s">
        <v>301</v>
      </c>
      <c r="E648" s="35" t="s">
        <v>348</v>
      </c>
      <c r="F648" s="121">
        <v>7.95</v>
      </c>
      <c r="G648" s="122">
        <f t="shared" si="26"/>
        <v>0</v>
      </c>
      <c r="H648" s="123">
        <f>IF(AND(ISNUMBER(F648), F648&gt;4, COUNTIFS($A$2:A648, A648, $B$2:B648, B648, $C$2:C648, C648, $F$2:F648, "&gt;4")=1), 1, 0)</f>
        <v>1</v>
      </c>
      <c r="I648" s="10">
        <f t="shared" si="27"/>
        <v>1</v>
      </c>
      <c r="J648" s="10"/>
      <c r="K648" s="7"/>
      <c r="L648" s="7"/>
      <c r="M648" s="7"/>
      <c r="N648" s="10"/>
      <c r="O648" s="113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5.75" customHeight="1">
      <c r="A649" s="10" t="s">
        <v>20</v>
      </c>
      <c r="B649" s="7" t="s">
        <v>105</v>
      </c>
      <c r="C649" s="135">
        <v>46252</v>
      </c>
      <c r="D649" s="44" t="s">
        <v>301</v>
      </c>
      <c r="E649" s="35" t="s">
        <v>288</v>
      </c>
      <c r="F649" s="121">
        <v>8.0500000000000007</v>
      </c>
      <c r="G649" s="122">
        <f t="shared" si="26"/>
        <v>0</v>
      </c>
      <c r="H649" s="123">
        <f>IF(AND(ISNUMBER(F649), F649&gt;4, COUNTIFS($A$2:A649, A649, $B$2:B649, B649, $C$2:C649, C649, $F$2:F649, "&gt;4")=1), 1, 0)</f>
        <v>1</v>
      </c>
      <c r="I649" s="10">
        <f t="shared" si="27"/>
        <v>1</v>
      </c>
      <c r="J649" s="10"/>
      <c r="K649" s="7"/>
      <c r="L649" s="7"/>
      <c r="M649" s="7"/>
      <c r="N649" s="10"/>
      <c r="O649" s="113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5.75" customHeight="1">
      <c r="A650" s="10" t="s">
        <v>20</v>
      </c>
      <c r="B650" s="7" t="s">
        <v>105</v>
      </c>
      <c r="C650" s="135">
        <v>46253</v>
      </c>
      <c r="D650" s="44" t="s">
        <v>301</v>
      </c>
      <c r="E650" s="35" t="s">
        <v>239</v>
      </c>
      <c r="F650" s="121">
        <v>8.07</v>
      </c>
      <c r="G650" s="122">
        <f t="shared" si="26"/>
        <v>0</v>
      </c>
      <c r="H650" s="123">
        <f>IF(AND(ISNUMBER(F650), F650&gt;4, COUNTIFS($A$2:A650, A650, $B$2:B650, B650, $C$2:C650, C650, $F$2:F650, "&gt;4")=1), 1, 0)</f>
        <v>1</v>
      </c>
      <c r="I650" s="10">
        <f t="shared" si="27"/>
        <v>1</v>
      </c>
      <c r="J650" s="10"/>
      <c r="K650" s="7"/>
      <c r="L650" s="7"/>
      <c r="M650" s="7"/>
      <c r="N650" s="10"/>
      <c r="O650" s="113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5.75" customHeight="1">
      <c r="A651" s="10" t="s">
        <v>20</v>
      </c>
      <c r="B651" s="7" t="s">
        <v>105</v>
      </c>
      <c r="C651" s="135">
        <v>46254</v>
      </c>
      <c r="D651" s="44" t="s">
        <v>301</v>
      </c>
      <c r="E651" s="35" t="s">
        <v>479</v>
      </c>
      <c r="F651" s="121">
        <v>8.02</v>
      </c>
      <c r="G651" s="122">
        <f t="shared" si="26"/>
        <v>0</v>
      </c>
      <c r="H651" s="123">
        <f>IF(AND(ISNUMBER(F651), F651&gt;4, COUNTIFS($A$2:A651, A651, $B$2:B651, B651, $C$2:C651, C651, $F$2:F651, "&gt;4")=1), 1, 0)</f>
        <v>1</v>
      </c>
      <c r="I651" s="10">
        <f t="shared" si="27"/>
        <v>1</v>
      </c>
      <c r="J651" s="10"/>
      <c r="K651" s="7"/>
      <c r="L651" s="7"/>
      <c r="M651" s="7"/>
      <c r="N651" s="10"/>
      <c r="O651" s="113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5.75" customHeight="1">
      <c r="A652" s="10" t="s">
        <v>20</v>
      </c>
      <c r="B652" s="7" t="s">
        <v>105</v>
      </c>
      <c r="C652" s="135">
        <v>46255</v>
      </c>
      <c r="D652" s="44" t="s">
        <v>301</v>
      </c>
      <c r="E652" s="35" t="s">
        <v>288</v>
      </c>
      <c r="F652" s="121">
        <v>8.0500000000000007</v>
      </c>
      <c r="G652" s="122">
        <f t="shared" si="26"/>
        <v>0</v>
      </c>
      <c r="H652" s="123">
        <f>IF(AND(ISNUMBER(F652), F652&gt;4, COUNTIFS($A$2:A652, A652, $B$2:B652, B652, $C$2:C652, C652, $F$2:F652, "&gt;4")=1), 1, 0)</f>
        <v>1</v>
      </c>
      <c r="I652" s="10">
        <f t="shared" si="27"/>
        <v>1</v>
      </c>
      <c r="J652" s="10"/>
      <c r="K652" s="7"/>
      <c r="L652" s="7"/>
      <c r="M652" s="7"/>
      <c r="N652" s="10"/>
      <c r="O652" s="113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5.75" customHeight="1">
      <c r="A653" s="10" t="s">
        <v>20</v>
      </c>
      <c r="B653" s="7" t="s">
        <v>105</v>
      </c>
      <c r="C653" s="135">
        <v>46256</v>
      </c>
      <c r="D653" s="44" t="s">
        <v>301</v>
      </c>
      <c r="E653" s="35" t="s">
        <v>614</v>
      </c>
      <c r="F653" s="121">
        <v>6.75</v>
      </c>
      <c r="G653" s="122">
        <f t="shared" si="26"/>
        <v>0</v>
      </c>
      <c r="H653" s="123">
        <f>IF(AND(ISNUMBER(F653), F653&gt;4, COUNTIFS($A$2:A653, A653, $B$2:B653, B653, $C$2:C653, C653, $F$2:F653, "&gt;4")=1), 1, 0)</f>
        <v>1</v>
      </c>
      <c r="I653" s="10">
        <f t="shared" si="27"/>
        <v>1</v>
      </c>
      <c r="J653" s="10"/>
      <c r="K653" s="7"/>
      <c r="L653" s="7"/>
      <c r="M653" s="7"/>
      <c r="N653" s="10"/>
      <c r="O653" s="113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5.75" customHeight="1">
      <c r="A654" s="10" t="s">
        <v>20</v>
      </c>
      <c r="B654" s="7" t="s">
        <v>105</v>
      </c>
      <c r="C654" s="135">
        <v>46257</v>
      </c>
      <c r="D654" s="44" t="s">
        <v>301</v>
      </c>
      <c r="E654" s="35" t="s">
        <v>615</v>
      </c>
      <c r="F654" s="121">
        <v>7.38</v>
      </c>
      <c r="G654" s="122">
        <f t="shared" si="26"/>
        <v>0</v>
      </c>
      <c r="H654" s="123">
        <f>IF(AND(ISNUMBER(F654), F654&gt;4, COUNTIFS($A$2:A654, A654, $B$2:B654, B654, $C$2:C654, C654, $F$2:F654, "&gt;4")=1), 1, 0)</f>
        <v>1</v>
      </c>
      <c r="I654" s="10">
        <f t="shared" si="27"/>
        <v>1</v>
      </c>
      <c r="J654" s="10"/>
      <c r="K654" s="7"/>
      <c r="L654" s="7"/>
      <c r="M654" s="7"/>
      <c r="N654" s="10"/>
      <c r="O654" s="113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5.75" customHeight="1">
      <c r="A655" s="10" t="s">
        <v>20</v>
      </c>
      <c r="B655" s="7" t="s">
        <v>105</v>
      </c>
      <c r="C655" s="135">
        <v>46258</v>
      </c>
      <c r="D655" s="44" t="s">
        <v>301</v>
      </c>
      <c r="E655" s="35" t="s">
        <v>409</v>
      </c>
      <c r="F655" s="121">
        <v>7.93</v>
      </c>
      <c r="G655" s="122">
        <f t="shared" si="26"/>
        <v>0</v>
      </c>
      <c r="H655" s="123">
        <f>IF(AND(ISNUMBER(F655), F655&gt;4, COUNTIFS($A$2:A655, A655, $B$2:B655, B655, $C$2:C655, C655, $F$2:F655, "&gt;4")=1), 1, 0)</f>
        <v>1</v>
      </c>
      <c r="I655" s="10">
        <f t="shared" si="27"/>
        <v>1</v>
      </c>
      <c r="J655" s="10"/>
      <c r="K655" s="7"/>
      <c r="L655" s="7"/>
      <c r="M655" s="7"/>
      <c r="N655" s="10"/>
      <c r="O655" s="113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5.75" customHeight="1">
      <c r="A656" s="10" t="s">
        <v>20</v>
      </c>
      <c r="B656" s="7" t="s">
        <v>105</v>
      </c>
      <c r="C656" s="135">
        <v>46259</v>
      </c>
      <c r="D656" s="44" t="s">
        <v>301</v>
      </c>
      <c r="E656" s="35" t="s">
        <v>199</v>
      </c>
      <c r="F656" s="121">
        <v>8</v>
      </c>
      <c r="G656" s="122">
        <f t="shared" si="26"/>
        <v>0</v>
      </c>
      <c r="H656" s="123">
        <f>IF(AND(ISNUMBER(F656), F656&gt;4, COUNTIFS($A$2:A656, A656, $B$2:B656, B656, $C$2:C656, C656, $F$2:F656, "&gt;4")=1), 1, 0)</f>
        <v>1</v>
      </c>
      <c r="I656" s="10">
        <f t="shared" si="27"/>
        <v>1</v>
      </c>
      <c r="J656" s="10"/>
      <c r="K656" s="7"/>
      <c r="L656" s="7"/>
      <c r="M656" s="7"/>
      <c r="N656" s="10"/>
      <c r="O656" s="113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5.75" customHeight="1">
      <c r="A657" s="10" t="s">
        <v>20</v>
      </c>
      <c r="B657" s="7" t="s">
        <v>105</v>
      </c>
      <c r="C657" s="135">
        <v>46260</v>
      </c>
      <c r="D657" s="44" t="s">
        <v>301</v>
      </c>
      <c r="E657" s="35" t="s">
        <v>199</v>
      </c>
      <c r="F657" s="121">
        <v>8</v>
      </c>
      <c r="G657" s="122">
        <f t="shared" si="26"/>
        <v>0</v>
      </c>
      <c r="H657" s="123">
        <f>IF(AND(ISNUMBER(F657), F657&gt;4, COUNTIFS($A$2:A657, A657, $B$2:B657, B657, $C$2:C657, C657, $F$2:F657, "&gt;4")=1), 1, 0)</f>
        <v>1</v>
      </c>
      <c r="I657" s="10">
        <f t="shared" si="27"/>
        <v>1</v>
      </c>
      <c r="J657" s="10"/>
      <c r="K657" s="7"/>
      <c r="L657" s="7"/>
      <c r="M657" s="7"/>
      <c r="N657" s="10"/>
      <c r="O657" s="113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5.75" customHeight="1">
      <c r="A658" s="10" t="s">
        <v>20</v>
      </c>
      <c r="B658" s="7" t="s">
        <v>105</v>
      </c>
      <c r="C658" s="135">
        <v>46261</v>
      </c>
      <c r="D658" s="44" t="s">
        <v>301</v>
      </c>
      <c r="E658" s="35" t="s">
        <v>481</v>
      </c>
      <c r="F658" s="121">
        <v>7.98</v>
      </c>
      <c r="G658" s="122">
        <f t="shared" si="26"/>
        <v>0</v>
      </c>
      <c r="H658" s="123">
        <f>IF(AND(ISNUMBER(F658), F658&gt;4, COUNTIFS($A$2:A658, A658, $B$2:B658, B658, $C$2:C658, C658, $F$2:F658, "&gt;4")=1), 1, 0)</f>
        <v>1</v>
      </c>
      <c r="I658" s="10">
        <f t="shared" si="27"/>
        <v>1</v>
      </c>
      <c r="J658" s="10"/>
      <c r="K658" s="7"/>
      <c r="L658" s="7"/>
      <c r="M658" s="7"/>
      <c r="N658" s="10"/>
      <c r="O658" s="113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5.75" customHeight="1">
      <c r="A659" s="10" t="s">
        <v>20</v>
      </c>
      <c r="B659" s="7" t="s">
        <v>105</v>
      </c>
      <c r="C659" s="135">
        <v>46262</v>
      </c>
      <c r="D659" s="44" t="s">
        <v>301</v>
      </c>
      <c r="E659" s="35" t="s">
        <v>616</v>
      </c>
      <c r="F659" s="121">
        <v>7.57</v>
      </c>
      <c r="G659" s="122">
        <f t="shared" si="26"/>
        <v>0</v>
      </c>
      <c r="H659" s="123">
        <f>IF(AND(ISNUMBER(F659), F659&gt;4, COUNTIFS($A$2:A659, A659, $B$2:B659, B659, $C$2:C659, C659, $F$2:F659, "&gt;4")=1), 1, 0)</f>
        <v>1</v>
      </c>
      <c r="I659" s="10">
        <f t="shared" si="27"/>
        <v>1</v>
      </c>
      <c r="J659" s="10"/>
      <c r="K659" s="7"/>
      <c r="L659" s="7"/>
      <c r="M659" s="7"/>
      <c r="N659" s="10"/>
      <c r="O659" s="113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5.75" customHeight="1">
      <c r="A660" s="10" t="s">
        <v>20</v>
      </c>
      <c r="B660" s="7" t="s">
        <v>105</v>
      </c>
      <c r="C660" s="135">
        <v>46264</v>
      </c>
      <c r="D660" s="44" t="s">
        <v>301</v>
      </c>
      <c r="E660" s="35" t="s">
        <v>479</v>
      </c>
      <c r="F660" s="121">
        <v>8.02</v>
      </c>
      <c r="G660" s="122">
        <f t="shared" si="26"/>
        <v>0</v>
      </c>
      <c r="H660" s="123">
        <f>IF(AND(ISNUMBER(F660), F660&gt;4, COUNTIFS($A$2:A660, A660, $B$2:B660, B660, $C$2:C660, C660, $F$2:F660, "&gt;4")=1), 1, 0)</f>
        <v>1</v>
      </c>
      <c r="I660" s="10">
        <f t="shared" si="27"/>
        <v>1</v>
      </c>
      <c r="J660" s="10"/>
      <c r="K660" s="7"/>
      <c r="L660" s="7"/>
      <c r="M660" s="7"/>
      <c r="N660" s="10"/>
      <c r="O660" s="113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5.75" customHeight="1">
      <c r="A661" s="10" t="s">
        <v>20</v>
      </c>
      <c r="B661" s="7" t="s">
        <v>105</v>
      </c>
      <c r="C661" s="135">
        <v>46265</v>
      </c>
      <c r="D661" s="44" t="s">
        <v>301</v>
      </c>
      <c r="E661" s="35" t="s">
        <v>199</v>
      </c>
      <c r="F661" s="121">
        <v>8</v>
      </c>
      <c r="G661" s="122">
        <f t="shared" si="26"/>
        <v>0</v>
      </c>
      <c r="H661" s="123">
        <f>IF(AND(ISNUMBER(F661), F661&gt;4, COUNTIFS($A$2:A661, A661, $B$2:B661, B661, $C$2:C661, C661, $F$2:F661, "&gt;4")=1), 1, 0)</f>
        <v>1</v>
      </c>
      <c r="I661" s="10">
        <f t="shared" si="27"/>
        <v>1</v>
      </c>
      <c r="J661" s="10"/>
      <c r="K661" s="7"/>
      <c r="L661" s="7"/>
      <c r="M661" s="7"/>
      <c r="N661" s="10"/>
      <c r="O661" s="113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5.75" customHeight="1">
      <c r="A662" s="10" t="s">
        <v>20</v>
      </c>
      <c r="B662" s="7" t="s">
        <v>106</v>
      </c>
      <c r="C662" s="135">
        <v>46260</v>
      </c>
      <c r="D662" s="44" t="s">
        <v>215</v>
      </c>
      <c r="E662" s="35" t="s">
        <v>305</v>
      </c>
      <c r="F662" s="121">
        <v>8.2799999999999994</v>
      </c>
      <c r="G662" s="122">
        <f t="shared" si="26"/>
        <v>0</v>
      </c>
      <c r="H662" s="123">
        <f>IF(AND(ISNUMBER(F662), F662&gt;4, COUNTIFS($A$2:A662, A662, $B$2:B662, B662, $C$2:C662, C662, $F$2:F662, "&gt;4")=1), 1, 0)</f>
        <v>1</v>
      </c>
      <c r="I662" s="10">
        <f t="shared" si="27"/>
        <v>0</v>
      </c>
      <c r="J662" s="10"/>
      <c r="K662" s="7"/>
      <c r="L662" s="7"/>
      <c r="M662" s="7"/>
      <c r="N662" s="10"/>
      <c r="O662" s="113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5.75" customHeight="1">
      <c r="A663" s="10" t="s">
        <v>20</v>
      </c>
      <c r="B663" s="7" t="s">
        <v>106</v>
      </c>
      <c r="C663" s="135">
        <v>46235</v>
      </c>
      <c r="D663" s="44" t="s">
        <v>306</v>
      </c>
      <c r="E663" s="35" t="s">
        <v>199</v>
      </c>
      <c r="F663" s="121">
        <v>8</v>
      </c>
      <c r="G663" s="122">
        <f t="shared" si="26"/>
        <v>0</v>
      </c>
      <c r="H663" s="123">
        <f>IF(AND(ISNUMBER(F663), F663&gt;4, COUNTIFS($A$2:A663, A663, $B$2:B663, B663, $C$2:C663, C663, $F$2:F663, "&gt;4")=1), 1, 0)</f>
        <v>1</v>
      </c>
      <c r="I663" s="10">
        <f t="shared" si="27"/>
        <v>0</v>
      </c>
      <c r="J663" s="10"/>
      <c r="K663" s="7"/>
      <c r="L663" s="7"/>
      <c r="M663" s="7"/>
      <c r="N663" s="10"/>
      <c r="O663" s="113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5.75" customHeight="1">
      <c r="A664" s="10" t="s">
        <v>20</v>
      </c>
      <c r="B664" s="7" t="s">
        <v>106</v>
      </c>
      <c r="C664" s="135">
        <v>46236</v>
      </c>
      <c r="D664" s="44" t="s">
        <v>306</v>
      </c>
      <c r="E664" s="35" t="s">
        <v>199</v>
      </c>
      <c r="F664" s="121">
        <v>8</v>
      </c>
      <c r="G664" s="122">
        <f t="shared" si="26"/>
        <v>0</v>
      </c>
      <c r="H664" s="123">
        <f>IF(AND(ISNUMBER(F664), F664&gt;4, COUNTIFS($A$2:A664, A664, $B$2:B664, B664, $C$2:C664, C664, $F$2:F664, "&gt;4")=1), 1, 0)</f>
        <v>1</v>
      </c>
      <c r="I664" s="10">
        <f t="shared" si="27"/>
        <v>0</v>
      </c>
      <c r="J664" s="10"/>
      <c r="K664" s="7"/>
      <c r="L664" s="7"/>
      <c r="M664" s="7"/>
      <c r="N664" s="10"/>
      <c r="O664" s="113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5.75" customHeight="1">
      <c r="A665" s="10" t="s">
        <v>20</v>
      </c>
      <c r="B665" s="7" t="s">
        <v>106</v>
      </c>
      <c r="C665" s="135">
        <v>46237</v>
      </c>
      <c r="D665" s="44" t="s">
        <v>308</v>
      </c>
      <c r="E665" s="35" t="s">
        <v>199</v>
      </c>
      <c r="F665" s="121">
        <v>8</v>
      </c>
      <c r="G665" s="122">
        <f t="shared" si="26"/>
        <v>0</v>
      </c>
      <c r="H665" s="123">
        <f>IF(AND(ISNUMBER(F665), F665&gt;4, COUNTIFS($A$2:A665, A665, $B$2:B665, B665, $C$2:C665, C665, $F$2:F665, "&gt;4")=1), 1, 0)</f>
        <v>1</v>
      </c>
      <c r="I665" s="10">
        <f t="shared" si="27"/>
        <v>0</v>
      </c>
      <c r="J665" s="10"/>
      <c r="K665" s="7"/>
      <c r="L665" s="7"/>
      <c r="M665" s="7"/>
      <c r="N665" s="10"/>
      <c r="O665" s="113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5.75" customHeight="1">
      <c r="A666" s="10" t="s">
        <v>20</v>
      </c>
      <c r="B666" s="7" t="s">
        <v>106</v>
      </c>
      <c r="C666" s="135">
        <v>46238</v>
      </c>
      <c r="D666" s="44" t="s">
        <v>308</v>
      </c>
      <c r="E666" s="35" t="s">
        <v>199</v>
      </c>
      <c r="F666" s="121">
        <v>8</v>
      </c>
      <c r="G666" s="122">
        <f t="shared" si="26"/>
        <v>0</v>
      </c>
      <c r="H666" s="123">
        <f>IF(AND(ISNUMBER(F666), F666&gt;4, COUNTIFS($A$2:A666, A666, $B$2:B666, B666, $C$2:C666, C666, $F$2:F666, "&gt;4")=1), 1, 0)</f>
        <v>1</v>
      </c>
      <c r="I666" s="10">
        <f t="shared" si="27"/>
        <v>0</v>
      </c>
      <c r="J666" s="10"/>
      <c r="K666" s="7"/>
      <c r="L666" s="7"/>
      <c r="M666" s="7"/>
      <c r="N666" s="10"/>
      <c r="O666" s="113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5.75" customHeight="1">
      <c r="A667" s="10" t="s">
        <v>20</v>
      </c>
      <c r="B667" s="7" t="s">
        <v>106</v>
      </c>
      <c r="C667" s="135">
        <v>46239</v>
      </c>
      <c r="D667" s="44" t="s">
        <v>308</v>
      </c>
      <c r="E667" s="35" t="s">
        <v>199</v>
      </c>
      <c r="F667" s="121">
        <v>8</v>
      </c>
      <c r="G667" s="122">
        <f t="shared" si="26"/>
        <v>0</v>
      </c>
      <c r="H667" s="123">
        <f>IF(AND(ISNUMBER(F667), F667&gt;4, COUNTIFS($A$2:A667, A667, $B$2:B667, B667, $C$2:C667, C667, $F$2:F667, "&gt;4")=1), 1, 0)</f>
        <v>1</v>
      </c>
      <c r="I667" s="10">
        <f t="shared" si="27"/>
        <v>0</v>
      </c>
      <c r="J667" s="10"/>
      <c r="K667" s="7"/>
      <c r="L667" s="7"/>
      <c r="M667" s="7"/>
      <c r="N667" s="10"/>
      <c r="O667" s="113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5.75" customHeight="1">
      <c r="A668" s="10" t="s">
        <v>20</v>
      </c>
      <c r="B668" s="7" t="s">
        <v>106</v>
      </c>
      <c r="C668" s="135">
        <v>46240</v>
      </c>
      <c r="D668" s="44" t="s">
        <v>308</v>
      </c>
      <c r="E668" s="35" t="s">
        <v>199</v>
      </c>
      <c r="F668" s="121">
        <v>8</v>
      </c>
      <c r="G668" s="122">
        <f t="shared" si="26"/>
        <v>0</v>
      </c>
      <c r="H668" s="123">
        <f>IF(AND(ISNUMBER(F668), F668&gt;4, COUNTIFS($A$2:A668, A668, $B$2:B668, B668, $C$2:C668, C668, $F$2:F668, "&gt;4")=1), 1, 0)</f>
        <v>1</v>
      </c>
      <c r="I668" s="10">
        <f t="shared" si="27"/>
        <v>0</v>
      </c>
      <c r="J668" s="10"/>
      <c r="K668" s="7"/>
      <c r="L668" s="7"/>
      <c r="M668" s="7"/>
      <c r="N668" s="10"/>
      <c r="O668" s="113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5.75" customHeight="1">
      <c r="A669" s="10" t="s">
        <v>20</v>
      </c>
      <c r="B669" s="7" t="s">
        <v>106</v>
      </c>
      <c r="C669" s="135">
        <v>46241</v>
      </c>
      <c r="D669" s="44" t="s">
        <v>308</v>
      </c>
      <c r="E669" s="35" t="s">
        <v>476</v>
      </c>
      <c r="F669" s="121">
        <v>8.1199999999999992</v>
      </c>
      <c r="G669" s="122">
        <f t="shared" si="26"/>
        <v>0</v>
      </c>
      <c r="H669" s="123">
        <f>IF(AND(ISNUMBER(F669), F669&gt;4, COUNTIFS($A$2:A669, A669, $B$2:B669, B669, $C$2:C669, C669, $F$2:F669, "&gt;4")=1), 1, 0)</f>
        <v>1</v>
      </c>
      <c r="I669" s="10">
        <f t="shared" si="27"/>
        <v>0</v>
      </c>
      <c r="J669" s="10"/>
      <c r="K669" s="7"/>
      <c r="L669" s="7"/>
      <c r="M669" s="7"/>
      <c r="N669" s="10"/>
      <c r="O669" s="113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5.75" customHeight="1">
      <c r="A670" s="10" t="s">
        <v>20</v>
      </c>
      <c r="B670" s="7" t="s">
        <v>106</v>
      </c>
      <c r="C670" s="135">
        <v>46242</v>
      </c>
      <c r="D670" s="44" t="s">
        <v>308</v>
      </c>
      <c r="E670" s="35" t="s">
        <v>596</v>
      </c>
      <c r="F670" s="121">
        <v>8.4499999999999993</v>
      </c>
      <c r="G670" s="122">
        <f t="shared" si="26"/>
        <v>0</v>
      </c>
      <c r="H670" s="123">
        <f>IF(AND(ISNUMBER(F670), F670&gt;4, COUNTIFS($A$2:A670, A670, $B$2:B670, B670, $C$2:C670, C670, $F$2:F670, "&gt;4")=1), 1, 0)</f>
        <v>1</v>
      </c>
      <c r="I670" s="10">
        <f t="shared" si="27"/>
        <v>0</v>
      </c>
      <c r="J670" s="10"/>
      <c r="K670" s="7"/>
      <c r="L670" s="7"/>
      <c r="M670" s="7"/>
      <c r="N670" s="10"/>
      <c r="O670" s="113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5.75" customHeight="1">
      <c r="A671" s="10" t="s">
        <v>20</v>
      </c>
      <c r="B671" s="7" t="s">
        <v>106</v>
      </c>
      <c r="C671" s="135">
        <v>46243</v>
      </c>
      <c r="D671" s="44" t="s">
        <v>308</v>
      </c>
      <c r="E671" s="35" t="s">
        <v>516</v>
      </c>
      <c r="F671" s="121">
        <v>8.3699999999999992</v>
      </c>
      <c r="G671" s="122">
        <f t="shared" si="26"/>
        <v>0</v>
      </c>
      <c r="H671" s="123">
        <f>IF(AND(ISNUMBER(F671), F671&gt;4, COUNTIFS($A$2:A671, A671, $B$2:B671, B671, $C$2:C671, C671, $F$2:F671, "&gt;4")=1), 1, 0)</f>
        <v>1</v>
      </c>
      <c r="I671" s="10">
        <f t="shared" si="27"/>
        <v>0</v>
      </c>
      <c r="J671" s="10"/>
      <c r="K671" s="7"/>
      <c r="L671" s="7"/>
      <c r="M671" s="7"/>
      <c r="N671" s="10"/>
      <c r="O671" s="113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5.75" customHeight="1">
      <c r="A672" s="10" t="s">
        <v>20</v>
      </c>
      <c r="B672" s="7" t="s">
        <v>106</v>
      </c>
      <c r="C672" s="135">
        <v>46244</v>
      </c>
      <c r="D672" s="44" t="s">
        <v>308</v>
      </c>
      <c r="E672" s="35" t="s">
        <v>503</v>
      </c>
      <c r="F672" s="121">
        <v>8.1999999999999993</v>
      </c>
      <c r="G672" s="122">
        <f t="shared" si="26"/>
        <v>0</v>
      </c>
      <c r="H672" s="123">
        <f>IF(AND(ISNUMBER(F672), F672&gt;4, COUNTIFS($A$2:A672, A672, $B$2:B672, B672, $C$2:C672, C672, $F$2:F672, "&gt;4")=1), 1, 0)</f>
        <v>1</v>
      </c>
      <c r="I672" s="10">
        <f t="shared" si="27"/>
        <v>0</v>
      </c>
      <c r="J672" s="10"/>
      <c r="K672" s="7"/>
      <c r="L672" s="7"/>
      <c r="M672" s="7"/>
      <c r="N672" s="10"/>
      <c r="O672" s="113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5.75" customHeight="1">
      <c r="A673" s="10" t="s">
        <v>20</v>
      </c>
      <c r="B673" s="7" t="s">
        <v>106</v>
      </c>
      <c r="C673" s="135">
        <v>46245</v>
      </c>
      <c r="D673" s="44" t="s">
        <v>308</v>
      </c>
      <c r="E673" s="35" t="s">
        <v>490</v>
      </c>
      <c r="F673" s="121">
        <v>8.23</v>
      </c>
      <c r="G673" s="122">
        <f t="shared" si="26"/>
        <v>0</v>
      </c>
      <c r="H673" s="123">
        <f>IF(AND(ISNUMBER(F673), F673&gt;4, COUNTIFS($A$2:A673, A673, $B$2:B673, B673, $C$2:C673, C673, $F$2:F673, "&gt;4")=1), 1, 0)</f>
        <v>1</v>
      </c>
      <c r="I673" s="10">
        <f t="shared" si="27"/>
        <v>0</v>
      </c>
      <c r="J673" s="10"/>
      <c r="K673" s="7"/>
      <c r="L673" s="7"/>
      <c r="M673" s="7"/>
      <c r="N673" s="10"/>
      <c r="O673" s="113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5.75" customHeight="1">
      <c r="A674" s="10" t="s">
        <v>20</v>
      </c>
      <c r="B674" s="7" t="s">
        <v>106</v>
      </c>
      <c r="C674" s="135">
        <v>46246</v>
      </c>
      <c r="D674" s="44" t="s">
        <v>308</v>
      </c>
      <c r="E674" s="35" t="s">
        <v>488</v>
      </c>
      <c r="F674" s="121">
        <v>8.3800000000000008</v>
      </c>
      <c r="G674" s="122">
        <f t="shared" si="26"/>
        <v>0</v>
      </c>
      <c r="H674" s="123">
        <f>IF(AND(ISNUMBER(F674), F674&gt;4, COUNTIFS($A$2:A674, A674, $B$2:B674, B674, $C$2:C674, C674, $F$2:F674, "&gt;4")=1), 1, 0)</f>
        <v>1</v>
      </c>
      <c r="I674" s="10">
        <f t="shared" si="27"/>
        <v>0</v>
      </c>
      <c r="J674" s="10"/>
      <c r="K674" s="7"/>
      <c r="L674" s="7"/>
      <c r="M674" s="7"/>
      <c r="N674" s="10"/>
      <c r="O674" s="113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5.75" customHeight="1">
      <c r="A675" s="10" t="s">
        <v>20</v>
      </c>
      <c r="B675" s="7" t="s">
        <v>106</v>
      </c>
      <c r="C675" s="135">
        <v>46247</v>
      </c>
      <c r="D675" s="44" t="s">
        <v>308</v>
      </c>
      <c r="E675" s="35" t="s">
        <v>617</v>
      </c>
      <c r="F675" s="121">
        <v>8.67</v>
      </c>
      <c r="G675" s="122">
        <f t="shared" si="26"/>
        <v>0</v>
      </c>
      <c r="H675" s="123">
        <f>IF(AND(ISNUMBER(F675), F675&gt;4, COUNTIFS($A$2:A675, A675, $B$2:B675, B675, $C$2:C675, C675, $F$2:F675, "&gt;4")=1), 1, 0)</f>
        <v>1</v>
      </c>
      <c r="I675" s="10">
        <f t="shared" si="27"/>
        <v>0</v>
      </c>
      <c r="J675" s="10"/>
      <c r="K675" s="7"/>
      <c r="L675" s="7"/>
      <c r="M675" s="7"/>
      <c r="N675" s="10"/>
      <c r="O675" s="113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5.75" customHeight="1">
      <c r="A676" s="10" t="s">
        <v>20</v>
      </c>
      <c r="B676" s="7" t="s">
        <v>106</v>
      </c>
      <c r="C676" s="135">
        <v>46248</v>
      </c>
      <c r="D676" s="44" t="s">
        <v>308</v>
      </c>
      <c r="E676" s="35" t="s">
        <v>488</v>
      </c>
      <c r="F676" s="121">
        <v>8.3800000000000008</v>
      </c>
      <c r="G676" s="122">
        <f t="shared" si="26"/>
        <v>0</v>
      </c>
      <c r="H676" s="123">
        <f>IF(AND(ISNUMBER(F676), F676&gt;4, COUNTIFS($A$2:A676, A676, $B$2:B676, B676, $C$2:C676, C676, $F$2:F676, "&gt;4")=1), 1, 0)</f>
        <v>1</v>
      </c>
      <c r="I676" s="10">
        <f t="shared" si="27"/>
        <v>0</v>
      </c>
      <c r="J676" s="10"/>
      <c r="K676" s="7"/>
      <c r="L676" s="7"/>
      <c r="M676" s="7"/>
      <c r="N676" s="10"/>
      <c r="O676" s="113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5.75" customHeight="1">
      <c r="A677" s="10" t="s">
        <v>20</v>
      </c>
      <c r="B677" s="7" t="s">
        <v>106</v>
      </c>
      <c r="C677" s="135">
        <v>46249</v>
      </c>
      <c r="D677" s="44" t="s">
        <v>308</v>
      </c>
      <c r="E677" s="35" t="s">
        <v>297</v>
      </c>
      <c r="F677" s="121">
        <v>8.5</v>
      </c>
      <c r="G677" s="122">
        <f t="shared" si="26"/>
        <v>0</v>
      </c>
      <c r="H677" s="123">
        <f>IF(AND(ISNUMBER(F677), F677&gt;4, COUNTIFS($A$2:A677, A677, $B$2:B677, B677, $C$2:C677, C677, $F$2:F677, "&gt;4")=1), 1, 0)</f>
        <v>1</v>
      </c>
      <c r="I677" s="10">
        <f t="shared" si="27"/>
        <v>0</v>
      </c>
      <c r="J677" s="10"/>
      <c r="K677" s="7"/>
      <c r="L677" s="7"/>
      <c r="M677" s="7"/>
      <c r="N677" s="10"/>
      <c r="O677" s="113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5.75" customHeight="1">
      <c r="A678" s="10" t="s">
        <v>20</v>
      </c>
      <c r="B678" s="7" t="s">
        <v>106</v>
      </c>
      <c r="C678" s="135">
        <v>46250</v>
      </c>
      <c r="D678" s="44" t="s">
        <v>308</v>
      </c>
      <c r="E678" s="35" t="s">
        <v>516</v>
      </c>
      <c r="F678" s="121">
        <v>8.3699999999999992</v>
      </c>
      <c r="G678" s="122">
        <f t="shared" si="26"/>
        <v>0</v>
      </c>
      <c r="H678" s="123">
        <f>IF(AND(ISNUMBER(F678), F678&gt;4, COUNTIFS($A$2:A678, A678, $B$2:B678, B678, $C$2:C678, C678, $F$2:F678, "&gt;4")=1), 1, 0)</f>
        <v>1</v>
      </c>
      <c r="I678" s="10">
        <f t="shared" si="27"/>
        <v>0</v>
      </c>
      <c r="J678" s="10"/>
      <c r="K678" s="7"/>
      <c r="L678" s="7"/>
      <c r="M678" s="7"/>
      <c r="N678" s="10"/>
      <c r="O678" s="113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5.75" customHeight="1">
      <c r="A679" s="10" t="s">
        <v>20</v>
      </c>
      <c r="B679" s="7" t="s">
        <v>106</v>
      </c>
      <c r="C679" s="135">
        <v>46252</v>
      </c>
      <c r="D679" s="44" t="s">
        <v>308</v>
      </c>
      <c r="E679" s="35" t="s">
        <v>511</v>
      </c>
      <c r="F679" s="121">
        <v>8.1300000000000008</v>
      </c>
      <c r="G679" s="122">
        <f t="shared" si="26"/>
        <v>0</v>
      </c>
      <c r="H679" s="123">
        <f>IF(AND(ISNUMBER(F679), F679&gt;4, COUNTIFS($A$2:A679, A679, $B$2:B679, B679, $C$2:C679, C679, $F$2:F679, "&gt;4")=1), 1, 0)</f>
        <v>1</v>
      </c>
      <c r="I679" s="10">
        <f t="shared" si="27"/>
        <v>0</v>
      </c>
      <c r="J679" s="10"/>
      <c r="K679" s="7"/>
      <c r="L679" s="7"/>
      <c r="M679" s="7"/>
      <c r="N679" s="10"/>
      <c r="O679" s="113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5.75" customHeight="1">
      <c r="A680" s="10" t="s">
        <v>20</v>
      </c>
      <c r="B680" s="7" t="s">
        <v>106</v>
      </c>
      <c r="C680" s="135">
        <v>46253</v>
      </c>
      <c r="D680" s="44" t="s">
        <v>308</v>
      </c>
      <c r="E680" s="35" t="s">
        <v>499</v>
      </c>
      <c r="F680" s="121">
        <v>8.15</v>
      </c>
      <c r="G680" s="122">
        <f t="shared" si="26"/>
        <v>0</v>
      </c>
      <c r="H680" s="123">
        <f>IF(AND(ISNUMBER(F680), F680&gt;4, COUNTIFS($A$2:A680, A680, $B$2:B680, B680, $C$2:C680, C680, $F$2:F680, "&gt;4")=1), 1, 0)</f>
        <v>1</v>
      </c>
      <c r="I680" s="10">
        <f t="shared" si="27"/>
        <v>0</v>
      </c>
      <c r="J680" s="10"/>
      <c r="K680" s="7"/>
      <c r="L680" s="7"/>
      <c r="M680" s="7"/>
      <c r="N680" s="10"/>
      <c r="O680" s="113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5.75" customHeight="1">
      <c r="A681" s="10" t="s">
        <v>20</v>
      </c>
      <c r="B681" s="7" t="s">
        <v>106</v>
      </c>
      <c r="C681" s="135">
        <v>46254</v>
      </c>
      <c r="D681" s="44" t="s">
        <v>308</v>
      </c>
      <c r="E681" s="35" t="s">
        <v>497</v>
      </c>
      <c r="F681" s="121">
        <v>8.43</v>
      </c>
      <c r="G681" s="122">
        <f t="shared" si="26"/>
        <v>0</v>
      </c>
      <c r="H681" s="123">
        <f>IF(AND(ISNUMBER(F681), F681&gt;4, COUNTIFS($A$2:A681, A681, $B$2:B681, B681, $C$2:C681, C681, $F$2:F681, "&gt;4")=1), 1, 0)</f>
        <v>1</v>
      </c>
      <c r="I681" s="10">
        <f t="shared" si="27"/>
        <v>0</v>
      </c>
      <c r="J681" s="10"/>
      <c r="K681" s="7"/>
      <c r="L681" s="7"/>
      <c r="M681" s="7"/>
      <c r="N681" s="10"/>
      <c r="O681" s="113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5.75" customHeight="1">
      <c r="A682" s="10" t="s">
        <v>20</v>
      </c>
      <c r="B682" s="7" t="s">
        <v>106</v>
      </c>
      <c r="C682" s="135">
        <v>46255</v>
      </c>
      <c r="D682" s="44" t="s">
        <v>308</v>
      </c>
      <c r="E682" s="35" t="s">
        <v>499</v>
      </c>
      <c r="F682" s="121">
        <v>8.15</v>
      </c>
      <c r="G682" s="122">
        <f t="shared" si="26"/>
        <v>0</v>
      </c>
      <c r="H682" s="123">
        <f>IF(AND(ISNUMBER(F682), F682&gt;4, COUNTIFS($A$2:A682, A682, $B$2:B682, B682, $C$2:C682, C682, $F$2:F682, "&gt;4")=1), 1, 0)</f>
        <v>1</v>
      </c>
      <c r="I682" s="10">
        <f t="shared" si="27"/>
        <v>0</v>
      </c>
      <c r="J682" s="10"/>
      <c r="K682" s="7"/>
      <c r="L682" s="7"/>
      <c r="M682" s="7"/>
      <c r="N682" s="10"/>
      <c r="O682" s="113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5.75" customHeight="1">
      <c r="A683" s="10" t="s">
        <v>20</v>
      </c>
      <c r="B683" s="7" t="s">
        <v>106</v>
      </c>
      <c r="C683" s="135">
        <v>46256</v>
      </c>
      <c r="D683" s="44" t="s">
        <v>308</v>
      </c>
      <c r="E683" s="35" t="s">
        <v>516</v>
      </c>
      <c r="F683" s="121">
        <v>8.3699999999999992</v>
      </c>
      <c r="G683" s="122">
        <f t="shared" si="26"/>
        <v>0</v>
      </c>
      <c r="H683" s="123">
        <f>IF(AND(ISNUMBER(F683), F683&gt;4, COUNTIFS($A$2:A683, A683, $B$2:B683, B683, $C$2:C683, C683, $F$2:F683, "&gt;4")=1), 1, 0)</f>
        <v>1</v>
      </c>
      <c r="I683" s="10">
        <f t="shared" si="27"/>
        <v>0</v>
      </c>
      <c r="J683" s="10"/>
      <c r="K683" s="7"/>
      <c r="L683" s="7"/>
      <c r="M683" s="7"/>
      <c r="N683" s="10"/>
      <c r="O683" s="113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5.75" customHeight="1">
      <c r="A684" s="10" t="s">
        <v>20</v>
      </c>
      <c r="B684" s="7" t="s">
        <v>106</v>
      </c>
      <c r="C684" s="135">
        <v>46258</v>
      </c>
      <c r="D684" s="44" t="s">
        <v>308</v>
      </c>
      <c r="E684" s="35" t="s">
        <v>489</v>
      </c>
      <c r="F684" s="121">
        <v>8.33</v>
      </c>
      <c r="G684" s="122">
        <f t="shared" si="26"/>
        <v>0</v>
      </c>
      <c r="H684" s="123">
        <f>IF(AND(ISNUMBER(F684), F684&gt;4, COUNTIFS($A$2:A684, A684, $B$2:B684, B684, $C$2:C684, C684, $F$2:F684, "&gt;4")=1), 1, 0)</f>
        <v>1</v>
      </c>
      <c r="I684" s="10">
        <f t="shared" si="27"/>
        <v>0</v>
      </c>
      <c r="J684" s="10"/>
      <c r="K684" s="7"/>
      <c r="L684" s="7"/>
      <c r="M684" s="7"/>
      <c r="N684" s="10"/>
      <c r="O684" s="113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5.75" customHeight="1">
      <c r="A685" s="10" t="s">
        <v>20</v>
      </c>
      <c r="B685" s="7" t="s">
        <v>106</v>
      </c>
      <c r="C685" s="135">
        <v>46259</v>
      </c>
      <c r="D685" s="44" t="s">
        <v>308</v>
      </c>
      <c r="E685" s="35" t="s">
        <v>515</v>
      </c>
      <c r="F685" s="121">
        <v>8.27</v>
      </c>
      <c r="G685" s="122">
        <f t="shared" si="26"/>
        <v>0</v>
      </c>
      <c r="H685" s="123">
        <f>IF(AND(ISNUMBER(F685), F685&gt;4, COUNTIFS($A$2:A685, A685, $B$2:B685, B685, $C$2:C685, C685, $F$2:F685, "&gt;4")=1), 1, 0)</f>
        <v>1</v>
      </c>
      <c r="I685" s="10">
        <f t="shared" si="27"/>
        <v>0</v>
      </c>
      <c r="J685" s="10"/>
      <c r="K685" s="7"/>
      <c r="L685" s="7"/>
      <c r="M685" s="7"/>
      <c r="N685" s="10"/>
      <c r="O685" s="113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5.75" customHeight="1">
      <c r="A686" s="10" t="s">
        <v>20</v>
      </c>
      <c r="B686" s="7" t="s">
        <v>106</v>
      </c>
      <c r="C686" s="135">
        <v>46261</v>
      </c>
      <c r="D686" s="44" t="s">
        <v>308</v>
      </c>
      <c r="E686" s="35" t="s">
        <v>618</v>
      </c>
      <c r="F686" s="121">
        <v>8.6300000000000008</v>
      </c>
      <c r="G686" s="122">
        <f t="shared" si="26"/>
        <v>0</v>
      </c>
      <c r="H686" s="123">
        <f>IF(AND(ISNUMBER(F686), F686&gt;4, COUNTIFS($A$2:A686, A686, $B$2:B686, B686, $C$2:C686, C686, $F$2:F686, "&gt;4")=1), 1, 0)</f>
        <v>1</v>
      </c>
      <c r="I686" s="10">
        <f t="shared" si="27"/>
        <v>0</v>
      </c>
      <c r="J686" s="10"/>
      <c r="K686" s="7"/>
      <c r="L686" s="7"/>
      <c r="M686" s="7"/>
      <c r="N686" s="10"/>
      <c r="O686" s="113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5.75" customHeight="1">
      <c r="A687" s="10" t="s">
        <v>20</v>
      </c>
      <c r="B687" s="7" t="s">
        <v>106</v>
      </c>
      <c r="C687" s="135">
        <v>46262</v>
      </c>
      <c r="D687" s="44" t="s">
        <v>308</v>
      </c>
      <c r="E687" s="35" t="s">
        <v>522</v>
      </c>
      <c r="F687" s="121">
        <v>8.32</v>
      </c>
      <c r="G687" s="122">
        <f t="shared" si="26"/>
        <v>0</v>
      </c>
      <c r="H687" s="123">
        <f>IF(AND(ISNUMBER(F687), F687&gt;4, COUNTIFS($A$2:A687, A687, $B$2:B687, B687, $C$2:C687, C687, $F$2:F687, "&gt;4")=1), 1, 0)</f>
        <v>1</v>
      </c>
      <c r="I687" s="10">
        <f t="shared" si="27"/>
        <v>0</v>
      </c>
      <c r="J687" s="10"/>
      <c r="K687" s="7"/>
      <c r="L687" s="7"/>
      <c r="M687" s="7"/>
      <c r="N687" s="10"/>
      <c r="O687" s="113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5.75" customHeight="1">
      <c r="A688" s="10" t="s">
        <v>20</v>
      </c>
      <c r="B688" s="7" t="s">
        <v>106</v>
      </c>
      <c r="C688" s="135">
        <v>46263</v>
      </c>
      <c r="D688" s="44" t="s">
        <v>308</v>
      </c>
      <c r="E688" s="35" t="s">
        <v>207</v>
      </c>
      <c r="F688" s="121">
        <v>8.1</v>
      </c>
      <c r="G688" s="122">
        <f t="shared" si="26"/>
        <v>0</v>
      </c>
      <c r="H688" s="123">
        <f>IF(AND(ISNUMBER(F688), F688&gt;4, COUNTIFS($A$2:A688, A688, $B$2:B688, B688, $C$2:C688, C688, $F$2:F688, "&gt;4")=1), 1, 0)</f>
        <v>1</v>
      </c>
      <c r="I688" s="10">
        <f t="shared" si="27"/>
        <v>0</v>
      </c>
      <c r="J688" s="10"/>
      <c r="K688" s="7"/>
      <c r="L688" s="7"/>
      <c r="M688" s="7"/>
      <c r="N688" s="10"/>
      <c r="O688" s="113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5.75" customHeight="1">
      <c r="A689" s="10" t="s">
        <v>20</v>
      </c>
      <c r="B689" s="7" t="s">
        <v>106</v>
      </c>
      <c r="C689" s="135">
        <v>46264</v>
      </c>
      <c r="D689" s="44" t="s">
        <v>308</v>
      </c>
      <c r="E689" s="35" t="s">
        <v>400</v>
      </c>
      <c r="F689" s="121">
        <v>8.6199999999999992</v>
      </c>
      <c r="G689" s="122">
        <f t="shared" si="26"/>
        <v>0</v>
      </c>
      <c r="H689" s="123">
        <f>IF(AND(ISNUMBER(F689), F689&gt;4, COUNTIFS($A$2:A689, A689, $B$2:B689, B689, $C$2:C689, C689, $F$2:F689, "&gt;4")=1), 1, 0)</f>
        <v>1</v>
      </c>
      <c r="I689" s="10">
        <f t="shared" si="27"/>
        <v>0</v>
      </c>
      <c r="J689" s="10"/>
      <c r="K689" s="7"/>
      <c r="L689" s="7"/>
      <c r="M689" s="7"/>
      <c r="N689" s="10"/>
      <c r="O689" s="113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5.75" customHeight="1">
      <c r="A690" s="10" t="s">
        <v>20</v>
      </c>
      <c r="B690" s="7" t="s">
        <v>106</v>
      </c>
      <c r="C690" s="135">
        <v>46265</v>
      </c>
      <c r="D690" s="44" t="s">
        <v>308</v>
      </c>
      <c r="E690" s="35" t="s">
        <v>516</v>
      </c>
      <c r="F690" s="121">
        <v>8.3699999999999992</v>
      </c>
      <c r="G690" s="122">
        <f t="shared" si="26"/>
        <v>0</v>
      </c>
      <c r="H690" s="123">
        <f>IF(AND(ISNUMBER(F690), F690&gt;4, COUNTIFS($A$2:A690, A690, $B$2:B690, B690, $C$2:C690, C690, $F$2:F690, "&gt;4")=1), 1, 0)</f>
        <v>1</v>
      </c>
      <c r="I690" s="10">
        <f t="shared" si="27"/>
        <v>0</v>
      </c>
      <c r="J690" s="10"/>
      <c r="K690" s="7"/>
      <c r="L690" s="7"/>
      <c r="M690" s="7"/>
      <c r="N690" s="10"/>
      <c r="O690" s="113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5.75" customHeight="1">
      <c r="A691" s="10" t="s">
        <v>20</v>
      </c>
      <c r="B691" s="7" t="s">
        <v>106</v>
      </c>
      <c r="C691" s="135">
        <v>46251</v>
      </c>
      <c r="D691" s="44" t="s">
        <v>198</v>
      </c>
      <c r="E691" s="35" t="s">
        <v>310</v>
      </c>
      <c r="F691" s="121">
        <v>8.3000000000000007</v>
      </c>
      <c r="G691" s="122">
        <f t="shared" si="26"/>
        <v>0</v>
      </c>
      <c r="H691" s="123">
        <f>IF(AND(ISNUMBER(F691), F691&gt;4, COUNTIFS($A$2:A691, A691, $B$2:B691, B691, $C$2:C691, C691, $F$2:F691, "&gt;4")=1), 1, 0)</f>
        <v>1</v>
      </c>
      <c r="I691" s="10">
        <f t="shared" si="27"/>
        <v>0</v>
      </c>
      <c r="J691" s="10"/>
      <c r="K691" s="7"/>
      <c r="L691" s="7"/>
      <c r="M691" s="7"/>
      <c r="N691" s="10"/>
      <c r="O691" s="113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5.75" customHeight="1">
      <c r="A692" s="10" t="s">
        <v>20</v>
      </c>
      <c r="B692" s="7" t="s">
        <v>108</v>
      </c>
      <c r="C692" s="135">
        <v>46236</v>
      </c>
      <c r="D692" s="44" t="s">
        <v>215</v>
      </c>
      <c r="E692" s="35" t="s">
        <v>329</v>
      </c>
      <c r="F692" s="121">
        <v>8.0299999999999994</v>
      </c>
      <c r="G692" s="122">
        <f t="shared" si="26"/>
        <v>0</v>
      </c>
      <c r="H692" s="123">
        <f>IF(AND(ISNUMBER(F692), F692&gt;4, COUNTIFS($A$2:A692, A692, $B$2:B692, B692, $C$2:C692, C692, $F$2:F692, "&gt;4")=1), 1, 0)</f>
        <v>1</v>
      </c>
      <c r="I692" s="10">
        <f t="shared" si="27"/>
        <v>0</v>
      </c>
      <c r="J692" s="10"/>
      <c r="K692" s="7"/>
      <c r="L692" s="7"/>
      <c r="M692" s="7"/>
      <c r="N692" s="10"/>
      <c r="O692" s="113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5.75" customHeight="1">
      <c r="A693" s="10" t="s">
        <v>20</v>
      </c>
      <c r="B693" s="7" t="s">
        <v>108</v>
      </c>
      <c r="C693" s="135">
        <v>46247</v>
      </c>
      <c r="D693" s="44" t="s">
        <v>215</v>
      </c>
      <c r="E693" s="35" t="s">
        <v>313</v>
      </c>
      <c r="F693" s="121">
        <v>8.58</v>
      </c>
      <c r="G693" s="122">
        <f t="shared" si="26"/>
        <v>0</v>
      </c>
      <c r="H693" s="123">
        <f>IF(AND(ISNUMBER(F693), F693&gt;4, COUNTIFS($A$2:A693, A693, $B$2:B693, B693, $C$2:C693, C693, $F$2:F693, "&gt;4")=1), 1, 0)</f>
        <v>1</v>
      </c>
      <c r="I693" s="10">
        <f t="shared" si="27"/>
        <v>0</v>
      </c>
      <c r="J693" s="10"/>
      <c r="K693" s="7"/>
      <c r="L693" s="7"/>
      <c r="M693" s="7"/>
      <c r="N693" s="10"/>
      <c r="O693" s="113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5.75" customHeight="1">
      <c r="A694" s="10" t="s">
        <v>20</v>
      </c>
      <c r="B694" s="7" t="s">
        <v>108</v>
      </c>
      <c r="C694" s="135">
        <v>46248</v>
      </c>
      <c r="D694" s="44" t="s">
        <v>215</v>
      </c>
      <c r="E694" s="35" t="s">
        <v>400</v>
      </c>
      <c r="F694" s="121">
        <v>8.6199999999999992</v>
      </c>
      <c r="G694" s="122">
        <f t="shared" si="26"/>
        <v>0</v>
      </c>
      <c r="H694" s="123">
        <f>IF(AND(ISNUMBER(F694), F694&gt;4, COUNTIFS($A$2:A694, A694, $B$2:B694, B694, $C$2:C694, C694, $F$2:F694, "&gt;4")=1), 1, 0)</f>
        <v>1</v>
      </c>
      <c r="I694" s="10">
        <f t="shared" si="27"/>
        <v>0</v>
      </c>
      <c r="J694" s="10"/>
      <c r="K694" s="7"/>
      <c r="L694" s="7"/>
      <c r="M694" s="7"/>
      <c r="N694" s="10"/>
      <c r="O694" s="113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5.75" customHeight="1">
      <c r="A695" s="10" t="s">
        <v>20</v>
      </c>
      <c r="B695" s="7" t="s">
        <v>108</v>
      </c>
      <c r="C695" s="135">
        <v>46251</v>
      </c>
      <c r="D695" s="44" t="s">
        <v>215</v>
      </c>
      <c r="E695" s="35" t="s">
        <v>522</v>
      </c>
      <c r="F695" s="121">
        <v>8.32</v>
      </c>
      <c r="G695" s="122">
        <f t="shared" si="26"/>
        <v>0</v>
      </c>
      <c r="H695" s="123">
        <f>IF(AND(ISNUMBER(F695), F695&gt;4, COUNTIFS($A$2:A695, A695, $B$2:B695, B695, $C$2:C695, C695, $F$2:F695, "&gt;4")=1), 1, 0)</f>
        <v>1</v>
      </c>
      <c r="I695" s="10">
        <f t="shared" si="27"/>
        <v>0</v>
      </c>
      <c r="J695" s="10"/>
      <c r="K695" s="7"/>
      <c r="L695" s="7"/>
      <c r="M695" s="7"/>
      <c r="N695" s="10"/>
      <c r="O695" s="113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5.75" customHeight="1">
      <c r="A696" s="10" t="s">
        <v>20</v>
      </c>
      <c r="B696" s="7" t="s">
        <v>108</v>
      </c>
      <c r="C696" s="135">
        <v>46261</v>
      </c>
      <c r="D696" s="44" t="s">
        <v>215</v>
      </c>
      <c r="E696" s="35" t="s">
        <v>619</v>
      </c>
      <c r="F696" s="121">
        <v>12.03</v>
      </c>
      <c r="G696" s="122">
        <f t="shared" si="26"/>
        <v>0</v>
      </c>
      <c r="H696" s="123">
        <f>IF(AND(ISNUMBER(F696), F696&gt;4, COUNTIFS($A$2:A696, A696, $B$2:B696, B696, $C$2:C696, C696, $F$2:F696, "&gt;4")=1), 1, 0)</f>
        <v>1</v>
      </c>
      <c r="I696" s="10">
        <f t="shared" si="27"/>
        <v>0</v>
      </c>
      <c r="J696" s="10"/>
      <c r="K696" s="7"/>
      <c r="L696" s="7"/>
      <c r="M696" s="7"/>
      <c r="N696" s="10"/>
      <c r="O696" s="113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5.75" customHeight="1">
      <c r="A697" s="10" t="s">
        <v>20</v>
      </c>
      <c r="B697" s="7" t="s">
        <v>108</v>
      </c>
      <c r="C697" s="135">
        <v>46262</v>
      </c>
      <c r="D697" s="44" t="s">
        <v>215</v>
      </c>
      <c r="E697" s="35" t="s">
        <v>496</v>
      </c>
      <c r="F697" s="121">
        <v>8.35</v>
      </c>
      <c r="G697" s="122">
        <f t="shared" si="26"/>
        <v>0</v>
      </c>
      <c r="H697" s="123">
        <f>IF(AND(ISNUMBER(F697), F697&gt;4, COUNTIFS($A$2:A697, A697, $B$2:B697, B697, $C$2:C697, C697, $F$2:F697, "&gt;4")=1), 1, 0)</f>
        <v>1</v>
      </c>
      <c r="I697" s="10">
        <f t="shared" si="27"/>
        <v>0</v>
      </c>
      <c r="J697" s="10"/>
      <c r="K697" s="7"/>
      <c r="L697" s="7"/>
      <c r="M697" s="7"/>
      <c r="N697" s="10"/>
      <c r="O697" s="113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5.75" customHeight="1">
      <c r="A698" s="10" t="s">
        <v>20</v>
      </c>
      <c r="B698" s="7" t="s">
        <v>108</v>
      </c>
      <c r="C698" s="135">
        <v>46264</v>
      </c>
      <c r="D698" s="44" t="s">
        <v>215</v>
      </c>
      <c r="E698" s="35" t="s">
        <v>559</v>
      </c>
      <c r="F698" s="121">
        <v>7.43</v>
      </c>
      <c r="G698" s="122">
        <f t="shared" si="26"/>
        <v>0</v>
      </c>
      <c r="H698" s="123">
        <f>IF(AND(ISNUMBER(F698), F698&gt;4, COUNTIFS($A$2:A698, A698, $B$2:B698, B698, $C$2:C698, C698, $F$2:F698, "&gt;4")=1), 1, 0)</f>
        <v>1</v>
      </c>
      <c r="I698" s="10">
        <f t="shared" si="27"/>
        <v>0</v>
      </c>
      <c r="J698" s="10"/>
      <c r="K698" s="7"/>
      <c r="L698" s="7"/>
      <c r="M698" s="7"/>
      <c r="N698" s="10"/>
      <c r="O698" s="113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5.75" customHeight="1">
      <c r="A699" s="10" t="s">
        <v>20</v>
      </c>
      <c r="B699" s="7" t="s">
        <v>108</v>
      </c>
      <c r="C699" s="135">
        <v>46265</v>
      </c>
      <c r="D699" s="44" t="s">
        <v>215</v>
      </c>
      <c r="E699" s="35" t="s">
        <v>571</v>
      </c>
      <c r="F699" s="121">
        <v>12.23</v>
      </c>
      <c r="G699" s="122">
        <f t="shared" si="26"/>
        <v>0</v>
      </c>
      <c r="H699" s="123">
        <f>IF(AND(ISNUMBER(F699), F699&gt;4, COUNTIFS($A$2:A699, A699, $B$2:B699, B699, $C$2:C699, C699, $F$2:F699, "&gt;4")=1), 1, 0)</f>
        <v>1</v>
      </c>
      <c r="I699" s="10">
        <f t="shared" si="27"/>
        <v>0</v>
      </c>
      <c r="J699" s="10"/>
      <c r="K699" s="7"/>
      <c r="L699" s="7"/>
      <c r="M699" s="7"/>
      <c r="N699" s="10"/>
      <c r="O699" s="113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5.75" customHeight="1">
      <c r="A700" s="10" t="s">
        <v>20</v>
      </c>
      <c r="B700" s="7" t="s">
        <v>108</v>
      </c>
      <c r="C700" s="135">
        <v>46235</v>
      </c>
      <c r="D700" s="44" t="s">
        <v>198</v>
      </c>
      <c r="E700" s="35" t="s">
        <v>409</v>
      </c>
      <c r="F700" s="121">
        <v>7.93</v>
      </c>
      <c r="G700" s="122">
        <f t="shared" si="26"/>
        <v>0</v>
      </c>
      <c r="H700" s="123">
        <f>IF(AND(ISNUMBER(F700), F700&gt;4, COUNTIFS($A$2:A700, A700, $B$2:B700, B700, $C$2:C700, C700, $F$2:F700, "&gt;4")=1), 1, 0)</f>
        <v>1</v>
      </c>
      <c r="I700" s="10">
        <f t="shared" si="27"/>
        <v>0</v>
      </c>
      <c r="J700" s="10"/>
      <c r="K700" s="7"/>
      <c r="L700" s="7"/>
      <c r="M700" s="7"/>
      <c r="N700" s="10"/>
      <c r="O700" s="113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5.75" customHeight="1">
      <c r="A701" s="10" t="s">
        <v>20</v>
      </c>
      <c r="B701" s="7" t="s">
        <v>108</v>
      </c>
      <c r="C701" s="135">
        <v>46237</v>
      </c>
      <c r="D701" s="44" t="s">
        <v>198</v>
      </c>
      <c r="E701" s="35" t="s">
        <v>288</v>
      </c>
      <c r="F701" s="121">
        <v>8.0500000000000007</v>
      </c>
      <c r="G701" s="122">
        <f t="shared" si="26"/>
        <v>0</v>
      </c>
      <c r="H701" s="123">
        <f>IF(AND(ISNUMBER(F701), F701&gt;4, COUNTIFS($A$2:A701, A701, $B$2:B701, B701, $C$2:C701, C701, $F$2:F701, "&gt;4")=1), 1, 0)</f>
        <v>1</v>
      </c>
      <c r="I701" s="10">
        <f t="shared" si="27"/>
        <v>0</v>
      </c>
      <c r="J701" s="10"/>
      <c r="K701" s="7"/>
      <c r="L701" s="7"/>
      <c r="M701" s="7"/>
      <c r="N701" s="10"/>
      <c r="O701" s="113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5.75" customHeight="1">
      <c r="A702" s="10" t="s">
        <v>20</v>
      </c>
      <c r="B702" s="7" t="s">
        <v>108</v>
      </c>
      <c r="C702" s="135">
        <v>46238</v>
      </c>
      <c r="D702" s="44" t="s">
        <v>198</v>
      </c>
      <c r="E702" s="35" t="s">
        <v>481</v>
      </c>
      <c r="F702" s="121">
        <v>7.98</v>
      </c>
      <c r="G702" s="122">
        <f t="shared" si="26"/>
        <v>0</v>
      </c>
      <c r="H702" s="123">
        <f>IF(AND(ISNUMBER(F702), F702&gt;4, COUNTIFS($A$2:A702, A702, $B$2:B702, B702, $C$2:C702, C702, $F$2:F702, "&gt;4")=1), 1, 0)</f>
        <v>1</v>
      </c>
      <c r="I702" s="10">
        <f t="shared" si="27"/>
        <v>0</v>
      </c>
      <c r="J702" s="10"/>
      <c r="K702" s="7"/>
      <c r="L702" s="7"/>
      <c r="M702" s="7"/>
      <c r="N702" s="10"/>
      <c r="O702" s="113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5.75" customHeight="1">
      <c r="A703" s="10" t="s">
        <v>20</v>
      </c>
      <c r="B703" s="7" t="s">
        <v>108</v>
      </c>
      <c r="C703" s="135">
        <v>46239</v>
      </c>
      <c r="D703" s="44" t="s">
        <v>198</v>
      </c>
      <c r="E703" s="35" t="s">
        <v>474</v>
      </c>
      <c r="F703" s="121">
        <v>7.9</v>
      </c>
      <c r="G703" s="122">
        <f t="shared" si="26"/>
        <v>0</v>
      </c>
      <c r="H703" s="123">
        <f>IF(AND(ISNUMBER(F703), F703&gt;4, COUNTIFS($A$2:A703, A703, $B$2:B703, B703, $C$2:C703, C703, $F$2:F703, "&gt;4")=1), 1, 0)</f>
        <v>1</v>
      </c>
      <c r="I703" s="10">
        <f t="shared" si="27"/>
        <v>0</v>
      </c>
      <c r="J703" s="10"/>
      <c r="K703" s="7"/>
      <c r="L703" s="7"/>
      <c r="M703" s="7"/>
      <c r="N703" s="10"/>
      <c r="O703" s="113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5.75" customHeight="1">
      <c r="A704" s="10" t="s">
        <v>20</v>
      </c>
      <c r="B704" s="7" t="s">
        <v>108</v>
      </c>
      <c r="C704" s="135">
        <v>46240</v>
      </c>
      <c r="D704" s="44" t="s">
        <v>198</v>
      </c>
      <c r="E704" s="35" t="s">
        <v>478</v>
      </c>
      <c r="F704" s="121">
        <v>7.7</v>
      </c>
      <c r="G704" s="122">
        <f t="shared" si="26"/>
        <v>0</v>
      </c>
      <c r="H704" s="123">
        <f>IF(AND(ISNUMBER(F704), F704&gt;4, COUNTIFS($A$2:A704, A704, $B$2:B704, B704, $C$2:C704, C704, $F$2:F704, "&gt;4")=1), 1, 0)</f>
        <v>1</v>
      </c>
      <c r="I704" s="10">
        <f t="shared" si="27"/>
        <v>0</v>
      </c>
      <c r="J704" s="10"/>
      <c r="K704" s="7"/>
      <c r="L704" s="7"/>
      <c r="M704" s="7"/>
      <c r="N704" s="10"/>
      <c r="O704" s="113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5.75" customHeight="1">
      <c r="A705" s="10" t="s">
        <v>20</v>
      </c>
      <c r="B705" s="7" t="s">
        <v>108</v>
      </c>
      <c r="C705" s="135">
        <v>46241</v>
      </c>
      <c r="D705" s="44" t="s">
        <v>198</v>
      </c>
      <c r="E705" s="35" t="s">
        <v>409</v>
      </c>
      <c r="F705" s="121">
        <v>7.93</v>
      </c>
      <c r="G705" s="122">
        <f t="shared" si="26"/>
        <v>0</v>
      </c>
      <c r="H705" s="123">
        <f>IF(AND(ISNUMBER(F705), F705&gt;4, COUNTIFS($A$2:A705, A705, $B$2:B705, B705, $C$2:C705, C705, $F$2:F705, "&gt;4")=1), 1, 0)</f>
        <v>1</v>
      </c>
      <c r="I705" s="10">
        <f t="shared" si="27"/>
        <v>0</v>
      </c>
      <c r="J705" s="10"/>
      <c r="K705" s="7"/>
      <c r="L705" s="7"/>
      <c r="M705" s="7"/>
      <c r="N705" s="10"/>
      <c r="O705" s="113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5.75" customHeight="1">
      <c r="A706" s="10" t="s">
        <v>20</v>
      </c>
      <c r="B706" s="7" t="s">
        <v>108</v>
      </c>
      <c r="C706" s="135">
        <v>46242</v>
      </c>
      <c r="D706" s="44" t="s">
        <v>198</v>
      </c>
      <c r="E706" s="35" t="s">
        <v>348</v>
      </c>
      <c r="F706" s="121">
        <v>7.95</v>
      </c>
      <c r="G706" s="122">
        <f t="shared" ref="G706:G769" si="28">IF(AND(ISNUMBER(F706), F706&lt;=4), 1, 0)</f>
        <v>0</v>
      </c>
      <c r="H706" s="123">
        <f>IF(AND(ISNUMBER(F706), F706&gt;4, COUNTIFS($A$2:A706, A706, $B$2:B706, B706, $C$2:C706, C706, $F$2:F706, "&gt;4")=1), 1, 0)</f>
        <v>1</v>
      </c>
      <c r="I706" s="10">
        <f t="shared" ref="I706:I769" si="29">IF(AND(ISNUMBER(F706), F706&gt;4, ISNUMBER(SEARCH("đêm", D706))), 1, 0)</f>
        <v>0</v>
      </c>
      <c r="J706" s="10"/>
      <c r="K706" s="7"/>
      <c r="L706" s="7"/>
      <c r="M706" s="7"/>
      <c r="N706" s="10"/>
      <c r="O706" s="113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5.75" customHeight="1">
      <c r="A707" s="10" t="s">
        <v>20</v>
      </c>
      <c r="B707" s="7" t="s">
        <v>108</v>
      </c>
      <c r="C707" s="135">
        <v>46243</v>
      </c>
      <c r="D707" s="44" t="s">
        <v>198</v>
      </c>
      <c r="E707" s="35" t="s">
        <v>482</v>
      </c>
      <c r="F707" s="121">
        <v>7.85</v>
      </c>
      <c r="G707" s="122">
        <f t="shared" si="28"/>
        <v>0</v>
      </c>
      <c r="H707" s="123">
        <f>IF(AND(ISNUMBER(F707), F707&gt;4, COUNTIFS($A$2:A707, A707, $B$2:B707, B707, $C$2:C707, C707, $F$2:F707, "&gt;4")=1), 1, 0)</f>
        <v>1</v>
      </c>
      <c r="I707" s="10">
        <f t="shared" si="29"/>
        <v>0</v>
      </c>
      <c r="J707" s="10"/>
      <c r="K707" s="7"/>
      <c r="L707" s="7"/>
      <c r="M707" s="7"/>
      <c r="N707" s="10"/>
      <c r="O707" s="113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5.75" customHeight="1">
      <c r="A708" s="10" t="s">
        <v>20</v>
      </c>
      <c r="B708" s="7" t="s">
        <v>108</v>
      </c>
      <c r="C708" s="135">
        <v>46244</v>
      </c>
      <c r="D708" s="44" t="s">
        <v>198</v>
      </c>
      <c r="E708" s="35" t="s">
        <v>483</v>
      </c>
      <c r="F708" s="121">
        <v>7.92</v>
      </c>
      <c r="G708" s="122">
        <f t="shared" si="28"/>
        <v>0</v>
      </c>
      <c r="H708" s="123">
        <f>IF(AND(ISNUMBER(F708), F708&gt;4, COUNTIFS($A$2:A708, A708, $B$2:B708, B708, $C$2:C708, C708, $F$2:F708, "&gt;4")=1), 1, 0)</f>
        <v>1</v>
      </c>
      <c r="I708" s="10">
        <f t="shared" si="29"/>
        <v>0</v>
      </c>
      <c r="J708" s="10"/>
      <c r="K708" s="7"/>
      <c r="L708" s="7"/>
      <c r="M708" s="7"/>
      <c r="N708" s="10"/>
      <c r="O708" s="113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5.75" customHeight="1">
      <c r="A709" s="10" t="s">
        <v>20</v>
      </c>
      <c r="B709" s="7" t="s">
        <v>108</v>
      </c>
      <c r="C709" s="135">
        <v>46245</v>
      </c>
      <c r="D709" s="44" t="s">
        <v>198</v>
      </c>
      <c r="E709" s="35" t="s">
        <v>483</v>
      </c>
      <c r="F709" s="121">
        <v>7.92</v>
      </c>
      <c r="G709" s="122">
        <f t="shared" si="28"/>
        <v>0</v>
      </c>
      <c r="H709" s="123">
        <f>IF(AND(ISNUMBER(F709), F709&gt;4, COUNTIFS($A$2:A709, A709, $B$2:B709, B709, $C$2:C709, C709, $F$2:F709, "&gt;4")=1), 1, 0)</f>
        <v>1</v>
      </c>
      <c r="I709" s="10">
        <f t="shared" si="29"/>
        <v>0</v>
      </c>
      <c r="J709" s="10"/>
      <c r="K709" s="7"/>
      <c r="L709" s="7"/>
      <c r="M709" s="7"/>
      <c r="N709" s="10"/>
      <c r="O709" s="113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5.75" customHeight="1">
      <c r="A710" s="10" t="s">
        <v>20</v>
      </c>
      <c r="B710" s="7" t="s">
        <v>108</v>
      </c>
      <c r="C710" s="135">
        <v>46246</v>
      </c>
      <c r="D710" s="44" t="s">
        <v>198</v>
      </c>
      <c r="E710" s="35" t="s">
        <v>474</v>
      </c>
      <c r="F710" s="121">
        <v>7.9</v>
      </c>
      <c r="G710" s="122">
        <f t="shared" si="28"/>
        <v>0</v>
      </c>
      <c r="H710" s="123">
        <f>IF(AND(ISNUMBER(F710), F710&gt;4, COUNTIFS($A$2:A710, A710, $B$2:B710, B710, $C$2:C710, C710, $F$2:F710, "&gt;4")=1), 1, 0)</f>
        <v>1</v>
      </c>
      <c r="I710" s="10">
        <f t="shared" si="29"/>
        <v>0</v>
      </c>
      <c r="J710" s="10"/>
      <c r="K710" s="7"/>
      <c r="L710" s="7"/>
      <c r="M710" s="7"/>
      <c r="N710" s="10"/>
      <c r="O710" s="113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5.75" customHeight="1">
      <c r="A711" s="10" t="s">
        <v>20</v>
      </c>
      <c r="B711" s="7" t="s">
        <v>108</v>
      </c>
      <c r="C711" s="135">
        <v>46249</v>
      </c>
      <c r="D711" s="44" t="s">
        <v>198</v>
      </c>
      <c r="E711" s="35" t="s">
        <v>409</v>
      </c>
      <c r="F711" s="121">
        <v>7.93</v>
      </c>
      <c r="G711" s="122">
        <f t="shared" si="28"/>
        <v>0</v>
      </c>
      <c r="H711" s="123">
        <f>IF(AND(ISNUMBER(F711), F711&gt;4, COUNTIFS($A$2:A711, A711, $B$2:B711, B711, $C$2:C711, C711, $F$2:F711, "&gt;4")=1), 1, 0)</f>
        <v>1</v>
      </c>
      <c r="I711" s="10">
        <f t="shared" si="29"/>
        <v>0</v>
      </c>
      <c r="J711" s="10"/>
      <c r="K711" s="7"/>
      <c r="L711" s="7"/>
      <c r="M711" s="7"/>
      <c r="N711" s="10"/>
      <c r="O711" s="113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5.75" customHeight="1">
      <c r="A712" s="10" t="s">
        <v>20</v>
      </c>
      <c r="B712" s="7" t="s">
        <v>108</v>
      </c>
      <c r="C712" s="135">
        <v>46250</v>
      </c>
      <c r="D712" s="44" t="s">
        <v>198</v>
      </c>
      <c r="E712" s="35" t="s">
        <v>477</v>
      </c>
      <c r="F712" s="121">
        <v>7.88</v>
      </c>
      <c r="G712" s="122">
        <f t="shared" si="28"/>
        <v>0</v>
      </c>
      <c r="H712" s="123">
        <f>IF(AND(ISNUMBER(F712), F712&gt;4, COUNTIFS($A$2:A712, A712, $B$2:B712, B712, $C$2:C712, C712, $F$2:F712, "&gt;4")=1), 1, 0)</f>
        <v>1</v>
      </c>
      <c r="I712" s="10">
        <f t="shared" si="29"/>
        <v>0</v>
      </c>
      <c r="J712" s="10"/>
      <c r="K712" s="7"/>
      <c r="L712" s="7"/>
      <c r="M712" s="7"/>
      <c r="N712" s="10"/>
      <c r="O712" s="113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5.75" customHeight="1">
      <c r="A713" s="10" t="s">
        <v>20</v>
      </c>
      <c r="B713" s="7" t="s">
        <v>108</v>
      </c>
      <c r="C713" s="135">
        <v>46252</v>
      </c>
      <c r="D713" s="44" t="s">
        <v>198</v>
      </c>
      <c r="E713" s="35" t="s">
        <v>475</v>
      </c>
      <c r="F713" s="121">
        <v>7.87</v>
      </c>
      <c r="G713" s="122">
        <f t="shared" si="28"/>
        <v>0</v>
      </c>
      <c r="H713" s="123">
        <f>IF(AND(ISNUMBER(F713), F713&gt;4, COUNTIFS($A$2:A713, A713, $B$2:B713, B713, $C$2:C713, C713, $F$2:F713, "&gt;4")=1), 1, 0)</f>
        <v>1</v>
      </c>
      <c r="I713" s="10">
        <f t="shared" si="29"/>
        <v>0</v>
      </c>
      <c r="J713" s="10"/>
      <c r="K713" s="7"/>
      <c r="L713" s="7"/>
      <c r="M713" s="7"/>
      <c r="N713" s="10"/>
      <c r="O713" s="113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5.75" customHeight="1">
      <c r="A714" s="10" t="s">
        <v>20</v>
      </c>
      <c r="B714" s="7" t="s">
        <v>108</v>
      </c>
      <c r="C714" s="135">
        <v>46253</v>
      </c>
      <c r="D714" s="44" t="s">
        <v>198</v>
      </c>
      <c r="E714" s="35" t="s">
        <v>474</v>
      </c>
      <c r="F714" s="121">
        <v>7.9</v>
      </c>
      <c r="G714" s="122">
        <f t="shared" si="28"/>
        <v>0</v>
      </c>
      <c r="H714" s="123">
        <f>IF(AND(ISNUMBER(F714), F714&gt;4, COUNTIFS($A$2:A714, A714, $B$2:B714, B714, $C$2:C714, C714, $F$2:F714, "&gt;4")=1), 1, 0)</f>
        <v>1</v>
      </c>
      <c r="I714" s="10">
        <f t="shared" si="29"/>
        <v>0</v>
      </c>
      <c r="J714" s="10"/>
      <c r="K714" s="7"/>
      <c r="L714" s="7"/>
      <c r="M714" s="7"/>
      <c r="N714" s="10"/>
      <c r="O714" s="113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5.75" customHeight="1">
      <c r="A715" s="10" t="s">
        <v>20</v>
      </c>
      <c r="B715" s="7" t="s">
        <v>108</v>
      </c>
      <c r="C715" s="135">
        <v>46254</v>
      </c>
      <c r="D715" s="44" t="s">
        <v>198</v>
      </c>
      <c r="E715" s="35" t="s">
        <v>477</v>
      </c>
      <c r="F715" s="121">
        <v>7.88</v>
      </c>
      <c r="G715" s="122">
        <f t="shared" si="28"/>
        <v>0</v>
      </c>
      <c r="H715" s="123">
        <f>IF(AND(ISNUMBER(F715), F715&gt;4, COUNTIFS($A$2:A715, A715, $B$2:B715, B715, $C$2:C715, C715, $F$2:F715, "&gt;4")=1), 1, 0)</f>
        <v>1</v>
      </c>
      <c r="I715" s="10">
        <f t="shared" si="29"/>
        <v>0</v>
      </c>
      <c r="J715" s="10"/>
      <c r="K715" s="7"/>
      <c r="L715" s="7"/>
      <c r="M715" s="7"/>
      <c r="N715" s="10"/>
      <c r="O715" s="113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5.75" customHeight="1">
      <c r="A716" s="10" t="s">
        <v>20</v>
      </c>
      <c r="B716" s="7" t="s">
        <v>108</v>
      </c>
      <c r="C716" s="135">
        <v>46255</v>
      </c>
      <c r="D716" s="44" t="s">
        <v>198</v>
      </c>
      <c r="E716" s="35" t="s">
        <v>348</v>
      </c>
      <c r="F716" s="121">
        <v>7.95</v>
      </c>
      <c r="G716" s="122">
        <f t="shared" si="28"/>
        <v>0</v>
      </c>
      <c r="H716" s="123">
        <f>IF(AND(ISNUMBER(F716), F716&gt;4, COUNTIFS($A$2:A716, A716, $B$2:B716, B716, $C$2:C716, C716, $F$2:F716, "&gt;4")=1), 1, 0)</f>
        <v>1</v>
      </c>
      <c r="I716" s="10">
        <f t="shared" si="29"/>
        <v>0</v>
      </c>
      <c r="J716" s="10"/>
      <c r="K716" s="7"/>
      <c r="L716" s="7"/>
      <c r="M716" s="7"/>
      <c r="N716" s="10"/>
      <c r="O716" s="113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5.75" customHeight="1">
      <c r="A717" s="10" t="s">
        <v>20</v>
      </c>
      <c r="B717" s="7" t="s">
        <v>108</v>
      </c>
      <c r="C717" s="135">
        <v>46256</v>
      </c>
      <c r="D717" s="44" t="s">
        <v>198</v>
      </c>
      <c r="E717" s="35" t="s">
        <v>482</v>
      </c>
      <c r="F717" s="121">
        <v>7.85</v>
      </c>
      <c r="G717" s="122">
        <f t="shared" si="28"/>
        <v>0</v>
      </c>
      <c r="H717" s="123">
        <f>IF(AND(ISNUMBER(F717), F717&gt;4, COUNTIFS($A$2:A717, A717, $B$2:B717, B717, $C$2:C717, C717, $F$2:F717, "&gt;4")=1), 1, 0)</f>
        <v>1</v>
      </c>
      <c r="I717" s="10">
        <f t="shared" si="29"/>
        <v>0</v>
      </c>
      <c r="J717" s="10"/>
      <c r="K717" s="7"/>
      <c r="L717" s="7"/>
      <c r="M717" s="7"/>
      <c r="N717" s="10"/>
      <c r="O717" s="113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5.75" customHeight="1">
      <c r="A718" s="10" t="s">
        <v>20</v>
      </c>
      <c r="B718" s="7" t="s">
        <v>108</v>
      </c>
      <c r="C718" s="135">
        <v>46257</v>
      </c>
      <c r="D718" s="44" t="s">
        <v>198</v>
      </c>
      <c r="E718" s="35" t="s">
        <v>409</v>
      </c>
      <c r="F718" s="121">
        <v>7.93</v>
      </c>
      <c r="G718" s="122">
        <f t="shared" si="28"/>
        <v>0</v>
      </c>
      <c r="H718" s="123">
        <f>IF(AND(ISNUMBER(F718), F718&gt;4, COUNTIFS($A$2:A718, A718, $B$2:B718, B718, $C$2:C718, C718, $F$2:F718, "&gt;4")=1), 1, 0)</f>
        <v>1</v>
      </c>
      <c r="I718" s="10">
        <f t="shared" si="29"/>
        <v>0</v>
      </c>
      <c r="J718" s="10"/>
      <c r="K718" s="7"/>
      <c r="L718" s="7"/>
      <c r="M718" s="7"/>
      <c r="N718" s="10"/>
      <c r="O718" s="113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5.75" customHeight="1">
      <c r="A719" s="10" t="s">
        <v>20</v>
      </c>
      <c r="B719" s="7" t="s">
        <v>108</v>
      </c>
      <c r="C719" s="135">
        <v>46258</v>
      </c>
      <c r="D719" s="44" t="s">
        <v>198</v>
      </c>
      <c r="E719" s="35" t="s">
        <v>475</v>
      </c>
      <c r="F719" s="121">
        <v>7.87</v>
      </c>
      <c r="G719" s="122">
        <f t="shared" si="28"/>
        <v>0</v>
      </c>
      <c r="H719" s="123">
        <f>IF(AND(ISNUMBER(F719), F719&gt;4, COUNTIFS($A$2:A719, A719, $B$2:B719, B719, $C$2:C719, C719, $F$2:F719, "&gt;4")=1), 1, 0)</f>
        <v>1</v>
      </c>
      <c r="I719" s="10">
        <f t="shared" si="29"/>
        <v>0</v>
      </c>
      <c r="J719" s="10"/>
      <c r="K719" s="7"/>
      <c r="L719" s="7"/>
      <c r="M719" s="7"/>
      <c r="N719" s="10"/>
      <c r="O719" s="113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5.75" customHeight="1">
      <c r="A720" s="10" t="s">
        <v>20</v>
      </c>
      <c r="B720" s="7" t="s">
        <v>108</v>
      </c>
      <c r="C720" s="135">
        <v>46259</v>
      </c>
      <c r="D720" s="44" t="s">
        <v>198</v>
      </c>
      <c r="E720" s="35" t="s">
        <v>477</v>
      </c>
      <c r="F720" s="121">
        <v>7.88</v>
      </c>
      <c r="G720" s="122">
        <f t="shared" si="28"/>
        <v>0</v>
      </c>
      <c r="H720" s="123">
        <f>IF(AND(ISNUMBER(F720), F720&gt;4, COUNTIFS($A$2:A720, A720, $B$2:B720, B720, $C$2:C720, C720, $F$2:F720, "&gt;4")=1), 1, 0)</f>
        <v>1</v>
      </c>
      <c r="I720" s="10">
        <f t="shared" si="29"/>
        <v>0</v>
      </c>
      <c r="J720" s="10"/>
      <c r="K720" s="7"/>
      <c r="L720" s="7"/>
      <c r="M720" s="7"/>
      <c r="N720" s="10"/>
      <c r="O720" s="113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5.75" customHeight="1">
      <c r="A721" s="10" t="s">
        <v>20</v>
      </c>
      <c r="B721" s="7" t="s">
        <v>108</v>
      </c>
      <c r="C721" s="135">
        <v>46260</v>
      </c>
      <c r="D721" s="44" t="s">
        <v>198</v>
      </c>
      <c r="E721" s="35" t="s">
        <v>477</v>
      </c>
      <c r="F721" s="121">
        <v>7.88</v>
      </c>
      <c r="G721" s="122">
        <f t="shared" si="28"/>
        <v>0</v>
      </c>
      <c r="H721" s="123">
        <f>IF(AND(ISNUMBER(F721), F721&gt;4, COUNTIFS($A$2:A721, A721, $B$2:B721, B721, $C$2:C721, C721, $F$2:F721, "&gt;4")=1), 1, 0)</f>
        <v>1</v>
      </c>
      <c r="I721" s="10">
        <f t="shared" si="29"/>
        <v>0</v>
      </c>
      <c r="J721" s="10"/>
      <c r="K721" s="7"/>
      <c r="L721" s="7"/>
      <c r="M721" s="7"/>
      <c r="N721" s="10"/>
      <c r="O721" s="113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5.75" customHeight="1">
      <c r="A722" s="10" t="s">
        <v>20</v>
      </c>
      <c r="B722" s="7" t="s">
        <v>108</v>
      </c>
      <c r="C722" s="135">
        <v>46263</v>
      </c>
      <c r="D722" s="44" t="s">
        <v>198</v>
      </c>
      <c r="E722" s="35" t="s">
        <v>620</v>
      </c>
      <c r="F722" s="121">
        <v>1.92</v>
      </c>
      <c r="G722" s="122">
        <f t="shared" si="28"/>
        <v>1</v>
      </c>
      <c r="H722" s="123">
        <f>IF(AND(ISNUMBER(F722), F722&gt;4, COUNTIFS($A$2:A722, A722, $B$2:B722, B722, $C$2:C722, C722, $F$2:F722, "&gt;4")=1), 1, 0)</f>
        <v>0</v>
      </c>
      <c r="I722" s="10">
        <f t="shared" si="29"/>
        <v>0</v>
      </c>
      <c r="J722" s="10"/>
      <c r="K722" s="7"/>
      <c r="L722" s="7"/>
      <c r="M722" s="7"/>
      <c r="N722" s="10"/>
      <c r="O722" s="113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5.75" customHeight="1">
      <c r="A723" s="10" t="s">
        <v>20</v>
      </c>
      <c r="B723" s="7" t="s">
        <v>108</v>
      </c>
      <c r="C723" s="135">
        <v>46257</v>
      </c>
      <c r="D723" s="44" t="s">
        <v>301</v>
      </c>
      <c r="E723" s="35" t="s">
        <v>621</v>
      </c>
      <c r="F723" s="121">
        <v>0.6</v>
      </c>
      <c r="G723" s="122">
        <f t="shared" si="28"/>
        <v>1</v>
      </c>
      <c r="H723" s="123">
        <f>IF(AND(ISNUMBER(F723), F723&gt;4, COUNTIFS($A$2:A723, A723, $B$2:B723, B723, $C$2:C723, C723, $F$2:F723, "&gt;4")=1), 1, 0)</f>
        <v>0</v>
      </c>
      <c r="I723" s="10">
        <f t="shared" si="29"/>
        <v>0</v>
      </c>
      <c r="J723" s="10"/>
      <c r="K723" s="7"/>
      <c r="L723" s="7"/>
      <c r="M723" s="7"/>
      <c r="N723" s="10"/>
      <c r="O723" s="113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5.75" customHeight="1">
      <c r="A724" s="10" t="s">
        <v>20</v>
      </c>
      <c r="B724" s="7" t="s">
        <v>108</v>
      </c>
      <c r="C724" s="135">
        <v>46263</v>
      </c>
      <c r="D724" s="44" t="s">
        <v>301</v>
      </c>
      <c r="E724" s="35" t="s">
        <v>481</v>
      </c>
      <c r="F724" s="121">
        <v>7.98</v>
      </c>
      <c r="G724" s="122">
        <f t="shared" si="28"/>
        <v>0</v>
      </c>
      <c r="H724" s="123">
        <f>IF(AND(ISNUMBER(F724), F724&gt;4, COUNTIFS($A$2:A724, A724, $B$2:B724, B724, $C$2:C724, C724, $F$2:F724, "&gt;4")=1), 1, 0)</f>
        <v>1</v>
      </c>
      <c r="I724" s="10">
        <f t="shared" si="29"/>
        <v>1</v>
      </c>
      <c r="J724" s="10"/>
      <c r="K724" s="7"/>
      <c r="L724" s="7"/>
      <c r="M724" s="7"/>
      <c r="N724" s="10"/>
      <c r="O724" s="113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5.75" customHeight="1">
      <c r="A725" s="10" t="s">
        <v>20</v>
      </c>
      <c r="B725" s="7" t="s">
        <v>103</v>
      </c>
      <c r="C725" s="135">
        <v>46235</v>
      </c>
      <c r="D725" s="44" t="s">
        <v>215</v>
      </c>
      <c r="E725" s="35" t="s">
        <v>591</v>
      </c>
      <c r="F725" s="121">
        <v>8.8699999999999992</v>
      </c>
      <c r="G725" s="122">
        <f t="shared" si="28"/>
        <v>0</v>
      </c>
      <c r="H725" s="123">
        <f>IF(AND(ISNUMBER(F725), F725&gt;4, COUNTIFS($A$2:A725, A725, $B$2:B725, B725, $C$2:C725, C725, $F$2:F725, "&gt;4")=1), 1, 0)</f>
        <v>1</v>
      </c>
      <c r="I725" s="10">
        <f t="shared" si="29"/>
        <v>0</v>
      </c>
      <c r="J725" s="10"/>
      <c r="K725" s="7"/>
      <c r="L725" s="7"/>
      <c r="M725" s="7"/>
      <c r="N725" s="10"/>
      <c r="O725" s="113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5.75" customHeight="1">
      <c r="A726" s="10" t="s">
        <v>20</v>
      </c>
      <c r="B726" s="7" t="s">
        <v>103</v>
      </c>
      <c r="C726" s="135">
        <v>46237</v>
      </c>
      <c r="D726" s="44" t="s">
        <v>215</v>
      </c>
      <c r="E726" s="35" t="s">
        <v>476</v>
      </c>
      <c r="F726" s="121">
        <v>8.1199999999999992</v>
      </c>
      <c r="G726" s="122">
        <f t="shared" si="28"/>
        <v>0</v>
      </c>
      <c r="H726" s="123">
        <f>IF(AND(ISNUMBER(F726), F726&gt;4, COUNTIFS($A$2:A726, A726, $B$2:B726, B726, $C$2:C726, C726, $F$2:F726, "&gt;4")=1), 1, 0)</f>
        <v>1</v>
      </c>
      <c r="I726" s="10">
        <f t="shared" si="29"/>
        <v>0</v>
      </c>
      <c r="J726" s="10"/>
      <c r="K726" s="7"/>
      <c r="L726" s="7"/>
      <c r="M726" s="7"/>
      <c r="N726" s="10"/>
      <c r="O726" s="113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5.75" customHeight="1">
      <c r="A727" s="10" t="s">
        <v>20</v>
      </c>
      <c r="B727" s="7" t="s">
        <v>103</v>
      </c>
      <c r="C727" s="135">
        <v>46238</v>
      </c>
      <c r="D727" s="44" t="s">
        <v>215</v>
      </c>
      <c r="E727" s="35" t="s">
        <v>280</v>
      </c>
      <c r="F727" s="121">
        <v>8.25</v>
      </c>
      <c r="G727" s="122">
        <f t="shared" si="28"/>
        <v>0</v>
      </c>
      <c r="H727" s="123">
        <f>IF(AND(ISNUMBER(F727), F727&gt;4, COUNTIFS($A$2:A727, A727, $B$2:B727, B727, $C$2:C727, C727, $F$2:F727, "&gt;4")=1), 1, 0)</f>
        <v>1</v>
      </c>
      <c r="I727" s="10">
        <f t="shared" si="29"/>
        <v>0</v>
      </c>
      <c r="J727" s="10"/>
      <c r="K727" s="7"/>
      <c r="L727" s="7"/>
      <c r="M727" s="7"/>
      <c r="N727" s="10"/>
      <c r="O727" s="113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5.75" customHeight="1">
      <c r="A728" s="10" t="s">
        <v>20</v>
      </c>
      <c r="B728" s="7" t="s">
        <v>103</v>
      </c>
      <c r="C728" s="135">
        <v>46239</v>
      </c>
      <c r="D728" s="44" t="s">
        <v>215</v>
      </c>
      <c r="E728" s="35" t="s">
        <v>501</v>
      </c>
      <c r="F728" s="121">
        <v>8.2200000000000006</v>
      </c>
      <c r="G728" s="122">
        <f t="shared" si="28"/>
        <v>0</v>
      </c>
      <c r="H728" s="123">
        <f>IF(AND(ISNUMBER(F728), F728&gt;4, COUNTIFS($A$2:A728, A728, $B$2:B728, B728, $C$2:C728, C728, $F$2:F728, "&gt;4")=1), 1, 0)</f>
        <v>1</v>
      </c>
      <c r="I728" s="10">
        <f t="shared" si="29"/>
        <v>0</v>
      </c>
      <c r="J728" s="10"/>
      <c r="K728" s="7"/>
      <c r="L728" s="7"/>
      <c r="M728" s="7"/>
      <c r="N728" s="10"/>
      <c r="O728" s="113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5.75" customHeight="1">
      <c r="A729" s="10" t="s">
        <v>20</v>
      </c>
      <c r="B729" s="7" t="s">
        <v>103</v>
      </c>
      <c r="C729" s="135">
        <v>46240</v>
      </c>
      <c r="D729" s="44" t="s">
        <v>215</v>
      </c>
      <c r="E729" s="35" t="s">
        <v>519</v>
      </c>
      <c r="F729" s="121">
        <v>8.4</v>
      </c>
      <c r="G729" s="122">
        <f t="shared" si="28"/>
        <v>0</v>
      </c>
      <c r="H729" s="123">
        <f>IF(AND(ISNUMBER(F729), F729&gt;4, COUNTIFS($A$2:A729, A729, $B$2:B729, B729, $C$2:C729, C729, $F$2:F729, "&gt;4")=1), 1, 0)</f>
        <v>1</v>
      </c>
      <c r="I729" s="10">
        <f t="shared" si="29"/>
        <v>0</v>
      </c>
      <c r="J729" s="10"/>
      <c r="K729" s="7"/>
      <c r="L729" s="7"/>
      <c r="M729" s="7"/>
      <c r="N729" s="10"/>
      <c r="O729" s="113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5.75" customHeight="1">
      <c r="A730" s="10" t="s">
        <v>20</v>
      </c>
      <c r="B730" s="7" t="s">
        <v>103</v>
      </c>
      <c r="C730" s="135">
        <v>46241</v>
      </c>
      <c r="D730" s="44" t="s">
        <v>215</v>
      </c>
      <c r="E730" s="35" t="s">
        <v>599</v>
      </c>
      <c r="F730" s="121">
        <v>8.98</v>
      </c>
      <c r="G730" s="122">
        <f t="shared" si="28"/>
        <v>0</v>
      </c>
      <c r="H730" s="123">
        <f>IF(AND(ISNUMBER(F730), F730&gt;4, COUNTIFS($A$2:A730, A730, $B$2:B730, B730, $C$2:C730, C730, $F$2:F730, "&gt;4")=1), 1, 0)</f>
        <v>1</v>
      </c>
      <c r="I730" s="10">
        <f t="shared" si="29"/>
        <v>0</v>
      </c>
      <c r="J730" s="10"/>
      <c r="K730" s="7"/>
      <c r="L730" s="7"/>
      <c r="M730" s="7"/>
      <c r="N730" s="10"/>
      <c r="O730" s="113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5.75" customHeight="1">
      <c r="A731" s="10" t="s">
        <v>20</v>
      </c>
      <c r="B731" s="7" t="s">
        <v>103</v>
      </c>
      <c r="C731" s="135">
        <v>46242</v>
      </c>
      <c r="D731" s="44" t="s">
        <v>215</v>
      </c>
      <c r="E731" s="35" t="s">
        <v>489</v>
      </c>
      <c r="F731" s="121">
        <v>8.33</v>
      </c>
      <c r="G731" s="122">
        <f t="shared" si="28"/>
        <v>0</v>
      </c>
      <c r="H731" s="123">
        <f>IF(AND(ISNUMBER(F731), F731&gt;4, COUNTIFS($A$2:A731, A731, $B$2:B731, B731, $C$2:C731, C731, $F$2:F731, "&gt;4")=1), 1, 0)</f>
        <v>1</v>
      </c>
      <c r="I731" s="10">
        <f t="shared" si="29"/>
        <v>0</v>
      </c>
      <c r="J731" s="10"/>
      <c r="K731" s="7"/>
      <c r="L731" s="7"/>
      <c r="M731" s="7"/>
      <c r="N731" s="10"/>
      <c r="O731" s="113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5.75" customHeight="1">
      <c r="A732" s="10" t="s">
        <v>20</v>
      </c>
      <c r="B732" s="7" t="s">
        <v>103</v>
      </c>
      <c r="C732" s="135">
        <v>46243</v>
      </c>
      <c r="D732" s="44" t="s">
        <v>215</v>
      </c>
      <c r="E732" s="35" t="s">
        <v>504</v>
      </c>
      <c r="F732" s="121">
        <v>8.18</v>
      </c>
      <c r="G732" s="122">
        <f t="shared" si="28"/>
        <v>0</v>
      </c>
      <c r="H732" s="123">
        <f>IF(AND(ISNUMBER(F732), F732&gt;4, COUNTIFS($A$2:A732, A732, $B$2:B732, B732, $C$2:C732, C732, $F$2:F732, "&gt;4")=1), 1, 0)</f>
        <v>1</v>
      </c>
      <c r="I732" s="10">
        <f t="shared" si="29"/>
        <v>0</v>
      </c>
      <c r="J732" s="10"/>
      <c r="K732" s="7"/>
      <c r="L732" s="7"/>
      <c r="M732" s="7"/>
      <c r="N732" s="10"/>
      <c r="O732" s="113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5.75" customHeight="1">
      <c r="A733" s="10" t="s">
        <v>20</v>
      </c>
      <c r="B733" s="7" t="s">
        <v>103</v>
      </c>
      <c r="C733" s="135">
        <v>46244</v>
      </c>
      <c r="D733" s="44" t="s">
        <v>215</v>
      </c>
      <c r="E733" s="35" t="s">
        <v>489</v>
      </c>
      <c r="F733" s="121">
        <v>8.33</v>
      </c>
      <c r="G733" s="122">
        <f t="shared" si="28"/>
        <v>0</v>
      </c>
      <c r="H733" s="123">
        <f>IF(AND(ISNUMBER(F733), F733&gt;4, COUNTIFS($A$2:A733, A733, $B$2:B733, B733, $C$2:C733, C733, $F$2:F733, "&gt;4")=1), 1, 0)</f>
        <v>1</v>
      </c>
      <c r="I733" s="10">
        <f t="shared" si="29"/>
        <v>0</v>
      </c>
      <c r="J733" s="10"/>
      <c r="K733" s="7"/>
      <c r="L733" s="7"/>
      <c r="M733" s="7"/>
      <c r="N733" s="10"/>
      <c r="O733" s="113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5.75" customHeight="1">
      <c r="A734" s="10" t="s">
        <v>20</v>
      </c>
      <c r="B734" s="7" t="s">
        <v>103</v>
      </c>
      <c r="C734" s="135">
        <v>46245</v>
      </c>
      <c r="D734" s="44" t="s">
        <v>215</v>
      </c>
      <c r="E734" s="35" t="s">
        <v>515</v>
      </c>
      <c r="F734" s="121">
        <v>8.27</v>
      </c>
      <c r="G734" s="122">
        <f t="shared" si="28"/>
        <v>0</v>
      </c>
      <c r="H734" s="123">
        <f>IF(AND(ISNUMBER(F734), F734&gt;4, COUNTIFS($A$2:A734, A734, $B$2:B734, B734, $C$2:C734, C734, $F$2:F734, "&gt;4")=1), 1, 0)</f>
        <v>1</v>
      </c>
      <c r="I734" s="10">
        <f t="shared" si="29"/>
        <v>0</v>
      </c>
      <c r="J734" s="10"/>
      <c r="K734" s="7"/>
      <c r="L734" s="7"/>
      <c r="M734" s="7"/>
      <c r="N734" s="10"/>
      <c r="O734" s="113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5.75" customHeight="1">
      <c r="A735" s="10" t="s">
        <v>20</v>
      </c>
      <c r="B735" s="7" t="s">
        <v>103</v>
      </c>
      <c r="C735" s="135">
        <v>46246</v>
      </c>
      <c r="D735" s="44" t="s">
        <v>215</v>
      </c>
      <c r="E735" s="35" t="s">
        <v>502</v>
      </c>
      <c r="F735" s="121">
        <v>8.17</v>
      </c>
      <c r="G735" s="122">
        <f t="shared" si="28"/>
        <v>0</v>
      </c>
      <c r="H735" s="123">
        <f>IF(AND(ISNUMBER(F735), F735&gt;4, COUNTIFS($A$2:A735, A735, $B$2:B735, B735, $C$2:C735, C735, $F$2:F735, "&gt;4")=1), 1, 0)</f>
        <v>1</v>
      </c>
      <c r="I735" s="10">
        <f t="shared" si="29"/>
        <v>0</v>
      </c>
      <c r="J735" s="10"/>
      <c r="K735" s="7"/>
      <c r="L735" s="7"/>
      <c r="M735" s="7"/>
      <c r="N735" s="10"/>
      <c r="O735" s="113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5.75" customHeight="1">
      <c r="A736" s="10" t="s">
        <v>20</v>
      </c>
      <c r="B736" s="7" t="s">
        <v>103</v>
      </c>
      <c r="C736" s="135">
        <v>46249</v>
      </c>
      <c r="D736" s="44" t="s">
        <v>215</v>
      </c>
      <c r="E736" s="35" t="s">
        <v>199</v>
      </c>
      <c r="F736" s="121">
        <v>8</v>
      </c>
      <c r="G736" s="122">
        <f t="shared" si="28"/>
        <v>0</v>
      </c>
      <c r="H736" s="123">
        <f>IF(AND(ISNUMBER(F736), F736&gt;4, COUNTIFS($A$2:A736, A736, $B$2:B736, B736, $C$2:C736, C736, $F$2:F736, "&gt;4")=1), 1, 0)</f>
        <v>1</v>
      </c>
      <c r="I736" s="10">
        <f t="shared" si="29"/>
        <v>0</v>
      </c>
      <c r="J736" s="10"/>
      <c r="K736" s="7"/>
      <c r="L736" s="7"/>
      <c r="M736" s="7"/>
      <c r="N736" s="10"/>
      <c r="O736" s="113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5.75" customHeight="1">
      <c r="A737" s="10" t="s">
        <v>20</v>
      </c>
      <c r="B737" s="7" t="s">
        <v>103</v>
      </c>
      <c r="C737" s="135">
        <v>46250</v>
      </c>
      <c r="D737" s="44" t="s">
        <v>215</v>
      </c>
      <c r="E737" s="35" t="s">
        <v>497</v>
      </c>
      <c r="F737" s="121">
        <v>8.43</v>
      </c>
      <c r="G737" s="122">
        <f t="shared" si="28"/>
        <v>0</v>
      </c>
      <c r="H737" s="123">
        <f>IF(AND(ISNUMBER(F737), F737&gt;4, COUNTIFS($A$2:A737, A737, $B$2:B737, B737, $C$2:C737, C737, $F$2:F737, "&gt;4")=1), 1, 0)</f>
        <v>1</v>
      </c>
      <c r="I737" s="10">
        <f t="shared" si="29"/>
        <v>0</v>
      </c>
      <c r="J737" s="10"/>
      <c r="K737" s="7"/>
      <c r="L737" s="7"/>
      <c r="M737" s="7"/>
      <c r="N737" s="10"/>
      <c r="O737" s="113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5.75" customHeight="1">
      <c r="A738" s="10" t="s">
        <v>20</v>
      </c>
      <c r="B738" s="7" t="s">
        <v>103</v>
      </c>
      <c r="C738" s="135">
        <v>46252</v>
      </c>
      <c r="D738" s="44" t="s">
        <v>215</v>
      </c>
      <c r="E738" s="35" t="s">
        <v>515</v>
      </c>
      <c r="F738" s="121">
        <v>8.27</v>
      </c>
      <c r="G738" s="122">
        <f t="shared" si="28"/>
        <v>0</v>
      </c>
      <c r="H738" s="123">
        <f>IF(AND(ISNUMBER(F738), F738&gt;4, COUNTIFS($A$2:A738, A738, $B$2:B738, B738, $C$2:C738, C738, $F$2:F738, "&gt;4")=1), 1, 0)</f>
        <v>1</v>
      </c>
      <c r="I738" s="10">
        <f t="shared" si="29"/>
        <v>0</v>
      </c>
      <c r="J738" s="10"/>
      <c r="K738" s="7"/>
      <c r="L738" s="7"/>
      <c r="M738" s="7"/>
      <c r="N738" s="10"/>
      <c r="O738" s="113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5.75" customHeight="1">
      <c r="A739" s="10" t="s">
        <v>20</v>
      </c>
      <c r="B739" s="7" t="s">
        <v>103</v>
      </c>
      <c r="C739" s="135">
        <v>46253</v>
      </c>
      <c r="D739" s="44" t="s">
        <v>215</v>
      </c>
      <c r="E739" s="35" t="s">
        <v>501</v>
      </c>
      <c r="F739" s="121">
        <v>8.2200000000000006</v>
      </c>
      <c r="G739" s="122">
        <f t="shared" si="28"/>
        <v>0</v>
      </c>
      <c r="H739" s="123">
        <f>IF(AND(ISNUMBER(F739), F739&gt;4, COUNTIFS($A$2:A739, A739, $B$2:B739, B739, $C$2:C739, C739, $F$2:F739, "&gt;4")=1), 1, 0)</f>
        <v>1</v>
      </c>
      <c r="I739" s="10">
        <f t="shared" si="29"/>
        <v>0</v>
      </c>
      <c r="J739" s="10"/>
      <c r="K739" s="7"/>
      <c r="L739" s="7"/>
      <c r="M739" s="7"/>
      <c r="N739" s="10"/>
      <c r="O739" s="113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5.75" customHeight="1">
      <c r="A740" s="10" t="s">
        <v>20</v>
      </c>
      <c r="B740" s="7" t="s">
        <v>103</v>
      </c>
      <c r="C740" s="135">
        <v>46254</v>
      </c>
      <c r="D740" s="44" t="s">
        <v>215</v>
      </c>
      <c r="E740" s="35" t="s">
        <v>503</v>
      </c>
      <c r="F740" s="121">
        <v>8.1999999999999993</v>
      </c>
      <c r="G740" s="122">
        <f t="shared" si="28"/>
        <v>0</v>
      </c>
      <c r="H740" s="123">
        <f>IF(AND(ISNUMBER(F740), F740&gt;4, COUNTIFS($A$2:A740, A740, $B$2:B740, B740, $C$2:C740, C740, $F$2:F740, "&gt;4")=1), 1, 0)</f>
        <v>1</v>
      </c>
      <c r="I740" s="10">
        <f t="shared" si="29"/>
        <v>0</v>
      </c>
      <c r="J740" s="10"/>
      <c r="K740" s="7"/>
      <c r="L740" s="7"/>
      <c r="M740" s="7"/>
      <c r="N740" s="10"/>
      <c r="O740" s="113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5.75" customHeight="1">
      <c r="A741" s="10" t="s">
        <v>20</v>
      </c>
      <c r="B741" s="7" t="s">
        <v>103</v>
      </c>
      <c r="C741" s="135">
        <v>46255</v>
      </c>
      <c r="D741" s="44" t="s">
        <v>215</v>
      </c>
      <c r="E741" s="35" t="s">
        <v>522</v>
      </c>
      <c r="F741" s="121">
        <v>8.32</v>
      </c>
      <c r="G741" s="122">
        <f t="shared" si="28"/>
        <v>0</v>
      </c>
      <c r="H741" s="123">
        <f>IF(AND(ISNUMBER(F741), F741&gt;4, COUNTIFS($A$2:A741, A741, $B$2:B741, B741, $C$2:C741, C741, $F$2:F741, "&gt;4")=1), 1, 0)</f>
        <v>1</v>
      </c>
      <c r="I741" s="10">
        <f t="shared" si="29"/>
        <v>0</v>
      </c>
      <c r="J741" s="10"/>
      <c r="K741" s="7"/>
      <c r="L741" s="7"/>
      <c r="M741" s="7"/>
      <c r="N741" s="10"/>
      <c r="O741" s="113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5.75" customHeight="1">
      <c r="A742" s="10" t="s">
        <v>20</v>
      </c>
      <c r="B742" s="7" t="s">
        <v>103</v>
      </c>
      <c r="C742" s="135">
        <v>46256</v>
      </c>
      <c r="D742" s="44" t="s">
        <v>215</v>
      </c>
      <c r="E742" s="35" t="s">
        <v>280</v>
      </c>
      <c r="F742" s="121">
        <v>8.25</v>
      </c>
      <c r="G742" s="122">
        <f t="shared" si="28"/>
        <v>0</v>
      </c>
      <c r="H742" s="123">
        <f>IF(AND(ISNUMBER(F742), F742&gt;4, COUNTIFS($A$2:A742, A742, $B$2:B742, B742, $C$2:C742, C742, $F$2:F742, "&gt;4")=1), 1, 0)</f>
        <v>1</v>
      </c>
      <c r="I742" s="10">
        <f t="shared" si="29"/>
        <v>0</v>
      </c>
      <c r="J742" s="10"/>
      <c r="K742" s="7"/>
      <c r="L742" s="7"/>
      <c r="M742" s="7"/>
      <c r="N742" s="10"/>
      <c r="O742" s="113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5.75" customHeight="1">
      <c r="A743" s="10" t="s">
        <v>20</v>
      </c>
      <c r="B743" s="7" t="s">
        <v>103</v>
      </c>
      <c r="C743" s="135">
        <v>46257</v>
      </c>
      <c r="D743" s="44" t="s">
        <v>215</v>
      </c>
      <c r="E743" s="35" t="s">
        <v>490</v>
      </c>
      <c r="F743" s="121">
        <v>8.23</v>
      </c>
      <c r="G743" s="122">
        <f t="shared" si="28"/>
        <v>0</v>
      </c>
      <c r="H743" s="123">
        <f>IF(AND(ISNUMBER(F743), F743&gt;4, COUNTIFS($A$2:A743, A743, $B$2:B743, B743, $C$2:C743, C743, $F$2:F743, "&gt;4")=1), 1, 0)</f>
        <v>1</v>
      </c>
      <c r="I743" s="10">
        <f t="shared" si="29"/>
        <v>0</v>
      </c>
      <c r="J743" s="10"/>
      <c r="K743" s="7"/>
      <c r="L743" s="7"/>
      <c r="M743" s="7"/>
      <c r="N743" s="10"/>
      <c r="O743" s="113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5.75" customHeight="1">
      <c r="A744" s="10" t="s">
        <v>20</v>
      </c>
      <c r="B744" s="7" t="s">
        <v>103</v>
      </c>
      <c r="C744" s="135">
        <v>46258</v>
      </c>
      <c r="D744" s="44" t="s">
        <v>215</v>
      </c>
      <c r="E744" s="35" t="s">
        <v>516</v>
      </c>
      <c r="F744" s="121">
        <v>8.3699999999999992</v>
      </c>
      <c r="G744" s="122">
        <f t="shared" si="28"/>
        <v>0</v>
      </c>
      <c r="H744" s="123">
        <f>IF(AND(ISNUMBER(F744), F744&gt;4, COUNTIFS($A$2:A744, A744, $B$2:B744, B744, $C$2:C744, C744, $F$2:F744, "&gt;4")=1), 1, 0)</f>
        <v>1</v>
      </c>
      <c r="I744" s="10">
        <f t="shared" si="29"/>
        <v>0</v>
      </c>
      <c r="J744" s="10"/>
      <c r="K744" s="7"/>
      <c r="L744" s="7"/>
      <c r="M744" s="7"/>
      <c r="N744" s="10"/>
      <c r="O744" s="113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5.75" customHeight="1">
      <c r="A745" s="10" t="s">
        <v>20</v>
      </c>
      <c r="B745" s="7" t="s">
        <v>103</v>
      </c>
      <c r="C745" s="135">
        <v>46259</v>
      </c>
      <c r="D745" s="44" t="s">
        <v>215</v>
      </c>
      <c r="E745" s="35" t="s">
        <v>596</v>
      </c>
      <c r="F745" s="121">
        <v>8.4499999999999993</v>
      </c>
      <c r="G745" s="122">
        <f t="shared" si="28"/>
        <v>0</v>
      </c>
      <c r="H745" s="123">
        <f>IF(AND(ISNUMBER(F745), F745&gt;4, COUNTIFS($A$2:A745, A745, $B$2:B745, B745, $C$2:C745, C745, $F$2:F745, "&gt;4")=1), 1, 0)</f>
        <v>1</v>
      </c>
      <c r="I745" s="10">
        <f t="shared" si="29"/>
        <v>0</v>
      </c>
      <c r="J745" s="10"/>
      <c r="K745" s="7"/>
      <c r="L745" s="7"/>
      <c r="M745" s="7"/>
      <c r="N745" s="10"/>
      <c r="O745" s="113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5.75" customHeight="1">
      <c r="A746" s="10" t="s">
        <v>20</v>
      </c>
      <c r="B746" s="7" t="s">
        <v>103</v>
      </c>
      <c r="C746" s="135">
        <v>46260</v>
      </c>
      <c r="D746" s="44" t="s">
        <v>215</v>
      </c>
      <c r="E746" s="35" t="s">
        <v>497</v>
      </c>
      <c r="F746" s="121">
        <v>8.43</v>
      </c>
      <c r="G746" s="122">
        <f t="shared" si="28"/>
        <v>0</v>
      </c>
      <c r="H746" s="123">
        <f>IF(AND(ISNUMBER(F746), F746&gt;4, COUNTIFS($A$2:A746, A746, $B$2:B746, B746, $C$2:C746, C746, $F$2:F746, "&gt;4")=1), 1, 0)</f>
        <v>1</v>
      </c>
      <c r="I746" s="10">
        <f t="shared" si="29"/>
        <v>0</v>
      </c>
      <c r="J746" s="10"/>
      <c r="K746" s="7"/>
      <c r="L746" s="7"/>
      <c r="M746" s="7"/>
      <c r="N746" s="10"/>
      <c r="O746" s="113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5.75" customHeight="1">
      <c r="A747" s="10" t="s">
        <v>20</v>
      </c>
      <c r="B747" s="7" t="s">
        <v>103</v>
      </c>
      <c r="C747" s="135">
        <v>46263</v>
      </c>
      <c r="D747" s="44" t="s">
        <v>215</v>
      </c>
      <c r="E747" s="35" t="s">
        <v>590</v>
      </c>
      <c r="F747" s="121">
        <v>14.17</v>
      </c>
      <c r="G747" s="122">
        <f t="shared" si="28"/>
        <v>0</v>
      </c>
      <c r="H747" s="123">
        <f>IF(AND(ISNUMBER(F747), F747&gt;4, COUNTIFS($A$2:A747, A747, $B$2:B747, B747, $C$2:C747, C747, $F$2:F747, "&gt;4")=1), 1, 0)</f>
        <v>1</v>
      </c>
      <c r="I747" s="10">
        <f t="shared" si="29"/>
        <v>0</v>
      </c>
      <c r="J747" s="10"/>
      <c r="K747" s="7"/>
      <c r="L747" s="7"/>
      <c r="M747" s="7"/>
      <c r="N747" s="10"/>
      <c r="O747" s="113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5.75" customHeight="1">
      <c r="A748" s="10" t="s">
        <v>20</v>
      </c>
      <c r="B748" s="7" t="s">
        <v>103</v>
      </c>
      <c r="C748" s="135">
        <v>46264</v>
      </c>
      <c r="D748" s="44" t="s">
        <v>215</v>
      </c>
      <c r="E748" s="35" t="s">
        <v>622</v>
      </c>
      <c r="F748" s="121">
        <v>1.28</v>
      </c>
      <c r="G748" s="122">
        <f t="shared" si="28"/>
        <v>1</v>
      </c>
      <c r="H748" s="123">
        <f>IF(AND(ISNUMBER(F748), F748&gt;4, COUNTIFS($A$2:A748, A748, $B$2:B748, B748, $C$2:C748, C748, $F$2:F748, "&gt;4")=1), 1, 0)</f>
        <v>0</v>
      </c>
      <c r="I748" s="10">
        <f t="shared" si="29"/>
        <v>0</v>
      </c>
      <c r="J748" s="10"/>
      <c r="K748" s="7"/>
      <c r="L748" s="7"/>
      <c r="M748" s="7"/>
      <c r="N748" s="10"/>
      <c r="O748" s="113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5.75" customHeight="1">
      <c r="A749" s="10" t="s">
        <v>20</v>
      </c>
      <c r="B749" s="7" t="s">
        <v>103</v>
      </c>
      <c r="C749" s="135">
        <v>46236</v>
      </c>
      <c r="D749" s="44" t="s">
        <v>198</v>
      </c>
      <c r="E749" s="35" t="s">
        <v>305</v>
      </c>
      <c r="F749" s="121">
        <v>8.2799999999999994</v>
      </c>
      <c r="G749" s="122">
        <f t="shared" si="28"/>
        <v>0</v>
      </c>
      <c r="H749" s="123">
        <f>IF(AND(ISNUMBER(F749), F749&gt;4, COUNTIFS($A$2:A749, A749, $B$2:B749, B749, $C$2:C749, C749, $F$2:F749, "&gt;4")=1), 1, 0)</f>
        <v>1</v>
      </c>
      <c r="I749" s="10">
        <f t="shared" si="29"/>
        <v>0</v>
      </c>
      <c r="J749" s="10"/>
      <c r="K749" s="7"/>
      <c r="L749" s="7"/>
      <c r="M749" s="7"/>
      <c r="N749" s="10"/>
      <c r="O749" s="113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5.75" customHeight="1">
      <c r="A750" s="10" t="s">
        <v>20</v>
      </c>
      <c r="B750" s="7" t="s">
        <v>103</v>
      </c>
      <c r="C750" s="135">
        <v>46247</v>
      </c>
      <c r="D750" s="44" t="s">
        <v>198</v>
      </c>
      <c r="E750" s="35" t="s">
        <v>490</v>
      </c>
      <c r="F750" s="121">
        <v>8.23</v>
      </c>
      <c r="G750" s="122">
        <f t="shared" si="28"/>
        <v>0</v>
      </c>
      <c r="H750" s="123">
        <f>IF(AND(ISNUMBER(F750), F750&gt;4, COUNTIFS($A$2:A750, A750, $B$2:B750, B750, $C$2:C750, C750, $F$2:F750, "&gt;4")=1), 1, 0)</f>
        <v>1</v>
      </c>
      <c r="I750" s="10">
        <f t="shared" si="29"/>
        <v>0</v>
      </c>
      <c r="J750" s="10"/>
      <c r="K750" s="7"/>
      <c r="L750" s="7"/>
      <c r="M750" s="7"/>
      <c r="N750" s="10"/>
      <c r="O750" s="113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5.75" customHeight="1">
      <c r="A751" s="10" t="s">
        <v>20</v>
      </c>
      <c r="B751" s="7" t="s">
        <v>103</v>
      </c>
      <c r="C751" s="135">
        <v>46248</v>
      </c>
      <c r="D751" s="44" t="s">
        <v>198</v>
      </c>
      <c r="E751" s="35" t="s">
        <v>623</v>
      </c>
      <c r="F751" s="121">
        <v>10.93</v>
      </c>
      <c r="G751" s="122">
        <f t="shared" si="28"/>
        <v>0</v>
      </c>
      <c r="H751" s="123">
        <f>IF(AND(ISNUMBER(F751), F751&gt;4, COUNTIFS($A$2:A751, A751, $B$2:B751, B751, $C$2:C751, C751, $F$2:F751, "&gt;4")=1), 1, 0)</f>
        <v>1</v>
      </c>
      <c r="I751" s="10">
        <f t="shared" si="29"/>
        <v>0</v>
      </c>
      <c r="J751" s="10"/>
      <c r="K751" s="7"/>
      <c r="L751" s="7"/>
      <c r="M751" s="7"/>
      <c r="N751" s="10"/>
      <c r="O751" s="113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5.75" customHeight="1">
      <c r="A752" s="10" t="s">
        <v>20</v>
      </c>
      <c r="B752" s="7" t="s">
        <v>103</v>
      </c>
      <c r="C752" s="135">
        <v>46251</v>
      </c>
      <c r="D752" s="44" t="s">
        <v>198</v>
      </c>
      <c r="E752" s="35" t="s">
        <v>280</v>
      </c>
      <c r="F752" s="121">
        <v>8.25</v>
      </c>
      <c r="G752" s="122">
        <f t="shared" si="28"/>
        <v>0</v>
      </c>
      <c r="H752" s="123">
        <f>IF(AND(ISNUMBER(F752), F752&gt;4, COUNTIFS($A$2:A752, A752, $B$2:B752, B752, $C$2:C752, C752, $F$2:F752, "&gt;4")=1), 1, 0)</f>
        <v>1</v>
      </c>
      <c r="I752" s="10">
        <f t="shared" si="29"/>
        <v>0</v>
      </c>
      <c r="J752" s="10"/>
      <c r="K752" s="7"/>
      <c r="L752" s="7"/>
      <c r="M752" s="7"/>
      <c r="N752" s="10"/>
      <c r="O752" s="113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5.75" customHeight="1">
      <c r="A753" s="10" t="s">
        <v>20</v>
      </c>
      <c r="B753" s="7" t="s">
        <v>103</v>
      </c>
      <c r="C753" s="135">
        <v>46262</v>
      </c>
      <c r="D753" s="44" t="s">
        <v>198</v>
      </c>
      <c r="E753" s="35" t="s">
        <v>480</v>
      </c>
      <c r="F753" s="121">
        <v>7.97</v>
      </c>
      <c r="G753" s="122">
        <f t="shared" si="28"/>
        <v>0</v>
      </c>
      <c r="H753" s="123">
        <f>IF(AND(ISNUMBER(F753), F753&gt;4, COUNTIFS($A$2:A753, A753, $B$2:B753, B753, $C$2:C753, C753, $F$2:F753, "&gt;4")=1), 1, 0)</f>
        <v>1</v>
      </c>
      <c r="I753" s="10">
        <f t="shared" si="29"/>
        <v>0</v>
      </c>
      <c r="J753" s="10"/>
      <c r="K753" s="7"/>
      <c r="L753" s="7"/>
      <c r="M753" s="7"/>
      <c r="N753" s="10"/>
      <c r="O753" s="113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5.75" customHeight="1">
      <c r="A754" s="10" t="s">
        <v>21</v>
      </c>
      <c r="B754" s="7" t="s">
        <v>112</v>
      </c>
      <c r="C754" s="135">
        <v>46251</v>
      </c>
      <c r="D754" s="44" t="s">
        <v>191</v>
      </c>
      <c r="E754" s="35" t="s">
        <v>624</v>
      </c>
      <c r="F754" s="121">
        <v>3.1</v>
      </c>
      <c r="G754" s="122">
        <f t="shared" si="28"/>
        <v>1</v>
      </c>
      <c r="H754" s="123">
        <f>IF(AND(ISNUMBER(F754), F754&gt;4, COUNTIFS($A$2:A754, A754, $B$2:B754, B754, $C$2:C754, C754, $F$2:F754, "&gt;4")=1), 1, 0)</f>
        <v>0</v>
      </c>
      <c r="I754" s="10">
        <f t="shared" si="29"/>
        <v>0</v>
      </c>
      <c r="J754" s="10"/>
      <c r="K754" s="7"/>
      <c r="L754" s="7"/>
      <c r="M754" s="7"/>
      <c r="N754" s="10"/>
      <c r="O754" s="113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5.75" customHeight="1">
      <c r="A755" s="10" t="s">
        <v>21</v>
      </c>
      <c r="B755" s="7" t="s">
        <v>112</v>
      </c>
      <c r="C755" s="135">
        <v>46252</v>
      </c>
      <c r="D755" s="44" t="s">
        <v>191</v>
      </c>
      <c r="E755" s="35" t="s">
        <v>625</v>
      </c>
      <c r="F755" s="121">
        <v>0.62</v>
      </c>
      <c r="G755" s="122">
        <f t="shared" si="28"/>
        <v>1</v>
      </c>
      <c r="H755" s="123">
        <f>IF(AND(ISNUMBER(F755), F755&gt;4, COUNTIFS($A$2:A755, A755, $B$2:B755, B755, $C$2:C755, C755, $F$2:F755, "&gt;4")=1), 1, 0)</f>
        <v>0</v>
      </c>
      <c r="I755" s="10">
        <f t="shared" si="29"/>
        <v>0</v>
      </c>
      <c r="J755" s="10"/>
      <c r="K755" s="7"/>
      <c r="L755" s="7"/>
      <c r="M755" s="7"/>
      <c r="N755" s="10"/>
      <c r="O755" s="113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5.75" customHeight="1">
      <c r="A756" s="10" t="s">
        <v>21</v>
      </c>
      <c r="B756" s="7" t="s">
        <v>112</v>
      </c>
      <c r="C756" s="135">
        <v>46253</v>
      </c>
      <c r="D756" s="44" t="s">
        <v>191</v>
      </c>
      <c r="E756" s="35" t="s">
        <v>626</v>
      </c>
      <c r="F756" s="121">
        <v>2.83</v>
      </c>
      <c r="G756" s="122">
        <f t="shared" si="28"/>
        <v>1</v>
      </c>
      <c r="H756" s="123">
        <f>IF(AND(ISNUMBER(F756), F756&gt;4, COUNTIFS($A$2:A756, A756, $B$2:B756, B756, $C$2:C756, C756, $F$2:F756, "&gt;4")=1), 1, 0)</f>
        <v>0</v>
      </c>
      <c r="I756" s="10">
        <f t="shared" si="29"/>
        <v>0</v>
      </c>
      <c r="J756" s="10"/>
      <c r="K756" s="7"/>
      <c r="L756" s="7"/>
      <c r="M756" s="7"/>
      <c r="N756" s="10"/>
      <c r="O756" s="113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5.75" customHeight="1">
      <c r="A757" s="10" t="s">
        <v>21</v>
      </c>
      <c r="B757" s="7" t="s">
        <v>112</v>
      </c>
      <c r="C757" s="135">
        <v>46258</v>
      </c>
      <c r="D757" s="44" t="s">
        <v>191</v>
      </c>
      <c r="E757" s="35" t="s">
        <v>627</v>
      </c>
      <c r="F757" s="121">
        <v>1.97</v>
      </c>
      <c r="G757" s="122">
        <f t="shared" si="28"/>
        <v>1</v>
      </c>
      <c r="H757" s="123">
        <f>IF(AND(ISNUMBER(F757), F757&gt;4, COUNTIFS($A$2:A757, A757, $B$2:B757, B757, $C$2:C757, C757, $F$2:F757, "&gt;4")=1), 1, 0)</f>
        <v>0</v>
      </c>
      <c r="I757" s="10">
        <f t="shared" si="29"/>
        <v>0</v>
      </c>
      <c r="J757" s="10"/>
      <c r="K757" s="7"/>
      <c r="L757" s="7"/>
      <c r="M757" s="7"/>
      <c r="N757" s="10"/>
      <c r="O757" s="113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5.75" customHeight="1">
      <c r="A758" s="10" t="s">
        <v>21</v>
      </c>
      <c r="B758" s="7" t="s">
        <v>112</v>
      </c>
      <c r="C758" s="135">
        <v>46260</v>
      </c>
      <c r="D758" s="44" t="s">
        <v>191</v>
      </c>
      <c r="E758" s="35" t="s">
        <v>628</v>
      </c>
      <c r="F758" s="121">
        <v>3.37</v>
      </c>
      <c r="G758" s="122">
        <f t="shared" si="28"/>
        <v>1</v>
      </c>
      <c r="H758" s="123">
        <f>IF(AND(ISNUMBER(F758), F758&gt;4, COUNTIFS($A$2:A758, A758, $B$2:B758, B758, $C$2:C758, C758, $F$2:F758, "&gt;4")=1), 1, 0)</f>
        <v>0</v>
      </c>
      <c r="I758" s="10">
        <f t="shared" si="29"/>
        <v>0</v>
      </c>
      <c r="J758" s="10"/>
      <c r="K758" s="7"/>
      <c r="L758" s="7"/>
      <c r="M758" s="7"/>
      <c r="N758" s="10"/>
      <c r="O758" s="113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5.75" customHeight="1">
      <c r="A759" s="10" t="s">
        <v>21</v>
      </c>
      <c r="B759" s="7" t="s">
        <v>112</v>
      </c>
      <c r="C759" s="135">
        <v>46265</v>
      </c>
      <c r="D759" s="44" t="s">
        <v>191</v>
      </c>
      <c r="E759" s="35" t="s">
        <v>551</v>
      </c>
      <c r="F759" s="121">
        <v>0.7</v>
      </c>
      <c r="G759" s="122">
        <f t="shared" si="28"/>
        <v>1</v>
      </c>
      <c r="H759" s="123">
        <f>IF(AND(ISNUMBER(F759), F759&gt;4, COUNTIFS($A$2:A759, A759, $B$2:B759, B759, $C$2:C759, C759, $F$2:F759, "&gt;4")=1), 1, 0)</f>
        <v>0</v>
      </c>
      <c r="I759" s="10">
        <f t="shared" si="29"/>
        <v>0</v>
      </c>
      <c r="J759" s="10"/>
      <c r="K759" s="7"/>
      <c r="L759" s="7"/>
      <c r="M759" s="7"/>
      <c r="N759" s="10"/>
      <c r="O759" s="113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5.75" customHeight="1">
      <c r="A760" s="10" t="s">
        <v>21</v>
      </c>
      <c r="B760" s="7" t="s">
        <v>112</v>
      </c>
      <c r="C760" s="135">
        <v>46235</v>
      </c>
      <c r="D760" s="44" t="s">
        <v>317</v>
      </c>
      <c r="E760" s="35" t="s">
        <v>629</v>
      </c>
      <c r="F760" s="121">
        <v>2.1800000000000002</v>
      </c>
      <c r="G760" s="122">
        <f t="shared" si="28"/>
        <v>1</v>
      </c>
      <c r="H760" s="123">
        <f>IF(AND(ISNUMBER(F760), F760&gt;4, COUNTIFS($A$2:A760, A760, $B$2:B760, B760, $C$2:C760, C760, $F$2:F760, "&gt;4")=1), 1, 0)</f>
        <v>0</v>
      </c>
      <c r="I760" s="10">
        <f t="shared" si="29"/>
        <v>0</v>
      </c>
      <c r="J760" s="10"/>
      <c r="K760" s="7"/>
      <c r="L760" s="7"/>
      <c r="M760" s="7"/>
      <c r="N760" s="10"/>
      <c r="O760" s="113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5.75" customHeight="1">
      <c r="A761" s="10" t="s">
        <v>21</v>
      </c>
      <c r="B761" s="7" t="s">
        <v>112</v>
      </c>
      <c r="C761" s="135">
        <v>46237</v>
      </c>
      <c r="D761" s="44" t="s">
        <v>317</v>
      </c>
      <c r="E761" s="35" t="s">
        <v>556</v>
      </c>
      <c r="F761" s="121">
        <v>2.0499999999999998</v>
      </c>
      <c r="G761" s="122">
        <f t="shared" si="28"/>
        <v>1</v>
      </c>
      <c r="H761" s="123">
        <f>IF(AND(ISNUMBER(F761), F761&gt;4, COUNTIFS($A$2:A761, A761, $B$2:B761, B761, $C$2:C761, C761, $F$2:F761, "&gt;4")=1), 1, 0)</f>
        <v>0</v>
      </c>
      <c r="I761" s="10">
        <f t="shared" si="29"/>
        <v>0</v>
      </c>
      <c r="J761" s="10"/>
      <c r="K761" s="7"/>
      <c r="L761" s="7"/>
      <c r="M761" s="7"/>
      <c r="N761" s="10"/>
      <c r="O761" s="113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5.75" customHeight="1">
      <c r="A762" s="10" t="s">
        <v>21</v>
      </c>
      <c r="B762" s="7" t="s">
        <v>112</v>
      </c>
      <c r="C762" s="135">
        <v>46238</v>
      </c>
      <c r="D762" s="44" t="s">
        <v>317</v>
      </c>
      <c r="E762" s="35" t="s">
        <v>630</v>
      </c>
      <c r="F762" s="121">
        <v>2.02</v>
      </c>
      <c r="G762" s="122">
        <f t="shared" si="28"/>
        <v>1</v>
      </c>
      <c r="H762" s="123">
        <f>IF(AND(ISNUMBER(F762), F762&gt;4, COUNTIFS($A$2:A762, A762, $B$2:B762, B762, $C$2:C762, C762, $F$2:F762, "&gt;4")=1), 1, 0)</f>
        <v>0</v>
      </c>
      <c r="I762" s="10">
        <f t="shared" si="29"/>
        <v>0</v>
      </c>
      <c r="J762" s="10"/>
      <c r="K762" s="7"/>
      <c r="L762" s="7"/>
      <c r="M762" s="7"/>
      <c r="N762" s="10"/>
      <c r="O762" s="113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5.75" customHeight="1">
      <c r="A763" s="10" t="s">
        <v>21</v>
      </c>
      <c r="B763" s="7" t="s">
        <v>112</v>
      </c>
      <c r="C763" s="135">
        <v>46239</v>
      </c>
      <c r="D763" s="44" t="s">
        <v>317</v>
      </c>
      <c r="E763" s="35" t="s">
        <v>631</v>
      </c>
      <c r="F763" s="121">
        <v>1.95</v>
      </c>
      <c r="G763" s="122">
        <f t="shared" si="28"/>
        <v>1</v>
      </c>
      <c r="H763" s="123">
        <f>IF(AND(ISNUMBER(F763), F763&gt;4, COUNTIFS($A$2:A763, A763, $B$2:B763, B763, $C$2:C763, C763, $F$2:F763, "&gt;4")=1), 1, 0)</f>
        <v>0</v>
      </c>
      <c r="I763" s="10">
        <f t="shared" si="29"/>
        <v>0</v>
      </c>
      <c r="J763" s="10"/>
      <c r="K763" s="7"/>
      <c r="L763" s="7"/>
      <c r="M763" s="7"/>
      <c r="N763" s="10"/>
      <c r="O763" s="113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5.75" customHeight="1">
      <c r="A764" s="10" t="s">
        <v>21</v>
      </c>
      <c r="B764" s="7" t="s">
        <v>112</v>
      </c>
      <c r="C764" s="135">
        <v>46241</v>
      </c>
      <c r="D764" s="44" t="s">
        <v>317</v>
      </c>
      <c r="E764" s="35" t="s">
        <v>282</v>
      </c>
      <c r="F764" s="121">
        <v>2</v>
      </c>
      <c r="G764" s="122">
        <f t="shared" si="28"/>
        <v>1</v>
      </c>
      <c r="H764" s="123">
        <f>IF(AND(ISNUMBER(F764), F764&gt;4, COUNTIFS($A$2:A764, A764, $B$2:B764, B764, $C$2:C764, C764, $F$2:F764, "&gt;4")=1), 1, 0)</f>
        <v>0</v>
      </c>
      <c r="I764" s="10">
        <f t="shared" si="29"/>
        <v>0</v>
      </c>
      <c r="J764" s="10"/>
      <c r="K764" s="7"/>
      <c r="L764" s="7"/>
      <c r="M764" s="7"/>
      <c r="N764" s="10"/>
      <c r="O764" s="113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5.75" customHeight="1">
      <c r="A765" s="10" t="s">
        <v>21</v>
      </c>
      <c r="B765" s="7" t="s">
        <v>112</v>
      </c>
      <c r="C765" s="135">
        <v>46243</v>
      </c>
      <c r="D765" s="44" t="s">
        <v>317</v>
      </c>
      <c r="E765" s="35" t="s">
        <v>632</v>
      </c>
      <c r="F765" s="121">
        <v>2.1</v>
      </c>
      <c r="G765" s="122">
        <f t="shared" si="28"/>
        <v>1</v>
      </c>
      <c r="H765" s="123">
        <f>IF(AND(ISNUMBER(F765), F765&gt;4, COUNTIFS($A$2:A765, A765, $B$2:B765, B765, $C$2:C765, C765, $F$2:F765, "&gt;4")=1), 1, 0)</f>
        <v>0</v>
      </c>
      <c r="I765" s="10">
        <f t="shared" si="29"/>
        <v>0</v>
      </c>
      <c r="J765" s="10"/>
      <c r="K765" s="7"/>
      <c r="L765" s="7"/>
      <c r="M765" s="7"/>
      <c r="N765" s="10"/>
      <c r="O765" s="113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5.75" customHeight="1">
      <c r="A766" s="10" t="s">
        <v>21</v>
      </c>
      <c r="B766" s="7" t="s">
        <v>112</v>
      </c>
      <c r="C766" s="135">
        <v>46244</v>
      </c>
      <c r="D766" s="44" t="s">
        <v>317</v>
      </c>
      <c r="E766" s="35" t="s">
        <v>556</v>
      </c>
      <c r="F766" s="121">
        <v>2.0499999999999998</v>
      </c>
      <c r="G766" s="122">
        <f t="shared" si="28"/>
        <v>1</v>
      </c>
      <c r="H766" s="123">
        <f>IF(AND(ISNUMBER(F766), F766&gt;4, COUNTIFS($A$2:A766, A766, $B$2:B766, B766, $C$2:C766, C766, $F$2:F766, "&gt;4")=1), 1, 0)</f>
        <v>0</v>
      </c>
      <c r="I766" s="10">
        <f t="shared" si="29"/>
        <v>0</v>
      </c>
      <c r="J766" s="10"/>
      <c r="K766" s="7"/>
      <c r="L766" s="7"/>
      <c r="M766" s="7"/>
      <c r="N766" s="10"/>
      <c r="O766" s="113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5.75" customHeight="1">
      <c r="A767" s="10" t="s">
        <v>21</v>
      </c>
      <c r="B767" s="7" t="s">
        <v>112</v>
      </c>
      <c r="C767" s="135">
        <v>46245</v>
      </c>
      <c r="D767" s="44" t="s">
        <v>317</v>
      </c>
      <c r="E767" s="35" t="s">
        <v>633</v>
      </c>
      <c r="F767" s="121">
        <v>2.0699999999999998</v>
      </c>
      <c r="G767" s="122">
        <f t="shared" si="28"/>
        <v>1</v>
      </c>
      <c r="H767" s="123">
        <f>IF(AND(ISNUMBER(F767), F767&gt;4, COUNTIFS($A$2:A767, A767, $B$2:B767, B767, $C$2:C767, C767, $F$2:F767, "&gt;4")=1), 1, 0)</f>
        <v>0</v>
      </c>
      <c r="I767" s="10">
        <f t="shared" si="29"/>
        <v>0</v>
      </c>
      <c r="J767" s="10"/>
      <c r="K767" s="7"/>
      <c r="L767" s="7"/>
      <c r="M767" s="7"/>
      <c r="N767" s="10"/>
      <c r="O767" s="113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5.75" customHeight="1">
      <c r="A768" s="10" t="s">
        <v>21</v>
      </c>
      <c r="B768" s="7" t="s">
        <v>112</v>
      </c>
      <c r="C768" s="135">
        <v>46247</v>
      </c>
      <c r="D768" s="44" t="s">
        <v>317</v>
      </c>
      <c r="E768" s="35" t="s">
        <v>631</v>
      </c>
      <c r="F768" s="121">
        <v>1.95</v>
      </c>
      <c r="G768" s="122">
        <f t="shared" si="28"/>
        <v>1</v>
      </c>
      <c r="H768" s="123">
        <f>IF(AND(ISNUMBER(F768), F768&gt;4, COUNTIFS($A$2:A768, A768, $B$2:B768, B768, $C$2:C768, C768, $F$2:F768, "&gt;4")=1), 1, 0)</f>
        <v>0</v>
      </c>
      <c r="I768" s="10">
        <f t="shared" si="29"/>
        <v>0</v>
      </c>
      <c r="J768" s="10"/>
      <c r="K768" s="7"/>
      <c r="L768" s="7"/>
      <c r="M768" s="7"/>
      <c r="N768" s="10"/>
      <c r="O768" s="113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5.75" customHeight="1">
      <c r="A769" s="10" t="s">
        <v>21</v>
      </c>
      <c r="B769" s="7" t="s">
        <v>112</v>
      </c>
      <c r="C769" s="135">
        <v>46249</v>
      </c>
      <c r="D769" s="44" t="s">
        <v>317</v>
      </c>
      <c r="E769" s="35" t="s">
        <v>633</v>
      </c>
      <c r="F769" s="121">
        <v>2.0699999999999998</v>
      </c>
      <c r="G769" s="122">
        <f t="shared" si="28"/>
        <v>1</v>
      </c>
      <c r="H769" s="123">
        <f>IF(AND(ISNUMBER(F769), F769&gt;4, COUNTIFS($A$2:A769, A769, $B$2:B769, B769, $C$2:C769, C769, $F$2:F769, "&gt;4")=1), 1, 0)</f>
        <v>0</v>
      </c>
      <c r="I769" s="10">
        <f t="shared" si="29"/>
        <v>0</v>
      </c>
      <c r="J769" s="10"/>
      <c r="K769" s="7"/>
      <c r="L769" s="7"/>
      <c r="M769" s="7"/>
      <c r="N769" s="10"/>
      <c r="O769" s="113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5.75" customHeight="1">
      <c r="A770" s="10" t="s">
        <v>21</v>
      </c>
      <c r="B770" s="7" t="s">
        <v>112</v>
      </c>
      <c r="C770" s="135">
        <v>46252</v>
      </c>
      <c r="D770" s="44" t="s">
        <v>317</v>
      </c>
      <c r="E770" s="35" t="s">
        <v>631</v>
      </c>
      <c r="F770" s="121">
        <v>1.95</v>
      </c>
      <c r="G770" s="122">
        <f t="shared" ref="G770:G833" si="30">IF(AND(ISNUMBER(F770), F770&lt;=4), 1, 0)</f>
        <v>1</v>
      </c>
      <c r="H770" s="123">
        <f>IF(AND(ISNUMBER(F770), F770&gt;4, COUNTIFS($A$2:A770, A770, $B$2:B770, B770, $C$2:C770, C770, $F$2:F770, "&gt;4")=1), 1, 0)</f>
        <v>0</v>
      </c>
      <c r="I770" s="10">
        <f t="shared" ref="I770:I833" si="31">IF(AND(ISNUMBER(F770), F770&gt;4, ISNUMBER(SEARCH("đêm", D770))), 1, 0)</f>
        <v>0</v>
      </c>
      <c r="J770" s="10"/>
      <c r="K770" s="7"/>
      <c r="L770" s="7"/>
      <c r="M770" s="7"/>
      <c r="N770" s="10"/>
      <c r="O770" s="113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5.75" customHeight="1">
      <c r="A771" s="10" t="s">
        <v>21</v>
      </c>
      <c r="B771" s="7" t="s">
        <v>112</v>
      </c>
      <c r="C771" s="135">
        <v>46254</v>
      </c>
      <c r="D771" s="44" t="s">
        <v>317</v>
      </c>
      <c r="E771" s="35" t="s">
        <v>634</v>
      </c>
      <c r="F771" s="121">
        <v>1.93</v>
      </c>
      <c r="G771" s="122">
        <f t="shared" si="30"/>
        <v>1</v>
      </c>
      <c r="H771" s="123">
        <f>IF(AND(ISNUMBER(F771), F771&gt;4, COUNTIFS($A$2:A771, A771, $B$2:B771, B771, $C$2:C771, C771, $F$2:F771, "&gt;4")=1), 1, 0)</f>
        <v>0</v>
      </c>
      <c r="I771" s="10">
        <f t="shared" si="31"/>
        <v>0</v>
      </c>
      <c r="J771" s="10"/>
      <c r="K771" s="7"/>
      <c r="L771" s="7"/>
      <c r="M771" s="7"/>
      <c r="N771" s="10"/>
      <c r="O771" s="113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5.75" customHeight="1">
      <c r="A772" s="10" t="s">
        <v>21</v>
      </c>
      <c r="B772" s="7" t="s">
        <v>112</v>
      </c>
      <c r="C772" s="135">
        <v>46255</v>
      </c>
      <c r="D772" s="44" t="s">
        <v>317</v>
      </c>
      <c r="E772" s="35" t="s">
        <v>282</v>
      </c>
      <c r="F772" s="121">
        <v>2</v>
      </c>
      <c r="G772" s="122">
        <f t="shared" si="30"/>
        <v>1</v>
      </c>
      <c r="H772" s="123">
        <f>IF(AND(ISNUMBER(F772), F772&gt;4, COUNTIFS($A$2:A772, A772, $B$2:B772, B772, $C$2:C772, C772, $F$2:F772, "&gt;4")=1), 1, 0)</f>
        <v>0</v>
      </c>
      <c r="I772" s="10">
        <f t="shared" si="31"/>
        <v>0</v>
      </c>
      <c r="J772" s="10"/>
      <c r="K772" s="7"/>
      <c r="L772" s="7"/>
      <c r="M772" s="7"/>
      <c r="N772" s="10"/>
      <c r="O772" s="113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5.75" customHeight="1">
      <c r="A773" s="10" t="s">
        <v>21</v>
      </c>
      <c r="B773" s="7" t="s">
        <v>112</v>
      </c>
      <c r="C773" s="135">
        <v>46256</v>
      </c>
      <c r="D773" s="44" t="s">
        <v>317</v>
      </c>
      <c r="E773" s="35" t="s">
        <v>632</v>
      </c>
      <c r="F773" s="121">
        <v>2.1</v>
      </c>
      <c r="G773" s="122">
        <f t="shared" si="30"/>
        <v>1</v>
      </c>
      <c r="H773" s="123">
        <f>IF(AND(ISNUMBER(F773), F773&gt;4, COUNTIFS($A$2:A773, A773, $B$2:B773, B773, $C$2:C773, C773, $F$2:F773, "&gt;4")=1), 1, 0)</f>
        <v>0</v>
      </c>
      <c r="I773" s="10">
        <f t="shared" si="31"/>
        <v>0</v>
      </c>
      <c r="J773" s="10"/>
      <c r="K773" s="7"/>
      <c r="L773" s="7"/>
      <c r="M773" s="7"/>
      <c r="N773" s="10"/>
      <c r="O773" s="113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5.75" customHeight="1">
      <c r="A774" s="10" t="s">
        <v>21</v>
      </c>
      <c r="B774" s="7" t="s">
        <v>112</v>
      </c>
      <c r="C774" s="135">
        <v>46262</v>
      </c>
      <c r="D774" s="44" t="s">
        <v>317</v>
      </c>
      <c r="E774" s="35" t="s">
        <v>635</v>
      </c>
      <c r="F774" s="121">
        <v>1.22</v>
      </c>
      <c r="G774" s="122">
        <f t="shared" si="30"/>
        <v>1</v>
      </c>
      <c r="H774" s="123">
        <f>IF(AND(ISNUMBER(F774), F774&gt;4, COUNTIFS($A$2:A774, A774, $B$2:B774, B774, $C$2:C774, C774, $F$2:F774, "&gt;4")=1), 1, 0)</f>
        <v>0</v>
      </c>
      <c r="I774" s="10">
        <f t="shared" si="31"/>
        <v>0</v>
      </c>
      <c r="J774" s="10"/>
      <c r="K774" s="7"/>
      <c r="L774" s="7"/>
      <c r="M774" s="7"/>
      <c r="N774" s="10"/>
      <c r="O774" s="113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5.75" customHeight="1">
      <c r="A775" s="10" t="s">
        <v>21</v>
      </c>
      <c r="B775" s="7" t="s">
        <v>112</v>
      </c>
      <c r="C775" s="135">
        <v>46264</v>
      </c>
      <c r="D775" s="44" t="s">
        <v>317</v>
      </c>
      <c r="E775" s="35" t="s">
        <v>556</v>
      </c>
      <c r="F775" s="121">
        <v>2.0499999999999998</v>
      </c>
      <c r="G775" s="122">
        <f t="shared" si="30"/>
        <v>1</v>
      </c>
      <c r="H775" s="123">
        <f>IF(AND(ISNUMBER(F775), F775&gt;4, COUNTIFS($A$2:A775, A775, $B$2:B775, B775, $C$2:C775, C775, $F$2:F775, "&gt;4")=1), 1, 0)</f>
        <v>0</v>
      </c>
      <c r="I775" s="10">
        <f t="shared" si="31"/>
        <v>0</v>
      </c>
      <c r="J775" s="10"/>
      <c r="K775" s="7"/>
      <c r="L775" s="7"/>
      <c r="M775" s="7"/>
      <c r="N775" s="10"/>
      <c r="O775" s="113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5.75" customHeight="1">
      <c r="A776" s="10" t="s">
        <v>21</v>
      </c>
      <c r="B776" s="7" t="s">
        <v>112</v>
      </c>
      <c r="C776" s="135">
        <v>46265</v>
      </c>
      <c r="D776" s="44" t="s">
        <v>317</v>
      </c>
      <c r="E776" s="35" t="s">
        <v>209</v>
      </c>
      <c r="F776" s="121">
        <v>2.0299999999999998</v>
      </c>
      <c r="G776" s="122">
        <f t="shared" si="30"/>
        <v>1</v>
      </c>
      <c r="H776" s="123">
        <f>IF(AND(ISNUMBER(F776), F776&gt;4, COUNTIFS($A$2:A776, A776, $B$2:B776, B776, $C$2:C776, C776, $F$2:F776, "&gt;4")=1), 1, 0)</f>
        <v>0</v>
      </c>
      <c r="I776" s="10">
        <f t="shared" si="31"/>
        <v>0</v>
      </c>
      <c r="J776" s="10"/>
      <c r="K776" s="7"/>
      <c r="L776" s="7"/>
      <c r="M776" s="7"/>
      <c r="N776" s="10"/>
      <c r="O776" s="113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5.75" customHeight="1">
      <c r="A777" s="10" t="s">
        <v>21</v>
      </c>
      <c r="B777" s="7" t="s">
        <v>112</v>
      </c>
      <c r="C777" s="135">
        <v>46235</v>
      </c>
      <c r="D777" s="44" t="s">
        <v>267</v>
      </c>
      <c r="E777" s="35" t="s">
        <v>474</v>
      </c>
      <c r="F777" s="121">
        <v>7.9</v>
      </c>
      <c r="G777" s="122">
        <f t="shared" si="30"/>
        <v>0</v>
      </c>
      <c r="H777" s="123">
        <f>IF(AND(ISNUMBER(F777), F777&gt;4, COUNTIFS($A$2:A777, A777, $B$2:B777, B777, $C$2:C777, C777, $F$2:F777, "&gt;4")=1), 1, 0)</f>
        <v>1</v>
      </c>
      <c r="I777" s="10">
        <f t="shared" si="31"/>
        <v>1</v>
      </c>
      <c r="J777" s="10"/>
      <c r="K777" s="7"/>
      <c r="L777" s="7"/>
      <c r="M777" s="7"/>
      <c r="N777" s="10"/>
      <c r="O777" s="113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5.75" customHeight="1">
      <c r="A778" s="10" t="s">
        <v>21</v>
      </c>
      <c r="B778" s="7" t="s">
        <v>112</v>
      </c>
      <c r="C778" s="135">
        <v>46237</v>
      </c>
      <c r="D778" s="44" t="s">
        <v>267</v>
      </c>
      <c r="E778" s="35" t="s">
        <v>239</v>
      </c>
      <c r="F778" s="121">
        <v>8.07</v>
      </c>
      <c r="G778" s="122">
        <f t="shared" si="30"/>
        <v>0</v>
      </c>
      <c r="H778" s="123">
        <f>IF(AND(ISNUMBER(F778), F778&gt;4, COUNTIFS($A$2:A778, A778, $B$2:B778, B778, $C$2:C778, C778, $F$2:F778, "&gt;4")=1), 1, 0)</f>
        <v>1</v>
      </c>
      <c r="I778" s="10">
        <f t="shared" si="31"/>
        <v>1</v>
      </c>
      <c r="J778" s="10"/>
      <c r="K778" s="7"/>
      <c r="L778" s="7"/>
      <c r="M778" s="7"/>
      <c r="N778" s="10"/>
      <c r="O778" s="113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5.75" customHeight="1">
      <c r="A779" s="10" t="s">
        <v>21</v>
      </c>
      <c r="B779" s="7" t="s">
        <v>112</v>
      </c>
      <c r="C779" s="135">
        <v>46238</v>
      </c>
      <c r="D779" s="44" t="s">
        <v>267</v>
      </c>
      <c r="E779" s="35" t="s">
        <v>239</v>
      </c>
      <c r="F779" s="121">
        <v>8.07</v>
      </c>
      <c r="G779" s="122">
        <f t="shared" si="30"/>
        <v>0</v>
      </c>
      <c r="H779" s="123">
        <f>IF(AND(ISNUMBER(F779), F779&gt;4, COUNTIFS($A$2:A779, A779, $B$2:B779, B779, $C$2:C779, C779, $F$2:F779, "&gt;4")=1), 1, 0)</f>
        <v>1</v>
      </c>
      <c r="I779" s="10">
        <f t="shared" si="31"/>
        <v>1</v>
      </c>
      <c r="J779" s="10"/>
      <c r="K779" s="7"/>
      <c r="L779" s="7"/>
      <c r="M779" s="7"/>
      <c r="N779" s="10"/>
      <c r="O779" s="113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5.75" customHeight="1">
      <c r="A780" s="10" t="s">
        <v>21</v>
      </c>
      <c r="B780" s="7" t="s">
        <v>112</v>
      </c>
      <c r="C780" s="135">
        <v>46239</v>
      </c>
      <c r="D780" s="44" t="s">
        <v>267</v>
      </c>
      <c r="E780" s="35" t="s">
        <v>214</v>
      </c>
      <c r="F780" s="121">
        <v>8.08</v>
      </c>
      <c r="G780" s="122">
        <f t="shared" si="30"/>
        <v>0</v>
      </c>
      <c r="H780" s="123">
        <f>IF(AND(ISNUMBER(F780), F780&gt;4, COUNTIFS($A$2:A780, A780, $B$2:B780, B780, $C$2:C780, C780, $F$2:F780, "&gt;4")=1), 1, 0)</f>
        <v>1</v>
      </c>
      <c r="I780" s="10">
        <f t="shared" si="31"/>
        <v>1</v>
      </c>
      <c r="J780" s="10"/>
      <c r="K780" s="7"/>
      <c r="L780" s="7"/>
      <c r="M780" s="7"/>
      <c r="N780" s="10"/>
      <c r="O780" s="113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5.75" customHeight="1">
      <c r="A781" s="10" t="s">
        <v>21</v>
      </c>
      <c r="B781" s="7" t="s">
        <v>112</v>
      </c>
      <c r="C781" s="135">
        <v>46240</v>
      </c>
      <c r="D781" s="44" t="s">
        <v>267</v>
      </c>
      <c r="E781" s="35" t="s">
        <v>239</v>
      </c>
      <c r="F781" s="121">
        <v>8.07</v>
      </c>
      <c r="G781" s="122">
        <f t="shared" si="30"/>
        <v>0</v>
      </c>
      <c r="H781" s="123">
        <f>IF(AND(ISNUMBER(F781), F781&gt;4, COUNTIFS($A$2:A781, A781, $B$2:B781, B781, $C$2:C781, C781, $F$2:F781, "&gt;4")=1), 1, 0)</f>
        <v>1</v>
      </c>
      <c r="I781" s="10">
        <f t="shared" si="31"/>
        <v>1</v>
      </c>
      <c r="J781" s="10"/>
      <c r="K781" s="7"/>
      <c r="L781" s="7"/>
      <c r="M781" s="7"/>
      <c r="N781" s="10"/>
      <c r="O781" s="113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5.75" customHeight="1">
      <c r="A782" s="10" t="s">
        <v>21</v>
      </c>
      <c r="B782" s="7" t="s">
        <v>112</v>
      </c>
      <c r="C782" s="135">
        <v>46241</v>
      </c>
      <c r="D782" s="44" t="s">
        <v>267</v>
      </c>
      <c r="E782" s="35" t="s">
        <v>329</v>
      </c>
      <c r="F782" s="121">
        <v>8.0299999999999994</v>
      </c>
      <c r="G782" s="122">
        <f t="shared" si="30"/>
        <v>0</v>
      </c>
      <c r="H782" s="123">
        <f>IF(AND(ISNUMBER(F782), F782&gt;4, COUNTIFS($A$2:A782, A782, $B$2:B782, B782, $C$2:C782, C782, $F$2:F782, "&gt;4")=1), 1, 0)</f>
        <v>1</v>
      </c>
      <c r="I782" s="10">
        <f t="shared" si="31"/>
        <v>1</v>
      </c>
      <c r="J782" s="10"/>
      <c r="K782" s="7"/>
      <c r="L782" s="7"/>
      <c r="M782" s="7"/>
      <c r="N782" s="10"/>
      <c r="O782" s="113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5.75" customHeight="1">
      <c r="A783" s="10" t="s">
        <v>21</v>
      </c>
      <c r="B783" s="7" t="s">
        <v>112</v>
      </c>
      <c r="C783" s="135">
        <v>46243</v>
      </c>
      <c r="D783" s="44" t="s">
        <v>267</v>
      </c>
      <c r="E783" s="35" t="s">
        <v>214</v>
      </c>
      <c r="F783" s="121">
        <v>8.08</v>
      </c>
      <c r="G783" s="122">
        <f t="shared" si="30"/>
        <v>0</v>
      </c>
      <c r="H783" s="123">
        <f>IF(AND(ISNUMBER(F783), F783&gt;4, COUNTIFS($A$2:A783, A783, $B$2:B783, B783, $C$2:C783, C783, $F$2:F783, "&gt;4")=1), 1, 0)</f>
        <v>1</v>
      </c>
      <c r="I783" s="10">
        <f t="shared" si="31"/>
        <v>1</v>
      </c>
      <c r="J783" s="10"/>
      <c r="K783" s="7"/>
      <c r="L783" s="7"/>
      <c r="M783" s="7"/>
      <c r="N783" s="10"/>
      <c r="O783" s="113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5.75" customHeight="1">
      <c r="A784" s="10" t="s">
        <v>21</v>
      </c>
      <c r="B784" s="7" t="s">
        <v>112</v>
      </c>
      <c r="C784" s="135">
        <v>46244</v>
      </c>
      <c r="D784" s="44" t="s">
        <v>267</v>
      </c>
      <c r="E784" s="35" t="s">
        <v>214</v>
      </c>
      <c r="F784" s="121">
        <v>8.08</v>
      </c>
      <c r="G784" s="122">
        <f t="shared" si="30"/>
        <v>0</v>
      </c>
      <c r="H784" s="123">
        <f>IF(AND(ISNUMBER(F784), F784&gt;4, COUNTIFS($A$2:A784, A784, $B$2:B784, B784, $C$2:C784, C784, $F$2:F784, "&gt;4")=1), 1, 0)</f>
        <v>1</v>
      </c>
      <c r="I784" s="10">
        <f t="shared" si="31"/>
        <v>1</v>
      </c>
      <c r="J784" s="10"/>
      <c r="K784" s="7"/>
      <c r="L784" s="7"/>
      <c r="M784" s="7"/>
      <c r="N784" s="10"/>
      <c r="O784" s="113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5.75" customHeight="1">
      <c r="A785" s="10" t="s">
        <v>21</v>
      </c>
      <c r="B785" s="7" t="s">
        <v>112</v>
      </c>
      <c r="C785" s="135">
        <v>46245</v>
      </c>
      <c r="D785" s="44" t="s">
        <v>267</v>
      </c>
      <c r="E785" s="35" t="s">
        <v>476</v>
      </c>
      <c r="F785" s="121">
        <v>8.1199999999999992</v>
      </c>
      <c r="G785" s="122">
        <f t="shared" si="30"/>
        <v>0</v>
      </c>
      <c r="H785" s="123">
        <f>IF(AND(ISNUMBER(F785), F785&gt;4, COUNTIFS($A$2:A785, A785, $B$2:B785, B785, $C$2:C785, C785, $F$2:F785, "&gt;4")=1), 1, 0)</f>
        <v>1</v>
      </c>
      <c r="I785" s="10">
        <f t="shared" si="31"/>
        <v>1</v>
      </c>
      <c r="J785" s="10"/>
      <c r="K785" s="7"/>
      <c r="L785" s="7"/>
      <c r="M785" s="7"/>
      <c r="N785" s="10"/>
      <c r="O785" s="113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5.75" customHeight="1">
      <c r="A786" s="10" t="s">
        <v>21</v>
      </c>
      <c r="B786" s="7" t="s">
        <v>112</v>
      </c>
      <c r="C786" s="135">
        <v>46246</v>
      </c>
      <c r="D786" s="44" t="s">
        <v>267</v>
      </c>
      <c r="E786" s="35" t="s">
        <v>214</v>
      </c>
      <c r="F786" s="121">
        <v>8.08</v>
      </c>
      <c r="G786" s="122">
        <f t="shared" si="30"/>
        <v>0</v>
      </c>
      <c r="H786" s="123">
        <f>IF(AND(ISNUMBER(F786), F786&gt;4, COUNTIFS($A$2:A786, A786, $B$2:B786, B786, $C$2:C786, C786, $F$2:F786, "&gt;4")=1), 1, 0)</f>
        <v>1</v>
      </c>
      <c r="I786" s="10">
        <f t="shared" si="31"/>
        <v>1</v>
      </c>
      <c r="J786" s="10"/>
      <c r="K786" s="7"/>
      <c r="L786" s="7"/>
      <c r="M786" s="7"/>
      <c r="N786" s="10"/>
      <c r="O786" s="113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5.75" customHeight="1">
      <c r="A787" s="10" t="s">
        <v>21</v>
      </c>
      <c r="B787" s="7" t="s">
        <v>112</v>
      </c>
      <c r="C787" s="135">
        <v>46247</v>
      </c>
      <c r="D787" s="44" t="s">
        <v>267</v>
      </c>
      <c r="E787" s="35" t="s">
        <v>214</v>
      </c>
      <c r="F787" s="121">
        <v>8.08</v>
      </c>
      <c r="G787" s="122">
        <f t="shared" si="30"/>
        <v>0</v>
      </c>
      <c r="H787" s="123">
        <f>IF(AND(ISNUMBER(F787), F787&gt;4, COUNTIFS($A$2:A787, A787, $B$2:B787, B787, $C$2:C787, C787, $F$2:F787, "&gt;4")=1), 1, 0)</f>
        <v>1</v>
      </c>
      <c r="I787" s="10">
        <f t="shared" si="31"/>
        <v>1</v>
      </c>
      <c r="J787" s="10"/>
      <c r="K787" s="7"/>
      <c r="L787" s="7"/>
      <c r="M787" s="7"/>
      <c r="N787" s="10"/>
      <c r="O787" s="113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5.75" customHeight="1">
      <c r="A788" s="10" t="s">
        <v>21</v>
      </c>
      <c r="B788" s="7" t="s">
        <v>112</v>
      </c>
      <c r="C788" s="135">
        <v>46248</v>
      </c>
      <c r="D788" s="44" t="s">
        <v>267</v>
      </c>
      <c r="E788" s="35" t="s">
        <v>636</v>
      </c>
      <c r="F788" s="121">
        <v>6.98</v>
      </c>
      <c r="G788" s="122">
        <f t="shared" si="30"/>
        <v>0</v>
      </c>
      <c r="H788" s="123">
        <f>IF(AND(ISNUMBER(F788), F788&gt;4, COUNTIFS($A$2:A788, A788, $B$2:B788, B788, $C$2:C788, C788, $F$2:F788, "&gt;4")=1), 1, 0)</f>
        <v>1</v>
      </c>
      <c r="I788" s="10">
        <f t="shared" si="31"/>
        <v>1</v>
      </c>
      <c r="J788" s="10"/>
      <c r="K788" s="7"/>
      <c r="L788" s="7"/>
      <c r="M788" s="7"/>
      <c r="N788" s="10"/>
      <c r="O788" s="113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5.75" customHeight="1">
      <c r="A789" s="10" t="s">
        <v>21</v>
      </c>
      <c r="B789" s="7" t="s">
        <v>112</v>
      </c>
      <c r="C789" s="135">
        <v>46249</v>
      </c>
      <c r="D789" s="44" t="s">
        <v>267</v>
      </c>
      <c r="E789" s="35" t="s">
        <v>207</v>
      </c>
      <c r="F789" s="121">
        <v>8.1</v>
      </c>
      <c r="G789" s="122">
        <f t="shared" si="30"/>
        <v>0</v>
      </c>
      <c r="H789" s="123">
        <f>IF(AND(ISNUMBER(F789), F789&gt;4, COUNTIFS($A$2:A789, A789, $B$2:B789, B789, $C$2:C789, C789, $F$2:F789, "&gt;4")=1), 1, 0)</f>
        <v>1</v>
      </c>
      <c r="I789" s="10">
        <f t="shared" si="31"/>
        <v>1</v>
      </c>
      <c r="J789" s="10"/>
      <c r="K789" s="7"/>
      <c r="L789" s="7"/>
      <c r="M789" s="7"/>
      <c r="N789" s="10"/>
      <c r="O789" s="113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5.75" customHeight="1">
      <c r="A790" s="10" t="s">
        <v>21</v>
      </c>
      <c r="B790" s="7" t="s">
        <v>112</v>
      </c>
      <c r="C790" s="135">
        <v>46250</v>
      </c>
      <c r="D790" s="44" t="s">
        <v>267</v>
      </c>
      <c r="E790" s="35" t="s">
        <v>214</v>
      </c>
      <c r="F790" s="121">
        <v>8.08</v>
      </c>
      <c r="G790" s="122">
        <f t="shared" si="30"/>
        <v>0</v>
      </c>
      <c r="H790" s="123">
        <f>IF(AND(ISNUMBER(F790), F790&gt;4, COUNTIFS($A$2:A790, A790, $B$2:B790, B790, $C$2:C790, C790, $F$2:F790, "&gt;4")=1), 1, 0)</f>
        <v>1</v>
      </c>
      <c r="I790" s="10">
        <f t="shared" si="31"/>
        <v>1</v>
      </c>
      <c r="J790" s="10"/>
      <c r="K790" s="7"/>
      <c r="L790" s="7"/>
      <c r="M790" s="7"/>
      <c r="N790" s="10"/>
      <c r="O790" s="113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5.75" customHeight="1">
      <c r="A791" s="10" t="s">
        <v>21</v>
      </c>
      <c r="B791" s="7" t="s">
        <v>112</v>
      </c>
      <c r="C791" s="135">
        <v>46251</v>
      </c>
      <c r="D791" s="44" t="s">
        <v>267</v>
      </c>
      <c r="E791" s="35" t="s">
        <v>239</v>
      </c>
      <c r="F791" s="121">
        <v>8.07</v>
      </c>
      <c r="G791" s="122">
        <f t="shared" si="30"/>
        <v>0</v>
      </c>
      <c r="H791" s="123">
        <f>IF(AND(ISNUMBER(F791), F791&gt;4, COUNTIFS($A$2:A791, A791, $B$2:B791, B791, $C$2:C791, C791, $F$2:F791, "&gt;4")=1), 1, 0)</f>
        <v>1</v>
      </c>
      <c r="I791" s="10">
        <f t="shared" si="31"/>
        <v>1</v>
      </c>
      <c r="J791" s="10"/>
      <c r="K791" s="7"/>
      <c r="L791" s="7"/>
      <c r="M791" s="7"/>
      <c r="N791" s="10"/>
      <c r="O791" s="113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5.75" customHeight="1">
      <c r="A792" s="10" t="s">
        <v>21</v>
      </c>
      <c r="B792" s="7" t="s">
        <v>112</v>
      </c>
      <c r="C792" s="135">
        <v>46252</v>
      </c>
      <c r="D792" s="44" t="s">
        <v>267</v>
      </c>
      <c r="E792" s="35" t="s">
        <v>214</v>
      </c>
      <c r="F792" s="121">
        <v>8.08</v>
      </c>
      <c r="G792" s="122">
        <f t="shared" si="30"/>
        <v>0</v>
      </c>
      <c r="H792" s="123">
        <f>IF(AND(ISNUMBER(F792), F792&gt;4, COUNTIFS($A$2:A792, A792, $B$2:B792, B792, $C$2:C792, C792, $F$2:F792, "&gt;4")=1), 1, 0)</f>
        <v>1</v>
      </c>
      <c r="I792" s="10">
        <f t="shared" si="31"/>
        <v>1</v>
      </c>
      <c r="J792" s="10"/>
      <c r="K792" s="7"/>
      <c r="L792" s="7"/>
      <c r="M792" s="7"/>
      <c r="N792" s="10"/>
      <c r="O792" s="113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5.75" customHeight="1">
      <c r="A793" s="10" t="s">
        <v>21</v>
      </c>
      <c r="B793" s="7" t="s">
        <v>112</v>
      </c>
      <c r="C793" s="135">
        <v>46253</v>
      </c>
      <c r="D793" s="44" t="s">
        <v>267</v>
      </c>
      <c r="E793" s="35" t="s">
        <v>214</v>
      </c>
      <c r="F793" s="121">
        <v>8.08</v>
      </c>
      <c r="G793" s="122">
        <f t="shared" si="30"/>
        <v>0</v>
      </c>
      <c r="H793" s="123">
        <f>IF(AND(ISNUMBER(F793), F793&gt;4, COUNTIFS($A$2:A793, A793, $B$2:B793, B793, $C$2:C793, C793, $F$2:F793, "&gt;4")=1), 1, 0)</f>
        <v>1</v>
      </c>
      <c r="I793" s="10">
        <f t="shared" si="31"/>
        <v>1</v>
      </c>
      <c r="J793" s="10"/>
      <c r="K793" s="7"/>
      <c r="L793" s="7"/>
      <c r="M793" s="7"/>
      <c r="N793" s="10"/>
      <c r="O793" s="113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5.75" customHeight="1">
      <c r="A794" s="10" t="s">
        <v>21</v>
      </c>
      <c r="B794" s="7" t="s">
        <v>112</v>
      </c>
      <c r="C794" s="135">
        <v>46254</v>
      </c>
      <c r="D794" s="44" t="s">
        <v>267</v>
      </c>
      <c r="E794" s="35" t="s">
        <v>207</v>
      </c>
      <c r="F794" s="121">
        <v>8.1</v>
      </c>
      <c r="G794" s="122">
        <f t="shared" si="30"/>
        <v>0</v>
      </c>
      <c r="H794" s="123">
        <f>IF(AND(ISNUMBER(F794), F794&gt;4, COUNTIFS($A$2:A794, A794, $B$2:B794, B794, $C$2:C794, C794, $F$2:F794, "&gt;4")=1), 1, 0)</f>
        <v>1</v>
      </c>
      <c r="I794" s="10">
        <f t="shared" si="31"/>
        <v>1</v>
      </c>
      <c r="J794" s="10"/>
      <c r="K794" s="7"/>
      <c r="L794" s="7"/>
      <c r="M794" s="7"/>
      <c r="N794" s="10"/>
      <c r="O794" s="113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5.75" customHeight="1">
      <c r="A795" s="10" t="s">
        <v>21</v>
      </c>
      <c r="B795" s="7" t="s">
        <v>112</v>
      </c>
      <c r="C795" s="135">
        <v>46255</v>
      </c>
      <c r="D795" s="44" t="s">
        <v>267</v>
      </c>
      <c r="E795" s="35" t="s">
        <v>207</v>
      </c>
      <c r="F795" s="121">
        <v>8.1</v>
      </c>
      <c r="G795" s="122">
        <f t="shared" si="30"/>
        <v>0</v>
      </c>
      <c r="H795" s="123">
        <f>IF(AND(ISNUMBER(F795), F795&gt;4, COUNTIFS($A$2:A795, A795, $B$2:B795, B795, $C$2:C795, C795, $F$2:F795, "&gt;4")=1), 1, 0)</f>
        <v>1</v>
      </c>
      <c r="I795" s="10">
        <f t="shared" si="31"/>
        <v>1</v>
      </c>
      <c r="J795" s="10"/>
      <c r="K795" s="7"/>
      <c r="L795" s="7"/>
      <c r="M795" s="7"/>
      <c r="N795" s="10"/>
      <c r="O795" s="113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5.75" customHeight="1">
      <c r="A796" s="10" t="s">
        <v>21</v>
      </c>
      <c r="B796" s="7" t="s">
        <v>112</v>
      </c>
      <c r="C796" s="135">
        <v>46256</v>
      </c>
      <c r="D796" s="44" t="s">
        <v>267</v>
      </c>
      <c r="E796" s="35" t="s">
        <v>239</v>
      </c>
      <c r="F796" s="121">
        <v>8.07</v>
      </c>
      <c r="G796" s="122">
        <f t="shared" si="30"/>
        <v>0</v>
      </c>
      <c r="H796" s="123">
        <f>IF(AND(ISNUMBER(F796), F796&gt;4, COUNTIFS($A$2:A796, A796, $B$2:B796, B796, $C$2:C796, C796, $F$2:F796, "&gt;4")=1), 1, 0)</f>
        <v>1</v>
      </c>
      <c r="I796" s="10">
        <f t="shared" si="31"/>
        <v>1</v>
      </c>
      <c r="J796" s="10"/>
      <c r="K796" s="7"/>
      <c r="L796" s="7"/>
      <c r="M796" s="7"/>
      <c r="N796" s="10"/>
      <c r="O796" s="113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5.75" customHeight="1">
      <c r="A797" s="10" t="s">
        <v>21</v>
      </c>
      <c r="B797" s="7" t="s">
        <v>112</v>
      </c>
      <c r="C797" s="135">
        <v>46257</v>
      </c>
      <c r="D797" s="44" t="s">
        <v>267</v>
      </c>
      <c r="E797" s="35" t="s">
        <v>214</v>
      </c>
      <c r="F797" s="121">
        <v>8.08</v>
      </c>
      <c r="G797" s="122">
        <f t="shared" si="30"/>
        <v>0</v>
      </c>
      <c r="H797" s="123">
        <f>IF(AND(ISNUMBER(F797), F797&gt;4, COUNTIFS($A$2:A797, A797, $B$2:B797, B797, $C$2:C797, C797, $F$2:F797, "&gt;4")=1), 1, 0)</f>
        <v>1</v>
      </c>
      <c r="I797" s="10">
        <f t="shared" si="31"/>
        <v>1</v>
      </c>
      <c r="J797" s="10"/>
      <c r="K797" s="7"/>
      <c r="L797" s="7"/>
      <c r="M797" s="7"/>
      <c r="N797" s="10"/>
      <c r="O797" s="113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5.75" customHeight="1">
      <c r="A798" s="10" t="s">
        <v>21</v>
      </c>
      <c r="B798" s="7" t="s">
        <v>112</v>
      </c>
      <c r="C798" s="135">
        <v>46258</v>
      </c>
      <c r="D798" s="44" t="s">
        <v>267</v>
      </c>
      <c r="E798" s="35" t="s">
        <v>207</v>
      </c>
      <c r="F798" s="121">
        <v>8.1</v>
      </c>
      <c r="G798" s="122">
        <f t="shared" si="30"/>
        <v>0</v>
      </c>
      <c r="H798" s="123">
        <f>IF(AND(ISNUMBER(F798), F798&gt;4, COUNTIFS($A$2:A798, A798, $B$2:B798, B798, $C$2:C798, C798, $F$2:F798, "&gt;4")=1), 1, 0)</f>
        <v>1</v>
      </c>
      <c r="I798" s="10">
        <f t="shared" si="31"/>
        <v>1</v>
      </c>
      <c r="J798" s="10"/>
      <c r="K798" s="7"/>
      <c r="L798" s="7"/>
      <c r="M798" s="7"/>
      <c r="N798" s="10"/>
      <c r="O798" s="113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5.75" customHeight="1">
      <c r="A799" s="10" t="s">
        <v>21</v>
      </c>
      <c r="B799" s="7" t="s">
        <v>112</v>
      </c>
      <c r="C799" s="135">
        <v>46259</v>
      </c>
      <c r="D799" s="44" t="s">
        <v>267</v>
      </c>
      <c r="E799" s="35" t="s">
        <v>239</v>
      </c>
      <c r="F799" s="121">
        <v>8.07</v>
      </c>
      <c r="G799" s="122">
        <f t="shared" si="30"/>
        <v>0</v>
      </c>
      <c r="H799" s="123">
        <f>IF(AND(ISNUMBER(F799), F799&gt;4, COUNTIFS($A$2:A799, A799, $B$2:B799, B799, $C$2:C799, C799, $F$2:F799, "&gt;4")=1), 1, 0)</f>
        <v>1</v>
      </c>
      <c r="I799" s="10">
        <f t="shared" si="31"/>
        <v>1</v>
      </c>
      <c r="J799" s="10"/>
      <c r="K799" s="7"/>
      <c r="L799" s="7"/>
      <c r="M799" s="7"/>
      <c r="N799" s="10"/>
      <c r="O799" s="113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5.75" customHeight="1">
      <c r="A800" s="10" t="s">
        <v>21</v>
      </c>
      <c r="B800" s="7" t="s">
        <v>112</v>
      </c>
      <c r="C800" s="135">
        <v>46260</v>
      </c>
      <c r="D800" s="44" t="s">
        <v>267</v>
      </c>
      <c r="E800" s="35" t="s">
        <v>207</v>
      </c>
      <c r="F800" s="121">
        <v>8.1</v>
      </c>
      <c r="G800" s="122">
        <f t="shared" si="30"/>
        <v>0</v>
      </c>
      <c r="H800" s="123">
        <f>IF(AND(ISNUMBER(F800), F800&gt;4, COUNTIFS($A$2:A800, A800, $B$2:B800, B800, $C$2:C800, C800, $F$2:F800, "&gt;4")=1), 1, 0)</f>
        <v>1</v>
      </c>
      <c r="I800" s="10">
        <f t="shared" si="31"/>
        <v>1</v>
      </c>
      <c r="J800" s="10"/>
      <c r="K800" s="7"/>
      <c r="L800" s="7"/>
      <c r="M800" s="7"/>
      <c r="N800" s="10"/>
      <c r="O800" s="113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5.75" customHeight="1">
      <c r="A801" s="10" t="s">
        <v>21</v>
      </c>
      <c r="B801" s="7" t="s">
        <v>112</v>
      </c>
      <c r="C801" s="135">
        <v>46261</v>
      </c>
      <c r="D801" s="44" t="s">
        <v>267</v>
      </c>
      <c r="E801" s="35" t="s">
        <v>214</v>
      </c>
      <c r="F801" s="121">
        <v>8.08</v>
      </c>
      <c r="G801" s="122">
        <f t="shared" si="30"/>
        <v>0</v>
      </c>
      <c r="H801" s="123">
        <f>IF(AND(ISNUMBER(F801), F801&gt;4, COUNTIFS($A$2:A801, A801, $B$2:B801, B801, $C$2:C801, C801, $F$2:F801, "&gt;4")=1), 1, 0)</f>
        <v>1</v>
      </c>
      <c r="I801" s="10">
        <f t="shared" si="31"/>
        <v>1</v>
      </c>
      <c r="J801" s="10"/>
      <c r="K801" s="7"/>
      <c r="L801" s="7"/>
      <c r="M801" s="7"/>
      <c r="N801" s="10"/>
      <c r="O801" s="113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5.75" customHeight="1">
      <c r="A802" s="10" t="s">
        <v>21</v>
      </c>
      <c r="B802" s="7" t="s">
        <v>112</v>
      </c>
      <c r="C802" s="135">
        <v>46262</v>
      </c>
      <c r="D802" s="44" t="s">
        <v>267</v>
      </c>
      <c r="E802" s="35" t="s">
        <v>214</v>
      </c>
      <c r="F802" s="121">
        <v>8.08</v>
      </c>
      <c r="G802" s="122">
        <f t="shared" si="30"/>
        <v>0</v>
      </c>
      <c r="H802" s="123">
        <f>IF(AND(ISNUMBER(F802), F802&gt;4, COUNTIFS($A$2:A802, A802, $B$2:B802, B802, $C$2:C802, C802, $F$2:F802, "&gt;4")=1), 1, 0)</f>
        <v>1</v>
      </c>
      <c r="I802" s="10">
        <f t="shared" si="31"/>
        <v>1</v>
      </c>
      <c r="J802" s="10"/>
      <c r="K802" s="7"/>
      <c r="L802" s="7"/>
      <c r="M802" s="7"/>
      <c r="N802" s="10"/>
      <c r="O802" s="113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5.75" customHeight="1">
      <c r="A803" s="10" t="s">
        <v>21</v>
      </c>
      <c r="B803" s="7" t="s">
        <v>112</v>
      </c>
      <c r="C803" s="135">
        <v>46264</v>
      </c>
      <c r="D803" s="44" t="s">
        <v>267</v>
      </c>
      <c r="E803" s="35" t="s">
        <v>239</v>
      </c>
      <c r="F803" s="121">
        <v>8.07</v>
      </c>
      <c r="G803" s="122">
        <f t="shared" si="30"/>
        <v>0</v>
      </c>
      <c r="H803" s="123">
        <f>IF(AND(ISNUMBER(F803), F803&gt;4, COUNTIFS($A$2:A803, A803, $B$2:B803, B803, $C$2:C803, C803, $F$2:F803, "&gt;4")=1), 1, 0)</f>
        <v>1</v>
      </c>
      <c r="I803" s="10">
        <f t="shared" si="31"/>
        <v>1</v>
      </c>
      <c r="J803" s="10"/>
      <c r="K803" s="7"/>
      <c r="L803" s="7"/>
      <c r="M803" s="7"/>
      <c r="N803" s="10"/>
      <c r="O803" s="113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5.75" customHeight="1">
      <c r="A804" s="10" t="s">
        <v>21</v>
      </c>
      <c r="B804" s="7" t="s">
        <v>112</v>
      </c>
      <c r="C804" s="135">
        <v>46265</v>
      </c>
      <c r="D804" s="44" t="s">
        <v>267</v>
      </c>
      <c r="E804" s="35" t="s">
        <v>214</v>
      </c>
      <c r="F804" s="121">
        <v>8.08</v>
      </c>
      <c r="G804" s="122">
        <f t="shared" si="30"/>
        <v>0</v>
      </c>
      <c r="H804" s="123">
        <f>IF(AND(ISNUMBER(F804), F804&gt;4, COUNTIFS($A$2:A804, A804, $B$2:B804, B804, $C$2:C804, C804, $F$2:F804, "&gt;4")=1), 1, 0)</f>
        <v>1</v>
      </c>
      <c r="I804" s="10">
        <f t="shared" si="31"/>
        <v>1</v>
      </c>
      <c r="J804" s="10"/>
      <c r="K804" s="7"/>
      <c r="L804" s="7"/>
      <c r="M804" s="7"/>
      <c r="N804" s="10"/>
      <c r="O804" s="113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5.75" customHeight="1">
      <c r="A805" s="10" t="s">
        <v>21</v>
      </c>
      <c r="B805" s="7" t="s">
        <v>110</v>
      </c>
      <c r="C805" s="135">
        <v>46236</v>
      </c>
      <c r="D805" s="44" t="s">
        <v>191</v>
      </c>
      <c r="E805" s="35" t="s">
        <v>589</v>
      </c>
      <c r="F805" s="121">
        <v>12.38</v>
      </c>
      <c r="G805" s="122">
        <f t="shared" si="30"/>
        <v>0</v>
      </c>
      <c r="H805" s="123">
        <f>IF(AND(ISNUMBER(F805), F805&gt;4, COUNTIFS($A$2:A805, A805, $B$2:B805, B805, $C$2:C805, C805, $F$2:F805, "&gt;4")=1), 1, 0)</f>
        <v>1</v>
      </c>
      <c r="I805" s="10">
        <f t="shared" si="31"/>
        <v>0</v>
      </c>
      <c r="J805" s="10"/>
      <c r="K805" s="7"/>
      <c r="L805" s="7"/>
      <c r="M805" s="7"/>
      <c r="N805" s="10"/>
      <c r="O805" s="113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5.75" customHeight="1">
      <c r="A806" s="10" t="s">
        <v>21</v>
      </c>
      <c r="B806" s="7" t="s">
        <v>110</v>
      </c>
      <c r="C806" s="135">
        <v>46237</v>
      </c>
      <c r="D806" s="44" t="s">
        <v>191</v>
      </c>
      <c r="E806" s="35" t="s">
        <v>637</v>
      </c>
      <c r="F806" s="121">
        <v>11.2</v>
      </c>
      <c r="G806" s="122">
        <f t="shared" si="30"/>
        <v>0</v>
      </c>
      <c r="H806" s="123">
        <f>IF(AND(ISNUMBER(F806), F806&gt;4, COUNTIFS($A$2:A806, A806, $B$2:B806, B806, $C$2:C806, C806, $F$2:F806, "&gt;4")=1), 1, 0)</f>
        <v>1</v>
      </c>
      <c r="I806" s="10">
        <f t="shared" si="31"/>
        <v>0</v>
      </c>
      <c r="J806" s="10"/>
      <c r="K806" s="7"/>
      <c r="L806" s="7"/>
      <c r="M806" s="7"/>
      <c r="N806" s="10"/>
      <c r="O806" s="113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5.75" customHeight="1">
      <c r="A807" s="10" t="s">
        <v>21</v>
      </c>
      <c r="B807" s="7" t="s">
        <v>110</v>
      </c>
      <c r="C807" s="135">
        <v>46238</v>
      </c>
      <c r="D807" s="44" t="s">
        <v>191</v>
      </c>
      <c r="E807" s="35" t="s">
        <v>638</v>
      </c>
      <c r="F807" s="121">
        <v>13.2</v>
      </c>
      <c r="G807" s="122">
        <f t="shared" si="30"/>
        <v>0</v>
      </c>
      <c r="H807" s="123">
        <f>IF(AND(ISNUMBER(F807), F807&gt;4, COUNTIFS($A$2:A807, A807, $B$2:B807, B807, $C$2:C807, C807, $F$2:F807, "&gt;4")=1), 1, 0)</f>
        <v>1</v>
      </c>
      <c r="I807" s="10">
        <f t="shared" si="31"/>
        <v>0</v>
      </c>
      <c r="J807" s="10"/>
      <c r="K807" s="7"/>
      <c r="L807" s="7"/>
      <c r="M807" s="7"/>
      <c r="N807" s="10"/>
      <c r="O807" s="113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5.75" customHeight="1">
      <c r="A808" s="10" t="s">
        <v>21</v>
      </c>
      <c r="B808" s="7" t="s">
        <v>110</v>
      </c>
      <c r="C808" s="135">
        <v>46239</v>
      </c>
      <c r="D808" s="44" t="s">
        <v>191</v>
      </c>
      <c r="E808" s="35" t="s">
        <v>639</v>
      </c>
      <c r="F808" s="121">
        <v>12.1</v>
      </c>
      <c r="G808" s="122">
        <f t="shared" si="30"/>
        <v>0</v>
      </c>
      <c r="H808" s="123">
        <f>IF(AND(ISNUMBER(F808), F808&gt;4, COUNTIFS($A$2:A808, A808, $B$2:B808, B808, $C$2:C808, C808, $F$2:F808, "&gt;4")=1), 1, 0)</f>
        <v>1</v>
      </c>
      <c r="I808" s="10">
        <f t="shared" si="31"/>
        <v>0</v>
      </c>
      <c r="J808" s="10"/>
      <c r="K808" s="7"/>
      <c r="L808" s="7"/>
      <c r="M808" s="7"/>
      <c r="N808" s="10"/>
      <c r="O808" s="113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5.75" customHeight="1">
      <c r="A809" s="10" t="s">
        <v>21</v>
      </c>
      <c r="B809" s="7" t="s">
        <v>110</v>
      </c>
      <c r="C809" s="135">
        <v>46240</v>
      </c>
      <c r="D809" s="44" t="s">
        <v>191</v>
      </c>
      <c r="E809" s="35" t="s">
        <v>640</v>
      </c>
      <c r="F809" s="121">
        <v>10.8</v>
      </c>
      <c r="G809" s="122">
        <f t="shared" si="30"/>
        <v>0</v>
      </c>
      <c r="H809" s="123">
        <f>IF(AND(ISNUMBER(F809), F809&gt;4, COUNTIFS($A$2:A809, A809, $B$2:B809, B809, $C$2:C809, C809, $F$2:F809, "&gt;4")=1), 1, 0)</f>
        <v>1</v>
      </c>
      <c r="I809" s="10">
        <f t="shared" si="31"/>
        <v>0</v>
      </c>
      <c r="J809" s="10"/>
      <c r="K809" s="7"/>
      <c r="L809" s="7"/>
      <c r="M809" s="7"/>
      <c r="N809" s="10"/>
      <c r="O809" s="113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5.75" customHeight="1">
      <c r="A810" s="10" t="s">
        <v>21</v>
      </c>
      <c r="B810" s="7" t="s">
        <v>110</v>
      </c>
      <c r="C810" s="135">
        <v>46242</v>
      </c>
      <c r="D810" s="44" t="s">
        <v>191</v>
      </c>
      <c r="E810" s="35" t="s">
        <v>641</v>
      </c>
      <c r="F810" s="121">
        <v>10.97</v>
      </c>
      <c r="G810" s="122">
        <f t="shared" si="30"/>
        <v>0</v>
      </c>
      <c r="H810" s="123">
        <f>IF(AND(ISNUMBER(F810), F810&gt;4, COUNTIFS($A$2:A810, A810, $B$2:B810, B810, $C$2:C810, C810, $F$2:F810, "&gt;4")=1), 1, 0)</f>
        <v>1</v>
      </c>
      <c r="I810" s="10">
        <f t="shared" si="31"/>
        <v>0</v>
      </c>
      <c r="J810" s="10"/>
      <c r="K810" s="7"/>
      <c r="L810" s="7"/>
      <c r="M810" s="7"/>
      <c r="N810" s="10"/>
      <c r="O810" s="113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5.75" customHeight="1">
      <c r="A811" s="10" t="s">
        <v>21</v>
      </c>
      <c r="B811" s="7" t="s">
        <v>110</v>
      </c>
      <c r="C811" s="135">
        <v>46243</v>
      </c>
      <c r="D811" s="44" t="s">
        <v>191</v>
      </c>
      <c r="E811" s="35" t="s">
        <v>642</v>
      </c>
      <c r="F811" s="121">
        <v>10.87</v>
      </c>
      <c r="G811" s="122">
        <f t="shared" si="30"/>
        <v>0</v>
      </c>
      <c r="H811" s="123">
        <f>IF(AND(ISNUMBER(F811), F811&gt;4, COUNTIFS($A$2:A811, A811, $B$2:B811, B811, $C$2:C811, C811, $F$2:F811, "&gt;4")=1), 1, 0)</f>
        <v>1</v>
      </c>
      <c r="I811" s="10">
        <f t="shared" si="31"/>
        <v>0</v>
      </c>
      <c r="J811" s="10"/>
      <c r="K811" s="7"/>
      <c r="L811" s="7"/>
      <c r="M811" s="7"/>
      <c r="N811" s="10"/>
      <c r="O811" s="113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5.75" customHeight="1">
      <c r="A812" s="10" t="s">
        <v>21</v>
      </c>
      <c r="B812" s="7" t="s">
        <v>110</v>
      </c>
      <c r="C812" s="135">
        <v>46244</v>
      </c>
      <c r="D812" s="44" t="s">
        <v>191</v>
      </c>
      <c r="E812" s="35" t="s">
        <v>643</v>
      </c>
      <c r="F812" s="121">
        <v>10.7</v>
      </c>
      <c r="G812" s="122">
        <f t="shared" si="30"/>
        <v>0</v>
      </c>
      <c r="H812" s="123">
        <f>IF(AND(ISNUMBER(F812), F812&gt;4, COUNTIFS($A$2:A812, A812, $B$2:B812, B812, $C$2:C812, C812, $F$2:F812, "&gt;4")=1), 1, 0)</f>
        <v>1</v>
      </c>
      <c r="I812" s="10">
        <f t="shared" si="31"/>
        <v>0</v>
      </c>
      <c r="J812" s="10"/>
      <c r="K812" s="7"/>
      <c r="L812" s="7"/>
      <c r="M812" s="7"/>
      <c r="N812" s="10"/>
      <c r="O812" s="113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5.75" customHeight="1">
      <c r="A813" s="10" t="s">
        <v>21</v>
      </c>
      <c r="B813" s="7" t="s">
        <v>110</v>
      </c>
      <c r="C813" s="135">
        <v>46245</v>
      </c>
      <c r="D813" s="44" t="s">
        <v>191</v>
      </c>
      <c r="E813" s="35" t="s">
        <v>588</v>
      </c>
      <c r="F813" s="121">
        <v>12.18</v>
      </c>
      <c r="G813" s="122">
        <f t="shared" si="30"/>
        <v>0</v>
      </c>
      <c r="H813" s="123">
        <f>IF(AND(ISNUMBER(F813), F813&gt;4, COUNTIFS($A$2:A813, A813, $B$2:B813, B813, $C$2:C813, C813, $F$2:F813, "&gt;4")=1), 1, 0)</f>
        <v>1</v>
      </c>
      <c r="I813" s="10">
        <f t="shared" si="31"/>
        <v>0</v>
      </c>
      <c r="J813" s="10"/>
      <c r="K813" s="7"/>
      <c r="L813" s="7"/>
      <c r="M813" s="7"/>
      <c r="N813" s="10"/>
      <c r="O813" s="113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5.75" customHeight="1">
      <c r="A814" s="10" t="s">
        <v>21</v>
      </c>
      <c r="B814" s="7" t="s">
        <v>110</v>
      </c>
      <c r="C814" s="135">
        <v>46246</v>
      </c>
      <c r="D814" s="44" t="s">
        <v>191</v>
      </c>
      <c r="E814" s="35" t="s">
        <v>644</v>
      </c>
      <c r="F814" s="121">
        <v>10.18</v>
      </c>
      <c r="G814" s="122">
        <f t="shared" si="30"/>
        <v>0</v>
      </c>
      <c r="H814" s="123">
        <f>IF(AND(ISNUMBER(F814), F814&gt;4, COUNTIFS($A$2:A814, A814, $B$2:B814, B814, $C$2:C814, C814, $F$2:F814, "&gt;4")=1), 1, 0)</f>
        <v>1</v>
      </c>
      <c r="I814" s="10">
        <f t="shared" si="31"/>
        <v>0</v>
      </c>
      <c r="J814" s="10"/>
      <c r="K814" s="7"/>
      <c r="L814" s="7"/>
      <c r="M814" s="7"/>
      <c r="N814" s="10"/>
      <c r="O814" s="113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5.75" customHeight="1">
      <c r="A815" s="10" t="s">
        <v>21</v>
      </c>
      <c r="B815" s="7" t="s">
        <v>110</v>
      </c>
      <c r="C815" s="135">
        <v>46247</v>
      </c>
      <c r="D815" s="44" t="s">
        <v>191</v>
      </c>
      <c r="E815" s="35" t="s">
        <v>591</v>
      </c>
      <c r="F815" s="121">
        <v>8.8699999999999992</v>
      </c>
      <c r="G815" s="122">
        <f t="shared" si="30"/>
        <v>0</v>
      </c>
      <c r="H815" s="123">
        <f>IF(AND(ISNUMBER(F815), F815&gt;4, COUNTIFS($A$2:A815, A815, $B$2:B815, B815, $C$2:C815, C815, $F$2:F815, "&gt;4")=1), 1, 0)</f>
        <v>1</v>
      </c>
      <c r="I815" s="10">
        <f t="shared" si="31"/>
        <v>0</v>
      </c>
      <c r="J815" s="10"/>
      <c r="K815" s="7"/>
      <c r="L815" s="7"/>
      <c r="M815" s="7"/>
      <c r="N815" s="10"/>
      <c r="O815" s="113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5.75" customHeight="1">
      <c r="A816" s="10" t="s">
        <v>21</v>
      </c>
      <c r="B816" s="7" t="s">
        <v>110</v>
      </c>
      <c r="C816" s="135">
        <v>46248</v>
      </c>
      <c r="D816" s="44" t="s">
        <v>191</v>
      </c>
      <c r="E816" s="35" t="s">
        <v>645</v>
      </c>
      <c r="F816" s="121">
        <v>9</v>
      </c>
      <c r="G816" s="122">
        <f t="shared" si="30"/>
        <v>0</v>
      </c>
      <c r="H816" s="123">
        <f>IF(AND(ISNUMBER(F816), F816&gt;4, COUNTIFS($A$2:A816, A816, $B$2:B816, B816, $C$2:C816, C816, $F$2:F816, "&gt;4")=1), 1, 0)</f>
        <v>1</v>
      </c>
      <c r="I816" s="10">
        <f t="shared" si="31"/>
        <v>0</v>
      </c>
      <c r="J816" s="10"/>
      <c r="K816" s="7"/>
      <c r="L816" s="7"/>
      <c r="M816" s="7"/>
      <c r="N816" s="10"/>
      <c r="O816" s="113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5.75" customHeight="1">
      <c r="A817" s="10" t="s">
        <v>21</v>
      </c>
      <c r="B817" s="7" t="s">
        <v>110</v>
      </c>
      <c r="C817" s="135">
        <v>46250</v>
      </c>
      <c r="D817" s="44" t="s">
        <v>191</v>
      </c>
      <c r="E817" s="35" t="s">
        <v>207</v>
      </c>
      <c r="F817" s="121">
        <v>8.1</v>
      </c>
      <c r="G817" s="122">
        <f t="shared" si="30"/>
        <v>0</v>
      </c>
      <c r="H817" s="123">
        <f>IF(AND(ISNUMBER(F817), F817&gt;4, COUNTIFS($A$2:A817, A817, $B$2:B817, B817, $C$2:C817, C817, $F$2:F817, "&gt;4")=1), 1, 0)</f>
        <v>1</v>
      </c>
      <c r="I817" s="10">
        <f t="shared" si="31"/>
        <v>0</v>
      </c>
      <c r="J817" s="10"/>
      <c r="K817" s="7"/>
      <c r="L817" s="7"/>
      <c r="M817" s="7"/>
      <c r="N817" s="10"/>
      <c r="O817" s="113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5.75" customHeight="1">
      <c r="A818" s="10" t="s">
        <v>21</v>
      </c>
      <c r="B818" s="7" t="s">
        <v>110</v>
      </c>
      <c r="C818" s="135">
        <v>46254</v>
      </c>
      <c r="D818" s="44" t="s">
        <v>191</v>
      </c>
      <c r="E818" s="35" t="s">
        <v>307</v>
      </c>
      <c r="F818" s="121">
        <v>16</v>
      </c>
      <c r="G818" s="122">
        <f t="shared" si="30"/>
        <v>0</v>
      </c>
      <c r="H818" s="123">
        <f>IF(AND(ISNUMBER(F818), F818&gt;4, COUNTIFS($A$2:A818, A818, $B$2:B818, B818, $C$2:C818, C818, $F$2:F818, "&gt;4")=1), 1, 0)</f>
        <v>1</v>
      </c>
      <c r="I818" s="10">
        <f t="shared" si="31"/>
        <v>0</v>
      </c>
      <c r="J818" s="10"/>
      <c r="K818" s="7"/>
      <c r="L818" s="7"/>
      <c r="M818" s="7"/>
      <c r="N818" s="10"/>
      <c r="O818" s="113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5.75" customHeight="1">
      <c r="A819" s="10" t="s">
        <v>21</v>
      </c>
      <c r="B819" s="7" t="s">
        <v>110</v>
      </c>
      <c r="C819" s="135">
        <v>46255</v>
      </c>
      <c r="D819" s="44" t="s">
        <v>191</v>
      </c>
      <c r="E819" s="35" t="s">
        <v>646</v>
      </c>
      <c r="F819" s="121">
        <v>15.52</v>
      </c>
      <c r="G819" s="122">
        <f t="shared" si="30"/>
        <v>0</v>
      </c>
      <c r="H819" s="123">
        <f>IF(AND(ISNUMBER(F819), F819&gt;4, COUNTIFS($A$2:A819, A819, $B$2:B819, B819, $C$2:C819, C819, $F$2:F819, "&gt;4")=1), 1, 0)</f>
        <v>1</v>
      </c>
      <c r="I819" s="10">
        <f t="shared" si="31"/>
        <v>0</v>
      </c>
      <c r="J819" s="10"/>
      <c r="K819" s="7"/>
      <c r="L819" s="7"/>
      <c r="M819" s="7"/>
      <c r="N819" s="10"/>
      <c r="O819" s="113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5.75" customHeight="1">
      <c r="A820" s="10" t="s">
        <v>21</v>
      </c>
      <c r="B820" s="7" t="s">
        <v>110</v>
      </c>
      <c r="C820" s="135">
        <v>46241</v>
      </c>
      <c r="D820" s="44" t="s">
        <v>263</v>
      </c>
      <c r="E820" s="35" t="s">
        <v>647</v>
      </c>
      <c r="F820" s="121">
        <v>12.67</v>
      </c>
      <c r="G820" s="122">
        <f t="shared" si="30"/>
        <v>0</v>
      </c>
      <c r="H820" s="123">
        <f>IF(AND(ISNUMBER(F820), F820&gt;4, COUNTIFS($A$2:A820, A820, $B$2:B820, B820, $C$2:C820, C820, $F$2:F820, "&gt;4")=1), 1, 0)</f>
        <v>1</v>
      </c>
      <c r="I820" s="10">
        <f t="shared" si="31"/>
        <v>0</v>
      </c>
      <c r="J820" s="10"/>
      <c r="K820" s="7"/>
      <c r="L820" s="7"/>
      <c r="M820" s="7"/>
      <c r="N820" s="10"/>
      <c r="O820" s="113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5.75" customHeight="1">
      <c r="A821" s="10" t="s">
        <v>21</v>
      </c>
      <c r="B821" s="7" t="s">
        <v>110</v>
      </c>
      <c r="C821" s="135">
        <v>46256</v>
      </c>
      <c r="D821" s="44" t="s">
        <v>263</v>
      </c>
      <c r="E821" s="35" t="s">
        <v>648</v>
      </c>
      <c r="F821" s="121">
        <v>13.98</v>
      </c>
      <c r="G821" s="122">
        <f t="shared" si="30"/>
        <v>0</v>
      </c>
      <c r="H821" s="123">
        <f>IF(AND(ISNUMBER(F821), F821&gt;4, COUNTIFS($A$2:A821, A821, $B$2:B821, B821, $C$2:C821, C821, $F$2:F821, "&gt;4")=1), 1, 0)</f>
        <v>1</v>
      </c>
      <c r="I821" s="10">
        <f t="shared" si="31"/>
        <v>0</v>
      </c>
      <c r="J821" s="10"/>
      <c r="K821" s="7"/>
      <c r="L821" s="7"/>
      <c r="M821" s="7"/>
      <c r="N821" s="10"/>
      <c r="O821" s="113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5.75" customHeight="1">
      <c r="A822" s="10" t="s">
        <v>21</v>
      </c>
      <c r="B822" s="7" t="s">
        <v>110</v>
      </c>
      <c r="C822" s="135">
        <v>46258</v>
      </c>
      <c r="D822" s="44" t="s">
        <v>263</v>
      </c>
      <c r="E822" s="35" t="s">
        <v>648</v>
      </c>
      <c r="F822" s="121">
        <v>13.98</v>
      </c>
      <c r="G822" s="122">
        <f t="shared" si="30"/>
        <v>0</v>
      </c>
      <c r="H822" s="123">
        <f>IF(AND(ISNUMBER(F822), F822&gt;4, COUNTIFS($A$2:A822, A822, $B$2:B822, B822, $C$2:C822, C822, $F$2:F822, "&gt;4")=1), 1, 0)</f>
        <v>1</v>
      </c>
      <c r="I822" s="10">
        <f t="shared" si="31"/>
        <v>0</v>
      </c>
      <c r="J822" s="10"/>
      <c r="K822" s="7"/>
      <c r="L822" s="7"/>
      <c r="M822" s="7"/>
      <c r="N822" s="10"/>
      <c r="O822" s="113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5.75" customHeight="1">
      <c r="A823" s="10" t="s">
        <v>21</v>
      </c>
      <c r="B823" s="7" t="s">
        <v>110</v>
      </c>
      <c r="C823" s="135">
        <v>46259</v>
      </c>
      <c r="D823" s="44" t="s">
        <v>263</v>
      </c>
      <c r="E823" s="35" t="s">
        <v>649</v>
      </c>
      <c r="F823" s="121">
        <v>11.92</v>
      </c>
      <c r="G823" s="122">
        <f t="shared" si="30"/>
        <v>0</v>
      </c>
      <c r="H823" s="123">
        <f>IF(AND(ISNUMBER(F823), F823&gt;4, COUNTIFS($A$2:A823, A823, $B$2:B823, B823, $C$2:C823, C823, $F$2:F823, "&gt;4")=1), 1, 0)</f>
        <v>1</v>
      </c>
      <c r="I823" s="10">
        <f t="shared" si="31"/>
        <v>0</v>
      </c>
      <c r="J823" s="10"/>
      <c r="K823" s="7"/>
      <c r="L823" s="7"/>
      <c r="M823" s="7"/>
      <c r="N823" s="10"/>
      <c r="O823" s="113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5.75" customHeight="1">
      <c r="A824" s="10" t="s">
        <v>21</v>
      </c>
      <c r="B824" s="7" t="s">
        <v>110</v>
      </c>
      <c r="C824" s="135">
        <v>46260</v>
      </c>
      <c r="D824" s="44" t="s">
        <v>263</v>
      </c>
      <c r="E824" s="35" t="s">
        <v>650</v>
      </c>
      <c r="F824" s="121">
        <v>12.97</v>
      </c>
      <c r="G824" s="122">
        <f t="shared" si="30"/>
        <v>0</v>
      </c>
      <c r="H824" s="123">
        <f>IF(AND(ISNUMBER(F824), F824&gt;4, COUNTIFS($A$2:A824, A824, $B$2:B824, B824, $C$2:C824, C824, $F$2:F824, "&gt;4")=1), 1, 0)</f>
        <v>1</v>
      </c>
      <c r="I824" s="10">
        <f t="shared" si="31"/>
        <v>0</v>
      </c>
      <c r="J824" s="10"/>
      <c r="K824" s="7"/>
      <c r="L824" s="7"/>
      <c r="M824" s="7"/>
      <c r="N824" s="10"/>
      <c r="O824" s="113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5.75" customHeight="1">
      <c r="A825" s="10" t="s">
        <v>21</v>
      </c>
      <c r="B825" s="7" t="s">
        <v>110</v>
      </c>
      <c r="C825" s="135">
        <v>46261</v>
      </c>
      <c r="D825" s="44" t="s">
        <v>263</v>
      </c>
      <c r="E825" s="35" t="s">
        <v>651</v>
      </c>
      <c r="F825" s="121">
        <v>11.9</v>
      </c>
      <c r="G825" s="122">
        <f t="shared" si="30"/>
        <v>0</v>
      </c>
      <c r="H825" s="123">
        <f>IF(AND(ISNUMBER(F825), F825&gt;4, COUNTIFS($A$2:A825, A825, $B$2:B825, B825, $C$2:C825, C825, $F$2:F825, "&gt;4")=1), 1, 0)</f>
        <v>1</v>
      </c>
      <c r="I825" s="10">
        <f t="shared" si="31"/>
        <v>0</v>
      </c>
      <c r="J825" s="10"/>
      <c r="K825" s="7"/>
      <c r="L825" s="7"/>
      <c r="M825" s="7"/>
      <c r="N825" s="10"/>
      <c r="O825" s="113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5.75" customHeight="1">
      <c r="A826" s="10" t="s">
        <v>21</v>
      </c>
      <c r="B826" s="7" t="s">
        <v>110</v>
      </c>
      <c r="C826" s="135">
        <v>46262</v>
      </c>
      <c r="D826" s="44" t="s">
        <v>263</v>
      </c>
      <c r="E826" s="35" t="s">
        <v>500</v>
      </c>
      <c r="F826" s="121">
        <v>8.48</v>
      </c>
      <c r="G826" s="122">
        <f t="shared" si="30"/>
        <v>0</v>
      </c>
      <c r="H826" s="123">
        <f>IF(AND(ISNUMBER(F826), F826&gt;4, COUNTIFS($A$2:A826, A826, $B$2:B826, B826, $C$2:C826, C826, $F$2:F826, "&gt;4")=1), 1, 0)</f>
        <v>1</v>
      </c>
      <c r="I826" s="10">
        <f t="shared" si="31"/>
        <v>0</v>
      </c>
      <c r="J826" s="10"/>
      <c r="K826" s="7"/>
      <c r="L826" s="7"/>
      <c r="M826" s="7"/>
      <c r="N826" s="10"/>
      <c r="O826" s="113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5.75" customHeight="1">
      <c r="A827" s="10" t="s">
        <v>21</v>
      </c>
      <c r="B827" s="7" t="s">
        <v>110</v>
      </c>
      <c r="C827" s="135">
        <v>46235</v>
      </c>
      <c r="D827" s="44" t="s">
        <v>265</v>
      </c>
      <c r="E827" s="35" t="s">
        <v>504</v>
      </c>
      <c r="F827" s="121">
        <v>8.18</v>
      </c>
      <c r="G827" s="122">
        <f t="shared" si="30"/>
        <v>0</v>
      </c>
      <c r="H827" s="123">
        <f>IF(AND(ISNUMBER(F827), F827&gt;4, COUNTIFS($A$2:A827, A827, $B$2:B827, B827, $C$2:C827, C827, $F$2:F827, "&gt;4")=1), 1, 0)</f>
        <v>1</v>
      </c>
      <c r="I827" s="10">
        <f t="shared" si="31"/>
        <v>0</v>
      </c>
      <c r="J827" s="10"/>
      <c r="K827" s="7"/>
      <c r="L827" s="7"/>
      <c r="M827" s="7"/>
      <c r="N827" s="10"/>
      <c r="O827" s="113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5.75" customHeight="1">
      <c r="A828" s="10" t="s">
        <v>21</v>
      </c>
      <c r="B828" s="7" t="s">
        <v>110</v>
      </c>
      <c r="C828" s="135">
        <v>46249</v>
      </c>
      <c r="D828" s="44" t="s">
        <v>265</v>
      </c>
      <c r="E828" s="35" t="s">
        <v>496</v>
      </c>
      <c r="F828" s="121">
        <v>8.35</v>
      </c>
      <c r="G828" s="122">
        <f t="shared" si="30"/>
        <v>0</v>
      </c>
      <c r="H828" s="123">
        <f>IF(AND(ISNUMBER(F828), F828&gt;4, COUNTIFS($A$2:A828, A828, $B$2:B828, B828, $C$2:C828, C828, $F$2:F828, "&gt;4")=1), 1, 0)</f>
        <v>1</v>
      </c>
      <c r="I828" s="10">
        <f t="shared" si="31"/>
        <v>0</v>
      </c>
      <c r="J828" s="10"/>
      <c r="K828" s="7"/>
      <c r="L828" s="7"/>
      <c r="M828" s="7"/>
      <c r="N828" s="10"/>
      <c r="O828" s="113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5.75" customHeight="1">
      <c r="A829" s="10" t="s">
        <v>21</v>
      </c>
      <c r="B829" s="7" t="s">
        <v>110</v>
      </c>
      <c r="C829" s="135">
        <v>46251</v>
      </c>
      <c r="D829" s="44" t="s">
        <v>265</v>
      </c>
      <c r="E829" s="35" t="s">
        <v>652</v>
      </c>
      <c r="F829" s="121">
        <v>7.32</v>
      </c>
      <c r="G829" s="122">
        <f t="shared" si="30"/>
        <v>0</v>
      </c>
      <c r="H829" s="123">
        <f>IF(AND(ISNUMBER(F829), F829&gt;4, COUNTIFS($A$2:A829, A829, $B$2:B829, B829, $C$2:C829, C829, $F$2:F829, "&gt;4")=1), 1, 0)</f>
        <v>1</v>
      </c>
      <c r="I829" s="10">
        <f t="shared" si="31"/>
        <v>0</v>
      </c>
      <c r="J829" s="10"/>
      <c r="K829" s="7"/>
      <c r="L829" s="7"/>
      <c r="M829" s="7"/>
      <c r="N829" s="10"/>
      <c r="O829" s="113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5.75" customHeight="1">
      <c r="A830" s="10" t="s">
        <v>21</v>
      </c>
      <c r="B830" s="7" t="s">
        <v>110</v>
      </c>
      <c r="C830" s="135">
        <v>46252</v>
      </c>
      <c r="D830" s="44" t="s">
        <v>265</v>
      </c>
      <c r="E830" s="35" t="s">
        <v>288</v>
      </c>
      <c r="F830" s="121">
        <v>8.0500000000000007</v>
      </c>
      <c r="G830" s="122">
        <f t="shared" si="30"/>
        <v>0</v>
      </c>
      <c r="H830" s="123">
        <f>IF(AND(ISNUMBER(F830), F830&gt;4, COUNTIFS($A$2:A830, A830, $B$2:B830, B830, $C$2:C830, C830, $F$2:F830, "&gt;4")=1), 1, 0)</f>
        <v>1</v>
      </c>
      <c r="I830" s="10">
        <f t="shared" si="31"/>
        <v>0</v>
      </c>
      <c r="J830" s="10"/>
      <c r="K830" s="7"/>
      <c r="L830" s="7"/>
      <c r="M830" s="7"/>
      <c r="N830" s="10"/>
      <c r="O830" s="113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5.75" customHeight="1">
      <c r="A831" s="10" t="s">
        <v>21</v>
      </c>
      <c r="B831" s="7" t="s">
        <v>110</v>
      </c>
      <c r="C831" s="135">
        <v>46253</v>
      </c>
      <c r="D831" s="44" t="s">
        <v>265</v>
      </c>
      <c r="E831" s="35" t="s">
        <v>409</v>
      </c>
      <c r="F831" s="121">
        <v>7.93</v>
      </c>
      <c r="G831" s="122">
        <f t="shared" si="30"/>
        <v>0</v>
      </c>
      <c r="H831" s="123">
        <f>IF(AND(ISNUMBER(F831), F831&gt;4, COUNTIFS($A$2:A831, A831, $B$2:B831, B831, $C$2:C831, C831, $F$2:F831, "&gt;4")=1), 1, 0)</f>
        <v>1</v>
      </c>
      <c r="I831" s="10">
        <f t="shared" si="31"/>
        <v>0</v>
      </c>
      <c r="J831" s="10"/>
      <c r="K831" s="7"/>
      <c r="L831" s="7"/>
      <c r="M831" s="7"/>
      <c r="N831" s="10"/>
      <c r="O831" s="113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5.75" customHeight="1">
      <c r="A832" s="10" t="s">
        <v>21</v>
      </c>
      <c r="B832" s="7" t="s">
        <v>110</v>
      </c>
      <c r="C832" s="135">
        <v>46257</v>
      </c>
      <c r="D832" s="44" t="s">
        <v>265</v>
      </c>
      <c r="E832" s="35" t="s">
        <v>486</v>
      </c>
      <c r="F832" s="121">
        <v>7.68</v>
      </c>
      <c r="G832" s="122">
        <f t="shared" si="30"/>
        <v>0</v>
      </c>
      <c r="H832" s="123">
        <f>IF(AND(ISNUMBER(F832), F832&gt;4, COUNTIFS($A$2:A832, A832, $B$2:B832, B832, $C$2:C832, C832, $F$2:F832, "&gt;4")=1), 1, 0)</f>
        <v>1</v>
      </c>
      <c r="I832" s="10">
        <f t="shared" si="31"/>
        <v>0</v>
      </c>
      <c r="J832" s="10"/>
      <c r="K832" s="7"/>
      <c r="L832" s="7"/>
      <c r="M832" s="7"/>
      <c r="N832" s="10"/>
      <c r="O832" s="113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5.75" customHeight="1">
      <c r="A833" s="10" t="s">
        <v>21</v>
      </c>
      <c r="B833" s="7" t="s">
        <v>110</v>
      </c>
      <c r="C833" s="135">
        <v>46263</v>
      </c>
      <c r="D833" s="44" t="s">
        <v>265</v>
      </c>
      <c r="E833" s="35" t="s">
        <v>199</v>
      </c>
      <c r="F833" s="121">
        <v>8</v>
      </c>
      <c r="G833" s="122">
        <f t="shared" si="30"/>
        <v>0</v>
      </c>
      <c r="H833" s="123">
        <f>IF(AND(ISNUMBER(F833), F833&gt;4, COUNTIFS($A$2:A833, A833, $B$2:B833, B833, $C$2:C833, C833, $F$2:F833, "&gt;4")=1), 1, 0)</f>
        <v>1</v>
      </c>
      <c r="I833" s="10">
        <f t="shared" si="31"/>
        <v>0</v>
      </c>
      <c r="J833" s="10"/>
      <c r="K833" s="7"/>
      <c r="L833" s="7"/>
      <c r="M833" s="7"/>
      <c r="N833" s="10"/>
      <c r="O833" s="113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5.75" customHeight="1">
      <c r="A834" s="10" t="s">
        <v>21</v>
      </c>
      <c r="B834" s="7" t="s">
        <v>110</v>
      </c>
      <c r="C834" s="135">
        <v>46264</v>
      </c>
      <c r="D834" s="44" t="s">
        <v>265</v>
      </c>
      <c r="E834" s="35" t="s">
        <v>475</v>
      </c>
      <c r="F834" s="121">
        <v>7.87</v>
      </c>
      <c r="G834" s="122">
        <f t="shared" ref="G834:G897" si="32">IF(AND(ISNUMBER(F834), F834&lt;=4), 1, 0)</f>
        <v>0</v>
      </c>
      <c r="H834" s="123">
        <f>IF(AND(ISNUMBER(F834), F834&gt;4, COUNTIFS($A$2:A834, A834, $B$2:B834, B834, $C$2:C834, C834, $F$2:F834, "&gt;4")=1), 1, 0)</f>
        <v>1</v>
      </c>
      <c r="I834" s="10">
        <f t="shared" ref="I834:I897" si="33">IF(AND(ISNUMBER(F834), F834&gt;4, ISNUMBER(SEARCH("đêm", D834))), 1, 0)</f>
        <v>0</v>
      </c>
      <c r="J834" s="10"/>
      <c r="K834" s="7"/>
      <c r="L834" s="7"/>
      <c r="M834" s="7"/>
      <c r="N834" s="10"/>
      <c r="O834" s="113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5.75" customHeight="1">
      <c r="A835" s="10" t="s">
        <v>21</v>
      </c>
      <c r="B835" s="7" t="s">
        <v>110</v>
      </c>
      <c r="C835" s="135">
        <v>46265</v>
      </c>
      <c r="D835" s="44" t="s">
        <v>265</v>
      </c>
      <c r="E835" s="35" t="s">
        <v>522</v>
      </c>
      <c r="F835" s="121">
        <v>8.32</v>
      </c>
      <c r="G835" s="122">
        <f t="shared" si="32"/>
        <v>0</v>
      </c>
      <c r="H835" s="123">
        <f>IF(AND(ISNUMBER(F835), F835&gt;4, COUNTIFS($A$2:A835, A835, $B$2:B835, B835, $C$2:C835, C835, $F$2:F835, "&gt;4")=1), 1, 0)</f>
        <v>1</v>
      </c>
      <c r="I835" s="10">
        <f t="shared" si="33"/>
        <v>0</v>
      </c>
      <c r="J835" s="10"/>
      <c r="K835" s="7"/>
      <c r="L835" s="7"/>
      <c r="M835" s="7"/>
      <c r="N835" s="10"/>
      <c r="O835" s="113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5.75" customHeight="1">
      <c r="A836" s="10" t="s">
        <v>21</v>
      </c>
      <c r="B836" s="7" t="s">
        <v>110</v>
      </c>
      <c r="C836" s="135">
        <v>46248</v>
      </c>
      <c r="D836" s="44" t="s">
        <v>323</v>
      </c>
      <c r="E836" s="35" t="s">
        <v>653</v>
      </c>
      <c r="F836" s="121">
        <v>5.0199999999999996</v>
      </c>
      <c r="G836" s="122">
        <f t="shared" si="32"/>
        <v>0</v>
      </c>
      <c r="H836" s="123">
        <f>IF(AND(ISNUMBER(F836), F836&gt;4, COUNTIFS($A$2:A836, A836, $B$2:B836, B836, $C$2:C836, C836, $F$2:F836, "&gt;4")=1), 1, 0)</f>
        <v>0</v>
      </c>
      <c r="I836" s="10">
        <f t="shared" si="33"/>
        <v>0</v>
      </c>
      <c r="J836" s="10"/>
      <c r="K836" s="7"/>
      <c r="L836" s="7"/>
      <c r="M836" s="7"/>
      <c r="N836" s="10"/>
      <c r="O836" s="113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5.75" customHeight="1">
      <c r="A837" s="10" t="s">
        <v>21</v>
      </c>
      <c r="B837" s="7" t="s">
        <v>110</v>
      </c>
      <c r="C837" s="135">
        <v>46250</v>
      </c>
      <c r="D837" s="44" t="s">
        <v>323</v>
      </c>
      <c r="E837" s="35" t="s">
        <v>654</v>
      </c>
      <c r="F837" s="121">
        <v>4.97</v>
      </c>
      <c r="G837" s="122">
        <f t="shared" si="32"/>
        <v>0</v>
      </c>
      <c r="H837" s="123">
        <f>IF(AND(ISNUMBER(F837), F837&gt;4, COUNTIFS($A$2:A837, A837, $B$2:B837, B837, $C$2:C837, C837, $F$2:F837, "&gt;4")=1), 1, 0)</f>
        <v>0</v>
      </c>
      <c r="I837" s="10">
        <f t="shared" si="33"/>
        <v>0</v>
      </c>
      <c r="J837" s="10"/>
      <c r="K837" s="7"/>
      <c r="L837" s="7"/>
      <c r="M837" s="7"/>
      <c r="N837" s="10"/>
      <c r="O837" s="113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5.75" customHeight="1">
      <c r="A838" s="10" t="s">
        <v>21</v>
      </c>
      <c r="B838" s="7" t="s">
        <v>110</v>
      </c>
      <c r="C838" s="135">
        <v>46243</v>
      </c>
      <c r="D838" s="44" t="s">
        <v>317</v>
      </c>
      <c r="E838" s="35" t="s">
        <v>325</v>
      </c>
      <c r="F838" s="121">
        <v>2.37</v>
      </c>
      <c r="G838" s="122">
        <f t="shared" si="32"/>
        <v>1</v>
      </c>
      <c r="H838" s="123">
        <f>IF(AND(ISNUMBER(F838), F838&gt;4, COUNTIFS($A$2:A838, A838, $B$2:B838, B838, $C$2:C838, C838, $F$2:F838, "&gt;4")=1), 1, 0)</f>
        <v>0</v>
      </c>
      <c r="I838" s="10">
        <f t="shared" si="33"/>
        <v>0</v>
      </c>
      <c r="J838" s="10"/>
      <c r="K838" s="7"/>
      <c r="L838" s="7"/>
      <c r="M838" s="7"/>
      <c r="N838" s="10"/>
      <c r="O838" s="113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5.75" customHeight="1">
      <c r="A839" s="10" t="s">
        <v>21</v>
      </c>
      <c r="B839" s="7" t="s">
        <v>110</v>
      </c>
      <c r="C839" s="135">
        <v>46235</v>
      </c>
      <c r="D839" s="44" t="s">
        <v>267</v>
      </c>
      <c r="E839" s="35" t="s">
        <v>481</v>
      </c>
      <c r="F839" s="121">
        <v>7.98</v>
      </c>
      <c r="G839" s="122">
        <f t="shared" si="32"/>
        <v>0</v>
      </c>
      <c r="H839" s="123">
        <f>IF(AND(ISNUMBER(F839), F839&gt;4, COUNTIFS($A$2:A839, A839, $B$2:B839, B839, $C$2:C839, C839, $F$2:F839, "&gt;4")=1), 1, 0)</f>
        <v>0</v>
      </c>
      <c r="I839" s="10">
        <f t="shared" si="33"/>
        <v>1</v>
      </c>
      <c r="J839" s="10"/>
      <c r="K839" s="7"/>
      <c r="L839" s="7"/>
      <c r="M839" s="7"/>
      <c r="N839" s="10"/>
      <c r="O839" s="113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5.75" customHeight="1">
      <c r="A840" s="10" t="s">
        <v>21</v>
      </c>
      <c r="B840" s="7" t="s">
        <v>110</v>
      </c>
      <c r="C840" s="135">
        <v>46249</v>
      </c>
      <c r="D840" s="44" t="s">
        <v>267</v>
      </c>
      <c r="E840" s="35" t="s">
        <v>655</v>
      </c>
      <c r="F840" s="121">
        <v>7.02</v>
      </c>
      <c r="G840" s="122">
        <f t="shared" si="32"/>
        <v>0</v>
      </c>
      <c r="H840" s="123">
        <f>IF(AND(ISNUMBER(F840), F840&gt;4, COUNTIFS($A$2:A840, A840, $B$2:B840, B840, $C$2:C840, C840, $F$2:F840, "&gt;4")=1), 1, 0)</f>
        <v>0</v>
      </c>
      <c r="I840" s="10">
        <f t="shared" si="33"/>
        <v>1</v>
      </c>
      <c r="J840" s="10"/>
      <c r="K840" s="7"/>
      <c r="L840" s="7"/>
      <c r="M840" s="7"/>
      <c r="N840" s="10"/>
      <c r="O840" s="113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5.75" customHeight="1">
      <c r="A841" s="10" t="s">
        <v>21</v>
      </c>
      <c r="B841" s="7" t="s">
        <v>110</v>
      </c>
      <c r="C841" s="135">
        <v>46250</v>
      </c>
      <c r="D841" s="44" t="s">
        <v>267</v>
      </c>
      <c r="E841" s="35" t="s">
        <v>262</v>
      </c>
      <c r="F841" s="121">
        <v>7.08</v>
      </c>
      <c r="G841" s="122">
        <f t="shared" si="32"/>
        <v>0</v>
      </c>
      <c r="H841" s="123">
        <f>IF(AND(ISNUMBER(F841), F841&gt;4, COUNTIFS($A$2:A841, A841, $B$2:B841, B841, $C$2:C841, C841, $F$2:F841, "&gt;4")=1), 1, 0)</f>
        <v>0</v>
      </c>
      <c r="I841" s="10">
        <f t="shared" si="33"/>
        <v>1</v>
      </c>
      <c r="J841" s="10"/>
      <c r="K841" s="7"/>
      <c r="L841" s="7"/>
      <c r="M841" s="7"/>
      <c r="N841" s="10"/>
      <c r="O841" s="113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5.75" customHeight="1">
      <c r="A842" s="10" t="s">
        <v>21</v>
      </c>
      <c r="B842" s="7" t="s">
        <v>110</v>
      </c>
      <c r="C842" s="135">
        <v>46258</v>
      </c>
      <c r="D842" s="44" t="s">
        <v>267</v>
      </c>
      <c r="E842" s="35" t="s">
        <v>656</v>
      </c>
      <c r="F842" s="121">
        <v>0.52</v>
      </c>
      <c r="G842" s="122">
        <f t="shared" si="32"/>
        <v>1</v>
      </c>
      <c r="H842" s="123">
        <f>IF(AND(ISNUMBER(F842), F842&gt;4, COUNTIFS($A$2:A842, A842, $B$2:B842, B842, $C$2:C842, C842, $F$2:F842, "&gt;4")=1), 1, 0)</f>
        <v>0</v>
      </c>
      <c r="I842" s="10">
        <f t="shared" si="33"/>
        <v>0</v>
      </c>
      <c r="J842" s="10"/>
      <c r="K842" s="7"/>
      <c r="L842" s="7"/>
      <c r="M842" s="7"/>
      <c r="N842" s="10"/>
      <c r="O842" s="113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5.75" customHeight="1">
      <c r="A843" s="10" t="s">
        <v>21</v>
      </c>
      <c r="B843" s="7" t="s">
        <v>110</v>
      </c>
      <c r="C843" s="135">
        <v>46260</v>
      </c>
      <c r="D843" s="44" t="s">
        <v>267</v>
      </c>
      <c r="E843" s="35" t="s">
        <v>657</v>
      </c>
      <c r="F843" s="121">
        <v>1.1200000000000001</v>
      </c>
      <c r="G843" s="122">
        <f t="shared" si="32"/>
        <v>1</v>
      </c>
      <c r="H843" s="123">
        <f>IF(AND(ISNUMBER(F843), F843&gt;4, COUNTIFS($A$2:A843, A843, $B$2:B843, B843, $C$2:C843, C843, $F$2:F843, "&gt;4")=1), 1, 0)</f>
        <v>0</v>
      </c>
      <c r="I843" s="10">
        <f t="shared" si="33"/>
        <v>0</v>
      </c>
      <c r="J843" s="10"/>
      <c r="K843" s="7"/>
      <c r="L843" s="7"/>
      <c r="M843" s="7"/>
      <c r="N843" s="10"/>
      <c r="O843" s="113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5.75" customHeight="1">
      <c r="A844" s="10" t="s">
        <v>21</v>
      </c>
      <c r="B844" s="7" t="s">
        <v>110</v>
      </c>
      <c r="C844" s="135">
        <v>46261</v>
      </c>
      <c r="D844" s="44" t="s">
        <v>267</v>
      </c>
      <c r="E844" s="35" t="s">
        <v>632</v>
      </c>
      <c r="F844" s="121">
        <v>2.1</v>
      </c>
      <c r="G844" s="122">
        <f t="shared" si="32"/>
        <v>1</v>
      </c>
      <c r="H844" s="123">
        <f>IF(AND(ISNUMBER(F844), F844&gt;4, COUNTIFS($A$2:A844, A844, $B$2:B844, B844, $C$2:C844, C844, $F$2:F844, "&gt;4")=1), 1, 0)</f>
        <v>0</v>
      </c>
      <c r="I844" s="10">
        <f t="shared" si="33"/>
        <v>0</v>
      </c>
      <c r="J844" s="10"/>
      <c r="K844" s="7"/>
      <c r="L844" s="7"/>
      <c r="M844" s="7"/>
      <c r="N844" s="10"/>
      <c r="O844" s="113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5.75" customHeight="1">
      <c r="A845" s="10" t="s">
        <v>21</v>
      </c>
      <c r="B845" s="7" t="s">
        <v>110</v>
      </c>
      <c r="C845" s="135">
        <v>46263</v>
      </c>
      <c r="D845" s="44" t="s">
        <v>267</v>
      </c>
      <c r="E845" s="35" t="s">
        <v>658</v>
      </c>
      <c r="F845" s="121">
        <v>7.03</v>
      </c>
      <c r="G845" s="122">
        <f t="shared" si="32"/>
        <v>0</v>
      </c>
      <c r="H845" s="123">
        <f>IF(AND(ISNUMBER(F845), F845&gt;4, COUNTIFS($A$2:A845, A845, $B$2:B845, B845, $C$2:C845, C845, $F$2:F845, "&gt;4")=1), 1, 0)</f>
        <v>0</v>
      </c>
      <c r="I845" s="10">
        <f t="shared" si="33"/>
        <v>1</v>
      </c>
      <c r="J845" s="10"/>
      <c r="K845" s="7"/>
      <c r="L845" s="7"/>
      <c r="M845" s="7"/>
      <c r="N845" s="10"/>
      <c r="O845" s="113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5.75" customHeight="1">
      <c r="A846" s="10" t="s">
        <v>21</v>
      </c>
      <c r="B846" s="7" t="s">
        <v>110</v>
      </c>
      <c r="C846" s="135">
        <v>46264</v>
      </c>
      <c r="D846" s="44" t="s">
        <v>267</v>
      </c>
      <c r="E846" s="35" t="s">
        <v>659</v>
      </c>
      <c r="F846" s="121">
        <v>7</v>
      </c>
      <c r="G846" s="122">
        <f t="shared" si="32"/>
        <v>0</v>
      </c>
      <c r="H846" s="123">
        <f>IF(AND(ISNUMBER(F846), F846&gt;4, COUNTIFS($A$2:A846, A846, $B$2:B846, B846, $C$2:C846, C846, $F$2:F846, "&gt;4")=1), 1, 0)</f>
        <v>0</v>
      </c>
      <c r="I846" s="10">
        <f t="shared" si="33"/>
        <v>1</v>
      </c>
      <c r="J846" s="10"/>
      <c r="K846" s="7"/>
      <c r="L846" s="7"/>
      <c r="M846" s="7"/>
      <c r="N846" s="10"/>
      <c r="O846" s="113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5.75" customHeight="1">
      <c r="A847" s="10" t="s">
        <v>21</v>
      </c>
      <c r="B847" s="7" t="s">
        <v>114</v>
      </c>
      <c r="C847" s="135">
        <v>46235</v>
      </c>
      <c r="D847" s="44" t="s">
        <v>191</v>
      </c>
      <c r="E847" s="35" t="s">
        <v>479</v>
      </c>
      <c r="F847" s="121">
        <v>8.02</v>
      </c>
      <c r="G847" s="122">
        <f t="shared" si="32"/>
        <v>0</v>
      </c>
      <c r="H847" s="123">
        <f>IF(AND(ISNUMBER(F847), F847&gt;4, COUNTIFS($A$2:A847, A847, $B$2:B847, B847, $C$2:C847, C847, $F$2:F847, "&gt;4")=1), 1, 0)</f>
        <v>1</v>
      </c>
      <c r="I847" s="10">
        <f t="shared" si="33"/>
        <v>0</v>
      </c>
      <c r="J847" s="10"/>
      <c r="K847" s="7"/>
      <c r="L847" s="7"/>
      <c r="M847" s="7"/>
      <c r="N847" s="10"/>
      <c r="O847" s="113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5.75" customHeight="1">
      <c r="A848" s="10" t="s">
        <v>21</v>
      </c>
      <c r="B848" s="7" t="s">
        <v>114</v>
      </c>
      <c r="C848" s="135">
        <v>46238</v>
      </c>
      <c r="D848" s="44" t="s">
        <v>191</v>
      </c>
      <c r="E848" s="35" t="s">
        <v>476</v>
      </c>
      <c r="F848" s="121">
        <v>8.1199999999999992</v>
      </c>
      <c r="G848" s="122">
        <f t="shared" si="32"/>
        <v>0</v>
      </c>
      <c r="H848" s="123">
        <f>IF(AND(ISNUMBER(F848), F848&gt;4, COUNTIFS($A$2:A848, A848, $B$2:B848, B848, $C$2:C848, C848, $F$2:F848, "&gt;4")=1), 1, 0)</f>
        <v>1</v>
      </c>
      <c r="I848" s="10">
        <f t="shared" si="33"/>
        <v>0</v>
      </c>
      <c r="J848" s="10"/>
      <c r="K848" s="7"/>
      <c r="L848" s="7"/>
      <c r="M848" s="7"/>
      <c r="N848" s="10"/>
      <c r="O848" s="113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5.75" customHeight="1">
      <c r="A849" s="10" t="s">
        <v>21</v>
      </c>
      <c r="B849" s="7" t="s">
        <v>114</v>
      </c>
      <c r="C849" s="135">
        <v>46242</v>
      </c>
      <c r="D849" s="44" t="s">
        <v>191</v>
      </c>
      <c r="E849" s="35" t="s">
        <v>511</v>
      </c>
      <c r="F849" s="121">
        <v>8.1300000000000008</v>
      </c>
      <c r="G849" s="122">
        <f t="shared" si="32"/>
        <v>0</v>
      </c>
      <c r="H849" s="123">
        <f>IF(AND(ISNUMBER(F849), F849&gt;4, COUNTIFS($A$2:A849, A849, $B$2:B849, B849, $C$2:C849, C849, $F$2:F849, "&gt;4")=1), 1, 0)</f>
        <v>1</v>
      </c>
      <c r="I849" s="10">
        <f t="shared" si="33"/>
        <v>0</v>
      </c>
      <c r="J849" s="10"/>
      <c r="K849" s="7"/>
      <c r="L849" s="7"/>
      <c r="M849" s="7"/>
      <c r="N849" s="10"/>
      <c r="O849" s="113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5.75" customHeight="1">
      <c r="A850" s="10" t="s">
        <v>21</v>
      </c>
      <c r="B850" s="7" t="s">
        <v>114</v>
      </c>
      <c r="C850" s="135">
        <v>46237</v>
      </c>
      <c r="D850" s="44" t="s">
        <v>263</v>
      </c>
      <c r="E850" s="35" t="s">
        <v>502</v>
      </c>
      <c r="F850" s="121">
        <v>8.17</v>
      </c>
      <c r="G850" s="122">
        <f t="shared" si="32"/>
        <v>0</v>
      </c>
      <c r="H850" s="123">
        <f>IF(AND(ISNUMBER(F850), F850&gt;4, COUNTIFS($A$2:A850, A850, $B$2:B850, B850, $C$2:C850, C850, $F$2:F850, "&gt;4")=1), 1, 0)</f>
        <v>1</v>
      </c>
      <c r="I850" s="10">
        <f t="shared" si="33"/>
        <v>0</v>
      </c>
      <c r="J850" s="10"/>
      <c r="K850" s="7"/>
      <c r="L850" s="7"/>
      <c r="M850" s="7"/>
      <c r="N850" s="10"/>
      <c r="O850" s="113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5.75" customHeight="1">
      <c r="A851" s="10" t="s">
        <v>21</v>
      </c>
      <c r="B851" s="7" t="s">
        <v>114</v>
      </c>
      <c r="C851" s="135">
        <v>46239</v>
      </c>
      <c r="D851" s="44" t="s">
        <v>263</v>
      </c>
      <c r="E851" s="35" t="s">
        <v>207</v>
      </c>
      <c r="F851" s="121">
        <v>8.1</v>
      </c>
      <c r="G851" s="122">
        <f t="shared" si="32"/>
        <v>0</v>
      </c>
      <c r="H851" s="123">
        <f>IF(AND(ISNUMBER(F851), F851&gt;4, COUNTIFS($A$2:A851, A851, $B$2:B851, B851, $C$2:C851, C851, $F$2:F851, "&gt;4")=1), 1, 0)</f>
        <v>1</v>
      </c>
      <c r="I851" s="10">
        <f t="shared" si="33"/>
        <v>0</v>
      </c>
      <c r="J851" s="10"/>
      <c r="K851" s="7"/>
      <c r="L851" s="7"/>
      <c r="M851" s="7"/>
      <c r="N851" s="10"/>
      <c r="O851" s="113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5.75" customHeight="1">
      <c r="A852" s="10" t="s">
        <v>21</v>
      </c>
      <c r="B852" s="7" t="s">
        <v>114</v>
      </c>
      <c r="C852" s="135">
        <v>46240</v>
      </c>
      <c r="D852" s="44" t="s">
        <v>263</v>
      </c>
      <c r="E852" s="35" t="s">
        <v>476</v>
      </c>
      <c r="F852" s="121">
        <v>8.1199999999999992</v>
      </c>
      <c r="G852" s="122">
        <f t="shared" si="32"/>
        <v>0</v>
      </c>
      <c r="H852" s="123">
        <f>IF(AND(ISNUMBER(F852), F852&gt;4, COUNTIFS($A$2:A852, A852, $B$2:B852, B852, $C$2:C852, C852, $F$2:F852, "&gt;4")=1), 1, 0)</f>
        <v>1</v>
      </c>
      <c r="I852" s="10">
        <f t="shared" si="33"/>
        <v>0</v>
      </c>
      <c r="J852" s="10"/>
      <c r="K852" s="7"/>
      <c r="L852" s="7"/>
      <c r="M852" s="7"/>
      <c r="N852" s="10"/>
      <c r="O852" s="113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5.75" customHeight="1">
      <c r="A853" s="10" t="s">
        <v>21</v>
      </c>
      <c r="B853" s="7" t="s">
        <v>114</v>
      </c>
      <c r="C853" s="135">
        <v>46241</v>
      </c>
      <c r="D853" s="44" t="s">
        <v>263</v>
      </c>
      <c r="E853" s="35" t="s">
        <v>476</v>
      </c>
      <c r="F853" s="121">
        <v>8.1199999999999992</v>
      </c>
      <c r="G853" s="122">
        <f t="shared" si="32"/>
        <v>0</v>
      </c>
      <c r="H853" s="123">
        <f>IF(AND(ISNUMBER(F853), F853&gt;4, COUNTIFS($A$2:A853, A853, $B$2:B853, B853, $C$2:C853, C853, $F$2:F853, "&gt;4")=1), 1, 0)</f>
        <v>1</v>
      </c>
      <c r="I853" s="10">
        <f t="shared" si="33"/>
        <v>0</v>
      </c>
      <c r="J853" s="10"/>
      <c r="K853" s="7"/>
      <c r="L853" s="7"/>
      <c r="M853" s="7"/>
      <c r="N853" s="10"/>
      <c r="O853" s="113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5.75" customHeight="1">
      <c r="A854" s="10" t="s">
        <v>19</v>
      </c>
      <c r="B854" s="7" t="s">
        <v>113</v>
      </c>
      <c r="C854" s="135">
        <v>46244</v>
      </c>
      <c r="D854" s="44" t="s">
        <v>285</v>
      </c>
      <c r="E854" s="35" t="s">
        <v>329</v>
      </c>
      <c r="F854" s="121">
        <v>8.0299999999999994</v>
      </c>
      <c r="G854" s="122">
        <f t="shared" si="32"/>
        <v>0</v>
      </c>
      <c r="H854" s="123">
        <f>IF(AND(ISNUMBER(F854), F854&gt;4, COUNTIFS($A$2:A854, A854, $B$2:B854, B854, $C$2:C854, C854, $F$2:F854, "&gt;4")=1), 1, 0)</f>
        <v>1</v>
      </c>
      <c r="I854" s="10">
        <f t="shared" si="33"/>
        <v>1</v>
      </c>
      <c r="J854" s="10"/>
      <c r="K854" s="7"/>
      <c r="L854" s="7"/>
      <c r="M854" s="7"/>
      <c r="N854" s="10"/>
      <c r="O854" s="113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5.75" customHeight="1">
      <c r="A855" s="10" t="s">
        <v>20</v>
      </c>
      <c r="B855" s="7" t="s">
        <v>113</v>
      </c>
      <c r="C855" s="135">
        <v>46237</v>
      </c>
      <c r="D855" s="44" t="s">
        <v>301</v>
      </c>
      <c r="E855" s="35" t="s">
        <v>329</v>
      </c>
      <c r="F855" s="121">
        <v>8.0299999999999994</v>
      </c>
      <c r="G855" s="122">
        <f t="shared" si="32"/>
        <v>0</v>
      </c>
      <c r="H855" s="123">
        <f>IF(AND(ISNUMBER(F855), F855&gt;4, COUNTIFS($A$2:A855, A855, $B$2:B855, B855, $C$2:C855, C855, $F$2:F855, "&gt;4")=1), 1, 0)</f>
        <v>1</v>
      </c>
      <c r="I855" s="10">
        <f t="shared" si="33"/>
        <v>1</v>
      </c>
      <c r="J855" s="10"/>
      <c r="K855" s="7"/>
      <c r="L855" s="7"/>
      <c r="M855" s="7"/>
      <c r="N855" s="10"/>
      <c r="O855" s="113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5.75" customHeight="1">
      <c r="A856" s="10" t="s">
        <v>20</v>
      </c>
      <c r="B856" s="7" t="s">
        <v>113</v>
      </c>
      <c r="C856" s="135">
        <v>46238</v>
      </c>
      <c r="D856" s="44" t="s">
        <v>301</v>
      </c>
      <c r="E856" s="35" t="s">
        <v>479</v>
      </c>
      <c r="F856" s="121">
        <v>8.02</v>
      </c>
      <c r="G856" s="122">
        <f t="shared" si="32"/>
        <v>0</v>
      </c>
      <c r="H856" s="123">
        <f>IF(AND(ISNUMBER(F856), F856&gt;4, COUNTIFS($A$2:A856, A856, $B$2:B856, B856, $C$2:C856, C856, $F$2:F856, "&gt;4")=1), 1, 0)</f>
        <v>1</v>
      </c>
      <c r="I856" s="10">
        <f t="shared" si="33"/>
        <v>1</v>
      </c>
      <c r="J856" s="10"/>
      <c r="K856" s="7"/>
      <c r="L856" s="7"/>
      <c r="M856" s="7"/>
      <c r="N856" s="10"/>
      <c r="O856" s="113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5.75" customHeight="1">
      <c r="A857" s="10" t="s">
        <v>20</v>
      </c>
      <c r="B857" s="7" t="s">
        <v>113</v>
      </c>
      <c r="C857" s="135">
        <v>46239</v>
      </c>
      <c r="D857" s="44" t="s">
        <v>301</v>
      </c>
      <c r="E857" s="35" t="s">
        <v>199</v>
      </c>
      <c r="F857" s="121">
        <v>8</v>
      </c>
      <c r="G857" s="122">
        <f t="shared" si="32"/>
        <v>0</v>
      </c>
      <c r="H857" s="123">
        <f>IF(AND(ISNUMBER(F857), F857&gt;4, COUNTIFS($A$2:A857, A857, $B$2:B857, B857, $C$2:C857, C857, $F$2:F857, "&gt;4")=1), 1, 0)</f>
        <v>1</v>
      </c>
      <c r="I857" s="10">
        <f t="shared" si="33"/>
        <v>1</v>
      </c>
      <c r="J857" s="10"/>
      <c r="K857" s="7"/>
      <c r="L857" s="7"/>
      <c r="M857" s="7"/>
      <c r="N857" s="10"/>
      <c r="O857" s="113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5.75" customHeight="1">
      <c r="A858" s="10" t="s">
        <v>21</v>
      </c>
      <c r="B858" s="7" t="s">
        <v>113</v>
      </c>
      <c r="C858" s="135">
        <v>46235</v>
      </c>
      <c r="D858" s="44" t="s">
        <v>191</v>
      </c>
      <c r="E858" s="35" t="s">
        <v>348</v>
      </c>
      <c r="F858" s="121">
        <v>7.95</v>
      </c>
      <c r="G858" s="122">
        <f t="shared" si="32"/>
        <v>0</v>
      </c>
      <c r="H858" s="123">
        <f>IF(AND(ISNUMBER(F858), F858&gt;4, COUNTIFS($A$2:A858, A858, $B$2:B858, B858, $C$2:C858, C858, $F$2:F858, "&gt;4")=1), 1, 0)</f>
        <v>1</v>
      </c>
      <c r="I858" s="10">
        <f t="shared" si="33"/>
        <v>0</v>
      </c>
      <c r="J858" s="10"/>
      <c r="K858" s="7"/>
      <c r="L858" s="7"/>
      <c r="M858" s="7"/>
      <c r="N858" s="10"/>
      <c r="O858" s="113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.75" customHeight="1">
      <c r="A859" s="10" t="s">
        <v>21</v>
      </c>
      <c r="B859" s="7" t="s">
        <v>113</v>
      </c>
      <c r="C859" s="135">
        <v>46249</v>
      </c>
      <c r="D859" s="44" t="s">
        <v>191</v>
      </c>
      <c r="E859" s="35" t="s">
        <v>660</v>
      </c>
      <c r="F859" s="121">
        <v>9.8000000000000007</v>
      </c>
      <c r="G859" s="122">
        <f t="shared" si="32"/>
        <v>0</v>
      </c>
      <c r="H859" s="123">
        <f>IF(AND(ISNUMBER(F859), F859&gt;4, COUNTIFS($A$2:A859, A859, $B$2:B859, B859, $C$2:C859, C859, $F$2:F859, "&gt;4")=1), 1, 0)</f>
        <v>1</v>
      </c>
      <c r="I859" s="10">
        <f t="shared" si="33"/>
        <v>0</v>
      </c>
      <c r="J859" s="10"/>
      <c r="K859" s="7"/>
      <c r="L859" s="7"/>
      <c r="M859" s="7"/>
      <c r="N859" s="10"/>
      <c r="O859" s="113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.75" customHeight="1">
      <c r="A860" s="10" t="s">
        <v>21</v>
      </c>
      <c r="B860" s="7" t="s">
        <v>113</v>
      </c>
      <c r="C860" s="135">
        <v>46240</v>
      </c>
      <c r="D860" s="44" t="s">
        <v>265</v>
      </c>
      <c r="E860" s="35" t="s">
        <v>266</v>
      </c>
      <c r="F860" s="121">
        <v>5.45</v>
      </c>
      <c r="G860" s="122">
        <f t="shared" si="32"/>
        <v>0</v>
      </c>
      <c r="H860" s="123">
        <f>IF(AND(ISNUMBER(F860), F860&gt;4, COUNTIFS($A$2:A860, A860, $B$2:B860, B860, $C$2:C860, C860, $F$2:F860, "&gt;4")=1), 1, 0)</f>
        <v>1</v>
      </c>
      <c r="I860" s="10">
        <f t="shared" si="33"/>
        <v>0</v>
      </c>
      <c r="J860" s="10"/>
      <c r="K860" s="7"/>
      <c r="L860" s="7"/>
      <c r="M860" s="7"/>
      <c r="N860" s="10"/>
      <c r="O860" s="113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.75" customHeight="1">
      <c r="A861" s="10" t="s">
        <v>21</v>
      </c>
      <c r="B861" s="7" t="s">
        <v>113</v>
      </c>
      <c r="C861" s="135">
        <v>46241</v>
      </c>
      <c r="D861" s="44" t="s">
        <v>265</v>
      </c>
      <c r="E861" s="35" t="s">
        <v>661</v>
      </c>
      <c r="F861" s="121">
        <v>7.23</v>
      </c>
      <c r="G861" s="122">
        <f t="shared" si="32"/>
        <v>0</v>
      </c>
      <c r="H861" s="123">
        <f>IF(AND(ISNUMBER(F861), F861&gt;4, COUNTIFS($A$2:A861, A861, $B$2:B861, B861, $C$2:C861, C861, $F$2:F861, "&gt;4")=1), 1, 0)</f>
        <v>1</v>
      </c>
      <c r="I861" s="10">
        <f t="shared" si="33"/>
        <v>0</v>
      </c>
      <c r="J861" s="10"/>
      <c r="K861" s="7"/>
      <c r="L861" s="7"/>
      <c r="M861" s="7"/>
      <c r="N861" s="10"/>
      <c r="O861" s="113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.75" customHeight="1">
      <c r="A862" s="10" t="s">
        <v>21</v>
      </c>
      <c r="B862" s="7" t="s">
        <v>113</v>
      </c>
      <c r="C862" s="135">
        <v>46242</v>
      </c>
      <c r="D862" s="44" t="s">
        <v>265</v>
      </c>
      <c r="E862" s="35" t="s">
        <v>575</v>
      </c>
      <c r="F862" s="121">
        <v>6.4</v>
      </c>
      <c r="G862" s="122">
        <f t="shared" si="32"/>
        <v>0</v>
      </c>
      <c r="H862" s="123">
        <f>IF(AND(ISNUMBER(F862), F862&gt;4, COUNTIFS($A$2:A862, A862, $B$2:B862, B862, $C$2:C862, C862, $F$2:F862, "&gt;4")=1), 1, 0)</f>
        <v>1</v>
      </c>
      <c r="I862" s="10">
        <f t="shared" si="33"/>
        <v>0</v>
      </c>
      <c r="J862" s="10"/>
      <c r="K862" s="7"/>
      <c r="L862" s="7"/>
      <c r="M862" s="7"/>
      <c r="N862" s="10"/>
      <c r="O862" s="113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.75" customHeight="1">
      <c r="A863" s="10" t="s">
        <v>21</v>
      </c>
      <c r="B863" s="7" t="s">
        <v>113</v>
      </c>
      <c r="C863" s="135">
        <v>46243</v>
      </c>
      <c r="D863" s="44" t="s">
        <v>265</v>
      </c>
      <c r="E863" s="35" t="s">
        <v>662</v>
      </c>
      <c r="F863" s="121">
        <v>6.25</v>
      </c>
      <c r="G863" s="122">
        <f t="shared" si="32"/>
        <v>0</v>
      </c>
      <c r="H863" s="123">
        <f>IF(AND(ISNUMBER(F863), F863&gt;4, COUNTIFS($A$2:A863, A863, $B$2:B863, B863, $C$2:C863, C863, $F$2:F863, "&gt;4")=1), 1, 0)</f>
        <v>1</v>
      </c>
      <c r="I863" s="10">
        <f t="shared" si="33"/>
        <v>0</v>
      </c>
      <c r="J863" s="10"/>
      <c r="K863" s="7"/>
      <c r="L863" s="7"/>
      <c r="M863" s="7"/>
      <c r="N863" s="10"/>
      <c r="O863" s="113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.75" customHeight="1">
      <c r="A864" s="10" t="s">
        <v>21</v>
      </c>
      <c r="B864" s="7" t="s">
        <v>113</v>
      </c>
      <c r="C864" s="135">
        <v>46244</v>
      </c>
      <c r="D864" s="44" t="s">
        <v>265</v>
      </c>
      <c r="E864" s="35" t="s">
        <v>663</v>
      </c>
      <c r="F864" s="121">
        <v>7.53</v>
      </c>
      <c r="G864" s="122">
        <f t="shared" si="32"/>
        <v>0</v>
      </c>
      <c r="H864" s="123">
        <f>IF(AND(ISNUMBER(F864), F864&gt;4, COUNTIFS($A$2:A864, A864, $B$2:B864, B864, $C$2:C864, C864, $F$2:F864, "&gt;4")=1), 1, 0)</f>
        <v>1</v>
      </c>
      <c r="I864" s="10">
        <f t="shared" si="33"/>
        <v>0</v>
      </c>
      <c r="J864" s="10"/>
      <c r="K864" s="7"/>
      <c r="L864" s="7"/>
      <c r="M864" s="7"/>
      <c r="N864" s="10"/>
      <c r="O864" s="113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.75" customHeight="1">
      <c r="A865" s="10" t="s">
        <v>21</v>
      </c>
      <c r="B865" s="7" t="s">
        <v>113</v>
      </c>
      <c r="C865" s="135">
        <v>46245</v>
      </c>
      <c r="D865" s="44" t="s">
        <v>265</v>
      </c>
      <c r="E865" s="35" t="s">
        <v>664</v>
      </c>
      <c r="F865" s="121">
        <v>4.72</v>
      </c>
      <c r="G865" s="122">
        <f t="shared" si="32"/>
        <v>0</v>
      </c>
      <c r="H865" s="123">
        <f>IF(AND(ISNUMBER(F865), F865&gt;4, COUNTIFS($A$2:A865, A865, $B$2:B865, B865, $C$2:C865, C865, $F$2:F865, "&gt;4")=1), 1, 0)</f>
        <v>1</v>
      </c>
      <c r="I865" s="10">
        <f t="shared" si="33"/>
        <v>0</v>
      </c>
      <c r="J865" s="10"/>
      <c r="K865" s="7"/>
      <c r="L865" s="7"/>
      <c r="M865" s="7"/>
      <c r="N865" s="10"/>
      <c r="O865" s="113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.75" customHeight="1">
      <c r="A866" s="10" t="s">
        <v>21</v>
      </c>
      <c r="B866" s="7" t="s">
        <v>113</v>
      </c>
      <c r="C866" s="135">
        <v>46246</v>
      </c>
      <c r="D866" s="44" t="s">
        <v>265</v>
      </c>
      <c r="E866" s="35" t="s">
        <v>665</v>
      </c>
      <c r="F866" s="121">
        <v>6.43</v>
      </c>
      <c r="G866" s="122">
        <f t="shared" si="32"/>
        <v>0</v>
      </c>
      <c r="H866" s="123">
        <f>IF(AND(ISNUMBER(F866), F866&gt;4, COUNTIFS($A$2:A866, A866, $B$2:B866, B866, $C$2:C866, C866, $F$2:F866, "&gt;4")=1), 1, 0)</f>
        <v>1</v>
      </c>
      <c r="I866" s="10">
        <f t="shared" si="33"/>
        <v>0</v>
      </c>
      <c r="J866" s="10"/>
      <c r="K866" s="7"/>
      <c r="L866" s="7"/>
      <c r="M866" s="7"/>
      <c r="N866" s="10"/>
      <c r="O866" s="113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.75" customHeight="1">
      <c r="A867" s="10" t="s">
        <v>21</v>
      </c>
      <c r="B867" s="7" t="s">
        <v>113</v>
      </c>
      <c r="C867" s="135">
        <v>46247</v>
      </c>
      <c r="D867" s="44" t="s">
        <v>265</v>
      </c>
      <c r="E867" s="35" t="s">
        <v>518</v>
      </c>
      <c r="F867" s="121">
        <v>7.63</v>
      </c>
      <c r="G867" s="122">
        <f t="shared" si="32"/>
        <v>0</v>
      </c>
      <c r="H867" s="123">
        <f>IF(AND(ISNUMBER(F867), F867&gt;4, COUNTIFS($A$2:A867, A867, $B$2:B867, B867, $C$2:C867, C867, $F$2:F867, "&gt;4")=1), 1, 0)</f>
        <v>1</v>
      </c>
      <c r="I867" s="10">
        <f t="shared" si="33"/>
        <v>0</v>
      </c>
      <c r="J867" s="10"/>
      <c r="K867" s="7"/>
      <c r="L867" s="7"/>
      <c r="M867" s="7"/>
      <c r="N867" s="10"/>
      <c r="O867" s="113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.75" customHeight="1">
      <c r="A868" s="10" t="s">
        <v>21</v>
      </c>
      <c r="B868" s="7" t="s">
        <v>113</v>
      </c>
      <c r="C868" s="135">
        <v>46248</v>
      </c>
      <c r="D868" s="44" t="s">
        <v>265</v>
      </c>
      <c r="E868" s="35" t="s">
        <v>666</v>
      </c>
      <c r="F868" s="121">
        <v>7.18</v>
      </c>
      <c r="G868" s="122">
        <f t="shared" si="32"/>
        <v>0</v>
      </c>
      <c r="H868" s="123">
        <f>IF(AND(ISNUMBER(F868), F868&gt;4, COUNTIFS($A$2:A868, A868, $B$2:B868, B868, $C$2:C868, C868, $F$2:F868, "&gt;4")=1), 1, 0)</f>
        <v>1</v>
      </c>
      <c r="I868" s="10">
        <f t="shared" si="33"/>
        <v>0</v>
      </c>
      <c r="J868" s="10"/>
      <c r="K868" s="7"/>
      <c r="L868" s="7"/>
      <c r="M868" s="7"/>
      <c r="N868" s="10"/>
      <c r="O868" s="113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.75" customHeight="1">
      <c r="A869" s="10" t="s">
        <v>21</v>
      </c>
      <c r="B869" s="7" t="s">
        <v>113</v>
      </c>
      <c r="C869" s="135">
        <v>46236</v>
      </c>
      <c r="D869" s="44" t="s">
        <v>323</v>
      </c>
      <c r="E869" s="35" t="s">
        <v>667</v>
      </c>
      <c r="F869" s="121">
        <v>4.93</v>
      </c>
      <c r="G869" s="122">
        <f t="shared" si="32"/>
        <v>0</v>
      </c>
      <c r="H869" s="123">
        <f>IF(AND(ISNUMBER(F869), F869&gt;4, COUNTIFS($A$2:A869, A869, $B$2:B869, B869, $C$2:C869, C869, $F$2:F869, "&gt;4")=1), 1, 0)</f>
        <v>1</v>
      </c>
      <c r="I869" s="10">
        <f t="shared" si="33"/>
        <v>0</v>
      </c>
      <c r="J869" s="10"/>
      <c r="K869" s="7"/>
      <c r="L869" s="7"/>
      <c r="M869" s="7"/>
      <c r="N869" s="10"/>
      <c r="O869" s="113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.75" customHeight="1">
      <c r="A870" s="10" t="s">
        <v>21</v>
      </c>
      <c r="B870" s="7" t="s">
        <v>113</v>
      </c>
      <c r="C870" s="135">
        <v>46237</v>
      </c>
      <c r="D870" s="44" t="s">
        <v>323</v>
      </c>
      <c r="E870" s="35" t="s">
        <v>462</v>
      </c>
      <c r="F870" s="121">
        <v>5.78</v>
      </c>
      <c r="G870" s="122">
        <f t="shared" si="32"/>
        <v>0</v>
      </c>
      <c r="H870" s="123">
        <f>IF(AND(ISNUMBER(F870), F870&gt;4, COUNTIFS($A$2:A870, A870, $B$2:B870, B870, $C$2:C870, C870, $F$2:F870, "&gt;4")=1), 1, 0)</f>
        <v>1</v>
      </c>
      <c r="I870" s="10">
        <f t="shared" si="33"/>
        <v>0</v>
      </c>
      <c r="J870" s="10"/>
      <c r="K870" s="7"/>
      <c r="L870" s="7"/>
      <c r="M870" s="7"/>
      <c r="N870" s="10"/>
      <c r="O870" s="113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.75" customHeight="1">
      <c r="A871" s="10" t="s">
        <v>21</v>
      </c>
      <c r="B871" s="7" t="s">
        <v>113</v>
      </c>
      <c r="C871" s="135">
        <v>46238</v>
      </c>
      <c r="D871" s="44" t="s">
        <v>323</v>
      </c>
      <c r="E871" s="35" t="s">
        <v>655</v>
      </c>
      <c r="F871" s="121">
        <v>7.02</v>
      </c>
      <c r="G871" s="122">
        <f t="shared" si="32"/>
        <v>0</v>
      </c>
      <c r="H871" s="123">
        <f>IF(AND(ISNUMBER(F871), F871&gt;4, COUNTIFS($A$2:A871, A871, $B$2:B871, B871, $C$2:C871, C871, $F$2:F871, "&gt;4")=1), 1, 0)</f>
        <v>1</v>
      </c>
      <c r="I871" s="10">
        <f t="shared" si="33"/>
        <v>0</v>
      </c>
      <c r="J871" s="10"/>
      <c r="K871" s="7"/>
      <c r="L871" s="7"/>
      <c r="M871" s="7"/>
      <c r="N871" s="10"/>
      <c r="O871" s="113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.75" customHeight="1">
      <c r="A872" s="10" t="s">
        <v>21</v>
      </c>
      <c r="B872" s="7" t="s">
        <v>113</v>
      </c>
      <c r="C872" s="135">
        <v>46239</v>
      </c>
      <c r="D872" s="44" t="s">
        <v>323</v>
      </c>
      <c r="E872" s="35" t="s">
        <v>668</v>
      </c>
      <c r="F872" s="121">
        <v>5.73</v>
      </c>
      <c r="G872" s="122">
        <f t="shared" si="32"/>
        <v>0</v>
      </c>
      <c r="H872" s="123">
        <f>IF(AND(ISNUMBER(F872), F872&gt;4, COUNTIFS($A$2:A872, A872, $B$2:B872, B872, $C$2:C872, C872, $F$2:F872, "&gt;4")=1), 1, 0)</f>
        <v>1</v>
      </c>
      <c r="I872" s="10">
        <f t="shared" si="33"/>
        <v>0</v>
      </c>
      <c r="J872" s="10"/>
      <c r="K872" s="7"/>
      <c r="L872" s="7"/>
      <c r="M872" s="7"/>
      <c r="N872" s="10"/>
      <c r="O872" s="113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.75" customHeight="1">
      <c r="A873" s="10" t="s">
        <v>21</v>
      </c>
      <c r="B873" s="7" t="s">
        <v>113</v>
      </c>
      <c r="C873" s="135">
        <v>46236</v>
      </c>
      <c r="D873" s="44" t="s">
        <v>267</v>
      </c>
      <c r="E873" s="35" t="s">
        <v>348</v>
      </c>
      <c r="F873" s="121">
        <v>7.95</v>
      </c>
      <c r="G873" s="122">
        <f t="shared" si="32"/>
        <v>0</v>
      </c>
      <c r="H873" s="123">
        <f>IF(AND(ISNUMBER(F873), F873&gt;4, COUNTIFS($A$2:A873, A873, $B$2:B873, B873, $C$2:C873, C873, $F$2:F873, "&gt;4")=1), 1, 0)</f>
        <v>0</v>
      </c>
      <c r="I873" s="10">
        <f t="shared" si="33"/>
        <v>1</v>
      </c>
      <c r="J873" s="10"/>
      <c r="K873" s="7"/>
      <c r="L873" s="7"/>
      <c r="M873" s="7"/>
      <c r="N873" s="10"/>
      <c r="O873" s="113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.75" customHeight="1">
      <c r="A874" s="10" t="s">
        <v>21</v>
      </c>
      <c r="B874" s="7" t="s">
        <v>113</v>
      </c>
      <c r="C874" s="135">
        <v>46242</v>
      </c>
      <c r="D874" s="44" t="s">
        <v>267</v>
      </c>
      <c r="E874" s="35" t="s">
        <v>348</v>
      </c>
      <c r="F874" s="121">
        <v>7.95</v>
      </c>
      <c r="G874" s="122">
        <f t="shared" si="32"/>
        <v>0</v>
      </c>
      <c r="H874" s="123">
        <f>IF(AND(ISNUMBER(F874), F874&gt;4, COUNTIFS($A$2:A874, A874, $B$2:B874, B874, $C$2:C874, C874, $F$2:F874, "&gt;4")=1), 1, 0)</f>
        <v>0</v>
      </c>
      <c r="I874" s="10">
        <f t="shared" si="33"/>
        <v>1</v>
      </c>
      <c r="J874" s="10"/>
      <c r="K874" s="7"/>
      <c r="L874" s="7"/>
      <c r="M874" s="7"/>
      <c r="N874" s="10"/>
      <c r="O874" s="113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.75" customHeight="1">
      <c r="A875" s="10" t="s">
        <v>21</v>
      </c>
      <c r="B875" s="7" t="s">
        <v>111</v>
      </c>
      <c r="C875" s="135">
        <v>46235</v>
      </c>
      <c r="D875" s="44" t="s">
        <v>191</v>
      </c>
      <c r="E875" s="35" t="s">
        <v>669</v>
      </c>
      <c r="F875" s="121">
        <v>0.9</v>
      </c>
      <c r="G875" s="122">
        <f t="shared" si="32"/>
        <v>1</v>
      </c>
      <c r="H875" s="123">
        <f>IF(AND(ISNUMBER(F875), F875&gt;4, COUNTIFS($A$2:A875, A875, $B$2:B875, B875, $C$2:C875, C875, $F$2:F875, "&gt;4")=1), 1, 0)</f>
        <v>0</v>
      </c>
      <c r="I875" s="10">
        <f t="shared" si="33"/>
        <v>0</v>
      </c>
      <c r="J875" s="10"/>
      <c r="K875" s="7"/>
      <c r="L875" s="7"/>
      <c r="M875" s="7"/>
      <c r="N875" s="10"/>
      <c r="O875" s="113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.75" customHeight="1">
      <c r="A876" s="10" t="s">
        <v>21</v>
      </c>
      <c r="B876" s="7" t="s">
        <v>111</v>
      </c>
      <c r="C876" s="135">
        <v>46236</v>
      </c>
      <c r="D876" s="44" t="s">
        <v>191</v>
      </c>
      <c r="E876" s="35" t="s">
        <v>507</v>
      </c>
      <c r="F876" s="121">
        <v>0</v>
      </c>
      <c r="G876" s="122">
        <f t="shared" si="32"/>
        <v>1</v>
      </c>
      <c r="H876" s="123">
        <f>IF(AND(ISNUMBER(F876), F876&gt;4, COUNTIFS($A$2:A876, A876, $B$2:B876, B876, $C$2:C876, C876, $F$2:F876, "&gt;4")=1), 1, 0)</f>
        <v>0</v>
      </c>
      <c r="I876" s="10">
        <f t="shared" si="33"/>
        <v>0</v>
      </c>
      <c r="J876" s="10"/>
      <c r="K876" s="7"/>
      <c r="L876" s="7"/>
      <c r="M876" s="7"/>
      <c r="N876" s="10"/>
      <c r="O876" s="113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.75" customHeight="1">
      <c r="A877" s="10" t="s">
        <v>21</v>
      </c>
      <c r="B877" s="7" t="s">
        <v>111</v>
      </c>
      <c r="C877" s="135">
        <v>46237</v>
      </c>
      <c r="D877" s="44" t="s">
        <v>191</v>
      </c>
      <c r="E877" s="35" t="s">
        <v>670</v>
      </c>
      <c r="F877" s="121">
        <v>2.92</v>
      </c>
      <c r="G877" s="122">
        <f t="shared" si="32"/>
        <v>1</v>
      </c>
      <c r="H877" s="123">
        <f>IF(AND(ISNUMBER(F877), F877&gt;4, COUNTIFS($A$2:A877, A877, $B$2:B877, B877, $C$2:C877, C877, $F$2:F877, "&gt;4")=1), 1, 0)</f>
        <v>0</v>
      </c>
      <c r="I877" s="10">
        <f t="shared" si="33"/>
        <v>0</v>
      </c>
      <c r="J877" s="10"/>
      <c r="K877" s="7"/>
      <c r="L877" s="7"/>
      <c r="M877" s="7"/>
      <c r="N877" s="10"/>
      <c r="O877" s="113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.75" customHeight="1">
      <c r="A878" s="10" t="s">
        <v>21</v>
      </c>
      <c r="B878" s="7" t="s">
        <v>111</v>
      </c>
      <c r="C878" s="135">
        <v>46238</v>
      </c>
      <c r="D878" s="44" t="s">
        <v>191</v>
      </c>
      <c r="E878" s="35" t="s">
        <v>671</v>
      </c>
      <c r="F878" s="121">
        <v>0.73</v>
      </c>
      <c r="G878" s="122">
        <f t="shared" si="32"/>
        <v>1</v>
      </c>
      <c r="H878" s="123">
        <f>IF(AND(ISNUMBER(F878), F878&gt;4, COUNTIFS($A$2:A878, A878, $B$2:B878, B878, $C$2:C878, C878, $F$2:F878, "&gt;4")=1), 1, 0)</f>
        <v>0</v>
      </c>
      <c r="I878" s="10">
        <f t="shared" si="33"/>
        <v>0</v>
      </c>
      <c r="J878" s="10"/>
      <c r="K878" s="7"/>
      <c r="L878" s="7"/>
      <c r="M878" s="7"/>
      <c r="N878" s="10"/>
      <c r="O878" s="113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.75" customHeight="1">
      <c r="A879" s="10" t="s">
        <v>21</v>
      </c>
      <c r="B879" s="7" t="s">
        <v>111</v>
      </c>
      <c r="C879" s="135">
        <v>46239</v>
      </c>
      <c r="D879" s="44" t="s">
        <v>191</v>
      </c>
      <c r="E879" s="35" t="s">
        <v>551</v>
      </c>
      <c r="F879" s="121">
        <v>0.7</v>
      </c>
      <c r="G879" s="122">
        <f t="shared" si="32"/>
        <v>1</v>
      </c>
      <c r="H879" s="123">
        <f>IF(AND(ISNUMBER(F879), F879&gt;4, COUNTIFS($A$2:A879, A879, $B$2:B879, B879, $C$2:C879, C879, $F$2:F879, "&gt;4")=1), 1, 0)</f>
        <v>0</v>
      </c>
      <c r="I879" s="10">
        <f t="shared" si="33"/>
        <v>0</v>
      </c>
      <c r="J879" s="10"/>
      <c r="K879" s="7"/>
      <c r="L879" s="7"/>
      <c r="M879" s="7"/>
      <c r="N879" s="10"/>
      <c r="O879" s="113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.75" customHeight="1">
      <c r="A880" s="10" t="s">
        <v>21</v>
      </c>
      <c r="B880" s="7" t="s">
        <v>111</v>
      </c>
      <c r="C880" s="135">
        <v>46240</v>
      </c>
      <c r="D880" s="44" t="s">
        <v>191</v>
      </c>
      <c r="E880" s="35" t="s">
        <v>672</v>
      </c>
      <c r="F880" s="121">
        <v>0.93</v>
      </c>
      <c r="G880" s="122">
        <f t="shared" si="32"/>
        <v>1</v>
      </c>
      <c r="H880" s="123">
        <f>IF(AND(ISNUMBER(F880), F880&gt;4, COUNTIFS($A$2:A880, A880, $B$2:B880, B880, $C$2:C880, C880, $F$2:F880, "&gt;4")=1), 1, 0)</f>
        <v>0</v>
      </c>
      <c r="I880" s="10">
        <f t="shared" si="33"/>
        <v>0</v>
      </c>
      <c r="J880" s="10"/>
      <c r="K880" s="7"/>
      <c r="L880" s="7"/>
      <c r="M880" s="7"/>
      <c r="N880" s="10"/>
      <c r="O880" s="113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.75" customHeight="1">
      <c r="A881" s="10" t="s">
        <v>21</v>
      </c>
      <c r="B881" s="7" t="s">
        <v>111</v>
      </c>
      <c r="C881" s="135">
        <v>46241</v>
      </c>
      <c r="D881" s="44" t="s">
        <v>191</v>
      </c>
      <c r="E881" s="35" t="s">
        <v>673</v>
      </c>
      <c r="F881" s="121">
        <v>1.25</v>
      </c>
      <c r="G881" s="122">
        <f t="shared" si="32"/>
        <v>1</v>
      </c>
      <c r="H881" s="123">
        <f>IF(AND(ISNUMBER(F881), F881&gt;4, COUNTIFS($A$2:A881, A881, $B$2:B881, B881, $C$2:C881, C881, $F$2:F881, "&gt;4")=1), 1, 0)</f>
        <v>0</v>
      </c>
      <c r="I881" s="10">
        <f t="shared" si="33"/>
        <v>0</v>
      </c>
      <c r="J881" s="10"/>
      <c r="K881" s="7"/>
      <c r="L881" s="7"/>
      <c r="M881" s="7"/>
      <c r="N881" s="10"/>
      <c r="O881" s="113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.75" customHeight="1">
      <c r="A882" s="10" t="s">
        <v>21</v>
      </c>
      <c r="B882" s="7" t="s">
        <v>111</v>
      </c>
      <c r="C882" s="135">
        <v>46242</v>
      </c>
      <c r="D882" s="44" t="s">
        <v>191</v>
      </c>
      <c r="E882" s="35" t="s">
        <v>674</v>
      </c>
      <c r="F882" s="121">
        <v>0.68</v>
      </c>
      <c r="G882" s="122">
        <f t="shared" si="32"/>
        <v>1</v>
      </c>
      <c r="H882" s="123">
        <f>IF(AND(ISNUMBER(F882), F882&gt;4, COUNTIFS($A$2:A882, A882, $B$2:B882, B882, $C$2:C882, C882, $F$2:F882, "&gt;4")=1), 1, 0)</f>
        <v>0</v>
      </c>
      <c r="I882" s="10">
        <f t="shared" si="33"/>
        <v>0</v>
      </c>
      <c r="J882" s="10"/>
      <c r="K882" s="7"/>
      <c r="L882" s="7"/>
      <c r="M882" s="7"/>
      <c r="N882" s="10"/>
      <c r="O882" s="113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.75" customHeight="1">
      <c r="A883" s="10" t="s">
        <v>21</v>
      </c>
      <c r="B883" s="7" t="s">
        <v>111</v>
      </c>
      <c r="C883" s="135">
        <v>46243</v>
      </c>
      <c r="D883" s="44" t="s">
        <v>191</v>
      </c>
      <c r="E883" s="35" t="s">
        <v>622</v>
      </c>
      <c r="F883" s="121">
        <v>1.28</v>
      </c>
      <c r="G883" s="122">
        <f t="shared" si="32"/>
        <v>1</v>
      </c>
      <c r="H883" s="123">
        <f>IF(AND(ISNUMBER(F883), F883&gt;4, COUNTIFS($A$2:A883, A883, $B$2:B883, B883, $C$2:C883, C883, $F$2:F883, "&gt;4")=1), 1, 0)</f>
        <v>0</v>
      </c>
      <c r="I883" s="10">
        <f t="shared" si="33"/>
        <v>0</v>
      </c>
      <c r="J883" s="10"/>
      <c r="K883" s="7"/>
      <c r="L883" s="7"/>
      <c r="M883" s="7"/>
      <c r="N883" s="10"/>
      <c r="O883" s="113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.75" customHeight="1">
      <c r="A884" s="10" t="s">
        <v>21</v>
      </c>
      <c r="B884" s="7" t="s">
        <v>111</v>
      </c>
      <c r="C884" s="135">
        <v>46244</v>
      </c>
      <c r="D884" s="44" t="s">
        <v>191</v>
      </c>
      <c r="E884" s="35" t="s">
        <v>583</v>
      </c>
      <c r="F884" s="121">
        <v>1.02</v>
      </c>
      <c r="G884" s="122">
        <f t="shared" si="32"/>
        <v>1</v>
      </c>
      <c r="H884" s="123">
        <f>IF(AND(ISNUMBER(F884), F884&gt;4, COUNTIFS($A$2:A884, A884, $B$2:B884, B884, $C$2:C884, C884, $F$2:F884, "&gt;4")=1), 1, 0)</f>
        <v>0</v>
      </c>
      <c r="I884" s="10">
        <f t="shared" si="33"/>
        <v>0</v>
      </c>
      <c r="J884" s="10"/>
      <c r="K884" s="7"/>
      <c r="L884" s="7"/>
      <c r="M884" s="7"/>
      <c r="N884" s="10"/>
      <c r="O884" s="113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.75" customHeight="1">
      <c r="A885" s="10" t="s">
        <v>21</v>
      </c>
      <c r="B885" s="7" t="s">
        <v>111</v>
      </c>
      <c r="C885" s="135">
        <v>46245</v>
      </c>
      <c r="D885" s="44" t="s">
        <v>191</v>
      </c>
      <c r="E885" s="35" t="s">
        <v>505</v>
      </c>
      <c r="F885" s="121">
        <v>0.53</v>
      </c>
      <c r="G885" s="122">
        <f t="shared" si="32"/>
        <v>1</v>
      </c>
      <c r="H885" s="123">
        <f>IF(AND(ISNUMBER(F885), F885&gt;4, COUNTIFS($A$2:A885, A885, $B$2:B885, B885, $C$2:C885, C885, $F$2:F885, "&gt;4")=1), 1, 0)</f>
        <v>0</v>
      </c>
      <c r="I885" s="10">
        <f t="shared" si="33"/>
        <v>0</v>
      </c>
      <c r="J885" s="10"/>
      <c r="K885" s="7"/>
      <c r="L885" s="7"/>
      <c r="M885" s="7"/>
      <c r="N885" s="10"/>
      <c r="O885" s="113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.75" customHeight="1">
      <c r="A886" s="10" t="s">
        <v>21</v>
      </c>
      <c r="B886" s="7" t="s">
        <v>111</v>
      </c>
      <c r="C886" s="135">
        <v>46246</v>
      </c>
      <c r="D886" s="44" t="s">
        <v>191</v>
      </c>
      <c r="E886" s="35" t="s">
        <v>675</v>
      </c>
      <c r="F886" s="121">
        <v>0.77</v>
      </c>
      <c r="G886" s="122">
        <f t="shared" si="32"/>
        <v>1</v>
      </c>
      <c r="H886" s="123">
        <f>IF(AND(ISNUMBER(F886), F886&gt;4, COUNTIFS($A$2:A886, A886, $B$2:B886, B886, $C$2:C886, C886, $F$2:F886, "&gt;4")=1), 1, 0)</f>
        <v>0</v>
      </c>
      <c r="I886" s="10">
        <f t="shared" si="33"/>
        <v>0</v>
      </c>
      <c r="J886" s="10"/>
      <c r="K886" s="7"/>
      <c r="L886" s="7"/>
      <c r="M886" s="7"/>
      <c r="N886" s="10"/>
      <c r="O886" s="113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.75" customHeight="1">
      <c r="A887" s="10" t="s">
        <v>21</v>
      </c>
      <c r="B887" s="7" t="s">
        <v>111</v>
      </c>
      <c r="C887" s="135">
        <v>46247</v>
      </c>
      <c r="D887" s="44" t="s">
        <v>191</v>
      </c>
      <c r="E887" s="35" t="s">
        <v>676</v>
      </c>
      <c r="F887" s="121">
        <v>0.43</v>
      </c>
      <c r="G887" s="122">
        <f t="shared" si="32"/>
        <v>1</v>
      </c>
      <c r="H887" s="123">
        <f>IF(AND(ISNUMBER(F887), F887&gt;4, COUNTIFS($A$2:A887, A887, $B$2:B887, B887, $C$2:C887, C887, $F$2:F887, "&gt;4")=1), 1, 0)</f>
        <v>0</v>
      </c>
      <c r="I887" s="10">
        <f t="shared" si="33"/>
        <v>0</v>
      </c>
      <c r="J887" s="10"/>
      <c r="K887" s="7"/>
      <c r="L887" s="7"/>
      <c r="M887" s="7"/>
      <c r="N887" s="10"/>
      <c r="O887" s="113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.75" customHeight="1">
      <c r="A888" s="10" t="s">
        <v>21</v>
      </c>
      <c r="B888" s="7" t="s">
        <v>111</v>
      </c>
      <c r="C888" s="135">
        <v>46248</v>
      </c>
      <c r="D888" s="44" t="s">
        <v>191</v>
      </c>
      <c r="E888" s="35" t="s">
        <v>675</v>
      </c>
      <c r="F888" s="121">
        <v>0.77</v>
      </c>
      <c r="G888" s="122">
        <f t="shared" si="32"/>
        <v>1</v>
      </c>
      <c r="H888" s="123">
        <f>IF(AND(ISNUMBER(F888), F888&gt;4, COUNTIFS($A$2:A888, A888, $B$2:B888, B888, $C$2:C888, C888, $F$2:F888, "&gt;4")=1), 1, 0)</f>
        <v>0</v>
      </c>
      <c r="I888" s="10">
        <f t="shared" si="33"/>
        <v>0</v>
      </c>
      <c r="J888" s="10"/>
      <c r="K888" s="7"/>
      <c r="L888" s="7"/>
      <c r="M888" s="7"/>
      <c r="N888" s="10"/>
      <c r="O888" s="113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.75" customHeight="1">
      <c r="A889" s="10" t="s">
        <v>21</v>
      </c>
      <c r="B889" s="7" t="s">
        <v>111</v>
      </c>
      <c r="C889" s="135">
        <v>46249</v>
      </c>
      <c r="D889" s="44" t="s">
        <v>191</v>
      </c>
      <c r="E889" s="35" t="s">
        <v>505</v>
      </c>
      <c r="F889" s="121">
        <v>0.53</v>
      </c>
      <c r="G889" s="122">
        <f t="shared" si="32"/>
        <v>1</v>
      </c>
      <c r="H889" s="123">
        <f>IF(AND(ISNUMBER(F889), F889&gt;4, COUNTIFS($A$2:A889, A889, $B$2:B889, B889, $C$2:C889, C889, $F$2:F889, "&gt;4")=1), 1, 0)</f>
        <v>0</v>
      </c>
      <c r="I889" s="10">
        <f t="shared" si="33"/>
        <v>0</v>
      </c>
      <c r="J889" s="10"/>
      <c r="K889" s="7"/>
      <c r="L889" s="7"/>
      <c r="M889" s="7"/>
      <c r="N889" s="10"/>
      <c r="O889" s="113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.75" customHeight="1">
      <c r="A890" s="10" t="s">
        <v>21</v>
      </c>
      <c r="B890" s="7" t="s">
        <v>111</v>
      </c>
      <c r="C890" s="135">
        <v>46254</v>
      </c>
      <c r="D890" s="44" t="s">
        <v>191</v>
      </c>
      <c r="E890" s="35" t="s">
        <v>677</v>
      </c>
      <c r="F890" s="121">
        <v>0.63</v>
      </c>
      <c r="G890" s="122">
        <f t="shared" si="32"/>
        <v>1</v>
      </c>
      <c r="H890" s="123">
        <f>IF(AND(ISNUMBER(F890), F890&gt;4, COUNTIFS($A$2:A890, A890, $B$2:B890, B890, $C$2:C890, C890, $F$2:F890, "&gt;4")=1), 1, 0)</f>
        <v>0</v>
      </c>
      <c r="I890" s="10">
        <f t="shared" si="33"/>
        <v>0</v>
      </c>
      <c r="J890" s="10"/>
      <c r="K890" s="7"/>
      <c r="L890" s="7"/>
      <c r="M890" s="7"/>
      <c r="N890" s="10"/>
      <c r="O890" s="113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.75" customHeight="1">
      <c r="A891" s="10" t="s">
        <v>21</v>
      </c>
      <c r="B891" s="7" t="s">
        <v>111</v>
      </c>
      <c r="C891" s="135">
        <v>46255</v>
      </c>
      <c r="D891" s="44" t="s">
        <v>191</v>
      </c>
      <c r="E891" s="35" t="s">
        <v>675</v>
      </c>
      <c r="F891" s="121">
        <v>0.77</v>
      </c>
      <c r="G891" s="122">
        <f t="shared" si="32"/>
        <v>1</v>
      </c>
      <c r="H891" s="123">
        <f>IF(AND(ISNUMBER(F891), F891&gt;4, COUNTIFS($A$2:A891, A891, $B$2:B891, B891, $C$2:C891, C891, $F$2:F891, "&gt;4")=1), 1, 0)</f>
        <v>0</v>
      </c>
      <c r="I891" s="10">
        <f t="shared" si="33"/>
        <v>0</v>
      </c>
      <c r="J891" s="10"/>
      <c r="K891" s="7"/>
      <c r="L891" s="7"/>
      <c r="M891" s="7"/>
      <c r="N891" s="10"/>
      <c r="O891" s="113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.75" customHeight="1">
      <c r="A892" s="10" t="s">
        <v>21</v>
      </c>
      <c r="B892" s="7" t="s">
        <v>111</v>
      </c>
      <c r="C892" s="135">
        <v>46256</v>
      </c>
      <c r="D892" s="44" t="s">
        <v>191</v>
      </c>
      <c r="E892" s="35" t="s">
        <v>678</v>
      </c>
      <c r="F892" s="121">
        <v>2.4300000000000002</v>
      </c>
      <c r="G892" s="122">
        <f t="shared" si="32"/>
        <v>1</v>
      </c>
      <c r="H892" s="123">
        <f>IF(AND(ISNUMBER(F892), F892&gt;4, COUNTIFS($A$2:A892, A892, $B$2:B892, B892, $C$2:C892, C892, $F$2:F892, "&gt;4")=1), 1, 0)</f>
        <v>0</v>
      </c>
      <c r="I892" s="10">
        <f t="shared" si="33"/>
        <v>0</v>
      </c>
      <c r="J892" s="10"/>
      <c r="K892" s="7"/>
      <c r="L892" s="7"/>
      <c r="M892" s="7"/>
      <c r="N892" s="10"/>
      <c r="O892" s="113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.75" customHeight="1">
      <c r="A893" s="10" t="s">
        <v>21</v>
      </c>
      <c r="B893" s="7" t="s">
        <v>111</v>
      </c>
      <c r="C893" s="135">
        <v>46257</v>
      </c>
      <c r="D893" s="44" t="s">
        <v>191</v>
      </c>
      <c r="E893" s="35" t="s">
        <v>282</v>
      </c>
      <c r="F893" s="121">
        <v>2</v>
      </c>
      <c r="G893" s="122">
        <f t="shared" si="32"/>
        <v>1</v>
      </c>
      <c r="H893" s="123">
        <f>IF(AND(ISNUMBER(F893), F893&gt;4, COUNTIFS($A$2:A893, A893, $B$2:B893, B893, $C$2:C893, C893, $F$2:F893, "&gt;4")=1), 1, 0)</f>
        <v>0</v>
      </c>
      <c r="I893" s="10">
        <f t="shared" si="33"/>
        <v>0</v>
      </c>
      <c r="J893" s="10"/>
      <c r="K893" s="7"/>
      <c r="L893" s="7"/>
      <c r="M893" s="7"/>
      <c r="N893" s="10"/>
      <c r="O893" s="113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.75" customHeight="1">
      <c r="A894" s="10" t="s">
        <v>21</v>
      </c>
      <c r="B894" s="7" t="s">
        <v>111</v>
      </c>
      <c r="C894" s="135">
        <v>46259</v>
      </c>
      <c r="D894" s="44" t="s">
        <v>191</v>
      </c>
      <c r="E894" s="35" t="s">
        <v>671</v>
      </c>
      <c r="F894" s="121">
        <v>0.73</v>
      </c>
      <c r="G894" s="122">
        <f t="shared" si="32"/>
        <v>1</v>
      </c>
      <c r="H894" s="123">
        <f>IF(AND(ISNUMBER(F894), F894&gt;4, COUNTIFS($A$2:A894, A894, $B$2:B894, B894, $C$2:C894, C894, $F$2:F894, "&gt;4")=1), 1, 0)</f>
        <v>0</v>
      </c>
      <c r="I894" s="10">
        <f t="shared" si="33"/>
        <v>0</v>
      </c>
      <c r="J894" s="10"/>
      <c r="K894" s="7"/>
      <c r="L894" s="7"/>
      <c r="M894" s="7"/>
      <c r="N894" s="10"/>
      <c r="O894" s="113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.75" customHeight="1">
      <c r="A895" s="10" t="s">
        <v>21</v>
      </c>
      <c r="B895" s="7" t="s">
        <v>111</v>
      </c>
      <c r="C895" s="135">
        <v>46261</v>
      </c>
      <c r="D895" s="44" t="s">
        <v>191</v>
      </c>
      <c r="E895" s="35" t="s">
        <v>669</v>
      </c>
      <c r="F895" s="121">
        <v>0.9</v>
      </c>
      <c r="G895" s="122">
        <f t="shared" si="32"/>
        <v>1</v>
      </c>
      <c r="H895" s="123">
        <f>IF(AND(ISNUMBER(F895), F895&gt;4, COUNTIFS($A$2:A895, A895, $B$2:B895, B895, $C$2:C895, C895, $F$2:F895, "&gt;4")=1), 1, 0)</f>
        <v>0</v>
      </c>
      <c r="I895" s="10">
        <f t="shared" si="33"/>
        <v>0</v>
      </c>
      <c r="J895" s="10"/>
      <c r="K895" s="7"/>
      <c r="L895" s="7"/>
      <c r="M895" s="7"/>
      <c r="N895" s="10"/>
      <c r="O895" s="113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.75" customHeight="1">
      <c r="A896" s="10" t="s">
        <v>21</v>
      </c>
      <c r="B896" s="7" t="s">
        <v>111</v>
      </c>
      <c r="C896" s="135">
        <v>46262</v>
      </c>
      <c r="D896" s="44" t="s">
        <v>191</v>
      </c>
      <c r="E896" s="35" t="s">
        <v>679</v>
      </c>
      <c r="F896" s="121">
        <v>2.2799999999999998</v>
      </c>
      <c r="G896" s="122">
        <f t="shared" si="32"/>
        <v>1</v>
      </c>
      <c r="H896" s="123">
        <f>IF(AND(ISNUMBER(F896), F896&gt;4, COUNTIFS($A$2:A896, A896, $B$2:B896, B896, $C$2:C896, C896, $F$2:F896, "&gt;4")=1), 1, 0)</f>
        <v>0</v>
      </c>
      <c r="I896" s="10">
        <f t="shared" si="33"/>
        <v>0</v>
      </c>
      <c r="J896" s="10"/>
      <c r="K896" s="7"/>
      <c r="L896" s="7"/>
      <c r="M896" s="7"/>
      <c r="N896" s="10"/>
      <c r="O896" s="113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.75" customHeight="1">
      <c r="A897" s="10" t="s">
        <v>21</v>
      </c>
      <c r="B897" s="7" t="s">
        <v>111</v>
      </c>
      <c r="C897" s="135">
        <v>46263</v>
      </c>
      <c r="D897" s="44" t="s">
        <v>191</v>
      </c>
      <c r="E897" s="35" t="s">
        <v>680</v>
      </c>
      <c r="F897" s="121">
        <v>14.92</v>
      </c>
      <c r="G897" s="122">
        <f t="shared" si="32"/>
        <v>0</v>
      </c>
      <c r="H897" s="123">
        <f>IF(AND(ISNUMBER(F897), F897&gt;4, COUNTIFS($A$2:A897, A897, $B$2:B897, B897, $C$2:C897, C897, $F$2:F897, "&gt;4")=1), 1, 0)</f>
        <v>1</v>
      </c>
      <c r="I897" s="10">
        <f t="shared" si="33"/>
        <v>0</v>
      </c>
      <c r="J897" s="10"/>
      <c r="K897" s="7"/>
      <c r="L897" s="7"/>
      <c r="M897" s="7"/>
      <c r="N897" s="10"/>
      <c r="O897" s="113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.75" customHeight="1">
      <c r="A898" s="10" t="s">
        <v>21</v>
      </c>
      <c r="B898" s="7" t="s">
        <v>111</v>
      </c>
      <c r="C898" s="135">
        <v>46264</v>
      </c>
      <c r="D898" s="44" t="s">
        <v>191</v>
      </c>
      <c r="E898" s="35" t="s">
        <v>681</v>
      </c>
      <c r="F898" s="121">
        <v>2.63</v>
      </c>
      <c r="G898" s="122">
        <f t="shared" ref="G898:G961" si="34">IF(AND(ISNUMBER(F898), F898&lt;=4), 1, 0)</f>
        <v>1</v>
      </c>
      <c r="H898" s="123">
        <f>IF(AND(ISNUMBER(F898), F898&gt;4, COUNTIFS($A$2:A898, A898, $B$2:B898, B898, $C$2:C898, C898, $F$2:F898, "&gt;4")=1), 1, 0)</f>
        <v>0</v>
      </c>
      <c r="I898" s="10">
        <f t="shared" ref="I898:I961" si="35">IF(AND(ISNUMBER(F898), F898&gt;4, ISNUMBER(SEARCH("đêm", D898))), 1, 0)</f>
        <v>0</v>
      </c>
      <c r="J898" s="10"/>
      <c r="K898" s="7"/>
      <c r="L898" s="7"/>
      <c r="M898" s="7"/>
      <c r="N898" s="10"/>
      <c r="O898" s="113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.75" customHeight="1">
      <c r="A899" s="10" t="s">
        <v>21</v>
      </c>
      <c r="B899" s="7" t="s">
        <v>111</v>
      </c>
      <c r="C899" s="135">
        <v>46247</v>
      </c>
      <c r="D899" s="44" t="s">
        <v>317</v>
      </c>
      <c r="E899" s="35" t="s">
        <v>682</v>
      </c>
      <c r="F899" s="121">
        <v>1.42</v>
      </c>
      <c r="G899" s="122">
        <f t="shared" si="34"/>
        <v>1</v>
      </c>
      <c r="H899" s="123">
        <f>IF(AND(ISNUMBER(F899), F899&gt;4, COUNTIFS($A$2:A899, A899, $B$2:B899, B899, $C$2:C899, C899, $F$2:F899, "&gt;4")=1), 1, 0)</f>
        <v>0</v>
      </c>
      <c r="I899" s="10">
        <f t="shared" si="35"/>
        <v>0</v>
      </c>
      <c r="J899" s="10"/>
      <c r="K899" s="7"/>
      <c r="L899" s="7"/>
      <c r="M899" s="7"/>
      <c r="N899" s="10"/>
      <c r="O899" s="113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.75" customHeight="1">
      <c r="A900" s="10" t="s">
        <v>21</v>
      </c>
      <c r="B900" s="7" t="s">
        <v>111</v>
      </c>
      <c r="C900" s="135">
        <v>46251</v>
      </c>
      <c r="D900" s="44" t="s">
        <v>317</v>
      </c>
      <c r="E900" s="35" t="s">
        <v>197</v>
      </c>
      <c r="F900" s="121">
        <v>1.1000000000000001</v>
      </c>
      <c r="G900" s="122">
        <f t="shared" si="34"/>
        <v>1</v>
      </c>
      <c r="H900" s="123">
        <f>IF(AND(ISNUMBER(F900), F900&gt;4, COUNTIFS($A$2:A900, A900, $B$2:B900, B900, $C$2:C900, C900, $F$2:F900, "&gt;4")=1), 1, 0)</f>
        <v>0</v>
      </c>
      <c r="I900" s="10">
        <f t="shared" si="35"/>
        <v>0</v>
      </c>
      <c r="J900" s="10"/>
      <c r="K900" s="7"/>
      <c r="L900" s="7"/>
      <c r="M900" s="7"/>
      <c r="N900" s="10"/>
      <c r="O900" s="113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.75" customHeight="1">
      <c r="A901" s="10" t="s">
        <v>21</v>
      </c>
      <c r="B901" s="7" t="s">
        <v>111</v>
      </c>
      <c r="C901" s="135">
        <v>46257</v>
      </c>
      <c r="D901" s="44" t="s">
        <v>317</v>
      </c>
      <c r="E901" s="35" t="s">
        <v>683</v>
      </c>
      <c r="F901" s="121">
        <v>1.82</v>
      </c>
      <c r="G901" s="122">
        <f t="shared" si="34"/>
        <v>1</v>
      </c>
      <c r="H901" s="123">
        <f>IF(AND(ISNUMBER(F901), F901&gt;4, COUNTIFS($A$2:A901, A901, $B$2:B901, B901, $C$2:C901, C901, $F$2:F901, "&gt;4")=1), 1, 0)</f>
        <v>0</v>
      </c>
      <c r="I901" s="10">
        <f t="shared" si="35"/>
        <v>0</v>
      </c>
      <c r="J901" s="10"/>
      <c r="K901" s="7"/>
      <c r="L901" s="7"/>
      <c r="M901" s="7"/>
      <c r="N901" s="10"/>
      <c r="O901" s="113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.75" customHeight="1">
      <c r="A902" s="10" t="s">
        <v>21</v>
      </c>
      <c r="B902" s="7" t="s">
        <v>111</v>
      </c>
      <c r="C902" s="135">
        <v>46263</v>
      </c>
      <c r="D902" s="44" t="s">
        <v>317</v>
      </c>
      <c r="E902" s="35" t="s">
        <v>583</v>
      </c>
      <c r="F902" s="121">
        <v>1.02</v>
      </c>
      <c r="G902" s="122">
        <f t="shared" si="34"/>
        <v>1</v>
      </c>
      <c r="H902" s="123">
        <f>IF(AND(ISNUMBER(F902), F902&gt;4, COUNTIFS($A$2:A902, A902, $B$2:B902, B902, $C$2:C902, C902, $F$2:F902, "&gt;4")=1), 1, 0)</f>
        <v>0</v>
      </c>
      <c r="I902" s="10">
        <f t="shared" si="35"/>
        <v>0</v>
      </c>
      <c r="J902" s="10"/>
      <c r="K902" s="7"/>
      <c r="L902" s="7"/>
      <c r="M902" s="7"/>
      <c r="N902" s="10"/>
      <c r="O902" s="113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.75" customHeight="1">
      <c r="A903" s="10" t="s">
        <v>21</v>
      </c>
      <c r="B903" s="7" t="s">
        <v>111</v>
      </c>
      <c r="C903" s="135">
        <v>46236</v>
      </c>
      <c r="D903" s="44" t="s">
        <v>267</v>
      </c>
      <c r="E903" s="35" t="s">
        <v>477</v>
      </c>
      <c r="F903" s="121">
        <v>7.88</v>
      </c>
      <c r="G903" s="122">
        <f t="shared" si="34"/>
        <v>0</v>
      </c>
      <c r="H903" s="123">
        <f>IF(AND(ISNUMBER(F903), F903&gt;4, COUNTIFS($A$2:A903, A903, $B$2:B903, B903, $C$2:C903, C903, $F$2:F903, "&gt;4")=1), 1, 0)</f>
        <v>1</v>
      </c>
      <c r="I903" s="10">
        <f t="shared" si="35"/>
        <v>1</v>
      </c>
      <c r="J903" s="10"/>
      <c r="K903" s="7"/>
      <c r="L903" s="7"/>
      <c r="M903" s="7"/>
      <c r="N903" s="10"/>
      <c r="O903" s="113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.75" customHeight="1">
      <c r="A904" s="10" t="s">
        <v>21</v>
      </c>
      <c r="B904" s="7" t="s">
        <v>111</v>
      </c>
      <c r="C904" s="135">
        <v>46237</v>
      </c>
      <c r="D904" s="44" t="s">
        <v>267</v>
      </c>
      <c r="E904" s="35" t="s">
        <v>440</v>
      </c>
      <c r="F904" s="121">
        <v>7.37</v>
      </c>
      <c r="G904" s="122">
        <f t="shared" si="34"/>
        <v>0</v>
      </c>
      <c r="H904" s="123">
        <f>IF(AND(ISNUMBER(F904), F904&gt;4, COUNTIFS($A$2:A904, A904, $B$2:B904, B904, $C$2:C904, C904, $F$2:F904, "&gt;4")=1), 1, 0)</f>
        <v>1</v>
      </c>
      <c r="I904" s="10">
        <f t="shared" si="35"/>
        <v>1</v>
      </c>
      <c r="J904" s="10"/>
      <c r="K904" s="7"/>
      <c r="L904" s="7"/>
      <c r="M904" s="7"/>
      <c r="N904" s="10"/>
      <c r="O904" s="113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.75" customHeight="1">
      <c r="A905" s="10" t="s">
        <v>21</v>
      </c>
      <c r="B905" s="7" t="s">
        <v>111</v>
      </c>
      <c r="C905" s="135">
        <v>46238</v>
      </c>
      <c r="D905" s="44" t="s">
        <v>267</v>
      </c>
      <c r="E905" s="35" t="s">
        <v>483</v>
      </c>
      <c r="F905" s="121">
        <v>7.92</v>
      </c>
      <c r="G905" s="122">
        <f t="shared" si="34"/>
        <v>0</v>
      </c>
      <c r="H905" s="123">
        <f>IF(AND(ISNUMBER(F905), F905&gt;4, COUNTIFS($A$2:A905, A905, $B$2:B905, B905, $C$2:C905, C905, $F$2:F905, "&gt;4")=1), 1, 0)</f>
        <v>1</v>
      </c>
      <c r="I905" s="10">
        <f t="shared" si="35"/>
        <v>1</v>
      </c>
      <c r="J905" s="10"/>
      <c r="K905" s="7"/>
      <c r="L905" s="7"/>
      <c r="M905" s="7"/>
      <c r="N905" s="10"/>
      <c r="O905" s="113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.75" customHeight="1">
      <c r="A906" s="10" t="s">
        <v>21</v>
      </c>
      <c r="B906" s="7" t="s">
        <v>111</v>
      </c>
      <c r="C906" s="135">
        <v>46239</v>
      </c>
      <c r="D906" s="44" t="s">
        <v>267</v>
      </c>
      <c r="E906" s="35" t="s">
        <v>199</v>
      </c>
      <c r="F906" s="121">
        <v>8</v>
      </c>
      <c r="G906" s="122">
        <f t="shared" si="34"/>
        <v>0</v>
      </c>
      <c r="H906" s="123">
        <f>IF(AND(ISNUMBER(F906), F906&gt;4, COUNTIFS($A$2:A906, A906, $B$2:B906, B906, $C$2:C906, C906, $F$2:F906, "&gt;4")=1), 1, 0)</f>
        <v>1</v>
      </c>
      <c r="I906" s="10">
        <f t="shared" si="35"/>
        <v>1</v>
      </c>
      <c r="J906" s="10"/>
      <c r="K906" s="7"/>
      <c r="L906" s="7"/>
      <c r="M906" s="7"/>
      <c r="N906" s="10"/>
      <c r="O906" s="113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.75" customHeight="1">
      <c r="A907" s="10" t="s">
        <v>21</v>
      </c>
      <c r="B907" s="7" t="s">
        <v>111</v>
      </c>
      <c r="C907" s="135">
        <v>46240</v>
      </c>
      <c r="D907" s="44" t="s">
        <v>267</v>
      </c>
      <c r="E907" s="35" t="s">
        <v>480</v>
      </c>
      <c r="F907" s="121">
        <v>7.97</v>
      </c>
      <c r="G907" s="122">
        <f t="shared" si="34"/>
        <v>0</v>
      </c>
      <c r="H907" s="123">
        <f>IF(AND(ISNUMBER(F907), F907&gt;4, COUNTIFS($A$2:A907, A907, $B$2:B907, B907, $C$2:C907, C907, $F$2:F907, "&gt;4")=1), 1, 0)</f>
        <v>1</v>
      </c>
      <c r="I907" s="10">
        <f t="shared" si="35"/>
        <v>1</v>
      </c>
      <c r="J907" s="10"/>
      <c r="K907" s="7"/>
      <c r="L907" s="7"/>
      <c r="M907" s="7"/>
      <c r="N907" s="10"/>
      <c r="O907" s="113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.75" customHeight="1">
      <c r="A908" s="10" t="s">
        <v>21</v>
      </c>
      <c r="B908" s="7" t="s">
        <v>111</v>
      </c>
      <c r="C908" s="135">
        <v>46241</v>
      </c>
      <c r="D908" s="44" t="s">
        <v>267</v>
      </c>
      <c r="E908" s="35" t="s">
        <v>476</v>
      </c>
      <c r="F908" s="121">
        <v>8.1199999999999992</v>
      </c>
      <c r="G908" s="122">
        <f t="shared" si="34"/>
        <v>0</v>
      </c>
      <c r="H908" s="123">
        <f>IF(AND(ISNUMBER(F908), F908&gt;4, COUNTIFS($A$2:A908, A908, $B$2:B908, B908, $C$2:C908, C908, $F$2:F908, "&gt;4")=1), 1, 0)</f>
        <v>1</v>
      </c>
      <c r="I908" s="10">
        <f t="shared" si="35"/>
        <v>1</v>
      </c>
      <c r="J908" s="10"/>
      <c r="K908" s="7"/>
      <c r="L908" s="7"/>
      <c r="M908" s="7"/>
      <c r="N908" s="10"/>
      <c r="O908" s="113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.75" customHeight="1">
      <c r="A909" s="10" t="s">
        <v>21</v>
      </c>
      <c r="B909" s="7" t="s">
        <v>111</v>
      </c>
      <c r="C909" s="135">
        <v>46242</v>
      </c>
      <c r="D909" s="44" t="s">
        <v>267</v>
      </c>
      <c r="E909" s="35" t="s">
        <v>288</v>
      </c>
      <c r="F909" s="121">
        <v>8.0500000000000007</v>
      </c>
      <c r="G909" s="122">
        <f t="shared" si="34"/>
        <v>0</v>
      </c>
      <c r="H909" s="123">
        <f>IF(AND(ISNUMBER(F909), F909&gt;4, COUNTIFS($A$2:A909, A909, $B$2:B909, B909, $C$2:C909, C909, $F$2:F909, "&gt;4")=1), 1, 0)</f>
        <v>1</v>
      </c>
      <c r="I909" s="10">
        <f t="shared" si="35"/>
        <v>1</v>
      </c>
      <c r="J909" s="10"/>
      <c r="K909" s="7"/>
      <c r="L909" s="7"/>
      <c r="M909" s="7"/>
      <c r="N909" s="10"/>
      <c r="O909" s="113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.75" customHeight="1">
      <c r="A910" s="10" t="s">
        <v>21</v>
      </c>
      <c r="B910" s="7" t="s">
        <v>111</v>
      </c>
      <c r="C910" s="135">
        <v>46243</v>
      </c>
      <c r="D910" s="44" t="s">
        <v>267</v>
      </c>
      <c r="E910" s="35" t="s">
        <v>239</v>
      </c>
      <c r="F910" s="121">
        <v>8.07</v>
      </c>
      <c r="G910" s="122">
        <f t="shared" si="34"/>
        <v>0</v>
      </c>
      <c r="H910" s="123">
        <f>IF(AND(ISNUMBER(F910), F910&gt;4, COUNTIFS($A$2:A910, A910, $B$2:B910, B910, $C$2:C910, C910, $F$2:F910, "&gt;4")=1), 1, 0)</f>
        <v>1</v>
      </c>
      <c r="I910" s="10">
        <f t="shared" si="35"/>
        <v>1</v>
      </c>
      <c r="J910" s="10"/>
      <c r="K910" s="7"/>
      <c r="L910" s="7"/>
      <c r="M910" s="7"/>
      <c r="N910" s="10"/>
      <c r="O910" s="113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.75" customHeight="1">
      <c r="A911" s="10" t="s">
        <v>21</v>
      </c>
      <c r="B911" s="7" t="s">
        <v>111</v>
      </c>
      <c r="C911" s="135">
        <v>46244</v>
      </c>
      <c r="D911" s="44" t="s">
        <v>267</v>
      </c>
      <c r="E911" s="35" t="s">
        <v>409</v>
      </c>
      <c r="F911" s="121">
        <v>7.93</v>
      </c>
      <c r="G911" s="122">
        <f t="shared" si="34"/>
        <v>0</v>
      </c>
      <c r="H911" s="123">
        <f>IF(AND(ISNUMBER(F911), F911&gt;4, COUNTIFS($A$2:A911, A911, $B$2:B911, B911, $C$2:C911, C911, $F$2:F911, "&gt;4")=1), 1, 0)</f>
        <v>1</v>
      </c>
      <c r="I911" s="10">
        <f t="shared" si="35"/>
        <v>1</v>
      </c>
      <c r="J911" s="10"/>
      <c r="K911" s="7"/>
      <c r="L911" s="7"/>
      <c r="M911" s="7"/>
      <c r="N911" s="10"/>
      <c r="O911" s="113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.75" customHeight="1">
      <c r="A912" s="10" t="s">
        <v>21</v>
      </c>
      <c r="B912" s="7" t="s">
        <v>111</v>
      </c>
      <c r="C912" s="135">
        <v>46245</v>
      </c>
      <c r="D912" s="44" t="s">
        <v>267</v>
      </c>
      <c r="E912" s="35" t="s">
        <v>474</v>
      </c>
      <c r="F912" s="121">
        <v>7.9</v>
      </c>
      <c r="G912" s="122">
        <f t="shared" si="34"/>
        <v>0</v>
      </c>
      <c r="H912" s="123">
        <f>IF(AND(ISNUMBER(F912), F912&gt;4, COUNTIFS($A$2:A912, A912, $B$2:B912, B912, $C$2:C912, C912, $F$2:F912, "&gt;4")=1), 1, 0)</f>
        <v>1</v>
      </c>
      <c r="I912" s="10">
        <f t="shared" si="35"/>
        <v>1</v>
      </c>
      <c r="J912" s="10"/>
      <c r="K912" s="7"/>
      <c r="L912" s="7"/>
      <c r="M912" s="7"/>
      <c r="N912" s="10"/>
      <c r="O912" s="113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.75" customHeight="1">
      <c r="A913" s="10" t="s">
        <v>21</v>
      </c>
      <c r="B913" s="7" t="s">
        <v>111</v>
      </c>
      <c r="C913" s="135">
        <v>46246</v>
      </c>
      <c r="D913" s="44" t="s">
        <v>267</v>
      </c>
      <c r="E913" s="35" t="s">
        <v>207</v>
      </c>
      <c r="F913" s="121">
        <v>8.1</v>
      </c>
      <c r="G913" s="122">
        <f t="shared" si="34"/>
        <v>0</v>
      </c>
      <c r="H913" s="123">
        <f>IF(AND(ISNUMBER(F913), F913&gt;4, COUNTIFS($A$2:A913, A913, $B$2:B913, B913, $C$2:C913, C913, $F$2:F913, "&gt;4")=1), 1, 0)</f>
        <v>1</v>
      </c>
      <c r="I913" s="10">
        <f t="shared" si="35"/>
        <v>1</v>
      </c>
      <c r="J913" s="10"/>
      <c r="K913" s="7"/>
      <c r="L913" s="7"/>
      <c r="M913" s="7"/>
      <c r="N913" s="10"/>
      <c r="O913" s="113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.75" customHeight="1">
      <c r="A914" s="10" t="s">
        <v>21</v>
      </c>
      <c r="B914" s="7" t="s">
        <v>111</v>
      </c>
      <c r="C914" s="135">
        <v>46247</v>
      </c>
      <c r="D914" s="44" t="s">
        <v>267</v>
      </c>
      <c r="E914" s="35" t="s">
        <v>288</v>
      </c>
      <c r="F914" s="121">
        <v>8.0500000000000007</v>
      </c>
      <c r="G914" s="122">
        <f t="shared" si="34"/>
        <v>0</v>
      </c>
      <c r="H914" s="123">
        <f>IF(AND(ISNUMBER(F914), F914&gt;4, COUNTIFS($A$2:A914, A914, $B$2:B914, B914, $C$2:C914, C914, $F$2:F914, "&gt;4")=1), 1, 0)</f>
        <v>1</v>
      </c>
      <c r="I914" s="10">
        <f t="shared" si="35"/>
        <v>1</v>
      </c>
      <c r="J914" s="10"/>
      <c r="K914" s="7"/>
      <c r="L914" s="7"/>
      <c r="M914" s="7"/>
      <c r="N914" s="10"/>
      <c r="O914" s="113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.75" customHeight="1">
      <c r="A915" s="10" t="s">
        <v>21</v>
      </c>
      <c r="B915" s="7" t="s">
        <v>111</v>
      </c>
      <c r="C915" s="135">
        <v>46248</v>
      </c>
      <c r="D915" s="44" t="s">
        <v>267</v>
      </c>
      <c r="E915" s="35" t="s">
        <v>409</v>
      </c>
      <c r="F915" s="121">
        <v>7.93</v>
      </c>
      <c r="G915" s="122">
        <f t="shared" si="34"/>
        <v>0</v>
      </c>
      <c r="H915" s="123">
        <f>IF(AND(ISNUMBER(F915), F915&gt;4, COUNTIFS($A$2:A915, A915, $B$2:B915, B915, $C$2:C915, C915, $F$2:F915, "&gt;4")=1), 1, 0)</f>
        <v>1</v>
      </c>
      <c r="I915" s="10">
        <f t="shared" si="35"/>
        <v>1</v>
      </c>
      <c r="J915" s="10"/>
      <c r="K915" s="7"/>
      <c r="L915" s="7"/>
      <c r="M915" s="7"/>
      <c r="N915" s="10"/>
      <c r="O915" s="113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.75" customHeight="1">
      <c r="A916" s="10" t="s">
        <v>21</v>
      </c>
      <c r="B916" s="7" t="s">
        <v>111</v>
      </c>
      <c r="C916" s="135">
        <v>46251</v>
      </c>
      <c r="D916" s="44" t="s">
        <v>267</v>
      </c>
      <c r="E916" s="35" t="s">
        <v>214</v>
      </c>
      <c r="F916" s="121">
        <v>8.08</v>
      </c>
      <c r="G916" s="122">
        <f t="shared" si="34"/>
        <v>0</v>
      </c>
      <c r="H916" s="123">
        <f>IF(AND(ISNUMBER(F916), F916&gt;4, COUNTIFS($A$2:A916, A916, $B$2:B916, B916, $C$2:C916, C916, $F$2:F916, "&gt;4")=1), 1, 0)</f>
        <v>1</v>
      </c>
      <c r="I916" s="10">
        <f t="shared" si="35"/>
        <v>1</v>
      </c>
      <c r="J916" s="10"/>
      <c r="K916" s="7"/>
      <c r="L916" s="7"/>
      <c r="M916" s="7"/>
      <c r="N916" s="10"/>
      <c r="O916" s="113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.75" customHeight="1">
      <c r="A917" s="10" t="s">
        <v>21</v>
      </c>
      <c r="B917" s="7" t="s">
        <v>111</v>
      </c>
      <c r="C917" s="135">
        <v>46252</v>
      </c>
      <c r="D917" s="44" t="s">
        <v>267</v>
      </c>
      <c r="E917" s="35" t="s">
        <v>477</v>
      </c>
      <c r="F917" s="121">
        <v>7.88</v>
      </c>
      <c r="G917" s="122">
        <f t="shared" si="34"/>
        <v>0</v>
      </c>
      <c r="H917" s="123">
        <f>IF(AND(ISNUMBER(F917), F917&gt;4, COUNTIFS($A$2:A917, A917, $B$2:B917, B917, $C$2:C917, C917, $F$2:F917, "&gt;4")=1), 1, 0)</f>
        <v>1</v>
      </c>
      <c r="I917" s="10">
        <f t="shared" si="35"/>
        <v>1</v>
      </c>
      <c r="J917" s="10"/>
      <c r="K917" s="7"/>
      <c r="L917" s="7"/>
      <c r="M917" s="7"/>
      <c r="N917" s="10"/>
      <c r="O917" s="113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.75" customHeight="1">
      <c r="A918" s="10" t="s">
        <v>21</v>
      </c>
      <c r="B918" s="7" t="s">
        <v>111</v>
      </c>
      <c r="C918" s="135">
        <v>46253</v>
      </c>
      <c r="D918" s="44" t="s">
        <v>267</v>
      </c>
      <c r="E918" s="35" t="s">
        <v>481</v>
      </c>
      <c r="F918" s="121">
        <v>7.98</v>
      </c>
      <c r="G918" s="122">
        <f t="shared" si="34"/>
        <v>0</v>
      </c>
      <c r="H918" s="123">
        <f>IF(AND(ISNUMBER(F918), F918&gt;4, COUNTIFS($A$2:A918, A918, $B$2:B918, B918, $C$2:C918, C918, $F$2:F918, "&gt;4")=1), 1, 0)</f>
        <v>1</v>
      </c>
      <c r="I918" s="10">
        <f t="shared" si="35"/>
        <v>1</v>
      </c>
      <c r="J918" s="10"/>
      <c r="K918" s="7"/>
      <c r="L918" s="7"/>
      <c r="M918" s="7"/>
      <c r="N918" s="10"/>
      <c r="O918" s="113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.75" customHeight="1">
      <c r="A919" s="10" t="s">
        <v>21</v>
      </c>
      <c r="B919" s="7" t="s">
        <v>111</v>
      </c>
      <c r="C919" s="135">
        <v>46254</v>
      </c>
      <c r="D919" s="44" t="s">
        <v>267</v>
      </c>
      <c r="E919" s="35" t="s">
        <v>480</v>
      </c>
      <c r="F919" s="121">
        <v>7.97</v>
      </c>
      <c r="G919" s="122">
        <f t="shared" si="34"/>
        <v>0</v>
      </c>
      <c r="H919" s="123">
        <f>IF(AND(ISNUMBER(F919), F919&gt;4, COUNTIFS($A$2:A919, A919, $B$2:B919, B919, $C$2:C919, C919, $F$2:F919, "&gt;4")=1), 1, 0)</f>
        <v>1</v>
      </c>
      <c r="I919" s="10">
        <f t="shared" si="35"/>
        <v>1</v>
      </c>
      <c r="J919" s="10"/>
      <c r="K919" s="7"/>
      <c r="L919" s="7"/>
      <c r="M919" s="7"/>
      <c r="N919" s="10"/>
      <c r="O919" s="113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.75" customHeight="1">
      <c r="A920" s="10" t="s">
        <v>21</v>
      </c>
      <c r="B920" s="7" t="s">
        <v>111</v>
      </c>
      <c r="C920" s="135">
        <v>46255</v>
      </c>
      <c r="D920" s="44" t="s">
        <v>267</v>
      </c>
      <c r="E920" s="35" t="s">
        <v>479</v>
      </c>
      <c r="F920" s="121">
        <v>8.02</v>
      </c>
      <c r="G920" s="122">
        <f t="shared" si="34"/>
        <v>0</v>
      </c>
      <c r="H920" s="123">
        <f>IF(AND(ISNUMBER(F920), F920&gt;4, COUNTIFS($A$2:A920, A920, $B$2:B920, B920, $C$2:C920, C920, $F$2:F920, "&gt;4")=1), 1, 0)</f>
        <v>1</v>
      </c>
      <c r="I920" s="10">
        <f t="shared" si="35"/>
        <v>1</v>
      </c>
      <c r="J920" s="10"/>
      <c r="K920" s="7"/>
      <c r="L920" s="7"/>
      <c r="M920" s="7"/>
      <c r="N920" s="10"/>
      <c r="O920" s="113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.75" customHeight="1">
      <c r="A921" s="10" t="s">
        <v>21</v>
      </c>
      <c r="B921" s="7" t="s">
        <v>111</v>
      </c>
      <c r="C921" s="135">
        <v>46256</v>
      </c>
      <c r="D921" s="44" t="s">
        <v>267</v>
      </c>
      <c r="E921" s="35" t="s">
        <v>482</v>
      </c>
      <c r="F921" s="121">
        <v>7.85</v>
      </c>
      <c r="G921" s="122">
        <f t="shared" si="34"/>
        <v>0</v>
      </c>
      <c r="H921" s="123">
        <f>IF(AND(ISNUMBER(F921), F921&gt;4, COUNTIFS($A$2:A921, A921, $B$2:B921, B921, $C$2:C921, C921, $F$2:F921, "&gt;4")=1), 1, 0)</f>
        <v>1</v>
      </c>
      <c r="I921" s="10">
        <f t="shared" si="35"/>
        <v>1</v>
      </c>
      <c r="J921" s="10"/>
      <c r="K921" s="7"/>
      <c r="L921" s="7"/>
      <c r="M921" s="7"/>
      <c r="N921" s="10"/>
      <c r="O921" s="113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.75" customHeight="1">
      <c r="A922" s="10" t="s">
        <v>21</v>
      </c>
      <c r="B922" s="7" t="s">
        <v>111</v>
      </c>
      <c r="C922" s="135">
        <v>46257</v>
      </c>
      <c r="D922" s="44" t="s">
        <v>267</v>
      </c>
      <c r="E922" s="35" t="s">
        <v>239</v>
      </c>
      <c r="F922" s="121">
        <v>8.07</v>
      </c>
      <c r="G922" s="122">
        <f t="shared" si="34"/>
        <v>0</v>
      </c>
      <c r="H922" s="123">
        <f>IF(AND(ISNUMBER(F922), F922&gt;4, COUNTIFS($A$2:A922, A922, $B$2:B922, B922, $C$2:C922, C922, $F$2:F922, "&gt;4")=1), 1, 0)</f>
        <v>1</v>
      </c>
      <c r="I922" s="10">
        <f t="shared" si="35"/>
        <v>1</v>
      </c>
      <c r="J922" s="10"/>
      <c r="K922" s="7"/>
      <c r="L922" s="7"/>
      <c r="M922" s="7"/>
      <c r="N922" s="10"/>
      <c r="O922" s="113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.75" customHeight="1">
      <c r="A923" s="10" t="s">
        <v>21</v>
      </c>
      <c r="B923" s="7" t="s">
        <v>111</v>
      </c>
      <c r="C923" s="135">
        <v>46258</v>
      </c>
      <c r="D923" s="44" t="s">
        <v>267</v>
      </c>
      <c r="E923" s="35" t="s">
        <v>481</v>
      </c>
      <c r="F923" s="121">
        <v>7.98</v>
      </c>
      <c r="G923" s="122">
        <f t="shared" si="34"/>
        <v>0</v>
      </c>
      <c r="H923" s="123">
        <f>IF(AND(ISNUMBER(F923), F923&gt;4, COUNTIFS($A$2:A923, A923, $B$2:B923, B923, $C$2:C923, C923, $F$2:F923, "&gt;4")=1), 1, 0)</f>
        <v>1</v>
      </c>
      <c r="I923" s="10">
        <f t="shared" si="35"/>
        <v>1</v>
      </c>
      <c r="J923" s="10"/>
      <c r="K923" s="7"/>
      <c r="L923" s="7"/>
      <c r="M923" s="7"/>
      <c r="N923" s="10"/>
      <c r="O923" s="113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.75" customHeight="1">
      <c r="A924" s="10" t="s">
        <v>21</v>
      </c>
      <c r="B924" s="7" t="s">
        <v>111</v>
      </c>
      <c r="C924" s="135">
        <v>46259</v>
      </c>
      <c r="D924" s="44" t="s">
        <v>267</v>
      </c>
      <c r="E924" s="35" t="s">
        <v>288</v>
      </c>
      <c r="F924" s="121">
        <v>8.0500000000000007</v>
      </c>
      <c r="G924" s="122">
        <f t="shared" si="34"/>
        <v>0</v>
      </c>
      <c r="H924" s="123">
        <f>IF(AND(ISNUMBER(F924), F924&gt;4, COUNTIFS($A$2:A924, A924, $B$2:B924, B924, $C$2:C924, C924, $F$2:F924, "&gt;4")=1), 1, 0)</f>
        <v>1</v>
      </c>
      <c r="I924" s="10">
        <f t="shared" si="35"/>
        <v>1</v>
      </c>
      <c r="J924" s="10"/>
      <c r="K924" s="7"/>
      <c r="L924" s="7"/>
      <c r="M924" s="7"/>
      <c r="N924" s="10"/>
      <c r="O924" s="113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.75" customHeight="1">
      <c r="A925" s="10" t="s">
        <v>21</v>
      </c>
      <c r="B925" s="7" t="s">
        <v>111</v>
      </c>
      <c r="C925" s="135">
        <v>46260</v>
      </c>
      <c r="D925" s="44" t="s">
        <v>267</v>
      </c>
      <c r="E925" s="35" t="s">
        <v>199</v>
      </c>
      <c r="F925" s="121">
        <v>8</v>
      </c>
      <c r="G925" s="122">
        <f t="shared" si="34"/>
        <v>0</v>
      </c>
      <c r="H925" s="123">
        <f>IF(AND(ISNUMBER(F925), F925&gt;4, COUNTIFS($A$2:A925, A925, $B$2:B925, B925, $C$2:C925, C925, $F$2:F925, "&gt;4")=1), 1, 0)</f>
        <v>1</v>
      </c>
      <c r="I925" s="10">
        <f t="shared" si="35"/>
        <v>1</v>
      </c>
      <c r="J925" s="10"/>
      <c r="K925" s="7"/>
      <c r="L925" s="7"/>
      <c r="M925" s="7"/>
      <c r="N925" s="10"/>
      <c r="O925" s="113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.75" customHeight="1">
      <c r="A926" s="10" t="s">
        <v>21</v>
      </c>
      <c r="B926" s="7" t="s">
        <v>111</v>
      </c>
      <c r="C926" s="135">
        <v>46261</v>
      </c>
      <c r="D926" s="44" t="s">
        <v>267</v>
      </c>
      <c r="E926" s="35" t="s">
        <v>409</v>
      </c>
      <c r="F926" s="121">
        <v>7.93</v>
      </c>
      <c r="G926" s="122">
        <f t="shared" si="34"/>
        <v>0</v>
      </c>
      <c r="H926" s="123">
        <f>IF(AND(ISNUMBER(F926), F926&gt;4, COUNTIFS($A$2:A926, A926, $B$2:B926, B926, $C$2:C926, C926, $F$2:F926, "&gt;4")=1), 1, 0)</f>
        <v>1</v>
      </c>
      <c r="I926" s="10">
        <f t="shared" si="35"/>
        <v>1</v>
      </c>
      <c r="J926" s="10"/>
      <c r="K926" s="7"/>
      <c r="L926" s="7"/>
      <c r="M926" s="7"/>
      <c r="N926" s="10"/>
      <c r="O926" s="113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.75" customHeight="1">
      <c r="A927" s="10" t="s">
        <v>21</v>
      </c>
      <c r="B927" s="7" t="s">
        <v>111</v>
      </c>
      <c r="C927" s="135">
        <v>46262</v>
      </c>
      <c r="D927" s="44" t="s">
        <v>267</v>
      </c>
      <c r="E927" s="35" t="s">
        <v>239</v>
      </c>
      <c r="F927" s="121">
        <v>8.07</v>
      </c>
      <c r="G927" s="122">
        <f t="shared" si="34"/>
        <v>0</v>
      </c>
      <c r="H927" s="123">
        <f>IF(AND(ISNUMBER(F927), F927&gt;4, COUNTIFS($A$2:A927, A927, $B$2:B927, B927, $C$2:C927, C927, $F$2:F927, "&gt;4")=1), 1, 0)</f>
        <v>1</v>
      </c>
      <c r="I927" s="10">
        <f t="shared" si="35"/>
        <v>1</v>
      </c>
      <c r="J927" s="10"/>
      <c r="K927" s="7"/>
      <c r="L927" s="7"/>
      <c r="M927" s="7"/>
      <c r="N927" s="10"/>
      <c r="O927" s="113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.75" customHeight="1">
      <c r="A928" s="10" t="s">
        <v>21</v>
      </c>
      <c r="B928" s="7" t="s">
        <v>111</v>
      </c>
      <c r="C928" s="135">
        <v>46263</v>
      </c>
      <c r="D928" s="44" t="s">
        <v>267</v>
      </c>
      <c r="E928" s="35" t="s">
        <v>288</v>
      </c>
      <c r="F928" s="121">
        <v>8.0500000000000007</v>
      </c>
      <c r="G928" s="122">
        <f t="shared" si="34"/>
        <v>0</v>
      </c>
      <c r="H928" s="123">
        <f>IF(AND(ISNUMBER(F928), F928&gt;4, COUNTIFS($A$2:A928, A928, $B$2:B928, B928, $C$2:C928, C928, $F$2:F928, "&gt;4")=1), 1, 0)</f>
        <v>0</v>
      </c>
      <c r="I928" s="10">
        <f t="shared" si="35"/>
        <v>1</v>
      </c>
      <c r="J928" s="10"/>
      <c r="K928" s="7"/>
      <c r="L928" s="7"/>
      <c r="M928" s="7"/>
      <c r="N928" s="10"/>
      <c r="O928" s="113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.75" customHeight="1">
      <c r="A929" s="10" t="s">
        <v>21</v>
      </c>
      <c r="B929" s="7" t="s">
        <v>111</v>
      </c>
      <c r="C929" s="135">
        <v>46264</v>
      </c>
      <c r="D929" s="44" t="s">
        <v>267</v>
      </c>
      <c r="E929" s="35" t="s">
        <v>476</v>
      </c>
      <c r="F929" s="121">
        <v>8.1199999999999992</v>
      </c>
      <c r="G929" s="122">
        <f t="shared" si="34"/>
        <v>0</v>
      </c>
      <c r="H929" s="123">
        <f>IF(AND(ISNUMBER(F929), F929&gt;4, COUNTIFS($A$2:A929, A929, $B$2:B929, B929, $C$2:C929, C929, $F$2:F929, "&gt;4")=1), 1, 0)</f>
        <v>1</v>
      </c>
      <c r="I929" s="10">
        <f t="shared" si="35"/>
        <v>1</v>
      </c>
      <c r="J929" s="10"/>
      <c r="K929" s="7"/>
      <c r="L929" s="7"/>
      <c r="M929" s="7"/>
      <c r="N929" s="10"/>
      <c r="O929" s="113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.75" customHeight="1">
      <c r="A930" s="10" t="s">
        <v>21</v>
      </c>
      <c r="B930" s="7" t="s">
        <v>111</v>
      </c>
      <c r="C930" s="135">
        <v>46265</v>
      </c>
      <c r="D930" s="44" t="s">
        <v>267</v>
      </c>
      <c r="E930" s="35" t="s">
        <v>553</v>
      </c>
      <c r="F930" s="121">
        <v>7.8</v>
      </c>
      <c r="G930" s="122">
        <f t="shared" si="34"/>
        <v>0</v>
      </c>
      <c r="H930" s="123">
        <f>IF(AND(ISNUMBER(F930), F930&gt;4, COUNTIFS($A$2:A930, A930, $B$2:B930, B930, $C$2:C930, C930, $F$2:F930, "&gt;4")=1), 1, 0)</f>
        <v>1</v>
      </c>
      <c r="I930" s="10">
        <f t="shared" si="35"/>
        <v>1</v>
      </c>
      <c r="J930" s="10"/>
      <c r="K930" s="7"/>
      <c r="L930" s="7"/>
      <c r="M930" s="7"/>
      <c r="N930" s="10"/>
      <c r="O930" s="113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.75" customHeight="1">
      <c r="A931" s="10" t="s">
        <v>21</v>
      </c>
      <c r="B931" s="7" t="s">
        <v>115</v>
      </c>
      <c r="C931" s="135">
        <v>46246</v>
      </c>
      <c r="D931" s="44" t="s">
        <v>191</v>
      </c>
      <c r="E931" s="35" t="s">
        <v>214</v>
      </c>
      <c r="F931" s="121">
        <v>8.08</v>
      </c>
      <c r="G931" s="122">
        <f t="shared" si="34"/>
        <v>0</v>
      </c>
      <c r="H931" s="123">
        <f>IF(AND(ISNUMBER(F931), F931&gt;4, COUNTIFS($A$2:A931, A931, $B$2:B931, B931, $C$2:C931, C931, $F$2:F931, "&gt;4")=1), 1, 0)</f>
        <v>1</v>
      </c>
      <c r="I931" s="10">
        <f t="shared" si="35"/>
        <v>0</v>
      </c>
      <c r="J931" s="10"/>
      <c r="K931" s="7"/>
      <c r="L931" s="7"/>
      <c r="M931" s="7"/>
      <c r="N931" s="10"/>
      <c r="O931" s="113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.75" customHeight="1">
      <c r="A932" s="10" t="s">
        <v>21</v>
      </c>
      <c r="B932" s="7" t="s">
        <v>115</v>
      </c>
      <c r="C932" s="135">
        <v>46247</v>
      </c>
      <c r="D932" s="44" t="s">
        <v>191</v>
      </c>
      <c r="E932" s="35" t="s">
        <v>214</v>
      </c>
      <c r="F932" s="121">
        <v>8.08</v>
      </c>
      <c r="G932" s="122">
        <f t="shared" si="34"/>
        <v>0</v>
      </c>
      <c r="H932" s="123">
        <f>IF(AND(ISNUMBER(F932), F932&gt;4, COUNTIFS($A$2:A932, A932, $B$2:B932, B932, $C$2:C932, C932, $F$2:F932, "&gt;4")=1), 1, 0)</f>
        <v>1</v>
      </c>
      <c r="I932" s="10">
        <f t="shared" si="35"/>
        <v>0</v>
      </c>
      <c r="J932" s="10"/>
      <c r="K932" s="7"/>
      <c r="L932" s="7"/>
      <c r="M932" s="7"/>
      <c r="N932" s="10"/>
      <c r="O932" s="113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.75" customHeight="1">
      <c r="A933" s="10" t="s">
        <v>21</v>
      </c>
      <c r="B933" s="7" t="s">
        <v>115</v>
      </c>
      <c r="C933" s="135">
        <v>46248</v>
      </c>
      <c r="D933" s="44" t="s">
        <v>191</v>
      </c>
      <c r="E933" s="35" t="s">
        <v>329</v>
      </c>
      <c r="F933" s="121">
        <v>8.0299999999999994</v>
      </c>
      <c r="G933" s="122">
        <f t="shared" si="34"/>
        <v>0</v>
      </c>
      <c r="H933" s="123">
        <f>IF(AND(ISNUMBER(F933), F933&gt;4, COUNTIFS($A$2:A933, A933, $B$2:B933, B933, $C$2:C933, C933, $F$2:F933, "&gt;4")=1), 1, 0)</f>
        <v>1</v>
      </c>
      <c r="I933" s="10">
        <f t="shared" si="35"/>
        <v>0</v>
      </c>
      <c r="J933" s="10"/>
      <c r="K933" s="7"/>
      <c r="L933" s="7"/>
      <c r="M933" s="7"/>
      <c r="N933" s="10"/>
      <c r="O933" s="113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.75" customHeight="1">
      <c r="A934" s="10" t="s">
        <v>21</v>
      </c>
      <c r="B934" s="7" t="s">
        <v>115</v>
      </c>
      <c r="C934" s="135">
        <v>46252</v>
      </c>
      <c r="D934" s="44" t="s">
        <v>191</v>
      </c>
      <c r="E934" s="35" t="s">
        <v>503</v>
      </c>
      <c r="F934" s="121">
        <v>8.1999999999999993</v>
      </c>
      <c r="G934" s="122">
        <f t="shared" si="34"/>
        <v>0</v>
      </c>
      <c r="H934" s="123">
        <f>IF(AND(ISNUMBER(F934), F934&gt;4, COUNTIFS($A$2:A934, A934, $B$2:B934, B934, $C$2:C934, C934, $F$2:F934, "&gt;4")=1), 1, 0)</f>
        <v>1</v>
      </c>
      <c r="I934" s="10">
        <f t="shared" si="35"/>
        <v>0</v>
      </c>
      <c r="J934" s="10"/>
      <c r="K934" s="7"/>
      <c r="L934" s="7"/>
      <c r="M934" s="7"/>
      <c r="N934" s="10"/>
      <c r="O934" s="113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.75" customHeight="1">
      <c r="A935" s="10" t="s">
        <v>21</v>
      </c>
      <c r="B935" s="7" t="s">
        <v>115</v>
      </c>
      <c r="C935" s="135">
        <v>46255</v>
      </c>
      <c r="D935" s="44" t="s">
        <v>191</v>
      </c>
      <c r="E935" s="35" t="s">
        <v>305</v>
      </c>
      <c r="F935" s="121">
        <v>8.2799999999999994</v>
      </c>
      <c r="G935" s="122">
        <f t="shared" si="34"/>
        <v>0</v>
      </c>
      <c r="H935" s="123">
        <f>IF(AND(ISNUMBER(F935), F935&gt;4, COUNTIFS($A$2:A935, A935, $B$2:B935, B935, $C$2:C935, C935, $F$2:F935, "&gt;4")=1), 1, 0)</f>
        <v>1</v>
      </c>
      <c r="I935" s="10">
        <f t="shared" si="35"/>
        <v>0</v>
      </c>
      <c r="J935" s="10"/>
      <c r="K935" s="7"/>
      <c r="L935" s="7"/>
      <c r="M935" s="7"/>
      <c r="N935" s="10"/>
      <c r="O935" s="113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.75" customHeight="1">
      <c r="A936" s="10" t="s">
        <v>21</v>
      </c>
      <c r="B936" s="7" t="s">
        <v>115</v>
      </c>
      <c r="C936" s="135">
        <v>46262</v>
      </c>
      <c r="D936" s="44" t="s">
        <v>191</v>
      </c>
      <c r="E936" s="35" t="s">
        <v>476</v>
      </c>
      <c r="F936" s="121">
        <v>8.1199999999999992</v>
      </c>
      <c r="G936" s="122">
        <f t="shared" si="34"/>
        <v>0</v>
      </c>
      <c r="H936" s="123">
        <f>IF(AND(ISNUMBER(F936), F936&gt;4, COUNTIFS($A$2:A936, A936, $B$2:B936, B936, $C$2:C936, C936, $F$2:F936, "&gt;4")=1), 1, 0)</f>
        <v>1</v>
      </c>
      <c r="I936" s="10">
        <f t="shared" si="35"/>
        <v>0</v>
      </c>
      <c r="J936" s="10"/>
      <c r="K936" s="7"/>
      <c r="L936" s="7"/>
      <c r="M936" s="7"/>
      <c r="N936" s="10"/>
      <c r="O936" s="113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.75" customHeight="1">
      <c r="A937" s="10" t="s">
        <v>21</v>
      </c>
      <c r="B937" s="7" t="s">
        <v>115</v>
      </c>
      <c r="C937" s="135">
        <v>46244</v>
      </c>
      <c r="D937" s="44" t="s">
        <v>263</v>
      </c>
      <c r="E937" s="35" t="s">
        <v>503</v>
      </c>
      <c r="F937" s="121">
        <v>8.1999999999999993</v>
      </c>
      <c r="G937" s="122">
        <f t="shared" si="34"/>
        <v>0</v>
      </c>
      <c r="H937" s="123">
        <f>IF(AND(ISNUMBER(F937), F937&gt;4, COUNTIFS($A$2:A937, A937, $B$2:B937, B937, $C$2:C937, C937, $F$2:F937, "&gt;4")=1), 1, 0)</f>
        <v>1</v>
      </c>
      <c r="I937" s="10">
        <f t="shared" si="35"/>
        <v>0</v>
      </c>
      <c r="J937" s="10"/>
      <c r="K937" s="7"/>
      <c r="L937" s="7"/>
      <c r="M937" s="7"/>
      <c r="N937" s="10"/>
      <c r="O937" s="113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.75" customHeight="1">
      <c r="A938" s="10" t="s">
        <v>21</v>
      </c>
      <c r="B938" s="7" t="s">
        <v>115</v>
      </c>
      <c r="C938" s="135">
        <v>46245</v>
      </c>
      <c r="D938" s="44" t="s">
        <v>263</v>
      </c>
      <c r="E938" s="35" t="s">
        <v>288</v>
      </c>
      <c r="F938" s="121">
        <v>8.0500000000000007</v>
      </c>
      <c r="G938" s="122">
        <f t="shared" si="34"/>
        <v>0</v>
      </c>
      <c r="H938" s="123">
        <f>IF(AND(ISNUMBER(F938), F938&gt;4, COUNTIFS($A$2:A938, A938, $B$2:B938, B938, $C$2:C938, C938, $F$2:F938, "&gt;4")=1), 1, 0)</f>
        <v>1</v>
      </c>
      <c r="I938" s="10">
        <f t="shared" si="35"/>
        <v>0</v>
      </c>
      <c r="J938" s="10"/>
      <c r="K938" s="7"/>
      <c r="L938" s="7"/>
      <c r="M938" s="7"/>
      <c r="N938" s="10"/>
      <c r="O938" s="113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.75" customHeight="1">
      <c r="A939" s="10" t="s">
        <v>21</v>
      </c>
      <c r="B939" s="7" t="s">
        <v>115</v>
      </c>
      <c r="C939" s="135">
        <v>46251</v>
      </c>
      <c r="D939" s="44" t="s">
        <v>265</v>
      </c>
      <c r="E939" s="35" t="s">
        <v>479</v>
      </c>
      <c r="F939" s="121">
        <v>8.02</v>
      </c>
      <c r="G939" s="122">
        <f t="shared" si="34"/>
        <v>0</v>
      </c>
      <c r="H939" s="123">
        <f>IF(AND(ISNUMBER(F939), F939&gt;4, COUNTIFS($A$2:A939, A939, $B$2:B939, B939, $C$2:C939, C939, $F$2:F939, "&gt;4")=1), 1, 0)</f>
        <v>1</v>
      </c>
      <c r="I939" s="10">
        <f t="shared" si="35"/>
        <v>0</v>
      </c>
      <c r="J939" s="10"/>
      <c r="K939" s="7"/>
      <c r="L939" s="7"/>
      <c r="M939" s="7"/>
      <c r="N939" s="10"/>
      <c r="O939" s="113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.75" customHeight="1">
      <c r="A940" s="10" t="s">
        <v>21</v>
      </c>
      <c r="B940" s="7" t="s">
        <v>115</v>
      </c>
      <c r="C940" s="135">
        <v>46253</v>
      </c>
      <c r="D940" s="44" t="s">
        <v>265</v>
      </c>
      <c r="E940" s="35" t="s">
        <v>288</v>
      </c>
      <c r="F940" s="121">
        <v>8.0500000000000007</v>
      </c>
      <c r="G940" s="122">
        <f t="shared" si="34"/>
        <v>0</v>
      </c>
      <c r="H940" s="123">
        <f>IF(AND(ISNUMBER(F940), F940&gt;4, COUNTIFS($A$2:A940, A940, $B$2:B940, B940, $C$2:C940, C940, $F$2:F940, "&gt;4")=1), 1, 0)</f>
        <v>1</v>
      </c>
      <c r="I940" s="10">
        <f t="shared" si="35"/>
        <v>0</v>
      </c>
      <c r="J940" s="10"/>
      <c r="K940" s="7"/>
      <c r="L940" s="7"/>
      <c r="M940" s="7"/>
      <c r="N940" s="10"/>
      <c r="O940" s="113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.75" customHeight="1">
      <c r="A941" s="10" t="s">
        <v>21</v>
      </c>
      <c r="B941" s="7" t="s">
        <v>115</v>
      </c>
      <c r="C941" s="135">
        <v>46254</v>
      </c>
      <c r="D941" s="44" t="s">
        <v>265</v>
      </c>
      <c r="E941" s="35" t="s">
        <v>207</v>
      </c>
      <c r="F941" s="121">
        <v>8.1</v>
      </c>
      <c r="G941" s="122">
        <f t="shared" si="34"/>
        <v>0</v>
      </c>
      <c r="H941" s="123">
        <f>IF(AND(ISNUMBER(F941), F941&gt;4, COUNTIFS($A$2:A941, A941, $B$2:B941, B941, $C$2:C941, C941, $F$2:F941, "&gt;4")=1), 1, 0)</f>
        <v>1</v>
      </c>
      <c r="I941" s="10">
        <f t="shared" si="35"/>
        <v>0</v>
      </c>
      <c r="J941" s="10"/>
      <c r="K941" s="7"/>
      <c r="L941" s="7"/>
      <c r="M941" s="7"/>
      <c r="N941" s="10"/>
      <c r="O941" s="113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.75" customHeight="1">
      <c r="A942" s="10" t="s">
        <v>21</v>
      </c>
      <c r="B942" s="7" t="s">
        <v>115</v>
      </c>
      <c r="C942" s="135">
        <v>46258</v>
      </c>
      <c r="D942" s="44" t="s">
        <v>265</v>
      </c>
      <c r="E942" s="35" t="s">
        <v>239</v>
      </c>
      <c r="F942" s="121">
        <v>8.07</v>
      </c>
      <c r="G942" s="122">
        <f t="shared" si="34"/>
        <v>0</v>
      </c>
      <c r="H942" s="123">
        <f>IF(AND(ISNUMBER(F942), F942&gt;4, COUNTIFS($A$2:A942, A942, $B$2:B942, B942, $C$2:C942, C942, $F$2:F942, "&gt;4")=1), 1, 0)</f>
        <v>1</v>
      </c>
      <c r="I942" s="10">
        <f t="shared" si="35"/>
        <v>0</v>
      </c>
      <c r="J942" s="10"/>
      <c r="K942" s="7"/>
      <c r="L942" s="7"/>
      <c r="M942" s="7"/>
      <c r="N942" s="10"/>
      <c r="O942" s="113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.75" customHeight="1">
      <c r="A943" s="10" t="s">
        <v>21</v>
      </c>
      <c r="B943" s="7" t="s">
        <v>115</v>
      </c>
      <c r="C943" s="135">
        <v>46260</v>
      </c>
      <c r="D943" s="44" t="s">
        <v>265</v>
      </c>
      <c r="E943" s="35" t="s">
        <v>479</v>
      </c>
      <c r="F943" s="121">
        <v>8.02</v>
      </c>
      <c r="G943" s="122">
        <f t="shared" si="34"/>
        <v>0</v>
      </c>
      <c r="H943" s="123">
        <f>IF(AND(ISNUMBER(F943), F943&gt;4, COUNTIFS($A$2:A943, A943, $B$2:B943, B943, $C$2:C943, C943, $F$2:F943, "&gt;4")=1), 1, 0)</f>
        <v>1</v>
      </c>
      <c r="I943" s="10">
        <f t="shared" si="35"/>
        <v>0</v>
      </c>
      <c r="J943" s="10"/>
      <c r="K943" s="7"/>
      <c r="L943" s="7"/>
      <c r="M943" s="7"/>
      <c r="N943" s="10"/>
      <c r="O943" s="113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.75" customHeight="1">
      <c r="A944" s="10" t="s">
        <v>21</v>
      </c>
      <c r="B944" s="7" t="s">
        <v>115</v>
      </c>
      <c r="C944" s="135">
        <v>46261</v>
      </c>
      <c r="D944" s="44" t="s">
        <v>265</v>
      </c>
      <c r="E944" s="35" t="s">
        <v>239</v>
      </c>
      <c r="F944" s="121">
        <v>8.07</v>
      </c>
      <c r="G944" s="122">
        <f t="shared" si="34"/>
        <v>0</v>
      </c>
      <c r="H944" s="123">
        <f>IF(AND(ISNUMBER(F944), F944&gt;4, COUNTIFS($A$2:A944, A944, $B$2:B944, B944, $C$2:C944, C944, $F$2:F944, "&gt;4")=1), 1, 0)</f>
        <v>1</v>
      </c>
      <c r="I944" s="10">
        <f t="shared" si="35"/>
        <v>0</v>
      </c>
      <c r="J944" s="10"/>
      <c r="K944" s="7"/>
      <c r="L944" s="7"/>
      <c r="M944" s="7"/>
      <c r="N944" s="10"/>
      <c r="O944" s="113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.75" customHeight="1">
      <c r="A945" s="10" t="s">
        <v>21</v>
      </c>
      <c r="B945" s="7" t="s">
        <v>115</v>
      </c>
      <c r="C945" s="135">
        <v>46265</v>
      </c>
      <c r="D945" s="44" t="s">
        <v>265</v>
      </c>
      <c r="E945" s="35" t="s">
        <v>479</v>
      </c>
      <c r="F945" s="121">
        <v>8.02</v>
      </c>
      <c r="G945" s="122">
        <f t="shared" si="34"/>
        <v>0</v>
      </c>
      <c r="H945" s="123">
        <f>IF(AND(ISNUMBER(F945), F945&gt;4, COUNTIFS($A$2:A945, A945, $B$2:B945, B945, $C$2:C945, C945, $F$2:F945, "&gt;4")=1), 1, 0)</f>
        <v>1</v>
      </c>
      <c r="I945" s="10">
        <f t="shared" si="35"/>
        <v>0</v>
      </c>
      <c r="J945" s="10"/>
      <c r="K945" s="7"/>
      <c r="L945" s="7"/>
      <c r="M945" s="7"/>
      <c r="N945" s="10"/>
      <c r="O945" s="113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.75" customHeight="1">
      <c r="A946" s="10" t="s">
        <v>22</v>
      </c>
      <c r="B946" s="7" t="s">
        <v>119</v>
      </c>
      <c r="C946" s="135">
        <v>46235</v>
      </c>
      <c r="D946" s="44" t="s">
        <v>191</v>
      </c>
      <c r="E946" s="35" t="s">
        <v>502</v>
      </c>
      <c r="F946" s="121">
        <v>8.17</v>
      </c>
      <c r="G946" s="122">
        <f t="shared" si="34"/>
        <v>0</v>
      </c>
      <c r="H946" s="123">
        <f>IF(AND(ISNUMBER(F946), F946&gt;4, COUNTIFS($A$2:A946, A946, $B$2:B946, B946, $C$2:C946, C946, $F$2:F946, "&gt;4")=1), 1, 0)</f>
        <v>1</v>
      </c>
      <c r="I946" s="10">
        <f t="shared" si="35"/>
        <v>0</v>
      </c>
      <c r="J946" s="10"/>
      <c r="K946" s="7"/>
      <c r="L946" s="7"/>
      <c r="M946" s="7"/>
      <c r="N946" s="10"/>
      <c r="O946" s="113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.75" customHeight="1">
      <c r="A947" s="10" t="s">
        <v>22</v>
      </c>
      <c r="B947" s="7" t="s">
        <v>119</v>
      </c>
      <c r="C947" s="135">
        <v>46236</v>
      </c>
      <c r="D947" s="44" t="s">
        <v>191</v>
      </c>
      <c r="E947" s="35" t="s">
        <v>493</v>
      </c>
      <c r="F947" s="121">
        <v>7.77</v>
      </c>
      <c r="G947" s="122">
        <f t="shared" si="34"/>
        <v>0</v>
      </c>
      <c r="H947" s="123">
        <f>IF(AND(ISNUMBER(F947), F947&gt;4, COUNTIFS($A$2:A947, A947, $B$2:B947, B947, $C$2:C947, C947, $F$2:F947, "&gt;4")=1), 1, 0)</f>
        <v>1</v>
      </c>
      <c r="I947" s="10">
        <f t="shared" si="35"/>
        <v>0</v>
      </c>
      <c r="J947" s="10"/>
      <c r="K947" s="7"/>
      <c r="L947" s="7"/>
      <c r="M947" s="7"/>
      <c r="N947" s="10"/>
      <c r="O947" s="113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.75" customHeight="1">
      <c r="A948" s="10" t="s">
        <v>22</v>
      </c>
      <c r="B948" s="7" t="s">
        <v>119</v>
      </c>
      <c r="C948" s="135">
        <v>46242</v>
      </c>
      <c r="D948" s="44" t="s">
        <v>191</v>
      </c>
      <c r="E948" s="35" t="s">
        <v>329</v>
      </c>
      <c r="F948" s="121">
        <v>8.0299999999999994</v>
      </c>
      <c r="G948" s="122">
        <f t="shared" si="34"/>
        <v>0</v>
      </c>
      <c r="H948" s="123">
        <f>IF(AND(ISNUMBER(F948), F948&gt;4, COUNTIFS($A$2:A948, A948, $B$2:B948, B948, $C$2:C948, C948, $F$2:F948, "&gt;4")=1), 1, 0)</f>
        <v>1</v>
      </c>
      <c r="I948" s="10">
        <f t="shared" si="35"/>
        <v>0</v>
      </c>
      <c r="J948" s="10"/>
      <c r="K948" s="7"/>
      <c r="L948" s="7"/>
      <c r="M948" s="7"/>
      <c r="N948" s="10"/>
      <c r="O948" s="113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.75" customHeight="1">
      <c r="A949" s="10" t="s">
        <v>22</v>
      </c>
      <c r="B949" s="7" t="s">
        <v>119</v>
      </c>
      <c r="C949" s="135">
        <v>46243</v>
      </c>
      <c r="D949" s="44" t="s">
        <v>191</v>
      </c>
      <c r="E949" s="35" t="s">
        <v>477</v>
      </c>
      <c r="F949" s="121">
        <v>7.88</v>
      </c>
      <c r="G949" s="122">
        <f t="shared" si="34"/>
        <v>0</v>
      </c>
      <c r="H949" s="123">
        <f>IF(AND(ISNUMBER(F949), F949&gt;4, COUNTIFS($A$2:A949, A949, $B$2:B949, B949, $C$2:C949, C949, $F$2:F949, "&gt;4")=1), 1, 0)</f>
        <v>1</v>
      </c>
      <c r="I949" s="10">
        <f t="shared" si="35"/>
        <v>0</v>
      </c>
      <c r="J949" s="10"/>
      <c r="K949" s="7"/>
      <c r="L949" s="7"/>
      <c r="M949" s="7"/>
      <c r="N949" s="10"/>
      <c r="O949" s="113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.75" customHeight="1">
      <c r="A950" s="10" t="s">
        <v>22</v>
      </c>
      <c r="B950" s="7" t="s">
        <v>119</v>
      </c>
      <c r="C950" s="135">
        <v>46249</v>
      </c>
      <c r="D950" s="44" t="s">
        <v>191</v>
      </c>
      <c r="E950" s="35" t="s">
        <v>490</v>
      </c>
      <c r="F950" s="121">
        <v>8.23</v>
      </c>
      <c r="G950" s="122">
        <f t="shared" si="34"/>
        <v>0</v>
      </c>
      <c r="H950" s="123">
        <f>IF(AND(ISNUMBER(F950), F950&gt;4, COUNTIFS($A$2:A950, A950, $B$2:B950, B950, $C$2:C950, C950, $F$2:F950, "&gt;4")=1), 1, 0)</f>
        <v>1</v>
      </c>
      <c r="I950" s="10">
        <f t="shared" si="35"/>
        <v>0</v>
      </c>
      <c r="J950" s="10"/>
      <c r="K950" s="7"/>
      <c r="L950" s="7"/>
      <c r="M950" s="7"/>
      <c r="N950" s="10"/>
      <c r="O950" s="113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.75" customHeight="1">
      <c r="A951" s="10" t="s">
        <v>22</v>
      </c>
      <c r="B951" s="7" t="s">
        <v>119</v>
      </c>
      <c r="C951" s="135">
        <v>46250</v>
      </c>
      <c r="D951" s="44" t="s">
        <v>191</v>
      </c>
      <c r="E951" s="35" t="s">
        <v>487</v>
      </c>
      <c r="F951" s="121">
        <v>7.78</v>
      </c>
      <c r="G951" s="122">
        <f t="shared" si="34"/>
        <v>0</v>
      </c>
      <c r="H951" s="123">
        <f>IF(AND(ISNUMBER(F951), F951&gt;4, COUNTIFS($A$2:A951, A951, $B$2:B951, B951, $C$2:C951, C951, $F$2:F951, "&gt;4")=1), 1, 0)</f>
        <v>1</v>
      </c>
      <c r="I951" s="10">
        <f t="shared" si="35"/>
        <v>0</v>
      </c>
      <c r="J951" s="10"/>
      <c r="K951" s="7"/>
      <c r="L951" s="7"/>
      <c r="M951" s="7"/>
      <c r="N951" s="10"/>
      <c r="O951" s="113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.75" customHeight="1">
      <c r="A952" s="10" t="s">
        <v>22</v>
      </c>
      <c r="B952" s="7" t="s">
        <v>119</v>
      </c>
      <c r="C952" s="135">
        <v>46263</v>
      </c>
      <c r="D952" s="44" t="s">
        <v>191</v>
      </c>
      <c r="E952" s="35" t="s">
        <v>482</v>
      </c>
      <c r="F952" s="121">
        <v>7.85</v>
      </c>
      <c r="G952" s="122">
        <f t="shared" si="34"/>
        <v>0</v>
      </c>
      <c r="H952" s="123">
        <f>IF(AND(ISNUMBER(F952), F952&gt;4, COUNTIFS($A$2:A952, A952, $B$2:B952, B952, $C$2:C952, C952, $F$2:F952, "&gt;4")=1), 1, 0)</f>
        <v>1</v>
      </c>
      <c r="I952" s="10">
        <f t="shared" si="35"/>
        <v>0</v>
      </c>
      <c r="J952" s="10"/>
      <c r="K952" s="7"/>
      <c r="L952" s="7"/>
      <c r="M952" s="7"/>
      <c r="N952" s="10"/>
      <c r="O952" s="113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.75" customHeight="1">
      <c r="A953" s="10" t="s">
        <v>22</v>
      </c>
      <c r="B953" s="7" t="s">
        <v>119</v>
      </c>
      <c r="C953" s="135">
        <v>46255</v>
      </c>
      <c r="D953" s="44" t="s">
        <v>257</v>
      </c>
      <c r="E953" s="35" t="s">
        <v>515</v>
      </c>
      <c r="F953" s="121">
        <v>8.27</v>
      </c>
      <c r="G953" s="122">
        <f t="shared" si="34"/>
        <v>0</v>
      </c>
      <c r="H953" s="123">
        <f>IF(AND(ISNUMBER(F953), F953&gt;4, COUNTIFS($A$2:A953, A953, $B$2:B953, B953, $C$2:C953, C953, $F$2:F953, "&gt;4")=1), 1, 0)</f>
        <v>1</v>
      </c>
      <c r="I953" s="10">
        <f t="shared" si="35"/>
        <v>0</v>
      </c>
      <c r="J953" s="10"/>
      <c r="K953" s="7"/>
      <c r="L953" s="7"/>
      <c r="M953" s="7"/>
      <c r="N953" s="10"/>
      <c r="O953" s="113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.75" customHeight="1">
      <c r="A954" s="10" t="s">
        <v>22</v>
      </c>
      <c r="B954" s="7" t="s">
        <v>119</v>
      </c>
      <c r="C954" s="135">
        <v>46256</v>
      </c>
      <c r="D954" s="44" t="s">
        <v>257</v>
      </c>
      <c r="E954" s="35" t="s">
        <v>684</v>
      </c>
      <c r="F954" s="121">
        <v>7.73</v>
      </c>
      <c r="G954" s="122">
        <f t="shared" si="34"/>
        <v>0</v>
      </c>
      <c r="H954" s="123">
        <f>IF(AND(ISNUMBER(F954), F954&gt;4, COUNTIFS($A$2:A954, A954, $B$2:B954, B954, $C$2:C954, C954, $F$2:F954, "&gt;4")=1), 1, 0)</f>
        <v>1</v>
      </c>
      <c r="I954" s="10">
        <f t="shared" si="35"/>
        <v>0</v>
      </c>
      <c r="J954" s="10"/>
      <c r="K954" s="7"/>
      <c r="L954" s="7"/>
      <c r="M954" s="7"/>
      <c r="N954" s="10"/>
      <c r="O954" s="113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.75" customHeight="1">
      <c r="A955" s="10" t="s">
        <v>22</v>
      </c>
      <c r="B955" s="7" t="s">
        <v>119</v>
      </c>
      <c r="C955" s="135">
        <v>46257</v>
      </c>
      <c r="D955" s="44" t="s">
        <v>257</v>
      </c>
      <c r="E955" s="35" t="s">
        <v>685</v>
      </c>
      <c r="F955" s="121">
        <v>7.6</v>
      </c>
      <c r="G955" s="122">
        <f t="shared" si="34"/>
        <v>0</v>
      </c>
      <c r="H955" s="123">
        <f>IF(AND(ISNUMBER(F955), F955&gt;4, COUNTIFS($A$2:A955, A955, $B$2:B955, B955, $C$2:C955, C955, $F$2:F955, "&gt;4")=1), 1, 0)</f>
        <v>1</v>
      </c>
      <c r="I955" s="10">
        <f t="shared" si="35"/>
        <v>0</v>
      </c>
      <c r="J955" s="10"/>
      <c r="K955" s="7"/>
      <c r="L955" s="7"/>
      <c r="M955" s="7"/>
      <c r="N955" s="10"/>
      <c r="O955" s="113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.75" customHeight="1">
      <c r="A956" s="10" t="s">
        <v>22</v>
      </c>
      <c r="B956" s="7" t="s">
        <v>119</v>
      </c>
      <c r="C956" s="135">
        <v>46237</v>
      </c>
      <c r="D956" s="44" t="s">
        <v>342</v>
      </c>
      <c r="E956" s="35" t="s">
        <v>300</v>
      </c>
      <c r="F956" s="121">
        <v>7.75</v>
      </c>
      <c r="G956" s="122">
        <f t="shared" si="34"/>
        <v>0</v>
      </c>
      <c r="H956" s="123">
        <f>IF(AND(ISNUMBER(F956), F956&gt;4, COUNTIFS($A$2:A956, A956, $B$2:B956, B956, $C$2:C956, C956, $F$2:F956, "&gt;4")=1), 1, 0)</f>
        <v>1</v>
      </c>
      <c r="I956" s="10">
        <f t="shared" si="35"/>
        <v>0</v>
      </c>
      <c r="J956" s="10"/>
      <c r="K956" s="7"/>
      <c r="L956" s="7"/>
      <c r="M956" s="7"/>
      <c r="N956" s="10"/>
      <c r="O956" s="113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.75" customHeight="1">
      <c r="A957" s="10" t="s">
        <v>22</v>
      </c>
      <c r="B957" s="7" t="s">
        <v>119</v>
      </c>
      <c r="C957" s="135">
        <v>46238</v>
      </c>
      <c r="D957" s="44" t="s">
        <v>342</v>
      </c>
      <c r="E957" s="35" t="s">
        <v>616</v>
      </c>
      <c r="F957" s="121">
        <v>7.57</v>
      </c>
      <c r="G957" s="122">
        <f t="shared" si="34"/>
        <v>0</v>
      </c>
      <c r="H957" s="123">
        <f>IF(AND(ISNUMBER(F957), F957&gt;4, COUNTIFS($A$2:A957, A957, $B$2:B957, B957, $C$2:C957, C957, $F$2:F957, "&gt;4")=1), 1, 0)</f>
        <v>1</v>
      </c>
      <c r="I957" s="10">
        <f t="shared" si="35"/>
        <v>0</v>
      </c>
      <c r="J957" s="10"/>
      <c r="K957" s="7"/>
      <c r="L957" s="7"/>
      <c r="M957" s="7"/>
      <c r="N957" s="10"/>
      <c r="O957" s="113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.75" customHeight="1">
      <c r="A958" s="10" t="s">
        <v>22</v>
      </c>
      <c r="B958" s="7" t="s">
        <v>119</v>
      </c>
      <c r="C958" s="135">
        <v>46239</v>
      </c>
      <c r="D958" s="44" t="s">
        <v>342</v>
      </c>
      <c r="E958" s="35" t="s">
        <v>562</v>
      </c>
      <c r="F958" s="121">
        <v>7.35</v>
      </c>
      <c r="G958" s="122">
        <f t="shared" si="34"/>
        <v>0</v>
      </c>
      <c r="H958" s="123">
        <f>IF(AND(ISNUMBER(F958), F958&gt;4, COUNTIFS($A$2:A958, A958, $B$2:B958, B958, $C$2:C958, C958, $F$2:F958, "&gt;4")=1), 1, 0)</f>
        <v>1</v>
      </c>
      <c r="I958" s="10">
        <f t="shared" si="35"/>
        <v>0</v>
      </c>
      <c r="J958" s="10"/>
      <c r="K958" s="7"/>
      <c r="L958" s="7"/>
      <c r="M958" s="7"/>
      <c r="N958" s="10"/>
      <c r="O958" s="113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.75" customHeight="1">
      <c r="A959" s="10" t="s">
        <v>22</v>
      </c>
      <c r="B959" s="7" t="s">
        <v>119</v>
      </c>
      <c r="C959" s="135">
        <v>46240</v>
      </c>
      <c r="D959" s="44" t="s">
        <v>342</v>
      </c>
      <c r="E959" s="35" t="s">
        <v>685</v>
      </c>
      <c r="F959" s="121">
        <v>7.6</v>
      </c>
      <c r="G959" s="122">
        <f t="shared" si="34"/>
        <v>0</v>
      </c>
      <c r="H959" s="123">
        <f>IF(AND(ISNUMBER(F959), F959&gt;4, COUNTIFS($A$2:A959, A959, $B$2:B959, B959, $C$2:C959, C959, $F$2:F959, "&gt;4")=1), 1, 0)</f>
        <v>1</v>
      </c>
      <c r="I959" s="10">
        <f t="shared" si="35"/>
        <v>0</v>
      </c>
      <c r="J959" s="10"/>
      <c r="K959" s="7"/>
      <c r="L959" s="7"/>
      <c r="M959" s="7"/>
      <c r="N959" s="10"/>
      <c r="O959" s="113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.75" customHeight="1">
      <c r="A960" s="10" t="s">
        <v>22</v>
      </c>
      <c r="B960" s="7" t="s">
        <v>119</v>
      </c>
      <c r="C960" s="135">
        <v>46241</v>
      </c>
      <c r="D960" s="44" t="s">
        <v>342</v>
      </c>
      <c r="E960" s="35" t="s">
        <v>504</v>
      </c>
      <c r="F960" s="121">
        <v>8.18</v>
      </c>
      <c r="G960" s="122">
        <f t="shared" si="34"/>
        <v>0</v>
      </c>
      <c r="H960" s="123">
        <f>IF(AND(ISNUMBER(F960), F960&gt;4, COUNTIFS($A$2:A960, A960, $B$2:B960, B960, $C$2:C960, C960, $F$2:F960, "&gt;4")=1), 1, 0)</f>
        <v>1</v>
      </c>
      <c r="I960" s="10">
        <f t="shared" si="35"/>
        <v>0</v>
      </c>
      <c r="J960" s="10"/>
      <c r="K960" s="7"/>
      <c r="L960" s="7"/>
      <c r="M960" s="7"/>
      <c r="N960" s="10"/>
      <c r="O960" s="113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5.75" customHeight="1">
      <c r="A961" s="10" t="s">
        <v>22</v>
      </c>
      <c r="B961" s="7" t="s">
        <v>119</v>
      </c>
      <c r="C961" s="135">
        <v>46244</v>
      </c>
      <c r="D961" s="44" t="s">
        <v>342</v>
      </c>
      <c r="E961" s="35" t="s">
        <v>295</v>
      </c>
      <c r="F961" s="121">
        <v>7.25</v>
      </c>
      <c r="G961" s="122">
        <f t="shared" si="34"/>
        <v>0</v>
      </c>
      <c r="H961" s="123">
        <f>IF(AND(ISNUMBER(F961), F961&gt;4, COUNTIFS($A$2:A961, A961, $B$2:B961, B961, $C$2:C961, C961, $F$2:F961, "&gt;4")=1), 1, 0)</f>
        <v>1</v>
      </c>
      <c r="I961" s="10">
        <f t="shared" si="35"/>
        <v>0</v>
      </c>
      <c r="J961" s="10"/>
      <c r="K961" s="7"/>
      <c r="L961" s="7"/>
      <c r="M961" s="7"/>
      <c r="N961" s="10"/>
      <c r="O961" s="113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5.75" customHeight="1">
      <c r="A962" s="10" t="s">
        <v>22</v>
      </c>
      <c r="B962" s="7" t="s">
        <v>119</v>
      </c>
      <c r="C962" s="135">
        <v>46245</v>
      </c>
      <c r="D962" s="44" t="s">
        <v>342</v>
      </c>
      <c r="E962" s="35" t="s">
        <v>686</v>
      </c>
      <c r="F962" s="121">
        <v>7.52</v>
      </c>
      <c r="G962" s="122">
        <f t="shared" ref="G962:G1025" si="36">IF(AND(ISNUMBER(F962), F962&lt;=4), 1, 0)</f>
        <v>0</v>
      </c>
      <c r="H962" s="123">
        <f>IF(AND(ISNUMBER(F962), F962&gt;4, COUNTIFS($A$2:A962, A962, $B$2:B962, B962, $C$2:C962, C962, $F$2:F962, "&gt;4")=1), 1, 0)</f>
        <v>1</v>
      </c>
      <c r="I962" s="10">
        <f t="shared" ref="I962:I1025" si="37">IF(AND(ISNUMBER(F962), F962&gt;4, ISNUMBER(SEARCH("đêm", D962))), 1, 0)</f>
        <v>0</v>
      </c>
      <c r="J962" s="10"/>
      <c r="K962" s="7"/>
      <c r="L962" s="7"/>
      <c r="M962" s="7"/>
      <c r="N962" s="10"/>
      <c r="O962" s="113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5.75" customHeight="1">
      <c r="A963" s="10" t="s">
        <v>22</v>
      </c>
      <c r="B963" s="7" t="s">
        <v>119</v>
      </c>
      <c r="C963" s="135">
        <v>46246</v>
      </c>
      <c r="D963" s="44" t="s">
        <v>342</v>
      </c>
      <c r="E963" s="35" t="s">
        <v>684</v>
      </c>
      <c r="F963" s="121">
        <v>7.73</v>
      </c>
      <c r="G963" s="122">
        <f t="shared" si="36"/>
        <v>0</v>
      </c>
      <c r="H963" s="123">
        <f>IF(AND(ISNUMBER(F963), F963&gt;4, COUNTIFS($A$2:A963, A963, $B$2:B963, B963, $C$2:C963, C963, $F$2:F963, "&gt;4")=1), 1, 0)</f>
        <v>1</v>
      </c>
      <c r="I963" s="10">
        <f t="shared" si="37"/>
        <v>0</v>
      </c>
      <c r="J963" s="10"/>
      <c r="K963" s="7"/>
      <c r="L963" s="7"/>
      <c r="M963" s="7"/>
      <c r="N963" s="10"/>
      <c r="O963" s="113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5.75" customHeight="1">
      <c r="A964" s="10" t="s">
        <v>22</v>
      </c>
      <c r="B964" s="7" t="s">
        <v>119</v>
      </c>
      <c r="C964" s="135">
        <v>46247</v>
      </c>
      <c r="D964" s="44" t="s">
        <v>342</v>
      </c>
      <c r="E964" s="35" t="s">
        <v>300</v>
      </c>
      <c r="F964" s="121">
        <v>7.75</v>
      </c>
      <c r="G964" s="122">
        <f t="shared" si="36"/>
        <v>0</v>
      </c>
      <c r="H964" s="123">
        <f>IF(AND(ISNUMBER(F964), F964&gt;4, COUNTIFS($A$2:A964, A964, $B$2:B964, B964, $C$2:C964, C964, $F$2:F964, "&gt;4")=1), 1, 0)</f>
        <v>1</v>
      </c>
      <c r="I964" s="10">
        <f t="shared" si="37"/>
        <v>0</v>
      </c>
      <c r="J964" s="10"/>
      <c r="K964" s="7"/>
      <c r="L964" s="7"/>
      <c r="M964" s="7"/>
      <c r="N964" s="10"/>
      <c r="O964" s="113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5.75" customHeight="1">
      <c r="A965" s="10" t="s">
        <v>22</v>
      </c>
      <c r="B965" s="7" t="s">
        <v>119</v>
      </c>
      <c r="C965" s="135">
        <v>46248</v>
      </c>
      <c r="D965" s="44" t="s">
        <v>342</v>
      </c>
      <c r="E965" s="35" t="s">
        <v>687</v>
      </c>
      <c r="F965" s="121">
        <v>7.45</v>
      </c>
      <c r="G965" s="122">
        <f t="shared" si="36"/>
        <v>0</v>
      </c>
      <c r="H965" s="123">
        <f>IF(AND(ISNUMBER(F965), F965&gt;4, COUNTIFS($A$2:A965, A965, $B$2:B965, B965, $C$2:C965, C965, $F$2:F965, "&gt;4")=1), 1, 0)</f>
        <v>1</v>
      </c>
      <c r="I965" s="10">
        <f t="shared" si="37"/>
        <v>0</v>
      </c>
      <c r="J965" s="10"/>
      <c r="K965" s="7"/>
      <c r="L965" s="7"/>
      <c r="M965" s="7"/>
      <c r="N965" s="10"/>
      <c r="O965" s="113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5.75" customHeight="1">
      <c r="A966" s="10" t="s">
        <v>22</v>
      </c>
      <c r="B966" s="7" t="s">
        <v>119</v>
      </c>
      <c r="C966" s="135">
        <v>46251</v>
      </c>
      <c r="D966" s="44" t="s">
        <v>342</v>
      </c>
      <c r="E966" s="35" t="s">
        <v>687</v>
      </c>
      <c r="F966" s="121">
        <v>7.45</v>
      </c>
      <c r="G966" s="122">
        <f t="shared" si="36"/>
        <v>0</v>
      </c>
      <c r="H966" s="123">
        <f>IF(AND(ISNUMBER(F966), F966&gt;4, COUNTIFS($A$2:A966, A966, $B$2:B966, B966, $C$2:C966, C966, $F$2:F966, "&gt;4")=1), 1, 0)</f>
        <v>1</v>
      </c>
      <c r="I966" s="10">
        <f t="shared" si="37"/>
        <v>0</v>
      </c>
      <c r="J966" s="10"/>
      <c r="K966" s="7"/>
      <c r="L966" s="7"/>
      <c r="M966" s="7"/>
      <c r="N966" s="10"/>
      <c r="O966" s="113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5.75" customHeight="1">
      <c r="A967" s="10" t="s">
        <v>22</v>
      </c>
      <c r="B967" s="7" t="s">
        <v>119</v>
      </c>
      <c r="C967" s="135">
        <v>46253</v>
      </c>
      <c r="D967" s="44" t="s">
        <v>342</v>
      </c>
      <c r="E967" s="35" t="s">
        <v>688</v>
      </c>
      <c r="F967" s="121">
        <v>7.27</v>
      </c>
      <c r="G967" s="122">
        <f t="shared" si="36"/>
        <v>0</v>
      </c>
      <c r="H967" s="123">
        <f>IF(AND(ISNUMBER(F967), F967&gt;4, COUNTIFS($A$2:A967, A967, $B$2:B967, B967, $C$2:C967, C967, $F$2:F967, "&gt;4")=1), 1, 0)</f>
        <v>1</v>
      </c>
      <c r="I967" s="10">
        <f t="shared" si="37"/>
        <v>0</v>
      </c>
      <c r="J967" s="10"/>
      <c r="K967" s="7"/>
      <c r="L967" s="7"/>
      <c r="M967" s="7"/>
      <c r="N967" s="10"/>
      <c r="O967" s="113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5.75" customHeight="1">
      <c r="A968" s="10" t="s">
        <v>22</v>
      </c>
      <c r="B968" s="7" t="s">
        <v>119</v>
      </c>
      <c r="C968" s="135">
        <v>46254</v>
      </c>
      <c r="D968" s="44" t="s">
        <v>342</v>
      </c>
      <c r="E968" s="35" t="s">
        <v>686</v>
      </c>
      <c r="F968" s="121">
        <v>7.52</v>
      </c>
      <c r="G968" s="122">
        <f t="shared" si="36"/>
        <v>0</v>
      </c>
      <c r="H968" s="123">
        <f>IF(AND(ISNUMBER(F968), F968&gt;4, COUNTIFS($A$2:A968, A968, $B$2:B968, B968, $C$2:C968, C968, $F$2:F968, "&gt;4")=1), 1, 0)</f>
        <v>1</v>
      </c>
      <c r="I968" s="10">
        <f t="shared" si="37"/>
        <v>0</v>
      </c>
      <c r="J968" s="10"/>
      <c r="K968" s="7"/>
      <c r="L968" s="7"/>
      <c r="M968" s="7"/>
      <c r="N968" s="10"/>
      <c r="O968" s="113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5.75" customHeight="1">
      <c r="A969" s="10" t="s">
        <v>22</v>
      </c>
      <c r="B969" s="7" t="s">
        <v>119</v>
      </c>
      <c r="C969" s="135">
        <v>46258</v>
      </c>
      <c r="D969" s="44" t="s">
        <v>342</v>
      </c>
      <c r="E969" s="35" t="s">
        <v>689</v>
      </c>
      <c r="F969" s="121">
        <v>7.48</v>
      </c>
      <c r="G969" s="122">
        <f t="shared" si="36"/>
        <v>0</v>
      </c>
      <c r="H969" s="123">
        <f>IF(AND(ISNUMBER(F969), F969&gt;4, COUNTIFS($A$2:A969, A969, $B$2:B969, B969, $C$2:C969, C969, $F$2:F969, "&gt;4")=1), 1, 0)</f>
        <v>1</v>
      </c>
      <c r="I969" s="10">
        <f t="shared" si="37"/>
        <v>0</v>
      </c>
      <c r="J969" s="10"/>
      <c r="K969" s="7"/>
      <c r="L969" s="7"/>
      <c r="M969" s="7"/>
      <c r="N969" s="10"/>
      <c r="O969" s="113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5.75" customHeight="1">
      <c r="A970" s="10" t="s">
        <v>22</v>
      </c>
      <c r="B970" s="7" t="s">
        <v>119</v>
      </c>
      <c r="C970" s="135">
        <v>46259</v>
      </c>
      <c r="D970" s="44" t="s">
        <v>342</v>
      </c>
      <c r="E970" s="35" t="s">
        <v>685</v>
      </c>
      <c r="F970" s="121">
        <v>7.6</v>
      </c>
      <c r="G970" s="122">
        <f t="shared" si="36"/>
        <v>0</v>
      </c>
      <c r="H970" s="123">
        <f>IF(AND(ISNUMBER(F970), F970&gt;4, COUNTIFS($A$2:A970, A970, $B$2:B970, B970, $C$2:C970, C970, $F$2:F970, "&gt;4")=1), 1, 0)</f>
        <v>1</v>
      </c>
      <c r="I970" s="10">
        <f t="shared" si="37"/>
        <v>0</v>
      </c>
      <c r="J970" s="10"/>
      <c r="K970" s="7"/>
      <c r="L970" s="7"/>
      <c r="M970" s="7"/>
      <c r="N970" s="10"/>
      <c r="O970" s="113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5.75" customHeight="1">
      <c r="A971" s="10" t="s">
        <v>22</v>
      </c>
      <c r="B971" s="7" t="s">
        <v>119</v>
      </c>
      <c r="C971" s="135">
        <v>46261</v>
      </c>
      <c r="D971" s="44" t="s">
        <v>342</v>
      </c>
      <c r="E971" s="35" t="s">
        <v>236</v>
      </c>
      <c r="F971" s="121">
        <v>7.5</v>
      </c>
      <c r="G971" s="122">
        <f t="shared" si="36"/>
        <v>0</v>
      </c>
      <c r="H971" s="123">
        <f>IF(AND(ISNUMBER(F971), F971&gt;4, COUNTIFS($A$2:A971, A971, $B$2:B971, B971, $C$2:C971, C971, $F$2:F971, "&gt;4")=1), 1, 0)</f>
        <v>1</v>
      </c>
      <c r="I971" s="10">
        <f t="shared" si="37"/>
        <v>0</v>
      </c>
      <c r="J971" s="10"/>
      <c r="K971" s="7"/>
      <c r="L971" s="7"/>
      <c r="M971" s="7"/>
      <c r="N971" s="10"/>
      <c r="O971" s="113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5.75" customHeight="1">
      <c r="A972" s="10" t="s">
        <v>22</v>
      </c>
      <c r="B972" s="7" t="s">
        <v>119</v>
      </c>
      <c r="C972" s="135">
        <v>46262</v>
      </c>
      <c r="D972" s="44" t="s">
        <v>342</v>
      </c>
      <c r="E972" s="35" t="s">
        <v>501</v>
      </c>
      <c r="F972" s="121">
        <v>8.2200000000000006</v>
      </c>
      <c r="G972" s="122">
        <f t="shared" si="36"/>
        <v>0</v>
      </c>
      <c r="H972" s="123">
        <f>IF(AND(ISNUMBER(F972), F972&gt;4, COUNTIFS($A$2:A972, A972, $B$2:B972, B972, $C$2:C972, C972, $F$2:F972, "&gt;4")=1), 1, 0)</f>
        <v>1</v>
      </c>
      <c r="I972" s="10">
        <f t="shared" si="37"/>
        <v>0</v>
      </c>
      <c r="J972" s="10"/>
      <c r="K972" s="7"/>
      <c r="L972" s="7"/>
      <c r="M972" s="7"/>
      <c r="N972" s="10"/>
      <c r="O972" s="113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5.75" customHeight="1">
      <c r="A973" s="10" t="s">
        <v>22</v>
      </c>
      <c r="B973" s="7" t="s">
        <v>119</v>
      </c>
      <c r="C973" s="135">
        <v>46265</v>
      </c>
      <c r="D973" s="44" t="s">
        <v>342</v>
      </c>
      <c r="E973" s="35" t="s">
        <v>479</v>
      </c>
      <c r="F973" s="121">
        <v>8.02</v>
      </c>
      <c r="G973" s="122">
        <f t="shared" si="36"/>
        <v>0</v>
      </c>
      <c r="H973" s="123">
        <f>IF(AND(ISNUMBER(F973), F973&gt;4, COUNTIFS($A$2:A973, A973, $B$2:B973, B973, $C$2:C973, C973, $F$2:F973, "&gt;4")=1), 1, 0)</f>
        <v>1</v>
      </c>
      <c r="I973" s="10">
        <f t="shared" si="37"/>
        <v>0</v>
      </c>
      <c r="J973" s="10"/>
      <c r="K973" s="7"/>
      <c r="L973" s="7"/>
      <c r="M973" s="7"/>
      <c r="N973" s="10"/>
      <c r="O973" s="113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5.75" customHeight="1">
      <c r="A974" s="10" t="s">
        <v>22</v>
      </c>
      <c r="B974" s="7" t="s">
        <v>118</v>
      </c>
      <c r="C974" s="135">
        <v>46239</v>
      </c>
      <c r="D974" s="44" t="s">
        <v>191</v>
      </c>
      <c r="E974" s="35" t="s">
        <v>645</v>
      </c>
      <c r="F974" s="121">
        <v>9</v>
      </c>
      <c r="G974" s="122">
        <f t="shared" si="36"/>
        <v>0</v>
      </c>
      <c r="H974" s="123">
        <f>IF(AND(ISNUMBER(F974), F974&gt;4, COUNTIFS($A$2:A974, A974, $B$2:B974, B974, $C$2:C974, C974, $F$2:F974, "&gt;4")=1), 1, 0)</f>
        <v>1</v>
      </c>
      <c r="I974" s="10">
        <f t="shared" si="37"/>
        <v>0</v>
      </c>
      <c r="J974" s="10"/>
      <c r="K974" s="7"/>
      <c r="L974" s="7"/>
      <c r="M974" s="7"/>
      <c r="N974" s="10"/>
      <c r="O974" s="113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5.75" customHeight="1">
      <c r="A975" s="10" t="s">
        <v>22</v>
      </c>
      <c r="B975" s="7" t="s">
        <v>118</v>
      </c>
      <c r="C975" s="135">
        <v>46247</v>
      </c>
      <c r="D975" s="44" t="s">
        <v>191</v>
      </c>
      <c r="E975" s="35" t="s">
        <v>690</v>
      </c>
      <c r="F975" s="121">
        <v>8.92</v>
      </c>
      <c r="G975" s="122">
        <f t="shared" si="36"/>
        <v>0</v>
      </c>
      <c r="H975" s="123">
        <f>IF(AND(ISNUMBER(F975), F975&gt;4, COUNTIFS($A$2:A975, A975, $B$2:B975, B975, $C$2:C975, C975, $F$2:F975, "&gt;4")=1), 1, 0)</f>
        <v>1</v>
      </c>
      <c r="I975" s="10">
        <f t="shared" si="37"/>
        <v>0</v>
      </c>
      <c r="J975" s="10"/>
      <c r="K975" s="7"/>
      <c r="L975" s="7"/>
      <c r="M975" s="7"/>
      <c r="N975" s="10"/>
      <c r="O975" s="113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5.75" customHeight="1">
      <c r="A976" s="10" t="s">
        <v>22</v>
      </c>
      <c r="B976" s="7" t="s">
        <v>118</v>
      </c>
      <c r="C976" s="135">
        <v>46256</v>
      </c>
      <c r="D976" s="44" t="s">
        <v>191</v>
      </c>
      <c r="E976" s="35" t="s">
        <v>691</v>
      </c>
      <c r="F976" s="121">
        <v>8.8000000000000007</v>
      </c>
      <c r="G976" s="122">
        <f t="shared" si="36"/>
        <v>0</v>
      </c>
      <c r="H976" s="123">
        <f>IF(AND(ISNUMBER(F976), F976&gt;4, COUNTIFS($A$2:A976, A976, $B$2:B976, B976, $C$2:C976, C976, $F$2:F976, "&gt;4")=1), 1, 0)</f>
        <v>1</v>
      </c>
      <c r="I976" s="10">
        <f t="shared" si="37"/>
        <v>0</v>
      </c>
      <c r="J976" s="10"/>
      <c r="K976" s="7"/>
      <c r="L976" s="7"/>
      <c r="M976" s="7"/>
      <c r="N976" s="10"/>
      <c r="O976" s="113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5.75" customHeight="1">
      <c r="A977" s="10" t="s">
        <v>22</v>
      </c>
      <c r="B977" s="7" t="s">
        <v>118</v>
      </c>
      <c r="C977" s="135">
        <v>46257</v>
      </c>
      <c r="D977" s="44" t="s">
        <v>191</v>
      </c>
      <c r="E977" s="35" t="s">
        <v>692</v>
      </c>
      <c r="F977" s="121">
        <v>8.9700000000000006</v>
      </c>
      <c r="G977" s="122">
        <f t="shared" si="36"/>
        <v>0</v>
      </c>
      <c r="H977" s="123">
        <f>IF(AND(ISNUMBER(F977), F977&gt;4, COUNTIFS($A$2:A977, A977, $B$2:B977, B977, $C$2:C977, C977, $F$2:F977, "&gt;4")=1), 1, 0)</f>
        <v>1</v>
      </c>
      <c r="I977" s="10">
        <f t="shared" si="37"/>
        <v>0</v>
      </c>
      <c r="J977" s="10"/>
      <c r="K977" s="7"/>
      <c r="L977" s="7"/>
      <c r="M977" s="7"/>
      <c r="N977" s="10"/>
      <c r="O977" s="113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5.75" customHeight="1">
      <c r="A978" s="10" t="s">
        <v>22</v>
      </c>
      <c r="B978" s="7" t="s">
        <v>118</v>
      </c>
      <c r="C978" s="135">
        <v>46264</v>
      </c>
      <c r="D978" s="44" t="s">
        <v>191</v>
      </c>
      <c r="E978" s="35" t="s">
        <v>480</v>
      </c>
      <c r="F978" s="121">
        <v>7.97</v>
      </c>
      <c r="G978" s="122">
        <f t="shared" si="36"/>
        <v>0</v>
      </c>
      <c r="H978" s="123">
        <f>IF(AND(ISNUMBER(F978), F978&gt;4, COUNTIFS($A$2:A978, A978, $B$2:B978, B978, $C$2:C978, C978, $F$2:F978, "&gt;4")=1), 1, 0)</f>
        <v>1</v>
      </c>
      <c r="I978" s="10">
        <f t="shared" si="37"/>
        <v>0</v>
      </c>
      <c r="J978" s="10"/>
      <c r="K978" s="7"/>
      <c r="L978" s="7"/>
      <c r="M978" s="7"/>
      <c r="N978" s="10"/>
      <c r="O978" s="113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5.75" customHeight="1">
      <c r="A979" s="10" t="s">
        <v>22</v>
      </c>
      <c r="B979" s="7" t="s">
        <v>118</v>
      </c>
      <c r="C979" s="135">
        <v>46265</v>
      </c>
      <c r="D979" s="44" t="s">
        <v>191</v>
      </c>
      <c r="E979" s="35" t="s">
        <v>645</v>
      </c>
      <c r="F979" s="121">
        <v>9</v>
      </c>
      <c r="G979" s="122">
        <f t="shared" si="36"/>
        <v>0</v>
      </c>
      <c r="H979" s="123">
        <f>IF(AND(ISNUMBER(F979), F979&gt;4, COUNTIFS($A$2:A979, A979, $B$2:B979, B979, $C$2:C979, C979, $F$2:F979, "&gt;4")=1), 1, 0)</f>
        <v>1</v>
      </c>
      <c r="I979" s="10">
        <f t="shared" si="37"/>
        <v>0</v>
      </c>
      <c r="J979" s="10"/>
      <c r="K979" s="7"/>
      <c r="L979" s="7"/>
      <c r="M979" s="7"/>
      <c r="N979" s="10"/>
      <c r="O979" s="113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5.75" customHeight="1">
      <c r="A980" s="10" t="s">
        <v>22</v>
      </c>
      <c r="B980" s="7" t="s">
        <v>118</v>
      </c>
      <c r="C980" s="135">
        <v>46237</v>
      </c>
      <c r="D980" s="44" t="s">
        <v>345</v>
      </c>
      <c r="E980" s="35" t="s">
        <v>346</v>
      </c>
      <c r="F980" s="121">
        <v>4.1500000000000004</v>
      </c>
      <c r="G980" s="122">
        <f t="shared" si="36"/>
        <v>0</v>
      </c>
      <c r="H980" s="123">
        <f>IF(AND(ISNUMBER(F980), F980&gt;4, COUNTIFS($A$2:A980, A980, $B$2:B980, B980, $C$2:C980, C980, $F$2:F980, "&gt;4")=1), 1, 0)</f>
        <v>1</v>
      </c>
      <c r="I980" s="10">
        <f t="shared" si="37"/>
        <v>1</v>
      </c>
      <c r="J980" s="10"/>
      <c r="K980" s="7"/>
      <c r="L980" s="7"/>
      <c r="M980" s="7"/>
      <c r="N980" s="10"/>
      <c r="O980" s="113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5.75" customHeight="1">
      <c r="A981" s="10" t="s">
        <v>22</v>
      </c>
      <c r="B981" s="7" t="s">
        <v>118</v>
      </c>
      <c r="C981" s="135">
        <v>46243</v>
      </c>
      <c r="D981" s="44" t="s">
        <v>257</v>
      </c>
      <c r="E981" s="35" t="s">
        <v>511</v>
      </c>
      <c r="F981" s="121">
        <v>8.1300000000000008</v>
      </c>
      <c r="G981" s="122">
        <f t="shared" si="36"/>
        <v>0</v>
      </c>
      <c r="H981" s="123">
        <f>IF(AND(ISNUMBER(F981), F981&gt;4, COUNTIFS($A$2:A981, A981, $B$2:B981, B981, $C$2:C981, C981, $F$2:F981, "&gt;4")=1), 1, 0)</f>
        <v>1</v>
      </c>
      <c r="I981" s="10">
        <f t="shared" si="37"/>
        <v>0</v>
      </c>
      <c r="J981" s="10"/>
      <c r="K981" s="7"/>
      <c r="L981" s="7"/>
      <c r="M981" s="7"/>
      <c r="N981" s="10"/>
      <c r="O981" s="113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5.75" customHeight="1">
      <c r="A982" s="10" t="s">
        <v>22</v>
      </c>
      <c r="B982" s="7" t="s">
        <v>118</v>
      </c>
      <c r="C982" s="135">
        <v>46252</v>
      </c>
      <c r="D982" s="44" t="s">
        <v>257</v>
      </c>
      <c r="E982" s="35" t="s">
        <v>199</v>
      </c>
      <c r="F982" s="121">
        <v>8</v>
      </c>
      <c r="G982" s="122">
        <f t="shared" si="36"/>
        <v>0</v>
      </c>
      <c r="H982" s="123">
        <f>IF(AND(ISNUMBER(F982), F982&gt;4, COUNTIFS($A$2:A982, A982, $B$2:B982, B982, $C$2:C982, C982, $F$2:F982, "&gt;4")=1), 1, 0)</f>
        <v>1</v>
      </c>
      <c r="I982" s="10">
        <f t="shared" si="37"/>
        <v>0</v>
      </c>
      <c r="J982" s="10"/>
      <c r="K982" s="7"/>
      <c r="L982" s="7"/>
      <c r="M982" s="7"/>
      <c r="N982" s="10"/>
      <c r="O982" s="113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5.75" customHeight="1">
      <c r="A983" s="10" t="s">
        <v>22</v>
      </c>
      <c r="B983" s="7" t="s">
        <v>118</v>
      </c>
      <c r="C983" s="135">
        <v>46260</v>
      </c>
      <c r="D983" s="44" t="s">
        <v>342</v>
      </c>
      <c r="E983" s="35" t="s">
        <v>348</v>
      </c>
      <c r="F983" s="121">
        <v>7.95</v>
      </c>
      <c r="G983" s="122">
        <f t="shared" si="36"/>
        <v>0</v>
      </c>
      <c r="H983" s="123">
        <f>IF(AND(ISNUMBER(F983), F983&gt;4, COUNTIFS($A$2:A983, A983, $B$2:B983, B983, $C$2:C983, C983, $F$2:F983, "&gt;4")=1), 1, 0)</f>
        <v>1</v>
      </c>
      <c r="I983" s="10">
        <f t="shared" si="37"/>
        <v>0</v>
      </c>
      <c r="J983" s="10"/>
      <c r="K983" s="7"/>
      <c r="L983" s="7"/>
      <c r="M983" s="7"/>
      <c r="N983" s="10"/>
      <c r="O983" s="113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5.75" customHeight="1">
      <c r="A984" s="10" t="s">
        <v>22</v>
      </c>
      <c r="B984" s="7" t="s">
        <v>118</v>
      </c>
      <c r="C984" s="135">
        <v>46235</v>
      </c>
      <c r="D984" s="44" t="s">
        <v>267</v>
      </c>
      <c r="E984" s="35" t="s">
        <v>475</v>
      </c>
      <c r="F984" s="121">
        <v>7.87</v>
      </c>
      <c r="G984" s="122">
        <f t="shared" si="36"/>
        <v>0</v>
      </c>
      <c r="H984" s="123">
        <f>IF(AND(ISNUMBER(F984), F984&gt;4, COUNTIFS($A$2:A984, A984, $B$2:B984, B984, $C$2:C984, C984, $F$2:F984, "&gt;4")=1), 1, 0)</f>
        <v>1</v>
      </c>
      <c r="I984" s="10">
        <f t="shared" si="37"/>
        <v>1</v>
      </c>
      <c r="J984" s="10"/>
      <c r="K984" s="7"/>
      <c r="L984" s="7"/>
      <c r="M984" s="7"/>
      <c r="N984" s="10"/>
      <c r="O984" s="113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5.75" customHeight="1">
      <c r="A985" s="10" t="s">
        <v>22</v>
      </c>
      <c r="B985" s="7" t="s">
        <v>118</v>
      </c>
      <c r="C985" s="135">
        <v>46236</v>
      </c>
      <c r="D985" s="44" t="s">
        <v>267</v>
      </c>
      <c r="E985" s="35" t="s">
        <v>684</v>
      </c>
      <c r="F985" s="121">
        <v>7.73</v>
      </c>
      <c r="G985" s="122">
        <f t="shared" si="36"/>
        <v>0</v>
      </c>
      <c r="H985" s="123">
        <f>IF(AND(ISNUMBER(F985), F985&gt;4, COUNTIFS($A$2:A985, A985, $B$2:B985, B985, $C$2:C985, C985, $F$2:F985, "&gt;4")=1), 1, 0)</f>
        <v>1</v>
      </c>
      <c r="I985" s="10">
        <f t="shared" si="37"/>
        <v>1</v>
      </c>
      <c r="J985" s="10"/>
      <c r="K985" s="7"/>
      <c r="L985" s="7"/>
      <c r="M985" s="7"/>
      <c r="N985" s="10"/>
      <c r="O985" s="113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5.75" customHeight="1">
      <c r="A986" s="10" t="s">
        <v>22</v>
      </c>
      <c r="B986" s="7" t="s">
        <v>118</v>
      </c>
      <c r="C986" s="135">
        <v>46237</v>
      </c>
      <c r="D986" s="44" t="s">
        <v>267</v>
      </c>
      <c r="E986" s="35" t="s">
        <v>493</v>
      </c>
      <c r="F986" s="121">
        <v>7.77</v>
      </c>
      <c r="G986" s="122">
        <f t="shared" si="36"/>
        <v>0</v>
      </c>
      <c r="H986" s="123">
        <f>IF(AND(ISNUMBER(F986), F986&gt;4, COUNTIFS($A$2:A986, A986, $B$2:B986, B986, $C$2:C986, C986, $F$2:F986, "&gt;4")=1), 1, 0)</f>
        <v>0</v>
      </c>
      <c r="I986" s="10">
        <f t="shared" si="37"/>
        <v>1</v>
      </c>
      <c r="J986" s="10"/>
      <c r="K986" s="7"/>
      <c r="L986" s="7"/>
      <c r="M986" s="7"/>
      <c r="N986" s="10"/>
      <c r="O986" s="113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5.75" customHeight="1">
      <c r="A987" s="10" t="s">
        <v>22</v>
      </c>
      <c r="B987" s="7" t="s">
        <v>118</v>
      </c>
      <c r="C987" s="135">
        <v>46238</v>
      </c>
      <c r="D987" s="44" t="s">
        <v>267</v>
      </c>
      <c r="E987" s="35" t="s">
        <v>484</v>
      </c>
      <c r="F987" s="121">
        <v>7.82</v>
      </c>
      <c r="G987" s="122">
        <f t="shared" si="36"/>
        <v>0</v>
      </c>
      <c r="H987" s="123">
        <f>IF(AND(ISNUMBER(F987), F987&gt;4, COUNTIFS($A$2:A987, A987, $B$2:B987, B987, $C$2:C987, C987, $F$2:F987, "&gt;4")=1), 1, 0)</f>
        <v>1</v>
      </c>
      <c r="I987" s="10">
        <f t="shared" si="37"/>
        <v>1</v>
      </c>
      <c r="J987" s="10"/>
      <c r="K987" s="7"/>
      <c r="L987" s="7"/>
      <c r="M987" s="7"/>
      <c r="N987" s="10"/>
      <c r="O987" s="113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5.75" customHeight="1">
      <c r="A988" s="10" t="s">
        <v>22</v>
      </c>
      <c r="B988" s="7" t="s">
        <v>118</v>
      </c>
      <c r="C988" s="135">
        <v>46239</v>
      </c>
      <c r="D988" s="44" t="s">
        <v>267</v>
      </c>
      <c r="E988" s="35" t="s">
        <v>547</v>
      </c>
      <c r="F988" s="121">
        <v>7.1</v>
      </c>
      <c r="G988" s="122">
        <f t="shared" si="36"/>
        <v>0</v>
      </c>
      <c r="H988" s="123">
        <f>IF(AND(ISNUMBER(F988), F988&gt;4, COUNTIFS($A$2:A988, A988, $B$2:B988, B988, $C$2:C988, C988, $F$2:F988, "&gt;4")=1), 1, 0)</f>
        <v>0</v>
      </c>
      <c r="I988" s="10">
        <f t="shared" si="37"/>
        <v>1</v>
      </c>
      <c r="J988" s="10"/>
      <c r="K988" s="7"/>
      <c r="L988" s="7"/>
      <c r="M988" s="7"/>
      <c r="N988" s="10"/>
      <c r="O988" s="113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5.75" customHeight="1">
      <c r="A989" s="10" t="s">
        <v>22</v>
      </c>
      <c r="B989" s="7" t="s">
        <v>118</v>
      </c>
      <c r="C989" s="135">
        <v>46240</v>
      </c>
      <c r="D989" s="44" t="s">
        <v>267</v>
      </c>
      <c r="E989" s="35" t="s">
        <v>409</v>
      </c>
      <c r="F989" s="121">
        <v>7.93</v>
      </c>
      <c r="G989" s="122">
        <f t="shared" si="36"/>
        <v>0</v>
      </c>
      <c r="H989" s="123">
        <f>IF(AND(ISNUMBER(F989), F989&gt;4, COUNTIFS($A$2:A989, A989, $B$2:B989, B989, $C$2:C989, C989, $F$2:F989, "&gt;4")=1), 1, 0)</f>
        <v>1</v>
      </c>
      <c r="I989" s="10">
        <f t="shared" si="37"/>
        <v>1</v>
      </c>
      <c r="J989" s="10"/>
      <c r="K989" s="7"/>
      <c r="L989" s="7"/>
      <c r="M989" s="7"/>
      <c r="N989" s="10"/>
      <c r="O989" s="113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5.75" customHeight="1">
      <c r="A990" s="10" t="s">
        <v>22</v>
      </c>
      <c r="B990" s="7" t="s">
        <v>118</v>
      </c>
      <c r="C990" s="135">
        <v>46241</v>
      </c>
      <c r="D990" s="44" t="s">
        <v>267</v>
      </c>
      <c r="E990" s="35" t="s">
        <v>409</v>
      </c>
      <c r="F990" s="121">
        <v>7.93</v>
      </c>
      <c r="G990" s="122">
        <f t="shared" si="36"/>
        <v>0</v>
      </c>
      <c r="H990" s="123">
        <f>IF(AND(ISNUMBER(F990), F990&gt;4, COUNTIFS($A$2:A990, A990, $B$2:B990, B990, $C$2:C990, C990, $F$2:F990, "&gt;4")=1), 1, 0)</f>
        <v>1</v>
      </c>
      <c r="I990" s="10">
        <f t="shared" si="37"/>
        <v>1</v>
      </c>
      <c r="J990" s="10"/>
      <c r="K990" s="7"/>
      <c r="L990" s="7"/>
      <c r="M990" s="7"/>
      <c r="N990" s="10"/>
      <c r="O990" s="113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5.75" customHeight="1">
      <c r="A991" s="10" t="s">
        <v>22</v>
      </c>
      <c r="B991" s="7" t="s">
        <v>118</v>
      </c>
      <c r="C991" s="135">
        <v>46242</v>
      </c>
      <c r="D991" s="44" t="s">
        <v>267</v>
      </c>
      <c r="E991" s="35" t="s">
        <v>475</v>
      </c>
      <c r="F991" s="121">
        <v>7.87</v>
      </c>
      <c r="G991" s="122">
        <f t="shared" si="36"/>
        <v>0</v>
      </c>
      <c r="H991" s="123">
        <f>IF(AND(ISNUMBER(F991), F991&gt;4, COUNTIFS($A$2:A991, A991, $B$2:B991, B991, $C$2:C991, C991, $F$2:F991, "&gt;4")=1), 1, 0)</f>
        <v>1</v>
      </c>
      <c r="I991" s="10">
        <f t="shared" si="37"/>
        <v>1</v>
      </c>
      <c r="J991" s="10"/>
      <c r="K991" s="7"/>
      <c r="L991" s="7"/>
      <c r="M991" s="7"/>
      <c r="N991" s="10"/>
      <c r="O991" s="113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5.75" customHeight="1">
      <c r="A992" s="10" t="s">
        <v>22</v>
      </c>
      <c r="B992" s="7" t="s">
        <v>118</v>
      </c>
      <c r="C992" s="135">
        <v>46243</v>
      </c>
      <c r="D992" s="44" t="s">
        <v>267</v>
      </c>
      <c r="E992" s="35" t="s">
        <v>199</v>
      </c>
      <c r="F992" s="121">
        <v>8</v>
      </c>
      <c r="G992" s="122">
        <f t="shared" si="36"/>
        <v>0</v>
      </c>
      <c r="H992" s="123">
        <f>IF(AND(ISNUMBER(F992), F992&gt;4, COUNTIFS($A$2:A992, A992, $B$2:B992, B992, $C$2:C992, C992, $F$2:F992, "&gt;4")=1), 1, 0)</f>
        <v>0</v>
      </c>
      <c r="I992" s="10">
        <f t="shared" si="37"/>
        <v>1</v>
      </c>
      <c r="J992" s="10"/>
      <c r="K992" s="7"/>
      <c r="L992" s="7"/>
      <c r="M992" s="7"/>
      <c r="N992" s="10"/>
      <c r="O992" s="113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5.75" customHeight="1">
      <c r="A993" s="10" t="s">
        <v>22</v>
      </c>
      <c r="B993" s="7" t="s">
        <v>118</v>
      </c>
      <c r="C993" s="135">
        <v>46246</v>
      </c>
      <c r="D993" s="44" t="s">
        <v>267</v>
      </c>
      <c r="E993" s="35" t="s">
        <v>487</v>
      </c>
      <c r="F993" s="121">
        <v>7.78</v>
      </c>
      <c r="G993" s="122">
        <f t="shared" si="36"/>
        <v>0</v>
      </c>
      <c r="H993" s="123">
        <f>IF(AND(ISNUMBER(F993), F993&gt;4, COUNTIFS($A$2:A993, A993, $B$2:B993, B993, $C$2:C993, C993, $F$2:F993, "&gt;4")=1), 1, 0)</f>
        <v>1</v>
      </c>
      <c r="I993" s="10">
        <f t="shared" si="37"/>
        <v>1</v>
      </c>
      <c r="J993" s="10"/>
      <c r="K993" s="7"/>
      <c r="L993" s="7"/>
      <c r="M993" s="7"/>
      <c r="N993" s="10"/>
      <c r="O993" s="113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5.75" customHeight="1">
      <c r="A994" s="10" t="s">
        <v>22</v>
      </c>
      <c r="B994" s="7" t="s">
        <v>118</v>
      </c>
      <c r="C994" s="135">
        <v>46247</v>
      </c>
      <c r="D994" s="44" t="s">
        <v>267</v>
      </c>
      <c r="E994" s="35" t="s">
        <v>478</v>
      </c>
      <c r="F994" s="121">
        <v>7.7</v>
      </c>
      <c r="G994" s="122">
        <f t="shared" si="36"/>
        <v>0</v>
      </c>
      <c r="H994" s="123">
        <f>IF(AND(ISNUMBER(F994), F994&gt;4, COUNTIFS($A$2:A994, A994, $B$2:B994, B994, $C$2:C994, C994, $F$2:F994, "&gt;4")=1), 1, 0)</f>
        <v>0</v>
      </c>
      <c r="I994" s="10">
        <f t="shared" si="37"/>
        <v>1</v>
      </c>
      <c r="J994" s="10"/>
      <c r="K994" s="7"/>
      <c r="L994" s="7"/>
      <c r="M994" s="7"/>
      <c r="N994" s="10"/>
      <c r="O994" s="113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5.75" customHeight="1">
      <c r="A995" s="10" t="s">
        <v>22</v>
      </c>
      <c r="B995" s="7" t="s">
        <v>118</v>
      </c>
      <c r="C995" s="135">
        <v>46248</v>
      </c>
      <c r="D995" s="44" t="s">
        <v>267</v>
      </c>
      <c r="E995" s="35" t="s">
        <v>303</v>
      </c>
      <c r="F995" s="121">
        <v>7.83</v>
      </c>
      <c r="G995" s="122">
        <f t="shared" si="36"/>
        <v>0</v>
      </c>
      <c r="H995" s="123">
        <f>IF(AND(ISNUMBER(F995), F995&gt;4, COUNTIFS($A$2:A995, A995, $B$2:B995, B995, $C$2:C995, C995, $F$2:F995, "&gt;4")=1), 1, 0)</f>
        <v>1</v>
      </c>
      <c r="I995" s="10">
        <f t="shared" si="37"/>
        <v>1</v>
      </c>
      <c r="J995" s="10"/>
      <c r="K995" s="7"/>
      <c r="L995" s="7"/>
      <c r="M995" s="7"/>
      <c r="N995" s="10"/>
      <c r="O995" s="113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5.75" customHeight="1">
      <c r="A996" s="10" t="s">
        <v>22</v>
      </c>
      <c r="B996" s="7" t="s">
        <v>118</v>
      </c>
      <c r="C996" s="135">
        <v>46251</v>
      </c>
      <c r="D996" s="44" t="s">
        <v>267</v>
      </c>
      <c r="E996" s="35" t="s">
        <v>553</v>
      </c>
      <c r="F996" s="121">
        <v>7.8</v>
      </c>
      <c r="G996" s="122">
        <f t="shared" si="36"/>
        <v>0</v>
      </c>
      <c r="H996" s="123">
        <f>IF(AND(ISNUMBER(F996), F996&gt;4, COUNTIFS($A$2:A996, A996, $B$2:B996, B996, $C$2:C996, C996, $F$2:F996, "&gt;4")=1), 1, 0)</f>
        <v>1</v>
      </c>
      <c r="I996" s="10">
        <f t="shared" si="37"/>
        <v>1</v>
      </c>
      <c r="J996" s="10"/>
      <c r="K996" s="7"/>
      <c r="L996" s="7"/>
      <c r="M996" s="7"/>
      <c r="N996" s="10"/>
      <c r="O996" s="113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5.75" customHeight="1">
      <c r="A997" s="10" t="s">
        <v>22</v>
      </c>
      <c r="B997" s="7" t="s">
        <v>118</v>
      </c>
      <c r="C997" s="135">
        <v>46252</v>
      </c>
      <c r="D997" s="44" t="s">
        <v>267</v>
      </c>
      <c r="E997" s="35" t="s">
        <v>479</v>
      </c>
      <c r="F997" s="121">
        <v>8.02</v>
      </c>
      <c r="G997" s="122">
        <f t="shared" si="36"/>
        <v>0</v>
      </c>
      <c r="H997" s="123">
        <f>IF(AND(ISNUMBER(F997), F997&gt;4, COUNTIFS($A$2:A997, A997, $B$2:B997, B997, $C$2:C997, C997, $F$2:F997, "&gt;4")=1), 1, 0)</f>
        <v>0</v>
      </c>
      <c r="I997" s="10">
        <f t="shared" si="37"/>
        <v>1</v>
      </c>
      <c r="J997" s="10"/>
      <c r="K997" s="7"/>
      <c r="L997" s="7"/>
      <c r="M997" s="7"/>
      <c r="N997" s="10"/>
      <c r="O997" s="113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5.75" customHeight="1">
      <c r="A998" s="10" t="s">
        <v>22</v>
      </c>
      <c r="B998" s="7" t="s">
        <v>118</v>
      </c>
      <c r="C998" s="135">
        <v>46253</v>
      </c>
      <c r="D998" s="44" t="s">
        <v>267</v>
      </c>
      <c r="E998" s="35" t="s">
        <v>303</v>
      </c>
      <c r="F998" s="121">
        <v>7.83</v>
      </c>
      <c r="G998" s="122">
        <f t="shared" si="36"/>
        <v>0</v>
      </c>
      <c r="H998" s="123">
        <f>IF(AND(ISNUMBER(F998), F998&gt;4, COUNTIFS($A$2:A998, A998, $B$2:B998, B998, $C$2:C998, C998, $F$2:F998, "&gt;4")=1), 1, 0)</f>
        <v>1</v>
      </c>
      <c r="I998" s="10">
        <f t="shared" si="37"/>
        <v>1</v>
      </c>
      <c r="J998" s="10"/>
      <c r="K998" s="7"/>
      <c r="L998" s="7"/>
      <c r="M998" s="7"/>
      <c r="N998" s="10"/>
      <c r="O998" s="113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5.75" customHeight="1">
      <c r="A999" s="10" t="s">
        <v>22</v>
      </c>
      <c r="B999" s="7" t="s">
        <v>118</v>
      </c>
      <c r="C999" s="135">
        <v>46254</v>
      </c>
      <c r="D999" s="44" t="s">
        <v>267</v>
      </c>
      <c r="E999" s="35" t="s">
        <v>487</v>
      </c>
      <c r="F999" s="121">
        <v>7.78</v>
      </c>
      <c r="G999" s="122">
        <f t="shared" si="36"/>
        <v>0</v>
      </c>
      <c r="H999" s="123">
        <f>IF(AND(ISNUMBER(F999), F999&gt;4, COUNTIFS($A$2:A999, A999, $B$2:B999, B999, $C$2:C999, C999, $F$2:F999, "&gt;4")=1), 1, 0)</f>
        <v>1</v>
      </c>
      <c r="I999" s="10">
        <f t="shared" si="37"/>
        <v>1</v>
      </c>
      <c r="J999" s="10"/>
      <c r="K999" s="7"/>
      <c r="L999" s="7"/>
      <c r="M999" s="7"/>
      <c r="N999" s="10"/>
      <c r="O999" s="113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5.75" customHeight="1">
      <c r="A1000" s="10" t="s">
        <v>22</v>
      </c>
      <c r="B1000" s="7" t="s">
        <v>118</v>
      </c>
      <c r="C1000" s="135">
        <v>46255</v>
      </c>
      <c r="D1000" s="44" t="s">
        <v>267</v>
      </c>
      <c r="E1000" s="35" t="s">
        <v>474</v>
      </c>
      <c r="F1000" s="121">
        <v>7.9</v>
      </c>
      <c r="G1000" s="122">
        <f t="shared" si="36"/>
        <v>0</v>
      </c>
      <c r="H1000" s="123">
        <f>IF(AND(ISNUMBER(F1000), F1000&gt;4, COUNTIFS($A$2:A1000, A1000, $B$2:B1000, B1000, $C$2:C1000, C1000, $F$2:F1000, "&gt;4")=1), 1, 0)</f>
        <v>1</v>
      </c>
      <c r="I1000" s="10">
        <f t="shared" si="37"/>
        <v>1</v>
      </c>
      <c r="J1000" s="10"/>
      <c r="K1000" s="7"/>
      <c r="L1000" s="7"/>
      <c r="M1000" s="7"/>
      <c r="N1000" s="10"/>
      <c r="O1000" s="113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t="15.75" customHeight="1">
      <c r="A1001" s="10" t="s">
        <v>22</v>
      </c>
      <c r="B1001" s="7" t="s">
        <v>118</v>
      </c>
      <c r="C1001" s="135">
        <v>46256</v>
      </c>
      <c r="D1001" s="44" t="s">
        <v>267</v>
      </c>
      <c r="E1001" s="35" t="s">
        <v>693</v>
      </c>
      <c r="F1001" s="121">
        <v>7.58</v>
      </c>
      <c r="G1001" s="122">
        <f t="shared" si="36"/>
        <v>0</v>
      </c>
      <c r="H1001" s="123">
        <f>IF(AND(ISNUMBER(F1001), F1001&gt;4, COUNTIFS($A$2:A1001, A1001, $B$2:B1001, B1001, $C$2:C1001, C1001, $F$2:F1001, "&gt;4")=1), 1, 0)</f>
        <v>0</v>
      </c>
      <c r="I1001" s="10">
        <f t="shared" si="37"/>
        <v>1</v>
      </c>
      <c r="J1001" s="10"/>
      <c r="K1001" s="7"/>
      <c r="L1001" s="7"/>
      <c r="M1001" s="7"/>
      <c r="N1001" s="10"/>
      <c r="O1001" s="113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t="15.75" customHeight="1">
      <c r="A1002" s="10" t="s">
        <v>22</v>
      </c>
      <c r="B1002" s="7" t="s">
        <v>118</v>
      </c>
      <c r="C1002" s="135">
        <v>46257</v>
      </c>
      <c r="D1002" s="44" t="s">
        <v>267</v>
      </c>
      <c r="E1002" s="35" t="s">
        <v>693</v>
      </c>
      <c r="F1002" s="121">
        <v>7.58</v>
      </c>
      <c r="G1002" s="122">
        <f t="shared" si="36"/>
        <v>0</v>
      </c>
      <c r="H1002" s="123">
        <f>IF(AND(ISNUMBER(F1002), F1002&gt;4, COUNTIFS($A$2:A1002, A1002, $B$2:B1002, B1002, $C$2:C1002, C1002, $F$2:F1002, "&gt;4")=1), 1, 0)</f>
        <v>0</v>
      </c>
      <c r="I1002" s="10">
        <f t="shared" si="37"/>
        <v>1</v>
      </c>
      <c r="J1002" s="10"/>
      <c r="K1002" s="7"/>
      <c r="L1002" s="7"/>
      <c r="M1002" s="7"/>
      <c r="N1002" s="10"/>
      <c r="O1002" s="113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t="15.75" customHeight="1">
      <c r="A1003" s="10" t="s">
        <v>22</v>
      </c>
      <c r="B1003" s="7" t="s">
        <v>118</v>
      </c>
      <c r="C1003" s="135">
        <v>46258</v>
      </c>
      <c r="D1003" s="44" t="s">
        <v>267</v>
      </c>
      <c r="E1003" s="35" t="s">
        <v>486</v>
      </c>
      <c r="F1003" s="121">
        <v>7.68</v>
      </c>
      <c r="G1003" s="122">
        <f t="shared" si="36"/>
        <v>0</v>
      </c>
      <c r="H1003" s="123">
        <f>IF(AND(ISNUMBER(F1003), F1003&gt;4, COUNTIFS($A$2:A1003, A1003, $B$2:B1003, B1003, $C$2:C1003, C1003, $F$2:F1003, "&gt;4")=1), 1, 0)</f>
        <v>1</v>
      </c>
      <c r="I1003" s="10">
        <f t="shared" si="37"/>
        <v>1</v>
      </c>
      <c r="J1003" s="10"/>
      <c r="K1003" s="7"/>
      <c r="L1003" s="7"/>
      <c r="M1003" s="7"/>
      <c r="N1003" s="10"/>
      <c r="O1003" s="113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t="15.75" customHeight="1">
      <c r="A1004" s="10" t="s">
        <v>22</v>
      </c>
      <c r="B1004" s="7" t="s">
        <v>118</v>
      </c>
      <c r="C1004" s="135">
        <v>46259</v>
      </c>
      <c r="D1004" s="44" t="s">
        <v>267</v>
      </c>
      <c r="E1004" s="35" t="s">
        <v>553</v>
      </c>
      <c r="F1004" s="121">
        <v>7.8</v>
      </c>
      <c r="G1004" s="122">
        <f t="shared" si="36"/>
        <v>0</v>
      </c>
      <c r="H1004" s="123">
        <f>IF(AND(ISNUMBER(F1004), F1004&gt;4, COUNTIFS($A$2:A1004, A1004, $B$2:B1004, B1004, $C$2:C1004, C1004, $F$2:F1004, "&gt;4")=1), 1, 0)</f>
        <v>1</v>
      </c>
      <c r="I1004" s="10">
        <f t="shared" si="37"/>
        <v>1</v>
      </c>
      <c r="J1004" s="10"/>
      <c r="K1004" s="7"/>
      <c r="L1004" s="7"/>
      <c r="M1004" s="7"/>
      <c r="N1004" s="10"/>
      <c r="O1004" s="113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t="15.75" customHeight="1">
      <c r="A1005" s="10" t="s">
        <v>22</v>
      </c>
      <c r="B1005" s="7" t="s">
        <v>118</v>
      </c>
      <c r="C1005" s="135">
        <v>46260</v>
      </c>
      <c r="D1005" s="44" t="s">
        <v>267</v>
      </c>
      <c r="E1005" s="35" t="s">
        <v>288</v>
      </c>
      <c r="F1005" s="121">
        <v>8.0500000000000007</v>
      </c>
      <c r="G1005" s="122">
        <f t="shared" si="36"/>
        <v>0</v>
      </c>
      <c r="H1005" s="123">
        <f>IF(AND(ISNUMBER(F1005), F1005&gt;4, COUNTIFS($A$2:A1005, A1005, $B$2:B1005, B1005, $C$2:C1005, C1005, $F$2:F1005, "&gt;4")=1), 1, 0)</f>
        <v>0</v>
      </c>
      <c r="I1005" s="10">
        <f t="shared" si="37"/>
        <v>1</v>
      </c>
      <c r="J1005" s="10"/>
      <c r="K1005" s="7"/>
      <c r="L1005" s="7"/>
      <c r="M1005" s="7"/>
      <c r="N1005" s="10"/>
      <c r="O1005" s="113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t="15.75" customHeight="1">
      <c r="A1006" s="10" t="s">
        <v>22</v>
      </c>
      <c r="B1006" s="7" t="s">
        <v>118</v>
      </c>
      <c r="C1006" s="135">
        <v>46261</v>
      </c>
      <c r="D1006" s="44" t="s">
        <v>267</v>
      </c>
      <c r="E1006" s="35" t="s">
        <v>478</v>
      </c>
      <c r="F1006" s="121">
        <v>7.7</v>
      </c>
      <c r="G1006" s="122">
        <f t="shared" si="36"/>
        <v>0</v>
      </c>
      <c r="H1006" s="123">
        <f>IF(AND(ISNUMBER(F1006), F1006&gt;4, COUNTIFS($A$2:A1006, A1006, $B$2:B1006, B1006, $C$2:C1006, C1006, $F$2:F1006, "&gt;4")=1), 1, 0)</f>
        <v>1</v>
      </c>
      <c r="I1006" s="10">
        <f t="shared" si="37"/>
        <v>1</v>
      </c>
      <c r="J1006" s="10"/>
      <c r="K1006" s="7"/>
      <c r="L1006" s="7"/>
      <c r="M1006" s="7"/>
      <c r="N1006" s="10"/>
      <c r="O1006" s="113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t="15.75" customHeight="1">
      <c r="A1007" s="10" t="s">
        <v>22</v>
      </c>
      <c r="B1007" s="7" t="s">
        <v>118</v>
      </c>
      <c r="C1007" s="135">
        <v>46262</v>
      </c>
      <c r="D1007" s="44" t="s">
        <v>267</v>
      </c>
      <c r="E1007" s="35" t="s">
        <v>475</v>
      </c>
      <c r="F1007" s="121">
        <v>7.87</v>
      </c>
      <c r="G1007" s="122">
        <f t="shared" si="36"/>
        <v>0</v>
      </c>
      <c r="H1007" s="123">
        <f>IF(AND(ISNUMBER(F1007), F1007&gt;4, COUNTIFS($A$2:A1007, A1007, $B$2:B1007, B1007, $C$2:C1007, C1007, $F$2:F1007, "&gt;4")=1), 1, 0)</f>
        <v>1</v>
      </c>
      <c r="I1007" s="10">
        <f t="shared" si="37"/>
        <v>1</v>
      </c>
      <c r="J1007" s="10"/>
      <c r="K1007" s="7"/>
      <c r="L1007" s="7"/>
      <c r="M1007" s="7"/>
      <c r="N1007" s="10"/>
      <c r="O1007" s="113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t="15.75" customHeight="1">
      <c r="A1008" s="10" t="s">
        <v>22</v>
      </c>
      <c r="B1008" s="7" t="s">
        <v>118</v>
      </c>
      <c r="C1008" s="135">
        <v>46263</v>
      </c>
      <c r="D1008" s="44" t="s">
        <v>267</v>
      </c>
      <c r="E1008" s="35" t="s">
        <v>474</v>
      </c>
      <c r="F1008" s="121">
        <v>7.9</v>
      </c>
      <c r="G1008" s="122">
        <f t="shared" si="36"/>
        <v>0</v>
      </c>
      <c r="H1008" s="123">
        <f>IF(AND(ISNUMBER(F1008), F1008&gt;4, COUNTIFS($A$2:A1008, A1008, $B$2:B1008, B1008, $C$2:C1008, C1008, $F$2:F1008, "&gt;4")=1), 1, 0)</f>
        <v>1</v>
      </c>
      <c r="I1008" s="10">
        <f t="shared" si="37"/>
        <v>1</v>
      </c>
      <c r="J1008" s="10"/>
      <c r="K1008" s="7"/>
      <c r="L1008" s="7"/>
      <c r="M1008" s="7"/>
      <c r="N1008" s="10"/>
      <c r="O1008" s="113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t="15.75" customHeight="1">
      <c r="A1009" s="10" t="s">
        <v>22</v>
      </c>
      <c r="B1009" s="7" t="s">
        <v>118</v>
      </c>
      <c r="C1009" s="135">
        <v>46264</v>
      </c>
      <c r="D1009" s="44" t="s">
        <v>267</v>
      </c>
      <c r="E1009" s="35" t="s">
        <v>300</v>
      </c>
      <c r="F1009" s="121">
        <v>7.75</v>
      </c>
      <c r="G1009" s="122">
        <f t="shared" si="36"/>
        <v>0</v>
      </c>
      <c r="H1009" s="123">
        <f>IF(AND(ISNUMBER(F1009), F1009&gt;4, COUNTIFS($A$2:A1009, A1009, $B$2:B1009, B1009, $C$2:C1009, C1009, $F$2:F1009, "&gt;4")=1), 1, 0)</f>
        <v>0</v>
      </c>
      <c r="I1009" s="10">
        <f t="shared" si="37"/>
        <v>1</v>
      </c>
      <c r="J1009" s="10"/>
      <c r="K1009" s="7"/>
      <c r="L1009" s="7"/>
      <c r="M1009" s="7"/>
      <c r="N1009" s="10"/>
      <c r="O1009" s="113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t="15.75" customHeight="1">
      <c r="A1010" s="10" t="s">
        <v>22</v>
      </c>
      <c r="B1010" s="7" t="s">
        <v>118</v>
      </c>
      <c r="C1010" s="135">
        <v>46265</v>
      </c>
      <c r="D1010" s="44" t="s">
        <v>267</v>
      </c>
      <c r="E1010" s="35" t="s">
        <v>616</v>
      </c>
      <c r="F1010" s="121">
        <v>7.57</v>
      </c>
      <c r="G1010" s="122">
        <f t="shared" si="36"/>
        <v>0</v>
      </c>
      <c r="H1010" s="123">
        <f>IF(AND(ISNUMBER(F1010), F1010&gt;4, COUNTIFS($A$2:A1010, A1010, $B$2:B1010, B1010, $C$2:C1010, C1010, $F$2:F1010, "&gt;4")=1), 1, 0)</f>
        <v>0</v>
      </c>
      <c r="I1010" s="10">
        <f t="shared" si="37"/>
        <v>1</v>
      </c>
      <c r="J1010" s="10"/>
      <c r="K1010" s="7"/>
      <c r="L1010" s="7"/>
      <c r="M1010" s="7"/>
      <c r="N1010" s="10"/>
      <c r="O1010" s="113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t="15.75" customHeight="1">
      <c r="A1011" s="10" t="s">
        <v>22</v>
      </c>
      <c r="B1011" s="7" t="s">
        <v>117</v>
      </c>
      <c r="C1011" s="135">
        <v>46261</v>
      </c>
      <c r="D1011" s="44" t="s">
        <v>191</v>
      </c>
      <c r="E1011" s="35" t="s">
        <v>350</v>
      </c>
      <c r="F1011" s="121">
        <v>8.93</v>
      </c>
      <c r="G1011" s="122">
        <f t="shared" si="36"/>
        <v>0</v>
      </c>
      <c r="H1011" s="123">
        <f>IF(AND(ISNUMBER(F1011), F1011&gt;4, COUNTIFS($A$2:A1011, A1011, $B$2:B1011, B1011, $C$2:C1011, C1011, $F$2:F1011, "&gt;4")=1), 1, 0)</f>
        <v>1</v>
      </c>
      <c r="I1011" s="10">
        <f t="shared" si="37"/>
        <v>0</v>
      </c>
      <c r="J1011" s="10"/>
      <c r="K1011" s="7"/>
      <c r="L1011" s="7"/>
      <c r="M1011" s="7"/>
      <c r="N1011" s="10"/>
      <c r="O1011" s="113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t="15.75" customHeight="1">
      <c r="A1012" s="10" t="s">
        <v>22</v>
      </c>
      <c r="B1012" s="7" t="s">
        <v>117</v>
      </c>
      <c r="C1012" s="135">
        <v>46241</v>
      </c>
      <c r="D1012" s="44" t="s">
        <v>345</v>
      </c>
      <c r="E1012" s="35" t="s">
        <v>694</v>
      </c>
      <c r="F1012" s="121">
        <v>1.98</v>
      </c>
      <c r="G1012" s="122">
        <f t="shared" si="36"/>
        <v>1</v>
      </c>
      <c r="H1012" s="123">
        <f>IF(AND(ISNUMBER(F1012), F1012&gt;4, COUNTIFS($A$2:A1012, A1012, $B$2:B1012, B1012, $C$2:C1012, C1012, $F$2:F1012, "&gt;4")=1), 1, 0)</f>
        <v>0</v>
      </c>
      <c r="I1012" s="10">
        <f t="shared" si="37"/>
        <v>0</v>
      </c>
      <c r="J1012" s="10"/>
      <c r="K1012" s="7"/>
      <c r="L1012" s="7"/>
      <c r="M1012" s="7"/>
      <c r="N1012" s="10"/>
      <c r="O1012" s="113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t="15.75" customHeight="1">
      <c r="A1013" s="10" t="s">
        <v>22</v>
      </c>
      <c r="B1013" s="7" t="s">
        <v>117</v>
      </c>
      <c r="C1013" s="135">
        <v>46246</v>
      </c>
      <c r="D1013" s="44" t="s">
        <v>345</v>
      </c>
      <c r="E1013" s="35" t="s">
        <v>695</v>
      </c>
      <c r="F1013" s="121">
        <v>2.58</v>
      </c>
      <c r="G1013" s="122">
        <f t="shared" si="36"/>
        <v>1</v>
      </c>
      <c r="H1013" s="123">
        <f>IF(AND(ISNUMBER(F1013), F1013&gt;4, COUNTIFS($A$2:A1013, A1013, $B$2:B1013, B1013, $C$2:C1013, C1013, $F$2:F1013, "&gt;4")=1), 1, 0)</f>
        <v>0</v>
      </c>
      <c r="I1013" s="10">
        <f t="shared" si="37"/>
        <v>0</v>
      </c>
      <c r="J1013" s="10"/>
      <c r="K1013" s="7"/>
      <c r="L1013" s="7"/>
      <c r="M1013" s="7"/>
      <c r="N1013" s="10"/>
      <c r="O1013" s="113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t="15.75" customHeight="1">
      <c r="A1014" s="10" t="s">
        <v>22</v>
      </c>
      <c r="B1014" s="7" t="s">
        <v>117</v>
      </c>
      <c r="C1014" s="135">
        <v>46251</v>
      </c>
      <c r="D1014" s="44" t="s">
        <v>345</v>
      </c>
      <c r="E1014" s="35" t="s">
        <v>679</v>
      </c>
      <c r="F1014" s="121">
        <v>2.2799999999999998</v>
      </c>
      <c r="G1014" s="122">
        <f t="shared" si="36"/>
        <v>1</v>
      </c>
      <c r="H1014" s="123">
        <f>IF(AND(ISNUMBER(F1014), F1014&gt;4, COUNTIFS($A$2:A1014, A1014, $B$2:B1014, B1014, $C$2:C1014, C1014, $F$2:F1014, "&gt;4")=1), 1, 0)</f>
        <v>0</v>
      </c>
      <c r="I1014" s="10">
        <f t="shared" si="37"/>
        <v>0</v>
      </c>
      <c r="J1014" s="10"/>
      <c r="K1014" s="7"/>
      <c r="L1014" s="7"/>
      <c r="M1014" s="7"/>
      <c r="N1014" s="10"/>
      <c r="O1014" s="113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t="15.75" customHeight="1">
      <c r="A1015" s="10" t="s">
        <v>22</v>
      </c>
      <c r="B1015" s="7" t="s">
        <v>117</v>
      </c>
      <c r="C1015" s="135">
        <v>46253</v>
      </c>
      <c r="D1015" s="44" t="s">
        <v>345</v>
      </c>
      <c r="E1015" s="35" t="s">
        <v>696</v>
      </c>
      <c r="F1015" s="121">
        <v>2.3199999999999998</v>
      </c>
      <c r="G1015" s="122">
        <f t="shared" si="36"/>
        <v>1</v>
      </c>
      <c r="H1015" s="123">
        <f>IF(AND(ISNUMBER(F1015), F1015&gt;4, COUNTIFS($A$2:A1015, A1015, $B$2:B1015, B1015, $C$2:C1015, C1015, $F$2:F1015, "&gt;4")=1), 1, 0)</f>
        <v>0</v>
      </c>
      <c r="I1015" s="10">
        <f t="shared" si="37"/>
        <v>0</v>
      </c>
      <c r="J1015" s="10"/>
      <c r="K1015" s="7"/>
      <c r="L1015" s="7"/>
      <c r="M1015" s="7"/>
      <c r="N1015" s="10"/>
      <c r="O1015" s="113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t="15.75" customHeight="1">
      <c r="A1016" s="10" t="s">
        <v>22</v>
      </c>
      <c r="B1016" s="7" t="s">
        <v>117</v>
      </c>
      <c r="C1016" s="135">
        <v>46238</v>
      </c>
      <c r="D1016" s="44" t="s">
        <v>267</v>
      </c>
      <c r="E1016" s="35" t="s">
        <v>288</v>
      </c>
      <c r="F1016" s="121">
        <v>8.0500000000000007</v>
      </c>
      <c r="G1016" s="122">
        <f t="shared" si="36"/>
        <v>0</v>
      </c>
      <c r="H1016" s="123">
        <f>IF(AND(ISNUMBER(F1016), F1016&gt;4, COUNTIFS($A$2:A1016, A1016, $B$2:B1016, B1016, $C$2:C1016, C1016, $F$2:F1016, "&gt;4")=1), 1, 0)</f>
        <v>1</v>
      </c>
      <c r="I1016" s="10">
        <f t="shared" si="37"/>
        <v>1</v>
      </c>
      <c r="J1016" s="10"/>
      <c r="K1016" s="7"/>
      <c r="L1016" s="7"/>
      <c r="M1016" s="7"/>
      <c r="N1016" s="10"/>
      <c r="O1016" s="113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t="15.75" customHeight="1">
      <c r="A1017" s="10" t="s">
        <v>22</v>
      </c>
      <c r="B1017" s="7" t="s">
        <v>117</v>
      </c>
      <c r="C1017" s="135">
        <v>46239</v>
      </c>
      <c r="D1017" s="44" t="s">
        <v>267</v>
      </c>
      <c r="E1017" s="35" t="s">
        <v>479</v>
      </c>
      <c r="F1017" s="121">
        <v>8.02</v>
      </c>
      <c r="G1017" s="122">
        <f t="shared" si="36"/>
        <v>0</v>
      </c>
      <c r="H1017" s="123">
        <f>IF(AND(ISNUMBER(F1017), F1017&gt;4, COUNTIFS($A$2:A1017, A1017, $B$2:B1017, B1017, $C$2:C1017, C1017, $F$2:F1017, "&gt;4")=1), 1, 0)</f>
        <v>1</v>
      </c>
      <c r="I1017" s="10">
        <f t="shared" si="37"/>
        <v>1</v>
      </c>
      <c r="J1017" s="10"/>
      <c r="K1017" s="7"/>
      <c r="L1017" s="7"/>
      <c r="M1017" s="7"/>
      <c r="N1017" s="10"/>
      <c r="O1017" s="113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t="15.75" customHeight="1">
      <c r="A1018" s="10" t="s">
        <v>22</v>
      </c>
      <c r="B1018" s="7" t="s">
        <v>117</v>
      </c>
      <c r="C1018" s="135">
        <v>46240</v>
      </c>
      <c r="D1018" s="44" t="s">
        <v>267</v>
      </c>
      <c r="E1018" s="35" t="s">
        <v>409</v>
      </c>
      <c r="F1018" s="121">
        <v>7.93</v>
      </c>
      <c r="G1018" s="122">
        <f t="shared" si="36"/>
        <v>0</v>
      </c>
      <c r="H1018" s="123">
        <f>IF(AND(ISNUMBER(F1018), F1018&gt;4, COUNTIFS($A$2:A1018, A1018, $B$2:B1018, B1018, $C$2:C1018, C1018, $F$2:F1018, "&gt;4")=1), 1, 0)</f>
        <v>1</v>
      </c>
      <c r="I1018" s="10">
        <f t="shared" si="37"/>
        <v>1</v>
      </c>
      <c r="J1018" s="10"/>
      <c r="K1018" s="7"/>
      <c r="L1018" s="7"/>
      <c r="M1018" s="7"/>
      <c r="N1018" s="10"/>
      <c r="O1018" s="113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t="15.75" customHeight="1">
      <c r="A1019" s="10" t="s">
        <v>22</v>
      </c>
      <c r="B1019" s="7" t="s">
        <v>117</v>
      </c>
      <c r="C1019" s="135">
        <v>46241</v>
      </c>
      <c r="D1019" s="44" t="s">
        <v>267</v>
      </c>
      <c r="E1019" s="35" t="s">
        <v>614</v>
      </c>
      <c r="F1019" s="121">
        <v>6.75</v>
      </c>
      <c r="G1019" s="122">
        <f t="shared" si="36"/>
        <v>0</v>
      </c>
      <c r="H1019" s="123">
        <f>IF(AND(ISNUMBER(F1019), F1019&gt;4, COUNTIFS($A$2:A1019, A1019, $B$2:B1019, B1019, $C$2:C1019, C1019, $F$2:F1019, "&gt;4")=1), 1, 0)</f>
        <v>1</v>
      </c>
      <c r="I1019" s="10">
        <f t="shared" si="37"/>
        <v>1</v>
      </c>
      <c r="J1019" s="10"/>
      <c r="K1019" s="7"/>
      <c r="L1019" s="7"/>
      <c r="M1019" s="7"/>
      <c r="N1019" s="10"/>
      <c r="O1019" s="113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t="15.75" customHeight="1">
      <c r="A1020" s="10" t="s">
        <v>22</v>
      </c>
      <c r="B1020" s="7" t="s">
        <v>117</v>
      </c>
      <c r="C1020" s="135">
        <v>46242</v>
      </c>
      <c r="D1020" s="44" t="s">
        <v>267</v>
      </c>
      <c r="E1020" s="35" t="s">
        <v>684</v>
      </c>
      <c r="F1020" s="121">
        <v>7.73</v>
      </c>
      <c r="G1020" s="122">
        <f t="shared" si="36"/>
        <v>0</v>
      </c>
      <c r="H1020" s="123">
        <f>IF(AND(ISNUMBER(F1020), F1020&gt;4, COUNTIFS($A$2:A1020, A1020, $B$2:B1020, B1020, $C$2:C1020, C1020, $F$2:F1020, "&gt;4")=1), 1, 0)</f>
        <v>1</v>
      </c>
      <c r="I1020" s="10">
        <f t="shared" si="37"/>
        <v>1</v>
      </c>
      <c r="J1020" s="10"/>
      <c r="K1020" s="7"/>
      <c r="L1020" s="7"/>
      <c r="M1020" s="7"/>
      <c r="N1020" s="10"/>
      <c r="O1020" s="113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t="15.75" customHeight="1">
      <c r="A1021" s="10" t="s">
        <v>22</v>
      </c>
      <c r="B1021" s="7" t="s">
        <v>117</v>
      </c>
      <c r="C1021" s="135">
        <v>46243</v>
      </c>
      <c r="D1021" s="44" t="s">
        <v>267</v>
      </c>
      <c r="E1021" s="35" t="s">
        <v>409</v>
      </c>
      <c r="F1021" s="121">
        <v>7.93</v>
      </c>
      <c r="G1021" s="122">
        <f t="shared" si="36"/>
        <v>0</v>
      </c>
      <c r="H1021" s="123">
        <f>IF(AND(ISNUMBER(F1021), F1021&gt;4, COUNTIFS($A$2:A1021, A1021, $B$2:B1021, B1021, $C$2:C1021, C1021, $F$2:F1021, "&gt;4")=1), 1, 0)</f>
        <v>1</v>
      </c>
      <c r="I1021" s="10">
        <f t="shared" si="37"/>
        <v>1</v>
      </c>
      <c r="J1021" s="10"/>
      <c r="K1021" s="7"/>
      <c r="L1021" s="7"/>
      <c r="M1021" s="7"/>
      <c r="N1021" s="10"/>
      <c r="O1021" s="113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15.75" customHeight="1">
      <c r="A1022" s="10" t="s">
        <v>22</v>
      </c>
      <c r="B1022" s="7" t="s">
        <v>117</v>
      </c>
      <c r="C1022" s="135">
        <v>46244</v>
      </c>
      <c r="D1022" s="44" t="s">
        <v>267</v>
      </c>
      <c r="E1022" s="35" t="s">
        <v>348</v>
      </c>
      <c r="F1022" s="121">
        <v>7.95</v>
      </c>
      <c r="G1022" s="122">
        <f t="shared" si="36"/>
        <v>0</v>
      </c>
      <c r="H1022" s="123">
        <f>IF(AND(ISNUMBER(F1022), F1022&gt;4, COUNTIFS($A$2:A1022, A1022, $B$2:B1022, B1022, $C$2:C1022, C1022, $F$2:F1022, "&gt;4")=1), 1, 0)</f>
        <v>1</v>
      </c>
      <c r="I1022" s="10">
        <f t="shared" si="37"/>
        <v>1</v>
      </c>
      <c r="J1022" s="10"/>
      <c r="K1022" s="7"/>
      <c r="L1022" s="7"/>
      <c r="M1022" s="7"/>
      <c r="N1022" s="10"/>
      <c r="O1022" s="113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t="15.75" customHeight="1">
      <c r="A1023" s="10" t="s">
        <v>22</v>
      </c>
      <c r="B1023" s="7" t="s">
        <v>117</v>
      </c>
      <c r="C1023" s="135">
        <v>46245</v>
      </c>
      <c r="D1023" s="44" t="s">
        <v>267</v>
      </c>
      <c r="E1023" s="35" t="s">
        <v>409</v>
      </c>
      <c r="F1023" s="121">
        <v>7.93</v>
      </c>
      <c r="G1023" s="122">
        <f t="shared" si="36"/>
        <v>0</v>
      </c>
      <c r="H1023" s="123">
        <f>IF(AND(ISNUMBER(F1023), F1023&gt;4, COUNTIFS($A$2:A1023, A1023, $B$2:B1023, B1023, $C$2:C1023, C1023, $F$2:F1023, "&gt;4")=1), 1, 0)</f>
        <v>1</v>
      </c>
      <c r="I1023" s="10">
        <f t="shared" si="37"/>
        <v>1</v>
      </c>
      <c r="J1023" s="10"/>
      <c r="K1023" s="7"/>
      <c r="L1023" s="7"/>
      <c r="M1023" s="7"/>
      <c r="N1023" s="10"/>
      <c r="O1023" s="113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t="15.75" customHeight="1">
      <c r="A1024" s="10" t="s">
        <v>22</v>
      </c>
      <c r="B1024" s="7" t="s">
        <v>117</v>
      </c>
      <c r="C1024" s="135">
        <v>46246</v>
      </c>
      <c r="D1024" s="44" t="s">
        <v>267</v>
      </c>
      <c r="E1024" s="35" t="s">
        <v>697</v>
      </c>
      <c r="F1024" s="121">
        <v>4.57</v>
      </c>
      <c r="G1024" s="122">
        <f t="shared" si="36"/>
        <v>0</v>
      </c>
      <c r="H1024" s="123">
        <f>IF(AND(ISNUMBER(F1024), F1024&gt;4, COUNTIFS($A$2:A1024, A1024, $B$2:B1024, B1024, $C$2:C1024, C1024, $F$2:F1024, "&gt;4")=1), 1, 0)</f>
        <v>1</v>
      </c>
      <c r="I1024" s="10">
        <f t="shared" si="37"/>
        <v>1</v>
      </c>
      <c r="J1024" s="10"/>
      <c r="K1024" s="7"/>
      <c r="L1024" s="7"/>
      <c r="M1024" s="7"/>
      <c r="N1024" s="10"/>
      <c r="O1024" s="113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t="15.75" customHeight="1">
      <c r="A1025" s="10" t="s">
        <v>22</v>
      </c>
      <c r="B1025" s="7" t="s">
        <v>117</v>
      </c>
      <c r="C1025" s="135">
        <v>46247</v>
      </c>
      <c r="D1025" s="44" t="s">
        <v>267</v>
      </c>
      <c r="E1025" s="35" t="s">
        <v>698</v>
      </c>
      <c r="F1025" s="121">
        <v>6.67</v>
      </c>
      <c r="G1025" s="122">
        <f t="shared" si="36"/>
        <v>0</v>
      </c>
      <c r="H1025" s="123">
        <f>IF(AND(ISNUMBER(F1025), F1025&gt;4, COUNTIFS($A$2:A1025, A1025, $B$2:B1025, B1025, $C$2:C1025, C1025, $F$2:F1025, "&gt;4")=1), 1, 0)</f>
        <v>1</v>
      </c>
      <c r="I1025" s="10">
        <f t="shared" si="37"/>
        <v>1</v>
      </c>
      <c r="J1025" s="10"/>
      <c r="K1025" s="7"/>
      <c r="L1025" s="7"/>
      <c r="M1025" s="7"/>
      <c r="N1025" s="10"/>
      <c r="O1025" s="113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t="15.75" customHeight="1">
      <c r="A1026" s="10" t="s">
        <v>22</v>
      </c>
      <c r="B1026" s="7" t="s">
        <v>117</v>
      </c>
      <c r="C1026" s="135">
        <v>46248</v>
      </c>
      <c r="D1026" s="44" t="s">
        <v>267</v>
      </c>
      <c r="E1026" s="35" t="s">
        <v>483</v>
      </c>
      <c r="F1026" s="121">
        <v>7.92</v>
      </c>
      <c r="G1026" s="122">
        <f t="shared" ref="G1026:G1089" si="38">IF(AND(ISNUMBER(F1026), F1026&lt;=4), 1, 0)</f>
        <v>0</v>
      </c>
      <c r="H1026" s="123">
        <f>IF(AND(ISNUMBER(F1026), F1026&gt;4, COUNTIFS($A$2:A1026, A1026, $B$2:B1026, B1026, $C$2:C1026, C1026, $F$2:F1026, "&gt;4")=1), 1, 0)</f>
        <v>1</v>
      </c>
      <c r="I1026" s="10">
        <f t="shared" ref="I1026:I1089" si="39">IF(AND(ISNUMBER(F1026), F1026&gt;4, ISNUMBER(SEARCH("đêm", D1026))), 1, 0)</f>
        <v>1</v>
      </c>
      <c r="J1026" s="10"/>
      <c r="K1026" s="7"/>
      <c r="L1026" s="7"/>
      <c r="M1026" s="7"/>
      <c r="N1026" s="10"/>
      <c r="O1026" s="113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t="15.75" customHeight="1">
      <c r="A1027" s="10" t="s">
        <v>22</v>
      </c>
      <c r="B1027" s="7" t="s">
        <v>117</v>
      </c>
      <c r="C1027" s="135">
        <v>46249</v>
      </c>
      <c r="D1027" s="44" t="s">
        <v>267</v>
      </c>
      <c r="E1027" s="35" t="s">
        <v>348</v>
      </c>
      <c r="F1027" s="121">
        <v>7.95</v>
      </c>
      <c r="G1027" s="122">
        <f t="shared" si="38"/>
        <v>0</v>
      </c>
      <c r="H1027" s="123">
        <f>IF(AND(ISNUMBER(F1027), F1027&gt;4, COUNTIFS($A$2:A1027, A1027, $B$2:B1027, B1027, $C$2:C1027, C1027, $F$2:F1027, "&gt;4")=1), 1, 0)</f>
        <v>1</v>
      </c>
      <c r="I1027" s="10">
        <f t="shared" si="39"/>
        <v>1</v>
      </c>
      <c r="J1027" s="10"/>
      <c r="K1027" s="7"/>
      <c r="L1027" s="7"/>
      <c r="M1027" s="7"/>
      <c r="N1027" s="10"/>
      <c r="O1027" s="113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t="15.75" customHeight="1">
      <c r="A1028" s="10" t="s">
        <v>22</v>
      </c>
      <c r="B1028" s="7" t="s">
        <v>117</v>
      </c>
      <c r="C1028" s="135">
        <v>46250</v>
      </c>
      <c r="D1028" s="44" t="s">
        <v>267</v>
      </c>
      <c r="E1028" s="35" t="s">
        <v>348</v>
      </c>
      <c r="F1028" s="121">
        <v>7.95</v>
      </c>
      <c r="G1028" s="122">
        <f t="shared" si="38"/>
        <v>0</v>
      </c>
      <c r="H1028" s="123">
        <f>IF(AND(ISNUMBER(F1028), F1028&gt;4, COUNTIFS($A$2:A1028, A1028, $B$2:B1028, B1028, $C$2:C1028, C1028, $F$2:F1028, "&gt;4")=1), 1, 0)</f>
        <v>1</v>
      </c>
      <c r="I1028" s="10">
        <f t="shared" si="39"/>
        <v>1</v>
      </c>
      <c r="J1028" s="10"/>
      <c r="K1028" s="7"/>
      <c r="L1028" s="7"/>
      <c r="M1028" s="7"/>
      <c r="N1028" s="10"/>
      <c r="O1028" s="113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t="15.75" customHeight="1">
      <c r="A1029" s="10" t="s">
        <v>22</v>
      </c>
      <c r="B1029" s="7" t="s">
        <v>117</v>
      </c>
      <c r="C1029" s="135">
        <v>46251</v>
      </c>
      <c r="D1029" s="44" t="s">
        <v>267</v>
      </c>
      <c r="E1029" s="35" t="s">
        <v>699</v>
      </c>
      <c r="F1029" s="121">
        <v>6.8</v>
      </c>
      <c r="G1029" s="122">
        <f t="shared" si="38"/>
        <v>0</v>
      </c>
      <c r="H1029" s="123">
        <f>IF(AND(ISNUMBER(F1029), F1029&gt;4, COUNTIFS($A$2:A1029, A1029, $B$2:B1029, B1029, $C$2:C1029, C1029, $F$2:F1029, "&gt;4")=1), 1, 0)</f>
        <v>1</v>
      </c>
      <c r="I1029" s="10">
        <f t="shared" si="39"/>
        <v>1</v>
      </c>
      <c r="J1029" s="10"/>
      <c r="K1029" s="7"/>
      <c r="L1029" s="7"/>
      <c r="M1029" s="7"/>
      <c r="N1029" s="10"/>
      <c r="O1029" s="113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t="15.75" customHeight="1">
      <c r="A1030" s="10" t="s">
        <v>22</v>
      </c>
      <c r="B1030" s="7" t="s">
        <v>117</v>
      </c>
      <c r="C1030" s="135">
        <v>46252</v>
      </c>
      <c r="D1030" s="44" t="s">
        <v>267</v>
      </c>
      <c r="E1030" s="35" t="s">
        <v>199</v>
      </c>
      <c r="F1030" s="121">
        <v>8</v>
      </c>
      <c r="G1030" s="122">
        <f t="shared" si="38"/>
        <v>0</v>
      </c>
      <c r="H1030" s="123">
        <f>IF(AND(ISNUMBER(F1030), F1030&gt;4, COUNTIFS($A$2:A1030, A1030, $B$2:B1030, B1030, $C$2:C1030, C1030, $F$2:F1030, "&gt;4")=1), 1, 0)</f>
        <v>1</v>
      </c>
      <c r="I1030" s="10">
        <f t="shared" si="39"/>
        <v>1</v>
      </c>
      <c r="J1030" s="10"/>
      <c r="K1030" s="7"/>
      <c r="L1030" s="7"/>
      <c r="M1030" s="7"/>
      <c r="N1030" s="10"/>
      <c r="O1030" s="113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t="15.75" customHeight="1">
      <c r="A1031" s="10" t="s">
        <v>22</v>
      </c>
      <c r="B1031" s="7" t="s">
        <v>117</v>
      </c>
      <c r="C1031" s="135">
        <v>46253</v>
      </c>
      <c r="D1031" s="44" t="s">
        <v>267</v>
      </c>
      <c r="E1031" s="35" t="s">
        <v>480</v>
      </c>
      <c r="F1031" s="121">
        <v>7.97</v>
      </c>
      <c r="G1031" s="122">
        <f t="shared" si="38"/>
        <v>0</v>
      </c>
      <c r="H1031" s="123">
        <f>IF(AND(ISNUMBER(F1031), F1031&gt;4, COUNTIFS($A$2:A1031, A1031, $B$2:B1031, B1031, $C$2:C1031, C1031, $F$2:F1031, "&gt;4")=1), 1, 0)</f>
        <v>1</v>
      </c>
      <c r="I1031" s="10">
        <f t="shared" si="39"/>
        <v>1</v>
      </c>
      <c r="J1031" s="10"/>
      <c r="K1031" s="7"/>
      <c r="L1031" s="7"/>
      <c r="M1031" s="7"/>
      <c r="N1031" s="10"/>
      <c r="O1031" s="113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t="15.75" customHeight="1">
      <c r="A1032" s="10" t="s">
        <v>22</v>
      </c>
      <c r="B1032" s="7" t="s">
        <v>117</v>
      </c>
      <c r="C1032" s="135">
        <v>46254</v>
      </c>
      <c r="D1032" s="44" t="s">
        <v>267</v>
      </c>
      <c r="E1032" s="35" t="s">
        <v>348</v>
      </c>
      <c r="F1032" s="121">
        <v>7.95</v>
      </c>
      <c r="G1032" s="122">
        <f t="shared" si="38"/>
        <v>0</v>
      </c>
      <c r="H1032" s="123">
        <f>IF(AND(ISNUMBER(F1032), F1032&gt;4, COUNTIFS($A$2:A1032, A1032, $B$2:B1032, B1032, $C$2:C1032, C1032, $F$2:F1032, "&gt;4")=1), 1, 0)</f>
        <v>1</v>
      </c>
      <c r="I1032" s="10">
        <f t="shared" si="39"/>
        <v>1</v>
      </c>
      <c r="J1032" s="10"/>
      <c r="K1032" s="7"/>
      <c r="L1032" s="7"/>
      <c r="M1032" s="7"/>
      <c r="N1032" s="10"/>
      <c r="O1032" s="113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t="15.75" customHeight="1">
      <c r="A1033" s="10" t="s">
        <v>22</v>
      </c>
      <c r="B1033" s="7" t="s">
        <v>117</v>
      </c>
      <c r="C1033" s="135">
        <v>46255</v>
      </c>
      <c r="D1033" s="44" t="s">
        <v>267</v>
      </c>
      <c r="E1033" s="35" t="s">
        <v>700</v>
      </c>
      <c r="F1033" s="121">
        <v>5.72</v>
      </c>
      <c r="G1033" s="122">
        <f t="shared" si="38"/>
        <v>0</v>
      </c>
      <c r="H1033" s="123">
        <f>IF(AND(ISNUMBER(F1033), F1033&gt;4, COUNTIFS($A$2:A1033, A1033, $B$2:B1033, B1033, $C$2:C1033, C1033, $F$2:F1033, "&gt;4")=1), 1, 0)</f>
        <v>1</v>
      </c>
      <c r="I1033" s="10">
        <f t="shared" si="39"/>
        <v>1</v>
      </c>
      <c r="J1033" s="10"/>
      <c r="K1033" s="7"/>
      <c r="L1033" s="7"/>
      <c r="M1033" s="7"/>
      <c r="N1033" s="10"/>
      <c r="O1033" s="113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t="15.75" customHeight="1">
      <c r="A1034" s="10" t="s">
        <v>22</v>
      </c>
      <c r="B1034" s="7" t="s">
        <v>117</v>
      </c>
      <c r="C1034" s="135">
        <v>46256</v>
      </c>
      <c r="D1034" s="44" t="s">
        <v>267</v>
      </c>
      <c r="E1034" s="35" t="s">
        <v>348</v>
      </c>
      <c r="F1034" s="121">
        <v>7.95</v>
      </c>
      <c r="G1034" s="122">
        <f t="shared" si="38"/>
        <v>0</v>
      </c>
      <c r="H1034" s="123">
        <f>IF(AND(ISNUMBER(F1034), F1034&gt;4, COUNTIFS($A$2:A1034, A1034, $B$2:B1034, B1034, $C$2:C1034, C1034, $F$2:F1034, "&gt;4")=1), 1, 0)</f>
        <v>1</v>
      </c>
      <c r="I1034" s="10">
        <f t="shared" si="39"/>
        <v>1</v>
      </c>
      <c r="J1034" s="10"/>
      <c r="K1034" s="7"/>
      <c r="L1034" s="7"/>
      <c r="M1034" s="7"/>
      <c r="N1034" s="10"/>
      <c r="O1034" s="113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t="15.75" customHeight="1">
      <c r="A1035" s="10" t="s">
        <v>22</v>
      </c>
      <c r="B1035" s="7" t="s">
        <v>117</v>
      </c>
      <c r="C1035" s="135">
        <v>46257</v>
      </c>
      <c r="D1035" s="44" t="s">
        <v>267</v>
      </c>
      <c r="E1035" s="35" t="s">
        <v>518</v>
      </c>
      <c r="F1035" s="121">
        <v>7.63</v>
      </c>
      <c r="G1035" s="122">
        <f t="shared" si="38"/>
        <v>0</v>
      </c>
      <c r="H1035" s="123">
        <f>IF(AND(ISNUMBER(F1035), F1035&gt;4, COUNTIFS($A$2:A1035, A1035, $B$2:B1035, B1035, $C$2:C1035, C1035, $F$2:F1035, "&gt;4")=1), 1, 0)</f>
        <v>1</v>
      </c>
      <c r="I1035" s="10">
        <f t="shared" si="39"/>
        <v>1</v>
      </c>
      <c r="J1035" s="10"/>
      <c r="K1035" s="7"/>
      <c r="L1035" s="7"/>
      <c r="M1035" s="7"/>
      <c r="N1035" s="10"/>
      <c r="O1035" s="113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t="15.75" customHeight="1">
      <c r="A1036" s="10" t="s">
        <v>22</v>
      </c>
      <c r="B1036" s="7" t="s">
        <v>117</v>
      </c>
      <c r="C1036" s="135">
        <v>46258</v>
      </c>
      <c r="D1036" s="44" t="s">
        <v>267</v>
      </c>
      <c r="E1036" s="35" t="s">
        <v>480</v>
      </c>
      <c r="F1036" s="121">
        <v>7.97</v>
      </c>
      <c r="G1036" s="122">
        <f t="shared" si="38"/>
        <v>0</v>
      </c>
      <c r="H1036" s="123">
        <f>IF(AND(ISNUMBER(F1036), F1036&gt;4, COUNTIFS($A$2:A1036, A1036, $B$2:B1036, B1036, $C$2:C1036, C1036, $F$2:F1036, "&gt;4")=1), 1, 0)</f>
        <v>1</v>
      </c>
      <c r="I1036" s="10">
        <f t="shared" si="39"/>
        <v>1</v>
      </c>
      <c r="J1036" s="10"/>
      <c r="K1036" s="7"/>
      <c r="L1036" s="7"/>
      <c r="M1036" s="7"/>
      <c r="N1036" s="10"/>
      <c r="O1036" s="113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t="15.75" customHeight="1">
      <c r="A1037" s="10" t="s">
        <v>22</v>
      </c>
      <c r="B1037" s="7" t="s">
        <v>117</v>
      </c>
      <c r="C1037" s="135">
        <v>46260</v>
      </c>
      <c r="D1037" s="44" t="s">
        <v>267</v>
      </c>
      <c r="E1037" s="35" t="s">
        <v>482</v>
      </c>
      <c r="F1037" s="121">
        <v>7.85</v>
      </c>
      <c r="G1037" s="122">
        <f t="shared" si="38"/>
        <v>0</v>
      </c>
      <c r="H1037" s="123">
        <f>IF(AND(ISNUMBER(F1037), F1037&gt;4, COUNTIFS($A$2:A1037, A1037, $B$2:B1037, B1037, $C$2:C1037, C1037, $F$2:F1037, "&gt;4")=1), 1, 0)</f>
        <v>1</v>
      </c>
      <c r="I1037" s="10">
        <f t="shared" si="39"/>
        <v>1</v>
      </c>
      <c r="J1037" s="10"/>
      <c r="K1037" s="7"/>
      <c r="L1037" s="7"/>
      <c r="M1037" s="7"/>
      <c r="N1037" s="10"/>
      <c r="O1037" s="113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t="15.75" customHeight="1">
      <c r="A1038" s="10" t="s">
        <v>22</v>
      </c>
      <c r="B1038" s="7" t="s">
        <v>117</v>
      </c>
      <c r="C1038" s="135">
        <v>46262</v>
      </c>
      <c r="D1038" s="44" t="s">
        <v>267</v>
      </c>
      <c r="E1038" s="35" t="s">
        <v>477</v>
      </c>
      <c r="F1038" s="121">
        <v>7.88</v>
      </c>
      <c r="G1038" s="122">
        <f t="shared" si="38"/>
        <v>0</v>
      </c>
      <c r="H1038" s="123">
        <f>IF(AND(ISNUMBER(F1038), F1038&gt;4, COUNTIFS($A$2:A1038, A1038, $B$2:B1038, B1038, $C$2:C1038, C1038, $F$2:F1038, "&gt;4")=1), 1, 0)</f>
        <v>1</v>
      </c>
      <c r="I1038" s="10">
        <f t="shared" si="39"/>
        <v>1</v>
      </c>
      <c r="J1038" s="10"/>
      <c r="K1038" s="7"/>
      <c r="L1038" s="7"/>
      <c r="M1038" s="7"/>
      <c r="N1038" s="10"/>
      <c r="O1038" s="113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t="15.75" customHeight="1">
      <c r="A1039" s="10" t="s">
        <v>22</v>
      </c>
      <c r="B1039" s="7" t="s">
        <v>117</v>
      </c>
      <c r="C1039" s="135">
        <v>46263</v>
      </c>
      <c r="D1039" s="44" t="s">
        <v>267</v>
      </c>
      <c r="E1039" s="35" t="s">
        <v>475</v>
      </c>
      <c r="F1039" s="121">
        <v>7.87</v>
      </c>
      <c r="G1039" s="122">
        <f t="shared" si="38"/>
        <v>0</v>
      </c>
      <c r="H1039" s="123">
        <f>IF(AND(ISNUMBER(F1039), F1039&gt;4, COUNTIFS($A$2:A1039, A1039, $B$2:B1039, B1039, $C$2:C1039, C1039, $F$2:F1039, "&gt;4")=1), 1, 0)</f>
        <v>1</v>
      </c>
      <c r="I1039" s="10">
        <f t="shared" si="39"/>
        <v>1</v>
      </c>
      <c r="J1039" s="10"/>
      <c r="K1039" s="7"/>
      <c r="L1039" s="7"/>
      <c r="M1039" s="7"/>
      <c r="N1039" s="10"/>
      <c r="O1039" s="113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t="15.75" customHeight="1">
      <c r="A1040" s="10" t="s">
        <v>22</v>
      </c>
      <c r="B1040" s="7" t="s">
        <v>117</v>
      </c>
      <c r="C1040" s="135">
        <v>46264</v>
      </c>
      <c r="D1040" s="44" t="s">
        <v>267</v>
      </c>
      <c r="E1040" s="35" t="s">
        <v>483</v>
      </c>
      <c r="F1040" s="121">
        <v>7.92</v>
      </c>
      <c r="G1040" s="122">
        <f t="shared" si="38"/>
        <v>0</v>
      </c>
      <c r="H1040" s="123">
        <f>IF(AND(ISNUMBER(F1040), F1040&gt;4, COUNTIFS($A$2:A1040, A1040, $B$2:B1040, B1040, $C$2:C1040, C1040, $F$2:F1040, "&gt;4")=1), 1, 0)</f>
        <v>1</v>
      </c>
      <c r="I1040" s="10">
        <f t="shared" si="39"/>
        <v>1</v>
      </c>
      <c r="J1040" s="10"/>
      <c r="K1040" s="7"/>
      <c r="L1040" s="7"/>
      <c r="M1040" s="7"/>
      <c r="N1040" s="10"/>
      <c r="O1040" s="113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t="15.75" customHeight="1">
      <c r="A1041" s="10" t="s">
        <v>22</v>
      </c>
      <c r="B1041" s="7" t="s">
        <v>117</v>
      </c>
      <c r="C1041" s="135">
        <v>46265</v>
      </c>
      <c r="D1041" s="44" t="s">
        <v>267</v>
      </c>
      <c r="E1041" s="35" t="s">
        <v>480</v>
      </c>
      <c r="F1041" s="121">
        <v>7.97</v>
      </c>
      <c r="G1041" s="122">
        <f t="shared" si="38"/>
        <v>0</v>
      </c>
      <c r="H1041" s="123">
        <f>IF(AND(ISNUMBER(F1041), F1041&gt;4, COUNTIFS($A$2:A1041, A1041, $B$2:B1041, B1041, $C$2:C1041, C1041, $F$2:F1041, "&gt;4")=1), 1, 0)</f>
        <v>1</v>
      </c>
      <c r="I1041" s="10">
        <f t="shared" si="39"/>
        <v>1</v>
      </c>
      <c r="J1041" s="10"/>
      <c r="K1041" s="7"/>
      <c r="L1041" s="7"/>
      <c r="M1041" s="7"/>
      <c r="N1041" s="10"/>
      <c r="O1041" s="113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t="15.75" customHeight="1">
      <c r="A1042" s="10" t="s">
        <v>21</v>
      </c>
      <c r="B1042" s="7" t="s">
        <v>116</v>
      </c>
      <c r="C1042" s="135">
        <v>46265</v>
      </c>
      <c r="D1042" s="44" t="s">
        <v>191</v>
      </c>
      <c r="E1042" s="35" t="s">
        <v>353</v>
      </c>
      <c r="F1042" s="121">
        <v>14</v>
      </c>
      <c r="G1042" s="122">
        <f t="shared" si="38"/>
        <v>0</v>
      </c>
      <c r="H1042" s="123">
        <f>IF(AND(ISNUMBER(F1042), F1042&gt;4, COUNTIFS($A$2:A1042, A1042, $B$2:B1042, B1042, $C$2:C1042, C1042, $F$2:F1042, "&gt;4")=1), 1, 0)</f>
        <v>1</v>
      </c>
      <c r="I1042" s="10">
        <f t="shared" si="39"/>
        <v>0</v>
      </c>
      <c r="J1042" s="10"/>
      <c r="K1042" s="7"/>
      <c r="L1042" s="7"/>
      <c r="M1042" s="7"/>
      <c r="N1042" s="10"/>
      <c r="O1042" s="113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t="15.75" customHeight="1">
      <c r="A1043" s="10" t="s">
        <v>22</v>
      </c>
      <c r="B1043" s="7" t="s">
        <v>116</v>
      </c>
      <c r="C1043" s="135">
        <v>46237</v>
      </c>
      <c r="D1043" s="44" t="s">
        <v>191</v>
      </c>
      <c r="E1043" s="35" t="s">
        <v>701</v>
      </c>
      <c r="F1043" s="121">
        <v>4.6500000000000004</v>
      </c>
      <c r="G1043" s="122">
        <f t="shared" si="38"/>
        <v>0</v>
      </c>
      <c r="H1043" s="123">
        <f>IF(AND(ISNUMBER(F1043), F1043&gt;4, COUNTIFS($A$2:A1043, A1043, $B$2:B1043, B1043, $C$2:C1043, C1043, $F$2:F1043, "&gt;4")=1), 1, 0)</f>
        <v>1</v>
      </c>
      <c r="I1043" s="10">
        <f t="shared" si="39"/>
        <v>0</v>
      </c>
      <c r="J1043" s="10"/>
      <c r="K1043" s="7"/>
      <c r="L1043" s="7"/>
      <c r="M1043" s="7"/>
      <c r="N1043" s="10"/>
      <c r="O1043" s="113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t="15.75" customHeight="1">
      <c r="A1044" s="10" t="s">
        <v>22</v>
      </c>
      <c r="B1044" s="7" t="s">
        <v>116</v>
      </c>
      <c r="C1044" s="135">
        <v>46238</v>
      </c>
      <c r="D1044" s="44" t="s">
        <v>191</v>
      </c>
      <c r="E1044" s="35" t="s">
        <v>203</v>
      </c>
      <c r="F1044" s="121">
        <v>8.68</v>
      </c>
      <c r="G1044" s="122">
        <f t="shared" si="38"/>
        <v>0</v>
      </c>
      <c r="H1044" s="123">
        <f>IF(AND(ISNUMBER(F1044), F1044&gt;4, COUNTIFS($A$2:A1044, A1044, $B$2:B1044, B1044, $C$2:C1044, C1044, $F$2:F1044, "&gt;4")=1), 1, 0)</f>
        <v>1</v>
      </c>
      <c r="I1044" s="10">
        <f t="shared" si="39"/>
        <v>0</v>
      </c>
      <c r="J1044" s="10"/>
      <c r="K1044" s="7"/>
      <c r="L1044" s="7"/>
      <c r="M1044" s="7"/>
      <c r="N1044" s="10"/>
      <c r="O1044" s="113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t="15.75" customHeight="1">
      <c r="A1045" s="10" t="s">
        <v>22</v>
      </c>
      <c r="B1045" s="7" t="s">
        <v>116</v>
      </c>
      <c r="C1045" s="135">
        <v>46240</v>
      </c>
      <c r="D1045" s="44" t="s">
        <v>191</v>
      </c>
      <c r="E1045" s="35" t="s">
        <v>617</v>
      </c>
      <c r="F1045" s="121">
        <v>8.67</v>
      </c>
      <c r="G1045" s="122">
        <f t="shared" si="38"/>
        <v>0</v>
      </c>
      <c r="H1045" s="123">
        <f>IF(AND(ISNUMBER(F1045), F1045&gt;4, COUNTIFS($A$2:A1045, A1045, $B$2:B1045, B1045, $C$2:C1045, C1045, $F$2:F1045, "&gt;4")=1), 1, 0)</f>
        <v>1</v>
      </c>
      <c r="I1045" s="10">
        <f t="shared" si="39"/>
        <v>0</v>
      </c>
      <c r="J1045" s="10"/>
      <c r="K1045" s="7"/>
      <c r="L1045" s="7"/>
      <c r="M1045" s="7"/>
      <c r="N1045" s="10"/>
      <c r="O1045" s="113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t="15.75" customHeight="1">
      <c r="A1046" s="10" t="s">
        <v>22</v>
      </c>
      <c r="B1046" s="7" t="s">
        <v>116</v>
      </c>
      <c r="C1046" s="135">
        <v>46241</v>
      </c>
      <c r="D1046" s="44" t="s">
        <v>191</v>
      </c>
      <c r="E1046" s="35" t="s">
        <v>546</v>
      </c>
      <c r="F1046" s="121">
        <v>6.27</v>
      </c>
      <c r="G1046" s="122">
        <f t="shared" si="38"/>
        <v>0</v>
      </c>
      <c r="H1046" s="123">
        <f>IF(AND(ISNUMBER(F1046), F1046&gt;4, COUNTIFS($A$2:A1046, A1046, $B$2:B1046, B1046, $C$2:C1046, C1046, $F$2:F1046, "&gt;4")=1), 1, 0)</f>
        <v>1</v>
      </c>
      <c r="I1046" s="10">
        <f t="shared" si="39"/>
        <v>0</v>
      </c>
      <c r="J1046" s="10"/>
      <c r="K1046" s="7"/>
      <c r="L1046" s="7"/>
      <c r="M1046" s="7"/>
      <c r="N1046" s="10"/>
      <c r="O1046" s="113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t="15.75" customHeight="1">
      <c r="A1047" s="10" t="s">
        <v>22</v>
      </c>
      <c r="B1047" s="7" t="s">
        <v>116</v>
      </c>
      <c r="C1047" s="135">
        <v>46244</v>
      </c>
      <c r="D1047" s="44" t="s">
        <v>191</v>
      </c>
      <c r="E1047" s="35" t="s">
        <v>224</v>
      </c>
      <c r="F1047" s="121">
        <v>8.77</v>
      </c>
      <c r="G1047" s="122">
        <f t="shared" si="38"/>
        <v>0</v>
      </c>
      <c r="H1047" s="123">
        <f>IF(AND(ISNUMBER(F1047), F1047&gt;4, COUNTIFS($A$2:A1047, A1047, $B$2:B1047, B1047, $C$2:C1047, C1047, $F$2:F1047, "&gt;4")=1), 1, 0)</f>
        <v>1</v>
      </c>
      <c r="I1047" s="10">
        <f t="shared" si="39"/>
        <v>0</v>
      </c>
      <c r="J1047" s="10"/>
      <c r="K1047" s="7"/>
      <c r="L1047" s="7"/>
      <c r="M1047" s="7"/>
      <c r="N1047" s="10"/>
      <c r="O1047" s="113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t="15.75" customHeight="1">
      <c r="A1048" s="10" t="s">
        <v>22</v>
      </c>
      <c r="B1048" s="7" t="s">
        <v>116</v>
      </c>
      <c r="C1048" s="135">
        <v>46245</v>
      </c>
      <c r="D1048" s="44" t="s">
        <v>191</v>
      </c>
      <c r="E1048" s="35" t="s">
        <v>510</v>
      </c>
      <c r="F1048" s="121">
        <v>8.75</v>
      </c>
      <c r="G1048" s="122">
        <f t="shared" si="38"/>
        <v>0</v>
      </c>
      <c r="H1048" s="123">
        <f>IF(AND(ISNUMBER(F1048), F1048&gt;4, COUNTIFS($A$2:A1048, A1048, $B$2:B1048, B1048, $C$2:C1048, C1048, $F$2:F1048, "&gt;4")=1), 1, 0)</f>
        <v>1</v>
      </c>
      <c r="I1048" s="10">
        <f t="shared" si="39"/>
        <v>0</v>
      </c>
      <c r="J1048" s="10"/>
      <c r="K1048" s="7"/>
      <c r="L1048" s="7"/>
      <c r="M1048" s="7"/>
      <c r="N1048" s="10"/>
      <c r="O1048" s="113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t="15.75" customHeight="1">
      <c r="A1049" s="10" t="s">
        <v>22</v>
      </c>
      <c r="B1049" s="7" t="s">
        <v>116</v>
      </c>
      <c r="C1049" s="135">
        <v>46246</v>
      </c>
      <c r="D1049" s="44" t="s">
        <v>191</v>
      </c>
      <c r="E1049" s="35" t="s">
        <v>702</v>
      </c>
      <c r="F1049" s="121">
        <v>6.5</v>
      </c>
      <c r="G1049" s="122">
        <f t="shared" si="38"/>
        <v>0</v>
      </c>
      <c r="H1049" s="123">
        <f>IF(AND(ISNUMBER(F1049), F1049&gt;4, COUNTIFS($A$2:A1049, A1049, $B$2:B1049, B1049, $C$2:C1049, C1049, $F$2:F1049, "&gt;4")=1), 1, 0)</f>
        <v>1</v>
      </c>
      <c r="I1049" s="10">
        <f t="shared" si="39"/>
        <v>0</v>
      </c>
      <c r="J1049" s="10"/>
      <c r="K1049" s="7"/>
      <c r="L1049" s="7"/>
      <c r="M1049" s="7"/>
      <c r="N1049" s="10"/>
      <c r="O1049" s="113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t="15.75" customHeight="1">
      <c r="A1050" s="10" t="s">
        <v>22</v>
      </c>
      <c r="B1050" s="7" t="s">
        <v>116</v>
      </c>
      <c r="C1050" s="135">
        <v>46248</v>
      </c>
      <c r="D1050" s="44" t="s">
        <v>191</v>
      </c>
      <c r="E1050" s="35" t="s">
        <v>539</v>
      </c>
      <c r="F1050" s="121">
        <v>8.6999999999999993</v>
      </c>
      <c r="G1050" s="122">
        <f t="shared" si="38"/>
        <v>0</v>
      </c>
      <c r="H1050" s="123">
        <f>IF(AND(ISNUMBER(F1050), F1050&gt;4, COUNTIFS($A$2:A1050, A1050, $B$2:B1050, B1050, $C$2:C1050, C1050, $F$2:F1050, "&gt;4")=1), 1, 0)</f>
        <v>1</v>
      </c>
      <c r="I1050" s="10">
        <f t="shared" si="39"/>
        <v>0</v>
      </c>
      <c r="J1050" s="10"/>
      <c r="K1050" s="7"/>
      <c r="L1050" s="7"/>
      <c r="M1050" s="7"/>
      <c r="N1050" s="10"/>
      <c r="O1050" s="113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t="15.75" customHeight="1">
      <c r="A1051" s="10" t="s">
        <v>22</v>
      </c>
      <c r="B1051" s="7" t="s">
        <v>116</v>
      </c>
      <c r="C1051" s="135">
        <v>46251</v>
      </c>
      <c r="D1051" s="44" t="s">
        <v>191</v>
      </c>
      <c r="E1051" s="35" t="s">
        <v>698</v>
      </c>
      <c r="F1051" s="121">
        <v>6.67</v>
      </c>
      <c r="G1051" s="122">
        <f t="shared" si="38"/>
        <v>0</v>
      </c>
      <c r="H1051" s="123">
        <f>IF(AND(ISNUMBER(F1051), F1051&gt;4, COUNTIFS($A$2:A1051, A1051, $B$2:B1051, B1051, $C$2:C1051, C1051, $F$2:F1051, "&gt;4")=1), 1, 0)</f>
        <v>1</v>
      </c>
      <c r="I1051" s="10">
        <f t="shared" si="39"/>
        <v>0</v>
      </c>
      <c r="J1051" s="10"/>
      <c r="K1051" s="7"/>
      <c r="L1051" s="7"/>
      <c r="M1051" s="7"/>
      <c r="N1051" s="10"/>
      <c r="O1051" s="113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t="15.75" customHeight="1">
      <c r="A1052" s="10" t="s">
        <v>22</v>
      </c>
      <c r="B1052" s="7" t="s">
        <v>116</v>
      </c>
      <c r="C1052" s="135">
        <v>46252</v>
      </c>
      <c r="D1052" s="44" t="s">
        <v>191</v>
      </c>
      <c r="E1052" s="35" t="s">
        <v>486</v>
      </c>
      <c r="F1052" s="121">
        <v>7.68</v>
      </c>
      <c r="G1052" s="122">
        <f t="shared" si="38"/>
        <v>0</v>
      </c>
      <c r="H1052" s="123">
        <f>IF(AND(ISNUMBER(F1052), F1052&gt;4, COUNTIFS($A$2:A1052, A1052, $B$2:B1052, B1052, $C$2:C1052, C1052, $F$2:F1052, "&gt;4")=1), 1, 0)</f>
        <v>1</v>
      </c>
      <c r="I1052" s="10">
        <f t="shared" si="39"/>
        <v>0</v>
      </c>
      <c r="J1052" s="10"/>
      <c r="K1052" s="7"/>
      <c r="L1052" s="7"/>
      <c r="M1052" s="7"/>
      <c r="N1052" s="10"/>
      <c r="O1052" s="113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t="15.75" customHeight="1">
      <c r="A1053" s="10" t="s">
        <v>22</v>
      </c>
      <c r="B1053" s="7" t="s">
        <v>116</v>
      </c>
      <c r="C1053" s="135">
        <v>46253</v>
      </c>
      <c r="D1053" s="44" t="s">
        <v>191</v>
      </c>
      <c r="E1053" s="35" t="s">
        <v>552</v>
      </c>
      <c r="F1053" s="121">
        <v>6.73</v>
      </c>
      <c r="G1053" s="122">
        <f t="shared" si="38"/>
        <v>0</v>
      </c>
      <c r="H1053" s="123">
        <f>IF(AND(ISNUMBER(F1053), F1053&gt;4, COUNTIFS($A$2:A1053, A1053, $B$2:B1053, B1053, $C$2:C1053, C1053, $F$2:F1053, "&gt;4")=1), 1, 0)</f>
        <v>1</v>
      </c>
      <c r="I1053" s="10">
        <f t="shared" si="39"/>
        <v>0</v>
      </c>
      <c r="J1053" s="10"/>
      <c r="K1053" s="7"/>
      <c r="L1053" s="7"/>
      <c r="M1053" s="7"/>
      <c r="N1053" s="10"/>
      <c r="O1053" s="113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t="15.75" customHeight="1">
      <c r="A1054" s="10" t="s">
        <v>22</v>
      </c>
      <c r="B1054" s="7" t="s">
        <v>116</v>
      </c>
      <c r="C1054" s="135">
        <v>46254</v>
      </c>
      <c r="D1054" s="44" t="s">
        <v>191</v>
      </c>
      <c r="E1054" s="35" t="s">
        <v>532</v>
      </c>
      <c r="F1054" s="121">
        <v>8.7799999999999994</v>
      </c>
      <c r="G1054" s="122">
        <f t="shared" si="38"/>
        <v>0</v>
      </c>
      <c r="H1054" s="123">
        <f>IF(AND(ISNUMBER(F1054), F1054&gt;4, COUNTIFS($A$2:A1054, A1054, $B$2:B1054, B1054, $C$2:C1054, C1054, $F$2:F1054, "&gt;4")=1), 1, 0)</f>
        <v>1</v>
      </c>
      <c r="I1054" s="10">
        <f t="shared" si="39"/>
        <v>0</v>
      </c>
      <c r="J1054" s="10"/>
      <c r="K1054" s="7"/>
      <c r="L1054" s="7"/>
      <c r="M1054" s="7"/>
      <c r="N1054" s="10"/>
      <c r="O1054" s="113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t="15.75" customHeight="1">
      <c r="A1055" s="10" t="s">
        <v>22</v>
      </c>
      <c r="B1055" s="7" t="s">
        <v>116</v>
      </c>
      <c r="C1055" s="135">
        <v>46255</v>
      </c>
      <c r="D1055" s="44" t="s">
        <v>191</v>
      </c>
      <c r="E1055" s="35" t="s">
        <v>348</v>
      </c>
      <c r="F1055" s="121">
        <v>7.95</v>
      </c>
      <c r="G1055" s="122">
        <f t="shared" si="38"/>
        <v>0</v>
      </c>
      <c r="H1055" s="123">
        <f>IF(AND(ISNUMBER(F1055), F1055&gt;4, COUNTIFS($A$2:A1055, A1055, $B$2:B1055, B1055, $C$2:C1055, C1055, $F$2:F1055, "&gt;4")=1), 1, 0)</f>
        <v>1</v>
      </c>
      <c r="I1055" s="10">
        <f t="shared" si="39"/>
        <v>0</v>
      </c>
      <c r="J1055" s="10"/>
      <c r="K1055" s="7"/>
      <c r="L1055" s="7"/>
      <c r="M1055" s="7"/>
      <c r="N1055" s="10"/>
      <c r="O1055" s="113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t="15.75" customHeight="1">
      <c r="A1056" s="10" t="s">
        <v>22</v>
      </c>
      <c r="B1056" s="7" t="s">
        <v>116</v>
      </c>
      <c r="C1056" s="135">
        <v>46258</v>
      </c>
      <c r="D1056" s="44" t="s">
        <v>191</v>
      </c>
      <c r="E1056" s="35" t="s">
        <v>532</v>
      </c>
      <c r="F1056" s="121">
        <v>8.7799999999999994</v>
      </c>
      <c r="G1056" s="122">
        <f t="shared" si="38"/>
        <v>0</v>
      </c>
      <c r="H1056" s="123">
        <f>IF(AND(ISNUMBER(F1056), F1056&gt;4, COUNTIFS($A$2:A1056, A1056, $B$2:B1056, B1056, $C$2:C1056, C1056, $F$2:F1056, "&gt;4")=1), 1, 0)</f>
        <v>1</v>
      </c>
      <c r="I1056" s="10">
        <f t="shared" si="39"/>
        <v>0</v>
      </c>
      <c r="J1056" s="10"/>
      <c r="K1056" s="7"/>
      <c r="L1056" s="7"/>
      <c r="M1056" s="7"/>
      <c r="N1056" s="10"/>
      <c r="O1056" s="113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t="15.75" customHeight="1">
      <c r="A1057" s="10" t="s">
        <v>22</v>
      </c>
      <c r="B1057" s="7" t="s">
        <v>116</v>
      </c>
      <c r="C1057" s="135">
        <v>46259</v>
      </c>
      <c r="D1057" s="44" t="s">
        <v>191</v>
      </c>
      <c r="E1057" s="35" t="s">
        <v>703</v>
      </c>
      <c r="F1057" s="121">
        <v>8.6</v>
      </c>
      <c r="G1057" s="122">
        <f t="shared" si="38"/>
        <v>0</v>
      </c>
      <c r="H1057" s="123">
        <f>IF(AND(ISNUMBER(F1057), F1057&gt;4, COUNTIFS($A$2:A1057, A1057, $B$2:B1057, B1057, $C$2:C1057, C1057, $F$2:F1057, "&gt;4")=1), 1, 0)</f>
        <v>1</v>
      </c>
      <c r="I1057" s="10">
        <f t="shared" si="39"/>
        <v>0</v>
      </c>
      <c r="J1057" s="10"/>
      <c r="K1057" s="7"/>
      <c r="L1057" s="7"/>
      <c r="M1057" s="7"/>
      <c r="N1057" s="10"/>
      <c r="O1057" s="113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t="15.75" customHeight="1">
      <c r="A1058" s="10" t="s">
        <v>22</v>
      </c>
      <c r="B1058" s="7" t="s">
        <v>116</v>
      </c>
      <c r="C1058" s="135">
        <v>46260</v>
      </c>
      <c r="D1058" s="44" t="s">
        <v>191</v>
      </c>
      <c r="E1058" s="35" t="s">
        <v>348</v>
      </c>
      <c r="F1058" s="121">
        <v>7.95</v>
      </c>
      <c r="G1058" s="122">
        <f t="shared" si="38"/>
        <v>0</v>
      </c>
      <c r="H1058" s="123">
        <f>IF(AND(ISNUMBER(F1058), F1058&gt;4, COUNTIFS($A$2:A1058, A1058, $B$2:B1058, B1058, $C$2:C1058, C1058, $F$2:F1058, "&gt;4")=1), 1, 0)</f>
        <v>1</v>
      </c>
      <c r="I1058" s="10">
        <f t="shared" si="39"/>
        <v>0</v>
      </c>
      <c r="J1058" s="10"/>
      <c r="K1058" s="7"/>
      <c r="L1058" s="7"/>
      <c r="M1058" s="7"/>
      <c r="N1058" s="10"/>
      <c r="O1058" s="113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t="15.75" customHeight="1">
      <c r="A1059" s="10" t="s">
        <v>22</v>
      </c>
      <c r="B1059" s="7" t="s">
        <v>116</v>
      </c>
      <c r="C1059" s="135">
        <v>46262</v>
      </c>
      <c r="D1059" s="44" t="s">
        <v>191</v>
      </c>
      <c r="E1059" s="35" t="s">
        <v>203</v>
      </c>
      <c r="F1059" s="121">
        <v>8.68</v>
      </c>
      <c r="G1059" s="122">
        <f t="shared" si="38"/>
        <v>0</v>
      </c>
      <c r="H1059" s="123">
        <f>IF(AND(ISNUMBER(F1059), F1059&gt;4, COUNTIFS($A$2:A1059, A1059, $B$2:B1059, B1059, $C$2:C1059, C1059, $F$2:F1059, "&gt;4")=1), 1, 0)</f>
        <v>1</v>
      </c>
      <c r="I1059" s="10">
        <f t="shared" si="39"/>
        <v>0</v>
      </c>
      <c r="J1059" s="10"/>
      <c r="K1059" s="7"/>
      <c r="L1059" s="7"/>
      <c r="M1059" s="7"/>
      <c r="N1059" s="10"/>
      <c r="O1059" s="113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t="15.75" customHeight="1">
      <c r="A1060" s="10" t="s">
        <v>22</v>
      </c>
      <c r="B1060" s="7" t="s">
        <v>116</v>
      </c>
      <c r="C1060" s="135">
        <v>46235</v>
      </c>
      <c r="D1060" s="44" t="s">
        <v>257</v>
      </c>
      <c r="E1060" s="35" t="s">
        <v>477</v>
      </c>
      <c r="F1060" s="121">
        <v>7.88</v>
      </c>
      <c r="G1060" s="122">
        <f t="shared" si="38"/>
        <v>0</v>
      </c>
      <c r="H1060" s="123">
        <f>IF(AND(ISNUMBER(F1060), F1060&gt;4, COUNTIFS($A$2:A1060, A1060, $B$2:B1060, B1060, $C$2:C1060, C1060, $F$2:F1060, "&gt;4")=1), 1, 0)</f>
        <v>1</v>
      </c>
      <c r="I1060" s="10">
        <f t="shared" si="39"/>
        <v>0</v>
      </c>
      <c r="J1060" s="10"/>
      <c r="K1060" s="7"/>
      <c r="L1060" s="7"/>
      <c r="M1060" s="7"/>
      <c r="N1060" s="10"/>
      <c r="O1060" s="113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t="15.75" customHeight="1">
      <c r="A1061" s="10" t="s">
        <v>22</v>
      </c>
      <c r="B1061" s="7" t="s">
        <v>116</v>
      </c>
      <c r="C1061" s="135">
        <v>46236</v>
      </c>
      <c r="D1061" s="44" t="s">
        <v>257</v>
      </c>
      <c r="E1061" s="35" t="s">
        <v>480</v>
      </c>
      <c r="F1061" s="121">
        <v>7.97</v>
      </c>
      <c r="G1061" s="122">
        <f t="shared" si="38"/>
        <v>0</v>
      </c>
      <c r="H1061" s="123">
        <f>IF(AND(ISNUMBER(F1061), F1061&gt;4, COUNTIFS($A$2:A1061, A1061, $B$2:B1061, B1061, $C$2:C1061, C1061, $F$2:F1061, "&gt;4")=1), 1, 0)</f>
        <v>1</v>
      </c>
      <c r="I1061" s="10">
        <f t="shared" si="39"/>
        <v>0</v>
      </c>
      <c r="J1061" s="10"/>
      <c r="K1061" s="7"/>
      <c r="L1061" s="7"/>
      <c r="M1061" s="7"/>
      <c r="N1061" s="10"/>
      <c r="O1061" s="113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t="15.75" customHeight="1">
      <c r="A1062" s="10" t="s">
        <v>22</v>
      </c>
      <c r="B1062" s="7" t="s">
        <v>116</v>
      </c>
      <c r="C1062" s="135">
        <v>46242</v>
      </c>
      <c r="D1062" s="44" t="s">
        <v>257</v>
      </c>
      <c r="E1062" s="35" t="s">
        <v>704</v>
      </c>
      <c r="F1062" s="121">
        <v>7.65</v>
      </c>
      <c r="G1062" s="122">
        <f t="shared" si="38"/>
        <v>0</v>
      </c>
      <c r="H1062" s="123">
        <f>IF(AND(ISNUMBER(F1062), F1062&gt;4, COUNTIFS($A$2:A1062, A1062, $B$2:B1062, B1062, $C$2:C1062, C1062, $F$2:F1062, "&gt;4")=1), 1, 0)</f>
        <v>1</v>
      </c>
      <c r="I1062" s="10">
        <f t="shared" si="39"/>
        <v>0</v>
      </c>
      <c r="J1062" s="10"/>
      <c r="K1062" s="7"/>
      <c r="L1062" s="7"/>
      <c r="M1062" s="7"/>
      <c r="N1062" s="10"/>
      <c r="O1062" s="113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t="15.75" customHeight="1">
      <c r="A1063" s="10" t="s">
        <v>22</v>
      </c>
      <c r="B1063" s="7" t="s">
        <v>116</v>
      </c>
      <c r="C1063" s="135">
        <v>46249</v>
      </c>
      <c r="D1063" s="44" t="s">
        <v>257</v>
      </c>
      <c r="E1063" s="35" t="s">
        <v>484</v>
      </c>
      <c r="F1063" s="121">
        <v>7.82</v>
      </c>
      <c r="G1063" s="122">
        <f t="shared" si="38"/>
        <v>0</v>
      </c>
      <c r="H1063" s="123">
        <f>IF(AND(ISNUMBER(F1063), F1063&gt;4, COUNTIFS($A$2:A1063, A1063, $B$2:B1063, B1063, $C$2:C1063, C1063, $F$2:F1063, "&gt;4")=1), 1, 0)</f>
        <v>1</v>
      </c>
      <c r="I1063" s="10">
        <f t="shared" si="39"/>
        <v>0</v>
      </c>
      <c r="J1063" s="10"/>
      <c r="K1063" s="7"/>
      <c r="L1063" s="7"/>
      <c r="M1063" s="7"/>
      <c r="N1063" s="10"/>
      <c r="O1063" s="113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t="15.75" customHeight="1">
      <c r="A1064" s="10" t="s">
        <v>22</v>
      </c>
      <c r="B1064" s="7" t="s">
        <v>116</v>
      </c>
      <c r="C1064" s="135">
        <v>46250</v>
      </c>
      <c r="D1064" s="44" t="s">
        <v>257</v>
      </c>
      <c r="E1064" s="35" t="s">
        <v>348</v>
      </c>
      <c r="F1064" s="121">
        <v>7.95</v>
      </c>
      <c r="G1064" s="122">
        <f t="shared" si="38"/>
        <v>0</v>
      </c>
      <c r="H1064" s="123">
        <f>IF(AND(ISNUMBER(F1064), F1064&gt;4, COUNTIFS($A$2:A1064, A1064, $B$2:B1064, B1064, $C$2:C1064, C1064, $F$2:F1064, "&gt;4")=1), 1, 0)</f>
        <v>1</v>
      </c>
      <c r="I1064" s="10">
        <f t="shared" si="39"/>
        <v>0</v>
      </c>
      <c r="J1064" s="10"/>
      <c r="K1064" s="7"/>
      <c r="L1064" s="7"/>
      <c r="M1064" s="7"/>
      <c r="N1064" s="10"/>
      <c r="O1064" s="113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t="15.75" customHeight="1">
      <c r="A1065" s="10" t="s">
        <v>22</v>
      </c>
      <c r="B1065" s="7" t="s">
        <v>116</v>
      </c>
      <c r="C1065" s="135">
        <v>46263</v>
      </c>
      <c r="D1065" s="44" t="s">
        <v>257</v>
      </c>
      <c r="E1065" s="35" t="s">
        <v>474</v>
      </c>
      <c r="F1065" s="121">
        <v>7.9</v>
      </c>
      <c r="G1065" s="122">
        <f t="shared" si="38"/>
        <v>0</v>
      </c>
      <c r="H1065" s="123">
        <f>IF(AND(ISNUMBER(F1065), F1065&gt;4, COUNTIFS($A$2:A1065, A1065, $B$2:B1065, B1065, $C$2:C1065, C1065, $F$2:F1065, "&gt;4")=1), 1, 0)</f>
        <v>1</v>
      </c>
      <c r="I1065" s="10">
        <f t="shared" si="39"/>
        <v>0</v>
      </c>
      <c r="J1065" s="10"/>
      <c r="K1065" s="7"/>
      <c r="L1065" s="7"/>
      <c r="M1065" s="7"/>
      <c r="N1065" s="10"/>
      <c r="O1065" s="113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t="15.75" customHeight="1">
      <c r="A1066" s="10" t="s">
        <v>22</v>
      </c>
      <c r="B1066" s="7" t="s">
        <v>116</v>
      </c>
      <c r="C1066" s="135">
        <v>46264</v>
      </c>
      <c r="D1066" s="44" t="s">
        <v>257</v>
      </c>
      <c r="E1066" s="35" t="s">
        <v>477</v>
      </c>
      <c r="F1066" s="121">
        <v>7.88</v>
      </c>
      <c r="G1066" s="122">
        <f t="shared" si="38"/>
        <v>0</v>
      </c>
      <c r="H1066" s="123">
        <f>IF(AND(ISNUMBER(F1066), F1066&gt;4, COUNTIFS($A$2:A1066, A1066, $B$2:B1066, B1066, $C$2:C1066, C1066, $F$2:F1066, "&gt;4")=1), 1, 0)</f>
        <v>1</v>
      </c>
      <c r="I1066" s="10">
        <f t="shared" si="39"/>
        <v>0</v>
      </c>
      <c r="J1066" s="10"/>
      <c r="K1066" s="7"/>
      <c r="L1066" s="7"/>
      <c r="M1066" s="7"/>
      <c r="N1066" s="10"/>
      <c r="O1066" s="113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t="15.75" customHeight="1">
      <c r="A1067" s="10" t="s">
        <v>24</v>
      </c>
      <c r="B1067" s="7" t="s">
        <v>124</v>
      </c>
      <c r="C1067" s="135">
        <v>46250</v>
      </c>
      <c r="D1067" s="44" t="s">
        <v>222</v>
      </c>
      <c r="E1067" s="35" t="s">
        <v>356</v>
      </c>
      <c r="F1067" s="121">
        <v>4.17</v>
      </c>
      <c r="G1067" s="122">
        <f t="shared" si="38"/>
        <v>0</v>
      </c>
      <c r="H1067" s="123">
        <f>IF(AND(ISNUMBER(F1067), F1067&gt;4, COUNTIFS($A$2:A1067, A1067, $B$2:B1067, B1067, $C$2:C1067, C1067, $F$2:F1067, "&gt;4")=1), 1, 0)</f>
        <v>1</v>
      </c>
      <c r="I1067" s="10">
        <f t="shared" si="39"/>
        <v>0</v>
      </c>
      <c r="J1067" s="10"/>
      <c r="K1067" s="7"/>
      <c r="L1067" s="7"/>
      <c r="M1067" s="7"/>
      <c r="N1067" s="10"/>
      <c r="O1067" s="113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t="15.75" customHeight="1">
      <c r="A1068" s="10" t="s">
        <v>24</v>
      </c>
      <c r="B1068" s="7" t="s">
        <v>124</v>
      </c>
      <c r="C1068" s="135">
        <v>46235</v>
      </c>
      <c r="D1068" s="44" t="s">
        <v>220</v>
      </c>
      <c r="E1068" s="35" t="s">
        <v>239</v>
      </c>
      <c r="F1068" s="121">
        <v>8.07</v>
      </c>
      <c r="G1068" s="122">
        <f t="shared" si="38"/>
        <v>0</v>
      </c>
      <c r="H1068" s="123">
        <f>IF(AND(ISNUMBER(F1068), F1068&gt;4, COUNTIFS($A$2:A1068, A1068, $B$2:B1068, B1068, $C$2:C1068, C1068, $F$2:F1068, "&gt;4")=1), 1, 0)</f>
        <v>1</v>
      </c>
      <c r="I1068" s="10">
        <f t="shared" si="39"/>
        <v>1</v>
      </c>
      <c r="J1068" s="10"/>
      <c r="K1068" s="7"/>
      <c r="L1068" s="7"/>
      <c r="M1068" s="7"/>
      <c r="N1068" s="10"/>
      <c r="O1068" s="113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t="15.75" customHeight="1">
      <c r="A1069" s="10" t="s">
        <v>24</v>
      </c>
      <c r="B1069" s="7" t="s">
        <v>124</v>
      </c>
      <c r="C1069" s="135">
        <v>46236</v>
      </c>
      <c r="D1069" s="44" t="s">
        <v>220</v>
      </c>
      <c r="E1069" s="35" t="s">
        <v>499</v>
      </c>
      <c r="F1069" s="121">
        <v>8.15</v>
      </c>
      <c r="G1069" s="122">
        <f t="shared" si="38"/>
        <v>0</v>
      </c>
      <c r="H1069" s="123">
        <f>IF(AND(ISNUMBER(F1069), F1069&gt;4, COUNTIFS($A$2:A1069, A1069, $B$2:B1069, B1069, $C$2:C1069, C1069, $F$2:F1069, "&gt;4")=1), 1, 0)</f>
        <v>1</v>
      </c>
      <c r="I1069" s="10">
        <f t="shared" si="39"/>
        <v>1</v>
      </c>
      <c r="J1069" s="10"/>
      <c r="K1069" s="7"/>
      <c r="L1069" s="7"/>
      <c r="M1069" s="7"/>
      <c r="N1069" s="10"/>
      <c r="O1069" s="113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t="15.75" customHeight="1">
      <c r="A1070" s="10" t="s">
        <v>24</v>
      </c>
      <c r="B1070" s="7" t="s">
        <v>124</v>
      </c>
      <c r="C1070" s="135">
        <v>46237</v>
      </c>
      <c r="D1070" s="44" t="s">
        <v>220</v>
      </c>
      <c r="E1070" s="35" t="s">
        <v>207</v>
      </c>
      <c r="F1070" s="121">
        <v>8.1</v>
      </c>
      <c r="G1070" s="122">
        <f t="shared" si="38"/>
        <v>0</v>
      </c>
      <c r="H1070" s="123">
        <f>IF(AND(ISNUMBER(F1070), F1070&gt;4, COUNTIFS($A$2:A1070, A1070, $B$2:B1070, B1070, $C$2:C1070, C1070, $F$2:F1070, "&gt;4")=1), 1, 0)</f>
        <v>1</v>
      </c>
      <c r="I1070" s="10">
        <f t="shared" si="39"/>
        <v>1</v>
      </c>
      <c r="J1070" s="10"/>
      <c r="K1070" s="7"/>
      <c r="L1070" s="7"/>
      <c r="M1070" s="7"/>
      <c r="N1070" s="10"/>
      <c r="O1070" s="113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t="15.75" customHeight="1">
      <c r="A1071" s="10" t="s">
        <v>24</v>
      </c>
      <c r="B1071" s="7" t="s">
        <v>124</v>
      </c>
      <c r="C1071" s="135">
        <v>46238</v>
      </c>
      <c r="D1071" s="44" t="s">
        <v>220</v>
      </c>
      <c r="E1071" s="35" t="s">
        <v>288</v>
      </c>
      <c r="F1071" s="121">
        <v>8.0500000000000007</v>
      </c>
      <c r="G1071" s="122">
        <f t="shared" si="38"/>
        <v>0</v>
      </c>
      <c r="H1071" s="123">
        <f>IF(AND(ISNUMBER(F1071), F1071&gt;4, COUNTIFS($A$2:A1071, A1071, $B$2:B1071, B1071, $C$2:C1071, C1071, $F$2:F1071, "&gt;4")=1), 1, 0)</f>
        <v>1</v>
      </c>
      <c r="I1071" s="10">
        <f t="shared" si="39"/>
        <v>1</v>
      </c>
      <c r="J1071" s="10"/>
      <c r="K1071" s="7"/>
      <c r="L1071" s="7"/>
      <c r="M1071" s="7"/>
      <c r="N1071" s="10"/>
      <c r="O1071" s="113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t="15.75" customHeight="1">
      <c r="A1072" s="10" t="s">
        <v>24</v>
      </c>
      <c r="B1072" s="7" t="s">
        <v>124</v>
      </c>
      <c r="C1072" s="135">
        <v>46239</v>
      </c>
      <c r="D1072" s="44" t="s">
        <v>220</v>
      </c>
      <c r="E1072" s="35" t="s">
        <v>496</v>
      </c>
      <c r="F1072" s="121">
        <v>8.35</v>
      </c>
      <c r="G1072" s="122">
        <f t="shared" si="38"/>
        <v>0</v>
      </c>
      <c r="H1072" s="123">
        <f>IF(AND(ISNUMBER(F1072), F1072&gt;4, COUNTIFS($A$2:A1072, A1072, $B$2:B1072, B1072, $C$2:C1072, C1072, $F$2:F1072, "&gt;4")=1), 1, 0)</f>
        <v>1</v>
      </c>
      <c r="I1072" s="10">
        <f t="shared" si="39"/>
        <v>1</v>
      </c>
      <c r="J1072" s="10"/>
      <c r="K1072" s="7"/>
      <c r="L1072" s="7"/>
      <c r="M1072" s="7"/>
      <c r="N1072" s="10"/>
      <c r="O1072" s="113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t="15.75" customHeight="1">
      <c r="A1073" s="10" t="s">
        <v>24</v>
      </c>
      <c r="B1073" s="7" t="s">
        <v>124</v>
      </c>
      <c r="C1073" s="135">
        <v>46240</v>
      </c>
      <c r="D1073" s="44" t="s">
        <v>220</v>
      </c>
      <c r="E1073" s="35" t="s">
        <v>500</v>
      </c>
      <c r="F1073" s="121">
        <v>8.48</v>
      </c>
      <c r="G1073" s="122">
        <f t="shared" si="38"/>
        <v>0</v>
      </c>
      <c r="H1073" s="123">
        <f>IF(AND(ISNUMBER(F1073), F1073&gt;4, COUNTIFS($A$2:A1073, A1073, $B$2:B1073, B1073, $C$2:C1073, C1073, $F$2:F1073, "&gt;4")=1), 1, 0)</f>
        <v>1</v>
      </c>
      <c r="I1073" s="10">
        <f t="shared" si="39"/>
        <v>1</v>
      </c>
      <c r="J1073" s="10"/>
      <c r="K1073" s="7"/>
      <c r="L1073" s="7"/>
      <c r="M1073" s="7"/>
      <c r="N1073" s="10"/>
      <c r="O1073" s="113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t="15.75" customHeight="1">
      <c r="A1074" s="10" t="s">
        <v>24</v>
      </c>
      <c r="B1074" s="7" t="s">
        <v>124</v>
      </c>
      <c r="C1074" s="135">
        <v>46241</v>
      </c>
      <c r="D1074" s="44" t="s">
        <v>220</v>
      </c>
      <c r="E1074" s="35" t="s">
        <v>483</v>
      </c>
      <c r="F1074" s="121">
        <v>7.92</v>
      </c>
      <c r="G1074" s="122">
        <f t="shared" si="38"/>
        <v>0</v>
      </c>
      <c r="H1074" s="123">
        <f>IF(AND(ISNUMBER(F1074), F1074&gt;4, COUNTIFS($A$2:A1074, A1074, $B$2:B1074, B1074, $C$2:C1074, C1074, $F$2:F1074, "&gt;4")=1), 1, 0)</f>
        <v>1</v>
      </c>
      <c r="I1074" s="10">
        <f t="shared" si="39"/>
        <v>1</v>
      </c>
      <c r="J1074" s="10"/>
      <c r="K1074" s="7"/>
      <c r="L1074" s="7"/>
      <c r="M1074" s="7"/>
      <c r="N1074" s="10"/>
      <c r="O1074" s="113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t="15.75" customHeight="1">
      <c r="A1075" s="10" t="s">
        <v>24</v>
      </c>
      <c r="B1075" s="7" t="s">
        <v>124</v>
      </c>
      <c r="C1075" s="135">
        <v>46242</v>
      </c>
      <c r="D1075" s="44" t="s">
        <v>220</v>
      </c>
      <c r="E1075" s="35" t="s">
        <v>239</v>
      </c>
      <c r="F1075" s="121">
        <v>8.07</v>
      </c>
      <c r="G1075" s="122">
        <f t="shared" si="38"/>
        <v>0</v>
      </c>
      <c r="H1075" s="123">
        <f>IF(AND(ISNUMBER(F1075), F1075&gt;4, COUNTIFS($A$2:A1075, A1075, $B$2:B1075, B1075, $C$2:C1075, C1075, $F$2:F1075, "&gt;4")=1), 1, 0)</f>
        <v>1</v>
      </c>
      <c r="I1075" s="10">
        <f t="shared" si="39"/>
        <v>1</v>
      </c>
      <c r="J1075" s="10"/>
      <c r="K1075" s="7"/>
      <c r="L1075" s="7"/>
      <c r="M1075" s="7"/>
      <c r="N1075" s="10"/>
      <c r="O1075" s="113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t="15.75" customHeight="1">
      <c r="A1076" s="10" t="s">
        <v>24</v>
      </c>
      <c r="B1076" s="7" t="s">
        <v>124</v>
      </c>
      <c r="C1076" s="135">
        <v>46243</v>
      </c>
      <c r="D1076" s="44" t="s">
        <v>220</v>
      </c>
      <c r="E1076" s="35" t="s">
        <v>490</v>
      </c>
      <c r="F1076" s="121">
        <v>8.23</v>
      </c>
      <c r="G1076" s="122">
        <f t="shared" si="38"/>
        <v>0</v>
      </c>
      <c r="H1076" s="123">
        <f>IF(AND(ISNUMBER(F1076), F1076&gt;4, COUNTIFS($A$2:A1076, A1076, $B$2:B1076, B1076, $C$2:C1076, C1076, $F$2:F1076, "&gt;4")=1), 1, 0)</f>
        <v>1</v>
      </c>
      <c r="I1076" s="10">
        <f t="shared" si="39"/>
        <v>1</v>
      </c>
      <c r="J1076" s="10"/>
      <c r="K1076" s="7"/>
      <c r="L1076" s="7"/>
      <c r="M1076" s="7"/>
      <c r="N1076" s="10"/>
      <c r="O1076" s="113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t="15.75" customHeight="1">
      <c r="A1077" s="10" t="s">
        <v>24</v>
      </c>
      <c r="B1077" s="7" t="s">
        <v>124</v>
      </c>
      <c r="C1077" s="135">
        <v>46244</v>
      </c>
      <c r="D1077" s="44" t="s">
        <v>220</v>
      </c>
      <c r="E1077" s="35" t="s">
        <v>504</v>
      </c>
      <c r="F1077" s="121">
        <v>8.18</v>
      </c>
      <c r="G1077" s="122">
        <f t="shared" si="38"/>
        <v>0</v>
      </c>
      <c r="H1077" s="123">
        <f>IF(AND(ISNUMBER(F1077), F1077&gt;4, COUNTIFS($A$2:A1077, A1077, $B$2:B1077, B1077, $C$2:C1077, C1077, $F$2:F1077, "&gt;4")=1), 1, 0)</f>
        <v>1</v>
      </c>
      <c r="I1077" s="10">
        <f t="shared" si="39"/>
        <v>1</v>
      </c>
      <c r="J1077" s="10"/>
      <c r="K1077" s="7"/>
      <c r="L1077" s="7"/>
      <c r="M1077" s="7"/>
      <c r="N1077" s="10"/>
      <c r="O1077" s="113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t="15.75" customHeight="1">
      <c r="A1078" s="10" t="s">
        <v>24</v>
      </c>
      <c r="B1078" s="7" t="s">
        <v>124</v>
      </c>
      <c r="C1078" s="135">
        <v>46245</v>
      </c>
      <c r="D1078" s="44" t="s">
        <v>220</v>
      </c>
      <c r="E1078" s="35" t="s">
        <v>497</v>
      </c>
      <c r="F1078" s="121">
        <v>8.43</v>
      </c>
      <c r="G1078" s="122">
        <f t="shared" si="38"/>
        <v>0</v>
      </c>
      <c r="H1078" s="123">
        <f>IF(AND(ISNUMBER(F1078), F1078&gt;4, COUNTIFS($A$2:A1078, A1078, $B$2:B1078, B1078, $C$2:C1078, C1078, $F$2:F1078, "&gt;4")=1), 1, 0)</f>
        <v>1</v>
      </c>
      <c r="I1078" s="10">
        <f t="shared" si="39"/>
        <v>1</v>
      </c>
      <c r="J1078" s="10"/>
      <c r="K1078" s="7"/>
      <c r="L1078" s="7"/>
      <c r="M1078" s="7"/>
      <c r="N1078" s="10"/>
      <c r="O1078" s="113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t="15.75" customHeight="1">
      <c r="A1079" s="10" t="s">
        <v>24</v>
      </c>
      <c r="B1079" s="7" t="s">
        <v>124</v>
      </c>
      <c r="C1079" s="135">
        <v>46246</v>
      </c>
      <c r="D1079" s="44" t="s">
        <v>220</v>
      </c>
      <c r="E1079" s="35" t="s">
        <v>511</v>
      </c>
      <c r="F1079" s="121">
        <v>8.1300000000000008</v>
      </c>
      <c r="G1079" s="122">
        <f t="shared" si="38"/>
        <v>0</v>
      </c>
      <c r="H1079" s="123">
        <f>IF(AND(ISNUMBER(F1079), F1079&gt;4, COUNTIFS($A$2:A1079, A1079, $B$2:B1079, B1079, $C$2:C1079, C1079, $F$2:F1079, "&gt;4")=1), 1, 0)</f>
        <v>1</v>
      </c>
      <c r="I1079" s="10">
        <f t="shared" si="39"/>
        <v>1</v>
      </c>
      <c r="J1079" s="10"/>
      <c r="K1079" s="7"/>
      <c r="L1079" s="7"/>
      <c r="M1079" s="7"/>
      <c r="N1079" s="10"/>
      <c r="O1079" s="113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t="15.75" customHeight="1">
      <c r="A1080" s="10" t="s">
        <v>24</v>
      </c>
      <c r="B1080" s="7" t="s">
        <v>124</v>
      </c>
      <c r="C1080" s="135">
        <v>46247</v>
      </c>
      <c r="D1080" s="44" t="s">
        <v>220</v>
      </c>
      <c r="E1080" s="35" t="s">
        <v>486</v>
      </c>
      <c r="F1080" s="121">
        <v>7.68</v>
      </c>
      <c r="G1080" s="122">
        <f t="shared" si="38"/>
        <v>0</v>
      </c>
      <c r="H1080" s="123">
        <f>IF(AND(ISNUMBER(F1080), F1080&gt;4, COUNTIFS($A$2:A1080, A1080, $B$2:B1080, B1080, $C$2:C1080, C1080, $F$2:F1080, "&gt;4")=1), 1, 0)</f>
        <v>1</v>
      </c>
      <c r="I1080" s="10">
        <f t="shared" si="39"/>
        <v>1</v>
      </c>
      <c r="J1080" s="10"/>
      <c r="K1080" s="7"/>
      <c r="L1080" s="7"/>
      <c r="M1080" s="7"/>
      <c r="N1080" s="10"/>
      <c r="O1080" s="113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t="15.75" customHeight="1">
      <c r="A1081" s="10" t="s">
        <v>24</v>
      </c>
      <c r="B1081" s="7" t="s">
        <v>124</v>
      </c>
      <c r="C1081" s="135">
        <v>46248</v>
      </c>
      <c r="D1081" s="44" t="s">
        <v>220</v>
      </c>
      <c r="E1081" s="35" t="s">
        <v>684</v>
      </c>
      <c r="F1081" s="121">
        <v>7.73</v>
      </c>
      <c r="G1081" s="122">
        <f t="shared" si="38"/>
        <v>0</v>
      </c>
      <c r="H1081" s="123">
        <f>IF(AND(ISNUMBER(F1081), F1081&gt;4, COUNTIFS($A$2:A1081, A1081, $B$2:B1081, B1081, $C$2:C1081, C1081, $F$2:F1081, "&gt;4")=1), 1, 0)</f>
        <v>1</v>
      </c>
      <c r="I1081" s="10">
        <f t="shared" si="39"/>
        <v>1</v>
      </c>
      <c r="J1081" s="10"/>
      <c r="K1081" s="7"/>
      <c r="L1081" s="7"/>
      <c r="M1081" s="7"/>
      <c r="N1081" s="10"/>
      <c r="O1081" s="113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t="15.75" customHeight="1">
      <c r="A1082" s="10" t="s">
        <v>24</v>
      </c>
      <c r="B1082" s="7" t="s">
        <v>124</v>
      </c>
      <c r="C1082" s="135">
        <v>46249</v>
      </c>
      <c r="D1082" s="44" t="s">
        <v>220</v>
      </c>
      <c r="E1082" s="35" t="s">
        <v>288</v>
      </c>
      <c r="F1082" s="121">
        <v>8.0500000000000007</v>
      </c>
      <c r="G1082" s="122">
        <f t="shared" si="38"/>
        <v>0</v>
      </c>
      <c r="H1082" s="123">
        <f>IF(AND(ISNUMBER(F1082), F1082&gt;4, COUNTIFS($A$2:A1082, A1082, $B$2:B1082, B1082, $C$2:C1082, C1082, $F$2:F1082, "&gt;4")=1), 1, 0)</f>
        <v>1</v>
      </c>
      <c r="I1082" s="10">
        <f t="shared" si="39"/>
        <v>1</v>
      </c>
      <c r="J1082" s="10"/>
      <c r="K1082" s="7"/>
      <c r="L1082" s="7"/>
      <c r="M1082" s="7"/>
      <c r="N1082" s="10"/>
      <c r="O1082" s="113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t="15.75" customHeight="1">
      <c r="A1083" s="10" t="s">
        <v>24</v>
      </c>
      <c r="B1083" s="7" t="s">
        <v>124</v>
      </c>
      <c r="C1083" s="135">
        <v>46250</v>
      </c>
      <c r="D1083" s="44" t="s">
        <v>220</v>
      </c>
      <c r="E1083" s="35" t="s">
        <v>686</v>
      </c>
      <c r="F1083" s="121">
        <v>7.52</v>
      </c>
      <c r="G1083" s="122">
        <f t="shared" si="38"/>
        <v>0</v>
      </c>
      <c r="H1083" s="123">
        <f>IF(AND(ISNUMBER(F1083), F1083&gt;4, COUNTIFS($A$2:A1083, A1083, $B$2:B1083, B1083, $C$2:C1083, C1083, $F$2:F1083, "&gt;4")=1), 1, 0)</f>
        <v>0</v>
      </c>
      <c r="I1083" s="10">
        <f t="shared" si="39"/>
        <v>1</v>
      </c>
      <c r="J1083" s="10"/>
      <c r="K1083" s="7"/>
      <c r="L1083" s="7"/>
      <c r="M1083" s="7"/>
      <c r="N1083" s="10"/>
      <c r="O1083" s="113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t="15.75" customHeight="1">
      <c r="A1084" s="10" t="s">
        <v>24</v>
      </c>
      <c r="B1084" s="7" t="s">
        <v>124</v>
      </c>
      <c r="C1084" s="135">
        <v>46251</v>
      </c>
      <c r="D1084" s="44" t="s">
        <v>220</v>
      </c>
      <c r="E1084" s="35" t="s">
        <v>502</v>
      </c>
      <c r="F1084" s="121">
        <v>8.17</v>
      </c>
      <c r="G1084" s="122">
        <f t="shared" si="38"/>
        <v>0</v>
      </c>
      <c r="H1084" s="123">
        <f>IF(AND(ISNUMBER(F1084), F1084&gt;4, COUNTIFS($A$2:A1084, A1084, $B$2:B1084, B1084, $C$2:C1084, C1084, $F$2:F1084, "&gt;4")=1), 1, 0)</f>
        <v>1</v>
      </c>
      <c r="I1084" s="10">
        <f t="shared" si="39"/>
        <v>1</v>
      </c>
      <c r="J1084" s="10"/>
      <c r="K1084" s="7"/>
      <c r="L1084" s="7"/>
      <c r="M1084" s="7"/>
      <c r="N1084" s="10"/>
      <c r="O1084" s="113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t="15.75" customHeight="1">
      <c r="A1085" s="10" t="s">
        <v>24</v>
      </c>
      <c r="B1085" s="7" t="s">
        <v>124</v>
      </c>
      <c r="C1085" s="135">
        <v>46252</v>
      </c>
      <c r="D1085" s="44" t="s">
        <v>220</v>
      </c>
      <c r="E1085" s="35" t="s">
        <v>499</v>
      </c>
      <c r="F1085" s="121">
        <v>8.15</v>
      </c>
      <c r="G1085" s="122">
        <f t="shared" si="38"/>
        <v>0</v>
      </c>
      <c r="H1085" s="123">
        <f>IF(AND(ISNUMBER(F1085), F1085&gt;4, COUNTIFS($A$2:A1085, A1085, $B$2:B1085, B1085, $C$2:C1085, C1085, $F$2:F1085, "&gt;4")=1), 1, 0)</f>
        <v>1</v>
      </c>
      <c r="I1085" s="10">
        <f t="shared" si="39"/>
        <v>1</v>
      </c>
      <c r="J1085" s="10"/>
      <c r="K1085" s="7"/>
      <c r="L1085" s="7"/>
      <c r="M1085" s="7"/>
      <c r="N1085" s="10"/>
      <c r="O1085" s="113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t="15.75" customHeight="1">
      <c r="A1086" s="10" t="s">
        <v>24</v>
      </c>
      <c r="B1086" s="7" t="s">
        <v>124</v>
      </c>
      <c r="C1086" s="135">
        <v>46253</v>
      </c>
      <c r="D1086" s="44" t="s">
        <v>220</v>
      </c>
      <c r="E1086" s="35" t="s">
        <v>280</v>
      </c>
      <c r="F1086" s="121">
        <v>8.25</v>
      </c>
      <c r="G1086" s="122">
        <f t="shared" si="38"/>
        <v>0</v>
      </c>
      <c r="H1086" s="123">
        <f>IF(AND(ISNUMBER(F1086), F1086&gt;4, COUNTIFS($A$2:A1086, A1086, $B$2:B1086, B1086, $C$2:C1086, C1086, $F$2:F1086, "&gt;4")=1), 1, 0)</f>
        <v>1</v>
      </c>
      <c r="I1086" s="10">
        <f t="shared" si="39"/>
        <v>1</v>
      </c>
      <c r="J1086" s="10"/>
      <c r="K1086" s="7"/>
      <c r="L1086" s="7"/>
      <c r="M1086" s="7"/>
      <c r="N1086" s="10"/>
      <c r="O1086" s="113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t="15.75" customHeight="1">
      <c r="A1087" s="10" t="s">
        <v>24</v>
      </c>
      <c r="B1087" s="7" t="s">
        <v>124</v>
      </c>
      <c r="C1087" s="135">
        <v>46254</v>
      </c>
      <c r="D1087" s="44" t="s">
        <v>220</v>
      </c>
      <c r="E1087" s="35" t="s">
        <v>705</v>
      </c>
      <c r="F1087" s="121">
        <v>7.72</v>
      </c>
      <c r="G1087" s="122">
        <f t="shared" si="38"/>
        <v>0</v>
      </c>
      <c r="H1087" s="123">
        <f>IF(AND(ISNUMBER(F1087), F1087&gt;4, COUNTIFS($A$2:A1087, A1087, $B$2:B1087, B1087, $C$2:C1087, C1087, $F$2:F1087, "&gt;4")=1), 1, 0)</f>
        <v>1</v>
      </c>
      <c r="I1087" s="10">
        <f t="shared" si="39"/>
        <v>1</v>
      </c>
      <c r="J1087" s="10"/>
      <c r="K1087" s="7"/>
      <c r="L1087" s="7"/>
      <c r="M1087" s="7"/>
      <c r="N1087" s="10"/>
      <c r="O1087" s="113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t="15.75" customHeight="1">
      <c r="A1088" s="10" t="s">
        <v>24</v>
      </c>
      <c r="B1088" s="7" t="s">
        <v>124</v>
      </c>
      <c r="C1088" s="135">
        <v>46255</v>
      </c>
      <c r="D1088" s="44" t="s">
        <v>220</v>
      </c>
      <c r="E1088" s="35" t="s">
        <v>504</v>
      </c>
      <c r="F1088" s="121">
        <v>8.18</v>
      </c>
      <c r="G1088" s="122">
        <f t="shared" si="38"/>
        <v>0</v>
      </c>
      <c r="H1088" s="123">
        <f>IF(AND(ISNUMBER(F1088), F1088&gt;4, COUNTIFS($A$2:A1088, A1088, $B$2:B1088, B1088, $C$2:C1088, C1088, $F$2:F1088, "&gt;4")=1), 1, 0)</f>
        <v>1</v>
      </c>
      <c r="I1088" s="10">
        <f t="shared" si="39"/>
        <v>1</v>
      </c>
      <c r="J1088" s="10"/>
      <c r="K1088" s="7"/>
      <c r="L1088" s="7"/>
      <c r="M1088" s="7"/>
      <c r="N1088" s="10"/>
      <c r="O1088" s="113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t="15.75" customHeight="1">
      <c r="A1089" s="10" t="s">
        <v>24</v>
      </c>
      <c r="B1089" s="7" t="s">
        <v>124</v>
      </c>
      <c r="C1089" s="135">
        <v>46256</v>
      </c>
      <c r="D1089" s="44" t="s">
        <v>220</v>
      </c>
      <c r="E1089" s="35" t="s">
        <v>239</v>
      </c>
      <c r="F1089" s="121">
        <v>8.07</v>
      </c>
      <c r="G1089" s="122">
        <f t="shared" si="38"/>
        <v>0</v>
      </c>
      <c r="H1089" s="123">
        <f>IF(AND(ISNUMBER(F1089), F1089&gt;4, COUNTIFS($A$2:A1089, A1089, $B$2:B1089, B1089, $C$2:C1089, C1089, $F$2:F1089, "&gt;4")=1), 1, 0)</f>
        <v>1</v>
      </c>
      <c r="I1089" s="10">
        <f t="shared" si="39"/>
        <v>1</v>
      </c>
      <c r="J1089" s="10"/>
      <c r="K1089" s="7"/>
      <c r="L1089" s="7"/>
      <c r="M1089" s="7"/>
      <c r="N1089" s="10"/>
      <c r="O1089" s="113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t="15.75" customHeight="1">
      <c r="A1090" s="10" t="s">
        <v>24</v>
      </c>
      <c r="B1090" s="7" t="s">
        <v>124</v>
      </c>
      <c r="C1090" s="135">
        <v>46257</v>
      </c>
      <c r="D1090" s="44" t="s">
        <v>220</v>
      </c>
      <c r="E1090" s="35" t="s">
        <v>207</v>
      </c>
      <c r="F1090" s="121">
        <v>8.1</v>
      </c>
      <c r="G1090" s="122">
        <f t="shared" ref="G1090:G1153" si="40">IF(AND(ISNUMBER(F1090), F1090&lt;=4), 1, 0)</f>
        <v>0</v>
      </c>
      <c r="H1090" s="123">
        <f>IF(AND(ISNUMBER(F1090), F1090&gt;4, COUNTIFS($A$2:A1090, A1090, $B$2:B1090, B1090, $C$2:C1090, C1090, $F$2:F1090, "&gt;4")=1), 1, 0)</f>
        <v>1</v>
      </c>
      <c r="I1090" s="10">
        <f t="shared" ref="I1090:I1153" si="41">IF(AND(ISNUMBER(F1090), F1090&gt;4, ISNUMBER(SEARCH("đêm", D1090))), 1, 0)</f>
        <v>1</v>
      </c>
      <c r="J1090" s="10"/>
      <c r="K1090" s="7"/>
      <c r="L1090" s="7"/>
      <c r="M1090" s="7"/>
      <c r="N1090" s="10"/>
      <c r="O1090" s="113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t="15.75" customHeight="1">
      <c r="A1091" s="10" t="s">
        <v>24</v>
      </c>
      <c r="B1091" s="7" t="s">
        <v>124</v>
      </c>
      <c r="C1091" s="135">
        <v>46258</v>
      </c>
      <c r="D1091" s="44" t="s">
        <v>220</v>
      </c>
      <c r="E1091" s="35" t="s">
        <v>207</v>
      </c>
      <c r="F1091" s="121">
        <v>8.1</v>
      </c>
      <c r="G1091" s="122">
        <f t="shared" si="40"/>
        <v>0</v>
      </c>
      <c r="H1091" s="123">
        <f>IF(AND(ISNUMBER(F1091), F1091&gt;4, COUNTIFS($A$2:A1091, A1091, $B$2:B1091, B1091, $C$2:C1091, C1091, $F$2:F1091, "&gt;4")=1), 1, 0)</f>
        <v>1</v>
      </c>
      <c r="I1091" s="10">
        <f t="shared" si="41"/>
        <v>1</v>
      </c>
      <c r="J1091" s="10"/>
      <c r="K1091" s="7"/>
      <c r="L1091" s="7"/>
      <c r="M1091" s="7"/>
      <c r="N1091" s="10"/>
      <c r="O1091" s="113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t="15.75" customHeight="1">
      <c r="A1092" s="10" t="s">
        <v>24</v>
      </c>
      <c r="B1092" s="7" t="s">
        <v>124</v>
      </c>
      <c r="C1092" s="135">
        <v>46259</v>
      </c>
      <c r="D1092" s="44" t="s">
        <v>220</v>
      </c>
      <c r="E1092" s="35" t="s">
        <v>288</v>
      </c>
      <c r="F1092" s="121">
        <v>8.0500000000000007</v>
      </c>
      <c r="G1092" s="122">
        <f t="shared" si="40"/>
        <v>0</v>
      </c>
      <c r="H1092" s="123">
        <f>IF(AND(ISNUMBER(F1092), F1092&gt;4, COUNTIFS($A$2:A1092, A1092, $B$2:B1092, B1092, $C$2:C1092, C1092, $F$2:F1092, "&gt;4")=1), 1, 0)</f>
        <v>1</v>
      </c>
      <c r="I1092" s="10">
        <f t="shared" si="41"/>
        <v>1</v>
      </c>
      <c r="J1092" s="10"/>
      <c r="K1092" s="7"/>
      <c r="L1092" s="7"/>
      <c r="M1092" s="7"/>
      <c r="N1092" s="10"/>
      <c r="O1092" s="113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t="15.75" customHeight="1">
      <c r="A1093" s="10" t="s">
        <v>24</v>
      </c>
      <c r="B1093" s="7" t="s">
        <v>124</v>
      </c>
      <c r="C1093" s="135">
        <v>46260</v>
      </c>
      <c r="D1093" s="44" t="s">
        <v>220</v>
      </c>
      <c r="E1093" s="35" t="s">
        <v>409</v>
      </c>
      <c r="F1093" s="121">
        <v>7.93</v>
      </c>
      <c r="G1093" s="122">
        <f t="shared" si="40"/>
        <v>0</v>
      </c>
      <c r="H1093" s="123">
        <f>IF(AND(ISNUMBER(F1093), F1093&gt;4, COUNTIFS($A$2:A1093, A1093, $B$2:B1093, B1093, $C$2:C1093, C1093, $F$2:F1093, "&gt;4")=1), 1, 0)</f>
        <v>1</v>
      </c>
      <c r="I1093" s="10">
        <f t="shared" si="41"/>
        <v>1</v>
      </c>
      <c r="J1093" s="10"/>
      <c r="K1093" s="7"/>
      <c r="L1093" s="7"/>
      <c r="M1093" s="7"/>
      <c r="N1093" s="10"/>
      <c r="O1093" s="113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t="15.75" customHeight="1">
      <c r="A1094" s="10" t="s">
        <v>24</v>
      </c>
      <c r="B1094" s="7" t="s">
        <v>124</v>
      </c>
      <c r="C1094" s="135">
        <v>46261</v>
      </c>
      <c r="D1094" s="44" t="s">
        <v>220</v>
      </c>
      <c r="E1094" s="35" t="s">
        <v>329</v>
      </c>
      <c r="F1094" s="121">
        <v>8.0299999999999994</v>
      </c>
      <c r="G1094" s="122">
        <f t="shared" si="40"/>
        <v>0</v>
      </c>
      <c r="H1094" s="123">
        <f>IF(AND(ISNUMBER(F1094), F1094&gt;4, COUNTIFS($A$2:A1094, A1094, $B$2:B1094, B1094, $C$2:C1094, C1094, $F$2:F1094, "&gt;4")=1), 1, 0)</f>
        <v>1</v>
      </c>
      <c r="I1094" s="10">
        <f t="shared" si="41"/>
        <v>1</v>
      </c>
      <c r="J1094" s="10"/>
      <c r="K1094" s="7"/>
      <c r="L1094" s="7"/>
      <c r="M1094" s="7"/>
      <c r="N1094" s="10"/>
      <c r="O1094" s="113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t="15.75" customHeight="1">
      <c r="A1095" s="10" t="s">
        <v>23</v>
      </c>
      <c r="B1095" s="7" t="s">
        <v>120</v>
      </c>
      <c r="C1095" s="135">
        <v>46237</v>
      </c>
      <c r="D1095" s="44" t="s">
        <v>200</v>
      </c>
      <c r="E1095" s="35" t="s">
        <v>706</v>
      </c>
      <c r="F1095" s="121">
        <v>1.32</v>
      </c>
      <c r="G1095" s="122">
        <f t="shared" si="40"/>
        <v>1</v>
      </c>
      <c r="H1095" s="123">
        <f>IF(AND(ISNUMBER(F1095), F1095&gt;4, COUNTIFS($A$2:A1095, A1095, $B$2:B1095, B1095, $C$2:C1095, C1095, $F$2:F1095, "&gt;4")=1), 1, 0)</f>
        <v>0</v>
      </c>
      <c r="I1095" s="10">
        <f t="shared" si="41"/>
        <v>0</v>
      </c>
      <c r="J1095" s="10"/>
      <c r="K1095" s="7"/>
      <c r="L1095" s="7"/>
      <c r="M1095" s="7"/>
      <c r="N1095" s="10"/>
      <c r="O1095" s="113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t="15.75" customHeight="1">
      <c r="A1096" s="10" t="s">
        <v>23</v>
      </c>
      <c r="B1096" s="7" t="s">
        <v>120</v>
      </c>
      <c r="C1096" s="135">
        <v>46238</v>
      </c>
      <c r="D1096" s="44" t="s">
        <v>200</v>
      </c>
      <c r="E1096" s="35" t="s">
        <v>707</v>
      </c>
      <c r="F1096" s="121">
        <v>0.72</v>
      </c>
      <c r="G1096" s="122">
        <f t="shared" si="40"/>
        <v>1</v>
      </c>
      <c r="H1096" s="123">
        <f>IF(AND(ISNUMBER(F1096), F1096&gt;4, COUNTIFS($A$2:A1096, A1096, $B$2:B1096, B1096, $C$2:C1096, C1096, $F$2:F1096, "&gt;4")=1), 1, 0)</f>
        <v>0</v>
      </c>
      <c r="I1096" s="10">
        <f t="shared" si="41"/>
        <v>0</v>
      </c>
      <c r="J1096" s="10"/>
      <c r="K1096" s="7"/>
      <c r="L1096" s="7"/>
      <c r="M1096" s="7"/>
      <c r="N1096" s="10"/>
      <c r="O1096" s="113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t="15.75" customHeight="1">
      <c r="A1097" s="10" t="s">
        <v>23</v>
      </c>
      <c r="B1097" s="7" t="s">
        <v>120</v>
      </c>
      <c r="C1097" s="135">
        <v>46243</v>
      </c>
      <c r="D1097" s="44" t="s">
        <v>200</v>
      </c>
      <c r="E1097" s="35" t="s">
        <v>625</v>
      </c>
      <c r="F1097" s="121">
        <v>0.62</v>
      </c>
      <c r="G1097" s="122">
        <f t="shared" si="40"/>
        <v>1</v>
      </c>
      <c r="H1097" s="123">
        <f>IF(AND(ISNUMBER(F1097), F1097&gt;4, COUNTIFS($A$2:A1097, A1097, $B$2:B1097, B1097, $C$2:C1097, C1097, $F$2:F1097, "&gt;4")=1), 1, 0)</f>
        <v>0</v>
      </c>
      <c r="I1097" s="10">
        <f t="shared" si="41"/>
        <v>0</v>
      </c>
      <c r="J1097" s="10"/>
      <c r="K1097" s="7"/>
      <c r="L1097" s="7"/>
      <c r="M1097" s="7"/>
      <c r="N1097" s="10"/>
      <c r="O1097" s="113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t="15.75" customHeight="1">
      <c r="A1098" s="10" t="s">
        <v>23</v>
      </c>
      <c r="B1098" s="7" t="s">
        <v>120</v>
      </c>
      <c r="C1098" s="135">
        <v>46244</v>
      </c>
      <c r="D1098" s="44" t="s">
        <v>200</v>
      </c>
      <c r="E1098" s="35" t="s">
        <v>708</v>
      </c>
      <c r="F1098" s="121">
        <v>0.42</v>
      </c>
      <c r="G1098" s="122">
        <f t="shared" si="40"/>
        <v>1</v>
      </c>
      <c r="H1098" s="123">
        <f>IF(AND(ISNUMBER(F1098), F1098&gt;4, COUNTIFS($A$2:A1098, A1098, $B$2:B1098, B1098, $C$2:C1098, C1098, $F$2:F1098, "&gt;4")=1), 1, 0)</f>
        <v>0</v>
      </c>
      <c r="I1098" s="10">
        <f t="shared" si="41"/>
        <v>0</v>
      </c>
      <c r="J1098" s="10"/>
      <c r="K1098" s="7"/>
      <c r="L1098" s="7"/>
      <c r="M1098" s="7"/>
      <c r="N1098" s="10"/>
      <c r="O1098" s="113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t="15.75" customHeight="1">
      <c r="A1099" s="10" t="s">
        <v>23</v>
      </c>
      <c r="B1099" s="7" t="s">
        <v>120</v>
      </c>
      <c r="C1099" s="135">
        <v>46246</v>
      </c>
      <c r="D1099" s="44" t="s">
        <v>200</v>
      </c>
      <c r="E1099" s="35" t="s">
        <v>709</v>
      </c>
      <c r="F1099" s="121">
        <v>0.48</v>
      </c>
      <c r="G1099" s="122">
        <f t="shared" si="40"/>
        <v>1</v>
      </c>
      <c r="H1099" s="123">
        <f>IF(AND(ISNUMBER(F1099), F1099&gt;4, COUNTIFS($A$2:A1099, A1099, $B$2:B1099, B1099, $C$2:C1099, C1099, $F$2:F1099, "&gt;4")=1), 1, 0)</f>
        <v>0</v>
      </c>
      <c r="I1099" s="10">
        <f t="shared" si="41"/>
        <v>0</v>
      </c>
      <c r="J1099" s="10"/>
      <c r="K1099" s="7"/>
      <c r="L1099" s="7"/>
      <c r="M1099" s="7"/>
      <c r="N1099" s="10"/>
      <c r="O1099" s="113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t="15.75" customHeight="1">
      <c r="A1100" s="10" t="s">
        <v>23</v>
      </c>
      <c r="B1100" s="7" t="s">
        <v>120</v>
      </c>
      <c r="C1100" s="135">
        <v>46250</v>
      </c>
      <c r="D1100" s="44" t="s">
        <v>200</v>
      </c>
      <c r="E1100" s="35" t="s">
        <v>707</v>
      </c>
      <c r="F1100" s="121">
        <v>0.72</v>
      </c>
      <c r="G1100" s="122">
        <f t="shared" si="40"/>
        <v>1</v>
      </c>
      <c r="H1100" s="123">
        <f>IF(AND(ISNUMBER(F1100), F1100&gt;4, COUNTIFS($A$2:A1100, A1100, $B$2:B1100, B1100, $C$2:C1100, C1100, $F$2:F1100, "&gt;4")=1), 1, 0)</f>
        <v>0</v>
      </c>
      <c r="I1100" s="10">
        <f t="shared" si="41"/>
        <v>0</v>
      </c>
      <c r="J1100" s="10"/>
      <c r="K1100" s="7"/>
      <c r="L1100" s="7"/>
      <c r="M1100" s="7"/>
      <c r="N1100" s="10"/>
      <c r="O1100" s="113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t="15.75" customHeight="1">
      <c r="A1101" s="10" t="s">
        <v>23</v>
      </c>
      <c r="B1101" s="7" t="s">
        <v>120</v>
      </c>
      <c r="C1101" s="135">
        <v>46251</v>
      </c>
      <c r="D1101" s="44" t="s">
        <v>200</v>
      </c>
      <c r="E1101" s="35" t="s">
        <v>710</v>
      </c>
      <c r="F1101" s="121">
        <v>0.27</v>
      </c>
      <c r="G1101" s="122">
        <f t="shared" si="40"/>
        <v>1</v>
      </c>
      <c r="H1101" s="123">
        <f>IF(AND(ISNUMBER(F1101), F1101&gt;4, COUNTIFS($A$2:A1101, A1101, $B$2:B1101, B1101, $C$2:C1101, C1101, $F$2:F1101, "&gt;4")=1), 1, 0)</f>
        <v>0</v>
      </c>
      <c r="I1101" s="10">
        <f t="shared" si="41"/>
        <v>0</v>
      </c>
      <c r="J1101" s="10"/>
      <c r="K1101" s="7"/>
      <c r="L1101" s="7"/>
      <c r="M1101" s="7"/>
      <c r="N1101" s="10"/>
      <c r="O1101" s="113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t="15.75" customHeight="1">
      <c r="A1102" s="10" t="s">
        <v>23</v>
      </c>
      <c r="B1102" s="7" t="s">
        <v>120</v>
      </c>
      <c r="C1102" s="135">
        <v>46257</v>
      </c>
      <c r="D1102" s="44" t="s">
        <v>200</v>
      </c>
      <c r="E1102" s="35" t="s">
        <v>711</v>
      </c>
      <c r="F1102" s="121">
        <v>0.37</v>
      </c>
      <c r="G1102" s="122">
        <f t="shared" si="40"/>
        <v>1</v>
      </c>
      <c r="H1102" s="123">
        <f>IF(AND(ISNUMBER(F1102), F1102&gt;4, COUNTIFS($A$2:A1102, A1102, $B$2:B1102, B1102, $C$2:C1102, C1102, $F$2:F1102, "&gt;4")=1), 1, 0)</f>
        <v>0</v>
      </c>
      <c r="I1102" s="10">
        <f t="shared" si="41"/>
        <v>0</v>
      </c>
      <c r="J1102" s="10"/>
      <c r="K1102" s="7"/>
      <c r="L1102" s="7"/>
      <c r="M1102" s="7"/>
      <c r="N1102" s="10"/>
      <c r="O1102" s="113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t="15.75" customHeight="1">
      <c r="A1103" s="10" t="s">
        <v>23</v>
      </c>
      <c r="B1103" s="7" t="s">
        <v>120</v>
      </c>
      <c r="C1103" s="135">
        <v>46258</v>
      </c>
      <c r="D1103" s="44" t="s">
        <v>200</v>
      </c>
      <c r="E1103" s="35" t="s">
        <v>580</v>
      </c>
      <c r="F1103" s="121">
        <v>0.32</v>
      </c>
      <c r="G1103" s="122">
        <f t="shared" si="40"/>
        <v>1</v>
      </c>
      <c r="H1103" s="123">
        <f>IF(AND(ISNUMBER(F1103), F1103&gt;4, COUNTIFS($A$2:A1103, A1103, $B$2:B1103, B1103, $C$2:C1103, C1103, $F$2:F1103, "&gt;4")=1), 1, 0)</f>
        <v>0</v>
      </c>
      <c r="I1103" s="10">
        <f t="shared" si="41"/>
        <v>0</v>
      </c>
      <c r="J1103" s="10"/>
      <c r="K1103" s="7"/>
      <c r="L1103" s="7"/>
      <c r="M1103" s="7"/>
      <c r="N1103" s="10"/>
      <c r="O1103" s="113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t="15.75" customHeight="1">
      <c r="A1104" s="10" t="s">
        <v>23</v>
      </c>
      <c r="B1104" s="7" t="s">
        <v>120</v>
      </c>
      <c r="C1104" s="135">
        <v>46260</v>
      </c>
      <c r="D1104" s="44" t="s">
        <v>200</v>
      </c>
      <c r="E1104" s="35" t="s">
        <v>710</v>
      </c>
      <c r="F1104" s="121">
        <v>0.27</v>
      </c>
      <c r="G1104" s="122">
        <f t="shared" si="40"/>
        <v>1</v>
      </c>
      <c r="H1104" s="123">
        <f>IF(AND(ISNUMBER(F1104), F1104&gt;4, COUNTIFS($A$2:A1104, A1104, $B$2:B1104, B1104, $C$2:C1104, C1104, $F$2:F1104, "&gt;4")=1), 1, 0)</f>
        <v>0</v>
      </c>
      <c r="I1104" s="10">
        <f t="shared" si="41"/>
        <v>0</v>
      </c>
      <c r="J1104" s="10"/>
      <c r="K1104" s="7"/>
      <c r="L1104" s="7"/>
      <c r="M1104" s="7"/>
      <c r="N1104" s="10"/>
      <c r="O1104" s="113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t="15.75" customHeight="1">
      <c r="A1105" s="10" t="s">
        <v>23</v>
      </c>
      <c r="B1105" s="7" t="s">
        <v>120</v>
      </c>
      <c r="C1105" s="135">
        <v>46261</v>
      </c>
      <c r="D1105" s="44" t="s">
        <v>200</v>
      </c>
      <c r="E1105" s="35" t="s">
        <v>676</v>
      </c>
      <c r="F1105" s="121">
        <v>0.43</v>
      </c>
      <c r="G1105" s="122">
        <f t="shared" si="40"/>
        <v>1</v>
      </c>
      <c r="H1105" s="123">
        <f>IF(AND(ISNUMBER(F1105), F1105&gt;4, COUNTIFS($A$2:A1105, A1105, $B$2:B1105, B1105, $C$2:C1105, C1105, $F$2:F1105, "&gt;4")=1), 1, 0)</f>
        <v>0</v>
      </c>
      <c r="I1105" s="10">
        <f t="shared" si="41"/>
        <v>0</v>
      </c>
      <c r="J1105" s="10"/>
      <c r="K1105" s="7"/>
      <c r="L1105" s="7"/>
      <c r="M1105" s="7"/>
      <c r="N1105" s="10"/>
      <c r="O1105" s="113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t="15.75" customHeight="1">
      <c r="A1106" s="10" t="s">
        <v>23</v>
      </c>
      <c r="B1106" s="7" t="s">
        <v>120</v>
      </c>
      <c r="C1106" s="135">
        <v>46262</v>
      </c>
      <c r="D1106" s="44" t="s">
        <v>200</v>
      </c>
      <c r="E1106" s="35" t="s">
        <v>708</v>
      </c>
      <c r="F1106" s="121">
        <v>0.42</v>
      </c>
      <c r="G1106" s="122">
        <f t="shared" si="40"/>
        <v>1</v>
      </c>
      <c r="H1106" s="123">
        <f>IF(AND(ISNUMBER(F1106), F1106&gt;4, COUNTIFS($A$2:A1106, A1106, $B$2:B1106, B1106, $C$2:C1106, C1106, $F$2:F1106, "&gt;4")=1), 1, 0)</f>
        <v>0</v>
      </c>
      <c r="I1106" s="10">
        <f t="shared" si="41"/>
        <v>0</v>
      </c>
      <c r="J1106" s="10"/>
      <c r="K1106" s="7"/>
      <c r="L1106" s="7"/>
      <c r="M1106" s="7"/>
      <c r="N1106" s="10"/>
      <c r="O1106" s="113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t="15.75" customHeight="1">
      <c r="A1107" s="10" t="s">
        <v>23</v>
      </c>
      <c r="B1107" s="7" t="s">
        <v>120</v>
      </c>
      <c r="C1107" s="135">
        <v>46250</v>
      </c>
      <c r="D1107" s="44" t="s">
        <v>208</v>
      </c>
      <c r="E1107" s="35" t="s">
        <v>712</v>
      </c>
      <c r="F1107" s="121">
        <v>0.83</v>
      </c>
      <c r="G1107" s="122">
        <f t="shared" si="40"/>
        <v>1</v>
      </c>
      <c r="H1107" s="123">
        <f>IF(AND(ISNUMBER(F1107), F1107&gt;4, COUNTIFS($A$2:A1107, A1107, $B$2:B1107, B1107, $C$2:C1107, C1107, $F$2:F1107, "&gt;4")=1), 1, 0)</f>
        <v>0</v>
      </c>
      <c r="I1107" s="10">
        <f t="shared" si="41"/>
        <v>0</v>
      </c>
      <c r="J1107" s="10"/>
      <c r="K1107" s="7"/>
      <c r="L1107" s="7"/>
      <c r="M1107" s="7"/>
      <c r="N1107" s="10"/>
      <c r="O1107" s="113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t="15.75" customHeight="1">
      <c r="A1108" s="10" t="s">
        <v>23</v>
      </c>
      <c r="B1108" s="7" t="s">
        <v>120</v>
      </c>
      <c r="C1108" s="135">
        <v>46256</v>
      </c>
      <c r="D1108" s="44" t="s">
        <v>208</v>
      </c>
      <c r="E1108" s="35" t="s">
        <v>713</v>
      </c>
      <c r="F1108" s="121">
        <v>0.87</v>
      </c>
      <c r="G1108" s="122">
        <f t="shared" si="40"/>
        <v>1</v>
      </c>
      <c r="H1108" s="123">
        <f>IF(AND(ISNUMBER(F1108), F1108&gt;4, COUNTIFS($A$2:A1108, A1108, $B$2:B1108, B1108, $C$2:C1108, C1108, $F$2:F1108, "&gt;4")=1), 1, 0)</f>
        <v>0</v>
      </c>
      <c r="I1108" s="10">
        <f t="shared" si="41"/>
        <v>0</v>
      </c>
      <c r="J1108" s="10"/>
      <c r="K1108" s="7"/>
      <c r="L1108" s="7"/>
      <c r="M1108" s="7"/>
      <c r="N1108" s="10"/>
      <c r="O1108" s="113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t="15.75" customHeight="1">
      <c r="A1109" s="10" t="s">
        <v>23</v>
      </c>
      <c r="B1109" s="7" t="s">
        <v>120</v>
      </c>
      <c r="C1109" s="135">
        <v>46257</v>
      </c>
      <c r="D1109" s="44" t="s">
        <v>208</v>
      </c>
      <c r="E1109" s="35" t="s">
        <v>669</v>
      </c>
      <c r="F1109" s="121">
        <v>0.9</v>
      </c>
      <c r="G1109" s="122">
        <f t="shared" si="40"/>
        <v>1</v>
      </c>
      <c r="H1109" s="123">
        <f>IF(AND(ISNUMBER(F1109), F1109&gt;4, COUNTIFS($A$2:A1109, A1109, $B$2:B1109, B1109, $C$2:C1109, C1109, $F$2:F1109, "&gt;4")=1), 1, 0)</f>
        <v>0</v>
      </c>
      <c r="I1109" s="10">
        <f t="shared" si="41"/>
        <v>0</v>
      </c>
      <c r="J1109" s="10"/>
      <c r="K1109" s="7"/>
      <c r="L1109" s="7"/>
      <c r="M1109" s="7"/>
      <c r="N1109" s="10"/>
      <c r="O1109" s="113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t="15.75" customHeight="1">
      <c r="A1110" s="10" t="s">
        <v>23</v>
      </c>
      <c r="B1110" s="7" t="s">
        <v>120</v>
      </c>
      <c r="C1110" s="135">
        <v>46236</v>
      </c>
      <c r="D1110" s="44" t="s">
        <v>210</v>
      </c>
      <c r="E1110" s="35" t="s">
        <v>479</v>
      </c>
      <c r="F1110" s="121">
        <v>8.02</v>
      </c>
      <c r="G1110" s="122">
        <f t="shared" si="40"/>
        <v>0</v>
      </c>
      <c r="H1110" s="123">
        <f>IF(AND(ISNUMBER(F1110), F1110&gt;4, COUNTIFS($A$2:A1110, A1110, $B$2:B1110, B1110, $C$2:C1110, C1110, $F$2:F1110, "&gt;4")=1), 1, 0)</f>
        <v>1</v>
      </c>
      <c r="I1110" s="10">
        <f t="shared" si="41"/>
        <v>1</v>
      </c>
      <c r="J1110" s="10"/>
      <c r="K1110" s="7"/>
      <c r="L1110" s="7"/>
      <c r="M1110" s="7"/>
      <c r="N1110" s="10"/>
      <c r="O1110" s="113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t="15.75" customHeight="1">
      <c r="A1111" s="10" t="s">
        <v>23</v>
      </c>
      <c r="B1111" s="7" t="s">
        <v>120</v>
      </c>
      <c r="C1111" s="135">
        <v>46237</v>
      </c>
      <c r="D1111" s="44" t="s">
        <v>210</v>
      </c>
      <c r="E1111" s="35" t="s">
        <v>483</v>
      </c>
      <c r="F1111" s="121">
        <v>7.92</v>
      </c>
      <c r="G1111" s="122">
        <f t="shared" si="40"/>
        <v>0</v>
      </c>
      <c r="H1111" s="123">
        <f>IF(AND(ISNUMBER(F1111), F1111&gt;4, COUNTIFS($A$2:A1111, A1111, $B$2:B1111, B1111, $C$2:C1111, C1111, $F$2:F1111, "&gt;4")=1), 1, 0)</f>
        <v>1</v>
      </c>
      <c r="I1111" s="10">
        <f t="shared" si="41"/>
        <v>1</v>
      </c>
      <c r="J1111" s="10"/>
      <c r="K1111" s="7"/>
      <c r="L1111" s="7"/>
      <c r="M1111" s="7"/>
      <c r="N1111" s="10"/>
      <c r="O1111" s="113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t="15.75" customHeight="1">
      <c r="A1112" s="10" t="s">
        <v>23</v>
      </c>
      <c r="B1112" s="7" t="s">
        <v>120</v>
      </c>
      <c r="C1112" s="135">
        <v>46242</v>
      </c>
      <c r="D1112" s="44" t="s">
        <v>210</v>
      </c>
      <c r="E1112" s="35" t="s">
        <v>303</v>
      </c>
      <c r="F1112" s="121">
        <v>7.83</v>
      </c>
      <c r="G1112" s="122">
        <f t="shared" si="40"/>
        <v>0</v>
      </c>
      <c r="H1112" s="123">
        <f>IF(AND(ISNUMBER(F1112), F1112&gt;4, COUNTIFS($A$2:A1112, A1112, $B$2:B1112, B1112, $C$2:C1112, C1112, $F$2:F1112, "&gt;4")=1), 1, 0)</f>
        <v>1</v>
      </c>
      <c r="I1112" s="10">
        <f t="shared" si="41"/>
        <v>1</v>
      </c>
      <c r="J1112" s="10"/>
      <c r="K1112" s="7"/>
      <c r="L1112" s="7"/>
      <c r="M1112" s="7"/>
      <c r="N1112" s="10"/>
      <c r="O1112" s="113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t="15.75" customHeight="1">
      <c r="A1113" s="10" t="s">
        <v>23</v>
      </c>
      <c r="B1113" s="7" t="s">
        <v>120</v>
      </c>
      <c r="C1113" s="135">
        <v>46243</v>
      </c>
      <c r="D1113" s="44" t="s">
        <v>210</v>
      </c>
      <c r="E1113" s="35" t="s">
        <v>477</v>
      </c>
      <c r="F1113" s="121">
        <v>7.88</v>
      </c>
      <c r="G1113" s="122">
        <f t="shared" si="40"/>
        <v>0</v>
      </c>
      <c r="H1113" s="123">
        <f>IF(AND(ISNUMBER(F1113), F1113&gt;4, COUNTIFS($A$2:A1113, A1113, $B$2:B1113, B1113, $C$2:C1113, C1113, $F$2:F1113, "&gt;4")=1), 1, 0)</f>
        <v>1</v>
      </c>
      <c r="I1113" s="10">
        <f t="shared" si="41"/>
        <v>1</v>
      </c>
      <c r="J1113" s="10"/>
      <c r="K1113" s="7"/>
      <c r="L1113" s="7"/>
      <c r="M1113" s="7"/>
      <c r="N1113" s="10"/>
      <c r="O1113" s="113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t="15.75" customHeight="1">
      <c r="A1114" s="10" t="s">
        <v>23</v>
      </c>
      <c r="B1114" s="7" t="s">
        <v>120</v>
      </c>
      <c r="C1114" s="135">
        <v>46244</v>
      </c>
      <c r="D1114" s="44" t="s">
        <v>210</v>
      </c>
      <c r="E1114" s="35" t="s">
        <v>481</v>
      </c>
      <c r="F1114" s="121">
        <v>7.98</v>
      </c>
      <c r="G1114" s="122">
        <f t="shared" si="40"/>
        <v>0</v>
      </c>
      <c r="H1114" s="123">
        <f>IF(AND(ISNUMBER(F1114), F1114&gt;4, COUNTIFS($A$2:A1114, A1114, $B$2:B1114, B1114, $C$2:C1114, C1114, $F$2:F1114, "&gt;4")=1), 1, 0)</f>
        <v>1</v>
      </c>
      <c r="I1114" s="10">
        <f t="shared" si="41"/>
        <v>1</v>
      </c>
      <c r="J1114" s="10"/>
      <c r="K1114" s="7"/>
      <c r="L1114" s="7"/>
      <c r="M1114" s="7"/>
      <c r="N1114" s="10"/>
      <c r="O1114" s="113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t="15.75" customHeight="1">
      <c r="A1115" s="10" t="s">
        <v>23</v>
      </c>
      <c r="B1115" s="7" t="s">
        <v>120</v>
      </c>
      <c r="C1115" s="135">
        <v>46245</v>
      </c>
      <c r="D1115" s="44" t="s">
        <v>210</v>
      </c>
      <c r="E1115" s="35" t="s">
        <v>303</v>
      </c>
      <c r="F1115" s="121">
        <v>7.83</v>
      </c>
      <c r="G1115" s="122">
        <f t="shared" si="40"/>
        <v>0</v>
      </c>
      <c r="H1115" s="123">
        <f>IF(AND(ISNUMBER(F1115), F1115&gt;4, COUNTIFS($A$2:A1115, A1115, $B$2:B1115, B1115, $C$2:C1115, C1115, $F$2:F1115, "&gt;4")=1), 1, 0)</f>
        <v>1</v>
      </c>
      <c r="I1115" s="10">
        <f t="shared" si="41"/>
        <v>1</v>
      </c>
      <c r="J1115" s="10"/>
      <c r="K1115" s="7"/>
      <c r="L1115" s="7"/>
      <c r="M1115" s="7"/>
      <c r="N1115" s="10"/>
      <c r="O1115" s="113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t="15.75" customHeight="1">
      <c r="A1116" s="10" t="s">
        <v>23</v>
      </c>
      <c r="B1116" s="7" t="s">
        <v>120</v>
      </c>
      <c r="C1116" s="135">
        <v>46246</v>
      </c>
      <c r="D1116" s="44" t="s">
        <v>210</v>
      </c>
      <c r="E1116" s="35" t="s">
        <v>477</v>
      </c>
      <c r="F1116" s="121">
        <v>7.88</v>
      </c>
      <c r="G1116" s="122">
        <f t="shared" si="40"/>
        <v>0</v>
      </c>
      <c r="H1116" s="123">
        <f>IF(AND(ISNUMBER(F1116), F1116&gt;4, COUNTIFS($A$2:A1116, A1116, $B$2:B1116, B1116, $C$2:C1116, C1116, $F$2:F1116, "&gt;4")=1), 1, 0)</f>
        <v>1</v>
      </c>
      <c r="I1116" s="10">
        <f t="shared" si="41"/>
        <v>1</v>
      </c>
      <c r="J1116" s="10"/>
      <c r="K1116" s="7"/>
      <c r="L1116" s="7"/>
      <c r="M1116" s="7"/>
      <c r="N1116" s="10"/>
      <c r="O1116" s="113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t="15.75" customHeight="1">
      <c r="A1117" s="10" t="s">
        <v>23</v>
      </c>
      <c r="B1117" s="7" t="s">
        <v>120</v>
      </c>
      <c r="C1117" s="135">
        <v>46247</v>
      </c>
      <c r="D1117" s="44" t="s">
        <v>210</v>
      </c>
      <c r="E1117" s="35" t="s">
        <v>479</v>
      </c>
      <c r="F1117" s="121">
        <v>8.02</v>
      </c>
      <c r="G1117" s="122">
        <f t="shared" si="40"/>
        <v>0</v>
      </c>
      <c r="H1117" s="123">
        <f>IF(AND(ISNUMBER(F1117), F1117&gt;4, COUNTIFS($A$2:A1117, A1117, $B$2:B1117, B1117, $C$2:C1117, C1117, $F$2:F1117, "&gt;4")=1), 1, 0)</f>
        <v>1</v>
      </c>
      <c r="I1117" s="10">
        <f t="shared" si="41"/>
        <v>1</v>
      </c>
      <c r="J1117" s="10"/>
      <c r="K1117" s="7"/>
      <c r="L1117" s="7"/>
      <c r="M1117" s="7"/>
      <c r="N1117" s="10"/>
      <c r="O1117" s="113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t="15.75" customHeight="1">
      <c r="A1118" s="10" t="s">
        <v>23</v>
      </c>
      <c r="B1118" s="7" t="s">
        <v>120</v>
      </c>
      <c r="C1118" s="135">
        <v>46248</v>
      </c>
      <c r="D1118" s="44" t="s">
        <v>210</v>
      </c>
      <c r="E1118" s="35" t="s">
        <v>480</v>
      </c>
      <c r="F1118" s="121">
        <v>7.97</v>
      </c>
      <c r="G1118" s="122">
        <f t="shared" si="40"/>
        <v>0</v>
      </c>
      <c r="H1118" s="123">
        <f>IF(AND(ISNUMBER(F1118), F1118&gt;4, COUNTIFS($A$2:A1118, A1118, $B$2:B1118, B1118, $C$2:C1118, C1118, $F$2:F1118, "&gt;4")=1), 1, 0)</f>
        <v>1</v>
      </c>
      <c r="I1118" s="10">
        <f t="shared" si="41"/>
        <v>1</v>
      </c>
      <c r="J1118" s="10"/>
      <c r="K1118" s="7"/>
      <c r="L1118" s="7"/>
      <c r="M1118" s="7"/>
      <c r="N1118" s="10"/>
      <c r="O1118" s="113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t="15.75" customHeight="1">
      <c r="A1119" s="10" t="s">
        <v>23</v>
      </c>
      <c r="B1119" s="7" t="s">
        <v>120</v>
      </c>
      <c r="C1119" s="135">
        <v>46249</v>
      </c>
      <c r="D1119" s="44" t="s">
        <v>210</v>
      </c>
      <c r="E1119" s="35" t="s">
        <v>348</v>
      </c>
      <c r="F1119" s="121">
        <v>7.95</v>
      </c>
      <c r="G1119" s="122">
        <f t="shared" si="40"/>
        <v>0</v>
      </c>
      <c r="H1119" s="123">
        <f>IF(AND(ISNUMBER(F1119), F1119&gt;4, COUNTIFS($A$2:A1119, A1119, $B$2:B1119, B1119, $C$2:C1119, C1119, $F$2:F1119, "&gt;4")=1), 1, 0)</f>
        <v>1</v>
      </c>
      <c r="I1119" s="10">
        <f t="shared" si="41"/>
        <v>1</v>
      </c>
      <c r="J1119" s="10"/>
      <c r="K1119" s="7"/>
      <c r="L1119" s="7"/>
      <c r="M1119" s="7"/>
      <c r="N1119" s="10"/>
      <c r="O1119" s="113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t="15.75" customHeight="1">
      <c r="A1120" s="10" t="s">
        <v>23</v>
      </c>
      <c r="B1120" s="7" t="s">
        <v>120</v>
      </c>
      <c r="C1120" s="135">
        <v>46250</v>
      </c>
      <c r="D1120" s="44" t="s">
        <v>210</v>
      </c>
      <c r="E1120" s="35" t="s">
        <v>199</v>
      </c>
      <c r="F1120" s="121">
        <v>8</v>
      </c>
      <c r="G1120" s="122">
        <f t="shared" si="40"/>
        <v>0</v>
      </c>
      <c r="H1120" s="123">
        <f>IF(AND(ISNUMBER(F1120), F1120&gt;4, COUNTIFS($A$2:A1120, A1120, $B$2:B1120, B1120, $C$2:C1120, C1120, $F$2:F1120, "&gt;4")=1), 1, 0)</f>
        <v>1</v>
      </c>
      <c r="I1120" s="10">
        <f t="shared" si="41"/>
        <v>1</v>
      </c>
      <c r="J1120" s="10"/>
      <c r="K1120" s="7"/>
      <c r="L1120" s="7"/>
      <c r="M1120" s="7"/>
      <c r="N1120" s="10"/>
      <c r="O1120" s="113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t="15.75" customHeight="1">
      <c r="A1121" s="10" t="s">
        <v>23</v>
      </c>
      <c r="B1121" s="7" t="s">
        <v>120</v>
      </c>
      <c r="C1121" s="135">
        <v>46251</v>
      </c>
      <c r="D1121" s="44" t="s">
        <v>210</v>
      </c>
      <c r="E1121" s="35" t="s">
        <v>480</v>
      </c>
      <c r="F1121" s="121">
        <v>7.97</v>
      </c>
      <c r="G1121" s="122">
        <f t="shared" si="40"/>
        <v>0</v>
      </c>
      <c r="H1121" s="123">
        <f>IF(AND(ISNUMBER(F1121), F1121&gt;4, COUNTIFS($A$2:A1121, A1121, $B$2:B1121, B1121, $C$2:C1121, C1121, $F$2:F1121, "&gt;4")=1), 1, 0)</f>
        <v>1</v>
      </c>
      <c r="I1121" s="10">
        <f t="shared" si="41"/>
        <v>1</v>
      </c>
      <c r="J1121" s="10"/>
      <c r="K1121" s="7"/>
      <c r="L1121" s="7"/>
      <c r="M1121" s="7"/>
      <c r="N1121" s="10"/>
      <c r="O1121" s="113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t="15.75" customHeight="1">
      <c r="A1122" s="10" t="s">
        <v>23</v>
      </c>
      <c r="B1122" s="7" t="s">
        <v>120</v>
      </c>
      <c r="C1122" s="135">
        <v>46252</v>
      </c>
      <c r="D1122" s="44" t="s">
        <v>210</v>
      </c>
      <c r="E1122" s="35" t="s">
        <v>199</v>
      </c>
      <c r="F1122" s="121">
        <v>8</v>
      </c>
      <c r="G1122" s="122">
        <f t="shared" si="40"/>
        <v>0</v>
      </c>
      <c r="H1122" s="123">
        <f>IF(AND(ISNUMBER(F1122), F1122&gt;4, COUNTIFS($A$2:A1122, A1122, $B$2:B1122, B1122, $C$2:C1122, C1122, $F$2:F1122, "&gt;4")=1), 1, 0)</f>
        <v>1</v>
      </c>
      <c r="I1122" s="10">
        <f t="shared" si="41"/>
        <v>1</v>
      </c>
      <c r="J1122" s="10"/>
      <c r="K1122" s="7"/>
      <c r="L1122" s="7"/>
      <c r="M1122" s="7"/>
      <c r="N1122" s="10"/>
      <c r="O1122" s="113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t="15.75" customHeight="1">
      <c r="A1123" s="10" t="s">
        <v>23</v>
      </c>
      <c r="B1123" s="7" t="s">
        <v>120</v>
      </c>
      <c r="C1123" s="135">
        <v>46253</v>
      </c>
      <c r="D1123" s="44" t="s">
        <v>210</v>
      </c>
      <c r="E1123" s="35" t="s">
        <v>480</v>
      </c>
      <c r="F1123" s="121">
        <v>7.97</v>
      </c>
      <c r="G1123" s="122">
        <f t="shared" si="40"/>
        <v>0</v>
      </c>
      <c r="H1123" s="123">
        <f>IF(AND(ISNUMBER(F1123), F1123&gt;4, COUNTIFS($A$2:A1123, A1123, $B$2:B1123, B1123, $C$2:C1123, C1123, $F$2:F1123, "&gt;4")=1), 1, 0)</f>
        <v>1</v>
      </c>
      <c r="I1123" s="10">
        <f t="shared" si="41"/>
        <v>1</v>
      </c>
      <c r="J1123" s="10"/>
      <c r="K1123" s="7"/>
      <c r="L1123" s="7"/>
      <c r="M1123" s="7"/>
      <c r="N1123" s="10"/>
      <c r="O1123" s="113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t="15.75" customHeight="1">
      <c r="A1124" s="10" t="s">
        <v>23</v>
      </c>
      <c r="B1124" s="7" t="s">
        <v>120</v>
      </c>
      <c r="C1124" s="135">
        <v>46254</v>
      </c>
      <c r="D1124" s="44" t="s">
        <v>210</v>
      </c>
      <c r="E1124" s="35" t="s">
        <v>480</v>
      </c>
      <c r="F1124" s="121">
        <v>7.97</v>
      </c>
      <c r="G1124" s="122">
        <f t="shared" si="40"/>
        <v>0</v>
      </c>
      <c r="H1124" s="123">
        <f>IF(AND(ISNUMBER(F1124), F1124&gt;4, COUNTIFS($A$2:A1124, A1124, $B$2:B1124, B1124, $C$2:C1124, C1124, $F$2:F1124, "&gt;4")=1), 1, 0)</f>
        <v>1</v>
      </c>
      <c r="I1124" s="10">
        <f t="shared" si="41"/>
        <v>1</v>
      </c>
      <c r="J1124" s="10"/>
      <c r="K1124" s="7"/>
      <c r="L1124" s="7"/>
      <c r="M1124" s="7"/>
      <c r="N1124" s="10"/>
      <c r="O1124" s="113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t="15.75" customHeight="1">
      <c r="A1125" s="10" t="s">
        <v>23</v>
      </c>
      <c r="B1125" s="7" t="s">
        <v>120</v>
      </c>
      <c r="C1125" s="135">
        <v>46255</v>
      </c>
      <c r="D1125" s="44" t="s">
        <v>210</v>
      </c>
      <c r="E1125" s="35" t="s">
        <v>409</v>
      </c>
      <c r="F1125" s="121">
        <v>7.93</v>
      </c>
      <c r="G1125" s="122">
        <f t="shared" si="40"/>
        <v>0</v>
      </c>
      <c r="H1125" s="123">
        <f>IF(AND(ISNUMBER(F1125), F1125&gt;4, COUNTIFS($A$2:A1125, A1125, $B$2:B1125, B1125, $C$2:C1125, C1125, $F$2:F1125, "&gt;4")=1), 1, 0)</f>
        <v>1</v>
      </c>
      <c r="I1125" s="10">
        <f t="shared" si="41"/>
        <v>1</v>
      </c>
      <c r="J1125" s="10"/>
      <c r="K1125" s="7"/>
      <c r="L1125" s="7"/>
      <c r="M1125" s="7"/>
      <c r="N1125" s="10"/>
      <c r="O1125" s="113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t="15.75" customHeight="1">
      <c r="A1126" s="10" t="s">
        <v>23</v>
      </c>
      <c r="B1126" s="7" t="s">
        <v>120</v>
      </c>
      <c r="C1126" s="135">
        <v>46256</v>
      </c>
      <c r="D1126" s="44" t="s">
        <v>210</v>
      </c>
      <c r="E1126" s="35" t="s">
        <v>481</v>
      </c>
      <c r="F1126" s="121">
        <v>7.98</v>
      </c>
      <c r="G1126" s="122">
        <f t="shared" si="40"/>
        <v>0</v>
      </c>
      <c r="H1126" s="123">
        <f>IF(AND(ISNUMBER(F1126), F1126&gt;4, COUNTIFS($A$2:A1126, A1126, $B$2:B1126, B1126, $C$2:C1126, C1126, $F$2:F1126, "&gt;4")=1), 1, 0)</f>
        <v>1</v>
      </c>
      <c r="I1126" s="10">
        <f t="shared" si="41"/>
        <v>1</v>
      </c>
      <c r="J1126" s="10"/>
      <c r="K1126" s="7"/>
      <c r="L1126" s="7"/>
      <c r="M1126" s="7"/>
      <c r="N1126" s="10"/>
      <c r="O1126" s="113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t="15.75" customHeight="1">
      <c r="A1127" s="10" t="s">
        <v>23</v>
      </c>
      <c r="B1127" s="7" t="s">
        <v>120</v>
      </c>
      <c r="C1127" s="135">
        <v>46257</v>
      </c>
      <c r="D1127" s="44" t="s">
        <v>210</v>
      </c>
      <c r="E1127" s="35" t="s">
        <v>348</v>
      </c>
      <c r="F1127" s="121">
        <v>7.95</v>
      </c>
      <c r="G1127" s="122">
        <f t="shared" si="40"/>
        <v>0</v>
      </c>
      <c r="H1127" s="123">
        <f>IF(AND(ISNUMBER(F1127), F1127&gt;4, COUNTIFS($A$2:A1127, A1127, $B$2:B1127, B1127, $C$2:C1127, C1127, $F$2:F1127, "&gt;4")=1), 1, 0)</f>
        <v>1</v>
      </c>
      <c r="I1127" s="10">
        <f t="shared" si="41"/>
        <v>1</v>
      </c>
      <c r="J1127" s="10"/>
      <c r="K1127" s="7"/>
      <c r="L1127" s="7"/>
      <c r="M1127" s="7"/>
      <c r="N1127" s="10"/>
      <c r="O1127" s="113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t="15.75" customHeight="1">
      <c r="A1128" s="10" t="s">
        <v>23</v>
      </c>
      <c r="B1128" s="7" t="s">
        <v>120</v>
      </c>
      <c r="C1128" s="135">
        <v>46258</v>
      </c>
      <c r="D1128" s="44" t="s">
        <v>210</v>
      </c>
      <c r="E1128" s="35" t="s">
        <v>409</v>
      </c>
      <c r="F1128" s="121">
        <v>7.93</v>
      </c>
      <c r="G1128" s="122">
        <f t="shared" si="40"/>
        <v>0</v>
      </c>
      <c r="H1128" s="123">
        <f>IF(AND(ISNUMBER(F1128), F1128&gt;4, COUNTIFS($A$2:A1128, A1128, $B$2:B1128, B1128, $C$2:C1128, C1128, $F$2:F1128, "&gt;4")=1), 1, 0)</f>
        <v>1</v>
      </c>
      <c r="I1128" s="10">
        <f t="shared" si="41"/>
        <v>1</v>
      </c>
      <c r="J1128" s="10"/>
      <c r="K1128" s="7"/>
      <c r="L1128" s="7"/>
      <c r="M1128" s="7"/>
      <c r="N1128" s="10"/>
      <c r="O1128" s="113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t="15.75" customHeight="1">
      <c r="A1129" s="10" t="s">
        <v>23</v>
      </c>
      <c r="B1129" s="7" t="s">
        <v>120</v>
      </c>
      <c r="C1129" s="135">
        <v>46259</v>
      </c>
      <c r="D1129" s="44" t="s">
        <v>210</v>
      </c>
      <c r="E1129" s="35" t="s">
        <v>480</v>
      </c>
      <c r="F1129" s="121">
        <v>7.97</v>
      </c>
      <c r="G1129" s="122">
        <f t="shared" si="40"/>
        <v>0</v>
      </c>
      <c r="H1129" s="123">
        <f>IF(AND(ISNUMBER(F1129), F1129&gt;4, COUNTIFS($A$2:A1129, A1129, $B$2:B1129, B1129, $C$2:C1129, C1129, $F$2:F1129, "&gt;4")=1), 1, 0)</f>
        <v>1</v>
      </c>
      <c r="I1129" s="10">
        <f t="shared" si="41"/>
        <v>1</v>
      </c>
      <c r="J1129" s="10"/>
      <c r="K1129" s="7"/>
      <c r="L1129" s="7"/>
      <c r="M1129" s="7"/>
      <c r="N1129" s="10"/>
      <c r="O1129" s="113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t="15.75" customHeight="1">
      <c r="A1130" s="10" t="s">
        <v>23</v>
      </c>
      <c r="B1130" s="7" t="s">
        <v>120</v>
      </c>
      <c r="C1130" s="135">
        <v>46260</v>
      </c>
      <c r="D1130" s="44" t="s">
        <v>210</v>
      </c>
      <c r="E1130" s="35" t="s">
        <v>475</v>
      </c>
      <c r="F1130" s="121">
        <v>7.87</v>
      </c>
      <c r="G1130" s="122">
        <f t="shared" si="40"/>
        <v>0</v>
      </c>
      <c r="H1130" s="123">
        <f>IF(AND(ISNUMBER(F1130), F1130&gt;4, COUNTIFS($A$2:A1130, A1130, $B$2:B1130, B1130, $C$2:C1130, C1130, $F$2:F1130, "&gt;4")=1), 1, 0)</f>
        <v>1</v>
      </c>
      <c r="I1130" s="10">
        <f t="shared" si="41"/>
        <v>1</v>
      </c>
      <c r="J1130" s="10"/>
      <c r="K1130" s="7"/>
      <c r="L1130" s="7"/>
      <c r="M1130" s="7"/>
      <c r="N1130" s="10"/>
      <c r="O1130" s="113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t="15.75" customHeight="1">
      <c r="A1131" s="10" t="s">
        <v>23</v>
      </c>
      <c r="B1131" s="7" t="s">
        <v>120</v>
      </c>
      <c r="C1131" s="135">
        <v>46261</v>
      </c>
      <c r="D1131" s="44" t="s">
        <v>210</v>
      </c>
      <c r="E1131" s="35" t="s">
        <v>475</v>
      </c>
      <c r="F1131" s="121">
        <v>7.87</v>
      </c>
      <c r="G1131" s="122">
        <f t="shared" si="40"/>
        <v>0</v>
      </c>
      <c r="H1131" s="123">
        <f>IF(AND(ISNUMBER(F1131), F1131&gt;4, COUNTIFS($A$2:A1131, A1131, $B$2:B1131, B1131, $C$2:C1131, C1131, $F$2:F1131, "&gt;4")=1), 1, 0)</f>
        <v>1</v>
      </c>
      <c r="I1131" s="10">
        <f t="shared" si="41"/>
        <v>1</v>
      </c>
      <c r="J1131" s="10"/>
      <c r="K1131" s="7"/>
      <c r="L1131" s="7"/>
      <c r="M1131" s="7"/>
      <c r="N1131" s="10"/>
      <c r="O1131" s="113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t="15.75" customHeight="1">
      <c r="A1132" s="10" t="s">
        <v>23</v>
      </c>
      <c r="B1132" s="7" t="s">
        <v>120</v>
      </c>
      <c r="C1132" s="135">
        <v>46262</v>
      </c>
      <c r="D1132" s="44" t="s">
        <v>210</v>
      </c>
      <c r="E1132" s="35" t="s">
        <v>479</v>
      </c>
      <c r="F1132" s="121">
        <v>8.02</v>
      </c>
      <c r="G1132" s="122">
        <f t="shared" si="40"/>
        <v>0</v>
      </c>
      <c r="H1132" s="123">
        <f>IF(AND(ISNUMBER(F1132), F1132&gt;4, COUNTIFS($A$2:A1132, A1132, $B$2:B1132, B1132, $C$2:C1132, C1132, $F$2:F1132, "&gt;4")=1), 1, 0)</f>
        <v>1</v>
      </c>
      <c r="I1132" s="10">
        <f t="shared" si="41"/>
        <v>1</v>
      </c>
      <c r="J1132" s="10"/>
      <c r="K1132" s="7"/>
      <c r="L1132" s="7"/>
      <c r="M1132" s="7"/>
      <c r="N1132" s="10"/>
      <c r="O1132" s="113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t="15.75" customHeight="1">
      <c r="A1133" s="10" t="s">
        <v>23</v>
      </c>
      <c r="B1133" s="7" t="s">
        <v>120</v>
      </c>
      <c r="C1133" s="135">
        <v>46263</v>
      </c>
      <c r="D1133" s="44" t="s">
        <v>210</v>
      </c>
      <c r="E1133" s="35" t="s">
        <v>483</v>
      </c>
      <c r="F1133" s="121">
        <v>7.92</v>
      </c>
      <c r="G1133" s="122">
        <f t="shared" si="40"/>
        <v>0</v>
      </c>
      <c r="H1133" s="123">
        <f>IF(AND(ISNUMBER(F1133), F1133&gt;4, COUNTIFS($A$2:A1133, A1133, $B$2:B1133, B1133, $C$2:C1133, C1133, $F$2:F1133, "&gt;4")=1), 1, 0)</f>
        <v>1</v>
      </c>
      <c r="I1133" s="10">
        <f t="shared" si="41"/>
        <v>1</v>
      </c>
      <c r="J1133" s="10"/>
      <c r="K1133" s="7"/>
      <c r="L1133" s="7"/>
      <c r="M1133" s="7"/>
      <c r="N1133" s="10"/>
      <c r="O1133" s="113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t="15.75" customHeight="1">
      <c r="A1134" s="10" t="s">
        <v>23</v>
      </c>
      <c r="B1134" s="7" t="s">
        <v>120</v>
      </c>
      <c r="C1134" s="135">
        <v>46264</v>
      </c>
      <c r="D1134" s="44" t="s">
        <v>210</v>
      </c>
      <c r="E1134" s="35" t="s">
        <v>475</v>
      </c>
      <c r="F1134" s="121">
        <v>7.87</v>
      </c>
      <c r="G1134" s="122">
        <f t="shared" si="40"/>
        <v>0</v>
      </c>
      <c r="H1134" s="123">
        <f>IF(AND(ISNUMBER(F1134), F1134&gt;4, COUNTIFS($A$2:A1134, A1134, $B$2:B1134, B1134, $C$2:C1134, C1134, $F$2:F1134, "&gt;4")=1), 1, 0)</f>
        <v>1</v>
      </c>
      <c r="I1134" s="10">
        <f t="shared" si="41"/>
        <v>1</v>
      </c>
      <c r="J1134" s="10"/>
      <c r="K1134" s="7"/>
      <c r="L1134" s="7"/>
      <c r="M1134" s="7"/>
      <c r="N1134" s="10"/>
      <c r="O1134" s="113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t="15.75" customHeight="1">
      <c r="A1135" s="10" t="s">
        <v>23</v>
      </c>
      <c r="B1135" s="7" t="s">
        <v>120</v>
      </c>
      <c r="C1135" s="135">
        <v>46265</v>
      </c>
      <c r="D1135" s="44" t="s">
        <v>210</v>
      </c>
      <c r="E1135" s="35" t="s">
        <v>480</v>
      </c>
      <c r="F1135" s="121">
        <v>7.97</v>
      </c>
      <c r="G1135" s="122">
        <f t="shared" si="40"/>
        <v>0</v>
      </c>
      <c r="H1135" s="123">
        <f>IF(AND(ISNUMBER(F1135), F1135&gt;4, COUNTIFS($A$2:A1135, A1135, $B$2:B1135, B1135, $C$2:C1135, C1135, $F$2:F1135, "&gt;4")=1), 1, 0)</f>
        <v>1</v>
      </c>
      <c r="I1135" s="10">
        <f t="shared" si="41"/>
        <v>1</v>
      </c>
      <c r="J1135" s="10"/>
      <c r="K1135" s="7"/>
      <c r="L1135" s="7"/>
      <c r="M1135" s="7"/>
      <c r="N1135" s="10"/>
      <c r="O1135" s="113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t="15.75" customHeight="1">
      <c r="A1136" s="10" t="s">
        <v>23</v>
      </c>
      <c r="B1136" s="7" t="s">
        <v>121</v>
      </c>
      <c r="C1136" s="135">
        <v>46252</v>
      </c>
      <c r="D1136" s="44" t="s">
        <v>200</v>
      </c>
      <c r="E1136" s="35" t="s">
        <v>714</v>
      </c>
      <c r="F1136" s="121">
        <v>0.2</v>
      </c>
      <c r="G1136" s="122">
        <f t="shared" si="40"/>
        <v>1</v>
      </c>
      <c r="H1136" s="123">
        <f>IF(AND(ISNUMBER(F1136), F1136&gt;4, COUNTIFS($A$2:A1136, A1136, $B$2:B1136, B1136, $C$2:C1136, C1136, $F$2:F1136, "&gt;4")=1), 1, 0)</f>
        <v>0</v>
      </c>
      <c r="I1136" s="10">
        <f t="shared" si="41"/>
        <v>0</v>
      </c>
      <c r="J1136" s="10"/>
      <c r="K1136" s="7"/>
      <c r="L1136" s="7"/>
      <c r="M1136" s="7"/>
      <c r="N1136" s="10"/>
      <c r="O1136" s="113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t="15.75" customHeight="1">
      <c r="A1137" s="10" t="s">
        <v>23</v>
      </c>
      <c r="B1137" s="7" t="s">
        <v>121</v>
      </c>
      <c r="C1137" s="135">
        <v>46254</v>
      </c>
      <c r="D1137" s="44" t="s">
        <v>200</v>
      </c>
      <c r="E1137" s="35" t="s">
        <v>707</v>
      </c>
      <c r="F1137" s="121">
        <v>0.72</v>
      </c>
      <c r="G1137" s="122">
        <f t="shared" si="40"/>
        <v>1</v>
      </c>
      <c r="H1137" s="123">
        <f>IF(AND(ISNUMBER(F1137), F1137&gt;4, COUNTIFS($A$2:A1137, A1137, $B$2:B1137, B1137, $C$2:C1137, C1137, $F$2:F1137, "&gt;4")=1), 1, 0)</f>
        <v>0</v>
      </c>
      <c r="I1137" s="10">
        <f t="shared" si="41"/>
        <v>0</v>
      </c>
      <c r="J1137" s="10"/>
      <c r="K1137" s="7"/>
      <c r="L1137" s="7"/>
      <c r="M1137" s="7"/>
      <c r="N1137" s="10"/>
      <c r="O1137" s="113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t="15.75" customHeight="1">
      <c r="A1138" s="10" t="s">
        <v>23</v>
      </c>
      <c r="B1138" s="7" t="s">
        <v>121</v>
      </c>
      <c r="C1138" s="135">
        <v>46255</v>
      </c>
      <c r="D1138" s="44" t="s">
        <v>200</v>
      </c>
      <c r="E1138" s="35" t="s">
        <v>674</v>
      </c>
      <c r="F1138" s="121">
        <v>0.68</v>
      </c>
      <c r="G1138" s="122">
        <f t="shared" si="40"/>
        <v>1</v>
      </c>
      <c r="H1138" s="123">
        <f>IF(AND(ISNUMBER(F1138), F1138&gt;4, COUNTIFS($A$2:A1138, A1138, $B$2:B1138, B1138, $C$2:C1138, C1138, $F$2:F1138, "&gt;4")=1), 1, 0)</f>
        <v>0</v>
      </c>
      <c r="I1138" s="10">
        <f t="shared" si="41"/>
        <v>0</v>
      </c>
      <c r="J1138" s="10"/>
      <c r="K1138" s="7"/>
      <c r="L1138" s="7"/>
      <c r="M1138" s="7"/>
      <c r="N1138" s="10"/>
      <c r="O1138" s="113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t="15.75" customHeight="1">
      <c r="A1139" s="10" t="s">
        <v>23</v>
      </c>
      <c r="B1139" s="7" t="s">
        <v>121</v>
      </c>
      <c r="C1139" s="135">
        <v>46259</v>
      </c>
      <c r="D1139" s="44" t="s">
        <v>200</v>
      </c>
      <c r="E1139" s="35" t="s">
        <v>715</v>
      </c>
      <c r="F1139" s="121">
        <v>0.18</v>
      </c>
      <c r="G1139" s="122">
        <f t="shared" si="40"/>
        <v>1</v>
      </c>
      <c r="H1139" s="123">
        <f>IF(AND(ISNUMBER(F1139), F1139&gt;4, COUNTIFS($A$2:A1139, A1139, $B$2:B1139, B1139, $C$2:C1139, C1139, $F$2:F1139, "&gt;4")=1), 1, 0)</f>
        <v>0</v>
      </c>
      <c r="I1139" s="10">
        <f t="shared" si="41"/>
        <v>0</v>
      </c>
      <c r="J1139" s="10"/>
      <c r="K1139" s="7"/>
      <c r="L1139" s="7"/>
      <c r="M1139" s="7"/>
      <c r="N1139" s="10"/>
      <c r="O1139" s="113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t="15.75" customHeight="1">
      <c r="A1140" s="10" t="s">
        <v>23</v>
      </c>
      <c r="B1140" s="7" t="s">
        <v>121</v>
      </c>
      <c r="C1140" s="135">
        <v>46264</v>
      </c>
      <c r="D1140" s="44" t="s">
        <v>200</v>
      </c>
      <c r="E1140" s="35" t="s">
        <v>716</v>
      </c>
      <c r="F1140" s="121">
        <v>0.12</v>
      </c>
      <c r="G1140" s="122">
        <f t="shared" si="40"/>
        <v>1</v>
      </c>
      <c r="H1140" s="123">
        <f>IF(AND(ISNUMBER(F1140), F1140&gt;4, COUNTIFS($A$2:A1140, A1140, $B$2:B1140, B1140, $C$2:C1140, C1140, $F$2:F1140, "&gt;4")=1), 1, 0)</f>
        <v>0</v>
      </c>
      <c r="I1140" s="10">
        <f t="shared" si="41"/>
        <v>0</v>
      </c>
      <c r="J1140" s="10"/>
      <c r="K1140" s="7"/>
      <c r="L1140" s="7"/>
      <c r="M1140" s="7"/>
      <c r="N1140" s="10"/>
      <c r="O1140" s="113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t="15.75" customHeight="1">
      <c r="A1141" s="10" t="s">
        <v>23</v>
      </c>
      <c r="B1141" s="7" t="s">
        <v>121</v>
      </c>
      <c r="C1141" s="135">
        <v>46235</v>
      </c>
      <c r="D1141" s="44" t="s">
        <v>210</v>
      </c>
      <c r="E1141" s="35" t="s">
        <v>214</v>
      </c>
      <c r="F1141" s="121">
        <v>8.08</v>
      </c>
      <c r="G1141" s="122">
        <f t="shared" si="40"/>
        <v>0</v>
      </c>
      <c r="H1141" s="123">
        <f>IF(AND(ISNUMBER(F1141), F1141&gt;4, COUNTIFS($A$2:A1141, A1141, $B$2:B1141, B1141, $C$2:C1141, C1141, $F$2:F1141, "&gt;4")=1), 1, 0)</f>
        <v>1</v>
      </c>
      <c r="I1141" s="10">
        <f t="shared" si="41"/>
        <v>1</v>
      </c>
      <c r="J1141" s="10"/>
      <c r="K1141" s="7"/>
      <c r="L1141" s="7"/>
      <c r="M1141" s="7"/>
      <c r="N1141" s="10"/>
      <c r="O1141" s="113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t="15.75" customHeight="1">
      <c r="A1142" s="10" t="s">
        <v>23</v>
      </c>
      <c r="B1142" s="7" t="s">
        <v>121</v>
      </c>
      <c r="C1142" s="135">
        <v>46236</v>
      </c>
      <c r="D1142" s="44" t="s">
        <v>210</v>
      </c>
      <c r="E1142" s="35" t="s">
        <v>207</v>
      </c>
      <c r="F1142" s="121">
        <v>8.1</v>
      </c>
      <c r="G1142" s="122">
        <f t="shared" si="40"/>
        <v>0</v>
      </c>
      <c r="H1142" s="123">
        <f>IF(AND(ISNUMBER(F1142), F1142&gt;4, COUNTIFS($A$2:A1142, A1142, $B$2:B1142, B1142, $C$2:C1142, C1142, $F$2:F1142, "&gt;4")=1), 1, 0)</f>
        <v>1</v>
      </c>
      <c r="I1142" s="10">
        <f t="shared" si="41"/>
        <v>1</v>
      </c>
      <c r="J1142" s="10"/>
      <c r="K1142" s="7"/>
      <c r="L1142" s="7"/>
      <c r="M1142" s="7"/>
      <c r="N1142" s="10"/>
      <c r="O1142" s="113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t="15.75" customHeight="1">
      <c r="A1143" s="10" t="s">
        <v>23</v>
      </c>
      <c r="B1143" s="7" t="s">
        <v>121</v>
      </c>
      <c r="C1143" s="135">
        <v>46237</v>
      </c>
      <c r="D1143" s="44" t="s">
        <v>210</v>
      </c>
      <c r="E1143" s="35" t="s">
        <v>214</v>
      </c>
      <c r="F1143" s="121">
        <v>8.08</v>
      </c>
      <c r="G1143" s="122">
        <f t="shared" si="40"/>
        <v>0</v>
      </c>
      <c r="H1143" s="123">
        <f>IF(AND(ISNUMBER(F1143), F1143&gt;4, COUNTIFS($A$2:A1143, A1143, $B$2:B1143, B1143, $C$2:C1143, C1143, $F$2:F1143, "&gt;4")=1), 1, 0)</f>
        <v>1</v>
      </c>
      <c r="I1143" s="10">
        <f t="shared" si="41"/>
        <v>1</v>
      </c>
      <c r="J1143" s="10"/>
      <c r="K1143" s="7"/>
      <c r="L1143" s="7"/>
      <c r="M1143" s="7"/>
      <c r="N1143" s="10"/>
      <c r="O1143" s="113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t="15.75" customHeight="1">
      <c r="A1144" s="10" t="s">
        <v>23</v>
      </c>
      <c r="B1144" s="7" t="s">
        <v>121</v>
      </c>
      <c r="C1144" s="135">
        <v>46238</v>
      </c>
      <c r="D1144" s="44" t="s">
        <v>210</v>
      </c>
      <c r="E1144" s="35" t="s">
        <v>207</v>
      </c>
      <c r="F1144" s="121">
        <v>8.1</v>
      </c>
      <c r="G1144" s="122">
        <f t="shared" si="40"/>
        <v>0</v>
      </c>
      <c r="H1144" s="123">
        <f>IF(AND(ISNUMBER(F1144), F1144&gt;4, COUNTIFS($A$2:A1144, A1144, $B$2:B1144, B1144, $C$2:C1144, C1144, $F$2:F1144, "&gt;4")=1), 1, 0)</f>
        <v>1</v>
      </c>
      <c r="I1144" s="10">
        <f t="shared" si="41"/>
        <v>1</v>
      </c>
      <c r="J1144" s="10"/>
      <c r="K1144" s="7"/>
      <c r="L1144" s="7"/>
      <c r="M1144" s="7"/>
      <c r="N1144" s="10"/>
      <c r="O1144" s="113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t="15.75" customHeight="1">
      <c r="A1145" s="10" t="s">
        <v>23</v>
      </c>
      <c r="B1145" s="7" t="s">
        <v>121</v>
      </c>
      <c r="C1145" s="135">
        <v>46239</v>
      </c>
      <c r="D1145" s="44" t="s">
        <v>210</v>
      </c>
      <c r="E1145" s="35" t="s">
        <v>499</v>
      </c>
      <c r="F1145" s="121">
        <v>8.15</v>
      </c>
      <c r="G1145" s="122">
        <f t="shared" si="40"/>
        <v>0</v>
      </c>
      <c r="H1145" s="123">
        <f>IF(AND(ISNUMBER(F1145), F1145&gt;4, COUNTIFS($A$2:A1145, A1145, $B$2:B1145, B1145, $C$2:C1145, C1145, $F$2:F1145, "&gt;4")=1), 1, 0)</f>
        <v>1</v>
      </c>
      <c r="I1145" s="10">
        <f t="shared" si="41"/>
        <v>1</v>
      </c>
      <c r="J1145" s="10"/>
      <c r="K1145" s="7"/>
      <c r="L1145" s="7"/>
      <c r="M1145" s="7"/>
      <c r="N1145" s="10"/>
      <c r="O1145" s="113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t="15.75" customHeight="1">
      <c r="A1146" s="10" t="s">
        <v>23</v>
      </c>
      <c r="B1146" s="7" t="s">
        <v>121</v>
      </c>
      <c r="C1146" s="135">
        <v>46240</v>
      </c>
      <c r="D1146" s="44" t="s">
        <v>210</v>
      </c>
      <c r="E1146" s="35" t="s">
        <v>511</v>
      </c>
      <c r="F1146" s="121">
        <v>8.1300000000000008</v>
      </c>
      <c r="G1146" s="122">
        <f t="shared" si="40"/>
        <v>0</v>
      </c>
      <c r="H1146" s="123">
        <f>IF(AND(ISNUMBER(F1146), F1146&gt;4, COUNTIFS($A$2:A1146, A1146, $B$2:B1146, B1146, $C$2:C1146, C1146, $F$2:F1146, "&gt;4")=1), 1, 0)</f>
        <v>1</v>
      </c>
      <c r="I1146" s="10">
        <f t="shared" si="41"/>
        <v>1</v>
      </c>
      <c r="J1146" s="10"/>
      <c r="K1146" s="7"/>
      <c r="L1146" s="7"/>
      <c r="M1146" s="7"/>
      <c r="N1146" s="10"/>
      <c r="O1146" s="113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t="15.75" customHeight="1">
      <c r="A1147" s="10" t="s">
        <v>23</v>
      </c>
      <c r="B1147" s="7" t="s">
        <v>121</v>
      </c>
      <c r="C1147" s="135">
        <v>46241</v>
      </c>
      <c r="D1147" s="44" t="s">
        <v>210</v>
      </c>
      <c r="E1147" s="35" t="s">
        <v>511</v>
      </c>
      <c r="F1147" s="121">
        <v>8.1300000000000008</v>
      </c>
      <c r="G1147" s="122">
        <f t="shared" si="40"/>
        <v>0</v>
      </c>
      <c r="H1147" s="123">
        <f>IF(AND(ISNUMBER(F1147), F1147&gt;4, COUNTIFS($A$2:A1147, A1147, $B$2:B1147, B1147, $C$2:C1147, C1147, $F$2:F1147, "&gt;4")=1), 1, 0)</f>
        <v>1</v>
      </c>
      <c r="I1147" s="10">
        <f t="shared" si="41"/>
        <v>1</v>
      </c>
      <c r="J1147" s="10"/>
      <c r="K1147" s="7"/>
      <c r="L1147" s="7"/>
      <c r="M1147" s="7"/>
      <c r="N1147" s="10"/>
      <c r="O1147" s="113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t="15.75" customHeight="1">
      <c r="A1148" s="10" t="s">
        <v>23</v>
      </c>
      <c r="B1148" s="7" t="s">
        <v>121</v>
      </c>
      <c r="C1148" s="135">
        <v>46242</v>
      </c>
      <c r="D1148" s="44" t="s">
        <v>210</v>
      </c>
      <c r="E1148" s="35" t="s">
        <v>476</v>
      </c>
      <c r="F1148" s="121">
        <v>8.1199999999999992</v>
      </c>
      <c r="G1148" s="122">
        <f t="shared" si="40"/>
        <v>0</v>
      </c>
      <c r="H1148" s="123">
        <f>IF(AND(ISNUMBER(F1148), F1148&gt;4, COUNTIFS($A$2:A1148, A1148, $B$2:B1148, B1148, $C$2:C1148, C1148, $F$2:F1148, "&gt;4")=1), 1, 0)</f>
        <v>1</v>
      </c>
      <c r="I1148" s="10">
        <f t="shared" si="41"/>
        <v>1</v>
      </c>
      <c r="J1148" s="10"/>
      <c r="K1148" s="7"/>
      <c r="L1148" s="7"/>
      <c r="M1148" s="7"/>
      <c r="N1148" s="10"/>
      <c r="O1148" s="113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t="15.75" customHeight="1">
      <c r="A1149" s="10" t="s">
        <v>23</v>
      </c>
      <c r="B1149" s="7" t="s">
        <v>121</v>
      </c>
      <c r="C1149" s="135">
        <v>46243</v>
      </c>
      <c r="D1149" s="44" t="s">
        <v>210</v>
      </c>
      <c r="E1149" s="35" t="s">
        <v>239</v>
      </c>
      <c r="F1149" s="121">
        <v>8.07</v>
      </c>
      <c r="G1149" s="122">
        <f t="shared" si="40"/>
        <v>0</v>
      </c>
      <c r="H1149" s="123">
        <f>IF(AND(ISNUMBER(F1149), F1149&gt;4, COUNTIFS($A$2:A1149, A1149, $B$2:B1149, B1149, $C$2:C1149, C1149, $F$2:F1149, "&gt;4")=1), 1, 0)</f>
        <v>1</v>
      </c>
      <c r="I1149" s="10">
        <f t="shared" si="41"/>
        <v>1</v>
      </c>
      <c r="J1149" s="10"/>
      <c r="K1149" s="7"/>
      <c r="L1149" s="7"/>
      <c r="M1149" s="7"/>
      <c r="N1149" s="10"/>
      <c r="O1149" s="113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t="15.75" customHeight="1">
      <c r="A1150" s="10" t="s">
        <v>23</v>
      </c>
      <c r="B1150" s="7" t="s">
        <v>121</v>
      </c>
      <c r="C1150" s="135">
        <v>46244</v>
      </c>
      <c r="D1150" s="44" t="s">
        <v>210</v>
      </c>
      <c r="E1150" s="35" t="s">
        <v>214</v>
      </c>
      <c r="F1150" s="121">
        <v>8.08</v>
      </c>
      <c r="G1150" s="122">
        <f t="shared" si="40"/>
        <v>0</v>
      </c>
      <c r="H1150" s="123">
        <f>IF(AND(ISNUMBER(F1150), F1150&gt;4, COUNTIFS($A$2:A1150, A1150, $B$2:B1150, B1150, $C$2:C1150, C1150, $F$2:F1150, "&gt;4")=1), 1, 0)</f>
        <v>1</v>
      </c>
      <c r="I1150" s="10">
        <f t="shared" si="41"/>
        <v>1</v>
      </c>
      <c r="J1150" s="10"/>
      <c r="K1150" s="7"/>
      <c r="L1150" s="7"/>
      <c r="M1150" s="7"/>
      <c r="N1150" s="10"/>
      <c r="O1150" s="113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t="15.75" customHeight="1">
      <c r="A1151" s="10" t="s">
        <v>23</v>
      </c>
      <c r="B1151" s="7" t="s">
        <v>121</v>
      </c>
      <c r="C1151" s="135">
        <v>46248</v>
      </c>
      <c r="D1151" s="44" t="s">
        <v>210</v>
      </c>
      <c r="E1151" s="35" t="s">
        <v>214</v>
      </c>
      <c r="F1151" s="121">
        <v>8.08</v>
      </c>
      <c r="G1151" s="122">
        <f t="shared" si="40"/>
        <v>0</v>
      </c>
      <c r="H1151" s="123">
        <f>IF(AND(ISNUMBER(F1151), F1151&gt;4, COUNTIFS($A$2:A1151, A1151, $B$2:B1151, B1151, $C$2:C1151, C1151, $F$2:F1151, "&gt;4")=1), 1, 0)</f>
        <v>1</v>
      </c>
      <c r="I1151" s="10">
        <f t="shared" si="41"/>
        <v>1</v>
      </c>
      <c r="J1151" s="10"/>
      <c r="K1151" s="7"/>
      <c r="L1151" s="7"/>
      <c r="M1151" s="7"/>
      <c r="N1151" s="10"/>
      <c r="O1151" s="113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t="15.75" customHeight="1">
      <c r="A1152" s="10" t="s">
        <v>23</v>
      </c>
      <c r="B1152" s="7" t="s">
        <v>121</v>
      </c>
      <c r="C1152" s="135">
        <v>46249</v>
      </c>
      <c r="D1152" s="44" t="s">
        <v>210</v>
      </c>
      <c r="E1152" s="35" t="s">
        <v>511</v>
      </c>
      <c r="F1152" s="121">
        <v>8.1300000000000008</v>
      </c>
      <c r="G1152" s="122">
        <f t="shared" si="40"/>
        <v>0</v>
      </c>
      <c r="H1152" s="123">
        <f>IF(AND(ISNUMBER(F1152), F1152&gt;4, COUNTIFS($A$2:A1152, A1152, $B$2:B1152, B1152, $C$2:C1152, C1152, $F$2:F1152, "&gt;4")=1), 1, 0)</f>
        <v>1</v>
      </c>
      <c r="I1152" s="10">
        <f t="shared" si="41"/>
        <v>1</v>
      </c>
      <c r="J1152" s="10"/>
      <c r="K1152" s="7"/>
      <c r="L1152" s="7"/>
      <c r="M1152" s="7"/>
      <c r="N1152" s="10"/>
      <c r="O1152" s="113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t="15.75" customHeight="1">
      <c r="A1153" s="10" t="s">
        <v>23</v>
      </c>
      <c r="B1153" s="7" t="s">
        <v>121</v>
      </c>
      <c r="C1153" s="135">
        <v>46250</v>
      </c>
      <c r="D1153" s="44" t="s">
        <v>210</v>
      </c>
      <c r="E1153" s="35" t="s">
        <v>329</v>
      </c>
      <c r="F1153" s="121">
        <v>8.0299999999999994</v>
      </c>
      <c r="G1153" s="122">
        <f t="shared" si="40"/>
        <v>0</v>
      </c>
      <c r="H1153" s="123">
        <f>IF(AND(ISNUMBER(F1153), F1153&gt;4, COUNTIFS($A$2:A1153, A1153, $B$2:B1153, B1153, $C$2:C1153, C1153, $F$2:F1153, "&gt;4")=1), 1, 0)</f>
        <v>1</v>
      </c>
      <c r="I1153" s="10">
        <f t="shared" si="41"/>
        <v>1</v>
      </c>
      <c r="J1153" s="10"/>
      <c r="K1153" s="7"/>
      <c r="L1153" s="7"/>
      <c r="M1153" s="7"/>
      <c r="N1153" s="10"/>
      <c r="O1153" s="113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t="15.75" customHeight="1">
      <c r="A1154" s="10" t="s">
        <v>23</v>
      </c>
      <c r="B1154" s="7" t="s">
        <v>121</v>
      </c>
      <c r="C1154" s="135">
        <v>46251</v>
      </c>
      <c r="D1154" s="44" t="s">
        <v>210</v>
      </c>
      <c r="E1154" s="35" t="s">
        <v>214</v>
      </c>
      <c r="F1154" s="121">
        <v>8.08</v>
      </c>
      <c r="G1154" s="122">
        <f t="shared" ref="G1154:G1217" si="42">IF(AND(ISNUMBER(F1154), F1154&lt;=4), 1, 0)</f>
        <v>0</v>
      </c>
      <c r="H1154" s="123">
        <f>IF(AND(ISNUMBER(F1154), F1154&gt;4, COUNTIFS($A$2:A1154, A1154, $B$2:B1154, B1154, $C$2:C1154, C1154, $F$2:F1154, "&gt;4")=1), 1, 0)</f>
        <v>1</v>
      </c>
      <c r="I1154" s="10">
        <f t="shared" ref="I1154:I1217" si="43">IF(AND(ISNUMBER(F1154), F1154&gt;4, ISNUMBER(SEARCH("đêm", D1154))), 1, 0)</f>
        <v>1</v>
      </c>
      <c r="J1154" s="10"/>
      <c r="K1154" s="7"/>
      <c r="L1154" s="7"/>
      <c r="M1154" s="7"/>
      <c r="N1154" s="10"/>
      <c r="O1154" s="113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t="15.75" customHeight="1">
      <c r="A1155" s="10" t="s">
        <v>23</v>
      </c>
      <c r="B1155" s="7" t="s">
        <v>121</v>
      </c>
      <c r="C1155" s="135">
        <v>46252</v>
      </c>
      <c r="D1155" s="44" t="s">
        <v>210</v>
      </c>
      <c r="E1155" s="35" t="s">
        <v>511</v>
      </c>
      <c r="F1155" s="121">
        <v>8.1300000000000008</v>
      </c>
      <c r="G1155" s="122">
        <f t="shared" si="42"/>
        <v>0</v>
      </c>
      <c r="H1155" s="123">
        <f>IF(AND(ISNUMBER(F1155), F1155&gt;4, COUNTIFS($A$2:A1155, A1155, $B$2:B1155, B1155, $C$2:C1155, C1155, $F$2:F1155, "&gt;4")=1), 1, 0)</f>
        <v>1</v>
      </c>
      <c r="I1155" s="10">
        <f t="shared" si="43"/>
        <v>1</v>
      </c>
      <c r="J1155" s="10"/>
      <c r="K1155" s="7"/>
      <c r="L1155" s="7"/>
      <c r="M1155" s="7"/>
      <c r="N1155" s="10"/>
      <c r="O1155" s="113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t="15.75" customHeight="1">
      <c r="A1156" s="10" t="s">
        <v>23</v>
      </c>
      <c r="B1156" s="7" t="s">
        <v>121</v>
      </c>
      <c r="C1156" s="135">
        <v>46253</v>
      </c>
      <c r="D1156" s="44" t="s">
        <v>210</v>
      </c>
      <c r="E1156" s="35" t="s">
        <v>199</v>
      </c>
      <c r="F1156" s="121">
        <v>8</v>
      </c>
      <c r="G1156" s="122">
        <f t="shared" si="42"/>
        <v>0</v>
      </c>
      <c r="H1156" s="123">
        <f>IF(AND(ISNUMBER(F1156), F1156&gt;4, COUNTIFS($A$2:A1156, A1156, $B$2:B1156, B1156, $C$2:C1156, C1156, $F$2:F1156, "&gt;4")=1), 1, 0)</f>
        <v>1</v>
      </c>
      <c r="I1156" s="10">
        <f t="shared" si="43"/>
        <v>1</v>
      </c>
      <c r="J1156" s="10"/>
      <c r="K1156" s="7"/>
      <c r="L1156" s="7"/>
      <c r="M1156" s="7"/>
      <c r="N1156" s="10"/>
      <c r="O1156" s="113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t="15.75" customHeight="1">
      <c r="A1157" s="10" t="s">
        <v>23</v>
      </c>
      <c r="B1157" s="7" t="s">
        <v>121</v>
      </c>
      <c r="C1157" s="135">
        <v>46254</v>
      </c>
      <c r="D1157" s="44" t="s">
        <v>210</v>
      </c>
      <c r="E1157" s="35" t="s">
        <v>207</v>
      </c>
      <c r="F1157" s="121">
        <v>8.1</v>
      </c>
      <c r="G1157" s="122">
        <f t="shared" si="42"/>
        <v>0</v>
      </c>
      <c r="H1157" s="123">
        <f>IF(AND(ISNUMBER(F1157), F1157&gt;4, COUNTIFS($A$2:A1157, A1157, $B$2:B1157, B1157, $C$2:C1157, C1157, $F$2:F1157, "&gt;4")=1), 1, 0)</f>
        <v>1</v>
      </c>
      <c r="I1157" s="10">
        <f t="shared" si="43"/>
        <v>1</v>
      </c>
      <c r="J1157" s="10"/>
      <c r="K1157" s="7"/>
      <c r="L1157" s="7"/>
      <c r="M1157" s="7"/>
      <c r="N1157" s="10"/>
      <c r="O1157" s="113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t="15.75" customHeight="1">
      <c r="A1158" s="10" t="s">
        <v>23</v>
      </c>
      <c r="B1158" s="7" t="s">
        <v>121</v>
      </c>
      <c r="C1158" s="135">
        <v>46255</v>
      </c>
      <c r="D1158" s="44" t="s">
        <v>210</v>
      </c>
      <c r="E1158" s="35" t="s">
        <v>214</v>
      </c>
      <c r="F1158" s="121">
        <v>8.08</v>
      </c>
      <c r="G1158" s="122">
        <f t="shared" si="42"/>
        <v>0</v>
      </c>
      <c r="H1158" s="123">
        <f>IF(AND(ISNUMBER(F1158), F1158&gt;4, COUNTIFS($A$2:A1158, A1158, $B$2:B1158, B1158, $C$2:C1158, C1158, $F$2:F1158, "&gt;4")=1), 1, 0)</f>
        <v>1</v>
      </c>
      <c r="I1158" s="10">
        <f t="shared" si="43"/>
        <v>1</v>
      </c>
      <c r="J1158" s="10"/>
      <c r="K1158" s="7"/>
      <c r="L1158" s="7"/>
      <c r="M1158" s="7"/>
      <c r="N1158" s="10"/>
      <c r="O1158" s="113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t="15.75" customHeight="1">
      <c r="A1159" s="10" t="s">
        <v>23</v>
      </c>
      <c r="B1159" s="7" t="s">
        <v>121</v>
      </c>
      <c r="C1159" s="135">
        <v>46256</v>
      </c>
      <c r="D1159" s="44" t="s">
        <v>210</v>
      </c>
      <c r="E1159" s="35" t="s">
        <v>207</v>
      </c>
      <c r="F1159" s="121">
        <v>8.1</v>
      </c>
      <c r="G1159" s="122">
        <f t="shared" si="42"/>
        <v>0</v>
      </c>
      <c r="H1159" s="123">
        <f>IF(AND(ISNUMBER(F1159), F1159&gt;4, COUNTIFS($A$2:A1159, A1159, $B$2:B1159, B1159, $C$2:C1159, C1159, $F$2:F1159, "&gt;4")=1), 1, 0)</f>
        <v>1</v>
      </c>
      <c r="I1159" s="10">
        <f t="shared" si="43"/>
        <v>1</v>
      </c>
      <c r="J1159" s="10"/>
      <c r="K1159" s="7"/>
      <c r="L1159" s="7"/>
      <c r="M1159" s="7"/>
      <c r="N1159" s="10"/>
      <c r="O1159" s="113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t="15.75" customHeight="1">
      <c r="A1160" s="10" t="s">
        <v>23</v>
      </c>
      <c r="B1160" s="7" t="s">
        <v>121</v>
      </c>
      <c r="C1160" s="135">
        <v>46257</v>
      </c>
      <c r="D1160" s="44" t="s">
        <v>210</v>
      </c>
      <c r="E1160" s="35" t="s">
        <v>476</v>
      </c>
      <c r="F1160" s="121">
        <v>8.1199999999999992</v>
      </c>
      <c r="G1160" s="122">
        <f t="shared" si="42"/>
        <v>0</v>
      </c>
      <c r="H1160" s="123">
        <f>IF(AND(ISNUMBER(F1160), F1160&gt;4, COUNTIFS($A$2:A1160, A1160, $B$2:B1160, B1160, $C$2:C1160, C1160, $F$2:F1160, "&gt;4")=1), 1, 0)</f>
        <v>1</v>
      </c>
      <c r="I1160" s="10">
        <f t="shared" si="43"/>
        <v>1</v>
      </c>
      <c r="J1160" s="10"/>
      <c r="K1160" s="7"/>
      <c r="L1160" s="7"/>
      <c r="M1160" s="7"/>
      <c r="N1160" s="10"/>
      <c r="O1160" s="113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t="15.75" customHeight="1">
      <c r="A1161" s="10" t="s">
        <v>23</v>
      </c>
      <c r="B1161" s="7" t="s">
        <v>121</v>
      </c>
      <c r="C1161" s="135">
        <v>46258</v>
      </c>
      <c r="D1161" s="44" t="s">
        <v>210</v>
      </c>
      <c r="E1161" s="35" t="s">
        <v>214</v>
      </c>
      <c r="F1161" s="121">
        <v>8.08</v>
      </c>
      <c r="G1161" s="122">
        <f t="shared" si="42"/>
        <v>0</v>
      </c>
      <c r="H1161" s="123">
        <f>IF(AND(ISNUMBER(F1161), F1161&gt;4, COUNTIFS($A$2:A1161, A1161, $B$2:B1161, B1161, $C$2:C1161, C1161, $F$2:F1161, "&gt;4")=1), 1, 0)</f>
        <v>1</v>
      </c>
      <c r="I1161" s="10">
        <f t="shared" si="43"/>
        <v>1</v>
      </c>
      <c r="J1161" s="10"/>
      <c r="K1161" s="7"/>
      <c r="L1161" s="7"/>
      <c r="M1161" s="7"/>
      <c r="N1161" s="10"/>
      <c r="O1161" s="113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t="15.75" customHeight="1">
      <c r="A1162" s="10" t="s">
        <v>23</v>
      </c>
      <c r="B1162" s="7" t="s">
        <v>121</v>
      </c>
      <c r="C1162" s="135">
        <v>46262</v>
      </c>
      <c r="D1162" s="44" t="s">
        <v>210</v>
      </c>
      <c r="E1162" s="35" t="s">
        <v>207</v>
      </c>
      <c r="F1162" s="121">
        <v>8.1</v>
      </c>
      <c r="G1162" s="122">
        <f t="shared" si="42"/>
        <v>0</v>
      </c>
      <c r="H1162" s="123">
        <f>IF(AND(ISNUMBER(F1162), F1162&gt;4, COUNTIFS($A$2:A1162, A1162, $B$2:B1162, B1162, $C$2:C1162, C1162, $F$2:F1162, "&gt;4")=1), 1, 0)</f>
        <v>1</v>
      </c>
      <c r="I1162" s="10">
        <f t="shared" si="43"/>
        <v>1</v>
      </c>
      <c r="J1162" s="10"/>
      <c r="K1162" s="7"/>
      <c r="L1162" s="7"/>
      <c r="M1162" s="7"/>
      <c r="N1162" s="10"/>
      <c r="O1162" s="113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t="15.75" customHeight="1">
      <c r="A1163" s="10" t="s">
        <v>23</v>
      </c>
      <c r="B1163" s="7" t="s">
        <v>121</v>
      </c>
      <c r="C1163" s="135">
        <v>46263</v>
      </c>
      <c r="D1163" s="44" t="s">
        <v>210</v>
      </c>
      <c r="E1163" s="35" t="s">
        <v>476</v>
      </c>
      <c r="F1163" s="121">
        <v>8.1199999999999992</v>
      </c>
      <c r="G1163" s="122">
        <f t="shared" si="42"/>
        <v>0</v>
      </c>
      <c r="H1163" s="123">
        <f>IF(AND(ISNUMBER(F1163), F1163&gt;4, COUNTIFS($A$2:A1163, A1163, $B$2:B1163, B1163, $C$2:C1163, C1163, $F$2:F1163, "&gt;4")=1), 1, 0)</f>
        <v>1</v>
      </c>
      <c r="I1163" s="10">
        <f t="shared" si="43"/>
        <v>1</v>
      </c>
      <c r="J1163" s="10"/>
      <c r="K1163" s="7"/>
      <c r="L1163" s="7"/>
      <c r="M1163" s="7"/>
      <c r="N1163" s="10"/>
      <c r="O1163" s="113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t="15.75" customHeight="1">
      <c r="A1164" s="10" t="s">
        <v>23</v>
      </c>
      <c r="B1164" s="7" t="s">
        <v>121</v>
      </c>
      <c r="C1164" s="135">
        <v>46264</v>
      </c>
      <c r="D1164" s="44" t="s">
        <v>210</v>
      </c>
      <c r="E1164" s="35" t="s">
        <v>207</v>
      </c>
      <c r="F1164" s="121">
        <v>8.1</v>
      </c>
      <c r="G1164" s="122">
        <f t="shared" si="42"/>
        <v>0</v>
      </c>
      <c r="H1164" s="123">
        <f>IF(AND(ISNUMBER(F1164), F1164&gt;4, COUNTIFS($A$2:A1164, A1164, $B$2:B1164, B1164, $C$2:C1164, C1164, $F$2:F1164, "&gt;4")=1), 1, 0)</f>
        <v>1</v>
      </c>
      <c r="I1164" s="10">
        <f t="shared" si="43"/>
        <v>1</v>
      </c>
      <c r="J1164" s="10"/>
      <c r="K1164" s="7"/>
      <c r="L1164" s="7"/>
      <c r="M1164" s="7"/>
      <c r="N1164" s="10"/>
      <c r="O1164" s="113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t="15.75" customHeight="1">
      <c r="A1165" s="10" t="s">
        <v>23</v>
      </c>
      <c r="B1165" s="7" t="s">
        <v>121</v>
      </c>
      <c r="C1165" s="135">
        <v>46265</v>
      </c>
      <c r="D1165" s="44" t="s">
        <v>210</v>
      </c>
      <c r="E1165" s="35" t="s">
        <v>214</v>
      </c>
      <c r="F1165" s="121">
        <v>8.08</v>
      </c>
      <c r="G1165" s="122">
        <f t="shared" si="42"/>
        <v>0</v>
      </c>
      <c r="H1165" s="123">
        <f>IF(AND(ISNUMBER(F1165), F1165&gt;4, COUNTIFS($A$2:A1165, A1165, $B$2:B1165, B1165, $C$2:C1165, C1165, $F$2:F1165, "&gt;4")=1), 1, 0)</f>
        <v>1</v>
      </c>
      <c r="I1165" s="10">
        <f t="shared" si="43"/>
        <v>1</v>
      </c>
      <c r="J1165" s="10"/>
      <c r="K1165" s="7"/>
      <c r="L1165" s="7"/>
      <c r="M1165" s="7"/>
      <c r="N1165" s="10"/>
      <c r="O1165" s="113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t="15.75" customHeight="1">
      <c r="A1166" s="10" t="s">
        <v>19</v>
      </c>
      <c r="B1166" s="7" t="s">
        <v>97</v>
      </c>
      <c r="C1166" s="135">
        <v>46235</v>
      </c>
      <c r="D1166" s="44" t="s">
        <v>363</v>
      </c>
      <c r="E1166" s="35" t="s">
        <v>717</v>
      </c>
      <c r="F1166" s="121">
        <v>4.07</v>
      </c>
      <c r="G1166" s="122">
        <f t="shared" si="42"/>
        <v>0</v>
      </c>
      <c r="H1166" s="123">
        <f>IF(AND(ISNUMBER(F1166), F1166&gt;4, COUNTIFS($A$2:A1166, A1166, $B$2:B1166, B1166, $C$2:C1166, C1166, $F$2:F1166, "&gt;4")=1), 1, 0)</f>
        <v>1</v>
      </c>
      <c r="I1166" s="10">
        <f t="shared" si="43"/>
        <v>0</v>
      </c>
      <c r="J1166" s="10"/>
      <c r="K1166" s="7"/>
      <c r="L1166" s="7"/>
      <c r="M1166" s="7"/>
      <c r="N1166" s="10"/>
      <c r="O1166" s="113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t="15.75" customHeight="1">
      <c r="A1167" s="10" t="s">
        <v>19</v>
      </c>
      <c r="B1167" s="7" t="s">
        <v>97</v>
      </c>
      <c r="C1167" s="135">
        <v>46236</v>
      </c>
      <c r="D1167" s="44" t="s">
        <v>363</v>
      </c>
      <c r="E1167" s="35" t="s">
        <v>718</v>
      </c>
      <c r="F1167" s="121">
        <v>4.08</v>
      </c>
      <c r="G1167" s="122">
        <f t="shared" si="42"/>
        <v>0</v>
      </c>
      <c r="H1167" s="123">
        <f>IF(AND(ISNUMBER(F1167), F1167&gt;4, COUNTIFS($A$2:A1167, A1167, $B$2:B1167, B1167, $C$2:C1167, C1167, $F$2:F1167, "&gt;4")=1), 1, 0)</f>
        <v>1</v>
      </c>
      <c r="I1167" s="10">
        <f t="shared" si="43"/>
        <v>0</v>
      </c>
      <c r="J1167" s="10"/>
      <c r="K1167" s="7"/>
      <c r="L1167" s="7"/>
      <c r="M1167" s="7"/>
      <c r="N1167" s="10"/>
      <c r="O1167" s="113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t="15.75" customHeight="1">
      <c r="A1168" s="10" t="s">
        <v>19</v>
      </c>
      <c r="B1168" s="7" t="s">
        <v>97</v>
      </c>
      <c r="C1168" s="135">
        <v>46237</v>
      </c>
      <c r="D1168" s="44" t="s">
        <v>363</v>
      </c>
      <c r="E1168" s="35" t="s">
        <v>719</v>
      </c>
      <c r="F1168" s="121">
        <v>4.12</v>
      </c>
      <c r="G1168" s="122">
        <f t="shared" si="42"/>
        <v>0</v>
      </c>
      <c r="H1168" s="123">
        <f>IF(AND(ISNUMBER(F1168), F1168&gt;4, COUNTIFS($A$2:A1168, A1168, $B$2:B1168, B1168, $C$2:C1168, C1168, $F$2:F1168, "&gt;4")=1), 1, 0)</f>
        <v>1</v>
      </c>
      <c r="I1168" s="10">
        <f t="shared" si="43"/>
        <v>0</v>
      </c>
      <c r="J1168" s="10"/>
      <c r="K1168" s="7"/>
      <c r="L1168" s="7"/>
      <c r="M1168" s="7"/>
      <c r="N1168" s="10"/>
      <c r="O1168" s="113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t="15.75" customHeight="1">
      <c r="A1169" s="10" t="s">
        <v>19</v>
      </c>
      <c r="B1169" s="7" t="s">
        <v>97</v>
      </c>
      <c r="C1169" s="135">
        <v>46238</v>
      </c>
      <c r="D1169" s="44" t="s">
        <v>363</v>
      </c>
      <c r="E1169" s="35" t="s">
        <v>720</v>
      </c>
      <c r="F1169" s="121">
        <v>3.92</v>
      </c>
      <c r="G1169" s="122">
        <f t="shared" si="42"/>
        <v>1</v>
      </c>
      <c r="H1169" s="123">
        <f>IF(AND(ISNUMBER(F1169), F1169&gt;4, COUNTIFS($A$2:A1169, A1169, $B$2:B1169, B1169, $C$2:C1169, C1169, $F$2:F1169, "&gt;4")=1), 1, 0)</f>
        <v>0</v>
      </c>
      <c r="I1169" s="10">
        <f t="shared" si="43"/>
        <v>0</v>
      </c>
      <c r="J1169" s="10"/>
      <c r="K1169" s="7"/>
      <c r="L1169" s="7"/>
      <c r="M1169" s="7"/>
      <c r="N1169" s="10"/>
      <c r="O1169" s="113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t="15.75" customHeight="1">
      <c r="A1170" s="10" t="s">
        <v>19</v>
      </c>
      <c r="B1170" s="7" t="s">
        <v>97</v>
      </c>
      <c r="C1170" s="135">
        <v>46239</v>
      </c>
      <c r="D1170" s="44" t="s">
        <v>363</v>
      </c>
      <c r="E1170" s="35" t="s">
        <v>720</v>
      </c>
      <c r="F1170" s="121">
        <v>3.92</v>
      </c>
      <c r="G1170" s="122">
        <f t="shared" si="42"/>
        <v>1</v>
      </c>
      <c r="H1170" s="123">
        <f>IF(AND(ISNUMBER(F1170), F1170&gt;4, COUNTIFS($A$2:A1170, A1170, $B$2:B1170, B1170, $C$2:C1170, C1170, $F$2:F1170, "&gt;4")=1), 1, 0)</f>
        <v>0</v>
      </c>
      <c r="I1170" s="10">
        <f t="shared" si="43"/>
        <v>0</v>
      </c>
      <c r="J1170" s="10"/>
      <c r="K1170" s="7"/>
      <c r="L1170" s="7"/>
      <c r="M1170" s="7"/>
      <c r="N1170" s="10"/>
      <c r="O1170" s="113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t="15.75" customHeight="1">
      <c r="A1171" s="10" t="s">
        <v>19</v>
      </c>
      <c r="B1171" s="7" t="s">
        <v>97</v>
      </c>
      <c r="C1171" s="135">
        <v>46235</v>
      </c>
      <c r="D1171" s="44" t="s">
        <v>285</v>
      </c>
      <c r="E1171" s="35" t="s">
        <v>479</v>
      </c>
      <c r="F1171" s="121">
        <v>8.02</v>
      </c>
      <c r="G1171" s="122">
        <f t="shared" si="42"/>
        <v>0</v>
      </c>
      <c r="H1171" s="123">
        <f>IF(AND(ISNUMBER(F1171), F1171&gt;4, COUNTIFS($A$2:A1171, A1171, $B$2:B1171, B1171, $C$2:C1171, C1171, $F$2:F1171, "&gt;4")=1), 1, 0)</f>
        <v>0</v>
      </c>
      <c r="I1171" s="10">
        <f t="shared" si="43"/>
        <v>1</v>
      </c>
      <c r="J1171" s="10"/>
      <c r="K1171" s="7"/>
      <c r="L1171" s="7"/>
      <c r="M1171" s="7"/>
      <c r="N1171" s="10"/>
      <c r="O1171" s="113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t="15.75" customHeight="1">
      <c r="A1172" s="10" t="s">
        <v>19</v>
      </c>
      <c r="B1172" s="7" t="s">
        <v>97</v>
      </c>
      <c r="C1172" s="135">
        <v>46236</v>
      </c>
      <c r="D1172" s="44" t="s">
        <v>285</v>
      </c>
      <c r="E1172" s="35" t="s">
        <v>199</v>
      </c>
      <c r="F1172" s="121">
        <v>8</v>
      </c>
      <c r="G1172" s="122">
        <f t="shared" si="42"/>
        <v>0</v>
      </c>
      <c r="H1172" s="123">
        <f>IF(AND(ISNUMBER(F1172), F1172&gt;4, COUNTIFS($A$2:A1172, A1172, $B$2:B1172, B1172, $C$2:C1172, C1172, $F$2:F1172, "&gt;4")=1), 1, 0)</f>
        <v>0</v>
      </c>
      <c r="I1172" s="10">
        <f t="shared" si="43"/>
        <v>1</v>
      </c>
      <c r="J1172" s="10"/>
      <c r="K1172" s="7"/>
      <c r="L1172" s="7"/>
      <c r="M1172" s="7"/>
      <c r="N1172" s="10"/>
      <c r="O1172" s="113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t="15.75" customHeight="1">
      <c r="A1173" s="10" t="s">
        <v>19</v>
      </c>
      <c r="B1173" s="7" t="s">
        <v>97</v>
      </c>
      <c r="C1173" s="135">
        <v>46237</v>
      </c>
      <c r="D1173" s="44" t="s">
        <v>285</v>
      </c>
      <c r="E1173" s="35" t="s">
        <v>199</v>
      </c>
      <c r="F1173" s="121">
        <v>8</v>
      </c>
      <c r="G1173" s="122">
        <f t="shared" si="42"/>
        <v>0</v>
      </c>
      <c r="H1173" s="123">
        <f>IF(AND(ISNUMBER(F1173), F1173&gt;4, COUNTIFS($A$2:A1173, A1173, $B$2:B1173, B1173, $C$2:C1173, C1173, $F$2:F1173, "&gt;4")=1), 1, 0)</f>
        <v>0</v>
      </c>
      <c r="I1173" s="10">
        <f t="shared" si="43"/>
        <v>1</v>
      </c>
      <c r="J1173" s="10"/>
      <c r="K1173" s="7"/>
      <c r="L1173" s="7"/>
      <c r="M1173" s="7"/>
      <c r="N1173" s="10"/>
      <c r="O1173" s="113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t="15.75" customHeight="1">
      <c r="A1174" s="10" t="s">
        <v>19</v>
      </c>
      <c r="B1174" s="7" t="s">
        <v>97</v>
      </c>
      <c r="C1174" s="135">
        <v>46238</v>
      </c>
      <c r="D1174" s="44" t="s">
        <v>285</v>
      </c>
      <c r="E1174" s="35" t="s">
        <v>199</v>
      </c>
      <c r="F1174" s="121">
        <v>8</v>
      </c>
      <c r="G1174" s="122">
        <f t="shared" si="42"/>
        <v>0</v>
      </c>
      <c r="H1174" s="123">
        <f>IF(AND(ISNUMBER(F1174), F1174&gt;4, COUNTIFS($A$2:A1174, A1174, $B$2:B1174, B1174, $C$2:C1174, C1174, $F$2:F1174, "&gt;4")=1), 1, 0)</f>
        <v>1</v>
      </c>
      <c r="I1174" s="10">
        <f t="shared" si="43"/>
        <v>1</v>
      </c>
      <c r="J1174" s="10"/>
      <c r="K1174" s="7"/>
      <c r="L1174" s="7"/>
      <c r="M1174" s="7"/>
      <c r="N1174" s="10"/>
      <c r="O1174" s="113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t="15.75" customHeight="1">
      <c r="A1175" s="10" t="s">
        <v>19</v>
      </c>
      <c r="B1175" s="7" t="s">
        <v>97</v>
      </c>
      <c r="C1175" s="135">
        <v>46239</v>
      </c>
      <c r="D1175" s="44" t="s">
        <v>285</v>
      </c>
      <c r="E1175" s="35" t="s">
        <v>288</v>
      </c>
      <c r="F1175" s="121">
        <v>8.0500000000000007</v>
      </c>
      <c r="G1175" s="122">
        <f t="shared" si="42"/>
        <v>0</v>
      </c>
      <c r="H1175" s="123">
        <f>IF(AND(ISNUMBER(F1175), F1175&gt;4, COUNTIFS($A$2:A1175, A1175, $B$2:B1175, B1175, $C$2:C1175, C1175, $F$2:F1175, "&gt;4")=1), 1, 0)</f>
        <v>1</v>
      </c>
      <c r="I1175" s="10">
        <f t="shared" si="43"/>
        <v>1</v>
      </c>
      <c r="J1175" s="10"/>
      <c r="K1175" s="7"/>
      <c r="L1175" s="7"/>
      <c r="M1175" s="7"/>
      <c r="N1175" s="10"/>
      <c r="O1175" s="113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t="15.75" customHeight="1">
      <c r="A1176" s="10" t="s">
        <v>23</v>
      </c>
      <c r="B1176" s="7" t="s">
        <v>122</v>
      </c>
      <c r="C1176" s="135">
        <v>46240</v>
      </c>
      <c r="D1176" s="44" t="s">
        <v>200</v>
      </c>
      <c r="E1176" s="35" t="s">
        <v>199</v>
      </c>
      <c r="F1176" s="121">
        <v>8</v>
      </c>
      <c r="G1176" s="122">
        <f t="shared" si="42"/>
        <v>0</v>
      </c>
      <c r="H1176" s="123">
        <f>IF(AND(ISNUMBER(F1176), F1176&gt;4, COUNTIFS($A$2:A1176, A1176, $B$2:B1176, B1176, $C$2:C1176, C1176, $F$2:F1176, "&gt;4")=1), 1, 0)</f>
        <v>1</v>
      </c>
      <c r="I1176" s="10">
        <f t="shared" si="43"/>
        <v>0</v>
      </c>
      <c r="J1176" s="10"/>
      <c r="K1176" s="7"/>
      <c r="L1176" s="7"/>
      <c r="M1176" s="7"/>
      <c r="N1176" s="10"/>
      <c r="O1176" s="113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t="15.75" customHeight="1">
      <c r="A1177" s="10" t="s">
        <v>23</v>
      </c>
      <c r="B1177" s="7" t="s">
        <v>122</v>
      </c>
      <c r="C1177" s="135">
        <v>46241</v>
      </c>
      <c r="D1177" s="44" t="s">
        <v>200</v>
      </c>
      <c r="E1177" s="35" t="s">
        <v>353</v>
      </c>
      <c r="F1177" s="121">
        <v>14</v>
      </c>
      <c r="G1177" s="122">
        <f t="shared" si="42"/>
        <v>0</v>
      </c>
      <c r="H1177" s="123">
        <f>IF(AND(ISNUMBER(F1177), F1177&gt;4, COUNTIFS($A$2:A1177, A1177, $B$2:B1177, B1177, $C$2:C1177, C1177, $F$2:F1177, "&gt;4")=1), 1, 0)</f>
        <v>1</v>
      </c>
      <c r="I1177" s="10">
        <f t="shared" si="43"/>
        <v>0</v>
      </c>
      <c r="J1177" s="10"/>
      <c r="K1177" s="7"/>
      <c r="L1177" s="7"/>
      <c r="M1177" s="7"/>
      <c r="N1177" s="10"/>
      <c r="O1177" s="113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t="15.75" customHeight="1">
      <c r="A1178" s="10" t="s">
        <v>23</v>
      </c>
      <c r="B1178" s="7" t="s">
        <v>122</v>
      </c>
      <c r="C1178" s="135">
        <v>46244</v>
      </c>
      <c r="D1178" s="44" t="s">
        <v>200</v>
      </c>
      <c r="E1178" s="35" t="s">
        <v>303</v>
      </c>
      <c r="F1178" s="121">
        <v>7.83</v>
      </c>
      <c r="G1178" s="122">
        <f t="shared" si="42"/>
        <v>0</v>
      </c>
      <c r="H1178" s="123">
        <f>IF(AND(ISNUMBER(F1178), F1178&gt;4, COUNTIFS($A$2:A1178, A1178, $B$2:B1178, B1178, $C$2:C1178, C1178, $F$2:F1178, "&gt;4")=1), 1, 0)</f>
        <v>1</v>
      </c>
      <c r="I1178" s="10">
        <f t="shared" si="43"/>
        <v>0</v>
      </c>
      <c r="J1178" s="10"/>
      <c r="K1178" s="7"/>
      <c r="L1178" s="7"/>
      <c r="M1178" s="7"/>
      <c r="N1178" s="10"/>
      <c r="O1178" s="113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t="15.75" customHeight="1">
      <c r="A1179" s="10" t="s">
        <v>23</v>
      </c>
      <c r="B1179" s="7" t="s">
        <v>122</v>
      </c>
      <c r="C1179" s="135">
        <v>46246</v>
      </c>
      <c r="D1179" s="44" t="s">
        <v>200</v>
      </c>
      <c r="E1179" s="35" t="s">
        <v>510</v>
      </c>
      <c r="F1179" s="121">
        <v>8.75</v>
      </c>
      <c r="G1179" s="122">
        <f t="shared" si="42"/>
        <v>0</v>
      </c>
      <c r="H1179" s="123">
        <f>IF(AND(ISNUMBER(F1179), F1179&gt;4, COUNTIFS($A$2:A1179, A1179, $B$2:B1179, B1179, $C$2:C1179, C1179, $F$2:F1179, "&gt;4")=1), 1, 0)</f>
        <v>1</v>
      </c>
      <c r="I1179" s="10">
        <f t="shared" si="43"/>
        <v>0</v>
      </c>
      <c r="J1179" s="10"/>
      <c r="K1179" s="7"/>
      <c r="L1179" s="7"/>
      <c r="M1179" s="7"/>
      <c r="N1179" s="10"/>
      <c r="O1179" s="113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t="15.75" customHeight="1">
      <c r="A1180" s="10" t="s">
        <v>23</v>
      </c>
      <c r="B1180" s="7" t="s">
        <v>122</v>
      </c>
      <c r="C1180" s="135">
        <v>46251</v>
      </c>
      <c r="D1180" s="44" t="s">
        <v>200</v>
      </c>
      <c r="E1180" s="35" t="s">
        <v>721</v>
      </c>
      <c r="F1180" s="121">
        <v>9.75</v>
      </c>
      <c r="G1180" s="122">
        <f t="shared" si="42"/>
        <v>0</v>
      </c>
      <c r="H1180" s="123">
        <f>IF(AND(ISNUMBER(F1180), F1180&gt;4, COUNTIFS($A$2:A1180, A1180, $B$2:B1180, B1180, $C$2:C1180, C1180, $F$2:F1180, "&gt;4")=1), 1, 0)</f>
        <v>1</v>
      </c>
      <c r="I1180" s="10">
        <f t="shared" si="43"/>
        <v>0</v>
      </c>
      <c r="J1180" s="10"/>
      <c r="K1180" s="7"/>
      <c r="L1180" s="7"/>
      <c r="M1180" s="7"/>
      <c r="N1180" s="10"/>
      <c r="O1180" s="113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t="15.75" customHeight="1">
      <c r="A1181" s="10" t="s">
        <v>23</v>
      </c>
      <c r="B1181" s="7" t="s">
        <v>122</v>
      </c>
      <c r="C1181" s="135">
        <v>46256</v>
      </c>
      <c r="D1181" s="44" t="s">
        <v>200</v>
      </c>
      <c r="E1181" s="35" t="s">
        <v>722</v>
      </c>
      <c r="F1181" s="121">
        <v>9.3699999999999992</v>
      </c>
      <c r="G1181" s="122">
        <f t="shared" si="42"/>
        <v>0</v>
      </c>
      <c r="H1181" s="123">
        <f>IF(AND(ISNUMBER(F1181), F1181&gt;4, COUNTIFS($A$2:A1181, A1181, $B$2:B1181, B1181, $C$2:C1181, C1181, $F$2:F1181, "&gt;4")=1), 1, 0)</f>
        <v>1</v>
      </c>
      <c r="I1181" s="10">
        <f t="shared" si="43"/>
        <v>0</v>
      </c>
      <c r="J1181" s="10"/>
      <c r="K1181" s="7"/>
      <c r="L1181" s="7"/>
      <c r="M1181" s="7"/>
      <c r="N1181" s="10"/>
      <c r="O1181" s="113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t="15.75" customHeight="1">
      <c r="A1182" s="10" t="s">
        <v>23</v>
      </c>
      <c r="B1182" s="7" t="s">
        <v>122</v>
      </c>
      <c r="C1182" s="135">
        <v>46257</v>
      </c>
      <c r="D1182" s="44" t="s">
        <v>200</v>
      </c>
      <c r="E1182" s="35" t="s">
        <v>723</v>
      </c>
      <c r="F1182" s="121">
        <v>9.0500000000000007</v>
      </c>
      <c r="G1182" s="122">
        <f t="shared" si="42"/>
        <v>0</v>
      </c>
      <c r="H1182" s="123">
        <f>IF(AND(ISNUMBER(F1182), F1182&gt;4, COUNTIFS($A$2:A1182, A1182, $B$2:B1182, B1182, $C$2:C1182, C1182, $F$2:F1182, "&gt;4")=1), 1, 0)</f>
        <v>1</v>
      </c>
      <c r="I1182" s="10">
        <f t="shared" si="43"/>
        <v>0</v>
      </c>
      <c r="J1182" s="10"/>
      <c r="K1182" s="7"/>
      <c r="L1182" s="7"/>
      <c r="M1182" s="7"/>
      <c r="N1182" s="10"/>
      <c r="O1182" s="113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t="15.75" customHeight="1">
      <c r="A1183" s="10" t="s">
        <v>23</v>
      </c>
      <c r="B1183" s="7" t="s">
        <v>122</v>
      </c>
      <c r="C1183" s="135">
        <v>46258</v>
      </c>
      <c r="D1183" s="44" t="s">
        <v>200</v>
      </c>
      <c r="E1183" s="35" t="s">
        <v>684</v>
      </c>
      <c r="F1183" s="121">
        <v>7.73</v>
      </c>
      <c r="G1183" s="122">
        <f t="shared" si="42"/>
        <v>0</v>
      </c>
      <c r="H1183" s="123">
        <f>IF(AND(ISNUMBER(F1183), F1183&gt;4, COUNTIFS($A$2:A1183, A1183, $B$2:B1183, B1183, $C$2:C1183, C1183, $F$2:F1183, "&gt;4")=1), 1, 0)</f>
        <v>1</v>
      </c>
      <c r="I1183" s="10">
        <f t="shared" si="43"/>
        <v>0</v>
      </c>
      <c r="J1183" s="10"/>
      <c r="K1183" s="7"/>
      <c r="L1183" s="7"/>
      <c r="M1183" s="7"/>
      <c r="N1183" s="10"/>
      <c r="O1183" s="113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t="15.75" customHeight="1">
      <c r="A1184" s="10" t="s">
        <v>23</v>
      </c>
      <c r="B1184" s="7" t="s">
        <v>122</v>
      </c>
      <c r="C1184" s="135">
        <v>46263</v>
      </c>
      <c r="D1184" s="44" t="s">
        <v>200</v>
      </c>
      <c r="E1184" s="35" t="s">
        <v>724</v>
      </c>
      <c r="F1184" s="121">
        <v>11.17</v>
      </c>
      <c r="G1184" s="122">
        <f t="shared" si="42"/>
        <v>0</v>
      </c>
      <c r="H1184" s="123">
        <f>IF(AND(ISNUMBER(F1184), F1184&gt;4, COUNTIFS($A$2:A1184, A1184, $B$2:B1184, B1184, $C$2:C1184, C1184, $F$2:F1184, "&gt;4")=1), 1, 0)</f>
        <v>1</v>
      </c>
      <c r="I1184" s="10">
        <f t="shared" si="43"/>
        <v>0</v>
      </c>
      <c r="J1184" s="10"/>
      <c r="K1184" s="7"/>
      <c r="L1184" s="7"/>
      <c r="M1184" s="7"/>
      <c r="N1184" s="10"/>
      <c r="O1184" s="113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t="15.75" customHeight="1">
      <c r="A1185" s="10" t="s">
        <v>23</v>
      </c>
      <c r="B1185" s="7" t="s">
        <v>122</v>
      </c>
      <c r="C1185" s="135">
        <v>46264</v>
      </c>
      <c r="D1185" s="44" t="s">
        <v>200</v>
      </c>
      <c r="E1185" s="35" t="s">
        <v>725</v>
      </c>
      <c r="F1185" s="121">
        <v>11.1</v>
      </c>
      <c r="G1185" s="122">
        <f t="shared" si="42"/>
        <v>0</v>
      </c>
      <c r="H1185" s="123">
        <f>IF(AND(ISNUMBER(F1185), F1185&gt;4, COUNTIFS($A$2:A1185, A1185, $B$2:B1185, B1185, $C$2:C1185, C1185, $F$2:F1185, "&gt;4")=1), 1, 0)</f>
        <v>1</v>
      </c>
      <c r="I1185" s="10">
        <f t="shared" si="43"/>
        <v>0</v>
      </c>
      <c r="J1185" s="10"/>
      <c r="K1185" s="7"/>
      <c r="L1185" s="7"/>
      <c r="M1185" s="7"/>
      <c r="N1185" s="10"/>
      <c r="O1185" s="113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t="15.75" customHeight="1">
      <c r="A1186" s="10" t="s">
        <v>23</v>
      </c>
      <c r="B1186" s="7" t="s">
        <v>122</v>
      </c>
      <c r="C1186" s="135">
        <v>46235</v>
      </c>
      <c r="D1186" s="44" t="s">
        <v>204</v>
      </c>
      <c r="E1186" s="35" t="s">
        <v>503</v>
      </c>
      <c r="F1186" s="121">
        <v>8.1999999999999993</v>
      </c>
      <c r="G1186" s="122">
        <f t="shared" si="42"/>
        <v>0</v>
      </c>
      <c r="H1186" s="123">
        <f>IF(AND(ISNUMBER(F1186), F1186&gt;4, COUNTIFS($A$2:A1186, A1186, $B$2:B1186, B1186, $C$2:C1186, C1186, $F$2:F1186, "&gt;4")=1), 1, 0)</f>
        <v>1</v>
      </c>
      <c r="I1186" s="10">
        <f t="shared" si="43"/>
        <v>0</v>
      </c>
      <c r="J1186" s="10"/>
      <c r="K1186" s="7"/>
      <c r="L1186" s="7"/>
      <c r="M1186" s="7"/>
      <c r="N1186" s="10"/>
      <c r="O1186" s="113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t="15.75" customHeight="1">
      <c r="A1187" s="10" t="s">
        <v>23</v>
      </c>
      <c r="B1187" s="7" t="s">
        <v>122</v>
      </c>
      <c r="C1187" s="135">
        <v>46236</v>
      </c>
      <c r="D1187" s="44" t="s">
        <v>204</v>
      </c>
      <c r="E1187" s="35" t="s">
        <v>280</v>
      </c>
      <c r="F1187" s="121">
        <v>8.25</v>
      </c>
      <c r="G1187" s="122">
        <f t="shared" si="42"/>
        <v>0</v>
      </c>
      <c r="H1187" s="123">
        <f>IF(AND(ISNUMBER(F1187), F1187&gt;4, COUNTIFS($A$2:A1187, A1187, $B$2:B1187, B1187, $C$2:C1187, C1187, $F$2:F1187, "&gt;4")=1), 1, 0)</f>
        <v>1</v>
      </c>
      <c r="I1187" s="10">
        <f t="shared" si="43"/>
        <v>0</v>
      </c>
      <c r="J1187" s="10"/>
      <c r="K1187" s="7"/>
      <c r="L1187" s="7"/>
      <c r="M1187" s="7"/>
      <c r="N1187" s="10"/>
      <c r="O1187" s="113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t="15.75" customHeight="1">
      <c r="A1188" s="10" t="s">
        <v>23</v>
      </c>
      <c r="B1188" s="7" t="s">
        <v>122</v>
      </c>
      <c r="C1188" s="135">
        <v>46237</v>
      </c>
      <c r="D1188" s="44" t="s">
        <v>204</v>
      </c>
      <c r="E1188" s="35" t="s">
        <v>488</v>
      </c>
      <c r="F1188" s="121">
        <v>8.3800000000000008</v>
      </c>
      <c r="G1188" s="122">
        <f t="shared" si="42"/>
        <v>0</v>
      </c>
      <c r="H1188" s="123">
        <f>IF(AND(ISNUMBER(F1188), F1188&gt;4, COUNTIFS($A$2:A1188, A1188, $B$2:B1188, B1188, $C$2:C1188, C1188, $F$2:F1188, "&gt;4")=1), 1, 0)</f>
        <v>1</v>
      </c>
      <c r="I1188" s="10">
        <f t="shared" si="43"/>
        <v>0</v>
      </c>
      <c r="J1188" s="10"/>
      <c r="K1188" s="7"/>
      <c r="L1188" s="7"/>
      <c r="M1188" s="7"/>
      <c r="N1188" s="10"/>
      <c r="O1188" s="113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t="15.75" customHeight="1">
      <c r="A1189" s="10" t="s">
        <v>23</v>
      </c>
      <c r="B1189" s="7" t="s">
        <v>122</v>
      </c>
      <c r="C1189" s="135">
        <v>46238</v>
      </c>
      <c r="D1189" s="44" t="s">
        <v>204</v>
      </c>
      <c r="E1189" s="35" t="s">
        <v>480</v>
      </c>
      <c r="F1189" s="121">
        <v>7.97</v>
      </c>
      <c r="G1189" s="122">
        <f t="shared" si="42"/>
        <v>0</v>
      </c>
      <c r="H1189" s="123">
        <f>IF(AND(ISNUMBER(F1189), F1189&gt;4, COUNTIFS($A$2:A1189, A1189, $B$2:B1189, B1189, $C$2:C1189, C1189, $F$2:F1189, "&gt;4")=1), 1, 0)</f>
        <v>1</v>
      </c>
      <c r="I1189" s="10">
        <f t="shared" si="43"/>
        <v>0</v>
      </c>
      <c r="J1189" s="10"/>
      <c r="K1189" s="7"/>
      <c r="L1189" s="7"/>
      <c r="M1189" s="7"/>
      <c r="N1189" s="10"/>
      <c r="O1189" s="113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t="15.75" customHeight="1">
      <c r="A1190" s="10" t="s">
        <v>23</v>
      </c>
      <c r="B1190" s="7" t="s">
        <v>122</v>
      </c>
      <c r="C1190" s="135">
        <v>46239</v>
      </c>
      <c r="D1190" s="44" t="s">
        <v>204</v>
      </c>
      <c r="E1190" s="35" t="s">
        <v>501</v>
      </c>
      <c r="F1190" s="121">
        <v>8.2200000000000006</v>
      </c>
      <c r="G1190" s="122">
        <f t="shared" si="42"/>
        <v>0</v>
      </c>
      <c r="H1190" s="123">
        <f>IF(AND(ISNUMBER(F1190), F1190&gt;4, COUNTIFS($A$2:A1190, A1190, $B$2:B1190, B1190, $C$2:C1190, C1190, $F$2:F1190, "&gt;4")=1), 1, 0)</f>
        <v>1</v>
      </c>
      <c r="I1190" s="10">
        <f t="shared" si="43"/>
        <v>0</v>
      </c>
      <c r="J1190" s="10"/>
      <c r="K1190" s="7"/>
      <c r="L1190" s="7"/>
      <c r="M1190" s="7"/>
      <c r="N1190" s="10"/>
      <c r="O1190" s="113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t="15.75" customHeight="1">
      <c r="A1191" s="10" t="s">
        <v>23</v>
      </c>
      <c r="B1191" s="7" t="s">
        <v>122</v>
      </c>
      <c r="C1191" s="135">
        <v>46240</v>
      </c>
      <c r="D1191" s="44" t="s">
        <v>204</v>
      </c>
      <c r="E1191" s="35" t="s">
        <v>726</v>
      </c>
      <c r="F1191" s="121">
        <v>6.38</v>
      </c>
      <c r="G1191" s="122">
        <f t="shared" si="42"/>
        <v>0</v>
      </c>
      <c r="H1191" s="123">
        <f>IF(AND(ISNUMBER(F1191), F1191&gt;4, COUNTIFS($A$2:A1191, A1191, $B$2:B1191, B1191, $C$2:C1191, C1191, $F$2:F1191, "&gt;4")=1), 1, 0)</f>
        <v>0</v>
      </c>
      <c r="I1191" s="10">
        <f t="shared" si="43"/>
        <v>0</v>
      </c>
      <c r="J1191" s="10"/>
      <c r="K1191" s="7"/>
      <c r="L1191" s="7"/>
      <c r="M1191" s="7"/>
      <c r="N1191" s="10"/>
      <c r="O1191" s="113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t="15.75" customHeight="1">
      <c r="A1192" s="10" t="s">
        <v>23</v>
      </c>
      <c r="B1192" s="7" t="s">
        <v>122</v>
      </c>
      <c r="C1192" s="135">
        <v>46241</v>
      </c>
      <c r="D1192" s="44" t="s">
        <v>204</v>
      </c>
      <c r="E1192" s="35" t="s">
        <v>727</v>
      </c>
      <c r="F1192" s="121">
        <v>2.13</v>
      </c>
      <c r="G1192" s="122">
        <f t="shared" si="42"/>
        <v>1</v>
      </c>
      <c r="H1192" s="123">
        <f>IF(AND(ISNUMBER(F1192), F1192&gt;4, COUNTIFS($A$2:A1192, A1192, $B$2:B1192, B1192, $C$2:C1192, C1192, $F$2:F1192, "&gt;4")=1), 1, 0)</f>
        <v>0</v>
      </c>
      <c r="I1192" s="10">
        <f t="shared" si="43"/>
        <v>0</v>
      </c>
      <c r="J1192" s="10"/>
      <c r="K1192" s="7"/>
      <c r="L1192" s="7"/>
      <c r="M1192" s="7"/>
      <c r="N1192" s="10"/>
      <c r="O1192" s="113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t="15.75" customHeight="1">
      <c r="A1193" s="10" t="s">
        <v>23</v>
      </c>
      <c r="B1193" s="7" t="s">
        <v>122</v>
      </c>
      <c r="C1193" s="135">
        <v>46245</v>
      </c>
      <c r="D1193" s="44" t="s">
        <v>204</v>
      </c>
      <c r="E1193" s="35" t="s">
        <v>691</v>
      </c>
      <c r="F1193" s="121">
        <v>8.8000000000000007</v>
      </c>
      <c r="G1193" s="122">
        <f t="shared" si="42"/>
        <v>0</v>
      </c>
      <c r="H1193" s="123">
        <f>IF(AND(ISNUMBER(F1193), F1193&gt;4, COUNTIFS($A$2:A1193, A1193, $B$2:B1193, B1193, $C$2:C1193, C1193, $F$2:F1193, "&gt;4")=1), 1, 0)</f>
        <v>1</v>
      </c>
      <c r="I1193" s="10">
        <f t="shared" si="43"/>
        <v>0</v>
      </c>
      <c r="J1193" s="10"/>
      <c r="K1193" s="7"/>
      <c r="L1193" s="7"/>
      <c r="M1193" s="7"/>
      <c r="N1193" s="10"/>
      <c r="O1193" s="113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t="15.75" customHeight="1">
      <c r="A1194" s="10" t="s">
        <v>23</v>
      </c>
      <c r="B1194" s="7" t="s">
        <v>122</v>
      </c>
      <c r="C1194" s="135">
        <v>46247</v>
      </c>
      <c r="D1194" s="44" t="s">
        <v>204</v>
      </c>
      <c r="E1194" s="35" t="s">
        <v>400</v>
      </c>
      <c r="F1194" s="121">
        <v>8.6199999999999992</v>
      </c>
      <c r="G1194" s="122">
        <f t="shared" si="42"/>
        <v>0</v>
      </c>
      <c r="H1194" s="123">
        <f>IF(AND(ISNUMBER(F1194), F1194&gt;4, COUNTIFS($A$2:A1194, A1194, $B$2:B1194, B1194, $C$2:C1194, C1194, $F$2:F1194, "&gt;4")=1), 1, 0)</f>
        <v>1</v>
      </c>
      <c r="I1194" s="10">
        <f t="shared" si="43"/>
        <v>0</v>
      </c>
      <c r="J1194" s="10"/>
      <c r="K1194" s="7"/>
      <c r="L1194" s="7"/>
      <c r="M1194" s="7"/>
      <c r="N1194" s="10"/>
      <c r="O1194" s="113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t="15.75" customHeight="1">
      <c r="A1195" s="10" t="s">
        <v>23</v>
      </c>
      <c r="B1195" s="7" t="s">
        <v>122</v>
      </c>
      <c r="C1195" s="135">
        <v>46248</v>
      </c>
      <c r="D1195" s="44" t="s">
        <v>204</v>
      </c>
      <c r="E1195" s="35" t="s">
        <v>690</v>
      </c>
      <c r="F1195" s="121">
        <v>8.92</v>
      </c>
      <c r="G1195" s="122">
        <f t="shared" si="42"/>
        <v>0</v>
      </c>
      <c r="H1195" s="123">
        <f>IF(AND(ISNUMBER(F1195), F1195&gt;4, COUNTIFS($A$2:A1195, A1195, $B$2:B1195, B1195, $C$2:C1195, C1195, $F$2:F1195, "&gt;4")=1), 1, 0)</f>
        <v>1</v>
      </c>
      <c r="I1195" s="10">
        <f t="shared" si="43"/>
        <v>0</v>
      </c>
      <c r="J1195" s="10"/>
      <c r="K1195" s="7"/>
      <c r="L1195" s="7"/>
      <c r="M1195" s="7"/>
      <c r="N1195" s="10"/>
      <c r="O1195" s="113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t="15.75" customHeight="1">
      <c r="A1196" s="10" t="s">
        <v>23</v>
      </c>
      <c r="B1196" s="7" t="s">
        <v>122</v>
      </c>
      <c r="C1196" s="135">
        <v>46252</v>
      </c>
      <c r="D1196" s="44" t="s">
        <v>204</v>
      </c>
      <c r="E1196" s="35" t="s">
        <v>483</v>
      </c>
      <c r="F1196" s="121">
        <v>7.92</v>
      </c>
      <c r="G1196" s="122">
        <f t="shared" si="42"/>
        <v>0</v>
      </c>
      <c r="H1196" s="123">
        <f>IF(AND(ISNUMBER(F1196), F1196&gt;4, COUNTIFS($A$2:A1196, A1196, $B$2:B1196, B1196, $C$2:C1196, C1196, $F$2:F1196, "&gt;4")=1), 1, 0)</f>
        <v>1</v>
      </c>
      <c r="I1196" s="10">
        <f t="shared" si="43"/>
        <v>0</v>
      </c>
      <c r="J1196" s="10"/>
      <c r="K1196" s="7"/>
      <c r="L1196" s="7"/>
      <c r="M1196" s="7"/>
      <c r="N1196" s="10"/>
      <c r="O1196" s="113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t="15.75" customHeight="1">
      <c r="A1197" s="10" t="s">
        <v>23</v>
      </c>
      <c r="B1197" s="7" t="s">
        <v>122</v>
      </c>
      <c r="C1197" s="135">
        <v>46253</v>
      </c>
      <c r="D1197" s="44" t="s">
        <v>204</v>
      </c>
      <c r="E1197" s="35" t="s">
        <v>499</v>
      </c>
      <c r="F1197" s="121">
        <v>8.15</v>
      </c>
      <c r="G1197" s="122">
        <f t="shared" si="42"/>
        <v>0</v>
      </c>
      <c r="H1197" s="123">
        <f>IF(AND(ISNUMBER(F1197), F1197&gt;4, COUNTIFS($A$2:A1197, A1197, $B$2:B1197, B1197, $C$2:C1197, C1197, $F$2:F1197, "&gt;4")=1), 1, 0)</f>
        <v>1</v>
      </c>
      <c r="I1197" s="10">
        <f t="shared" si="43"/>
        <v>0</v>
      </c>
      <c r="J1197" s="10"/>
      <c r="K1197" s="7"/>
      <c r="L1197" s="7"/>
      <c r="M1197" s="7"/>
      <c r="N1197" s="10"/>
      <c r="O1197" s="113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t="15.75" customHeight="1">
      <c r="A1198" s="10" t="s">
        <v>23</v>
      </c>
      <c r="B1198" s="7" t="s">
        <v>122</v>
      </c>
      <c r="C1198" s="135">
        <v>46254</v>
      </c>
      <c r="D1198" s="44" t="s">
        <v>204</v>
      </c>
      <c r="E1198" s="35" t="s">
        <v>499</v>
      </c>
      <c r="F1198" s="121">
        <v>8.15</v>
      </c>
      <c r="G1198" s="122">
        <f t="shared" si="42"/>
        <v>0</v>
      </c>
      <c r="H1198" s="123">
        <f>IF(AND(ISNUMBER(F1198), F1198&gt;4, COUNTIFS($A$2:A1198, A1198, $B$2:B1198, B1198, $C$2:C1198, C1198, $F$2:F1198, "&gt;4")=1), 1, 0)</f>
        <v>1</v>
      </c>
      <c r="I1198" s="10">
        <f t="shared" si="43"/>
        <v>0</v>
      </c>
      <c r="J1198" s="10"/>
      <c r="K1198" s="7"/>
      <c r="L1198" s="7"/>
      <c r="M1198" s="7"/>
      <c r="N1198" s="10"/>
      <c r="O1198" s="113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t="15.75" customHeight="1">
      <c r="A1199" s="10" t="s">
        <v>23</v>
      </c>
      <c r="B1199" s="7" t="s">
        <v>122</v>
      </c>
      <c r="C1199" s="135">
        <v>46255</v>
      </c>
      <c r="D1199" s="44" t="s">
        <v>204</v>
      </c>
      <c r="E1199" s="35" t="s">
        <v>728</v>
      </c>
      <c r="F1199" s="121">
        <v>10.37</v>
      </c>
      <c r="G1199" s="122">
        <f t="shared" si="42"/>
        <v>0</v>
      </c>
      <c r="H1199" s="123">
        <f>IF(AND(ISNUMBER(F1199), F1199&gt;4, COUNTIFS($A$2:A1199, A1199, $B$2:B1199, B1199, $C$2:C1199, C1199, $F$2:F1199, "&gt;4")=1), 1, 0)</f>
        <v>1</v>
      </c>
      <c r="I1199" s="10">
        <f t="shared" si="43"/>
        <v>0</v>
      </c>
      <c r="J1199" s="10"/>
      <c r="K1199" s="7"/>
      <c r="L1199" s="7"/>
      <c r="M1199" s="7"/>
      <c r="N1199" s="10"/>
      <c r="O1199" s="113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t="15.75" customHeight="1">
      <c r="A1200" s="10" t="s">
        <v>23</v>
      </c>
      <c r="B1200" s="7" t="s">
        <v>122</v>
      </c>
      <c r="C1200" s="135">
        <v>46257</v>
      </c>
      <c r="D1200" s="44" t="s">
        <v>204</v>
      </c>
      <c r="E1200" s="35" t="s">
        <v>250</v>
      </c>
      <c r="F1200" s="121">
        <v>6.05</v>
      </c>
      <c r="G1200" s="122">
        <f t="shared" si="42"/>
        <v>0</v>
      </c>
      <c r="H1200" s="123">
        <f>IF(AND(ISNUMBER(F1200), F1200&gt;4, COUNTIFS($A$2:A1200, A1200, $B$2:B1200, B1200, $C$2:C1200, C1200, $F$2:F1200, "&gt;4")=1), 1, 0)</f>
        <v>0</v>
      </c>
      <c r="I1200" s="10">
        <f t="shared" si="43"/>
        <v>0</v>
      </c>
      <c r="J1200" s="10"/>
      <c r="K1200" s="7"/>
      <c r="L1200" s="7"/>
      <c r="M1200" s="7"/>
      <c r="N1200" s="10"/>
      <c r="O1200" s="113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t="15.75" customHeight="1">
      <c r="A1201" s="10" t="s">
        <v>23</v>
      </c>
      <c r="B1201" s="7" t="s">
        <v>122</v>
      </c>
      <c r="C1201" s="135">
        <v>46259</v>
      </c>
      <c r="D1201" s="44" t="s">
        <v>204</v>
      </c>
      <c r="E1201" s="35" t="s">
        <v>492</v>
      </c>
      <c r="F1201" s="121">
        <v>8.42</v>
      </c>
      <c r="G1201" s="122">
        <f t="shared" si="42"/>
        <v>0</v>
      </c>
      <c r="H1201" s="123">
        <f>IF(AND(ISNUMBER(F1201), F1201&gt;4, COUNTIFS($A$2:A1201, A1201, $B$2:B1201, B1201, $C$2:C1201, C1201, $F$2:F1201, "&gt;4")=1), 1, 0)</f>
        <v>1</v>
      </c>
      <c r="I1201" s="10">
        <f t="shared" si="43"/>
        <v>0</v>
      </c>
      <c r="J1201" s="10"/>
      <c r="K1201" s="7"/>
      <c r="L1201" s="7"/>
      <c r="M1201" s="7"/>
      <c r="N1201" s="10"/>
      <c r="O1201" s="113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t="15.75" customHeight="1">
      <c r="A1202" s="10" t="s">
        <v>23</v>
      </c>
      <c r="B1202" s="7" t="s">
        <v>122</v>
      </c>
      <c r="C1202" s="135">
        <v>46260</v>
      </c>
      <c r="D1202" s="44" t="s">
        <v>204</v>
      </c>
      <c r="E1202" s="35" t="s">
        <v>492</v>
      </c>
      <c r="F1202" s="121">
        <v>8.42</v>
      </c>
      <c r="G1202" s="122">
        <f t="shared" si="42"/>
        <v>0</v>
      </c>
      <c r="H1202" s="123">
        <f>IF(AND(ISNUMBER(F1202), F1202&gt;4, COUNTIFS($A$2:A1202, A1202, $B$2:B1202, B1202, $C$2:C1202, C1202, $F$2:F1202, "&gt;4")=1), 1, 0)</f>
        <v>1</v>
      </c>
      <c r="I1202" s="10">
        <f t="shared" si="43"/>
        <v>0</v>
      </c>
      <c r="J1202" s="10"/>
      <c r="K1202" s="7"/>
      <c r="L1202" s="7"/>
      <c r="M1202" s="7"/>
      <c r="N1202" s="10"/>
      <c r="O1202" s="113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t="15.75" customHeight="1">
      <c r="A1203" s="10" t="s">
        <v>23</v>
      </c>
      <c r="B1203" s="7" t="s">
        <v>122</v>
      </c>
      <c r="C1203" s="135">
        <v>46261</v>
      </c>
      <c r="D1203" s="44" t="s">
        <v>204</v>
      </c>
      <c r="E1203" s="35" t="s">
        <v>483</v>
      </c>
      <c r="F1203" s="121">
        <v>7.92</v>
      </c>
      <c r="G1203" s="122">
        <f t="shared" si="42"/>
        <v>0</v>
      </c>
      <c r="H1203" s="123">
        <f>IF(AND(ISNUMBER(F1203), F1203&gt;4, COUNTIFS($A$2:A1203, A1203, $B$2:B1203, B1203, $C$2:C1203, C1203, $F$2:F1203, "&gt;4")=1), 1, 0)</f>
        <v>1</v>
      </c>
      <c r="I1203" s="10">
        <f t="shared" si="43"/>
        <v>0</v>
      </c>
      <c r="J1203" s="10"/>
      <c r="K1203" s="7"/>
      <c r="L1203" s="7"/>
      <c r="M1203" s="7"/>
      <c r="N1203" s="10"/>
      <c r="O1203" s="113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t="15.75" customHeight="1">
      <c r="A1204" s="10" t="s">
        <v>23</v>
      </c>
      <c r="B1204" s="7" t="s">
        <v>122</v>
      </c>
      <c r="C1204" s="135">
        <v>46265</v>
      </c>
      <c r="D1204" s="44" t="s">
        <v>204</v>
      </c>
      <c r="E1204" s="35" t="s">
        <v>199</v>
      </c>
      <c r="F1204" s="121">
        <v>8</v>
      </c>
      <c r="G1204" s="122">
        <f t="shared" si="42"/>
        <v>0</v>
      </c>
      <c r="H1204" s="123">
        <f>IF(AND(ISNUMBER(F1204), F1204&gt;4, COUNTIFS($A$2:A1204, A1204, $B$2:B1204, B1204, $C$2:C1204, C1204, $F$2:F1204, "&gt;4")=1), 1, 0)</f>
        <v>1</v>
      </c>
      <c r="I1204" s="10">
        <f t="shared" si="43"/>
        <v>0</v>
      </c>
      <c r="J1204" s="10"/>
      <c r="K1204" s="7"/>
      <c r="L1204" s="7"/>
      <c r="M1204" s="7"/>
      <c r="N1204" s="10"/>
      <c r="O1204" s="113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t="15.75" customHeight="1">
      <c r="A1205" s="10" t="s">
        <v>23</v>
      </c>
      <c r="B1205" s="7" t="s">
        <v>122</v>
      </c>
      <c r="C1205" s="135">
        <v>46262</v>
      </c>
      <c r="D1205" s="44" t="s">
        <v>206</v>
      </c>
      <c r="E1205" s="35" t="s">
        <v>368</v>
      </c>
      <c r="F1205" s="121">
        <v>5.7</v>
      </c>
      <c r="G1205" s="122">
        <f t="shared" si="42"/>
        <v>0</v>
      </c>
      <c r="H1205" s="123">
        <f>IF(AND(ISNUMBER(F1205), F1205&gt;4, COUNTIFS($A$2:A1205, A1205, $B$2:B1205, B1205, $C$2:C1205, C1205, $F$2:F1205, "&gt;4")=1), 1, 0)</f>
        <v>1</v>
      </c>
      <c r="I1205" s="10">
        <f t="shared" si="43"/>
        <v>0</v>
      </c>
      <c r="J1205" s="10"/>
      <c r="K1205" s="7"/>
      <c r="L1205" s="7"/>
      <c r="M1205" s="7"/>
      <c r="N1205" s="10"/>
      <c r="O1205" s="113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t="15.75" customHeight="1">
      <c r="A1206" s="10" t="s">
        <v>23</v>
      </c>
      <c r="B1206" s="7" t="s">
        <v>122</v>
      </c>
      <c r="C1206" s="135">
        <v>46238</v>
      </c>
      <c r="D1206" s="44" t="s">
        <v>210</v>
      </c>
      <c r="E1206" s="35" t="s">
        <v>199</v>
      </c>
      <c r="F1206" s="121">
        <v>8</v>
      </c>
      <c r="G1206" s="122">
        <f t="shared" si="42"/>
        <v>0</v>
      </c>
      <c r="H1206" s="123">
        <f>IF(AND(ISNUMBER(F1206), F1206&gt;4, COUNTIFS($A$2:A1206, A1206, $B$2:B1206, B1206, $C$2:C1206, C1206, $F$2:F1206, "&gt;4")=1), 1, 0)</f>
        <v>0</v>
      </c>
      <c r="I1206" s="10">
        <f t="shared" si="43"/>
        <v>1</v>
      </c>
      <c r="J1206" s="10"/>
      <c r="K1206" s="7"/>
      <c r="L1206" s="7"/>
      <c r="M1206" s="7"/>
      <c r="N1206" s="10"/>
      <c r="O1206" s="113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t="15.75" customHeight="1">
      <c r="A1207" s="10" t="s">
        <v>23</v>
      </c>
      <c r="B1207" s="7" t="s">
        <v>122</v>
      </c>
      <c r="C1207" s="135">
        <v>46265</v>
      </c>
      <c r="D1207" s="44" t="s">
        <v>210</v>
      </c>
      <c r="E1207" s="35" t="s">
        <v>729</v>
      </c>
      <c r="F1207" s="121">
        <v>2.23</v>
      </c>
      <c r="G1207" s="122">
        <f t="shared" si="42"/>
        <v>1</v>
      </c>
      <c r="H1207" s="123">
        <f>IF(AND(ISNUMBER(F1207), F1207&gt;4, COUNTIFS($A$2:A1207, A1207, $B$2:B1207, B1207, $C$2:C1207, C1207, $F$2:F1207, "&gt;4")=1), 1, 0)</f>
        <v>0</v>
      </c>
      <c r="I1207" s="10">
        <f t="shared" si="43"/>
        <v>0</v>
      </c>
      <c r="J1207" s="10"/>
      <c r="K1207" s="7"/>
      <c r="L1207" s="7"/>
      <c r="M1207" s="7"/>
      <c r="N1207" s="10"/>
      <c r="O1207" s="113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t="15.75" customHeight="1">
      <c r="A1208" s="10" t="s">
        <v>21</v>
      </c>
      <c r="B1208" s="7" t="s">
        <v>109</v>
      </c>
      <c r="C1208" s="135">
        <v>46250</v>
      </c>
      <c r="D1208" s="44" t="s">
        <v>191</v>
      </c>
      <c r="E1208" s="35" t="s">
        <v>370</v>
      </c>
      <c r="F1208" s="121">
        <v>11.18</v>
      </c>
      <c r="G1208" s="122">
        <f t="shared" si="42"/>
        <v>0</v>
      </c>
      <c r="H1208" s="123">
        <f>IF(AND(ISNUMBER(F1208), F1208&gt;4, COUNTIFS($A$2:A1208, A1208, $B$2:B1208, B1208, $C$2:C1208, C1208, $F$2:F1208, "&gt;4")=1), 1, 0)</f>
        <v>1</v>
      </c>
      <c r="I1208" s="10">
        <f t="shared" si="43"/>
        <v>0</v>
      </c>
      <c r="J1208" s="10"/>
      <c r="K1208" s="7"/>
      <c r="L1208" s="7"/>
      <c r="M1208" s="7"/>
      <c r="N1208" s="10"/>
      <c r="O1208" s="113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t="15.75" customHeight="1">
      <c r="A1209" s="10" t="s">
        <v>21</v>
      </c>
      <c r="B1209" s="7" t="s">
        <v>109</v>
      </c>
      <c r="C1209" s="135">
        <v>46250</v>
      </c>
      <c r="D1209" s="44" t="s">
        <v>265</v>
      </c>
      <c r="E1209" s="35" t="s">
        <v>371</v>
      </c>
      <c r="F1209" s="121">
        <v>4.5</v>
      </c>
      <c r="G1209" s="122">
        <f t="shared" si="42"/>
        <v>0</v>
      </c>
      <c r="H1209" s="123">
        <f>IF(AND(ISNUMBER(F1209), F1209&gt;4, COUNTIFS($A$2:A1209, A1209, $B$2:B1209, B1209, $C$2:C1209, C1209, $F$2:F1209, "&gt;4")=1), 1, 0)</f>
        <v>0</v>
      </c>
      <c r="I1209" s="10">
        <f t="shared" si="43"/>
        <v>0</v>
      </c>
      <c r="J1209" s="10"/>
      <c r="K1209" s="7"/>
      <c r="L1209" s="7"/>
      <c r="M1209" s="7"/>
      <c r="N1209" s="10"/>
      <c r="O1209" s="113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t="15.75" customHeight="1">
      <c r="A1210" s="10" t="s">
        <v>23</v>
      </c>
      <c r="B1210" s="7" t="s">
        <v>109</v>
      </c>
      <c r="C1210" s="135">
        <v>46235</v>
      </c>
      <c r="D1210" s="44" t="s">
        <v>200</v>
      </c>
      <c r="E1210" s="35" t="s">
        <v>606</v>
      </c>
      <c r="F1210" s="121">
        <v>8.5299999999999994</v>
      </c>
      <c r="G1210" s="122">
        <f t="shared" si="42"/>
        <v>0</v>
      </c>
      <c r="H1210" s="123">
        <f>IF(AND(ISNUMBER(F1210), F1210&gt;4, COUNTIFS($A$2:A1210, A1210, $B$2:B1210, B1210, $C$2:C1210, C1210, $F$2:F1210, "&gt;4")=1), 1, 0)</f>
        <v>1</v>
      </c>
      <c r="I1210" s="10">
        <f t="shared" si="43"/>
        <v>0</v>
      </c>
      <c r="J1210" s="10"/>
      <c r="K1210" s="7"/>
      <c r="L1210" s="7"/>
      <c r="M1210" s="7"/>
      <c r="N1210" s="10"/>
      <c r="O1210" s="113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t="15.75" customHeight="1">
      <c r="A1211" s="10" t="s">
        <v>23</v>
      </c>
      <c r="B1211" s="7" t="s">
        <v>109</v>
      </c>
      <c r="C1211" s="135">
        <v>46236</v>
      </c>
      <c r="D1211" s="44" t="s">
        <v>200</v>
      </c>
      <c r="E1211" s="35" t="s">
        <v>618</v>
      </c>
      <c r="F1211" s="121">
        <v>8.6300000000000008</v>
      </c>
      <c r="G1211" s="122">
        <f t="shared" si="42"/>
        <v>0</v>
      </c>
      <c r="H1211" s="123">
        <f>IF(AND(ISNUMBER(F1211), F1211&gt;4, COUNTIFS($A$2:A1211, A1211, $B$2:B1211, B1211, $C$2:C1211, C1211, $F$2:F1211, "&gt;4")=1), 1, 0)</f>
        <v>1</v>
      </c>
      <c r="I1211" s="10">
        <f t="shared" si="43"/>
        <v>0</v>
      </c>
      <c r="J1211" s="10"/>
      <c r="K1211" s="7"/>
      <c r="L1211" s="7"/>
      <c r="M1211" s="7"/>
      <c r="N1211" s="10"/>
      <c r="O1211" s="113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t="15.75" customHeight="1">
      <c r="A1212" s="10" t="s">
        <v>23</v>
      </c>
      <c r="B1212" s="7" t="s">
        <v>109</v>
      </c>
      <c r="C1212" s="135">
        <v>46237</v>
      </c>
      <c r="D1212" s="44" t="s">
        <v>200</v>
      </c>
      <c r="E1212" s="35" t="s">
        <v>722</v>
      </c>
      <c r="F1212" s="121">
        <v>9.3699999999999992</v>
      </c>
      <c r="G1212" s="122">
        <f t="shared" si="42"/>
        <v>0</v>
      </c>
      <c r="H1212" s="123">
        <f>IF(AND(ISNUMBER(F1212), F1212&gt;4, COUNTIFS($A$2:A1212, A1212, $B$2:B1212, B1212, $C$2:C1212, C1212, $F$2:F1212, "&gt;4")=1), 1, 0)</f>
        <v>1</v>
      </c>
      <c r="I1212" s="10">
        <f t="shared" si="43"/>
        <v>0</v>
      </c>
      <c r="J1212" s="10"/>
      <c r="K1212" s="7"/>
      <c r="L1212" s="7"/>
      <c r="M1212" s="7"/>
      <c r="N1212" s="10"/>
      <c r="O1212" s="113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t="15.75" customHeight="1">
      <c r="A1213" s="10" t="s">
        <v>23</v>
      </c>
      <c r="B1213" s="7" t="s">
        <v>109</v>
      </c>
      <c r="C1213" s="135">
        <v>46239</v>
      </c>
      <c r="D1213" s="44" t="s">
        <v>200</v>
      </c>
      <c r="E1213" s="35" t="s">
        <v>502</v>
      </c>
      <c r="F1213" s="121">
        <v>8.17</v>
      </c>
      <c r="G1213" s="122">
        <f t="shared" si="42"/>
        <v>0</v>
      </c>
      <c r="H1213" s="123">
        <f>IF(AND(ISNUMBER(F1213), F1213&gt;4, COUNTIFS($A$2:A1213, A1213, $B$2:B1213, B1213, $C$2:C1213, C1213, $F$2:F1213, "&gt;4")=1), 1, 0)</f>
        <v>1</v>
      </c>
      <c r="I1213" s="10">
        <f t="shared" si="43"/>
        <v>0</v>
      </c>
      <c r="J1213" s="10"/>
      <c r="K1213" s="7"/>
      <c r="L1213" s="7"/>
      <c r="M1213" s="7"/>
      <c r="N1213" s="10"/>
      <c r="O1213" s="113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t="15.75" customHeight="1">
      <c r="A1214" s="10" t="s">
        <v>23</v>
      </c>
      <c r="B1214" s="7" t="s">
        <v>109</v>
      </c>
      <c r="C1214" s="135">
        <v>46242</v>
      </c>
      <c r="D1214" s="44" t="s">
        <v>200</v>
      </c>
      <c r="E1214" s="35" t="s">
        <v>730</v>
      </c>
      <c r="F1214" s="121">
        <v>14.72</v>
      </c>
      <c r="G1214" s="122">
        <f t="shared" si="42"/>
        <v>0</v>
      </c>
      <c r="H1214" s="123">
        <f>IF(AND(ISNUMBER(F1214), F1214&gt;4, COUNTIFS($A$2:A1214, A1214, $B$2:B1214, B1214, $C$2:C1214, C1214, $F$2:F1214, "&gt;4")=1), 1, 0)</f>
        <v>1</v>
      </c>
      <c r="I1214" s="10">
        <f t="shared" si="43"/>
        <v>0</v>
      </c>
      <c r="J1214" s="10"/>
      <c r="K1214" s="7"/>
      <c r="L1214" s="7"/>
      <c r="M1214" s="7"/>
      <c r="N1214" s="10"/>
      <c r="O1214" s="113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t="15.75" customHeight="1">
      <c r="A1215" s="10" t="s">
        <v>23</v>
      </c>
      <c r="B1215" s="7" t="s">
        <v>109</v>
      </c>
      <c r="C1215" s="135">
        <v>46243</v>
      </c>
      <c r="D1215" s="44" t="s">
        <v>200</v>
      </c>
      <c r="E1215" s="35" t="s">
        <v>731</v>
      </c>
      <c r="F1215" s="121">
        <v>9.6300000000000008</v>
      </c>
      <c r="G1215" s="122">
        <f t="shared" si="42"/>
        <v>0</v>
      </c>
      <c r="H1215" s="123">
        <f>IF(AND(ISNUMBER(F1215), F1215&gt;4, COUNTIFS($A$2:A1215, A1215, $B$2:B1215, B1215, $C$2:C1215, C1215, $F$2:F1215, "&gt;4")=1), 1, 0)</f>
        <v>1</v>
      </c>
      <c r="I1215" s="10">
        <f t="shared" si="43"/>
        <v>0</v>
      </c>
      <c r="J1215" s="10"/>
      <c r="K1215" s="7"/>
      <c r="L1215" s="7"/>
      <c r="M1215" s="7"/>
      <c r="N1215" s="10"/>
      <c r="O1215" s="113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t="15.75" customHeight="1">
      <c r="A1216" s="10" t="s">
        <v>23</v>
      </c>
      <c r="B1216" s="7" t="s">
        <v>109</v>
      </c>
      <c r="C1216" s="135">
        <v>46245</v>
      </c>
      <c r="D1216" s="44" t="s">
        <v>200</v>
      </c>
      <c r="E1216" s="35" t="s">
        <v>606</v>
      </c>
      <c r="F1216" s="121">
        <v>8.5299999999999994</v>
      </c>
      <c r="G1216" s="122">
        <f t="shared" si="42"/>
        <v>0</v>
      </c>
      <c r="H1216" s="123">
        <f>IF(AND(ISNUMBER(F1216), F1216&gt;4, COUNTIFS($A$2:A1216, A1216, $B$2:B1216, B1216, $C$2:C1216, C1216, $F$2:F1216, "&gt;4")=1), 1, 0)</f>
        <v>1</v>
      </c>
      <c r="I1216" s="10">
        <f t="shared" si="43"/>
        <v>0</v>
      </c>
      <c r="J1216" s="10"/>
      <c r="K1216" s="7"/>
      <c r="L1216" s="7"/>
      <c r="M1216" s="7"/>
      <c r="N1216" s="10"/>
      <c r="O1216" s="113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t="15.75" customHeight="1">
      <c r="A1217" s="10" t="s">
        <v>23</v>
      </c>
      <c r="B1217" s="7" t="s">
        <v>109</v>
      </c>
      <c r="C1217" s="135">
        <v>46247</v>
      </c>
      <c r="D1217" s="44" t="s">
        <v>200</v>
      </c>
      <c r="E1217" s="35" t="s">
        <v>732</v>
      </c>
      <c r="F1217" s="121">
        <v>9.25</v>
      </c>
      <c r="G1217" s="122">
        <f t="shared" si="42"/>
        <v>0</v>
      </c>
      <c r="H1217" s="123">
        <f>IF(AND(ISNUMBER(F1217), F1217&gt;4, COUNTIFS($A$2:A1217, A1217, $B$2:B1217, B1217, $C$2:C1217, C1217, $F$2:F1217, "&gt;4")=1), 1, 0)</f>
        <v>1</v>
      </c>
      <c r="I1217" s="10">
        <f t="shared" si="43"/>
        <v>0</v>
      </c>
      <c r="J1217" s="10"/>
      <c r="K1217" s="7"/>
      <c r="L1217" s="7"/>
      <c r="M1217" s="7"/>
      <c r="N1217" s="10"/>
      <c r="O1217" s="113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t="15.75" customHeight="1">
      <c r="A1218" s="10" t="s">
        <v>23</v>
      </c>
      <c r="B1218" s="7" t="s">
        <v>109</v>
      </c>
      <c r="C1218" s="135">
        <v>46248</v>
      </c>
      <c r="D1218" s="44" t="s">
        <v>200</v>
      </c>
      <c r="E1218" s="35" t="s">
        <v>592</v>
      </c>
      <c r="F1218" s="121">
        <v>8.8800000000000008</v>
      </c>
      <c r="G1218" s="122">
        <f t="shared" ref="G1218:G1281" si="44">IF(AND(ISNUMBER(F1218), F1218&lt;=4), 1, 0)</f>
        <v>0</v>
      </c>
      <c r="H1218" s="123">
        <f>IF(AND(ISNUMBER(F1218), F1218&gt;4, COUNTIFS($A$2:A1218, A1218, $B$2:B1218, B1218, $C$2:C1218, C1218, $F$2:F1218, "&gt;4")=1), 1, 0)</f>
        <v>1</v>
      </c>
      <c r="I1218" s="10">
        <f t="shared" ref="I1218:I1281" si="45">IF(AND(ISNUMBER(F1218), F1218&gt;4, ISNUMBER(SEARCH("đêm", D1218))), 1, 0)</f>
        <v>0</v>
      </c>
      <c r="J1218" s="10"/>
      <c r="K1218" s="7"/>
      <c r="L1218" s="7"/>
      <c r="M1218" s="7"/>
      <c r="N1218" s="10"/>
      <c r="O1218" s="113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t="15.75" customHeight="1">
      <c r="A1219" s="10" t="s">
        <v>23</v>
      </c>
      <c r="B1219" s="7" t="s">
        <v>109</v>
      </c>
      <c r="C1219" s="135">
        <v>46249</v>
      </c>
      <c r="D1219" s="44" t="s">
        <v>200</v>
      </c>
      <c r="E1219" s="35" t="s">
        <v>733</v>
      </c>
      <c r="F1219" s="121">
        <v>15.88</v>
      </c>
      <c r="G1219" s="122">
        <f t="shared" si="44"/>
        <v>0</v>
      </c>
      <c r="H1219" s="123">
        <f>IF(AND(ISNUMBER(F1219), F1219&gt;4, COUNTIFS($A$2:A1219, A1219, $B$2:B1219, B1219, $C$2:C1219, C1219, $F$2:F1219, "&gt;4")=1), 1, 0)</f>
        <v>1</v>
      </c>
      <c r="I1219" s="10">
        <f t="shared" si="45"/>
        <v>0</v>
      </c>
      <c r="J1219" s="10"/>
      <c r="K1219" s="7"/>
      <c r="L1219" s="7"/>
      <c r="M1219" s="7"/>
      <c r="N1219" s="10"/>
      <c r="O1219" s="113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t="15.75" customHeight="1">
      <c r="A1220" s="10" t="s">
        <v>23</v>
      </c>
      <c r="B1220" s="7" t="s">
        <v>109</v>
      </c>
      <c r="C1220" s="135">
        <v>46252</v>
      </c>
      <c r="D1220" s="44" t="s">
        <v>200</v>
      </c>
      <c r="E1220" s="35" t="s">
        <v>703</v>
      </c>
      <c r="F1220" s="121">
        <v>8.6</v>
      </c>
      <c r="G1220" s="122">
        <f t="shared" si="44"/>
        <v>0</v>
      </c>
      <c r="H1220" s="123">
        <f>IF(AND(ISNUMBER(F1220), F1220&gt;4, COUNTIFS($A$2:A1220, A1220, $B$2:B1220, B1220, $C$2:C1220, C1220, $F$2:F1220, "&gt;4")=1), 1, 0)</f>
        <v>1</v>
      </c>
      <c r="I1220" s="10">
        <f t="shared" si="45"/>
        <v>0</v>
      </c>
      <c r="J1220" s="10"/>
      <c r="K1220" s="7"/>
      <c r="L1220" s="7"/>
      <c r="M1220" s="7"/>
      <c r="N1220" s="10"/>
      <c r="O1220" s="113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t="15.75" customHeight="1">
      <c r="A1221" s="10" t="s">
        <v>23</v>
      </c>
      <c r="B1221" s="7" t="s">
        <v>109</v>
      </c>
      <c r="C1221" s="135">
        <v>46253</v>
      </c>
      <c r="D1221" s="44" t="s">
        <v>200</v>
      </c>
      <c r="E1221" s="35" t="s">
        <v>519</v>
      </c>
      <c r="F1221" s="121">
        <v>8.4</v>
      </c>
      <c r="G1221" s="122">
        <f t="shared" si="44"/>
        <v>0</v>
      </c>
      <c r="H1221" s="123">
        <f>IF(AND(ISNUMBER(F1221), F1221&gt;4, COUNTIFS($A$2:A1221, A1221, $B$2:B1221, B1221, $C$2:C1221, C1221, $F$2:F1221, "&gt;4")=1), 1, 0)</f>
        <v>1</v>
      </c>
      <c r="I1221" s="10">
        <f t="shared" si="45"/>
        <v>0</v>
      </c>
      <c r="J1221" s="10"/>
      <c r="K1221" s="7"/>
      <c r="L1221" s="7"/>
      <c r="M1221" s="7"/>
      <c r="N1221" s="10"/>
      <c r="O1221" s="113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t="15.75" customHeight="1">
      <c r="A1222" s="10" t="s">
        <v>23</v>
      </c>
      <c r="B1222" s="7" t="s">
        <v>109</v>
      </c>
      <c r="C1222" s="135">
        <v>46259</v>
      </c>
      <c r="D1222" s="44" t="s">
        <v>200</v>
      </c>
      <c r="E1222" s="35" t="s">
        <v>224</v>
      </c>
      <c r="F1222" s="121">
        <v>8.77</v>
      </c>
      <c r="G1222" s="122">
        <f t="shared" si="44"/>
        <v>0</v>
      </c>
      <c r="H1222" s="123">
        <f>IF(AND(ISNUMBER(F1222), F1222&gt;4, COUNTIFS($A$2:A1222, A1222, $B$2:B1222, B1222, $C$2:C1222, C1222, $F$2:F1222, "&gt;4")=1), 1, 0)</f>
        <v>1</v>
      </c>
      <c r="I1222" s="10">
        <f t="shared" si="45"/>
        <v>0</v>
      </c>
      <c r="J1222" s="10"/>
      <c r="K1222" s="7"/>
      <c r="L1222" s="7"/>
      <c r="M1222" s="7"/>
      <c r="N1222" s="10"/>
      <c r="O1222" s="113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t="15.75" customHeight="1">
      <c r="A1223" s="10" t="s">
        <v>23</v>
      </c>
      <c r="B1223" s="7" t="s">
        <v>109</v>
      </c>
      <c r="C1223" s="135">
        <v>46260</v>
      </c>
      <c r="D1223" s="44" t="s">
        <v>200</v>
      </c>
      <c r="E1223" s="35" t="s">
        <v>687</v>
      </c>
      <c r="F1223" s="121">
        <v>7.45</v>
      </c>
      <c r="G1223" s="122">
        <f t="shared" si="44"/>
        <v>0</v>
      </c>
      <c r="H1223" s="123">
        <f>IF(AND(ISNUMBER(F1223), F1223&gt;4, COUNTIFS($A$2:A1223, A1223, $B$2:B1223, B1223, $C$2:C1223, C1223, $F$2:F1223, "&gt;4")=1), 1, 0)</f>
        <v>1</v>
      </c>
      <c r="I1223" s="10">
        <f t="shared" si="45"/>
        <v>0</v>
      </c>
      <c r="J1223" s="10"/>
      <c r="K1223" s="7"/>
      <c r="L1223" s="7"/>
      <c r="M1223" s="7"/>
      <c r="N1223" s="10"/>
      <c r="O1223" s="113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t="15.75" customHeight="1">
      <c r="A1224" s="10" t="s">
        <v>23</v>
      </c>
      <c r="B1224" s="7" t="s">
        <v>109</v>
      </c>
      <c r="C1224" s="135">
        <v>46262</v>
      </c>
      <c r="D1224" s="44" t="s">
        <v>200</v>
      </c>
      <c r="E1224" s="35" t="s">
        <v>734</v>
      </c>
      <c r="F1224" s="121">
        <v>12.75</v>
      </c>
      <c r="G1224" s="122">
        <f t="shared" si="44"/>
        <v>0</v>
      </c>
      <c r="H1224" s="123">
        <f>IF(AND(ISNUMBER(F1224), F1224&gt;4, COUNTIFS($A$2:A1224, A1224, $B$2:B1224, B1224, $C$2:C1224, C1224, $F$2:F1224, "&gt;4")=1), 1, 0)</f>
        <v>1</v>
      </c>
      <c r="I1224" s="10">
        <f t="shared" si="45"/>
        <v>0</v>
      </c>
      <c r="J1224" s="10"/>
      <c r="K1224" s="7"/>
      <c r="L1224" s="7"/>
      <c r="M1224" s="7"/>
      <c r="N1224" s="10"/>
      <c r="O1224" s="113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t="15.75" customHeight="1">
      <c r="A1225" s="10" t="s">
        <v>23</v>
      </c>
      <c r="B1225" s="7" t="s">
        <v>109</v>
      </c>
      <c r="C1225" s="135">
        <v>46238</v>
      </c>
      <c r="D1225" s="44" t="s">
        <v>202</v>
      </c>
      <c r="E1225" s="35" t="s">
        <v>482</v>
      </c>
      <c r="F1225" s="121">
        <v>7.85</v>
      </c>
      <c r="G1225" s="122">
        <f t="shared" si="44"/>
        <v>0</v>
      </c>
      <c r="H1225" s="123">
        <f>IF(AND(ISNUMBER(F1225), F1225&gt;4, COUNTIFS($A$2:A1225, A1225, $B$2:B1225, B1225, $C$2:C1225, C1225, $F$2:F1225, "&gt;4")=1), 1, 0)</f>
        <v>1</v>
      </c>
      <c r="I1225" s="10">
        <f t="shared" si="45"/>
        <v>0</v>
      </c>
      <c r="J1225" s="10"/>
      <c r="K1225" s="7"/>
      <c r="L1225" s="7"/>
      <c r="M1225" s="7"/>
      <c r="N1225" s="10"/>
      <c r="O1225" s="113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t="15.75" customHeight="1">
      <c r="A1226" s="10" t="s">
        <v>23</v>
      </c>
      <c r="B1226" s="7" t="s">
        <v>109</v>
      </c>
      <c r="C1226" s="135">
        <v>46261</v>
      </c>
      <c r="D1226" s="44" t="s">
        <v>202</v>
      </c>
      <c r="E1226" s="35" t="s">
        <v>585</v>
      </c>
      <c r="F1226" s="121">
        <v>12.07</v>
      </c>
      <c r="G1226" s="122">
        <f t="shared" si="44"/>
        <v>0</v>
      </c>
      <c r="H1226" s="123">
        <f>IF(AND(ISNUMBER(F1226), F1226&gt;4, COUNTIFS($A$2:A1226, A1226, $B$2:B1226, B1226, $C$2:C1226, C1226, $F$2:F1226, "&gt;4")=1), 1, 0)</f>
        <v>1</v>
      </c>
      <c r="I1226" s="10">
        <f t="shared" si="45"/>
        <v>0</v>
      </c>
      <c r="J1226" s="10"/>
      <c r="K1226" s="7"/>
      <c r="L1226" s="7"/>
      <c r="M1226" s="7"/>
      <c r="N1226" s="10"/>
      <c r="O1226" s="113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t="15.75" customHeight="1">
      <c r="A1227" s="10" t="s">
        <v>23</v>
      </c>
      <c r="B1227" s="7" t="s">
        <v>109</v>
      </c>
      <c r="C1227" s="135">
        <v>46265</v>
      </c>
      <c r="D1227" s="44" t="s">
        <v>202</v>
      </c>
      <c r="E1227" s="35" t="s">
        <v>735</v>
      </c>
      <c r="F1227" s="121">
        <v>12.92</v>
      </c>
      <c r="G1227" s="122">
        <f t="shared" si="44"/>
        <v>0</v>
      </c>
      <c r="H1227" s="123">
        <f>IF(AND(ISNUMBER(F1227), F1227&gt;4, COUNTIFS($A$2:A1227, A1227, $B$2:B1227, B1227, $C$2:C1227, C1227, $F$2:F1227, "&gt;4")=1), 1, 0)</f>
        <v>1</v>
      </c>
      <c r="I1227" s="10">
        <f t="shared" si="45"/>
        <v>0</v>
      </c>
      <c r="J1227" s="10"/>
      <c r="K1227" s="7"/>
      <c r="L1227" s="7"/>
      <c r="M1227" s="7"/>
      <c r="N1227" s="10"/>
      <c r="O1227" s="113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t="15.75" customHeight="1">
      <c r="A1228" s="10" t="s">
        <v>23</v>
      </c>
      <c r="B1228" s="7" t="s">
        <v>109</v>
      </c>
      <c r="C1228" s="135">
        <v>46238</v>
      </c>
      <c r="D1228" s="44" t="s">
        <v>204</v>
      </c>
      <c r="E1228" s="35" t="s">
        <v>736</v>
      </c>
      <c r="F1228" s="121">
        <v>2.72</v>
      </c>
      <c r="G1228" s="122">
        <f t="shared" si="44"/>
        <v>1</v>
      </c>
      <c r="H1228" s="123">
        <f>IF(AND(ISNUMBER(F1228), F1228&gt;4, COUNTIFS($A$2:A1228, A1228, $B$2:B1228, B1228, $C$2:C1228, C1228, $F$2:F1228, "&gt;4")=1), 1, 0)</f>
        <v>0</v>
      </c>
      <c r="I1228" s="10">
        <f t="shared" si="45"/>
        <v>0</v>
      </c>
      <c r="J1228" s="10"/>
      <c r="K1228" s="7"/>
      <c r="L1228" s="7"/>
      <c r="M1228" s="7"/>
      <c r="N1228" s="10"/>
      <c r="O1228" s="113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t="15.75" customHeight="1">
      <c r="A1229" s="10" t="s">
        <v>23</v>
      </c>
      <c r="B1229" s="7" t="s">
        <v>109</v>
      </c>
      <c r="C1229" s="135">
        <v>46242</v>
      </c>
      <c r="D1229" s="44" t="s">
        <v>204</v>
      </c>
      <c r="E1229" s="35" t="s">
        <v>382</v>
      </c>
      <c r="F1229" s="121">
        <v>6.88</v>
      </c>
      <c r="G1229" s="122">
        <f t="shared" si="44"/>
        <v>0</v>
      </c>
      <c r="H1229" s="123">
        <f>IF(AND(ISNUMBER(F1229), F1229&gt;4, COUNTIFS($A$2:A1229, A1229, $B$2:B1229, B1229, $C$2:C1229, C1229, $F$2:F1229, "&gt;4")=1), 1, 0)</f>
        <v>0</v>
      </c>
      <c r="I1229" s="10">
        <f t="shared" si="45"/>
        <v>0</v>
      </c>
      <c r="J1229" s="10"/>
      <c r="K1229" s="7"/>
      <c r="L1229" s="7"/>
      <c r="M1229" s="7"/>
      <c r="N1229" s="10"/>
      <c r="O1229" s="113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t="15.75" customHeight="1">
      <c r="A1230" s="10" t="s">
        <v>23</v>
      </c>
      <c r="B1230" s="7" t="s">
        <v>109</v>
      </c>
      <c r="C1230" s="135">
        <v>46245</v>
      </c>
      <c r="D1230" s="44" t="s">
        <v>204</v>
      </c>
      <c r="E1230" s="35" t="s">
        <v>677</v>
      </c>
      <c r="F1230" s="121">
        <v>0.63</v>
      </c>
      <c r="G1230" s="122">
        <f t="shared" si="44"/>
        <v>1</v>
      </c>
      <c r="H1230" s="123">
        <f>IF(AND(ISNUMBER(F1230), F1230&gt;4, COUNTIFS($A$2:A1230, A1230, $B$2:B1230, B1230, $C$2:C1230, C1230, $F$2:F1230, "&gt;4")=1), 1, 0)</f>
        <v>0</v>
      </c>
      <c r="I1230" s="10">
        <f t="shared" si="45"/>
        <v>0</v>
      </c>
      <c r="J1230" s="10"/>
      <c r="K1230" s="7"/>
      <c r="L1230" s="7"/>
      <c r="M1230" s="7"/>
      <c r="N1230" s="10"/>
      <c r="O1230" s="113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t="15.75" customHeight="1">
      <c r="A1231" s="10" t="s">
        <v>23</v>
      </c>
      <c r="B1231" s="7" t="s">
        <v>109</v>
      </c>
      <c r="C1231" s="135">
        <v>46246</v>
      </c>
      <c r="D1231" s="44" t="s">
        <v>204</v>
      </c>
      <c r="E1231" s="35" t="s">
        <v>280</v>
      </c>
      <c r="F1231" s="121">
        <v>8.25</v>
      </c>
      <c r="G1231" s="122">
        <f t="shared" si="44"/>
        <v>0</v>
      </c>
      <c r="H1231" s="123">
        <f>IF(AND(ISNUMBER(F1231), F1231&gt;4, COUNTIFS($A$2:A1231, A1231, $B$2:B1231, B1231, $C$2:C1231, C1231, $F$2:F1231, "&gt;4")=1), 1, 0)</f>
        <v>1</v>
      </c>
      <c r="I1231" s="10">
        <f t="shared" si="45"/>
        <v>0</v>
      </c>
      <c r="J1231" s="10"/>
      <c r="K1231" s="7"/>
      <c r="L1231" s="7"/>
      <c r="M1231" s="7"/>
      <c r="N1231" s="10"/>
      <c r="O1231" s="113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t="15.75" customHeight="1">
      <c r="A1232" s="10" t="s">
        <v>23</v>
      </c>
      <c r="B1232" s="7" t="s">
        <v>109</v>
      </c>
      <c r="C1232" s="135">
        <v>46249</v>
      </c>
      <c r="D1232" s="44" t="s">
        <v>204</v>
      </c>
      <c r="E1232" s="35" t="s">
        <v>737</v>
      </c>
      <c r="F1232" s="121">
        <v>9.33</v>
      </c>
      <c r="G1232" s="122">
        <f t="shared" si="44"/>
        <v>0</v>
      </c>
      <c r="H1232" s="123">
        <f>IF(AND(ISNUMBER(F1232), F1232&gt;4, COUNTIFS($A$2:A1232, A1232, $B$2:B1232, B1232, $C$2:C1232, C1232, $F$2:F1232, "&gt;4")=1), 1, 0)</f>
        <v>0</v>
      </c>
      <c r="I1232" s="10">
        <f t="shared" si="45"/>
        <v>0</v>
      </c>
      <c r="J1232" s="10"/>
      <c r="K1232" s="7"/>
      <c r="L1232" s="7"/>
      <c r="M1232" s="7"/>
      <c r="N1232" s="10"/>
      <c r="O1232" s="113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t="15.75" customHeight="1">
      <c r="A1233" s="10" t="s">
        <v>23</v>
      </c>
      <c r="B1233" s="7" t="s">
        <v>109</v>
      </c>
      <c r="C1233" s="135">
        <v>46258</v>
      </c>
      <c r="D1233" s="44" t="s">
        <v>204</v>
      </c>
      <c r="E1233" s="35" t="s">
        <v>288</v>
      </c>
      <c r="F1233" s="121">
        <v>8.0500000000000007</v>
      </c>
      <c r="G1233" s="122">
        <f t="shared" si="44"/>
        <v>0</v>
      </c>
      <c r="H1233" s="123">
        <f>IF(AND(ISNUMBER(F1233), F1233&gt;4, COUNTIFS($A$2:A1233, A1233, $B$2:B1233, B1233, $C$2:C1233, C1233, $F$2:F1233, "&gt;4")=1), 1, 0)</f>
        <v>1</v>
      </c>
      <c r="I1233" s="10">
        <f t="shared" si="45"/>
        <v>0</v>
      </c>
      <c r="J1233" s="10"/>
      <c r="K1233" s="7"/>
      <c r="L1233" s="7"/>
      <c r="M1233" s="7"/>
      <c r="N1233" s="10"/>
      <c r="O1233" s="113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t="15.75" customHeight="1">
      <c r="A1234" s="10" t="s">
        <v>23</v>
      </c>
      <c r="B1234" s="7" t="s">
        <v>109</v>
      </c>
      <c r="C1234" s="135">
        <v>46261</v>
      </c>
      <c r="D1234" s="44" t="s">
        <v>204</v>
      </c>
      <c r="E1234" s="35" t="s">
        <v>666</v>
      </c>
      <c r="F1234" s="121">
        <v>7.18</v>
      </c>
      <c r="G1234" s="122">
        <f t="shared" si="44"/>
        <v>0</v>
      </c>
      <c r="H1234" s="123">
        <f>IF(AND(ISNUMBER(F1234), F1234&gt;4, COUNTIFS($A$2:A1234, A1234, $B$2:B1234, B1234, $C$2:C1234, C1234, $F$2:F1234, "&gt;4")=1), 1, 0)</f>
        <v>0</v>
      </c>
      <c r="I1234" s="10">
        <f t="shared" si="45"/>
        <v>0</v>
      </c>
      <c r="J1234" s="10"/>
      <c r="K1234" s="7"/>
      <c r="L1234" s="7"/>
      <c r="M1234" s="7"/>
      <c r="N1234" s="10"/>
      <c r="O1234" s="113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t="15.75" customHeight="1">
      <c r="A1235" s="10" t="s">
        <v>23</v>
      </c>
      <c r="B1235" s="7" t="s">
        <v>109</v>
      </c>
      <c r="C1235" s="135">
        <v>46264</v>
      </c>
      <c r="D1235" s="44" t="s">
        <v>204</v>
      </c>
      <c r="E1235" s="35" t="s">
        <v>667</v>
      </c>
      <c r="F1235" s="121">
        <v>4.93</v>
      </c>
      <c r="G1235" s="122">
        <f t="shared" si="44"/>
        <v>0</v>
      </c>
      <c r="H1235" s="123">
        <f>IF(AND(ISNUMBER(F1235), F1235&gt;4, COUNTIFS($A$2:A1235, A1235, $B$2:B1235, B1235, $C$2:C1235, C1235, $F$2:F1235, "&gt;4")=1), 1, 0)</f>
        <v>1</v>
      </c>
      <c r="I1235" s="10">
        <f t="shared" si="45"/>
        <v>0</v>
      </c>
      <c r="J1235" s="10"/>
      <c r="K1235" s="7"/>
      <c r="L1235" s="7"/>
      <c r="M1235" s="7"/>
      <c r="N1235" s="10"/>
      <c r="O1235" s="113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t="15.75" customHeight="1">
      <c r="A1236" s="10" t="s">
        <v>23</v>
      </c>
      <c r="B1236" s="7" t="s">
        <v>109</v>
      </c>
      <c r="C1236" s="135">
        <v>46265</v>
      </c>
      <c r="D1236" s="44" t="s">
        <v>204</v>
      </c>
      <c r="E1236" s="35" t="s">
        <v>567</v>
      </c>
      <c r="F1236" s="121">
        <v>9.7799999999999994</v>
      </c>
      <c r="G1236" s="122">
        <f t="shared" si="44"/>
        <v>0</v>
      </c>
      <c r="H1236" s="123">
        <f>IF(AND(ISNUMBER(F1236), F1236&gt;4, COUNTIFS($A$2:A1236, A1236, $B$2:B1236, B1236, $C$2:C1236, C1236, $F$2:F1236, "&gt;4")=1), 1, 0)</f>
        <v>0</v>
      </c>
      <c r="I1236" s="10">
        <f t="shared" si="45"/>
        <v>0</v>
      </c>
      <c r="J1236" s="10"/>
      <c r="K1236" s="7"/>
      <c r="L1236" s="7"/>
      <c r="M1236" s="7"/>
      <c r="N1236" s="10"/>
      <c r="O1236" s="113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t="15.75" customHeight="1">
      <c r="A1237" s="10" t="s">
        <v>23</v>
      </c>
      <c r="B1237" s="7" t="s">
        <v>109</v>
      </c>
      <c r="C1237" s="135">
        <v>46251</v>
      </c>
      <c r="D1237" s="44" t="s">
        <v>206</v>
      </c>
      <c r="E1237" s="35" t="s">
        <v>738</v>
      </c>
      <c r="F1237" s="121">
        <v>5.12</v>
      </c>
      <c r="G1237" s="122">
        <f t="shared" si="44"/>
        <v>0</v>
      </c>
      <c r="H1237" s="123">
        <f>IF(AND(ISNUMBER(F1237), F1237&gt;4, COUNTIFS($A$2:A1237, A1237, $B$2:B1237, B1237, $C$2:C1237, C1237, $F$2:F1237, "&gt;4")=1), 1, 0)</f>
        <v>1</v>
      </c>
      <c r="I1237" s="10">
        <f t="shared" si="45"/>
        <v>0</v>
      </c>
      <c r="J1237" s="10"/>
      <c r="K1237" s="7"/>
      <c r="L1237" s="7"/>
      <c r="M1237" s="7"/>
      <c r="N1237" s="10"/>
      <c r="O1237" s="113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t="15.75" customHeight="1">
      <c r="A1238" s="10" t="s">
        <v>23</v>
      </c>
      <c r="B1238" s="7" t="s">
        <v>109</v>
      </c>
      <c r="C1238" s="135">
        <v>46263</v>
      </c>
      <c r="D1238" s="44" t="s">
        <v>206</v>
      </c>
      <c r="E1238" s="35" t="s">
        <v>739</v>
      </c>
      <c r="F1238" s="121">
        <v>7.07</v>
      </c>
      <c r="G1238" s="122">
        <f t="shared" si="44"/>
        <v>0</v>
      </c>
      <c r="H1238" s="123">
        <f>IF(AND(ISNUMBER(F1238), F1238&gt;4, COUNTIFS($A$2:A1238, A1238, $B$2:B1238, B1238, $C$2:C1238, C1238, $F$2:F1238, "&gt;4")=1), 1, 0)</f>
        <v>1</v>
      </c>
      <c r="I1238" s="10">
        <f t="shared" si="45"/>
        <v>0</v>
      </c>
      <c r="J1238" s="10"/>
      <c r="K1238" s="7"/>
      <c r="L1238" s="7"/>
      <c r="M1238" s="7"/>
      <c r="N1238" s="10"/>
      <c r="O1238" s="113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t="15.75" customHeight="1">
      <c r="A1239" s="10" t="s">
        <v>23</v>
      </c>
      <c r="B1239" s="7" t="s">
        <v>109</v>
      </c>
      <c r="C1239" s="135">
        <v>46264</v>
      </c>
      <c r="D1239" s="44" t="s">
        <v>206</v>
      </c>
      <c r="E1239" s="35" t="s">
        <v>485</v>
      </c>
      <c r="F1239" s="121">
        <v>7.67</v>
      </c>
      <c r="G1239" s="122">
        <f t="shared" si="44"/>
        <v>0</v>
      </c>
      <c r="H1239" s="123">
        <f>IF(AND(ISNUMBER(F1239), F1239&gt;4, COUNTIFS($A$2:A1239, A1239, $B$2:B1239, B1239, $C$2:C1239, C1239, $F$2:F1239, "&gt;4")=1), 1, 0)</f>
        <v>0</v>
      </c>
      <c r="I1239" s="10">
        <f t="shared" si="45"/>
        <v>0</v>
      </c>
      <c r="J1239" s="10"/>
      <c r="K1239" s="7"/>
      <c r="L1239" s="7"/>
      <c r="M1239" s="7"/>
      <c r="N1239" s="10"/>
      <c r="O1239" s="113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t="15.75" customHeight="1">
      <c r="A1240" s="10" t="s">
        <v>23</v>
      </c>
      <c r="B1240" s="7" t="s">
        <v>109</v>
      </c>
      <c r="C1240" s="135">
        <v>46246</v>
      </c>
      <c r="D1240" s="44" t="s">
        <v>210</v>
      </c>
      <c r="E1240" s="35" t="s">
        <v>715</v>
      </c>
      <c r="F1240" s="121">
        <v>0.18</v>
      </c>
      <c r="G1240" s="122">
        <f t="shared" si="44"/>
        <v>1</v>
      </c>
      <c r="H1240" s="123">
        <f>IF(AND(ISNUMBER(F1240), F1240&gt;4, COUNTIFS($A$2:A1240, A1240, $B$2:B1240, B1240, $C$2:C1240, C1240, $F$2:F1240, "&gt;4")=1), 1, 0)</f>
        <v>0</v>
      </c>
      <c r="I1240" s="10">
        <f t="shared" si="45"/>
        <v>0</v>
      </c>
      <c r="J1240" s="10"/>
      <c r="K1240" s="7"/>
      <c r="L1240" s="7"/>
      <c r="M1240" s="7"/>
      <c r="N1240" s="10"/>
      <c r="O1240" s="113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t="15.75" customHeight="1">
      <c r="A1241" s="10" t="s">
        <v>23</v>
      </c>
      <c r="B1241" s="7" t="s">
        <v>109</v>
      </c>
      <c r="C1241" s="135">
        <v>46263</v>
      </c>
      <c r="D1241" s="44" t="s">
        <v>210</v>
      </c>
      <c r="E1241" s="35" t="s">
        <v>505</v>
      </c>
      <c r="F1241" s="121">
        <v>0.53</v>
      </c>
      <c r="G1241" s="122">
        <f t="shared" si="44"/>
        <v>1</v>
      </c>
      <c r="H1241" s="123">
        <f>IF(AND(ISNUMBER(F1241), F1241&gt;4, COUNTIFS($A$2:A1241, A1241, $B$2:B1241, B1241, $C$2:C1241, C1241, $F$2:F1241, "&gt;4")=1), 1, 0)</f>
        <v>0</v>
      </c>
      <c r="I1241" s="10">
        <f t="shared" si="45"/>
        <v>0</v>
      </c>
      <c r="J1241" s="10"/>
      <c r="K1241" s="7"/>
      <c r="L1241" s="7"/>
      <c r="M1241" s="7"/>
      <c r="N1241" s="10"/>
      <c r="O1241" s="113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t="15.75" customHeight="1">
      <c r="A1242" s="10" t="s">
        <v>23</v>
      </c>
      <c r="B1242" s="7" t="s">
        <v>109</v>
      </c>
      <c r="C1242" s="135">
        <v>46264</v>
      </c>
      <c r="D1242" s="44" t="s">
        <v>210</v>
      </c>
      <c r="E1242" s="35" t="s">
        <v>626</v>
      </c>
      <c r="F1242" s="121">
        <v>2.83</v>
      </c>
      <c r="G1242" s="122">
        <f t="shared" si="44"/>
        <v>1</v>
      </c>
      <c r="H1242" s="123">
        <f>IF(AND(ISNUMBER(F1242), F1242&gt;4, COUNTIFS($A$2:A1242, A1242, $B$2:B1242, B1242, $C$2:C1242, C1242, $F$2:F1242, "&gt;4")=1), 1, 0)</f>
        <v>0</v>
      </c>
      <c r="I1242" s="10">
        <f t="shared" si="45"/>
        <v>0</v>
      </c>
      <c r="J1242" s="10"/>
      <c r="K1242" s="7"/>
      <c r="L1242" s="7"/>
      <c r="M1242" s="7"/>
      <c r="N1242" s="10"/>
      <c r="O1242" s="113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t="15.75" customHeight="1">
      <c r="A1243" s="10" t="s">
        <v>23</v>
      </c>
      <c r="B1243" s="7" t="s">
        <v>109</v>
      </c>
      <c r="C1243" s="135">
        <v>46265</v>
      </c>
      <c r="D1243" s="44" t="s">
        <v>210</v>
      </c>
      <c r="E1243" s="35" t="s">
        <v>675</v>
      </c>
      <c r="F1243" s="121">
        <v>0.77</v>
      </c>
      <c r="G1243" s="122">
        <f t="shared" si="44"/>
        <v>1</v>
      </c>
      <c r="H1243" s="123">
        <f>IF(AND(ISNUMBER(F1243), F1243&gt;4, COUNTIFS($A$2:A1243, A1243, $B$2:B1243, B1243, $C$2:C1243, C1243, $F$2:F1243, "&gt;4")=1), 1, 0)</f>
        <v>0</v>
      </c>
      <c r="I1243" s="10">
        <f t="shared" si="45"/>
        <v>0</v>
      </c>
      <c r="J1243" s="10"/>
      <c r="K1243" s="7"/>
      <c r="L1243" s="7"/>
      <c r="M1243" s="7"/>
      <c r="N1243" s="10"/>
      <c r="O1243" s="113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t="15.75" customHeight="1">
      <c r="A1244" s="10" t="s">
        <v>24</v>
      </c>
      <c r="B1244" s="7" t="s">
        <v>72</v>
      </c>
      <c r="C1244" s="135">
        <v>46235</v>
      </c>
      <c r="D1244" s="44" t="s">
        <v>215</v>
      </c>
      <c r="E1244" s="35" t="s">
        <v>501</v>
      </c>
      <c r="F1244" s="121">
        <v>8.2200000000000006</v>
      </c>
      <c r="G1244" s="122">
        <f t="shared" si="44"/>
        <v>0</v>
      </c>
      <c r="H1244" s="123">
        <f>IF(AND(ISNUMBER(F1244), F1244&gt;4, COUNTIFS($A$2:A1244, A1244, $B$2:B1244, B1244, $C$2:C1244, C1244, $F$2:F1244, "&gt;4")=1), 1, 0)</f>
        <v>1</v>
      </c>
      <c r="I1244" s="10">
        <f t="shared" si="45"/>
        <v>0</v>
      </c>
      <c r="J1244" s="10"/>
      <c r="K1244" s="7"/>
      <c r="L1244" s="7"/>
      <c r="M1244" s="7"/>
      <c r="N1244" s="10"/>
      <c r="O1244" s="113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t="15.75" customHeight="1">
      <c r="A1245" s="10" t="s">
        <v>24</v>
      </c>
      <c r="B1245" s="7" t="s">
        <v>72</v>
      </c>
      <c r="C1245" s="135">
        <v>46236</v>
      </c>
      <c r="D1245" s="44" t="s">
        <v>215</v>
      </c>
      <c r="E1245" s="35" t="s">
        <v>409</v>
      </c>
      <c r="F1245" s="121">
        <v>7.93</v>
      </c>
      <c r="G1245" s="122">
        <f t="shared" si="44"/>
        <v>0</v>
      </c>
      <c r="H1245" s="123">
        <f>IF(AND(ISNUMBER(F1245), F1245&gt;4, COUNTIFS($A$2:A1245, A1245, $B$2:B1245, B1245, $C$2:C1245, C1245, $F$2:F1245, "&gt;4")=1), 1, 0)</f>
        <v>1</v>
      </c>
      <c r="I1245" s="10">
        <f t="shared" si="45"/>
        <v>0</v>
      </c>
      <c r="J1245" s="10"/>
      <c r="K1245" s="7"/>
      <c r="L1245" s="7"/>
      <c r="M1245" s="7"/>
      <c r="N1245" s="10"/>
      <c r="O1245" s="113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t="15.75" customHeight="1">
      <c r="A1246" s="10" t="s">
        <v>24</v>
      </c>
      <c r="B1246" s="7" t="s">
        <v>72</v>
      </c>
      <c r="C1246" s="135">
        <v>46239</v>
      </c>
      <c r="D1246" s="44" t="s">
        <v>215</v>
      </c>
      <c r="E1246" s="35" t="s">
        <v>391</v>
      </c>
      <c r="F1246" s="121">
        <v>10</v>
      </c>
      <c r="G1246" s="122">
        <f t="shared" si="44"/>
        <v>0</v>
      </c>
      <c r="H1246" s="123">
        <f>IF(AND(ISNUMBER(F1246), F1246&gt;4, COUNTIFS($A$2:A1246, A1246, $B$2:B1246, B1246, $C$2:C1246, C1246, $F$2:F1246, "&gt;4")=1), 1, 0)</f>
        <v>1</v>
      </c>
      <c r="I1246" s="10">
        <f t="shared" si="45"/>
        <v>0</v>
      </c>
      <c r="J1246" s="10"/>
      <c r="K1246" s="7"/>
      <c r="L1246" s="7"/>
      <c r="M1246" s="7"/>
      <c r="N1246" s="10"/>
      <c r="O1246" s="113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t="15.75" customHeight="1">
      <c r="A1247" s="10" t="s">
        <v>24</v>
      </c>
      <c r="B1247" s="7" t="s">
        <v>72</v>
      </c>
      <c r="C1247" s="135">
        <v>46240</v>
      </c>
      <c r="D1247" s="44" t="s">
        <v>215</v>
      </c>
      <c r="E1247" s="35" t="s">
        <v>498</v>
      </c>
      <c r="F1247" s="121">
        <v>8.4700000000000006</v>
      </c>
      <c r="G1247" s="122">
        <f t="shared" si="44"/>
        <v>0</v>
      </c>
      <c r="H1247" s="123">
        <f>IF(AND(ISNUMBER(F1247), F1247&gt;4, COUNTIFS($A$2:A1247, A1247, $B$2:B1247, B1247, $C$2:C1247, C1247, $F$2:F1247, "&gt;4")=1), 1, 0)</f>
        <v>1</v>
      </c>
      <c r="I1247" s="10">
        <f t="shared" si="45"/>
        <v>0</v>
      </c>
      <c r="J1247" s="10"/>
      <c r="K1247" s="7"/>
      <c r="L1247" s="7"/>
      <c r="M1247" s="7"/>
      <c r="N1247" s="10"/>
      <c r="O1247" s="113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t="15.75" customHeight="1">
      <c r="A1248" s="10" t="s">
        <v>24</v>
      </c>
      <c r="B1248" s="7" t="s">
        <v>72</v>
      </c>
      <c r="C1248" s="135">
        <v>46241</v>
      </c>
      <c r="D1248" s="44" t="s">
        <v>215</v>
      </c>
      <c r="E1248" s="35" t="s">
        <v>409</v>
      </c>
      <c r="F1248" s="121">
        <v>7.93</v>
      </c>
      <c r="G1248" s="122">
        <f t="shared" si="44"/>
        <v>0</v>
      </c>
      <c r="H1248" s="123">
        <f>IF(AND(ISNUMBER(F1248), F1248&gt;4, COUNTIFS($A$2:A1248, A1248, $B$2:B1248, B1248, $C$2:C1248, C1248, $F$2:F1248, "&gt;4")=1), 1, 0)</f>
        <v>1</v>
      </c>
      <c r="I1248" s="10">
        <f t="shared" si="45"/>
        <v>0</v>
      </c>
      <c r="J1248" s="10"/>
      <c r="K1248" s="7"/>
      <c r="L1248" s="7"/>
      <c r="M1248" s="7"/>
      <c r="N1248" s="10"/>
      <c r="O1248" s="113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t="15.75" customHeight="1">
      <c r="A1249" s="10" t="s">
        <v>24</v>
      </c>
      <c r="B1249" s="7" t="s">
        <v>72</v>
      </c>
      <c r="C1249" s="135">
        <v>46244</v>
      </c>
      <c r="D1249" s="44" t="s">
        <v>215</v>
      </c>
      <c r="E1249" s="35" t="s">
        <v>502</v>
      </c>
      <c r="F1249" s="121">
        <v>8.17</v>
      </c>
      <c r="G1249" s="122">
        <f t="shared" si="44"/>
        <v>0</v>
      </c>
      <c r="H1249" s="123">
        <f>IF(AND(ISNUMBER(F1249), F1249&gt;4, COUNTIFS($A$2:A1249, A1249, $B$2:B1249, B1249, $C$2:C1249, C1249, $F$2:F1249, "&gt;4")=1), 1, 0)</f>
        <v>1</v>
      </c>
      <c r="I1249" s="10">
        <f t="shared" si="45"/>
        <v>0</v>
      </c>
      <c r="J1249" s="10"/>
      <c r="K1249" s="7"/>
      <c r="L1249" s="7"/>
      <c r="M1249" s="7"/>
      <c r="N1249" s="10"/>
      <c r="O1249" s="113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t="15.75" customHeight="1">
      <c r="A1250" s="10" t="s">
        <v>24</v>
      </c>
      <c r="B1250" s="7" t="s">
        <v>72</v>
      </c>
      <c r="C1250" s="135">
        <v>46245</v>
      </c>
      <c r="D1250" s="44" t="s">
        <v>215</v>
      </c>
      <c r="E1250" s="35" t="s">
        <v>539</v>
      </c>
      <c r="F1250" s="121">
        <v>8.6999999999999993</v>
      </c>
      <c r="G1250" s="122">
        <f t="shared" si="44"/>
        <v>0</v>
      </c>
      <c r="H1250" s="123">
        <f>IF(AND(ISNUMBER(F1250), F1250&gt;4, COUNTIFS($A$2:A1250, A1250, $B$2:B1250, B1250, $C$2:C1250, C1250, $F$2:F1250, "&gt;4")=1), 1, 0)</f>
        <v>1</v>
      </c>
      <c r="I1250" s="10">
        <f t="shared" si="45"/>
        <v>0</v>
      </c>
      <c r="J1250" s="10"/>
      <c r="K1250" s="7"/>
      <c r="L1250" s="7"/>
      <c r="M1250" s="7"/>
      <c r="N1250" s="10"/>
      <c r="O1250" s="113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t="15.75" customHeight="1">
      <c r="A1251" s="10" t="s">
        <v>24</v>
      </c>
      <c r="B1251" s="7" t="s">
        <v>72</v>
      </c>
      <c r="C1251" s="135">
        <v>46248</v>
      </c>
      <c r="D1251" s="44" t="s">
        <v>215</v>
      </c>
      <c r="E1251" s="35" t="s">
        <v>350</v>
      </c>
      <c r="F1251" s="121">
        <v>8.93</v>
      </c>
      <c r="G1251" s="122">
        <f t="shared" si="44"/>
        <v>0</v>
      </c>
      <c r="H1251" s="123">
        <f>IF(AND(ISNUMBER(F1251), F1251&gt;4, COUNTIFS($A$2:A1251, A1251, $B$2:B1251, B1251, $C$2:C1251, C1251, $F$2:F1251, "&gt;4")=1), 1, 0)</f>
        <v>1</v>
      </c>
      <c r="I1251" s="10">
        <f t="shared" si="45"/>
        <v>0</v>
      </c>
      <c r="J1251" s="10"/>
      <c r="K1251" s="7"/>
      <c r="L1251" s="7"/>
      <c r="M1251" s="7"/>
      <c r="N1251" s="10"/>
      <c r="O1251" s="113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t="15.75" customHeight="1">
      <c r="A1252" s="10" t="s">
        <v>24</v>
      </c>
      <c r="B1252" s="7" t="s">
        <v>72</v>
      </c>
      <c r="C1252" s="135">
        <v>46251</v>
      </c>
      <c r="D1252" s="44" t="s">
        <v>215</v>
      </c>
      <c r="E1252" s="35" t="s">
        <v>199</v>
      </c>
      <c r="F1252" s="121">
        <v>8</v>
      </c>
      <c r="G1252" s="122">
        <f t="shared" si="44"/>
        <v>0</v>
      </c>
      <c r="H1252" s="123">
        <f>IF(AND(ISNUMBER(F1252), F1252&gt;4, COUNTIFS($A$2:A1252, A1252, $B$2:B1252, B1252, $C$2:C1252, C1252, $F$2:F1252, "&gt;4")=1), 1, 0)</f>
        <v>1</v>
      </c>
      <c r="I1252" s="10">
        <f t="shared" si="45"/>
        <v>0</v>
      </c>
      <c r="J1252" s="10"/>
      <c r="K1252" s="7"/>
      <c r="L1252" s="7"/>
      <c r="M1252" s="7"/>
      <c r="N1252" s="10"/>
      <c r="O1252" s="113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t="15.75" customHeight="1">
      <c r="A1253" s="10" t="s">
        <v>24</v>
      </c>
      <c r="B1253" s="7" t="s">
        <v>72</v>
      </c>
      <c r="C1253" s="135">
        <v>46253</v>
      </c>
      <c r="D1253" s="44" t="s">
        <v>215</v>
      </c>
      <c r="E1253" s="35" t="s">
        <v>370</v>
      </c>
      <c r="F1253" s="121">
        <v>11.18</v>
      </c>
      <c r="G1253" s="122">
        <f t="shared" si="44"/>
        <v>0</v>
      </c>
      <c r="H1253" s="123">
        <f>IF(AND(ISNUMBER(F1253), F1253&gt;4, COUNTIFS($A$2:A1253, A1253, $B$2:B1253, B1253, $C$2:C1253, C1253, $F$2:F1253, "&gt;4")=1), 1, 0)</f>
        <v>1</v>
      </c>
      <c r="I1253" s="10">
        <f t="shared" si="45"/>
        <v>0</v>
      </c>
      <c r="J1253" s="10"/>
      <c r="K1253" s="7"/>
      <c r="L1253" s="7"/>
      <c r="M1253" s="7"/>
      <c r="N1253" s="10"/>
      <c r="O1253" s="113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t="15.75" customHeight="1">
      <c r="A1254" s="10" t="s">
        <v>24</v>
      </c>
      <c r="B1254" s="7" t="s">
        <v>72</v>
      </c>
      <c r="C1254" s="135">
        <v>46264</v>
      </c>
      <c r="D1254" s="44" t="s">
        <v>215</v>
      </c>
      <c r="E1254" s="35" t="s">
        <v>740</v>
      </c>
      <c r="F1254" s="121">
        <v>11.42</v>
      </c>
      <c r="G1254" s="122">
        <f t="shared" si="44"/>
        <v>0</v>
      </c>
      <c r="H1254" s="123">
        <f>IF(AND(ISNUMBER(F1254), F1254&gt;4, COUNTIFS($A$2:A1254, A1254, $B$2:B1254, B1254, $C$2:C1254, C1254, $F$2:F1254, "&gt;4")=1), 1, 0)</f>
        <v>1</v>
      </c>
      <c r="I1254" s="10">
        <f t="shared" si="45"/>
        <v>0</v>
      </c>
      <c r="J1254" s="10"/>
      <c r="K1254" s="7"/>
      <c r="L1254" s="7"/>
      <c r="M1254" s="7"/>
      <c r="N1254" s="10"/>
      <c r="O1254" s="113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t="15.75" customHeight="1">
      <c r="A1255" s="10" t="s">
        <v>24</v>
      </c>
      <c r="B1255" s="7" t="s">
        <v>72</v>
      </c>
      <c r="C1255" s="135">
        <v>46249</v>
      </c>
      <c r="D1255" s="44" t="s">
        <v>378</v>
      </c>
      <c r="E1255" s="35" t="s">
        <v>479</v>
      </c>
      <c r="F1255" s="121">
        <v>8.02</v>
      </c>
      <c r="G1255" s="122">
        <f t="shared" si="44"/>
        <v>0</v>
      </c>
      <c r="H1255" s="123">
        <f>IF(AND(ISNUMBER(F1255), F1255&gt;4, COUNTIFS($A$2:A1255, A1255, $B$2:B1255, B1255, $C$2:C1255, C1255, $F$2:F1255, "&gt;4")=1), 1, 0)</f>
        <v>1</v>
      </c>
      <c r="I1255" s="10">
        <f t="shared" si="45"/>
        <v>0</v>
      </c>
      <c r="J1255" s="10"/>
      <c r="K1255" s="7"/>
      <c r="L1255" s="7"/>
      <c r="M1255" s="7"/>
      <c r="N1255" s="10"/>
      <c r="O1255" s="113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t="15.75" customHeight="1">
      <c r="A1256" s="10" t="s">
        <v>24</v>
      </c>
      <c r="B1256" s="7" t="s">
        <v>72</v>
      </c>
      <c r="C1256" s="135">
        <v>46250</v>
      </c>
      <c r="D1256" s="44" t="s">
        <v>378</v>
      </c>
      <c r="E1256" s="35" t="s">
        <v>741</v>
      </c>
      <c r="F1256" s="121">
        <v>3.78</v>
      </c>
      <c r="G1256" s="122">
        <f t="shared" si="44"/>
        <v>1</v>
      </c>
      <c r="H1256" s="123">
        <f>IF(AND(ISNUMBER(F1256), F1256&gt;4, COUNTIFS($A$2:A1256, A1256, $B$2:B1256, B1256, $C$2:C1256, C1256, $F$2:F1256, "&gt;4")=1), 1, 0)</f>
        <v>0</v>
      </c>
      <c r="I1256" s="10">
        <f t="shared" si="45"/>
        <v>0</v>
      </c>
      <c r="J1256" s="10"/>
      <c r="K1256" s="7"/>
      <c r="L1256" s="7"/>
      <c r="M1256" s="7"/>
      <c r="N1256" s="10"/>
      <c r="O1256" s="113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t="15.75" customHeight="1">
      <c r="A1257" s="10" t="s">
        <v>24</v>
      </c>
      <c r="B1257" s="7" t="s">
        <v>72</v>
      </c>
      <c r="C1257" s="135">
        <v>46254</v>
      </c>
      <c r="D1257" s="44" t="s">
        <v>378</v>
      </c>
      <c r="E1257" s="35" t="s">
        <v>239</v>
      </c>
      <c r="F1257" s="121">
        <v>8.07</v>
      </c>
      <c r="G1257" s="122">
        <f t="shared" si="44"/>
        <v>0</v>
      </c>
      <c r="H1257" s="123">
        <f>IF(AND(ISNUMBER(F1257), F1257&gt;4, COUNTIFS($A$2:A1257, A1257, $B$2:B1257, B1257, $C$2:C1257, C1257, $F$2:F1257, "&gt;4")=1), 1, 0)</f>
        <v>1</v>
      </c>
      <c r="I1257" s="10">
        <f t="shared" si="45"/>
        <v>0</v>
      </c>
      <c r="J1257" s="10"/>
      <c r="K1257" s="7"/>
      <c r="L1257" s="7"/>
      <c r="M1257" s="7"/>
      <c r="N1257" s="10"/>
      <c r="O1257" s="113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t="15.75" customHeight="1">
      <c r="A1258" s="10" t="s">
        <v>24</v>
      </c>
      <c r="B1258" s="7" t="s">
        <v>72</v>
      </c>
      <c r="C1258" s="135">
        <v>46256</v>
      </c>
      <c r="D1258" s="44" t="s">
        <v>378</v>
      </c>
      <c r="E1258" s="35" t="s">
        <v>603</v>
      </c>
      <c r="F1258" s="121">
        <v>9.6</v>
      </c>
      <c r="G1258" s="122">
        <f t="shared" si="44"/>
        <v>0</v>
      </c>
      <c r="H1258" s="123">
        <f>IF(AND(ISNUMBER(F1258), F1258&gt;4, COUNTIFS($A$2:A1258, A1258, $B$2:B1258, B1258, $C$2:C1258, C1258, $F$2:F1258, "&gt;4")=1), 1, 0)</f>
        <v>1</v>
      </c>
      <c r="I1258" s="10">
        <f t="shared" si="45"/>
        <v>0</v>
      </c>
      <c r="J1258" s="10"/>
      <c r="K1258" s="7"/>
      <c r="L1258" s="7"/>
      <c r="M1258" s="7"/>
      <c r="N1258" s="10"/>
      <c r="O1258" s="113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t="15.75" customHeight="1">
      <c r="A1259" s="10" t="s">
        <v>24</v>
      </c>
      <c r="B1259" s="7" t="s">
        <v>72</v>
      </c>
      <c r="C1259" s="135">
        <v>46258</v>
      </c>
      <c r="D1259" s="44" t="s">
        <v>378</v>
      </c>
      <c r="E1259" s="35" t="s">
        <v>531</v>
      </c>
      <c r="F1259" s="121">
        <v>9.57</v>
      </c>
      <c r="G1259" s="122">
        <f t="shared" si="44"/>
        <v>0</v>
      </c>
      <c r="H1259" s="123">
        <f>IF(AND(ISNUMBER(F1259), F1259&gt;4, COUNTIFS($A$2:A1259, A1259, $B$2:B1259, B1259, $C$2:C1259, C1259, $F$2:F1259, "&gt;4")=1), 1, 0)</f>
        <v>1</v>
      </c>
      <c r="I1259" s="10">
        <f t="shared" si="45"/>
        <v>0</v>
      </c>
      <c r="J1259" s="10"/>
      <c r="K1259" s="7"/>
      <c r="L1259" s="7"/>
      <c r="M1259" s="7"/>
      <c r="N1259" s="10"/>
      <c r="O1259" s="113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t="15.75" customHeight="1">
      <c r="A1260" s="10" t="s">
        <v>24</v>
      </c>
      <c r="B1260" s="7" t="s">
        <v>72</v>
      </c>
      <c r="C1260" s="135">
        <v>46259</v>
      </c>
      <c r="D1260" s="44" t="s">
        <v>378</v>
      </c>
      <c r="E1260" s="35" t="s">
        <v>511</v>
      </c>
      <c r="F1260" s="121">
        <v>8.1300000000000008</v>
      </c>
      <c r="G1260" s="122">
        <f t="shared" si="44"/>
        <v>0</v>
      </c>
      <c r="H1260" s="123">
        <f>IF(AND(ISNUMBER(F1260), F1260&gt;4, COUNTIFS($A$2:A1260, A1260, $B$2:B1260, B1260, $C$2:C1260, C1260, $F$2:F1260, "&gt;4")=1), 1, 0)</f>
        <v>1</v>
      </c>
      <c r="I1260" s="10">
        <f t="shared" si="45"/>
        <v>0</v>
      </c>
      <c r="J1260" s="10"/>
      <c r="K1260" s="7"/>
      <c r="L1260" s="7"/>
      <c r="M1260" s="7"/>
      <c r="N1260" s="10"/>
      <c r="O1260" s="113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t="15.75" customHeight="1">
      <c r="A1261" s="10" t="s">
        <v>24</v>
      </c>
      <c r="B1261" s="7" t="s">
        <v>72</v>
      </c>
      <c r="C1261" s="135">
        <v>46260</v>
      </c>
      <c r="D1261" s="44" t="s">
        <v>378</v>
      </c>
      <c r="E1261" s="35" t="s">
        <v>477</v>
      </c>
      <c r="F1261" s="121">
        <v>7.88</v>
      </c>
      <c r="G1261" s="122">
        <f t="shared" si="44"/>
        <v>0</v>
      </c>
      <c r="H1261" s="123">
        <f>IF(AND(ISNUMBER(F1261), F1261&gt;4, COUNTIFS($A$2:A1261, A1261, $B$2:B1261, B1261, $C$2:C1261, C1261, $F$2:F1261, "&gt;4")=1), 1, 0)</f>
        <v>1</v>
      </c>
      <c r="I1261" s="10">
        <f t="shared" si="45"/>
        <v>0</v>
      </c>
      <c r="J1261" s="10"/>
      <c r="K1261" s="7"/>
      <c r="L1261" s="7"/>
      <c r="M1261" s="7"/>
      <c r="N1261" s="10"/>
      <c r="O1261" s="113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t="15.75" customHeight="1">
      <c r="A1262" s="10" t="s">
        <v>24</v>
      </c>
      <c r="B1262" s="7" t="s">
        <v>72</v>
      </c>
      <c r="C1262" s="135">
        <v>46261</v>
      </c>
      <c r="D1262" s="44" t="s">
        <v>378</v>
      </c>
      <c r="E1262" s="35" t="s">
        <v>499</v>
      </c>
      <c r="F1262" s="121">
        <v>8.15</v>
      </c>
      <c r="G1262" s="122">
        <f t="shared" si="44"/>
        <v>0</v>
      </c>
      <c r="H1262" s="123">
        <f>IF(AND(ISNUMBER(F1262), F1262&gt;4, COUNTIFS($A$2:A1262, A1262, $B$2:B1262, B1262, $C$2:C1262, C1262, $F$2:F1262, "&gt;4")=1), 1, 0)</f>
        <v>1</v>
      </c>
      <c r="I1262" s="10">
        <f t="shared" si="45"/>
        <v>0</v>
      </c>
      <c r="J1262" s="10"/>
      <c r="K1262" s="7"/>
      <c r="L1262" s="7"/>
      <c r="M1262" s="7"/>
      <c r="N1262" s="10"/>
      <c r="O1262" s="113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t="15.75" customHeight="1">
      <c r="A1263" s="10" t="s">
        <v>24</v>
      </c>
      <c r="B1263" s="7" t="s">
        <v>72</v>
      </c>
      <c r="C1263" s="135">
        <v>46236</v>
      </c>
      <c r="D1263" s="44" t="s">
        <v>198</v>
      </c>
      <c r="E1263" s="35" t="s">
        <v>503</v>
      </c>
      <c r="F1263" s="121">
        <v>8.1999999999999993</v>
      </c>
      <c r="G1263" s="122">
        <f t="shared" si="44"/>
        <v>0</v>
      </c>
      <c r="H1263" s="123">
        <f>IF(AND(ISNUMBER(F1263), F1263&gt;4, COUNTIFS($A$2:A1263, A1263, $B$2:B1263, B1263, $C$2:C1263, C1263, $F$2:F1263, "&gt;4")=1), 1, 0)</f>
        <v>0</v>
      </c>
      <c r="I1263" s="10">
        <f t="shared" si="45"/>
        <v>0</v>
      </c>
      <c r="J1263" s="10"/>
      <c r="K1263" s="7"/>
      <c r="L1263" s="7"/>
      <c r="M1263" s="7"/>
      <c r="N1263" s="10"/>
      <c r="O1263" s="113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t="15.75" customHeight="1">
      <c r="A1264" s="10" t="s">
        <v>24</v>
      </c>
      <c r="B1264" s="7" t="s">
        <v>72</v>
      </c>
      <c r="C1264" s="135">
        <v>46238</v>
      </c>
      <c r="D1264" s="44" t="s">
        <v>198</v>
      </c>
      <c r="E1264" s="35" t="s">
        <v>489</v>
      </c>
      <c r="F1264" s="121">
        <v>8.33</v>
      </c>
      <c r="G1264" s="122">
        <f t="shared" si="44"/>
        <v>0</v>
      </c>
      <c r="H1264" s="123">
        <f>IF(AND(ISNUMBER(F1264), F1264&gt;4, COUNTIFS($A$2:A1264, A1264, $B$2:B1264, B1264, $C$2:C1264, C1264, $F$2:F1264, "&gt;4")=1), 1, 0)</f>
        <v>1</v>
      </c>
      <c r="I1264" s="10">
        <f t="shared" si="45"/>
        <v>0</v>
      </c>
      <c r="J1264" s="10"/>
      <c r="K1264" s="7"/>
      <c r="L1264" s="7"/>
      <c r="M1264" s="7"/>
      <c r="N1264" s="10"/>
      <c r="O1264" s="113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t="15.75" customHeight="1">
      <c r="A1265" s="10" t="s">
        <v>24</v>
      </c>
      <c r="B1265" s="7" t="s">
        <v>72</v>
      </c>
      <c r="C1265" s="135">
        <v>46242</v>
      </c>
      <c r="D1265" s="44" t="s">
        <v>198</v>
      </c>
      <c r="E1265" s="35" t="s">
        <v>504</v>
      </c>
      <c r="F1265" s="121">
        <v>8.18</v>
      </c>
      <c r="G1265" s="122">
        <f t="shared" si="44"/>
        <v>0</v>
      </c>
      <c r="H1265" s="123">
        <f>IF(AND(ISNUMBER(F1265), F1265&gt;4, COUNTIFS($A$2:A1265, A1265, $B$2:B1265, B1265, $C$2:C1265, C1265, $F$2:F1265, "&gt;4")=1), 1, 0)</f>
        <v>1</v>
      </c>
      <c r="I1265" s="10">
        <f t="shared" si="45"/>
        <v>0</v>
      </c>
      <c r="J1265" s="10"/>
      <c r="K1265" s="7"/>
      <c r="L1265" s="7"/>
      <c r="M1265" s="7"/>
      <c r="N1265" s="10"/>
      <c r="O1265" s="113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t="15.75" customHeight="1">
      <c r="A1266" s="10" t="s">
        <v>24</v>
      </c>
      <c r="B1266" s="7" t="s">
        <v>72</v>
      </c>
      <c r="C1266" s="135">
        <v>46243</v>
      </c>
      <c r="D1266" s="44" t="s">
        <v>198</v>
      </c>
      <c r="E1266" s="35" t="s">
        <v>596</v>
      </c>
      <c r="F1266" s="121">
        <v>8.4499999999999993</v>
      </c>
      <c r="G1266" s="122">
        <f t="shared" si="44"/>
        <v>0</v>
      </c>
      <c r="H1266" s="123">
        <f>IF(AND(ISNUMBER(F1266), F1266&gt;4, COUNTIFS($A$2:A1266, A1266, $B$2:B1266, B1266, $C$2:C1266, C1266, $F$2:F1266, "&gt;4")=1), 1, 0)</f>
        <v>1</v>
      </c>
      <c r="I1266" s="10">
        <f t="shared" si="45"/>
        <v>0</v>
      </c>
      <c r="J1266" s="10"/>
      <c r="K1266" s="7"/>
      <c r="L1266" s="7"/>
      <c r="M1266" s="7"/>
      <c r="N1266" s="10"/>
      <c r="O1266" s="113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t="15.75" customHeight="1">
      <c r="A1267" s="10" t="s">
        <v>24</v>
      </c>
      <c r="B1267" s="7" t="s">
        <v>72</v>
      </c>
      <c r="C1267" s="135">
        <v>46246</v>
      </c>
      <c r="D1267" s="44" t="s">
        <v>198</v>
      </c>
      <c r="E1267" s="35" t="s">
        <v>564</v>
      </c>
      <c r="F1267" s="121">
        <v>8.57</v>
      </c>
      <c r="G1267" s="122">
        <f t="shared" si="44"/>
        <v>0</v>
      </c>
      <c r="H1267" s="123">
        <f>IF(AND(ISNUMBER(F1267), F1267&gt;4, COUNTIFS($A$2:A1267, A1267, $B$2:B1267, B1267, $C$2:C1267, C1267, $F$2:F1267, "&gt;4")=1), 1, 0)</f>
        <v>1</v>
      </c>
      <c r="I1267" s="10">
        <f t="shared" si="45"/>
        <v>0</v>
      </c>
      <c r="J1267" s="10"/>
      <c r="K1267" s="7"/>
      <c r="L1267" s="7"/>
      <c r="M1267" s="7"/>
      <c r="N1267" s="10"/>
      <c r="O1267" s="113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t="15.75" customHeight="1">
      <c r="A1268" s="10" t="s">
        <v>24</v>
      </c>
      <c r="B1268" s="7" t="s">
        <v>72</v>
      </c>
      <c r="C1268" s="135">
        <v>46247</v>
      </c>
      <c r="D1268" s="44" t="s">
        <v>198</v>
      </c>
      <c r="E1268" s="35" t="s">
        <v>479</v>
      </c>
      <c r="F1268" s="121">
        <v>8.02</v>
      </c>
      <c r="G1268" s="122">
        <f t="shared" si="44"/>
        <v>0</v>
      </c>
      <c r="H1268" s="123">
        <f>IF(AND(ISNUMBER(F1268), F1268&gt;4, COUNTIFS($A$2:A1268, A1268, $B$2:B1268, B1268, $C$2:C1268, C1268, $F$2:F1268, "&gt;4")=1), 1, 0)</f>
        <v>1</v>
      </c>
      <c r="I1268" s="10">
        <f t="shared" si="45"/>
        <v>0</v>
      </c>
      <c r="J1268" s="10"/>
      <c r="K1268" s="7"/>
      <c r="L1268" s="7"/>
      <c r="M1268" s="7"/>
      <c r="N1268" s="10"/>
      <c r="O1268" s="113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t="15.75" customHeight="1">
      <c r="A1269" s="10" t="s">
        <v>24</v>
      </c>
      <c r="B1269" s="7" t="s">
        <v>72</v>
      </c>
      <c r="C1269" s="135">
        <v>46248</v>
      </c>
      <c r="D1269" s="44" t="s">
        <v>198</v>
      </c>
      <c r="E1269" s="35" t="s">
        <v>739</v>
      </c>
      <c r="F1269" s="121">
        <v>7.07</v>
      </c>
      <c r="G1269" s="122">
        <f t="shared" si="44"/>
        <v>0</v>
      </c>
      <c r="H1269" s="123">
        <f>IF(AND(ISNUMBER(F1269), F1269&gt;4, COUNTIFS($A$2:A1269, A1269, $B$2:B1269, B1269, $C$2:C1269, C1269, $F$2:F1269, "&gt;4")=1), 1, 0)</f>
        <v>0</v>
      </c>
      <c r="I1269" s="10">
        <f t="shared" si="45"/>
        <v>0</v>
      </c>
      <c r="J1269" s="10"/>
      <c r="K1269" s="7"/>
      <c r="L1269" s="7"/>
      <c r="M1269" s="7"/>
      <c r="N1269" s="10"/>
      <c r="O1269" s="113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t="15.75" customHeight="1">
      <c r="A1270" s="10" t="s">
        <v>24</v>
      </c>
      <c r="B1270" s="7" t="s">
        <v>72</v>
      </c>
      <c r="C1270" s="135">
        <v>46249</v>
      </c>
      <c r="D1270" s="44" t="s">
        <v>198</v>
      </c>
      <c r="E1270" s="35" t="s">
        <v>693</v>
      </c>
      <c r="F1270" s="121">
        <v>7.58</v>
      </c>
      <c r="G1270" s="122">
        <f t="shared" si="44"/>
        <v>0</v>
      </c>
      <c r="H1270" s="123">
        <f>IF(AND(ISNUMBER(F1270), F1270&gt;4, COUNTIFS($A$2:A1270, A1270, $B$2:B1270, B1270, $C$2:C1270, C1270, $F$2:F1270, "&gt;4")=1), 1, 0)</f>
        <v>0</v>
      </c>
      <c r="I1270" s="10">
        <f t="shared" si="45"/>
        <v>0</v>
      </c>
      <c r="J1270" s="10"/>
      <c r="K1270" s="7"/>
      <c r="L1270" s="7"/>
      <c r="M1270" s="7"/>
      <c r="N1270" s="10"/>
      <c r="O1270" s="113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t="15.75" customHeight="1">
      <c r="A1271" s="10" t="s">
        <v>24</v>
      </c>
      <c r="B1271" s="7" t="s">
        <v>72</v>
      </c>
      <c r="C1271" s="135">
        <v>46250</v>
      </c>
      <c r="D1271" s="44" t="s">
        <v>198</v>
      </c>
      <c r="E1271" s="35" t="s">
        <v>499</v>
      </c>
      <c r="F1271" s="121">
        <v>8.15</v>
      </c>
      <c r="G1271" s="122">
        <f t="shared" si="44"/>
        <v>0</v>
      </c>
      <c r="H1271" s="123">
        <f>IF(AND(ISNUMBER(F1271), F1271&gt;4, COUNTIFS($A$2:A1271, A1271, $B$2:B1271, B1271, $C$2:C1271, C1271, $F$2:F1271, "&gt;4")=1), 1, 0)</f>
        <v>1</v>
      </c>
      <c r="I1271" s="10">
        <f t="shared" si="45"/>
        <v>0</v>
      </c>
      <c r="J1271" s="10"/>
      <c r="K1271" s="7"/>
      <c r="L1271" s="7"/>
      <c r="M1271" s="7"/>
      <c r="N1271" s="10"/>
      <c r="O1271" s="113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t="15.75" customHeight="1">
      <c r="A1272" s="10" t="s">
        <v>24</v>
      </c>
      <c r="B1272" s="7" t="s">
        <v>72</v>
      </c>
      <c r="C1272" s="135">
        <v>46255</v>
      </c>
      <c r="D1272" s="44" t="s">
        <v>198</v>
      </c>
      <c r="E1272" s="35" t="s">
        <v>742</v>
      </c>
      <c r="F1272" s="121">
        <v>10.1</v>
      </c>
      <c r="G1272" s="122">
        <f t="shared" si="44"/>
        <v>0</v>
      </c>
      <c r="H1272" s="123">
        <f>IF(AND(ISNUMBER(F1272), F1272&gt;4, COUNTIFS($A$2:A1272, A1272, $B$2:B1272, B1272, $C$2:C1272, C1272, $F$2:F1272, "&gt;4")=1), 1, 0)</f>
        <v>1</v>
      </c>
      <c r="I1272" s="10">
        <f t="shared" si="45"/>
        <v>0</v>
      </c>
      <c r="J1272" s="10"/>
      <c r="K1272" s="7"/>
      <c r="L1272" s="7"/>
      <c r="M1272" s="7"/>
      <c r="N1272" s="10"/>
      <c r="O1272" s="113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t="15.75" customHeight="1">
      <c r="A1273" s="10" t="s">
        <v>24</v>
      </c>
      <c r="B1273" s="7" t="s">
        <v>72</v>
      </c>
      <c r="C1273" s="135">
        <v>46260</v>
      </c>
      <c r="D1273" s="44" t="s">
        <v>198</v>
      </c>
      <c r="E1273" s="35" t="s">
        <v>743</v>
      </c>
      <c r="F1273" s="121">
        <v>7.33</v>
      </c>
      <c r="G1273" s="122">
        <f t="shared" si="44"/>
        <v>0</v>
      </c>
      <c r="H1273" s="123">
        <f>IF(AND(ISNUMBER(F1273), F1273&gt;4, COUNTIFS($A$2:A1273, A1273, $B$2:B1273, B1273, $C$2:C1273, C1273, $F$2:F1273, "&gt;4")=1), 1, 0)</f>
        <v>0</v>
      </c>
      <c r="I1273" s="10">
        <f t="shared" si="45"/>
        <v>0</v>
      </c>
      <c r="J1273" s="10"/>
      <c r="K1273" s="7"/>
      <c r="L1273" s="7"/>
      <c r="M1273" s="7"/>
      <c r="N1273" s="10"/>
      <c r="O1273" s="113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t="15.75" customHeight="1">
      <c r="A1274" s="10" t="s">
        <v>24</v>
      </c>
      <c r="B1274" s="7" t="s">
        <v>72</v>
      </c>
      <c r="C1274" s="135">
        <v>46262</v>
      </c>
      <c r="D1274" s="44" t="s">
        <v>218</v>
      </c>
      <c r="E1274" s="35" t="s">
        <v>486</v>
      </c>
      <c r="F1274" s="121">
        <v>7.68</v>
      </c>
      <c r="G1274" s="122">
        <f t="shared" si="44"/>
        <v>0</v>
      </c>
      <c r="H1274" s="123">
        <f>IF(AND(ISNUMBER(F1274), F1274&gt;4, COUNTIFS($A$2:A1274, A1274, $B$2:B1274, B1274, $C$2:C1274, C1274, $F$2:F1274, "&gt;4")=1), 1, 0)</f>
        <v>1</v>
      </c>
      <c r="I1274" s="10">
        <f t="shared" si="45"/>
        <v>0</v>
      </c>
      <c r="J1274" s="10"/>
      <c r="K1274" s="7"/>
      <c r="L1274" s="7"/>
      <c r="M1274" s="7"/>
      <c r="N1274" s="10"/>
      <c r="O1274" s="113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t="15.75" customHeight="1">
      <c r="A1275" s="10" t="s">
        <v>24</v>
      </c>
      <c r="B1275" s="7" t="s">
        <v>72</v>
      </c>
      <c r="C1275" s="135">
        <v>46263</v>
      </c>
      <c r="D1275" s="44" t="s">
        <v>218</v>
      </c>
      <c r="E1275" s="35" t="s">
        <v>744</v>
      </c>
      <c r="F1275" s="121">
        <v>6.18</v>
      </c>
      <c r="G1275" s="122">
        <f t="shared" si="44"/>
        <v>0</v>
      </c>
      <c r="H1275" s="123">
        <f>IF(AND(ISNUMBER(F1275), F1275&gt;4, COUNTIFS($A$2:A1275, A1275, $B$2:B1275, B1275, $C$2:C1275, C1275, $F$2:F1275, "&gt;4")=1), 1, 0)</f>
        <v>1</v>
      </c>
      <c r="I1275" s="10">
        <f t="shared" si="45"/>
        <v>0</v>
      </c>
      <c r="J1275" s="10"/>
      <c r="K1275" s="7"/>
      <c r="L1275" s="7"/>
      <c r="M1275" s="7"/>
      <c r="N1275" s="10"/>
      <c r="O1275" s="113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t="15.75" customHeight="1">
      <c r="A1276" s="10" t="s">
        <v>24</v>
      </c>
      <c r="B1276" s="7" t="s">
        <v>72</v>
      </c>
      <c r="C1276" s="135">
        <v>46265</v>
      </c>
      <c r="D1276" s="44" t="s">
        <v>218</v>
      </c>
      <c r="E1276" s="35" t="s">
        <v>538</v>
      </c>
      <c r="F1276" s="121">
        <v>6.07</v>
      </c>
      <c r="G1276" s="122">
        <f t="shared" si="44"/>
        <v>0</v>
      </c>
      <c r="H1276" s="123">
        <f>IF(AND(ISNUMBER(F1276), F1276&gt;4, COUNTIFS($A$2:A1276, A1276, $B$2:B1276, B1276, $C$2:C1276, C1276, $F$2:F1276, "&gt;4")=1), 1, 0)</f>
        <v>1</v>
      </c>
      <c r="I1276" s="10">
        <f t="shared" si="45"/>
        <v>0</v>
      </c>
      <c r="J1276" s="10"/>
      <c r="K1276" s="7"/>
      <c r="L1276" s="7"/>
      <c r="M1276" s="7"/>
      <c r="N1276" s="10"/>
      <c r="O1276" s="113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t="15.75" customHeight="1">
      <c r="A1277" s="10" t="s">
        <v>24</v>
      </c>
      <c r="B1277" s="7" t="s">
        <v>72</v>
      </c>
      <c r="C1277" s="135">
        <v>46262</v>
      </c>
      <c r="D1277" s="44" t="s">
        <v>220</v>
      </c>
      <c r="E1277" s="35" t="s">
        <v>382</v>
      </c>
      <c r="F1277" s="121">
        <v>6.88</v>
      </c>
      <c r="G1277" s="122">
        <f t="shared" si="44"/>
        <v>0</v>
      </c>
      <c r="H1277" s="123">
        <f>IF(AND(ISNUMBER(F1277), F1277&gt;4, COUNTIFS($A$2:A1277, A1277, $B$2:B1277, B1277, $C$2:C1277, C1277, $F$2:F1277, "&gt;4")=1), 1, 0)</f>
        <v>0</v>
      </c>
      <c r="I1277" s="10">
        <f t="shared" si="45"/>
        <v>1</v>
      </c>
      <c r="J1277" s="10"/>
      <c r="K1277" s="7"/>
      <c r="L1277" s="7"/>
      <c r="M1277" s="7"/>
      <c r="N1277" s="10"/>
      <c r="O1277" s="113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t="15.75" customHeight="1">
      <c r="A1278" s="10" t="s">
        <v>15</v>
      </c>
      <c r="B1278" s="7" t="s">
        <v>72</v>
      </c>
      <c r="C1278" s="135">
        <v>46237</v>
      </c>
      <c r="D1278" s="44" t="s">
        <v>383</v>
      </c>
      <c r="E1278" s="35" t="s">
        <v>479</v>
      </c>
      <c r="F1278" s="121">
        <v>8.02</v>
      </c>
      <c r="G1278" s="122">
        <f t="shared" si="44"/>
        <v>0</v>
      </c>
      <c r="H1278" s="123">
        <f>IF(AND(ISNUMBER(F1278), F1278&gt;4, COUNTIFS($A$2:A1278, A1278, $B$2:B1278, B1278, $C$2:C1278, C1278, $F$2:F1278, "&gt;4")=1), 1, 0)</f>
        <v>1</v>
      </c>
      <c r="I1278" s="10">
        <f t="shared" si="45"/>
        <v>0</v>
      </c>
      <c r="J1278" s="10"/>
      <c r="K1278" s="7"/>
      <c r="L1278" s="7"/>
      <c r="M1278" s="7"/>
      <c r="N1278" s="10"/>
      <c r="O1278" s="113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t="15.75" customHeight="1">
      <c r="A1279" s="10" t="s">
        <v>15</v>
      </c>
      <c r="B1279" s="7" t="s">
        <v>72</v>
      </c>
      <c r="C1279" s="135">
        <v>46241</v>
      </c>
      <c r="D1279" s="44" t="s">
        <v>383</v>
      </c>
      <c r="E1279" s="35" t="s">
        <v>485</v>
      </c>
      <c r="F1279" s="121">
        <v>7.67</v>
      </c>
      <c r="G1279" s="122">
        <f t="shared" si="44"/>
        <v>0</v>
      </c>
      <c r="H1279" s="123">
        <f>IF(AND(ISNUMBER(F1279), F1279&gt;4, COUNTIFS($A$2:A1279, A1279, $B$2:B1279, B1279, $C$2:C1279, C1279, $F$2:F1279, "&gt;4")=1), 1, 0)</f>
        <v>1</v>
      </c>
      <c r="I1279" s="10">
        <f t="shared" si="45"/>
        <v>0</v>
      </c>
      <c r="J1279" s="10"/>
      <c r="K1279" s="7"/>
      <c r="L1279" s="7"/>
      <c r="M1279" s="7"/>
      <c r="N1279" s="10"/>
      <c r="O1279" s="113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t="15.75" customHeight="1">
      <c r="A1280" s="10" t="s">
        <v>15</v>
      </c>
      <c r="B1280" s="7" t="s">
        <v>83</v>
      </c>
      <c r="C1280" s="135">
        <v>46236</v>
      </c>
      <c r="D1280" s="44" t="s">
        <v>245</v>
      </c>
      <c r="E1280" s="35" t="s">
        <v>745</v>
      </c>
      <c r="F1280" s="121">
        <v>15.07</v>
      </c>
      <c r="G1280" s="122">
        <f t="shared" si="44"/>
        <v>0</v>
      </c>
      <c r="H1280" s="123">
        <f>IF(AND(ISNUMBER(F1280), F1280&gt;4, COUNTIFS($A$2:A1280, A1280, $B$2:B1280, B1280, $C$2:C1280, C1280, $F$2:F1280, "&gt;4")=1), 1, 0)</f>
        <v>1</v>
      </c>
      <c r="I1280" s="10">
        <f t="shared" si="45"/>
        <v>0</v>
      </c>
      <c r="J1280" s="10"/>
      <c r="K1280" s="7"/>
      <c r="L1280" s="7"/>
      <c r="M1280" s="7"/>
      <c r="N1280" s="10"/>
      <c r="O1280" s="113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t="15.75" customHeight="1">
      <c r="A1281" s="10" t="s">
        <v>15</v>
      </c>
      <c r="B1281" s="7" t="s">
        <v>83</v>
      </c>
      <c r="C1281" s="135">
        <v>46239</v>
      </c>
      <c r="D1281" s="44" t="s">
        <v>245</v>
      </c>
      <c r="E1281" s="35" t="s">
        <v>746</v>
      </c>
      <c r="F1281" s="121">
        <v>7.3</v>
      </c>
      <c r="G1281" s="122">
        <f t="shared" si="44"/>
        <v>0</v>
      </c>
      <c r="H1281" s="123">
        <f>IF(AND(ISNUMBER(F1281), F1281&gt;4, COUNTIFS($A$2:A1281, A1281, $B$2:B1281, B1281, $C$2:C1281, C1281, $F$2:F1281, "&gt;4")=1), 1, 0)</f>
        <v>1</v>
      </c>
      <c r="I1281" s="10">
        <f t="shared" si="45"/>
        <v>0</v>
      </c>
      <c r="J1281" s="10"/>
      <c r="K1281" s="7"/>
      <c r="L1281" s="7"/>
      <c r="M1281" s="7"/>
      <c r="N1281" s="10"/>
      <c r="O1281" s="113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t="15.75" customHeight="1">
      <c r="A1282" s="10" t="s">
        <v>15</v>
      </c>
      <c r="B1282" s="7" t="s">
        <v>83</v>
      </c>
      <c r="C1282" s="135">
        <v>46243</v>
      </c>
      <c r="D1282" s="44" t="s">
        <v>245</v>
      </c>
      <c r="E1282" s="35" t="s">
        <v>747</v>
      </c>
      <c r="F1282" s="121">
        <v>12.57</v>
      </c>
      <c r="G1282" s="122">
        <f t="shared" ref="G1282:G1345" si="46">IF(AND(ISNUMBER(F1282), F1282&lt;=4), 1, 0)</f>
        <v>0</v>
      </c>
      <c r="H1282" s="123">
        <f>IF(AND(ISNUMBER(F1282), F1282&gt;4, COUNTIFS($A$2:A1282, A1282, $B$2:B1282, B1282, $C$2:C1282, C1282, $F$2:F1282, "&gt;4")=1), 1, 0)</f>
        <v>1</v>
      </c>
      <c r="I1282" s="10">
        <f t="shared" ref="I1282:I1345" si="47">IF(AND(ISNUMBER(F1282), F1282&gt;4, ISNUMBER(SEARCH("đêm", D1282))), 1, 0)</f>
        <v>0</v>
      </c>
      <c r="J1282" s="10"/>
      <c r="K1282" s="7"/>
      <c r="L1282" s="7"/>
      <c r="M1282" s="7"/>
      <c r="N1282" s="10"/>
      <c r="O1282" s="113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t="15.75" customHeight="1">
      <c r="A1283" s="10" t="s">
        <v>15</v>
      </c>
      <c r="B1283" s="7" t="s">
        <v>83</v>
      </c>
      <c r="C1283" s="135">
        <v>46244</v>
      </c>
      <c r="D1283" s="44" t="s">
        <v>245</v>
      </c>
      <c r="E1283" s="35" t="s">
        <v>569</v>
      </c>
      <c r="F1283" s="121">
        <v>11.25</v>
      </c>
      <c r="G1283" s="122">
        <f t="shared" si="46"/>
        <v>0</v>
      </c>
      <c r="H1283" s="123">
        <f>IF(AND(ISNUMBER(F1283), F1283&gt;4, COUNTIFS($A$2:A1283, A1283, $B$2:B1283, B1283, $C$2:C1283, C1283, $F$2:F1283, "&gt;4")=1), 1, 0)</f>
        <v>1</v>
      </c>
      <c r="I1283" s="10">
        <f t="shared" si="47"/>
        <v>0</v>
      </c>
      <c r="J1283" s="10"/>
      <c r="K1283" s="7"/>
      <c r="L1283" s="7"/>
      <c r="M1283" s="7"/>
      <c r="N1283" s="10"/>
      <c r="O1283" s="113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t="15.75" customHeight="1">
      <c r="A1284" s="10" t="s">
        <v>15</v>
      </c>
      <c r="B1284" s="7" t="s">
        <v>83</v>
      </c>
      <c r="C1284" s="135">
        <v>46245</v>
      </c>
      <c r="D1284" s="44" t="s">
        <v>245</v>
      </c>
      <c r="E1284" s="35" t="s">
        <v>514</v>
      </c>
      <c r="F1284" s="121">
        <v>8.5500000000000007</v>
      </c>
      <c r="G1284" s="122">
        <f t="shared" si="46"/>
        <v>0</v>
      </c>
      <c r="H1284" s="123">
        <f>IF(AND(ISNUMBER(F1284), F1284&gt;4, COUNTIFS($A$2:A1284, A1284, $B$2:B1284, B1284, $C$2:C1284, C1284, $F$2:F1284, "&gt;4")=1), 1, 0)</f>
        <v>1</v>
      </c>
      <c r="I1284" s="10">
        <f t="shared" si="47"/>
        <v>0</v>
      </c>
      <c r="J1284" s="10"/>
      <c r="K1284" s="7"/>
      <c r="L1284" s="7"/>
      <c r="M1284" s="7"/>
      <c r="N1284" s="10"/>
      <c r="O1284" s="113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t="15.75" customHeight="1">
      <c r="A1285" s="10" t="s">
        <v>15</v>
      </c>
      <c r="B1285" s="7" t="s">
        <v>83</v>
      </c>
      <c r="C1285" s="135">
        <v>46246</v>
      </c>
      <c r="D1285" s="44" t="s">
        <v>245</v>
      </c>
      <c r="E1285" s="35" t="s">
        <v>329</v>
      </c>
      <c r="F1285" s="121">
        <v>8.0299999999999994</v>
      </c>
      <c r="G1285" s="122">
        <f t="shared" si="46"/>
        <v>0</v>
      </c>
      <c r="H1285" s="123">
        <f>IF(AND(ISNUMBER(F1285), F1285&gt;4, COUNTIFS($A$2:A1285, A1285, $B$2:B1285, B1285, $C$2:C1285, C1285, $F$2:F1285, "&gt;4")=1), 1, 0)</f>
        <v>1</v>
      </c>
      <c r="I1285" s="10">
        <f t="shared" si="47"/>
        <v>0</v>
      </c>
      <c r="J1285" s="10"/>
      <c r="K1285" s="7"/>
      <c r="L1285" s="7"/>
      <c r="M1285" s="7"/>
      <c r="N1285" s="10"/>
      <c r="O1285" s="113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t="15.75" customHeight="1">
      <c r="A1286" s="10" t="s">
        <v>15</v>
      </c>
      <c r="B1286" s="7" t="s">
        <v>83</v>
      </c>
      <c r="C1286" s="135">
        <v>46250</v>
      </c>
      <c r="D1286" s="44" t="s">
        <v>245</v>
      </c>
      <c r="E1286" s="35" t="s">
        <v>543</v>
      </c>
      <c r="F1286" s="121">
        <v>9.08</v>
      </c>
      <c r="G1286" s="122">
        <f t="shared" si="46"/>
        <v>0</v>
      </c>
      <c r="H1286" s="123">
        <f>IF(AND(ISNUMBER(F1286), F1286&gt;4, COUNTIFS($A$2:A1286, A1286, $B$2:B1286, B1286, $C$2:C1286, C1286, $F$2:F1286, "&gt;4")=1), 1, 0)</f>
        <v>1</v>
      </c>
      <c r="I1286" s="10">
        <f t="shared" si="47"/>
        <v>0</v>
      </c>
      <c r="J1286" s="10"/>
      <c r="K1286" s="7"/>
      <c r="L1286" s="7"/>
      <c r="M1286" s="7"/>
      <c r="N1286" s="10"/>
      <c r="O1286" s="113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t="15.75" customHeight="1">
      <c r="A1287" s="10" t="s">
        <v>15</v>
      </c>
      <c r="B1287" s="7" t="s">
        <v>83</v>
      </c>
      <c r="C1287" s="135">
        <v>46251</v>
      </c>
      <c r="D1287" s="44" t="s">
        <v>245</v>
      </c>
      <c r="E1287" s="35" t="s">
        <v>623</v>
      </c>
      <c r="F1287" s="121">
        <v>10.93</v>
      </c>
      <c r="G1287" s="122">
        <f t="shared" si="46"/>
        <v>0</v>
      </c>
      <c r="H1287" s="123">
        <f>IF(AND(ISNUMBER(F1287), F1287&gt;4, COUNTIFS($A$2:A1287, A1287, $B$2:B1287, B1287, $C$2:C1287, C1287, $F$2:F1287, "&gt;4")=1), 1, 0)</f>
        <v>1</v>
      </c>
      <c r="I1287" s="10">
        <f t="shared" si="47"/>
        <v>0</v>
      </c>
      <c r="J1287" s="10"/>
      <c r="K1287" s="7"/>
      <c r="L1287" s="7"/>
      <c r="M1287" s="7"/>
      <c r="N1287" s="10"/>
      <c r="O1287" s="113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t="15.75" customHeight="1">
      <c r="A1288" s="10" t="s">
        <v>15</v>
      </c>
      <c r="B1288" s="7" t="s">
        <v>83</v>
      </c>
      <c r="C1288" s="135">
        <v>46257</v>
      </c>
      <c r="D1288" s="44" t="s">
        <v>245</v>
      </c>
      <c r="E1288" s="35" t="s">
        <v>493</v>
      </c>
      <c r="F1288" s="121">
        <v>7.77</v>
      </c>
      <c r="G1288" s="122">
        <f t="shared" si="46"/>
        <v>0</v>
      </c>
      <c r="H1288" s="123">
        <f>IF(AND(ISNUMBER(F1288), F1288&gt;4, COUNTIFS($A$2:A1288, A1288, $B$2:B1288, B1288, $C$2:C1288, C1288, $F$2:F1288, "&gt;4")=1), 1, 0)</f>
        <v>1</v>
      </c>
      <c r="I1288" s="10">
        <f t="shared" si="47"/>
        <v>0</v>
      </c>
      <c r="J1288" s="10"/>
      <c r="K1288" s="7"/>
      <c r="L1288" s="7"/>
      <c r="M1288" s="7"/>
      <c r="N1288" s="10"/>
      <c r="O1288" s="113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t="15.75" customHeight="1">
      <c r="A1289" s="10" t="s">
        <v>15</v>
      </c>
      <c r="B1289" s="7" t="s">
        <v>83</v>
      </c>
      <c r="C1289" s="135">
        <v>46258</v>
      </c>
      <c r="D1289" s="44" t="s">
        <v>245</v>
      </c>
      <c r="E1289" s="35" t="s">
        <v>748</v>
      </c>
      <c r="F1289" s="121">
        <v>9.48</v>
      </c>
      <c r="G1289" s="122">
        <f t="shared" si="46"/>
        <v>0</v>
      </c>
      <c r="H1289" s="123">
        <f>IF(AND(ISNUMBER(F1289), F1289&gt;4, COUNTIFS($A$2:A1289, A1289, $B$2:B1289, B1289, $C$2:C1289, C1289, $F$2:F1289, "&gt;4")=1), 1, 0)</f>
        <v>1</v>
      </c>
      <c r="I1289" s="10">
        <f t="shared" si="47"/>
        <v>0</v>
      </c>
      <c r="J1289" s="10"/>
      <c r="K1289" s="7"/>
      <c r="L1289" s="7"/>
      <c r="M1289" s="7"/>
      <c r="N1289" s="10"/>
      <c r="O1289" s="113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t="15.75" customHeight="1">
      <c r="A1290" s="10" t="s">
        <v>15</v>
      </c>
      <c r="B1290" s="7" t="s">
        <v>83</v>
      </c>
      <c r="C1290" s="135">
        <v>46261</v>
      </c>
      <c r="D1290" s="44" t="s">
        <v>245</v>
      </c>
      <c r="E1290" s="35" t="s">
        <v>749</v>
      </c>
      <c r="F1290" s="121">
        <v>11.77</v>
      </c>
      <c r="G1290" s="122">
        <f t="shared" si="46"/>
        <v>0</v>
      </c>
      <c r="H1290" s="123">
        <f>IF(AND(ISNUMBER(F1290), F1290&gt;4, COUNTIFS($A$2:A1290, A1290, $B$2:B1290, B1290, $C$2:C1290, C1290, $F$2:F1290, "&gt;4")=1), 1, 0)</f>
        <v>1</v>
      </c>
      <c r="I1290" s="10">
        <f t="shared" si="47"/>
        <v>0</v>
      </c>
      <c r="J1290" s="10"/>
      <c r="K1290" s="7"/>
      <c r="L1290" s="7"/>
      <c r="M1290" s="7"/>
      <c r="N1290" s="10"/>
      <c r="O1290" s="113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t="15.75" customHeight="1">
      <c r="A1291" s="10" t="s">
        <v>15</v>
      </c>
      <c r="B1291" s="7" t="s">
        <v>83</v>
      </c>
      <c r="C1291" s="135">
        <v>46263</v>
      </c>
      <c r="D1291" s="44" t="s">
        <v>245</v>
      </c>
      <c r="E1291" s="35" t="s">
        <v>750</v>
      </c>
      <c r="F1291" s="121">
        <v>9.83</v>
      </c>
      <c r="G1291" s="122">
        <f t="shared" si="46"/>
        <v>0</v>
      </c>
      <c r="H1291" s="123">
        <f>IF(AND(ISNUMBER(F1291), F1291&gt;4, COUNTIFS($A$2:A1291, A1291, $B$2:B1291, B1291, $C$2:C1291, C1291, $F$2:F1291, "&gt;4")=1), 1, 0)</f>
        <v>1</v>
      </c>
      <c r="I1291" s="10">
        <f t="shared" si="47"/>
        <v>0</v>
      </c>
      <c r="J1291" s="10"/>
      <c r="K1291" s="7"/>
      <c r="L1291" s="7"/>
      <c r="M1291" s="7"/>
      <c r="N1291" s="10"/>
      <c r="O1291" s="113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t="15.75" customHeight="1">
      <c r="A1292" s="10" t="s">
        <v>15</v>
      </c>
      <c r="B1292" s="7" t="s">
        <v>83</v>
      </c>
      <c r="C1292" s="135">
        <v>46253</v>
      </c>
      <c r="D1292" s="44" t="s">
        <v>386</v>
      </c>
      <c r="E1292" s="35" t="s">
        <v>324</v>
      </c>
      <c r="F1292" s="121">
        <v>9.98</v>
      </c>
      <c r="G1292" s="122">
        <f t="shared" si="46"/>
        <v>0</v>
      </c>
      <c r="H1292" s="123">
        <f>IF(AND(ISNUMBER(F1292), F1292&gt;4, COUNTIFS($A$2:A1292, A1292, $B$2:B1292, B1292, $C$2:C1292, C1292, $F$2:F1292, "&gt;4")=1), 1, 0)</f>
        <v>1</v>
      </c>
      <c r="I1292" s="10">
        <f t="shared" si="47"/>
        <v>0</v>
      </c>
      <c r="J1292" s="10"/>
      <c r="K1292" s="7"/>
      <c r="L1292" s="7"/>
      <c r="M1292" s="7"/>
      <c r="N1292" s="10"/>
      <c r="O1292" s="113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t="15.75" customHeight="1">
      <c r="A1293" s="10" t="s">
        <v>15</v>
      </c>
      <c r="B1293" s="7" t="s">
        <v>83</v>
      </c>
      <c r="C1293" s="135">
        <v>46254</v>
      </c>
      <c r="D1293" s="44" t="s">
        <v>386</v>
      </c>
      <c r="E1293" s="35" t="s">
        <v>310</v>
      </c>
      <c r="F1293" s="121">
        <v>8.3000000000000007</v>
      </c>
      <c r="G1293" s="122">
        <f t="shared" si="46"/>
        <v>0</v>
      </c>
      <c r="H1293" s="123">
        <f>IF(AND(ISNUMBER(F1293), F1293&gt;4, COUNTIFS($A$2:A1293, A1293, $B$2:B1293, B1293, $C$2:C1293, C1293, $F$2:F1293, "&gt;4")=1), 1, 0)</f>
        <v>1</v>
      </c>
      <c r="I1293" s="10">
        <f t="shared" si="47"/>
        <v>0</v>
      </c>
      <c r="J1293" s="10"/>
      <c r="K1293" s="7"/>
      <c r="L1293" s="7"/>
      <c r="M1293" s="7"/>
      <c r="N1293" s="10"/>
      <c r="O1293" s="113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t="15.75" customHeight="1">
      <c r="A1294" s="10" t="s">
        <v>15</v>
      </c>
      <c r="B1294" s="7" t="s">
        <v>83</v>
      </c>
      <c r="C1294" s="135">
        <v>46240</v>
      </c>
      <c r="D1294" s="44" t="s">
        <v>193</v>
      </c>
      <c r="E1294" s="35" t="s">
        <v>305</v>
      </c>
      <c r="F1294" s="121">
        <v>8.2799999999999994</v>
      </c>
      <c r="G1294" s="122">
        <f t="shared" si="46"/>
        <v>0</v>
      </c>
      <c r="H1294" s="123">
        <f>IF(AND(ISNUMBER(F1294), F1294&gt;4, COUNTIFS($A$2:A1294, A1294, $B$2:B1294, B1294, $C$2:C1294, C1294, $F$2:F1294, "&gt;4")=1), 1, 0)</f>
        <v>1</v>
      </c>
      <c r="I1294" s="10">
        <f t="shared" si="47"/>
        <v>0</v>
      </c>
      <c r="J1294" s="10"/>
      <c r="K1294" s="7"/>
      <c r="L1294" s="7"/>
      <c r="M1294" s="7"/>
      <c r="N1294" s="10"/>
      <c r="O1294" s="113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t="15.75" customHeight="1">
      <c r="A1295" s="10" t="s">
        <v>15</v>
      </c>
      <c r="B1295" s="7" t="s">
        <v>83</v>
      </c>
      <c r="C1295" s="135">
        <v>46242</v>
      </c>
      <c r="D1295" s="44" t="s">
        <v>193</v>
      </c>
      <c r="E1295" s="35" t="s">
        <v>519</v>
      </c>
      <c r="F1295" s="121">
        <v>8.4</v>
      </c>
      <c r="G1295" s="122">
        <f t="shared" si="46"/>
        <v>0</v>
      </c>
      <c r="H1295" s="123">
        <f>IF(AND(ISNUMBER(F1295), F1295&gt;4, COUNTIFS($A$2:A1295, A1295, $B$2:B1295, B1295, $C$2:C1295, C1295, $F$2:F1295, "&gt;4")=1), 1, 0)</f>
        <v>1</v>
      </c>
      <c r="I1295" s="10">
        <f t="shared" si="47"/>
        <v>0</v>
      </c>
      <c r="J1295" s="10"/>
      <c r="K1295" s="7"/>
      <c r="L1295" s="7"/>
      <c r="M1295" s="7"/>
      <c r="N1295" s="10"/>
      <c r="O1295" s="113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t="15.75" customHeight="1">
      <c r="A1296" s="10" t="s">
        <v>15</v>
      </c>
      <c r="B1296" s="7" t="s">
        <v>83</v>
      </c>
      <c r="C1296" s="135">
        <v>46246</v>
      </c>
      <c r="D1296" s="44" t="s">
        <v>193</v>
      </c>
      <c r="E1296" s="35" t="s">
        <v>199</v>
      </c>
      <c r="F1296" s="121">
        <v>8</v>
      </c>
      <c r="G1296" s="122">
        <f t="shared" si="46"/>
        <v>0</v>
      </c>
      <c r="H1296" s="123">
        <f>IF(AND(ISNUMBER(F1296), F1296&gt;4, COUNTIFS($A$2:A1296, A1296, $B$2:B1296, B1296, $C$2:C1296, C1296, $F$2:F1296, "&gt;4")=1), 1, 0)</f>
        <v>0</v>
      </c>
      <c r="I1296" s="10">
        <f t="shared" si="47"/>
        <v>0</v>
      </c>
      <c r="J1296" s="10"/>
      <c r="K1296" s="7"/>
      <c r="L1296" s="7"/>
      <c r="M1296" s="7"/>
      <c r="N1296" s="10"/>
      <c r="O1296" s="113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t="15.75" customHeight="1">
      <c r="A1297" s="10" t="s">
        <v>15</v>
      </c>
      <c r="B1297" s="7" t="s">
        <v>83</v>
      </c>
      <c r="C1297" s="135">
        <v>46252</v>
      </c>
      <c r="D1297" s="44" t="s">
        <v>193</v>
      </c>
      <c r="E1297" s="35" t="s">
        <v>329</v>
      </c>
      <c r="F1297" s="121">
        <v>8.0299999999999994</v>
      </c>
      <c r="G1297" s="122">
        <f t="shared" si="46"/>
        <v>0</v>
      </c>
      <c r="H1297" s="123">
        <f>IF(AND(ISNUMBER(F1297), F1297&gt;4, COUNTIFS($A$2:A1297, A1297, $B$2:B1297, B1297, $C$2:C1297, C1297, $F$2:F1297, "&gt;4")=1), 1, 0)</f>
        <v>1</v>
      </c>
      <c r="I1297" s="10">
        <f t="shared" si="47"/>
        <v>0</v>
      </c>
      <c r="J1297" s="10"/>
      <c r="K1297" s="7"/>
      <c r="L1297" s="7"/>
      <c r="M1297" s="7"/>
      <c r="N1297" s="10"/>
      <c r="O1297" s="113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t="15.75" customHeight="1">
      <c r="A1298" s="10" t="s">
        <v>15</v>
      </c>
      <c r="B1298" s="7" t="s">
        <v>83</v>
      </c>
      <c r="C1298" s="135">
        <v>46255</v>
      </c>
      <c r="D1298" s="44" t="s">
        <v>193</v>
      </c>
      <c r="E1298" s="35" t="s">
        <v>280</v>
      </c>
      <c r="F1298" s="121">
        <v>8.25</v>
      </c>
      <c r="G1298" s="122">
        <f t="shared" si="46"/>
        <v>0</v>
      </c>
      <c r="H1298" s="123">
        <f>IF(AND(ISNUMBER(F1298), F1298&gt;4, COUNTIFS($A$2:A1298, A1298, $B$2:B1298, B1298, $C$2:C1298, C1298, $F$2:F1298, "&gt;4")=1), 1, 0)</f>
        <v>1</v>
      </c>
      <c r="I1298" s="10">
        <f t="shared" si="47"/>
        <v>0</v>
      </c>
      <c r="J1298" s="10"/>
      <c r="K1298" s="7"/>
      <c r="L1298" s="7"/>
      <c r="M1298" s="7"/>
      <c r="N1298" s="10"/>
      <c r="O1298" s="113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t="15.75" customHeight="1">
      <c r="A1299" s="10" t="s">
        <v>15</v>
      </c>
      <c r="B1299" s="7" t="s">
        <v>83</v>
      </c>
      <c r="C1299" s="135">
        <v>46259</v>
      </c>
      <c r="D1299" s="44" t="s">
        <v>193</v>
      </c>
      <c r="E1299" s="35" t="s">
        <v>207</v>
      </c>
      <c r="F1299" s="121">
        <v>8.1</v>
      </c>
      <c r="G1299" s="122">
        <f t="shared" si="46"/>
        <v>0</v>
      </c>
      <c r="H1299" s="123">
        <f>IF(AND(ISNUMBER(F1299), F1299&gt;4, COUNTIFS($A$2:A1299, A1299, $B$2:B1299, B1299, $C$2:C1299, C1299, $F$2:F1299, "&gt;4")=1), 1, 0)</f>
        <v>1</v>
      </c>
      <c r="I1299" s="10">
        <f t="shared" si="47"/>
        <v>0</v>
      </c>
      <c r="J1299" s="10"/>
      <c r="K1299" s="7"/>
      <c r="L1299" s="7"/>
      <c r="M1299" s="7"/>
      <c r="N1299" s="10"/>
      <c r="O1299" s="113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t="15.75" customHeight="1">
      <c r="A1300" s="10" t="s">
        <v>15</v>
      </c>
      <c r="B1300" s="7" t="s">
        <v>83</v>
      </c>
      <c r="C1300" s="135">
        <v>46260</v>
      </c>
      <c r="D1300" s="44" t="s">
        <v>193</v>
      </c>
      <c r="E1300" s="35" t="s">
        <v>400</v>
      </c>
      <c r="F1300" s="121">
        <v>8.6199999999999992</v>
      </c>
      <c r="G1300" s="122">
        <f t="shared" si="46"/>
        <v>0</v>
      </c>
      <c r="H1300" s="123">
        <f>IF(AND(ISNUMBER(F1300), F1300&gt;4, COUNTIFS($A$2:A1300, A1300, $B$2:B1300, B1300, $C$2:C1300, C1300, $F$2:F1300, "&gt;4")=1), 1, 0)</f>
        <v>1</v>
      </c>
      <c r="I1300" s="10">
        <f t="shared" si="47"/>
        <v>0</v>
      </c>
      <c r="J1300" s="10"/>
      <c r="K1300" s="7"/>
      <c r="L1300" s="7"/>
      <c r="M1300" s="7"/>
      <c r="N1300" s="10"/>
      <c r="O1300" s="113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t="15.75" customHeight="1">
      <c r="A1301" s="10" t="s">
        <v>15</v>
      </c>
      <c r="B1301" s="7" t="s">
        <v>83</v>
      </c>
      <c r="C1301" s="135">
        <v>46262</v>
      </c>
      <c r="D1301" s="44" t="s">
        <v>193</v>
      </c>
      <c r="E1301" s="35" t="s">
        <v>497</v>
      </c>
      <c r="F1301" s="121">
        <v>8.43</v>
      </c>
      <c r="G1301" s="122">
        <f t="shared" si="46"/>
        <v>0</v>
      </c>
      <c r="H1301" s="123">
        <f>IF(AND(ISNUMBER(F1301), F1301&gt;4, COUNTIFS($A$2:A1301, A1301, $B$2:B1301, B1301, $C$2:C1301, C1301, $F$2:F1301, "&gt;4")=1), 1, 0)</f>
        <v>1</v>
      </c>
      <c r="I1301" s="10">
        <f t="shared" si="47"/>
        <v>0</v>
      </c>
      <c r="J1301" s="10"/>
      <c r="K1301" s="7"/>
      <c r="L1301" s="7"/>
      <c r="M1301" s="7"/>
      <c r="N1301" s="10"/>
      <c r="O1301" s="113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t="15.75" customHeight="1">
      <c r="A1302" s="10" t="s">
        <v>15</v>
      </c>
      <c r="B1302" s="7" t="s">
        <v>83</v>
      </c>
      <c r="C1302" s="135">
        <v>46264</v>
      </c>
      <c r="D1302" s="44" t="s">
        <v>193</v>
      </c>
      <c r="E1302" s="35" t="s">
        <v>502</v>
      </c>
      <c r="F1302" s="121">
        <v>8.17</v>
      </c>
      <c r="G1302" s="122">
        <f t="shared" si="46"/>
        <v>0</v>
      </c>
      <c r="H1302" s="123">
        <f>IF(AND(ISNUMBER(F1302), F1302&gt;4, COUNTIFS($A$2:A1302, A1302, $B$2:B1302, B1302, $C$2:C1302, C1302, $F$2:F1302, "&gt;4")=1), 1, 0)</f>
        <v>1</v>
      </c>
      <c r="I1302" s="10">
        <f t="shared" si="47"/>
        <v>0</v>
      </c>
      <c r="J1302" s="10"/>
      <c r="K1302" s="7"/>
      <c r="L1302" s="7"/>
      <c r="M1302" s="7"/>
      <c r="N1302" s="10"/>
      <c r="O1302" s="113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t="15.75" customHeight="1">
      <c r="A1303" s="10" t="s">
        <v>15</v>
      </c>
      <c r="B1303" s="7" t="s">
        <v>83</v>
      </c>
      <c r="C1303" s="135">
        <v>46265</v>
      </c>
      <c r="D1303" s="44" t="s">
        <v>193</v>
      </c>
      <c r="E1303" s="35" t="s">
        <v>751</v>
      </c>
      <c r="F1303" s="121">
        <v>8.73</v>
      </c>
      <c r="G1303" s="122">
        <f t="shared" si="46"/>
        <v>0</v>
      </c>
      <c r="H1303" s="123">
        <f>IF(AND(ISNUMBER(F1303), F1303&gt;4, COUNTIFS($A$2:A1303, A1303, $B$2:B1303, B1303, $C$2:C1303, C1303, $F$2:F1303, "&gt;4")=1), 1, 0)</f>
        <v>1</v>
      </c>
      <c r="I1303" s="10">
        <f t="shared" si="47"/>
        <v>0</v>
      </c>
      <c r="J1303" s="10"/>
      <c r="K1303" s="7"/>
      <c r="L1303" s="7"/>
      <c r="M1303" s="7"/>
      <c r="N1303" s="10"/>
      <c r="O1303" s="113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t="15.75" customHeight="1">
      <c r="A1304" s="10" t="s">
        <v>15</v>
      </c>
      <c r="B1304" s="7" t="s">
        <v>83</v>
      </c>
      <c r="C1304" s="135">
        <v>46235</v>
      </c>
      <c r="D1304" s="44" t="s">
        <v>383</v>
      </c>
      <c r="E1304" s="35" t="s">
        <v>752</v>
      </c>
      <c r="F1304" s="121">
        <v>6.68</v>
      </c>
      <c r="G1304" s="122">
        <f t="shared" si="46"/>
        <v>0</v>
      </c>
      <c r="H1304" s="123">
        <f>IF(AND(ISNUMBER(F1304), F1304&gt;4, COUNTIFS($A$2:A1304, A1304, $B$2:B1304, B1304, $C$2:C1304, C1304, $F$2:F1304, "&gt;4")=1), 1, 0)</f>
        <v>1</v>
      </c>
      <c r="I1304" s="10">
        <f t="shared" si="47"/>
        <v>0</v>
      </c>
      <c r="J1304" s="10"/>
      <c r="K1304" s="7"/>
      <c r="L1304" s="7"/>
      <c r="M1304" s="7"/>
      <c r="N1304" s="10"/>
      <c r="O1304" s="113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t="15.75" customHeight="1">
      <c r="A1305" s="10" t="s">
        <v>15</v>
      </c>
      <c r="B1305" s="7" t="s">
        <v>83</v>
      </c>
      <c r="C1305" s="135">
        <v>46238</v>
      </c>
      <c r="D1305" s="44" t="s">
        <v>383</v>
      </c>
      <c r="E1305" s="35" t="s">
        <v>501</v>
      </c>
      <c r="F1305" s="121">
        <v>8.2200000000000006</v>
      </c>
      <c r="G1305" s="122">
        <f t="shared" si="46"/>
        <v>0</v>
      </c>
      <c r="H1305" s="123">
        <f>IF(AND(ISNUMBER(F1305), F1305&gt;4, COUNTIFS($A$2:A1305, A1305, $B$2:B1305, B1305, $C$2:C1305, C1305, $F$2:F1305, "&gt;4")=1), 1, 0)</f>
        <v>1</v>
      </c>
      <c r="I1305" s="10">
        <f t="shared" si="47"/>
        <v>0</v>
      </c>
      <c r="J1305" s="10"/>
      <c r="K1305" s="7"/>
      <c r="L1305" s="7"/>
      <c r="M1305" s="7"/>
      <c r="N1305" s="10"/>
      <c r="O1305" s="113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t="15.75" customHeight="1">
      <c r="A1306" s="10" t="s">
        <v>15</v>
      </c>
      <c r="B1306" s="7" t="s">
        <v>83</v>
      </c>
      <c r="C1306" s="135">
        <v>46245</v>
      </c>
      <c r="D1306" s="44" t="s">
        <v>383</v>
      </c>
      <c r="E1306" s="35" t="s">
        <v>753</v>
      </c>
      <c r="F1306" s="121">
        <v>1.63</v>
      </c>
      <c r="G1306" s="122">
        <f t="shared" si="46"/>
        <v>1</v>
      </c>
      <c r="H1306" s="123">
        <f>IF(AND(ISNUMBER(F1306), F1306&gt;4, COUNTIFS($A$2:A1306, A1306, $B$2:B1306, B1306, $C$2:C1306, C1306, $F$2:F1306, "&gt;4")=1), 1, 0)</f>
        <v>0</v>
      </c>
      <c r="I1306" s="10">
        <f t="shared" si="47"/>
        <v>0</v>
      </c>
      <c r="J1306" s="10"/>
      <c r="K1306" s="7"/>
      <c r="L1306" s="7"/>
      <c r="M1306" s="7"/>
      <c r="N1306" s="10"/>
      <c r="O1306" s="113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t="15.75" customHeight="1">
      <c r="A1307" s="10" t="s">
        <v>15</v>
      </c>
      <c r="B1307" s="7" t="s">
        <v>83</v>
      </c>
      <c r="C1307" s="135">
        <v>46249</v>
      </c>
      <c r="D1307" s="44" t="s">
        <v>383</v>
      </c>
      <c r="E1307" s="35" t="s">
        <v>557</v>
      </c>
      <c r="F1307" s="121">
        <v>5.98</v>
      </c>
      <c r="G1307" s="122">
        <f t="shared" si="46"/>
        <v>0</v>
      </c>
      <c r="H1307" s="123">
        <f>IF(AND(ISNUMBER(F1307), F1307&gt;4, COUNTIFS($A$2:A1307, A1307, $B$2:B1307, B1307, $C$2:C1307, C1307, $F$2:F1307, "&gt;4")=1), 1, 0)</f>
        <v>1</v>
      </c>
      <c r="I1307" s="10">
        <f t="shared" si="47"/>
        <v>0</v>
      </c>
      <c r="J1307" s="10"/>
      <c r="K1307" s="7"/>
      <c r="L1307" s="7"/>
      <c r="M1307" s="7"/>
      <c r="N1307" s="10"/>
      <c r="O1307" s="113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t="15.75" customHeight="1">
      <c r="A1308" s="10" t="s">
        <v>15</v>
      </c>
      <c r="B1308" s="7" t="s">
        <v>83</v>
      </c>
      <c r="C1308" s="135">
        <v>46241</v>
      </c>
      <c r="D1308" s="44" t="s">
        <v>247</v>
      </c>
      <c r="E1308" s="35" t="s">
        <v>511</v>
      </c>
      <c r="F1308" s="121">
        <v>8.1300000000000008</v>
      </c>
      <c r="G1308" s="122">
        <f t="shared" si="46"/>
        <v>0</v>
      </c>
      <c r="H1308" s="123">
        <f>IF(AND(ISNUMBER(F1308), F1308&gt;4, COUNTIFS($A$2:A1308, A1308, $B$2:B1308, B1308, $C$2:C1308, C1308, $F$2:F1308, "&gt;4")=1), 1, 0)</f>
        <v>1</v>
      </c>
      <c r="I1308" s="10">
        <f t="shared" si="47"/>
        <v>1</v>
      </c>
      <c r="J1308" s="10"/>
      <c r="K1308" s="7"/>
      <c r="L1308" s="7"/>
      <c r="M1308" s="7"/>
      <c r="N1308" s="10"/>
      <c r="O1308" s="113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t="15.75" customHeight="1">
      <c r="A1309" s="10" t="s">
        <v>15</v>
      </c>
      <c r="B1309" s="7" t="s">
        <v>83</v>
      </c>
      <c r="C1309" s="135">
        <v>46247</v>
      </c>
      <c r="D1309" s="44" t="s">
        <v>247</v>
      </c>
      <c r="E1309" s="35" t="s">
        <v>214</v>
      </c>
      <c r="F1309" s="121">
        <v>8.08</v>
      </c>
      <c r="G1309" s="122">
        <f t="shared" si="46"/>
        <v>0</v>
      </c>
      <c r="H1309" s="123">
        <f>IF(AND(ISNUMBER(F1309), F1309&gt;4, COUNTIFS($A$2:A1309, A1309, $B$2:B1309, B1309, $C$2:C1309, C1309, $F$2:F1309, "&gt;4")=1), 1, 0)</f>
        <v>1</v>
      </c>
      <c r="I1309" s="10">
        <f t="shared" si="47"/>
        <v>1</v>
      </c>
      <c r="J1309" s="10"/>
      <c r="K1309" s="7"/>
      <c r="L1309" s="7"/>
      <c r="M1309" s="7"/>
      <c r="N1309" s="10"/>
      <c r="O1309" s="113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t="15.75" customHeight="1">
      <c r="A1310" s="10" t="s">
        <v>15</v>
      </c>
      <c r="B1310" s="7" t="s">
        <v>83</v>
      </c>
      <c r="C1310" s="135">
        <v>46248</v>
      </c>
      <c r="D1310" s="44" t="s">
        <v>247</v>
      </c>
      <c r="E1310" s="35" t="s">
        <v>479</v>
      </c>
      <c r="F1310" s="121">
        <v>8.02</v>
      </c>
      <c r="G1310" s="122">
        <f t="shared" si="46"/>
        <v>0</v>
      </c>
      <c r="H1310" s="123">
        <f>IF(AND(ISNUMBER(F1310), F1310&gt;4, COUNTIFS($A$2:A1310, A1310, $B$2:B1310, B1310, $C$2:C1310, C1310, $F$2:F1310, "&gt;4")=1), 1, 0)</f>
        <v>1</v>
      </c>
      <c r="I1310" s="10">
        <f t="shared" si="47"/>
        <v>1</v>
      </c>
      <c r="J1310" s="10"/>
      <c r="K1310" s="7"/>
      <c r="L1310" s="7"/>
      <c r="M1310" s="7"/>
      <c r="N1310" s="10"/>
      <c r="O1310" s="113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t="15.75" customHeight="1">
      <c r="A1311" s="10" t="s">
        <v>15</v>
      </c>
      <c r="B1311" s="7" t="s">
        <v>83</v>
      </c>
      <c r="C1311" s="135">
        <v>46261</v>
      </c>
      <c r="D1311" s="44" t="s">
        <v>247</v>
      </c>
      <c r="E1311" s="35" t="s">
        <v>754</v>
      </c>
      <c r="F1311" s="121">
        <v>7.2</v>
      </c>
      <c r="G1311" s="122">
        <f t="shared" si="46"/>
        <v>0</v>
      </c>
      <c r="H1311" s="123">
        <f>IF(AND(ISNUMBER(F1311), F1311&gt;4, COUNTIFS($A$2:A1311, A1311, $B$2:B1311, B1311, $C$2:C1311, C1311, $F$2:F1311, "&gt;4")=1), 1, 0)</f>
        <v>0</v>
      </c>
      <c r="I1311" s="10">
        <f t="shared" si="47"/>
        <v>1</v>
      </c>
      <c r="J1311" s="10"/>
      <c r="K1311" s="7"/>
      <c r="L1311" s="7"/>
      <c r="M1311" s="7"/>
      <c r="N1311" s="10"/>
      <c r="O1311" s="113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t="15.75" customHeight="1">
      <c r="A1312" s="10" t="s">
        <v>24</v>
      </c>
      <c r="B1312" s="7" t="s">
        <v>74</v>
      </c>
      <c r="C1312" s="135">
        <v>46252</v>
      </c>
      <c r="D1312" s="44" t="s">
        <v>215</v>
      </c>
      <c r="E1312" s="35" t="s">
        <v>391</v>
      </c>
      <c r="F1312" s="121">
        <v>10</v>
      </c>
      <c r="G1312" s="122">
        <f t="shared" si="46"/>
        <v>0</v>
      </c>
      <c r="H1312" s="123">
        <f>IF(AND(ISNUMBER(F1312), F1312&gt;4, COUNTIFS($A$2:A1312, A1312, $B$2:B1312, B1312, $C$2:C1312, C1312, $F$2:F1312, "&gt;4")=1), 1, 0)</f>
        <v>1</v>
      </c>
      <c r="I1312" s="10">
        <f t="shared" si="47"/>
        <v>0</v>
      </c>
      <c r="J1312" s="10"/>
      <c r="K1312" s="7"/>
      <c r="L1312" s="7"/>
      <c r="M1312" s="7"/>
      <c r="N1312" s="10"/>
      <c r="O1312" s="113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t="15.75" customHeight="1">
      <c r="A1313" s="10" t="s">
        <v>15</v>
      </c>
      <c r="B1313" s="7" t="s">
        <v>74</v>
      </c>
      <c r="C1313" s="135">
        <v>46235</v>
      </c>
      <c r="D1313" s="44" t="s">
        <v>245</v>
      </c>
      <c r="E1313" s="35" t="s">
        <v>755</v>
      </c>
      <c r="F1313" s="121">
        <v>9.18</v>
      </c>
      <c r="G1313" s="122">
        <f t="shared" si="46"/>
        <v>0</v>
      </c>
      <c r="H1313" s="123">
        <f>IF(AND(ISNUMBER(F1313), F1313&gt;4, COUNTIFS($A$2:A1313, A1313, $B$2:B1313, B1313, $C$2:C1313, C1313, $F$2:F1313, "&gt;4")=1), 1, 0)</f>
        <v>1</v>
      </c>
      <c r="I1313" s="10">
        <f t="shared" si="47"/>
        <v>0</v>
      </c>
      <c r="J1313" s="10"/>
      <c r="K1313" s="7"/>
      <c r="L1313" s="7"/>
      <c r="M1313" s="7"/>
      <c r="N1313" s="10"/>
      <c r="O1313" s="113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t="15.75" customHeight="1">
      <c r="A1314" s="10" t="s">
        <v>15</v>
      </c>
      <c r="B1314" s="7" t="s">
        <v>74</v>
      </c>
      <c r="C1314" s="135">
        <v>46242</v>
      </c>
      <c r="D1314" s="44" t="s">
        <v>245</v>
      </c>
      <c r="E1314" s="35" t="s">
        <v>756</v>
      </c>
      <c r="F1314" s="121">
        <v>9.4499999999999993</v>
      </c>
      <c r="G1314" s="122">
        <f t="shared" si="46"/>
        <v>0</v>
      </c>
      <c r="H1314" s="123">
        <f>IF(AND(ISNUMBER(F1314), F1314&gt;4, COUNTIFS($A$2:A1314, A1314, $B$2:B1314, B1314, $C$2:C1314, C1314, $F$2:F1314, "&gt;4")=1), 1, 0)</f>
        <v>1</v>
      </c>
      <c r="I1314" s="10">
        <f t="shared" si="47"/>
        <v>0</v>
      </c>
      <c r="J1314" s="10"/>
      <c r="K1314" s="7"/>
      <c r="L1314" s="7"/>
      <c r="M1314" s="7"/>
      <c r="N1314" s="10"/>
      <c r="O1314" s="113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t="15.75" customHeight="1">
      <c r="A1315" s="10" t="s">
        <v>15</v>
      </c>
      <c r="B1315" s="7" t="s">
        <v>74</v>
      </c>
      <c r="C1315" s="135">
        <v>46248</v>
      </c>
      <c r="D1315" s="44" t="s">
        <v>245</v>
      </c>
      <c r="E1315" s="35" t="s">
        <v>644</v>
      </c>
      <c r="F1315" s="121">
        <v>10.18</v>
      </c>
      <c r="G1315" s="122">
        <f t="shared" si="46"/>
        <v>0</v>
      </c>
      <c r="H1315" s="123">
        <f>IF(AND(ISNUMBER(F1315), F1315&gt;4, COUNTIFS($A$2:A1315, A1315, $B$2:B1315, B1315, $C$2:C1315, C1315, $F$2:F1315, "&gt;4")=1), 1, 0)</f>
        <v>1</v>
      </c>
      <c r="I1315" s="10">
        <f t="shared" si="47"/>
        <v>0</v>
      </c>
      <c r="J1315" s="10"/>
      <c r="K1315" s="7"/>
      <c r="L1315" s="7"/>
      <c r="M1315" s="7"/>
      <c r="N1315" s="10"/>
      <c r="O1315" s="113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t="15.75" customHeight="1">
      <c r="A1316" s="10" t="s">
        <v>15</v>
      </c>
      <c r="B1316" s="7" t="s">
        <v>74</v>
      </c>
      <c r="C1316" s="135">
        <v>46249</v>
      </c>
      <c r="D1316" s="44" t="s">
        <v>245</v>
      </c>
      <c r="E1316" s="35" t="s">
        <v>483</v>
      </c>
      <c r="F1316" s="121">
        <v>7.92</v>
      </c>
      <c r="G1316" s="122">
        <f t="shared" si="46"/>
        <v>0</v>
      </c>
      <c r="H1316" s="123">
        <f>IF(AND(ISNUMBER(F1316), F1316&gt;4, COUNTIFS($A$2:A1316, A1316, $B$2:B1316, B1316, $C$2:C1316, C1316, $F$2:F1316, "&gt;4")=1), 1, 0)</f>
        <v>1</v>
      </c>
      <c r="I1316" s="10">
        <f t="shared" si="47"/>
        <v>0</v>
      </c>
      <c r="J1316" s="10"/>
      <c r="K1316" s="7"/>
      <c r="L1316" s="7"/>
      <c r="M1316" s="7"/>
      <c r="N1316" s="10"/>
      <c r="O1316" s="113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t="15.75" customHeight="1">
      <c r="A1317" s="10" t="s">
        <v>15</v>
      </c>
      <c r="B1317" s="7" t="s">
        <v>74</v>
      </c>
      <c r="C1317" s="135">
        <v>46254</v>
      </c>
      <c r="D1317" s="44" t="s">
        <v>245</v>
      </c>
      <c r="E1317" s="35" t="s">
        <v>757</v>
      </c>
      <c r="F1317" s="121">
        <v>11.23</v>
      </c>
      <c r="G1317" s="122">
        <f t="shared" si="46"/>
        <v>0</v>
      </c>
      <c r="H1317" s="123">
        <f>IF(AND(ISNUMBER(F1317), F1317&gt;4, COUNTIFS($A$2:A1317, A1317, $B$2:B1317, B1317, $C$2:C1317, C1317, $F$2:F1317, "&gt;4")=1), 1, 0)</f>
        <v>1</v>
      </c>
      <c r="I1317" s="10">
        <f t="shared" si="47"/>
        <v>0</v>
      </c>
      <c r="J1317" s="10"/>
      <c r="K1317" s="7"/>
      <c r="L1317" s="7"/>
      <c r="M1317" s="7"/>
      <c r="N1317" s="10"/>
      <c r="O1317" s="113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t="15.75" customHeight="1">
      <c r="A1318" s="10" t="s">
        <v>15</v>
      </c>
      <c r="B1318" s="7" t="s">
        <v>74</v>
      </c>
      <c r="C1318" s="135">
        <v>46255</v>
      </c>
      <c r="D1318" s="44" t="s">
        <v>245</v>
      </c>
      <c r="E1318" s="35" t="s">
        <v>501</v>
      </c>
      <c r="F1318" s="121">
        <v>8.2200000000000006</v>
      </c>
      <c r="G1318" s="122">
        <f t="shared" si="46"/>
        <v>0</v>
      </c>
      <c r="H1318" s="123">
        <f>IF(AND(ISNUMBER(F1318), F1318&gt;4, COUNTIFS($A$2:A1318, A1318, $B$2:B1318, B1318, $C$2:C1318, C1318, $F$2:F1318, "&gt;4")=1), 1, 0)</f>
        <v>1</v>
      </c>
      <c r="I1318" s="10">
        <f t="shared" si="47"/>
        <v>0</v>
      </c>
      <c r="J1318" s="10"/>
      <c r="K1318" s="7"/>
      <c r="L1318" s="7"/>
      <c r="M1318" s="7"/>
      <c r="N1318" s="10"/>
      <c r="O1318" s="113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t="15.75" customHeight="1">
      <c r="A1319" s="10" t="s">
        <v>15</v>
      </c>
      <c r="B1319" s="7" t="s">
        <v>74</v>
      </c>
      <c r="C1319" s="135">
        <v>46256</v>
      </c>
      <c r="D1319" s="44" t="s">
        <v>245</v>
      </c>
      <c r="E1319" s="35" t="s">
        <v>758</v>
      </c>
      <c r="F1319" s="121">
        <v>9.85</v>
      </c>
      <c r="G1319" s="122">
        <f t="shared" si="46"/>
        <v>0</v>
      </c>
      <c r="H1319" s="123">
        <f>IF(AND(ISNUMBER(F1319), F1319&gt;4, COUNTIFS($A$2:A1319, A1319, $B$2:B1319, B1319, $C$2:C1319, C1319, $F$2:F1319, "&gt;4")=1), 1, 0)</f>
        <v>1</v>
      </c>
      <c r="I1319" s="10">
        <f t="shared" si="47"/>
        <v>0</v>
      </c>
      <c r="J1319" s="10"/>
      <c r="K1319" s="7"/>
      <c r="L1319" s="7"/>
      <c r="M1319" s="7"/>
      <c r="N1319" s="10"/>
      <c r="O1319" s="113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t="15.75" customHeight="1">
      <c r="A1320" s="10" t="s">
        <v>15</v>
      </c>
      <c r="B1320" s="7" t="s">
        <v>74</v>
      </c>
      <c r="C1320" s="135">
        <v>46259</v>
      </c>
      <c r="D1320" s="44" t="s">
        <v>245</v>
      </c>
      <c r="E1320" s="35" t="s">
        <v>522</v>
      </c>
      <c r="F1320" s="121">
        <v>8.32</v>
      </c>
      <c r="G1320" s="122">
        <f t="shared" si="46"/>
        <v>0</v>
      </c>
      <c r="H1320" s="123">
        <f>IF(AND(ISNUMBER(F1320), F1320&gt;4, COUNTIFS($A$2:A1320, A1320, $B$2:B1320, B1320, $C$2:C1320, C1320, $F$2:F1320, "&gt;4")=1), 1, 0)</f>
        <v>1</v>
      </c>
      <c r="I1320" s="10">
        <f t="shared" si="47"/>
        <v>0</v>
      </c>
      <c r="J1320" s="10"/>
      <c r="K1320" s="7"/>
      <c r="L1320" s="7"/>
      <c r="M1320" s="7"/>
      <c r="N1320" s="10"/>
      <c r="O1320" s="113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t="15.75" customHeight="1">
      <c r="A1321" s="10" t="s">
        <v>15</v>
      </c>
      <c r="B1321" s="7" t="s">
        <v>74</v>
      </c>
      <c r="C1321" s="135">
        <v>46260</v>
      </c>
      <c r="D1321" s="44" t="s">
        <v>245</v>
      </c>
      <c r="E1321" s="35" t="s">
        <v>759</v>
      </c>
      <c r="F1321" s="121">
        <v>9.23</v>
      </c>
      <c r="G1321" s="122">
        <f t="shared" si="46"/>
        <v>0</v>
      </c>
      <c r="H1321" s="123">
        <f>IF(AND(ISNUMBER(F1321), F1321&gt;4, COUNTIFS($A$2:A1321, A1321, $B$2:B1321, B1321, $C$2:C1321, C1321, $F$2:F1321, "&gt;4")=1), 1, 0)</f>
        <v>1</v>
      </c>
      <c r="I1321" s="10">
        <f t="shared" si="47"/>
        <v>0</v>
      </c>
      <c r="J1321" s="10"/>
      <c r="K1321" s="7"/>
      <c r="L1321" s="7"/>
      <c r="M1321" s="7"/>
      <c r="N1321" s="10"/>
      <c r="O1321" s="113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t="15.75" customHeight="1">
      <c r="A1322" s="10" t="s">
        <v>15</v>
      </c>
      <c r="B1322" s="7" t="s">
        <v>74</v>
      </c>
      <c r="C1322" s="135">
        <v>46262</v>
      </c>
      <c r="D1322" s="44" t="s">
        <v>245</v>
      </c>
      <c r="E1322" s="35" t="s">
        <v>516</v>
      </c>
      <c r="F1322" s="121">
        <v>8.3699999999999992</v>
      </c>
      <c r="G1322" s="122">
        <f t="shared" si="46"/>
        <v>0</v>
      </c>
      <c r="H1322" s="123">
        <f>IF(AND(ISNUMBER(F1322), F1322&gt;4, COUNTIFS($A$2:A1322, A1322, $B$2:B1322, B1322, $C$2:C1322, C1322, $F$2:F1322, "&gt;4")=1), 1, 0)</f>
        <v>1</v>
      </c>
      <c r="I1322" s="10">
        <f t="shared" si="47"/>
        <v>0</v>
      </c>
      <c r="J1322" s="10"/>
      <c r="K1322" s="7"/>
      <c r="L1322" s="7"/>
      <c r="M1322" s="7"/>
      <c r="N1322" s="10"/>
      <c r="O1322" s="113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t="15.75" customHeight="1">
      <c r="A1323" s="10" t="s">
        <v>15</v>
      </c>
      <c r="B1323" s="7" t="s">
        <v>74</v>
      </c>
      <c r="C1323" s="135">
        <v>46238</v>
      </c>
      <c r="D1323" s="44" t="s">
        <v>308</v>
      </c>
      <c r="E1323" s="35" t="s">
        <v>288</v>
      </c>
      <c r="F1323" s="121">
        <v>8.0500000000000007</v>
      </c>
      <c r="G1323" s="122">
        <f t="shared" si="46"/>
        <v>0</v>
      </c>
      <c r="H1323" s="123">
        <f>IF(AND(ISNUMBER(F1323), F1323&gt;4, COUNTIFS($A$2:A1323, A1323, $B$2:B1323, B1323, $C$2:C1323, C1323, $F$2:F1323, "&gt;4")=1), 1, 0)</f>
        <v>1</v>
      </c>
      <c r="I1323" s="10">
        <f t="shared" si="47"/>
        <v>0</v>
      </c>
      <c r="J1323" s="10"/>
      <c r="K1323" s="7"/>
      <c r="L1323" s="7"/>
      <c r="M1323" s="7"/>
      <c r="N1323" s="10"/>
      <c r="O1323" s="113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t="15.75" customHeight="1">
      <c r="A1324" s="10" t="s">
        <v>15</v>
      </c>
      <c r="B1324" s="7" t="s">
        <v>74</v>
      </c>
      <c r="C1324" s="135">
        <v>46247</v>
      </c>
      <c r="D1324" s="44" t="s">
        <v>308</v>
      </c>
      <c r="E1324" s="35" t="s">
        <v>484</v>
      </c>
      <c r="F1324" s="121">
        <v>7.82</v>
      </c>
      <c r="G1324" s="122">
        <f t="shared" si="46"/>
        <v>0</v>
      </c>
      <c r="H1324" s="123">
        <f>IF(AND(ISNUMBER(F1324), F1324&gt;4, COUNTIFS($A$2:A1324, A1324, $B$2:B1324, B1324, $C$2:C1324, C1324, $F$2:F1324, "&gt;4")=1), 1, 0)</f>
        <v>1</v>
      </c>
      <c r="I1324" s="10">
        <f t="shared" si="47"/>
        <v>0</v>
      </c>
      <c r="J1324" s="10"/>
      <c r="K1324" s="7"/>
      <c r="L1324" s="7"/>
      <c r="M1324" s="7"/>
      <c r="N1324" s="10"/>
      <c r="O1324" s="113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t="15.75" customHeight="1">
      <c r="A1325" s="10" t="s">
        <v>15</v>
      </c>
      <c r="B1325" s="7" t="s">
        <v>74</v>
      </c>
      <c r="C1325" s="135">
        <v>46251</v>
      </c>
      <c r="D1325" s="44" t="s">
        <v>308</v>
      </c>
      <c r="E1325" s="35" t="s">
        <v>400</v>
      </c>
      <c r="F1325" s="121">
        <v>8.6199999999999992</v>
      </c>
      <c r="G1325" s="122">
        <f t="shared" si="46"/>
        <v>0</v>
      </c>
      <c r="H1325" s="123">
        <f>IF(AND(ISNUMBER(F1325), F1325&gt;4, COUNTIFS($A$2:A1325, A1325, $B$2:B1325, B1325, $C$2:C1325, C1325, $F$2:F1325, "&gt;4")=1), 1, 0)</f>
        <v>1</v>
      </c>
      <c r="I1325" s="10">
        <f t="shared" si="47"/>
        <v>0</v>
      </c>
      <c r="J1325" s="10"/>
      <c r="K1325" s="7"/>
      <c r="L1325" s="7"/>
      <c r="M1325" s="7"/>
      <c r="N1325" s="10"/>
      <c r="O1325" s="113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t="15.75" customHeight="1">
      <c r="A1326" s="10" t="s">
        <v>15</v>
      </c>
      <c r="B1326" s="7" t="s">
        <v>74</v>
      </c>
      <c r="C1326" s="135">
        <v>46258</v>
      </c>
      <c r="D1326" s="44" t="s">
        <v>386</v>
      </c>
      <c r="E1326" s="35" t="s">
        <v>504</v>
      </c>
      <c r="F1326" s="121">
        <v>8.18</v>
      </c>
      <c r="G1326" s="122">
        <f t="shared" si="46"/>
        <v>0</v>
      </c>
      <c r="H1326" s="123">
        <f>IF(AND(ISNUMBER(F1326), F1326&gt;4, COUNTIFS($A$2:A1326, A1326, $B$2:B1326, B1326, $C$2:C1326, C1326, $F$2:F1326, "&gt;4")=1), 1, 0)</f>
        <v>1</v>
      </c>
      <c r="I1326" s="10">
        <f t="shared" si="47"/>
        <v>0</v>
      </c>
      <c r="J1326" s="10"/>
      <c r="K1326" s="7"/>
      <c r="L1326" s="7"/>
      <c r="M1326" s="7"/>
      <c r="N1326" s="10"/>
      <c r="O1326" s="113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t="15.75" customHeight="1">
      <c r="A1327" s="10" t="s">
        <v>15</v>
      </c>
      <c r="B1327" s="7" t="s">
        <v>74</v>
      </c>
      <c r="C1327" s="135">
        <v>46261</v>
      </c>
      <c r="D1327" s="44" t="s">
        <v>386</v>
      </c>
      <c r="E1327" s="35" t="s">
        <v>297</v>
      </c>
      <c r="F1327" s="121">
        <v>8.5</v>
      </c>
      <c r="G1327" s="122">
        <f t="shared" si="46"/>
        <v>0</v>
      </c>
      <c r="H1327" s="123">
        <f>IF(AND(ISNUMBER(F1327), F1327&gt;4, COUNTIFS($A$2:A1327, A1327, $B$2:B1327, B1327, $C$2:C1327, C1327, $F$2:F1327, "&gt;4")=1), 1, 0)</f>
        <v>1</v>
      </c>
      <c r="I1327" s="10">
        <f t="shared" si="47"/>
        <v>0</v>
      </c>
      <c r="J1327" s="10"/>
      <c r="K1327" s="7"/>
      <c r="L1327" s="7"/>
      <c r="M1327" s="7"/>
      <c r="N1327" s="10"/>
      <c r="O1327" s="113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t="15.75" customHeight="1">
      <c r="A1328" s="10" t="s">
        <v>15</v>
      </c>
      <c r="B1328" s="7" t="s">
        <v>74</v>
      </c>
      <c r="C1328" s="135">
        <v>46246</v>
      </c>
      <c r="D1328" s="44" t="s">
        <v>193</v>
      </c>
      <c r="E1328" s="35" t="s">
        <v>760</v>
      </c>
      <c r="F1328" s="121">
        <v>5.52</v>
      </c>
      <c r="G1328" s="122">
        <f t="shared" si="46"/>
        <v>0</v>
      </c>
      <c r="H1328" s="123">
        <f>IF(AND(ISNUMBER(F1328), F1328&gt;4, COUNTIFS($A$2:A1328, A1328, $B$2:B1328, B1328, $C$2:C1328, C1328, $F$2:F1328, "&gt;4")=1), 1, 0)</f>
        <v>1</v>
      </c>
      <c r="I1328" s="10">
        <f t="shared" si="47"/>
        <v>0</v>
      </c>
      <c r="J1328" s="10"/>
      <c r="K1328" s="7"/>
      <c r="L1328" s="7"/>
      <c r="M1328" s="7"/>
      <c r="N1328" s="10"/>
      <c r="O1328" s="113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t="15.75" customHeight="1">
      <c r="A1329" s="10" t="s">
        <v>15</v>
      </c>
      <c r="B1329" s="7" t="s">
        <v>74</v>
      </c>
      <c r="C1329" s="135">
        <v>46263</v>
      </c>
      <c r="D1329" s="44" t="s">
        <v>193</v>
      </c>
      <c r="E1329" s="35" t="s">
        <v>474</v>
      </c>
      <c r="F1329" s="121">
        <v>7.9</v>
      </c>
      <c r="G1329" s="122">
        <f t="shared" si="46"/>
        <v>0</v>
      </c>
      <c r="H1329" s="123">
        <f>IF(AND(ISNUMBER(F1329), F1329&gt;4, COUNTIFS($A$2:A1329, A1329, $B$2:B1329, B1329, $C$2:C1329, C1329, $F$2:F1329, "&gt;4")=1), 1, 0)</f>
        <v>1</v>
      </c>
      <c r="I1329" s="10">
        <f t="shared" si="47"/>
        <v>0</v>
      </c>
      <c r="J1329" s="10"/>
      <c r="K1329" s="7"/>
      <c r="L1329" s="7"/>
      <c r="M1329" s="7"/>
      <c r="N1329" s="10"/>
      <c r="O1329" s="113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t="15.75" customHeight="1">
      <c r="A1330" s="10" t="s">
        <v>15</v>
      </c>
      <c r="B1330" s="7" t="s">
        <v>74</v>
      </c>
      <c r="C1330" s="135">
        <v>46264</v>
      </c>
      <c r="D1330" s="44" t="s">
        <v>193</v>
      </c>
      <c r="E1330" s="35" t="s">
        <v>376</v>
      </c>
      <c r="F1330" s="121">
        <v>4.32</v>
      </c>
      <c r="G1330" s="122">
        <f t="shared" si="46"/>
        <v>0</v>
      </c>
      <c r="H1330" s="123">
        <f>IF(AND(ISNUMBER(F1330), F1330&gt;4, COUNTIFS($A$2:A1330, A1330, $B$2:B1330, B1330, $C$2:C1330, C1330, $F$2:F1330, "&gt;4")=1), 1, 0)</f>
        <v>1</v>
      </c>
      <c r="I1330" s="10">
        <f t="shared" si="47"/>
        <v>0</v>
      </c>
      <c r="J1330" s="10"/>
      <c r="K1330" s="7"/>
      <c r="L1330" s="7"/>
      <c r="M1330" s="7"/>
      <c r="N1330" s="10"/>
      <c r="O1330" s="113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t="15.75" customHeight="1">
      <c r="A1331" s="10" t="s">
        <v>15</v>
      </c>
      <c r="B1331" s="7" t="s">
        <v>74</v>
      </c>
      <c r="C1331" s="135">
        <v>46257</v>
      </c>
      <c r="D1331" s="44" t="s">
        <v>396</v>
      </c>
      <c r="E1331" s="35" t="s">
        <v>397</v>
      </c>
      <c r="F1331" s="121">
        <v>6.2</v>
      </c>
      <c r="G1331" s="122">
        <f t="shared" si="46"/>
        <v>0</v>
      </c>
      <c r="H1331" s="123">
        <f>IF(AND(ISNUMBER(F1331), F1331&gt;4, COUNTIFS($A$2:A1331, A1331, $B$2:B1331, B1331, $C$2:C1331, C1331, $F$2:F1331, "&gt;4")=1), 1, 0)</f>
        <v>1</v>
      </c>
      <c r="I1331" s="10">
        <f t="shared" si="47"/>
        <v>0</v>
      </c>
      <c r="J1331" s="10"/>
      <c r="K1331" s="7"/>
      <c r="L1331" s="7"/>
      <c r="M1331" s="7"/>
      <c r="N1331" s="10"/>
      <c r="O1331" s="113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t="15.75" customHeight="1">
      <c r="A1332" s="10" t="s">
        <v>15</v>
      </c>
      <c r="B1332" s="7" t="s">
        <v>74</v>
      </c>
      <c r="C1332" s="135">
        <v>46236</v>
      </c>
      <c r="D1332" s="44" t="s">
        <v>383</v>
      </c>
      <c r="E1332" s="35" t="s">
        <v>761</v>
      </c>
      <c r="F1332" s="121">
        <v>6.23</v>
      </c>
      <c r="G1332" s="122">
        <f t="shared" si="46"/>
        <v>0</v>
      </c>
      <c r="H1332" s="123">
        <f>IF(AND(ISNUMBER(F1332), F1332&gt;4, COUNTIFS($A$2:A1332, A1332, $B$2:B1332, B1332, $C$2:C1332, C1332, $F$2:F1332, "&gt;4")=1), 1, 0)</f>
        <v>1</v>
      </c>
      <c r="I1332" s="10">
        <f t="shared" si="47"/>
        <v>0</v>
      </c>
      <c r="J1332" s="10"/>
      <c r="K1332" s="7"/>
      <c r="L1332" s="7"/>
      <c r="M1332" s="7"/>
      <c r="N1332" s="10"/>
      <c r="O1332" s="113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t="15.75" customHeight="1">
      <c r="A1333" s="10" t="s">
        <v>15</v>
      </c>
      <c r="B1333" s="7" t="s">
        <v>74</v>
      </c>
      <c r="C1333" s="135">
        <v>46237</v>
      </c>
      <c r="D1333" s="44" t="s">
        <v>383</v>
      </c>
      <c r="E1333" s="35" t="s">
        <v>762</v>
      </c>
      <c r="F1333" s="121">
        <v>3.68</v>
      </c>
      <c r="G1333" s="122">
        <f t="shared" si="46"/>
        <v>1</v>
      </c>
      <c r="H1333" s="123">
        <f>IF(AND(ISNUMBER(F1333), F1333&gt;4, COUNTIFS($A$2:A1333, A1333, $B$2:B1333, B1333, $C$2:C1333, C1333, $F$2:F1333, "&gt;4")=1), 1, 0)</f>
        <v>0</v>
      </c>
      <c r="I1333" s="10">
        <f t="shared" si="47"/>
        <v>0</v>
      </c>
      <c r="J1333" s="10"/>
      <c r="K1333" s="7"/>
      <c r="L1333" s="7"/>
      <c r="M1333" s="7"/>
      <c r="N1333" s="10"/>
      <c r="O1333" s="113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t="15.75" customHeight="1">
      <c r="A1334" s="10" t="s">
        <v>15</v>
      </c>
      <c r="B1334" s="7" t="s">
        <v>74</v>
      </c>
      <c r="C1334" s="135">
        <v>46241</v>
      </c>
      <c r="D1334" s="44" t="s">
        <v>383</v>
      </c>
      <c r="E1334" s="35" t="s">
        <v>763</v>
      </c>
      <c r="F1334" s="121">
        <v>6.08</v>
      </c>
      <c r="G1334" s="122">
        <f t="shared" si="46"/>
        <v>0</v>
      </c>
      <c r="H1334" s="123">
        <f>IF(AND(ISNUMBER(F1334), F1334&gt;4, COUNTIFS($A$2:A1334, A1334, $B$2:B1334, B1334, $C$2:C1334, C1334, $F$2:F1334, "&gt;4")=1), 1, 0)</f>
        <v>1</v>
      </c>
      <c r="I1334" s="10">
        <f t="shared" si="47"/>
        <v>0</v>
      </c>
      <c r="J1334" s="10"/>
      <c r="K1334" s="7"/>
      <c r="L1334" s="7"/>
      <c r="M1334" s="7"/>
      <c r="N1334" s="10"/>
      <c r="O1334" s="113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t="15.75" customHeight="1">
      <c r="A1335" s="10" t="s">
        <v>15</v>
      </c>
      <c r="B1335" s="7" t="s">
        <v>74</v>
      </c>
      <c r="C1335" s="135">
        <v>46243</v>
      </c>
      <c r="D1335" s="44" t="s">
        <v>383</v>
      </c>
      <c r="E1335" s="35" t="s">
        <v>616</v>
      </c>
      <c r="F1335" s="121">
        <v>7.57</v>
      </c>
      <c r="G1335" s="122">
        <f t="shared" si="46"/>
        <v>0</v>
      </c>
      <c r="H1335" s="123">
        <f>IF(AND(ISNUMBER(F1335), F1335&gt;4, COUNTIFS($A$2:A1335, A1335, $B$2:B1335, B1335, $C$2:C1335, C1335, $F$2:F1335, "&gt;4")=1), 1, 0)</f>
        <v>1</v>
      </c>
      <c r="I1335" s="10">
        <f t="shared" si="47"/>
        <v>0</v>
      </c>
      <c r="J1335" s="10"/>
      <c r="K1335" s="7"/>
      <c r="L1335" s="7"/>
      <c r="M1335" s="7"/>
      <c r="N1335" s="10"/>
      <c r="O1335" s="113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t="15.75" customHeight="1">
      <c r="A1336" s="10" t="s">
        <v>15</v>
      </c>
      <c r="B1336" s="7" t="s">
        <v>74</v>
      </c>
      <c r="C1336" s="135">
        <v>46250</v>
      </c>
      <c r="D1336" s="44" t="s">
        <v>383</v>
      </c>
      <c r="E1336" s="35" t="s">
        <v>278</v>
      </c>
      <c r="F1336" s="121">
        <v>6.02</v>
      </c>
      <c r="G1336" s="122">
        <f t="shared" si="46"/>
        <v>0</v>
      </c>
      <c r="H1336" s="123">
        <f>IF(AND(ISNUMBER(F1336), F1336&gt;4, COUNTIFS($A$2:A1336, A1336, $B$2:B1336, B1336, $C$2:C1336, C1336, $F$2:F1336, "&gt;4")=1), 1, 0)</f>
        <v>1</v>
      </c>
      <c r="I1336" s="10">
        <f t="shared" si="47"/>
        <v>0</v>
      </c>
      <c r="J1336" s="10"/>
      <c r="K1336" s="7"/>
      <c r="L1336" s="7"/>
      <c r="M1336" s="7"/>
      <c r="N1336" s="10"/>
      <c r="O1336" s="113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t="15.75" customHeight="1">
      <c r="A1337" s="10" t="s">
        <v>15</v>
      </c>
      <c r="B1337" s="7" t="s">
        <v>74</v>
      </c>
      <c r="C1337" s="135">
        <v>46239</v>
      </c>
      <c r="D1337" s="44" t="s">
        <v>247</v>
      </c>
      <c r="E1337" s="35" t="s">
        <v>502</v>
      </c>
      <c r="F1337" s="121">
        <v>8.17</v>
      </c>
      <c r="G1337" s="122">
        <f t="shared" si="46"/>
        <v>0</v>
      </c>
      <c r="H1337" s="123">
        <f>IF(AND(ISNUMBER(F1337), F1337&gt;4, COUNTIFS($A$2:A1337, A1337, $B$2:B1337, B1337, $C$2:C1337, C1337, $F$2:F1337, "&gt;4")=1), 1, 0)</f>
        <v>1</v>
      </c>
      <c r="I1337" s="10">
        <f t="shared" si="47"/>
        <v>1</v>
      </c>
      <c r="J1337" s="10"/>
      <c r="K1337" s="7"/>
      <c r="L1337" s="7"/>
      <c r="M1337" s="7"/>
      <c r="N1337" s="10"/>
      <c r="O1337" s="113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t="15.75" customHeight="1">
      <c r="A1338" s="10" t="s">
        <v>15</v>
      </c>
      <c r="B1338" s="7" t="s">
        <v>74</v>
      </c>
      <c r="C1338" s="135">
        <v>46240</v>
      </c>
      <c r="D1338" s="44" t="s">
        <v>247</v>
      </c>
      <c r="E1338" s="35" t="s">
        <v>490</v>
      </c>
      <c r="F1338" s="121">
        <v>8.23</v>
      </c>
      <c r="G1338" s="122">
        <f t="shared" si="46"/>
        <v>0</v>
      </c>
      <c r="H1338" s="123">
        <f>IF(AND(ISNUMBER(F1338), F1338&gt;4, COUNTIFS($A$2:A1338, A1338, $B$2:B1338, B1338, $C$2:C1338, C1338, $F$2:F1338, "&gt;4")=1), 1, 0)</f>
        <v>1</v>
      </c>
      <c r="I1338" s="10">
        <f t="shared" si="47"/>
        <v>1</v>
      </c>
      <c r="J1338" s="10"/>
      <c r="K1338" s="7"/>
      <c r="L1338" s="7"/>
      <c r="M1338" s="7"/>
      <c r="N1338" s="10"/>
      <c r="O1338" s="113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t="15.75" customHeight="1">
      <c r="A1339" s="10" t="s">
        <v>15</v>
      </c>
      <c r="B1339" s="7" t="s">
        <v>74</v>
      </c>
      <c r="C1339" s="135">
        <v>46241</v>
      </c>
      <c r="D1339" s="44" t="s">
        <v>247</v>
      </c>
      <c r="E1339" s="35" t="s">
        <v>231</v>
      </c>
      <c r="F1339" s="121">
        <v>0.5</v>
      </c>
      <c r="G1339" s="122">
        <f t="shared" si="46"/>
        <v>1</v>
      </c>
      <c r="H1339" s="123">
        <f>IF(AND(ISNUMBER(F1339), F1339&gt;4, COUNTIFS($A$2:A1339, A1339, $B$2:B1339, B1339, $C$2:C1339, C1339, $F$2:F1339, "&gt;4")=1), 1, 0)</f>
        <v>0</v>
      </c>
      <c r="I1339" s="10">
        <f t="shared" si="47"/>
        <v>0</v>
      </c>
      <c r="J1339" s="10"/>
      <c r="K1339" s="7"/>
      <c r="L1339" s="7"/>
      <c r="M1339" s="7"/>
      <c r="N1339" s="10"/>
      <c r="O1339" s="113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t="15.75" customHeight="1">
      <c r="A1340" s="10" t="s">
        <v>15</v>
      </c>
      <c r="B1340" s="7" t="s">
        <v>74</v>
      </c>
      <c r="C1340" s="135">
        <v>46244</v>
      </c>
      <c r="D1340" s="44" t="s">
        <v>247</v>
      </c>
      <c r="E1340" s="35" t="s">
        <v>479</v>
      </c>
      <c r="F1340" s="121">
        <v>8.02</v>
      </c>
      <c r="G1340" s="122">
        <f t="shared" si="46"/>
        <v>0</v>
      </c>
      <c r="H1340" s="123">
        <f>IF(AND(ISNUMBER(F1340), F1340&gt;4, COUNTIFS($A$2:A1340, A1340, $B$2:B1340, B1340, $C$2:C1340, C1340, $F$2:F1340, "&gt;4")=1), 1, 0)</f>
        <v>1</v>
      </c>
      <c r="I1340" s="10">
        <f t="shared" si="47"/>
        <v>1</v>
      </c>
      <c r="J1340" s="10"/>
      <c r="K1340" s="7"/>
      <c r="L1340" s="7"/>
      <c r="M1340" s="7"/>
      <c r="N1340" s="10"/>
      <c r="O1340" s="113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t="15.75" customHeight="1">
      <c r="A1341" s="10" t="s">
        <v>15</v>
      </c>
      <c r="B1341" s="7" t="s">
        <v>74</v>
      </c>
      <c r="C1341" s="135">
        <v>46246</v>
      </c>
      <c r="D1341" s="44" t="s">
        <v>247</v>
      </c>
      <c r="E1341" s="35" t="s">
        <v>764</v>
      </c>
      <c r="F1341" s="121">
        <v>2.33</v>
      </c>
      <c r="G1341" s="122">
        <f t="shared" si="46"/>
        <v>1</v>
      </c>
      <c r="H1341" s="123">
        <f>IF(AND(ISNUMBER(F1341), F1341&gt;4, COUNTIFS($A$2:A1341, A1341, $B$2:B1341, B1341, $C$2:C1341, C1341, $F$2:F1341, "&gt;4")=1), 1, 0)</f>
        <v>0</v>
      </c>
      <c r="I1341" s="10">
        <f t="shared" si="47"/>
        <v>0</v>
      </c>
      <c r="J1341" s="10"/>
      <c r="K1341" s="7"/>
      <c r="L1341" s="7"/>
      <c r="M1341" s="7"/>
      <c r="N1341" s="10"/>
      <c r="O1341" s="113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t="15.75" customHeight="1">
      <c r="A1342" s="10" t="s">
        <v>15</v>
      </c>
      <c r="B1342" s="7" t="s">
        <v>74</v>
      </c>
      <c r="C1342" s="135">
        <v>46257</v>
      </c>
      <c r="D1342" s="44" t="s">
        <v>247</v>
      </c>
      <c r="E1342" s="35" t="s">
        <v>765</v>
      </c>
      <c r="F1342" s="121">
        <v>1.1299999999999999</v>
      </c>
      <c r="G1342" s="122">
        <f t="shared" si="46"/>
        <v>1</v>
      </c>
      <c r="H1342" s="123">
        <f>IF(AND(ISNUMBER(F1342), F1342&gt;4, COUNTIFS($A$2:A1342, A1342, $B$2:B1342, B1342, $C$2:C1342, C1342, $F$2:F1342, "&gt;4")=1), 1, 0)</f>
        <v>0</v>
      </c>
      <c r="I1342" s="10">
        <f t="shared" si="47"/>
        <v>0</v>
      </c>
      <c r="J1342" s="10"/>
      <c r="K1342" s="7"/>
      <c r="L1342" s="7"/>
      <c r="M1342" s="7"/>
      <c r="N1342" s="10"/>
      <c r="O1342" s="113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t="15.75" customHeight="1">
      <c r="A1343" s="10" t="s">
        <v>24</v>
      </c>
      <c r="B1343" s="7" t="s">
        <v>82</v>
      </c>
      <c r="C1343" s="135">
        <v>46263</v>
      </c>
      <c r="D1343" s="44" t="s">
        <v>215</v>
      </c>
      <c r="E1343" s="35" t="s">
        <v>400</v>
      </c>
      <c r="F1343" s="121">
        <v>8.6199999999999992</v>
      </c>
      <c r="G1343" s="122">
        <f t="shared" si="46"/>
        <v>0</v>
      </c>
      <c r="H1343" s="123">
        <f>IF(AND(ISNUMBER(F1343), F1343&gt;4, COUNTIFS($A$2:A1343, A1343, $B$2:B1343, B1343, $C$2:C1343, C1343, $F$2:F1343, "&gt;4")=1), 1, 0)</f>
        <v>1</v>
      </c>
      <c r="I1343" s="10">
        <f t="shared" si="47"/>
        <v>0</v>
      </c>
      <c r="J1343" s="10"/>
      <c r="K1343" s="7"/>
      <c r="L1343" s="7"/>
      <c r="M1343" s="7"/>
      <c r="N1343" s="10"/>
      <c r="O1343" s="113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t="15.75" customHeight="1">
      <c r="A1344" s="10" t="s">
        <v>15</v>
      </c>
      <c r="B1344" s="7" t="s">
        <v>82</v>
      </c>
      <c r="C1344" s="135">
        <v>46235</v>
      </c>
      <c r="D1344" s="44" t="s">
        <v>245</v>
      </c>
      <c r="E1344" s="35" t="s">
        <v>724</v>
      </c>
      <c r="F1344" s="121">
        <v>11.17</v>
      </c>
      <c r="G1344" s="122">
        <f t="shared" si="46"/>
        <v>0</v>
      </c>
      <c r="H1344" s="123">
        <f>IF(AND(ISNUMBER(F1344), F1344&gt;4, COUNTIFS($A$2:A1344, A1344, $B$2:B1344, B1344, $C$2:C1344, C1344, $F$2:F1344, "&gt;4")=1), 1, 0)</f>
        <v>1</v>
      </c>
      <c r="I1344" s="10">
        <f t="shared" si="47"/>
        <v>0</v>
      </c>
      <c r="J1344" s="10"/>
      <c r="K1344" s="7"/>
      <c r="L1344" s="7"/>
      <c r="M1344" s="7"/>
      <c r="N1344" s="10"/>
      <c r="O1344" s="113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t="15.75" customHeight="1">
      <c r="A1345" s="10" t="s">
        <v>15</v>
      </c>
      <c r="B1345" s="7" t="s">
        <v>82</v>
      </c>
      <c r="C1345" s="135">
        <v>46252</v>
      </c>
      <c r="D1345" s="44" t="s">
        <v>245</v>
      </c>
      <c r="E1345" s="35" t="s">
        <v>766</v>
      </c>
      <c r="F1345" s="121">
        <v>9.4700000000000006</v>
      </c>
      <c r="G1345" s="122">
        <f t="shared" si="46"/>
        <v>0</v>
      </c>
      <c r="H1345" s="123">
        <f>IF(AND(ISNUMBER(F1345), F1345&gt;4, COUNTIFS($A$2:A1345, A1345, $B$2:B1345, B1345, $C$2:C1345, C1345, $F$2:F1345, "&gt;4")=1), 1, 0)</f>
        <v>1</v>
      </c>
      <c r="I1345" s="10">
        <f t="shared" si="47"/>
        <v>0</v>
      </c>
      <c r="J1345" s="10"/>
      <c r="K1345" s="7"/>
      <c r="L1345" s="7"/>
      <c r="M1345" s="7"/>
      <c r="N1345" s="10"/>
      <c r="O1345" s="113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t="15.75" customHeight="1">
      <c r="A1346" s="10" t="s">
        <v>15</v>
      </c>
      <c r="B1346" s="7" t="s">
        <v>82</v>
      </c>
      <c r="C1346" s="135">
        <v>46253</v>
      </c>
      <c r="D1346" s="44" t="s">
        <v>245</v>
      </c>
      <c r="E1346" s="35" t="s">
        <v>479</v>
      </c>
      <c r="F1346" s="121">
        <v>8.02</v>
      </c>
      <c r="G1346" s="122">
        <f t="shared" ref="G1346:G1409" si="48">IF(AND(ISNUMBER(F1346), F1346&lt;=4), 1, 0)</f>
        <v>0</v>
      </c>
      <c r="H1346" s="123">
        <f>IF(AND(ISNUMBER(F1346), F1346&gt;4, COUNTIFS($A$2:A1346, A1346, $B$2:B1346, B1346, $C$2:C1346, C1346, $F$2:F1346, "&gt;4")=1), 1, 0)</f>
        <v>1</v>
      </c>
      <c r="I1346" s="10">
        <f t="shared" ref="I1346:I1409" si="49">IF(AND(ISNUMBER(F1346), F1346&gt;4, ISNUMBER(SEARCH("đêm", D1346))), 1, 0)</f>
        <v>0</v>
      </c>
      <c r="J1346" s="10"/>
      <c r="K1346" s="7"/>
      <c r="L1346" s="7"/>
      <c r="M1346" s="7"/>
      <c r="N1346" s="10"/>
      <c r="O1346" s="113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t="15.75" customHeight="1">
      <c r="A1347" s="10" t="s">
        <v>15</v>
      </c>
      <c r="B1347" s="7" t="s">
        <v>82</v>
      </c>
      <c r="C1347" s="135">
        <v>46260</v>
      </c>
      <c r="D1347" s="44" t="s">
        <v>245</v>
      </c>
      <c r="E1347" s="35" t="s">
        <v>617</v>
      </c>
      <c r="F1347" s="121">
        <v>8.67</v>
      </c>
      <c r="G1347" s="122">
        <f t="shared" si="48"/>
        <v>0</v>
      </c>
      <c r="H1347" s="123">
        <f>IF(AND(ISNUMBER(F1347), F1347&gt;4, COUNTIFS($A$2:A1347, A1347, $B$2:B1347, B1347, $C$2:C1347, C1347, $F$2:F1347, "&gt;4")=1), 1, 0)</f>
        <v>1</v>
      </c>
      <c r="I1347" s="10">
        <f t="shared" si="49"/>
        <v>0</v>
      </c>
      <c r="J1347" s="10"/>
      <c r="K1347" s="7"/>
      <c r="L1347" s="7"/>
      <c r="M1347" s="7"/>
      <c r="N1347" s="10"/>
      <c r="O1347" s="113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t="15.75" customHeight="1">
      <c r="A1348" s="10" t="s">
        <v>15</v>
      </c>
      <c r="B1348" s="7" t="s">
        <v>82</v>
      </c>
      <c r="C1348" s="135">
        <v>46262</v>
      </c>
      <c r="D1348" s="44" t="s">
        <v>245</v>
      </c>
      <c r="E1348" s="35" t="s">
        <v>516</v>
      </c>
      <c r="F1348" s="121">
        <v>8.3699999999999992</v>
      </c>
      <c r="G1348" s="122">
        <f t="shared" si="48"/>
        <v>0</v>
      </c>
      <c r="H1348" s="123">
        <f>IF(AND(ISNUMBER(F1348), F1348&gt;4, COUNTIFS($A$2:A1348, A1348, $B$2:B1348, B1348, $C$2:C1348, C1348, $F$2:F1348, "&gt;4")=1), 1, 0)</f>
        <v>1</v>
      </c>
      <c r="I1348" s="10">
        <f t="shared" si="49"/>
        <v>0</v>
      </c>
      <c r="J1348" s="10"/>
      <c r="K1348" s="7"/>
      <c r="L1348" s="7"/>
      <c r="M1348" s="7"/>
      <c r="N1348" s="10"/>
      <c r="O1348" s="113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t="15.75" customHeight="1">
      <c r="A1349" s="10" t="s">
        <v>15</v>
      </c>
      <c r="B1349" s="7" t="s">
        <v>82</v>
      </c>
      <c r="C1349" s="135">
        <v>46264</v>
      </c>
      <c r="D1349" s="44" t="s">
        <v>245</v>
      </c>
      <c r="E1349" s="35" t="s">
        <v>767</v>
      </c>
      <c r="F1349" s="121">
        <v>9.1999999999999993</v>
      </c>
      <c r="G1349" s="122">
        <f t="shared" si="48"/>
        <v>0</v>
      </c>
      <c r="H1349" s="123">
        <f>IF(AND(ISNUMBER(F1349), F1349&gt;4, COUNTIFS($A$2:A1349, A1349, $B$2:B1349, B1349, $C$2:C1349, C1349, $F$2:F1349, "&gt;4")=1), 1, 0)</f>
        <v>1</v>
      </c>
      <c r="I1349" s="10">
        <f t="shared" si="49"/>
        <v>0</v>
      </c>
      <c r="J1349" s="10"/>
      <c r="K1349" s="7"/>
      <c r="L1349" s="7"/>
      <c r="M1349" s="7"/>
      <c r="N1349" s="10"/>
      <c r="O1349" s="113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t="15.75" customHeight="1">
      <c r="A1350" s="10" t="s">
        <v>15</v>
      </c>
      <c r="B1350" s="7" t="s">
        <v>82</v>
      </c>
      <c r="C1350" s="135">
        <v>46265</v>
      </c>
      <c r="D1350" s="44" t="s">
        <v>245</v>
      </c>
      <c r="E1350" s="35" t="s">
        <v>768</v>
      </c>
      <c r="F1350" s="121">
        <v>10.68</v>
      </c>
      <c r="G1350" s="122">
        <f t="shared" si="48"/>
        <v>0</v>
      </c>
      <c r="H1350" s="123">
        <f>IF(AND(ISNUMBER(F1350), F1350&gt;4, COUNTIFS($A$2:A1350, A1350, $B$2:B1350, B1350, $C$2:C1350, C1350, $F$2:F1350, "&gt;4")=1), 1, 0)</f>
        <v>1</v>
      </c>
      <c r="I1350" s="10">
        <f t="shared" si="49"/>
        <v>0</v>
      </c>
      <c r="J1350" s="10"/>
      <c r="K1350" s="7"/>
      <c r="L1350" s="7"/>
      <c r="M1350" s="7"/>
      <c r="N1350" s="10"/>
      <c r="O1350" s="113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t="15.75" customHeight="1">
      <c r="A1351" s="10" t="s">
        <v>15</v>
      </c>
      <c r="B1351" s="7" t="s">
        <v>82</v>
      </c>
      <c r="C1351" s="135">
        <v>46249</v>
      </c>
      <c r="D1351" s="44" t="s">
        <v>308</v>
      </c>
      <c r="E1351" s="35" t="s">
        <v>596</v>
      </c>
      <c r="F1351" s="121">
        <v>8.4499999999999993</v>
      </c>
      <c r="G1351" s="122">
        <f t="shared" si="48"/>
        <v>0</v>
      </c>
      <c r="H1351" s="123">
        <f>IF(AND(ISNUMBER(F1351), F1351&gt;4, COUNTIFS($A$2:A1351, A1351, $B$2:B1351, B1351, $C$2:C1351, C1351, $F$2:F1351, "&gt;4")=1), 1, 0)</f>
        <v>1</v>
      </c>
      <c r="I1351" s="10">
        <f t="shared" si="49"/>
        <v>0</v>
      </c>
      <c r="J1351" s="10"/>
      <c r="K1351" s="7"/>
      <c r="L1351" s="7"/>
      <c r="M1351" s="7"/>
      <c r="N1351" s="10"/>
      <c r="O1351" s="113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t="15.75" customHeight="1">
      <c r="A1352" s="10" t="s">
        <v>15</v>
      </c>
      <c r="B1352" s="7" t="s">
        <v>82</v>
      </c>
      <c r="C1352" s="135">
        <v>46255</v>
      </c>
      <c r="D1352" s="44" t="s">
        <v>308</v>
      </c>
      <c r="E1352" s="35" t="s">
        <v>769</v>
      </c>
      <c r="F1352" s="121">
        <v>5.88</v>
      </c>
      <c r="G1352" s="122">
        <f t="shared" si="48"/>
        <v>0</v>
      </c>
      <c r="H1352" s="123">
        <f>IF(AND(ISNUMBER(F1352), F1352&gt;4, COUNTIFS($A$2:A1352, A1352, $B$2:B1352, B1352, $C$2:C1352, C1352, $F$2:F1352, "&gt;4")=1), 1, 0)</f>
        <v>1</v>
      </c>
      <c r="I1352" s="10">
        <f t="shared" si="49"/>
        <v>0</v>
      </c>
      <c r="J1352" s="10"/>
      <c r="K1352" s="7"/>
      <c r="L1352" s="7"/>
      <c r="M1352" s="7"/>
      <c r="N1352" s="10"/>
      <c r="O1352" s="113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t="15.75" customHeight="1">
      <c r="A1353" s="10" t="s">
        <v>15</v>
      </c>
      <c r="B1353" s="7" t="s">
        <v>82</v>
      </c>
      <c r="C1353" s="135">
        <v>46257</v>
      </c>
      <c r="D1353" s="44" t="s">
        <v>386</v>
      </c>
      <c r="E1353" s="35" t="s">
        <v>517</v>
      </c>
      <c r="F1353" s="121">
        <v>9.27</v>
      </c>
      <c r="G1353" s="122">
        <f t="shared" si="48"/>
        <v>0</v>
      </c>
      <c r="H1353" s="123">
        <f>IF(AND(ISNUMBER(F1353), F1353&gt;4, COUNTIFS($A$2:A1353, A1353, $B$2:B1353, B1353, $C$2:C1353, C1353, $F$2:F1353, "&gt;4")=1), 1, 0)</f>
        <v>1</v>
      </c>
      <c r="I1353" s="10">
        <f t="shared" si="49"/>
        <v>0</v>
      </c>
      <c r="J1353" s="10"/>
      <c r="K1353" s="7"/>
      <c r="L1353" s="7"/>
      <c r="M1353" s="7"/>
      <c r="N1353" s="10"/>
      <c r="O1353" s="113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t="15.75" customHeight="1">
      <c r="A1354" s="10" t="s">
        <v>15</v>
      </c>
      <c r="B1354" s="7" t="s">
        <v>82</v>
      </c>
      <c r="C1354" s="135">
        <v>46259</v>
      </c>
      <c r="D1354" s="44" t="s">
        <v>386</v>
      </c>
      <c r="E1354" s="35" t="s">
        <v>329</v>
      </c>
      <c r="F1354" s="121">
        <v>8.0299999999999994</v>
      </c>
      <c r="G1354" s="122">
        <f t="shared" si="48"/>
        <v>0</v>
      </c>
      <c r="H1354" s="123">
        <f>IF(AND(ISNUMBER(F1354), F1354&gt;4, COUNTIFS($A$2:A1354, A1354, $B$2:B1354, B1354, $C$2:C1354, C1354, $F$2:F1354, "&gt;4")=1), 1, 0)</f>
        <v>1</v>
      </c>
      <c r="I1354" s="10">
        <f t="shared" si="49"/>
        <v>0</v>
      </c>
      <c r="J1354" s="10"/>
      <c r="K1354" s="7"/>
      <c r="L1354" s="7"/>
      <c r="M1354" s="7"/>
      <c r="N1354" s="10"/>
      <c r="O1354" s="113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t="15.75" customHeight="1">
      <c r="A1355" s="10" t="s">
        <v>15</v>
      </c>
      <c r="B1355" s="7" t="s">
        <v>82</v>
      </c>
      <c r="C1355" s="135">
        <v>46247</v>
      </c>
      <c r="D1355" s="44" t="s">
        <v>193</v>
      </c>
      <c r="E1355" s="35" t="s">
        <v>207</v>
      </c>
      <c r="F1355" s="121">
        <v>8.1</v>
      </c>
      <c r="G1355" s="122">
        <f t="shared" si="48"/>
        <v>0</v>
      </c>
      <c r="H1355" s="123">
        <f>IF(AND(ISNUMBER(F1355), F1355&gt;4, COUNTIFS($A$2:A1355, A1355, $B$2:B1355, B1355, $C$2:C1355, C1355, $F$2:F1355, "&gt;4")=1), 1, 0)</f>
        <v>1</v>
      </c>
      <c r="I1355" s="10">
        <f t="shared" si="49"/>
        <v>0</v>
      </c>
      <c r="J1355" s="10"/>
      <c r="K1355" s="7"/>
      <c r="L1355" s="7"/>
      <c r="M1355" s="7"/>
      <c r="N1355" s="10"/>
      <c r="O1355" s="113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t="15.75" customHeight="1">
      <c r="A1356" s="10" t="s">
        <v>15</v>
      </c>
      <c r="B1356" s="7" t="s">
        <v>82</v>
      </c>
      <c r="C1356" s="135">
        <v>46248</v>
      </c>
      <c r="D1356" s="44" t="s">
        <v>193</v>
      </c>
      <c r="E1356" s="35" t="s">
        <v>351</v>
      </c>
      <c r="F1356" s="121">
        <v>9.17</v>
      </c>
      <c r="G1356" s="122">
        <f t="shared" si="48"/>
        <v>0</v>
      </c>
      <c r="H1356" s="123">
        <f>IF(AND(ISNUMBER(F1356), F1356&gt;4, COUNTIFS($A$2:A1356, A1356, $B$2:B1356, B1356, $C$2:C1356, C1356, $F$2:F1356, "&gt;4")=1), 1, 0)</f>
        <v>1</v>
      </c>
      <c r="I1356" s="10">
        <f t="shared" si="49"/>
        <v>0</v>
      </c>
      <c r="J1356" s="10"/>
      <c r="K1356" s="7"/>
      <c r="L1356" s="7"/>
      <c r="M1356" s="7"/>
      <c r="N1356" s="10"/>
      <c r="O1356" s="113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t="15.75" customHeight="1">
      <c r="A1357" s="10" t="s">
        <v>15</v>
      </c>
      <c r="B1357" s="7" t="s">
        <v>82</v>
      </c>
      <c r="C1357" s="135">
        <v>46250</v>
      </c>
      <c r="D1357" s="44" t="s">
        <v>193</v>
      </c>
      <c r="E1357" s="35" t="s">
        <v>481</v>
      </c>
      <c r="F1357" s="121">
        <v>7.98</v>
      </c>
      <c r="G1357" s="122">
        <f t="shared" si="48"/>
        <v>0</v>
      </c>
      <c r="H1357" s="123">
        <f>IF(AND(ISNUMBER(F1357), F1357&gt;4, COUNTIFS($A$2:A1357, A1357, $B$2:B1357, B1357, $C$2:C1357, C1357, $F$2:F1357, "&gt;4")=1), 1, 0)</f>
        <v>1</v>
      </c>
      <c r="I1357" s="10">
        <f t="shared" si="49"/>
        <v>0</v>
      </c>
      <c r="J1357" s="10"/>
      <c r="K1357" s="7"/>
      <c r="L1357" s="7"/>
      <c r="M1357" s="7"/>
      <c r="N1357" s="10"/>
      <c r="O1357" s="113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t="15.75" customHeight="1">
      <c r="A1358" s="10" t="s">
        <v>15</v>
      </c>
      <c r="B1358" s="7" t="s">
        <v>82</v>
      </c>
      <c r="C1358" s="135">
        <v>46254</v>
      </c>
      <c r="D1358" s="44" t="s">
        <v>193</v>
      </c>
      <c r="E1358" s="35" t="s">
        <v>483</v>
      </c>
      <c r="F1358" s="121">
        <v>7.92</v>
      </c>
      <c r="G1358" s="122">
        <f t="shared" si="48"/>
        <v>0</v>
      </c>
      <c r="H1358" s="123">
        <f>IF(AND(ISNUMBER(F1358), F1358&gt;4, COUNTIFS($A$2:A1358, A1358, $B$2:B1358, B1358, $C$2:C1358, C1358, $F$2:F1358, "&gt;4")=1), 1, 0)</f>
        <v>1</v>
      </c>
      <c r="I1358" s="10">
        <f t="shared" si="49"/>
        <v>0</v>
      </c>
      <c r="J1358" s="10"/>
      <c r="K1358" s="7"/>
      <c r="L1358" s="7"/>
      <c r="M1358" s="7"/>
      <c r="N1358" s="10"/>
      <c r="O1358" s="113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t="15.75" customHeight="1">
      <c r="A1359" s="10" t="s">
        <v>15</v>
      </c>
      <c r="B1359" s="7" t="s">
        <v>82</v>
      </c>
      <c r="C1359" s="135">
        <v>46256</v>
      </c>
      <c r="D1359" s="44" t="s">
        <v>193</v>
      </c>
      <c r="E1359" s="35" t="s">
        <v>199</v>
      </c>
      <c r="F1359" s="121">
        <v>8</v>
      </c>
      <c r="G1359" s="122">
        <f t="shared" si="48"/>
        <v>0</v>
      </c>
      <c r="H1359" s="123">
        <f>IF(AND(ISNUMBER(F1359), F1359&gt;4, COUNTIFS($A$2:A1359, A1359, $B$2:B1359, B1359, $C$2:C1359, C1359, $F$2:F1359, "&gt;4")=1), 1, 0)</f>
        <v>1</v>
      </c>
      <c r="I1359" s="10">
        <f t="shared" si="49"/>
        <v>0</v>
      </c>
      <c r="J1359" s="10"/>
      <c r="K1359" s="7"/>
      <c r="L1359" s="7"/>
      <c r="M1359" s="7"/>
      <c r="N1359" s="10"/>
      <c r="O1359" s="113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t="15.75" customHeight="1">
      <c r="A1360" s="10" t="s">
        <v>15</v>
      </c>
      <c r="B1360" s="7" t="s">
        <v>82</v>
      </c>
      <c r="C1360" s="135">
        <v>46258</v>
      </c>
      <c r="D1360" s="44" t="s">
        <v>193</v>
      </c>
      <c r="E1360" s="35" t="s">
        <v>479</v>
      </c>
      <c r="F1360" s="121">
        <v>8.02</v>
      </c>
      <c r="G1360" s="122">
        <f t="shared" si="48"/>
        <v>0</v>
      </c>
      <c r="H1360" s="123">
        <f>IF(AND(ISNUMBER(F1360), F1360&gt;4, COUNTIFS($A$2:A1360, A1360, $B$2:B1360, B1360, $C$2:C1360, C1360, $F$2:F1360, "&gt;4")=1), 1, 0)</f>
        <v>1</v>
      </c>
      <c r="I1360" s="10">
        <f t="shared" si="49"/>
        <v>0</v>
      </c>
      <c r="J1360" s="10"/>
      <c r="K1360" s="7"/>
      <c r="L1360" s="7"/>
      <c r="M1360" s="7"/>
      <c r="N1360" s="10"/>
      <c r="O1360" s="113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t="15.75" customHeight="1">
      <c r="A1361" s="10" t="s">
        <v>15</v>
      </c>
      <c r="B1361" s="7" t="s">
        <v>82</v>
      </c>
      <c r="C1361" s="135">
        <v>46251</v>
      </c>
      <c r="D1361" s="44" t="s">
        <v>396</v>
      </c>
      <c r="E1361" s="35" t="s">
        <v>406</v>
      </c>
      <c r="F1361" s="121">
        <v>5.95</v>
      </c>
      <c r="G1361" s="122">
        <f t="shared" si="48"/>
        <v>0</v>
      </c>
      <c r="H1361" s="123">
        <f>IF(AND(ISNUMBER(F1361), F1361&gt;4, COUNTIFS($A$2:A1361, A1361, $B$2:B1361, B1361, $C$2:C1361, C1361, $F$2:F1361, "&gt;4")=1), 1, 0)</f>
        <v>1</v>
      </c>
      <c r="I1361" s="10">
        <f t="shared" si="49"/>
        <v>0</v>
      </c>
      <c r="J1361" s="10"/>
      <c r="K1361" s="7"/>
      <c r="L1361" s="7"/>
      <c r="M1361" s="7"/>
      <c r="N1361" s="10"/>
      <c r="O1361" s="113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t="15.75" customHeight="1">
      <c r="A1362" s="10" t="s">
        <v>15</v>
      </c>
      <c r="B1362" s="7" t="s">
        <v>82</v>
      </c>
      <c r="C1362" s="135">
        <v>46261</v>
      </c>
      <c r="D1362" s="44" t="s">
        <v>396</v>
      </c>
      <c r="E1362" s="35" t="s">
        <v>770</v>
      </c>
      <c r="F1362" s="121">
        <v>6.03</v>
      </c>
      <c r="G1362" s="122">
        <f t="shared" si="48"/>
        <v>0</v>
      </c>
      <c r="H1362" s="123">
        <f>IF(AND(ISNUMBER(F1362), F1362&gt;4, COUNTIFS($A$2:A1362, A1362, $B$2:B1362, B1362, $C$2:C1362, C1362, $F$2:F1362, "&gt;4")=1), 1, 0)</f>
        <v>1</v>
      </c>
      <c r="I1362" s="10">
        <f t="shared" si="49"/>
        <v>0</v>
      </c>
      <c r="J1362" s="10"/>
      <c r="K1362" s="7"/>
      <c r="L1362" s="7"/>
      <c r="M1362" s="7"/>
      <c r="N1362" s="10"/>
      <c r="O1362" s="113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t="15.75" customHeight="1">
      <c r="A1363" s="10" t="s">
        <v>15</v>
      </c>
      <c r="B1363" s="7" t="s">
        <v>82</v>
      </c>
      <c r="C1363" s="135">
        <v>46239</v>
      </c>
      <c r="D1363" s="44" t="s">
        <v>383</v>
      </c>
      <c r="E1363" s="35" t="s">
        <v>406</v>
      </c>
      <c r="F1363" s="121">
        <v>5.95</v>
      </c>
      <c r="G1363" s="122">
        <f t="shared" si="48"/>
        <v>0</v>
      </c>
      <c r="H1363" s="123">
        <f>IF(AND(ISNUMBER(F1363), F1363&gt;4, COUNTIFS($A$2:A1363, A1363, $B$2:B1363, B1363, $C$2:C1363, C1363, $F$2:F1363, "&gt;4")=1), 1, 0)</f>
        <v>1</v>
      </c>
      <c r="I1363" s="10">
        <f t="shared" si="49"/>
        <v>0</v>
      </c>
      <c r="J1363" s="10"/>
      <c r="K1363" s="7"/>
      <c r="L1363" s="7"/>
      <c r="M1363" s="7"/>
      <c r="N1363" s="10"/>
      <c r="O1363" s="113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t="15.75" customHeight="1">
      <c r="A1364" s="10" t="s">
        <v>15</v>
      </c>
      <c r="B1364" s="7" t="s">
        <v>82</v>
      </c>
      <c r="C1364" s="135">
        <v>46236</v>
      </c>
      <c r="D1364" s="44" t="s">
        <v>247</v>
      </c>
      <c r="E1364" s="35" t="s">
        <v>480</v>
      </c>
      <c r="F1364" s="121">
        <v>7.97</v>
      </c>
      <c r="G1364" s="122">
        <f t="shared" si="48"/>
        <v>0</v>
      </c>
      <c r="H1364" s="123">
        <f>IF(AND(ISNUMBER(F1364), F1364&gt;4, COUNTIFS($A$2:A1364, A1364, $B$2:B1364, B1364, $C$2:C1364, C1364, $F$2:F1364, "&gt;4")=1), 1, 0)</f>
        <v>1</v>
      </c>
      <c r="I1364" s="10">
        <f t="shared" si="49"/>
        <v>1</v>
      </c>
      <c r="J1364" s="10"/>
      <c r="K1364" s="7"/>
      <c r="L1364" s="7"/>
      <c r="M1364" s="7"/>
      <c r="N1364" s="10"/>
      <c r="O1364" s="113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t="15.75" customHeight="1">
      <c r="A1365" s="10" t="s">
        <v>15</v>
      </c>
      <c r="B1365" s="7" t="s">
        <v>82</v>
      </c>
      <c r="C1365" s="135">
        <v>46237</v>
      </c>
      <c r="D1365" s="44" t="s">
        <v>247</v>
      </c>
      <c r="E1365" s="35" t="s">
        <v>214</v>
      </c>
      <c r="F1365" s="121">
        <v>8.08</v>
      </c>
      <c r="G1365" s="122">
        <f t="shared" si="48"/>
        <v>0</v>
      </c>
      <c r="H1365" s="123">
        <f>IF(AND(ISNUMBER(F1365), F1365&gt;4, COUNTIFS($A$2:A1365, A1365, $B$2:B1365, B1365, $C$2:C1365, C1365, $F$2:F1365, "&gt;4")=1), 1, 0)</f>
        <v>1</v>
      </c>
      <c r="I1365" s="10">
        <f t="shared" si="49"/>
        <v>1</v>
      </c>
      <c r="J1365" s="10"/>
      <c r="K1365" s="7"/>
      <c r="L1365" s="7"/>
      <c r="M1365" s="7"/>
      <c r="N1365" s="10"/>
      <c r="O1365" s="113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t="15.75" customHeight="1">
      <c r="A1366" s="10" t="s">
        <v>15</v>
      </c>
      <c r="B1366" s="7" t="s">
        <v>82</v>
      </c>
      <c r="C1366" s="135">
        <v>46238</v>
      </c>
      <c r="D1366" s="44" t="s">
        <v>247</v>
      </c>
      <c r="E1366" s="35" t="s">
        <v>479</v>
      </c>
      <c r="F1366" s="121">
        <v>8.02</v>
      </c>
      <c r="G1366" s="122">
        <f t="shared" si="48"/>
        <v>0</v>
      </c>
      <c r="H1366" s="123">
        <f>IF(AND(ISNUMBER(F1366), F1366&gt;4, COUNTIFS($A$2:A1366, A1366, $B$2:B1366, B1366, $C$2:C1366, C1366, $F$2:F1366, "&gt;4")=1), 1, 0)</f>
        <v>1</v>
      </c>
      <c r="I1366" s="10">
        <f t="shared" si="49"/>
        <v>1</v>
      </c>
      <c r="J1366" s="10"/>
      <c r="K1366" s="7"/>
      <c r="L1366" s="7"/>
      <c r="M1366" s="7"/>
      <c r="N1366" s="10"/>
      <c r="O1366" s="113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t="15.75" customHeight="1">
      <c r="A1367" s="10" t="s">
        <v>15</v>
      </c>
      <c r="B1367" s="7" t="s">
        <v>76</v>
      </c>
      <c r="C1367" s="135">
        <v>46254</v>
      </c>
      <c r="D1367" s="44" t="s">
        <v>245</v>
      </c>
      <c r="E1367" s="35" t="s">
        <v>408</v>
      </c>
      <c r="F1367" s="121">
        <v>5.75</v>
      </c>
      <c r="G1367" s="122">
        <f t="shared" si="48"/>
        <v>0</v>
      </c>
      <c r="H1367" s="123">
        <f>IF(AND(ISNUMBER(F1367), F1367&gt;4, COUNTIFS($A$2:A1367, A1367, $B$2:B1367, B1367, $C$2:C1367, C1367, $F$2:F1367, "&gt;4")=1), 1, 0)</f>
        <v>1</v>
      </c>
      <c r="I1367" s="10">
        <f t="shared" si="49"/>
        <v>0</v>
      </c>
      <c r="J1367" s="10"/>
      <c r="K1367" s="7"/>
      <c r="L1367" s="7"/>
      <c r="M1367" s="7"/>
      <c r="N1367" s="10"/>
      <c r="O1367" s="113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t="15.75" customHeight="1">
      <c r="A1368" s="10" t="s">
        <v>15</v>
      </c>
      <c r="B1368" s="7" t="s">
        <v>76</v>
      </c>
      <c r="C1368" s="135">
        <v>46248</v>
      </c>
      <c r="D1368" s="44" t="s">
        <v>308</v>
      </c>
      <c r="E1368" s="35" t="s">
        <v>409</v>
      </c>
      <c r="F1368" s="121">
        <v>7.93</v>
      </c>
      <c r="G1368" s="122">
        <f t="shared" si="48"/>
        <v>0</v>
      </c>
      <c r="H1368" s="123">
        <f>IF(AND(ISNUMBER(F1368), F1368&gt;4, COUNTIFS($A$2:A1368, A1368, $B$2:B1368, B1368, $C$2:C1368, C1368, $F$2:F1368, "&gt;4")=1), 1, 0)</f>
        <v>1</v>
      </c>
      <c r="I1368" s="10">
        <f t="shared" si="49"/>
        <v>0</v>
      </c>
      <c r="J1368" s="10"/>
      <c r="K1368" s="7"/>
      <c r="L1368" s="7"/>
      <c r="M1368" s="7"/>
      <c r="N1368" s="10"/>
      <c r="O1368" s="113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t="15.75" customHeight="1">
      <c r="A1369" s="10" t="s">
        <v>15</v>
      </c>
      <c r="B1369" s="7" t="s">
        <v>76</v>
      </c>
      <c r="C1369" s="135">
        <v>46243</v>
      </c>
      <c r="D1369" s="44" t="s">
        <v>383</v>
      </c>
      <c r="E1369" s="35" t="s">
        <v>410</v>
      </c>
      <c r="F1369" s="121">
        <v>5.3</v>
      </c>
      <c r="G1369" s="122">
        <f t="shared" si="48"/>
        <v>0</v>
      </c>
      <c r="H1369" s="123">
        <f>IF(AND(ISNUMBER(F1369), F1369&gt;4, COUNTIFS($A$2:A1369, A1369, $B$2:B1369, B1369, $C$2:C1369, C1369, $F$2:F1369, "&gt;4")=1), 1, 0)</f>
        <v>1</v>
      </c>
      <c r="I1369" s="10">
        <f t="shared" si="49"/>
        <v>0</v>
      </c>
      <c r="J1369" s="10"/>
      <c r="K1369" s="7"/>
      <c r="L1369" s="7"/>
      <c r="M1369" s="7"/>
      <c r="N1369" s="10"/>
      <c r="O1369" s="113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t="15.75" customHeight="1">
      <c r="A1370" s="10" t="s">
        <v>15</v>
      </c>
      <c r="B1370" s="7" t="s">
        <v>76</v>
      </c>
      <c r="C1370" s="135">
        <v>46235</v>
      </c>
      <c r="D1370" s="44" t="s">
        <v>247</v>
      </c>
      <c r="E1370" s="35" t="s">
        <v>479</v>
      </c>
      <c r="F1370" s="121">
        <v>8.02</v>
      </c>
      <c r="G1370" s="122">
        <f t="shared" si="48"/>
        <v>0</v>
      </c>
      <c r="H1370" s="123">
        <f>IF(AND(ISNUMBER(F1370), F1370&gt;4, COUNTIFS($A$2:A1370, A1370, $B$2:B1370, B1370, $C$2:C1370, C1370, $F$2:F1370, "&gt;4")=1), 1, 0)</f>
        <v>1</v>
      </c>
      <c r="I1370" s="10">
        <f t="shared" si="49"/>
        <v>1</v>
      </c>
      <c r="J1370" s="10"/>
      <c r="K1370" s="7"/>
      <c r="L1370" s="7"/>
      <c r="M1370" s="7"/>
      <c r="N1370" s="10"/>
      <c r="O1370" s="113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t="15.75" customHeight="1">
      <c r="A1371" s="10" t="s">
        <v>15</v>
      </c>
      <c r="B1371" s="7" t="s">
        <v>76</v>
      </c>
      <c r="C1371" s="135">
        <v>46236</v>
      </c>
      <c r="D1371" s="44" t="s">
        <v>247</v>
      </c>
      <c r="E1371" s="35" t="s">
        <v>480</v>
      </c>
      <c r="F1371" s="121">
        <v>7.97</v>
      </c>
      <c r="G1371" s="122">
        <f t="shared" si="48"/>
        <v>0</v>
      </c>
      <c r="H1371" s="123">
        <f>IF(AND(ISNUMBER(F1371), F1371&gt;4, COUNTIFS($A$2:A1371, A1371, $B$2:B1371, B1371, $C$2:C1371, C1371, $F$2:F1371, "&gt;4")=1), 1, 0)</f>
        <v>1</v>
      </c>
      <c r="I1371" s="10">
        <f t="shared" si="49"/>
        <v>1</v>
      </c>
      <c r="J1371" s="10"/>
      <c r="K1371" s="7"/>
      <c r="L1371" s="7"/>
      <c r="M1371" s="7"/>
      <c r="N1371" s="10"/>
      <c r="O1371" s="113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t="15.75" customHeight="1">
      <c r="A1372" s="10" t="s">
        <v>15</v>
      </c>
      <c r="B1372" s="7" t="s">
        <v>76</v>
      </c>
      <c r="C1372" s="135">
        <v>46237</v>
      </c>
      <c r="D1372" s="44" t="s">
        <v>247</v>
      </c>
      <c r="E1372" s="35" t="s">
        <v>475</v>
      </c>
      <c r="F1372" s="121">
        <v>7.87</v>
      </c>
      <c r="G1372" s="122">
        <f t="shared" si="48"/>
        <v>0</v>
      </c>
      <c r="H1372" s="123">
        <f>IF(AND(ISNUMBER(F1372), F1372&gt;4, COUNTIFS($A$2:A1372, A1372, $B$2:B1372, B1372, $C$2:C1372, C1372, $F$2:F1372, "&gt;4")=1), 1, 0)</f>
        <v>1</v>
      </c>
      <c r="I1372" s="10">
        <f t="shared" si="49"/>
        <v>1</v>
      </c>
      <c r="J1372" s="10"/>
      <c r="K1372" s="7"/>
      <c r="L1372" s="7"/>
      <c r="M1372" s="7"/>
      <c r="N1372" s="10"/>
      <c r="O1372" s="113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t="15.75" customHeight="1">
      <c r="A1373" s="10" t="s">
        <v>15</v>
      </c>
      <c r="B1373" s="7" t="s">
        <v>76</v>
      </c>
      <c r="C1373" s="135">
        <v>46238</v>
      </c>
      <c r="D1373" s="44" t="s">
        <v>247</v>
      </c>
      <c r="E1373" s="35" t="s">
        <v>214</v>
      </c>
      <c r="F1373" s="121">
        <v>8.08</v>
      </c>
      <c r="G1373" s="122">
        <f t="shared" si="48"/>
        <v>0</v>
      </c>
      <c r="H1373" s="123">
        <f>IF(AND(ISNUMBER(F1373), F1373&gt;4, COUNTIFS($A$2:A1373, A1373, $B$2:B1373, B1373, $C$2:C1373, C1373, $F$2:F1373, "&gt;4")=1), 1, 0)</f>
        <v>1</v>
      </c>
      <c r="I1373" s="10">
        <f t="shared" si="49"/>
        <v>1</v>
      </c>
      <c r="J1373" s="10"/>
      <c r="K1373" s="7"/>
      <c r="L1373" s="7"/>
      <c r="M1373" s="7"/>
      <c r="N1373" s="10"/>
      <c r="O1373" s="113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t="15.75" customHeight="1">
      <c r="A1374" s="10" t="s">
        <v>15</v>
      </c>
      <c r="B1374" s="7" t="s">
        <v>76</v>
      </c>
      <c r="C1374" s="135">
        <v>46239</v>
      </c>
      <c r="D1374" s="44" t="s">
        <v>247</v>
      </c>
      <c r="E1374" s="35" t="s">
        <v>488</v>
      </c>
      <c r="F1374" s="121">
        <v>8.3800000000000008</v>
      </c>
      <c r="G1374" s="122">
        <f t="shared" si="48"/>
        <v>0</v>
      </c>
      <c r="H1374" s="123">
        <f>IF(AND(ISNUMBER(F1374), F1374&gt;4, COUNTIFS($A$2:A1374, A1374, $B$2:B1374, B1374, $C$2:C1374, C1374, $F$2:F1374, "&gt;4")=1), 1, 0)</f>
        <v>1</v>
      </c>
      <c r="I1374" s="10">
        <f t="shared" si="49"/>
        <v>1</v>
      </c>
      <c r="J1374" s="10"/>
      <c r="K1374" s="7"/>
      <c r="L1374" s="7"/>
      <c r="M1374" s="7"/>
      <c r="N1374" s="10"/>
      <c r="O1374" s="113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t="15.75" customHeight="1">
      <c r="A1375" s="10" t="s">
        <v>15</v>
      </c>
      <c r="B1375" s="7" t="s">
        <v>76</v>
      </c>
      <c r="C1375" s="135">
        <v>46240</v>
      </c>
      <c r="D1375" s="44" t="s">
        <v>247</v>
      </c>
      <c r="E1375" s="35" t="s">
        <v>239</v>
      </c>
      <c r="F1375" s="121">
        <v>8.07</v>
      </c>
      <c r="G1375" s="122">
        <f t="shared" si="48"/>
        <v>0</v>
      </c>
      <c r="H1375" s="123">
        <f>IF(AND(ISNUMBER(F1375), F1375&gt;4, COUNTIFS($A$2:A1375, A1375, $B$2:B1375, B1375, $C$2:C1375, C1375, $F$2:F1375, "&gt;4")=1), 1, 0)</f>
        <v>1</v>
      </c>
      <c r="I1375" s="10">
        <f t="shared" si="49"/>
        <v>1</v>
      </c>
      <c r="J1375" s="10"/>
      <c r="K1375" s="7"/>
      <c r="L1375" s="7"/>
      <c r="M1375" s="7"/>
      <c r="N1375" s="10"/>
      <c r="O1375" s="113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t="15.75" customHeight="1">
      <c r="A1376" s="10" t="s">
        <v>15</v>
      </c>
      <c r="B1376" s="7" t="s">
        <v>76</v>
      </c>
      <c r="C1376" s="135">
        <v>46241</v>
      </c>
      <c r="D1376" s="44" t="s">
        <v>247</v>
      </c>
      <c r="E1376" s="35" t="s">
        <v>214</v>
      </c>
      <c r="F1376" s="121">
        <v>8.08</v>
      </c>
      <c r="G1376" s="122">
        <f t="shared" si="48"/>
        <v>0</v>
      </c>
      <c r="H1376" s="123">
        <f>IF(AND(ISNUMBER(F1376), F1376&gt;4, COUNTIFS($A$2:A1376, A1376, $B$2:B1376, B1376, $C$2:C1376, C1376, $F$2:F1376, "&gt;4")=1), 1, 0)</f>
        <v>1</v>
      </c>
      <c r="I1376" s="10">
        <f t="shared" si="49"/>
        <v>1</v>
      </c>
      <c r="J1376" s="10"/>
      <c r="K1376" s="7"/>
      <c r="L1376" s="7"/>
      <c r="M1376" s="7"/>
      <c r="N1376" s="10"/>
      <c r="O1376" s="113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t="15.75" customHeight="1">
      <c r="A1377" s="10" t="s">
        <v>15</v>
      </c>
      <c r="B1377" s="7" t="s">
        <v>76</v>
      </c>
      <c r="C1377" s="135">
        <v>46242</v>
      </c>
      <c r="D1377" s="44" t="s">
        <v>247</v>
      </c>
      <c r="E1377" s="35" t="s">
        <v>504</v>
      </c>
      <c r="F1377" s="121">
        <v>8.18</v>
      </c>
      <c r="G1377" s="122">
        <f t="shared" si="48"/>
        <v>0</v>
      </c>
      <c r="H1377" s="123">
        <f>IF(AND(ISNUMBER(F1377), F1377&gt;4, COUNTIFS($A$2:A1377, A1377, $B$2:B1377, B1377, $C$2:C1377, C1377, $F$2:F1377, "&gt;4")=1), 1, 0)</f>
        <v>1</v>
      </c>
      <c r="I1377" s="10">
        <f t="shared" si="49"/>
        <v>1</v>
      </c>
      <c r="J1377" s="10"/>
      <c r="K1377" s="7"/>
      <c r="L1377" s="7"/>
      <c r="M1377" s="7"/>
      <c r="N1377" s="10"/>
      <c r="O1377" s="113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t="15.75" customHeight="1">
      <c r="A1378" s="10" t="s">
        <v>15</v>
      </c>
      <c r="B1378" s="7" t="s">
        <v>76</v>
      </c>
      <c r="C1378" s="135">
        <v>46243</v>
      </c>
      <c r="D1378" s="44" t="s">
        <v>247</v>
      </c>
      <c r="E1378" s="35" t="s">
        <v>771</v>
      </c>
      <c r="F1378" s="121">
        <v>2.8</v>
      </c>
      <c r="G1378" s="122">
        <f t="shared" si="48"/>
        <v>1</v>
      </c>
      <c r="H1378" s="123">
        <f>IF(AND(ISNUMBER(F1378), F1378&gt;4, COUNTIFS($A$2:A1378, A1378, $B$2:B1378, B1378, $C$2:C1378, C1378, $F$2:F1378, "&gt;4")=1), 1, 0)</f>
        <v>0</v>
      </c>
      <c r="I1378" s="10">
        <f t="shared" si="49"/>
        <v>0</v>
      </c>
      <c r="J1378" s="10"/>
      <c r="K1378" s="7"/>
      <c r="L1378" s="7"/>
      <c r="M1378" s="7"/>
      <c r="N1378" s="10"/>
      <c r="O1378" s="113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t="15.75" customHeight="1">
      <c r="A1379" s="10" t="s">
        <v>15</v>
      </c>
      <c r="B1379" s="7" t="s">
        <v>76</v>
      </c>
      <c r="C1379" s="135">
        <v>46245</v>
      </c>
      <c r="D1379" s="44" t="s">
        <v>247</v>
      </c>
      <c r="E1379" s="35" t="s">
        <v>239</v>
      </c>
      <c r="F1379" s="121">
        <v>8.07</v>
      </c>
      <c r="G1379" s="122">
        <f t="shared" si="48"/>
        <v>0</v>
      </c>
      <c r="H1379" s="123">
        <f>IF(AND(ISNUMBER(F1379), F1379&gt;4, COUNTIFS($A$2:A1379, A1379, $B$2:B1379, B1379, $C$2:C1379, C1379, $F$2:F1379, "&gt;4")=1), 1, 0)</f>
        <v>1</v>
      </c>
      <c r="I1379" s="10">
        <f t="shared" si="49"/>
        <v>1</v>
      </c>
      <c r="J1379" s="10"/>
      <c r="K1379" s="7"/>
      <c r="L1379" s="7"/>
      <c r="M1379" s="7"/>
      <c r="N1379" s="10"/>
      <c r="O1379" s="113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t="15.75" customHeight="1">
      <c r="A1380" s="10" t="s">
        <v>15</v>
      </c>
      <c r="B1380" s="7" t="s">
        <v>76</v>
      </c>
      <c r="C1380" s="135">
        <v>46246</v>
      </c>
      <c r="D1380" s="44" t="s">
        <v>247</v>
      </c>
      <c r="E1380" s="35" t="s">
        <v>305</v>
      </c>
      <c r="F1380" s="121">
        <v>8.2799999999999994</v>
      </c>
      <c r="G1380" s="122">
        <f t="shared" si="48"/>
        <v>0</v>
      </c>
      <c r="H1380" s="123">
        <f>IF(AND(ISNUMBER(F1380), F1380&gt;4, COUNTIFS($A$2:A1380, A1380, $B$2:B1380, B1380, $C$2:C1380, C1380, $F$2:F1380, "&gt;4")=1), 1, 0)</f>
        <v>1</v>
      </c>
      <c r="I1380" s="10">
        <f t="shared" si="49"/>
        <v>1</v>
      </c>
      <c r="J1380" s="10"/>
      <c r="K1380" s="7"/>
      <c r="L1380" s="7"/>
      <c r="M1380" s="7"/>
      <c r="N1380" s="10"/>
      <c r="O1380" s="113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t="15.75" customHeight="1">
      <c r="A1381" s="10" t="s">
        <v>15</v>
      </c>
      <c r="B1381" s="7" t="s">
        <v>76</v>
      </c>
      <c r="C1381" s="135">
        <v>46249</v>
      </c>
      <c r="D1381" s="44" t="s">
        <v>247</v>
      </c>
      <c r="E1381" s="35" t="s">
        <v>214</v>
      </c>
      <c r="F1381" s="121">
        <v>8.08</v>
      </c>
      <c r="G1381" s="122">
        <f t="shared" si="48"/>
        <v>0</v>
      </c>
      <c r="H1381" s="123">
        <f>IF(AND(ISNUMBER(F1381), F1381&gt;4, COUNTIFS($A$2:A1381, A1381, $B$2:B1381, B1381, $C$2:C1381, C1381, $F$2:F1381, "&gt;4")=1), 1, 0)</f>
        <v>1</v>
      </c>
      <c r="I1381" s="10">
        <f t="shared" si="49"/>
        <v>1</v>
      </c>
      <c r="J1381" s="10"/>
      <c r="K1381" s="7"/>
      <c r="L1381" s="7"/>
      <c r="M1381" s="7"/>
      <c r="N1381" s="10"/>
      <c r="O1381" s="113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t="15.75" customHeight="1">
      <c r="A1382" s="10" t="s">
        <v>15</v>
      </c>
      <c r="B1382" s="7" t="s">
        <v>76</v>
      </c>
      <c r="C1382" s="135">
        <v>46250</v>
      </c>
      <c r="D1382" s="44" t="s">
        <v>247</v>
      </c>
      <c r="E1382" s="35" t="s">
        <v>772</v>
      </c>
      <c r="F1382" s="121">
        <v>6.13</v>
      </c>
      <c r="G1382" s="122">
        <f t="shared" si="48"/>
        <v>0</v>
      </c>
      <c r="H1382" s="123">
        <f>IF(AND(ISNUMBER(F1382), F1382&gt;4, COUNTIFS($A$2:A1382, A1382, $B$2:B1382, B1382, $C$2:C1382, C1382, $F$2:F1382, "&gt;4")=1), 1, 0)</f>
        <v>1</v>
      </c>
      <c r="I1382" s="10">
        <f t="shared" si="49"/>
        <v>1</v>
      </c>
      <c r="J1382" s="10"/>
      <c r="K1382" s="7"/>
      <c r="L1382" s="7"/>
      <c r="M1382" s="7"/>
      <c r="N1382" s="10"/>
      <c r="O1382" s="113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t="15.75" customHeight="1">
      <c r="A1383" s="10" t="s">
        <v>15</v>
      </c>
      <c r="B1383" s="7" t="s">
        <v>76</v>
      </c>
      <c r="C1383" s="135">
        <v>46251</v>
      </c>
      <c r="D1383" s="44" t="s">
        <v>247</v>
      </c>
      <c r="E1383" s="35" t="s">
        <v>502</v>
      </c>
      <c r="F1383" s="121">
        <v>8.17</v>
      </c>
      <c r="G1383" s="122">
        <f t="shared" si="48"/>
        <v>0</v>
      </c>
      <c r="H1383" s="123">
        <f>IF(AND(ISNUMBER(F1383), F1383&gt;4, COUNTIFS($A$2:A1383, A1383, $B$2:B1383, B1383, $C$2:C1383, C1383, $F$2:F1383, "&gt;4")=1), 1, 0)</f>
        <v>1</v>
      </c>
      <c r="I1383" s="10">
        <f t="shared" si="49"/>
        <v>1</v>
      </c>
      <c r="J1383" s="10"/>
      <c r="K1383" s="7"/>
      <c r="L1383" s="7"/>
      <c r="M1383" s="7"/>
      <c r="N1383" s="10"/>
      <c r="O1383" s="113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t="15.75" customHeight="1">
      <c r="A1384" s="10" t="s">
        <v>15</v>
      </c>
      <c r="B1384" s="7" t="s">
        <v>76</v>
      </c>
      <c r="C1384" s="135">
        <v>46252</v>
      </c>
      <c r="D1384" s="44" t="s">
        <v>247</v>
      </c>
      <c r="E1384" s="35" t="s">
        <v>499</v>
      </c>
      <c r="F1384" s="121">
        <v>8.15</v>
      </c>
      <c r="G1384" s="122">
        <f t="shared" si="48"/>
        <v>0</v>
      </c>
      <c r="H1384" s="123">
        <f>IF(AND(ISNUMBER(F1384), F1384&gt;4, COUNTIFS($A$2:A1384, A1384, $B$2:B1384, B1384, $C$2:C1384, C1384, $F$2:F1384, "&gt;4")=1), 1, 0)</f>
        <v>1</v>
      </c>
      <c r="I1384" s="10">
        <f t="shared" si="49"/>
        <v>1</v>
      </c>
      <c r="J1384" s="10"/>
      <c r="K1384" s="7"/>
      <c r="L1384" s="7"/>
      <c r="M1384" s="7"/>
      <c r="N1384" s="10"/>
      <c r="O1384" s="113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t="15.75" customHeight="1">
      <c r="A1385" s="10" t="s">
        <v>15</v>
      </c>
      <c r="B1385" s="7" t="s">
        <v>76</v>
      </c>
      <c r="C1385" s="135">
        <v>46253</v>
      </c>
      <c r="D1385" s="44" t="s">
        <v>247</v>
      </c>
      <c r="E1385" s="35" t="s">
        <v>239</v>
      </c>
      <c r="F1385" s="121">
        <v>8.07</v>
      </c>
      <c r="G1385" s="122">
        <f t="shared" si="48"/>
        <v>0</v>
      </c>
      <c r="H1385" s="123">
        <f>IF(AND(ISNUMBER(F1385), F1385&gt;4, COUNTIFS($A$2:A1385, A1385, $B$2:B1385, B1385, $C$2:C1385, C1385, $F$2:F1385, "&gt;4")=1), 1, 0)</f>
        <v>1</v>
      </c>
      <c r="I1385" s="10">
        <f t="shared" si="49"/>
        <v>1</v>
      </c>
      <c r="J1385" s="10"/>
      <c r="K1385" s="7"/>
      <c r="L1385" s="7"/>
      <c r="M1385" s="7"/>
      <c r="N1385" s="10"/>
      <c r="O1385" s="113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t="15.75" customHeight="1">
      <c r="A1386" s="10" t="s">
        <v>15</v>
      </c>
      <c r="B1386" s="7" t="s">
        <v>76</v>
      </c>
      <c r="C1386" s="135">
        <v>46254</v>
      </c>
      <c r="D1386" s="44" t="s">
        <v>247</v>
      </c>
      <c r="E1386" s="35" t="s">
        <v>219</v>
      </c>
      <c r="F1386" s="121">
        <v>6.1</v>
      </c>
      <c r="G1386" s="122">
        <f t="shared" si="48"/>
        <v>0</v>
      </c>
      <c r="H1386" s="123">
        <f>IF(AND(ISNUMBER(F1386), F1386&gt;4, COUNTIFS($A$2:A1386, A1386, $B$2:B1386, B1386, $C$2:C1386, C1386, $F$2:F1386, "&gt;4")=1), 1, 0)</f>
        <v>0</v>
      </c>
      <c r="I1386" s="10">
        <f t="shared" si="49"/>
        <v>1</v>
      </c>
      <c r="J1386" s="10"/>
      <c r="K1386" s="7"/>
      <c r="L1386" s="7"/>
      <c r="M1386" s="7"/>
      <c r="N1386" s="10"/>
      <c r="O1386" s="113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t="15.75" customHeight="1">
      <c r="A1387" s="10" t="s">
        <v>15</v>
      </c>
      <c r="B1387" s="7" t="s">
        <v>76</v>
      </c>
      <c r="C1387" s="135">
        <v>46255</v>
      </c>
      <c r="D1387" s="44" t="s">
        <v>247</v>
      </c>
      <c r="E1387" s="35" t="s">
        <v>495</v>
      </c>
      <c r="F1387" s="121">
        <v>8.52</v>
      </c>
      <c r="G1387" s="122">
        <f t="shared" si="48"/>
        <v>0</v>
      </c>
      <c r="H1387" s="123">
        <f>IF(AND(ISNUMBER(F1387), F1387&gt;4, COUNTIFS($A$2:A1387, A1387, $B$2:B1387, B1387, $C$2:C1387, C1387, $F$2:F1387, "&gt;4")=1), 1, 0)</f>
        <v>1</v>
      </c>
      <c r="I1387" s="10">
        <f t="shared" si="49"/>
        <v>1</v>
      </c>
      <c r="J1387" s="10"/>
      <c r="K1387" s="7"/>
      <c r="L1387" s="7"/>
      <c r="M1387" s="7"/>
      <c r="N1387" s="10"/>
      <c r="O1387" s="113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t="15.75" customHeight="1">
      <c r="A1388" s="10" t="s">
        <v>15</v>
      </c>
      <c r="B1388" s="7" t="s">
        <v>76</v>
      </c>
      <c r="C1388" s="135">
        <v>46256</v>
      </c>
      <c r="D1388" s="44" t="s">
        <v>247</v>
      </c>
      <c r="E1388" s="35" t="s">
        <v>239</v>
      </c>
      <c r="F1388" s="121">
        <v>8.07</v>
      </c>
      <c r="G1388" s="122">
        <f t="shared" si="48"/>
        <v>0</v>
      </c>
      <c r="H1388" s="123">
        <f>IF(AND(ISNUMBER(F1388), F1388&gt;4, COUNTIFS($A$2:A1388, A1388, $B$2:B1388, B1388, $C$2:C1388, C1388, $F$2:F1388, "&gt;4")=1), 1, 0)</f>
        <v>1</v>
      </c>
      <c r="I1388" s="10">
        <f t="shared" si="49"/>
        <v>1</v>
      </c>
      <c r="J1388" s="10"/>
      <c r="K1388" s="7"/>
      <c r="L1388" s="7"/>
      <c r="M1388" s="7"/>
      <c r="N1388" s="10"/>
      <c r="O1388" s="113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t="15.75" customHeight="1">
      <c r="A1389" s="10" t="s">
        <v>15</v>
      </c>
      <c r="B1389" s="7" t="s">
        <v>76</v>
      </c>
      <c r="C1389" s="135">
        <v>46257</v>
      </c>
      <c r="D1389" s="44" t="s">
        <v>247</v>
      </c>
      <c r="E1389" s="35" t="s">
        <v>501</v>
      </c>
      <c r="F1389" s="121">
        <v>8.2200000000000006</v>
      </c>
      <c r="G1389" s="122">
        <f t="shared" si="48"/>
        <v>0</v>
      </c>
      <c r="H1389" s="123">
        <f>IF(AND(ISNUMBER(F1389), F1389&gt;4, COUNTIFS($A$2:A1389, A1389, $B$2:B1389, B1389, $C$2:C1389, C1389, $F$2:F1389, "&gt;4")=1), 1, 0)</f>
        <v>1</v>
      </c>
      <c r="I1389" s="10">
        <f t="shared" si="49"/>
        <v>1</v>
      </c>
      <c r="J1389" s="10"/>
      <c r="K1389" s="7"/>
      <c r="L1389" s="7"/>
      <c r="M1389" s="7"/>
      <c r="N1389" s="10"/>
      <c r="O1389" s="113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t="15.75" customHeight="1">
      <c r="A1390" s="10" t="s">
        <v>15</v>
      </c>
      <c r="B1390" s="7" t="s">
        <v>76</v>
      </c>
      <c r="C1390" s="135">
        <v>46258</v>
      </c>
      <c r="D1390" s="44" t="s">
        <v>247</v>
      </c>
      <c r="E1390" s="35" t="s">
        <v>773</v>
      </c>
      <c r="F1390" s="121">
        <v>9.6199999999999992</v>
      </c>
      <c r="G1390" s="122">
        <f t="shared" si="48"/>
        <v>0</v>
      </c>
      <c r="H1390" s="123">
        <f>IF(AND(ISNUMBER(F1390), F1390&gt;4, COUNTIFS($A$2:A1390, A1390, $B$2:B1390, B1390, $C$2:C1390, C1390, $F$2:F1390, "&gt;4")=1), 1, 0)</f>
        <v>1</v>
      </c>
      <c r="I1390" s="10">
        <f t="shared" si="49"/>
        <v>1</v>
      </c>
      <c r="J1390" s="10"/>
      <c r="K1390" s="7"/>
      <c r="L1390" s="7"/>
      <c r="M1390" s="7"/>
      <c r="N1390" s="10"/>
      <c r="O1390" s="113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t="15.75" customHeight="1">
      <c r="A1391" s="10" t="s">
        <v>15</v>
      </c>
      <c r="B1391" s="7" t="s">
        <v>76</v>
      </c>
      <c r="C1391" s="135">
        <v>46259</v>
      </c>
      <c r="D1391" s="44" t="s">
        <v>247</v>
      </c>
      <c r="E1391" s="35" t="s">
        <v>522</v>
      </c>
      <c r="F1391" s="121">
        <v>8.32</v>
      </c>
      <c r="G1391" s="122">
        <f t="shared" si="48"/>
        <v>0</v>
      </c>
      <c r="H1391" s="123">
        <f>IF(AND(ISNUMBER(F1391), F1391&gt;4, COUNTIFS($A$2:A1391, A1391, $B$2:B1391, B1391, $C$2:C1391, C1391, $F$2:F1391, "&gt;4")=1), 1, 0)</f>
        <v>1</v>
      </c>
      <c r="I1391" s="10">
        <f t="shared" si="49"/>
        <v>1</v>
      </c>
      <c r="J1391" s="10"/>
      <c r="K1391" s="7"/>
      <c r="L1391" s="7"/>
      <c r="M1391" s="7"/>
      <c r="N1391" s="10"/>
      <c r="O1391" s="113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t="15.75" customHeight="1">
      <c r="A1392" s="10" t="s">
        <v>15</v>
      </c>
      <c r="B1392" s="7" t="s">
        <v>76</v>
      </c>
      <c r="C1392" s="135">
        <v>46260</v>
      </c>
      <c r="D1392" s="44" t="s">
        <v>247</v>
      </c>
      <c r="E1392" s="35" t="s">
        <v>310</v>
      </c>
      <c r="F1392" s="121">
        <v>8.3000000000000007</v>
      </c>
      <c r="G1392" s="122">
        <f t="shared" si="48"/>
        <v>0</v>
      </c>
      <c r="H1392" s="123">
        <f>IF(AND(ISNUMBER(F1392), F1392&gt;4, COUNTIFS($A$2:A1392, A1392, $B$2:B1392, B1392, $C$2:C1392, C1392, $F$2:F1392, "&gt;4")=1), 1, 0)</f>
        <v>1</v>
      </c>
      <c r="I1392" s="10">
        <f t="shared" si="49"/>
        <v>1</v>
      </c>
      <c r="J1392" s="10"/>
      <c r="K1392" s="7"/>
      <c r="L1392" s="7"/>
      <c r="M1392" s="7"/>
      <c r="N1392" s="10"/>
      <c r="O1392" s="113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t="15.75" customHeight="1">
      <c r="A1393" s="10" t="s">
        <v>15</v>
      </c>
      <c r="B1393" s="7" t="s">
        <v>76</v>
      </c>
      <c r="C1393" s="135">
        <v>46261</v>
      </c>
      <c r="D1393" s="44" t="s">
        <v>247</v>
      </c>
      <c r="E1393" s="35" t="s">
        <v>692</v>
      </c>
      <c r="F1393" s="121">
        <v>8.9700000000000006</v>
      </c>
      <c r="G1393" s="122">
        <f t="shared" si="48"/>
        <v>0</v>
      </c>
      <c r="H1393" s="123">
        <f>IF(AND(ISNUMBER(F1393), F1393&gt;4, COUNTIFS($A$2:A1393, A1393, $B$2:B1393, B1393, $C$2:C1393, C1393, $F$2:F1393, "&gt;4")=1), 1, 0)</f>
        <v>1</v>
      </c>
      <c r="I1393" s="10">
        <f t="shared" si="49"/>
        <v>1</v>
      </c>
      <c r="J1393" s="10"/>
      <c r="K1393" s="7"/>
      <c r="L1393" s="7"/>
      <c r="M1393" s="7"/>
      <c r="N1393" s="10"/>
      <c r="O1393" s="113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t="15.75" customHeight="1">
      <c r="A1394" s="10" t="s">
        <v>15</v>
      </c>
      <c r="B1394" s="7" t="s">
        <v>76</v>
      </c>
      <c r="C1394" s="135">
        <v>46262</v>
      </c>
      <c r="D1394" s="44" t="s">
        <v>247</v>
      </c>
      <c r="E1394" s="35" t="s">
        <v>409</v>
      </c>
      <c r="F1394" s="121">
        <v>7.93</v>
      </c>
      <c r="G1394" s="122">
        <f t="shared" si="48"/>
        <v>0</v>
      </c>
      <c r="H1394" s="123">
        <f>IF(AND(ISNUMBER(F1394), F1394&gt;4, COUNTIFS($A$2:A1394, A1394, $B$2:B1394, B1394, $C$2:C1394, C1394, $F$2:F1394, "&gt;4")=1), 1, 0)</f>
        <v>1</v>
      </c>
      <c r="I1394" s="10">
        <f t="shared" si="49"/>
        <v>1</v>
      </c>
      <c r="J1394" s="10"/>
      <c r="K1394" s="7"/>
      <c r="L1394" s="7"/>
      <c r="M1394" s="7"/>
      <c r="N1394" s="10"/>
      <c r="O1394" s="113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t="15.75" customHeight="1">
      <c r="A1395" s="10" t="s">
        <v>15</v>
      </c>
      <c r="B1395" s="7" t="s">
        <v>76</v>
      </c>
      <c r="C1395" s="135">
        <v>46263</v>
      </c>
      <c r="D1395" s="44" t="s">
        <v>247</v>
      </c>
      <c r="E1395" s="35" t="s">
        <v>774</v>
      </c>
      <c r="F1395" s="121">
        <v>6.95</v>
      </c>
      <c r="G1395" s="122">
        <f t="shared" si="48"/>
        <v>0</v>
      </c>
      <c r="H1395" s="123">
        <f>IF(AND(ISNUMBER(F1395), F1395&gt;4, COUNTIFS($A$2:A1395, A1395, $B$2:B1395, B1395, $C$2:C1395, C1395, $F$2:F1395, "&gt;4")=1), 1, 0)</f>
        <v>1</v>
      </c>
      <c r="I1395" s="10">
        <f t="shared" si="49"/>
        <v>1</v>
      </c>
      <c r="J1395" s="10"/>
      <c r="K1395" s="7"/>
      <c r="L1395" s="7"/>
      <c r="M1395" s="7"/>
      <c r="N1395" s="10"/>
      <c r="O1395" s="113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t="15.75" customHeight="1">
      <c r="A1396" s="10" t="s">
        <v>15</v>
      </c>
      <c r="B1396" s="7" t="s">
        <v>76</v>
      </c>
      <c r="C1396" s="135">
        <v>46264</v>
      </c>
      <c r="D1396" s="44" t="s">
        <v>247</v>
      </c>
      <c r="E1396" s="35" t="s">
        <v>409</v>
      </c>
      <c r="F1396" s="121">
        <v>7.93</v>
      </c>
      <c r="G1396" s="122">
        <f t="shared" si="48"/>
        <v>0</v>
      </c>
      <c r="H1396" s="123">
        <f>IF(AND(ISNUMBER(F1396), F1396&gt;4, COUNTIFS($A$2:A1396, A1396, $B$2:B1396, B1396, $C$2:C1396, C1396, $F$2:F1396, "&gt;4")=1), 1, 0)</f>
        <v>1</v>
      </c>
      <c r="I1396" s="10">
        <f t="shared" si="49"/>
        <v>1</v>
      </c>
      <c r="J1396" s="10"/>
      <c r="K1396" s="7"/>
      <c r="L1396" s="7"/>
      <c r="M1396" s="7"/>
      <c r="N1396" s="10"/>
      <c r="O1396" s="113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t="15.75" customHeight="1">
      <c r="A1397" s="10" t="s">
        <v>15</v>
      </c>
      <c r="B1397" s="7" t="s">
        <v>76</v>
      </c>
      <c r="C1397" s="135">
        <v>46265</v>
      </c>
      <c r="D1397" s="44" t="s">
        <v>247</v>
      </c>
      <c r="E1397" s="35" t="s">
        <v>502</v>
      </c>
      <c r="F1397" s="121">
        <v>8.17</v>
      </c>
      <c r="G1397" s="122">
        <f t="shared" si="48"/>
        <v>0</v>
      </c>
      <c r="H1397" s="123">
        <f>IF(AND(ISNUMBER(F1397), F1397&gt;4, COUNTIFS($A$2:A1397, A1397, $B$2:B1397, B1397, $C$2:C1397, C1397, $F$2:F1397, "&gt;4")=1), 1, 0)</f>
        <v>1</v>
      </c>
      <c r="I1397" s="10">
        <f t="shared" si="49"/>
        <v>1</v>
      </c>
      <c r="J1397" s="10"/>
      <c r="K1397" s="7"/>
      <c r="L1397" s="7"/>
      <c r="M1397" s="7"/>
      <c r="N1397" s="10"/>
      <c r="O1397" s="113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t="15.75" customHeight="1">
      <c r="A1398" s="10" t="s">
        <v>15</v>
      </c>
      <c r="B1398" s="7" t="s">
        <v>80</v>
      </c>
      <c r="C1398" s="135">
        <v>46237</v>
      </c>
      <c r="D1398" s="44" t="s">
        <v>245</v>
      </c>
      <c r="E1398" s="35" t="s">
        <v>775</v>
      </c>
      <c r="F1398" s="121">
        <v>10.48</v>
      </c>
      <c r="G1398" s="122">
        <f t="shared" si="48"/>
        <v>0</v>
      </c>
      <c r="H1398" s="123">
        <f>IF(AND(ISNUMBER(F1398), F1398&gt;4, COUNTIFS($A$2:A1398, A1398, $B$2:B1398, B1398, $C$2:C1398, C1398, $F$2:F1398, "&gt;4")=1), 1, 0)</f>
        <v>1</v>
      </c>
      <c r="I1398" s="10">
        <f t="shared" si="49"/>
        <v>0</v>
      </c>
      <c r="J1398" s="10"/>
      <c r="K1398" s="7"/>
      <c r="L1398" s="7"/>
      <c r="M1398" s="7"/>
      <c r="N1398" s="10"/>
      <c r="O1398" s="113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t="15.75" customHeight="1">
      <c r="A1399" s="10" t="s">
        <v>15</v>
      </c>
      <c r="B1399" s="7" t="s">
        <v>80</v>
      </c>
      <c r="C1399" s="135">
        <v>46238</v>
      </c>
      <c r="D1399" s="44" t="s">
        <v>245</v>
      </c>
      <c r="E1399" s="35" t="s">
        <v>489</v>
      </c>
      <c r="F1399" s="121">
        <v>8.33</v>
      </c>
      <c r="G1399" s="122">
        <f t="shared" si="48"/>
        <v>0</v>
      </c>
      <c r="H1399" s="123">
        <f>IF(AND(ISNUMBER(F1399), F1399&gt;4, COUNTIFS($A$2:A1399, A1399, $B$2:B1399, B1399, $C$2:C1399, C1399, $F$2:F1399, "&gt;4")=1), 1, 0)</f>
        <v>1</v>
      </c>
      <c r="I1399" s="10">
        <f t="shared" si="49"/>
        <v>0</v>
      </c>
      <c r="J1399" s="10"/>
      <c r="K1399" s="7"/>
      <c r="L1399" s="7"/>
      <c r="M1399" s="7"/>
      <c r="N1399" s="10"/>
      <c r="O1399" s="113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t="15.75" customHeight="1">
      <c r="A1400" s="10" t="s">
        <v>15</v>
      </c>
      <c r="B1400" s="7" t="s">
        <v>80</v>
      </c>
      <c r="C1400" s="135">
        <v>46240</v>
      </c>
      <c r="D1400" s="44" t="s">
        <v>245</v>
      </c>
      <c r="E1400" s="35" t="s">
        <v>504</v>
      </c>
      <c r="F1400" s="121">
        <v>8.18</v>
      </c>
      <c r="G1400" s="122">
        <f t="shared" si="48"/>
        <v>0</v>
      </c>
      <c r="H1400" s="123">
        <f>IF(AND(ISNUMBER(F1400), F1400&gt;4, COUNTIFS($A$2:A1400, A1400, $B$2:B1400, B1400, $C$2:C1400, C1400, $F$2:F1400, "&gt;4")=1), 1, 0)</f>
        <v>1</v>
      </c>
      <c r="I1400" s="10">
        <f t="shared" si="49"/>
        <v>0</v>
      </c>
      <c r="J1400" s="10"/>
      <c r="K1400" s="7"/>
      <c r="L1400" s="7"/>
      <c r="M1400" s="7"/>
      <c r="N1400" s="10"/>
      <c r="O1400" s="113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t="15.75" customHeight="1">
      <c r="A1401" s="10" t="s">
        <v>15</v>
      </c>
      <c r="B1401" s="7" t="s">
        <v>80</v>
      </c>
      <c r="C1401" s="135">
        <v>46241</v>
      </c>
      <c r="D1401" s="44" t="s">
        <v>245</v>
      </c>
      <c r="E1401" s="35" t="s">
        <v>742</v>
      </c>
      <c r="F1401" s="121">
        <v>10.1</v>
      </c>
      <c r="G1401" s="122">
        <f t="shared" si="48"/>
        <v>0</v>
      </c>
      <c r="H1401" s="123">
        <f>IF(AND(ISNUMBER(F1401), F1401&gt;4, COUNTIFS($A$2:A1401, A1401, $B$2:B1401, B1401, $C$2:C1401, C1401, $F$2:F1401, "&gt;4")=1), 1, 0)</f>
        <v>1</v>
      </c>
      <c r="I1401" s="10">
        <f t="shared" si="49"/>
        <v>0</v>
      </c>
      <c r="J1401" s="10"/>
      <c r="K1401" s="7"/>
      <c r="L1401" s="7"/>
      <c r="M1401" s="7"/>
      <c r="N1401" s="10"/>
      <c r="O1401" s="113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t="15.75" customHeight="1">
      <c r="A1402" s="10" t="s">
        <v>15</v>
      </c>
      <c r="B1402" s="7" t="s">
        <v>80</v>
      </c>
      <c r="C1402" s="135">
        <v>46247</v>
      </c>
      <c r="D1402" s="44" t="s">
        <v>308</v>
      </c>
      <c r="E1402" s="35" t="s">
        <v>413</v>
      </c>
      <c r="F1402" s="121">
        <v>7.47</v>
      </c>
      <c r="G1402" s="122">
        <f t="shared" si="48"/>
        <v>0</v>
      </c>
      <c r="H1402" s="123">
        <f>IF(AND(ISNUMBER(F1402), F1402&gt;4, COUNTIFS($A$2:A1402, A1402, $B$2:B1402, B1402, $C$2:C1402, C1402, $F$2:F1402, "&gt;4")=1), 1, 0)</f>
        <v>1</v>
      </c>
      <c r="I1402" s="10">
        <f t="shared" si="49"/>
        <v>0</v>
      </c>
      <c r="J1402" s="10"/>
      <c r="K1402" s="7"/>
      <c r="L1402" s="7"/>
      <c r="M1402" s="7"/>
      <c r="N1402" s="10"/>
      <c r="O1402" s="113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t="15.75" customHeight="1">
      <c r="A1403" s="10" t="s">
        <v>15</v>
      </c>
      <c r="B1403" s="7" t="s">
        <v>80</v>
      </c>
      <c r="C1403" s="135">
        <v>46239</v>
      </c>
      <c r="D1403" s="44" t="s">
        <v>193</v>
      </c>
      <c r="E1403" s="35" t="s">
        <v>592</v>
      </c>
      <c r="F1403" s="121">
        <v>8.8800000000000008</v>
      </c>
      <c r="G1403" s="122">
        <f t="shared" si="48"/>
        <v>0</v>
      </c>
      <c r="H1403" s="123">
        <f>IF(AND(ISNUMBER(F1403), F1403&gt;4, COUNTIFS($A$2:A1403, A1403, $B$2:B1403, B1403, $C$2:C1403, C1403, $F$2:F1403, "&gt;4")=1), 1, 0)</f>
        <v>1</v>
      </c>
      <c r="I1403" s="10">
        <f t="shared" si="49"/>
        <v>0</v>
      </c>
      <c r="J1403" s="10"/>
      <c r="K1403" s="7"/>
      <c r="L1403" s="7"/>
      <c r="M1403" s="7"/>
      <c r="N1403" s="10"/>
      <c r="O1403" s="113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t="15.75" customHeight="1">
      <c r="A1404" s="10" t="s">
        <v>15</v>
      </c>
      <c r="B1404" s="7" t="s">
        <v>80</v>
      </c>
      <c r="C1404" s="135">
        <v>46245</v>
      </c>
      <c r="D1404" s="44" t="s">
        <v>193</v>
      </c>
      <c r="E1404" s="35" t="s">
        <v>776</v>
      </c>
      <c r="F1404" s="121">
        <v>6.62</v>
      </c>
      <c r="G1404" s="122">
        <f t="shared" si="48"/>
        <v>0</v>
      </c>
      <c r="H1404" s="123">
        <f>IF(AND(ISNUMBER(F1404), F1404&gt;4, COUNTIFS($A$2:A1404, A1404, $B$2:B1404, B1404, $C$2:C1404, C1404, $F$2:F1404, "&gt;4")=1), 1, 0)</f>
        <v>1</v>
      </c>
      <c r="I1404" s="10">
        <f t="shared" si="49"/>
        <v>0</v>
      </c>
      <c r="J1404" s="10"/>
      <c r="K1404" s="7"/>
      <c r="L1404" s="7"/>
      <c r="M1404" s="7"/>
      <c r="N1404" s="10"/>
      <c r="O1404" s="113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t="15.75" customHeight="1">
      <c r="A1405" s="10" t="s">
        <v>15</v>
      </c>
      <c r="B1405" s="7" t="s">
        <v>80</v>
      </c>
      <c r="C1405" s="135">
        <v>46244</v>
      </c>
      <c r="D1405" s="44" t="s">
        <v>383</v>
      </c>
      <c r="E1405" s="35" t="s">
        <v>397</v>
      </c>
      <c r="F1405" s="121">
        <v>6.2</v>
      </c>
      <c r="G1405" s="122">
        <f t="shared" si="48"/>
        <v>0</v>
      </c>
      <c r="H1405" s="123">
        <f>IF(AND(ISNUMBER(F1405), F1405&gt;4, COUNTIFS($A$2:A1405, A1405, $B$2:B1405, B1405, $C$2:C1405, C1405, $F$2:F1405, "&gt;4")=1), 1, 0)</f>
        <v>1</v>
      </c>
      <c r="I1405" s="10">
        <f t="shared" si="49"/>
        <v>0</v>
      </c>
      <c r="J1405" s="10"/>
      <c r="K1405" s="7"/>
      <c r="L1405" s="7"/>
      <c r="M1405" s="7"/>
      <c r="N1405" s="10"/>
      <c r="O1405" s="113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t="15.75" customHeight="1">
      <c r="A1406" s="10" t="s">
        <v>15</v>
      </c>
      <c r="B1406" s="7" t="s">
        <v>80</v>
      </c>
      <c r="C1406" s="135">
        <v>46235</v>
      </c>
      <c r="D1406" s="44" t="s">
        <v>247</v>
      </c>
      <c r="E1406" s="35" t="s">
        <v>474</v>
      </c>
      <c r="F1406" s="121">
        <v>7.9</v>
      </c>
      <c r="G1406" s="122">
        <f t="shared" si="48"/>
        <v>0</v>
      </c>
      <c r="H1406" s="123">
        <f>IF(AND(ISNUMBER(F1406), F1406&gt;4, COUNTIFS($A$2:A1406, A1406, $B$2:B1406, B1406, $C$2:C1406, C1406, $F$2:F1406, "&gt;4")=1), 1, 0)</f>
        <v>1</v>
      </c>
      <c r="I1406" s="10">
        <f t="shared" si="49"/>
        <v>1</v>
      </c>
      <c r="J1406" s="10"/>
      <c r="K1406" s="7"/>
      <c r="L1406" s="7"/>
      <c r="M1406" s="7"/>
      <c r="N1406" s="10"/>
      <c r="O1406" s="113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t="15.75" customHeight="1">
      <c r="A1407" s="10" t="s">
        <v>15</v>
      </c>
      <c r="B1407" s="7" t="s">
        <v>80</v>
      </c>
      <c r="C1407" s="135">
        <v>46242</v>
      </c>
      <c r="D1407" s="44" t="s">
        <v>247</v>
      </c>
      <c r="E1407" s="35" t="s">
        <v>207</v>
      </c>
      <c r="F1407" s="121">
        <v>8.1</v>
      </c>
      <c r="G1407" s="122">
        <f t="shared" si="48"/>
        <v>0</v>
      </c>
      <c r="H1407" s="123">
        <f>IF(AND(ISNUMBER(F1407), F1407&gt;4, COUNTIFS($A$2:A1407, A1407, $B$2:B1407, B1407, $C$2:C1407, C1407, $F$2:F1407, "&gt;4")=1), 1, 0)</f>
        <v>1</v>
      </c>
      <c r="I1407" s="10">
        <f t="shared" si="49"/>
        <v>1</v>
      </c>
      <c r="J1407" s="10"/>
      <c r="K1407" s="7"/>
      <c r="L1407" s="7"/>
      <c r="M1407" s="7"/>
      <c r="N1407" s="10"/>
      <c r="O1407" s="113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t="15.75" customHeight="1">
      <c r="A1408" s="10" t="s">
        <v>15</v>
      </c>
      <c r="B1408" s="7" t="s">
        <v>80</v>
      </c>
      <c r="C1408" s="135">
        <v>46243</v>
      </c>
      <c r="D1408" s="44" t="s">
        <v>247</v>
      </c>
      <c r="E1408" s="35" t="s">
        <v>777</v>
      </c>
      <c r="F1408" s="121">
        <v>7.12</v>
      </c>
      <c r="G1408" s="122">
        <f t="shared" si="48"/>
        <v>0</v>
      </c>
      <c r="H1408" s="123">
        <f>IF(AND(ISNUMBER(F1408), F1408&gt;4, COUNTIFS($A$2:A1408, A1408, $B$2:B1408, B1408, $C$2:C1408, C1408, $F$2:F1408, "&gt;4")=1), 1, 0)</f>
        <v>1</v>
      </c>
      <c r="I1408" s="10">
        <f t="shared" si="49"/>
        <v>1</v>
      </c>
      <c r="J1408" s="10"/>
      <c r="K1408" s="7"/>
      <c r="L1408" s="7"/>
      <c r="M1408" s="7"/>
      <c r="N1408" s="10"/>
      <c r="O1408" s="113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t="15.75" customHeight="1">
      <c r="A1409" s="10" t="s">
        <v>25</v>
      </c>
      <c r="B1409" s="7" t="s">
        <v>130</v>
      </c>
      <c r="C1409" s="135">
        <v>46235</v>
      </c>
      <c r="D1409" s="44" t="s">
        <v>245</v>
      </c>
      <c r="E1409" s="35" t="s">
        <v>778</v>
      </c>
      <c r="F1409" s="121">
        <v>9.1199999999999992</v>
      </c>
      <c r="G1409" s="122">
        <f t="shared" si="48"/>
        <v>0</v>
      </c>
      <c r="H1409" s="123">
        <f>IF(AND(ISNUMBER(F1409), F1409&gt;4, COUNTIFS($A$2:A1409, A1409, $B$2:B1409, B1409, $C$2:C1409, C1409, $F$2:F1409, "&gt;4")=1), 1, 0)</f>
        <v>1</v>
      </c>
      <c r="I1409" s="10">
        <f t="shared" si="49"/>
        <v>0</v>
      </c>
      <c r="J1409" s="10"/>
      <c r="K1409" s="7"/>
      <c r="L1409" s="7"/>
      <c r="M1409" s="7"/>
      <c r="N1409" s="10"/>
      <c r="O1409" s="113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t="15.75" customHeight="1">
      <c r="A1410" s="10" t="s">
        <v>25</v>
      </c>
      <c r="B1410" s="7" t="s">
        <v>130</v>
      </c>
      <c r="C1410" s="135">
        <v>46236</v>
      </c>
      <c r="D1410" s="44" t="s">
        <v>245</v>
      </c>
      <c r="E1410" s="35" t="s">
        <v>732</v>
      </c>
      <c r="F1410" s="121">
        <v>9.25</v>
      </c>
      <c r="G1410" s="122">
        <f t="shared" ref="G1410:G1473" si="50">IF(AND(ISNUMBER(F1410), F1410&lt;=4), 1, 0)</f>
        <v>0</v>
      </c>
      <c r="H1410" s="123">
        <f>IF(AND(ISNUMBER(F1410), F1410&gt;4, COUNTIFS($A$2:A1410, A1410, $B$2:B1410, B1410, $C$2:C1410, C1410, $F$2:F1410, "&gt;4")=1), 1, 0)</f>
        <v>1</v>
      </c>
      <c r="I1410" s="10">
        <f t="shared" ref="I1410:I1473" si="51">IF(AND(ISNUMBER(F1410), F1410&gt;4, ISNUMBER(SEARCH("đêm", D1410))), 1, 0)</f>
        <v>0</v>
      </c>
      <c r="J1410" s="10"/>
      <c r="K1410" s="7"/>
      <c r="L1410" s="7"/>
      <c r="M1410" s="7"/>
      <c r="N1410" s="10"/>
      <c r="O1410" s="113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t="15.75" customHeight="1">
      <c r="A1411" s="10" t="s">
        <v>25</v>
      </c>
      <c r="B1411" s="7" t="s">
        <v>130</v>
      </c>
      <c r="C1411" s="135">
        <v>46241</v>
      </c>
      <c r="D1411" s="44" t="s">
        <v>245</v>
      </c>
      <c r="E1411" s="35" t="s">
        <v>722</v>
      </c>
      <c r="F1411" s="121">
        <v>9.3699999999999992</v>
      </c>
      <c r="G1411" s="122">
        <f t="shared" si="50"/>
        <v>0</v>
      </c>
      <c r="H1411" s="123">
        <f>IF(AND(ISNUMBER(F1411), F1411&gt;4, COUNTIFS($A$2:A1411, A1411, $B$2:B1411, B1411, $C$2:C1411, C1411, $F$2:F1411, "&gt;4")=1), 1, 0)</f>
        <v>1</v>
      </c>
      <c r="I1411" s="10">
        <f t="shared" si="51"/>
        <v>0</v>
      </c>
      <c r="J1411" s="10"/>
      <c r="K1411" s="7"/>
      <c r="L1411" s="7"/>
      <c r="M1411" s="7"/>
      <c r="N1411" s="10"/>
      <c r="O1411" s="113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t="15.75" customHeight="1">
      <c r="A1412" s="10" t="s">
        <v>25</v>
      </c>
      <c r="B1412" s="7" t="s">
        <v>130</v>
      </c>
      <c r="C1412" s="135">
        <v>46242</v>
      </c>
      <c r="D1412" s="44" t="s">
        <v>245</v>
      </c>
      <c r="E1412" s="35" t="s">
        <v>778</v>
      </c>
      <c r="F1412" s="121">
        <v>9.1199999999999992</v>
      </c>
      <c r="G1412" s="122">
        <f t="shared" si="50"/>
        <v>0</v>
      </c>
      <c r="H1412" s="123">
        <f>IF(AND(ISNUMBER(F1412), F1412&gt;4, COUNTIFS($A$2:A1412, A1412, $B$2:B1412, B1412, $C$2:C1412, C1412, $F$2:F1412, "&gt;4")=1), 1, 0)</f>
        <v>1</v>
      </c>
      <c r="I1412" s="10">
        <f t="shared" si="51"/>
        <v>0</v>
      </c>
      <c r="J1412" s="10"/>
      <c r="K1412" s="7"/>
      <c r="L1412" s="7"/>
      <c r="M1412" s="7"/>
      <c r="N1412" s="10"/>
      <c r="O1412" s="113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t="15.75" customHeight="1">
      <c r="A1413" s="10" t="s">
        <v>25</v>
      </c>
      <c r="B1413" s="7" t="s">
        <v>130</v>
      </c>
      <c r="C1413" s="135">
        <v>46243</v>
      </c>
      <c r="D1413" s="44" t="s">
        <v>245</v>
      </c>
      <c r="E1413" s="35" t="s">
        <v>539</v>
      </c>
      <c r="F1413" s="121">
        <v>8.6999999999999993</v>
      </c>
      <c r="G1413" s="122">
        <f t="shared" si="50"/>
        <v>0</v>
      </c>
      <c r="H1413" s="123">
        <f>IF(AND(ISNUMBER(F1413), F1413&gt;4, COUNTIFS($A$2:A1413, A1413, $B$2:B1413, B1413, $C$2:C1413, C1413, $F$2:F1413, "&gt;4")=1), 1, 0)</f>
        <v>1</v>
      </c>
      <c r="I1413" s="10">
        <f t="shared" si="51"/>
        <v>0</v>
      </c>
      <c r="J1413" s="10"/>
      <c r="K1413" s="7"/>
      <c r="L1413" s="7"/>
      <c r="M1413" s="7"/>
      <c r="N1413" s="10"/>
      <c r="O1413" s="113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t="15.75" customHeight="1">
      <c r="A1414" s="10" t="s">
        <v>25</v>
      </c>
      <c r="B1414" s="7" t="s">
        <v>130</v>
      </c>
      <c r="C1414" s="135">
        <v>46249</v>
      </c>
      <c r="D1414" s="44" t="s">
        <v>245</v>
      </c>
      <c r="E1414" s="35" t="s">
        <v>481</v>
      </c>
      <c r="F1414" s="121">
        <v>7.98</v>
      </c>
      <c r="G1414" s="122">
        <f t="shared" si="50"/>
        <v>0</v>
      </c>
      <c r="H1414" s="123">
        <f>IF(AND(ISNUMBER(F1414), F1414&gt;4, COUNTIFS($A$2:A1414, A1414, $B$2:B1414, B1414, $C$2:C1414, C1414, $F$2:F1414, "&gt;4")=1), 1, 0)</f>
        <v>1</v>
      </c>
      <c r="I1414" s="10">
        <f t="shared" si="51"/>
        <v>0</v>
      </c>
      <c r="J1414" s="10"/>
      <c r="K1414" s="7"/>
      <c r="L1414" s="7"/>
      <c r="M1414" s="7"/>
      <c r="N1414" s="10"/>
      <c r="O1414" s="113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t="15.75" customHeight="1">
      <c r="A1415" s="10" t="s">
        <v>25</v>
      </c>
      <c r="B1415" s="7" t="s">
        <v>130</v>
      </c>
      <c r="C1415" s="135">
        <v>46250</v>
      </c>
      <c r="D1415" s="44" t="s">
        <v>245</v>
      </c>
      <c r="E1415" s="35" t="s">
        <v>779</v>
      </c>
      <c r="F1415" s="121">
        <v>15.92</v>
      </c>
      <c r="G1415" s="122">
        <f t="shared" si="50"/>
        <v>0</v>
      </c>
      <c r="H1415" s="123">
        <f>IF(AND(ISNUMBER(F1415), F1415&gt;4, COUNTIFS($A$2:A1415, A1415, $B$2:B1415, B1415, $C$2:C1415, C1415, $F$2:F1415, "&gt;4")=1), 1, 0)</f>
        <v>1</v>
      </c>
      <c r="I1415" s="10">
        <f t="shared" si="51"/>
        <v>0</v>
      </c>
      <c r="J1415" s="10"/>
      <c r="K1415" s="7"/>
      <c r="L1415" s="7"/>
      <c r="M1415" s="7"/>
      <c r="N1415" s="10"/>
      <c r="O1415" s="113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t="15.75" customHeight="1">
      <c r="A1416" s="10" t="s">
        <v>25</v>
      </c>
      <c r="B1416" s="7" t="s">
        <v>130</v>
      </c>
      <c r="C1416" s="135">
        <v>46251</v>
      </c>
      <c r="D1416" s="44" t="s">
        <v>245</v>
      </c>
      <c r="E1416" s="35" t="s">
        <v>329</v>
      </c>
      <c r="F1416" s="121">
        <v>8.0299999999999994</v>
      </c>
      <c r="G1416" s="122">
        <f t="shared" si="50"/>
        <v>0</v>
      </c>
      <c r="H1416" s="123">
        <f>IF(AND(ISNUMBER(F1416), F1416&gt;4, COUNTIFS($A$2:A1416, A1416, $B$2:B1416, B1416, $C$2:C1416, C1416, $F$2:F1416, "&gt;4")=1), 1, 0)</f>
        <v>1</v>
      </c>
      <c r="I1416" s="10">
        <f t="shared" si="51"/>
        <v>0</v>
      </c>
      <c r="J1416" s="10"/>
      <c r="K1416" s="7"/>
      <c r="L1416" s="7"/>
      <c r="M1416" s="7"/>
      <c r="N1416" s="10"/>
      <c r="O1416" s="113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t="15.75" customHeight="1">
      <c r="A1417" s="10" t="s">
        <v>25</v>
      </c>
      <c r="B1417" s="7" t="s">
        <v>130</v>
      </c>
      <c r="C1417" s="135">
        <v>46252</v>
      </c>
      <c r="D1417" s="44" t="s">
        <v>245</v>
      </c>
      <c r="E1417" s="35" t="s">
        <v>503</v>
      </c>
      <c r="F1417" s="121">
        <v>8.1999999999999993</v>
      </c>
      <c r="G1417" s="122">
        <f t="shared" si="50"/>
        <v>0</v>
      </c>
      <c r="H1417" s="123">
        <f>IF(AND(ISNUMBER(F1417), F1417&gt;4, COUNTIFS($A$2:A1417, A1417, $B$2:B1417, B1417, $C$2:C1417, C1417, $F$2:F1417, "&gt;4")=1), 1, 0)</f>
        <v>1</v>
      </c>
      <c r="I1417" s="10">
        <f t="shared" si="51"/>
        <v>0</v>
      </c>
      <c r="J1417" s="10"/>
      <c r="K1417" s="7"/>
      <c r="L1417" s="7"/>
      <c r="M1417" s="7"/>
      <c r="N1417" s="10"/>
      <c r="O1417" s="113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t="15.75" customHeight="1">
      <c r="A1418" s="10" t="s">
        <v>25</v>
      </c>
      <c r="B1418" s="7" t="s">
        <v>130</v>
      </c>
      <c r="C1418" s="135">
        <v>46253</v>
      </c>
      <c r="D1418" s="44" t="s">
        <v>245</v>
      </c>
      <c r="E1418" s="35" t="s">
        <v>501</v>
      </c>
      <c r="F1418" s="121">
        <v>8.2200000000000006</v>
      </c>
      <c r="G1418" s="122">
        <f t="shared" si="50"/>
        <v>0</v>
      </c>
      <c r="H1418" s="123">
        <f>IF(AND(ISNUMBER(F1418), F1418&gt;4, COUNTIFS($A$2:A1418, A1418, $B$2:B1418, B1418, $C$2:C1418, C1418, $F$2:F1418, "&gt;4")=1), 1, 0)</f>
        <v>1</v>
      </c>
      <c r="I1418" s="10">
        <f t="shared" si="51"/>
        <v>0</v>
      </c>
      <c r="J1418" s="10"/>
      <c r="K1418" s="7"/>
      <c r="L1418" s="7"/>
      <c r="M1418" s="7"/>
      <c r="N1418" s="10"/>
      <c r="O1418" s="113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t="15.75" customHeight="1">
      <c r="A1419" s="10" t="s">
        <v>25</v>
      </c>
      <c r="B1419" s="7" t="s">
        <v>130</v>
      </c>
      <c r="C1419" s="135">
        <v>46254</v>
      </c>
      <c r="D1419" s="44" t="s">
        <v>245</v>
      </c>
      <c r="E1419" s="35" t="s">
        <v>479</v>
      </c>
      <c r="F1419" s="121">
        <v>8.02</v>
      </c>
      <c r="G1419" s="122">
        <f t="shared" si="50"/>
        <v>0</v>
      </c>
      <c r="H1419" s="123">
        <f>IF(AND(ISNUMBER(F1419), F1419&gt;4, COUNTIFS($A$2:A1419, A1419, $B$2:B1419, B1419, $C$2:C1419, C1419, $F$2:F1419, "&gt;4")=1), 1, 0)</f>
        <v>1</v>
      </c>
      <c r="I1419" s="10">
        <f t="shared" si="51"/>
        <v>0</v>
      </c>
      <c r="J1419" s="10"/>
      <c r="K1419" s="7"/>
      <c r="L1419" s="7"/>
      <c r="M1419" s="7"/>
      <c r="N1419" s="10"/>
      <c r="O1419" s="113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t="15.75" customHeight="1">
      <c r="A1420" s="10" t="s">
        <v>25</v>
      </c>
      <c r="B1420" s="7" t="s">
        <v>130</v>
      </c>
      <c r="C1420" s="135">
        <v>46255</v>
      </c>
      <c r="D1420" s="44" t="s">
        <v>245</v>
      </c>
      <c r="E1420" s="35" t="s">
        <v>474</v>
      </c>
      <c r="F1420" s="121">
        <v>7.9</v>
      </c>
      <c r="G1420" s="122">
        <f t="shared" si="50"/>
        <v>0</v>
      </c>
      <c r="H1420" s="123">
        <f>IF(AND(ISNUMBER(F1420), F1420&gt;4, COUNTIFS($A$2:A1420, A1420, $B$2:B1420, B1420, $C$2:C1420, C1420, $F$2:F1420, "&gt;4")=1), 1, 0)</f>
        <v>1</v>
      </c>
      <c r="I1420" s="10">
        <f t="shared" si="51"/>
        <v>0</v>
      </c>
      <c r="J1420" s="10"/>
      <c r="K1420" s="7"/>
      <c r="L1420" s="7"/>
      <c r="M1420" s="7"/>
      <c r="N1420" s="10"/>
      <c r="O1420" s="113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t="15.75" customHeight="1">
      <c r="A1421" s="10" t="s">
        <v>25</v>
      </c>
      <c r="B1421" s="7" t="s">
        <v>130</v>
      </c>
      <c r="C1421" s="135">
        <v>46258</v>
      </c>
      <c r="D1421" s="44" t="s">
        <v>245</v>
      </c>
      <c r="E1421" s="35" t="s">
        <v>514</v>
      </c>
      <c r="F1421" s="121">
        <v>8.5500000000000007</v>
      </c>
      <c r="G1421" s="122">
        <f t="shared" si="50"/>
        <v>0</v>
      </c>
      <c r="H1421" s="123">
        <f>IF(AND(ISNUMBER(F1421), F1421&gt;4, COUNTIFS($A$2:A1421, A1421, $B$2:B1421, B1421, $C$2:C1421, C1421, $F$2:F1421, "&gt;4")=1), 1, 0)</f>
        <v>1</v>
      </c>
      <c r="I1421" s="10">
        <f t="shared" si="51"/>
        <v>0</v>
      </c>
      <c r="J1421" s="10"/>
      <c r="K1421" s="7"/>
      <c r="L1421" s="7"/>
      <c r="M1421" s="7"/>
      <c r="N1421" s="10"/>
      <c r="O1421" s="113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t="15.75" customHeight="1">
      <c r="A1422" s="10" t="s">
        <v>25</v>
      </c>
      <c r="B1422" s="7" t="s">
        <v>130</v>
      </c>
      <c r="C1422" s="135">
        <v>46259</v>
      </c>
      <c r="D1422" s="44" t="s">
        <v>245</v>
      </c>
      <c r="E1422" s="35" t="s">
        <v>479</v>
      </c>
      <c r="F1422" s="121">
        <v>8.02</v>
      </c>
      <c r="G1422" s="122">
        <f t="shared" si="50"/>
        <v>0</v>
      </c>
      <c r="H1422" s="123">
        <f>IF(AND(ISNUMBER(F1422), F1422&gt;4, COUNTIFS($A$2:A1422, A1422, $B$2:B1422, B1422, $C$2:C1422, C1422, $F$2:F1422, "&gt;4")=1), 1, 0)</f>
        <v>1</v>
      </c>
      <c r="I1422" s="10">
        <f t="shared" si="51"/>
        <v>0</v>
      </c>
      <c r="J1422" s="10"/>
      <c r="K1422" s="7"/>
      <c r="L1422" s="7"/>
      <c r="M1422" s="7"/>
      <c r="N1422" s="10"/>
      <c r="O1422" s="113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t="15.75" customHeight="1">
      <c r="A1423" s="10" t="s">
        <v>25</v>
      </c>
      <c r="B1423" s="7" t="s">
        <v>130</v>
      </c>
      <c r="C1423" s="135">
        <v>46260</v>
      </c>
      <c r="D1423" s="44" t="s">
        <v>245</v>
      </c>
      <c r="E1423" s="35" t="s">
        <v>214</v>
      </c>
      <c r="F1423" s="121">
        <v>8.08</v>
      </c>
      <c r="G1423" s="122">
        <f t="shared" si="50"/>
        <v>0</v>
      </c>
      <c r="H1423" s="123">
        <f>IF(AND(ISNUMBER(F1423), F1423&gt;4, COUNTIFS($A$2:A1423, A1423, $B$2:B1423, B1423, $C$2:C1423, C1423, $F$2:F1423, "&gt;4")=1), 1, 0)</f>
        <v>1</v>
      </c>
      <c r="I1423" s="10">
        <f t="shared" si="51"/>
        <v>0</v>
      </c>
      <c r="J1423" s="10"/>
      <c r="K1423" s="7"/>
      <c r="L1423" s="7"/>
      <c r="M1423" s="7"/>
      <c r="N1423" s="10"/>
      <c r="O1423" s="113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t="15.75" customHeight="1">
      <c r="A1424" s="10" t="s">
        <v>25</v>
      </c>
      <c r="B1424" s="7" t="s">
        <v>130</v>
      </c>
      <c r="C1424" s="135">
        <v>46261</v>
      </c>
      <c r="D1424" s="44" t="s">
        <v>245</v>
      </c>
      <c r="E1424" s="35" t="s">
        <v>214</v>
      </c>
      <c r="F1424" s="121">
        <v>8.08</v>
      </c>
      <c r="G1424" s="122">
        <f t="shared" si="50"/>
        <v>0</v>
      </c>
      <c r="H1424" s="123">
        <f>IF(AND(ISNUMBER(F1424), F1424&gt;4, COUNTIFS($A$2:A1424, A1424, $B$2:B1424, B1424, $C$2:C1424, C1424, $F$2:F1424, "&gt;4")=1), 1, 0)</f>
        <v>1</v>
      </c>
      <c r="I1424" s="10">
        <f t="shared" si="51"/>
        <v>0</v>
      </c>
      <c r="J1424" s="10"/>
      <c r="K1424" s="7"/>
      <c r="L1424" s="7"/>
      <c r="M1424" s="7"/>
      <c r="N1424" s="10"/>
      <c r="O1424" s="113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t="15.75" customHeight="1">
      <c r="A1425" s="10" t="s">
        <v>25</v>
      </c>
      <c r="B1425" s="7" t="s">
        <v>130</v>
      </c>
      <c r="C1425" s="135">
        <v>46263</v>
      </c>
      <c r="D1425" s="44" t="s">
        <v>245</v>
      </c>
      <c r="E1425" s="35" t="s">
        <v>329</v>
      </c>
      <c r="F1425" s="121">
        <v>8.0299999999999994</v>
      </c>
      <c r="G1425" s="122">
        <f t="shared" si="50"/>
        <v>0</v>
      </c>
      <c r="H1425" s="123">
        <f>IF(AND(ISNUMBER(F1425), F1425&gt;4, COUNTIFS($A$2:A1425, A1425, $B$2:B1425, B1425, $C$2:C1425, C1425, $F$2:F1425, "&gt;4")=1), 1, 0)</f>
        <v>1</v>
      </c>
      <c r="I1425" s="10">
        <f t="shared" si="51"/>
        <v>0</v>
      </c>
      <c r="J1425" s="10"/>
      <c r="K1425" s="7"/>
      <c r="L1425" s="7"/>
      <c r="M1425" s="7"/>
      <c r="N1425" s="10"/>
      <c r="O1425" s="113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t="15.75" customHeight="1">
      <c r="A1426" s="10" t="s">
        <v>25</v>
      </c>
      <c r="B1426" s="7" t="s">
        <v>130</v>
      </c>
      <c r="C1426" s="135">
        <v>46264</v>
      </c>
      <c r="D1426" s="44" t="s">
        <v>245</v>
      </c>
      <c r="E1426" s="35" t="s">
        <v>698</v>
      </c>
      <c r="F1426" s="121">
        <v>6.67</v>
      </c>
      <c r="G1426" s="122">
        <f t="shared" si="50"/>
        <v>0</v>
      </c>
      <c r="H1426" s="123">
        <f>IF(AND(ISNUMBER(F1426), F1426&gt;4, COUNTIFS($A$2:A1426, A1426, $B$2:B1426, B1426, $C$2:C1426, C1426, $F$2:F1426, "&gt;4")=1), 1, 0)</f>
        <v>1</v>
      </c>
      <c r="I1426" s="10">
        <f t="shared" si="51"/>
        <v>0</v>
      </c>
      <c r="J1426" s="10"/>
      <c r="K1426" s="7"/>
      <c r="L1426" s="7"/>
      <c r="M1426" s="7"/>
      <c r="N1426" s="10"/>
      <c r="O1426" s="113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t="15.75" customHeight="1">
      <c r="A1427" s="10" t="s">
        <v>25</v>
      </c>
      <c r="B1427" s="7" t="s">
        <v>130</v>
      </c>
      <c r="C1427" s="135">
        <v>46265</v>
      </c>
      <c r="D1427" s="44" t="s">
        <v>245</v>
      </c>
      <c r="E1427" s="35" t="s">
        <v>199</v>
      </c>
      <c r="F1427" s="121">
        <v>8</v>
      </c>
      <c r="G1427" s="122">
        <f t="shared" si="50"/>
        <v>0</v>
      </c>
      <c r="H1427" s="123">
        <f>IF(AND(ISNUMBER(F1427), F1427&gt;4, COUNTIFS($A$2:A1427, A1427, $B$2:B1427, B1427, $C$2:C1427, C1427, $F$2:F1427, "&gt;4")=1), 1, 0)</f>
        <v>1</v>
      </c>
      <c r="I1427" s="10">
        <f t="shared" si="51"/>
        <v>0</v>
      </c>
      <c r="J1427" s="10"/>
      <c r="K1427" s="7"/>
      <c r="L1427" s="7"/>
      <c r="M1427" s="7"/>
      <c r="N1427" s="10"/>
      <c r="O1427" s="113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t="15.75" customHeight="1">
      <c r="A1428" s="10" t="s">
        <v>25</v>
      </c>
      <c r="B1428" s="7" t="s">
        <v>130</v>
      </c>
      <c r="C1428" s="135">
        <v>46237</v>
      </c>
      <c r="D1428" s="44" t="s">
        <v>193</v>
      </c>
      <c r="E1428" s="35" t="s">
        <v>608</v>
      </c>
      <c r="F1428" s="121">
        <v>6.77</v>
      </c>
      <c r="G1428" s="122">
        <f t="shared" si="50"/>
        <v>0</v>
      </c>
      <c r="H1428" s="123">
        <f>IF(AND(ISNUMBER(F1428), F1428&gt;4, COUNTIFS($A$2:A1428, A1428, $B$2:B1428, B1428, $C$2:C1428, C1428, $F$2:F1428, "&gt;4")=1), 1, 0)</f>
        <v>1</v>
      </c>
      <c r="I1428" s="10">
        <f t="shared" si="51"/>
        <v>0</v>
      </c>
      <c r="J1428" s="10"/>
      <c r="K1428" s="7"/>
      <c r="L1428" s="7"/>
      <c r="M1428" s="7"/>
      <c r="N1428" s="10"/>
      <c r="O1428" s="113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t="15.75" customHeight="1">
      <c r="A1429" s="10" t="s">
        <v>25</v>
      </c>
      <c r="B1429" s="7" t="s">
        <v>130</v>
      </c>
      <c r="C1429" s="135">
        <v>46248</v>
      </c>
      <c r="D1429" s="44" t="s">
        <v>193</v>
      </c>
      <c r="E1429" s="35" t="s">
        <v>199</v>
      </c>
      <c r="F1429" s="121">
        <v>8</v>
      </c>
      <c r="G1429" s="122">
        <f t="shared" si="50"/>
        <v>0</v>
      </c>
      <c r="H1429" s="123">
        <f>IF(AND(ISNUMBER(F1429), F1429&gt;4, COUNTIFS($A$2:A1429, A1429, $B$2:B1429, B1429, $C$2:C1429, C1429, $F$2:F1429, "&gt;4")=1), 1, 0)</f>
        <v>1</v>
      </c>
      <c r="I1429" s="10">
        <f t="shared" si="51"/>
        <v>0</v>
      </c>
      <c r="J1429" s="10"/>
      <c r="K1429" s="7"/>
      <c r="L1429" s="7"/>
      <c r="M1429" s="7"/>
      <c r="N1429" s="10"/>
      <c r="O1429" s="113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t="15.75" customHeight="1">
      <c r="A1430" s="10" t="s">
        <v>25</v>
      </c>
      <c r="B1430" s="7" t="s">
        <v>130</v>
      </c>
      <c r="C1430" s="135">
        <v>46250</v>
      </c>
      <c r="D1430" s="44" t="s">
        <v>193</v>
      </c>
      <c r="E1430" s="35" t="s">
        <v>329</v>
      </c>
      <c r="F1430" s="121">
        <v>8.0299999999999994</v>
      </c>
      <c r="G1430" s="122">
        <f t="shared" si="50"/>
        <v>0</v>
      </c>
      <c r="H1430" s="123">
        <f>IF(AND(ISNUMBER(F1430), F1430&gt;4, COUNTIFS($A$2:A1430, A1430, $B$2:B1430, B1430, $C$2:C1430, C1430, $F$2:F1430, "&gt;4")=1), 1, 0)</f>
        <v>0</v>
      </c>
      <c r="I1430" s="10">
        <f t="shared" si="51"/>
        <v>0</v>
      </c>
      <c r="J1430" s="10"/>
      <c r="K1430" s="7"/>
      <c r="L1430" s="7"/>
      <c r="M1430" s="7"/>
      <c r="N1430" s="10"/>
      <c r="O1430" s="113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t="15.75" customHeight="1">
      <c r="A1431" s="10" t="s">
        <v>25</v>
      </c>
      <c r="B1431" s="7" t="s">
        <v>130</v>
      </c>
      <c r="C1431" s="135">
        <v>46262</v>
      </c>
      <c r="D1431" s="44" t="s">
        <v>193</v>
      </c>
      <c r="E1431" s="35" t="s">
        <v>486</v>
      </c>
      <c r="F1431" s="121">
        <v>7.68</v>
      </c>
      <c r="G1431" s="122">
        <f t="shared" si="50"/>
        <v>0</v>
      </c>
      <c r="H1431" s="123">
        <f>IF(AND(ISNUMBER(F1431), F1431&gt;4, COUNTIFS($A$2:A1431, A1431, $B$2:B1431, B1431, $C$2:C1431, C1431, $F$2:F1431, "&gt;4")=1), 1, 0)</f>
        <v>1</v>
      </c>
      <c r="I1431" s="10">
        <f t="shared" si="51"/>
        <v>0</v>
      </c>
      <c r="J1431" s="10"/>
      <c r="K1431" s="7"/>
      <c r="L1431" s="7"/>
      <c r="M1431" s="7"/>
      <c r="N1431" s="10"/>
      <c r="O1431" s="113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t="15.75" customHeight="1">
      <c r="A1432" s="10" t="s">
        <v>25</v>
      </c>
      <c r="B1432" s="7" t="s">
        <v>130</v>
      </c>
      <c r="C1432" s="135">
        <v>46263</v>
      </c>
      <c r="D1432" s="44" t="s">
        <v>193</v>
      </c>
      <c r="E1432" s="35" t="s">
        <v>480</v>
      </c>
      <c r="F1432" s="121">
        <v>7.97</v>
      </c>
      <c r="G1432" s="122">
        <f t="shared" si="50"/>
        <v>0</v>
      </c>
      <c r="H1432" s="123">
        <f>IF(AND(ISNUMBER(F1432), F1432&gt;4, COUNTIFS($A$2:A1432, A1432, $B$2:B1432, B1432, $C$2:C1432, C1432, $F$2:F1432, "&gt;4")=1), 1, 0)</f>
        <v>0</v>
      </c>
      <c r="I1432" s="10">
        <f t="shared" si="51"/>
        <v>0</v>
      </c>
      <c r="J1432" s="10"/>
      <c r="K1432" s="7"/>
      <c r="L1432" s="7"/>
      <c r="M1432" s="7"/>
      <c r="N1432" s="10"/>
      <c r="O1432" s="113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t="15.75" customHeight="1">
      <c r="A1433" s="10" t="s">
        <v>25</v>
      </c>
      <c r="B1433" s="7" t="s">
        <v>130</v>
      </c>
      <c r="C1433" s="135">
        <v>46264</v>
      </c>
      <c r="D1433" s="44" t="s">
        <v>193</v>
      </c>
      <c r="E1433" s="35" t="s">
        <v>480</v>
      </c>
      <c r="F1433" s="121">
        <v>7.97</v>
      </c>
      <c r="G1433" s="122">
        <f t="shared" si="50"/>
        <v>0</v>
      </c>
      <c r="H1433" s="123">
        <f>IF(AND(ISNUMBER(F1433), F1433&gt;4, COUNTIFS($A$2:A1433, A1433, $B$2:B1433, B1433, $C$2:C1433, C1433, $F$2:F1433, "&gt;4")=1), 1, 0)</f>
        <v>0</v>
      </c>
      <c r="I1433" s="10">
        <f t="shared" si="51"/>
        <v>0</v>
      </c>
      <c r="J1433" s="10"/>
      <c r="K1433" s="7"/>
      <c r="L1433" s="7"/>
      <c r="M1433" s="7"/>
      <c r="N1433" s="10"/>
      <c r="O1433" s="113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t="15.75" customHeight="1">
      <c r="A1434" s="10" t="s">
        <v>25</v>
      </c>
      <c r="B1434" s="7" t="s">
        <v>130</v>
      </c>
      <c r="C1434" s="135">
        <v>46237</v>
      </c>
      <c r="D1434" s="44" t="s">
        <v>418</v>
      </c>
      <c r="E1434" s="35" t="s">
        <v>683</v>
      </c>
      <c r="F1434" s="121">
        <v>1.82</v>
      </c>
      <c r="G1434" s="122">
        <f t="shared" si="50"/>
        <v>1</v>
      </c>
      <c r="H1434" s="123">
        <f>IF(AND(ISNUMBER(F1434), F1434&gt;4, COUNTIFS($A$2:A1434, A1434, $B$2:B1434, B1434, $C$2:C1434, C1434, $F$2:F1434, "&gt;4")=1), 1, 0)</f>
        <v>0</v>
      </c>
      <c r="I1434" s="10">
        <f t="shared" si="51"/>
        <v>0</v>
      </c>
      <c r="J1434" s="10"/>
      <c r="K1434" s="7"/>
      <c r="L1434" s="7"/>
      <c r="M1434" s="7"/>
      <c r="N1434" s="10"/>
      <c r="O1434" s="113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t="15.75" customHeight="1">
      <c r="A1435" s="10" t="s">
        <v>25</v>
      </c>
      <c r="B1435" s="7" t="s">
        <v>130</v>
      </c>
      <c r="C1435" s="135">
        <v>46248</v>
      </c>
      <c r="D1435" s="44" t="s">
        <v>418</v>
      </c>
      <c r="E1435" s="35" t="s">
        <v>633</v>
      </c>
      <c r="F1435" s="121">
        <v>2.0699999999999998</v>
      </c>
      <c r="G1435" s="122">
        <f t="shared" si="50"/>
        <v>1</v>
      </c>
      <c r="H1435" s="123">
        <f>IF(AND(ISNUMBER(F1435), F1435&gt;4, COUNTIFS($A$2:A1435, A1435, $B$2:B1435, B1435, $C$2:C1435, C1435, $F$2:F1435, "&gt;4")=1), 1, 0)</f>
        <v>0</v>
      </c>
      <c r="I1435" s="10">
        <f t="shared" si="51"/>
        <v>0</v>
      </c>
      <c r="J1435" s="10"/>
      <c r="K1435" s="7"/>
      <c r="L1435" s="7"/>
      <c r="M1435" s="7"/>
      <c r="N1435" s="10"/>
      <c r="O1435" s="113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t="15.75" customHeight="1">
      <c r="A1436" s="10" t="s">
        <v>25</v>
      </c>
      <c r="B1436" s="7" t="s">
        <v>130</v>
      </c>
      <c r="C1436" s="135">
        <v>46250</v>
      </c>
      <c r="D1436" s="44" t="s">
        <v>418</v>
      </c>
      <c r="E1436" s="35" t="s">
        <v>209</v>
      </c>
      <c r="F1436" s="121">
        <v>2.0299999999999998</v>
      </c>
      <c r="G1436" s="122">
        <f t="shared" si="50"/>
        <v>1</v>
      </c>
      <c r="H1436" s="123">
        <f>IF(AND(ISNUMBER(F1436), F1436&gt;4, COUNTIFS($A$2:A1436, A1436, $B$2:B1436, B1436, $C$2:C1436, C1436, $F$2:F1436, "&gt;4")=1), 1, 0)</f>
        <v>0</v>
      </c>
      <c r="I1436" s="10">
        <f t="shared" si="51"/>
        <v>0</v>
      </c>
      <c r="J1436" s="10"/>
      <c r="K1436" s="7"/>
      <c r="L1436" s="7"/>
      <c r="M1436" s="7"/>
      <c r="N1436" s="10"/>
      <c r="O1436" s="113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t="15.75" customHeight="1">
      <c r="A1437" s="10" t="s">
        <v>25</v>
      </c>
      <c r="B1437" s="7" t="s">
        <v>130</v>
      </c>
      <c r="C1437" s="135">
        <v>46262</v>
      </c>
      <c r="D1437" s="44" t="s">
        <v>418</v>
      </c>
      <c r="E1437" s="35" t="s">
        <v>780</v>
      </c>
      <c r="F1437" s="121">
        <v>3.22</v>
      </c>
      <c r="G1437" s="122">
        <f t="shared" si="50"/>
        <v>1</v>
      </c>
      <c r="H1437" s="123">
        <f>IF(AND(ISNUMBER(F1437), F1437&gt;4, COUNTIFS($A$2:A1437, A1437, $B$2:B1437, B1437, $C$2:C1437, C1437, $F$2:F1437, "&gt;4")=1), 1, 0)</f>
        <v>0</v>
      </c>
      <c r="I1437" s="10">
        <f t="shared" si="51"/>
        <v>0</v>
      </c>
      <c r="J1437" s="10"/>
      <c r="K1437" s="7"/>
      <c r="L1437" s="7"/>
      <c r="M1437" s="7"/>
      <c r="N1437" s="10"/>
      <c r="O1437" s="113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t="15.75" customHeight="1">
      <c r="A1438" s="10" t="s">
        <v>25</v>
      </c>
      <c r="B1438" s="7" t="s">
        <v>130</v>
      </c>
      <c r="C1438" s="135">
        <v>46244</v>
      </c>
      <c r="D1438" s="44" t="s">
        <v>267</v>
      </c>
      <c r="E1438" s="35" t="s">
        <v>479</v>
      </c>
      <c r="F1438" s="121">
        <v>8.02</v>
      </c>
      <c r="G1438" s="122">
        <f t="shared" si="50"/>
        <v>0</v>
      </c>
      <c r="H1438" s="123">
        <f>IF(AND(ISNUMBER(F1438), F1438&gt;4, COUNTIFS($A$2:A1438, A1438, $B$2:B1438, B1438, $C$2:C1438, C1438, $F$2:F1438, "&gt;4")=1), 1, 0)</f>
        <v>1</v>
      </c>
      <c r="I1438" s="10">
        <f t="shared" si="51"/>
        <v>1</v>
      </c>
      <c r="J1438" s="10"/>
      <c r="K1438" s="7"/>
      <c r="L1438" s="7"/>
      <c r="M1438" s="7"/>
      <c r="N1438" s="10"/>
      <c r="O1438" s="113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t="15.75" customHeight="1">
      <c r="A1439" s="10" t="s">
        <v>25</v>
      </c>
      <c r="B1439" s="7" t="s">
        <v>130</v>
      </c>
      <c r="C1439" s="135">
        <v>46245</v>
      </c>
      <c r="D1439" s="44" t="s">
        <v>267</v>
      </c>
      <c r="E1439" s="35" t="s">
        <v>348</v>
      </c>
      <c r="F1439" s="121">
        <v>7.95</v>
      </c>
      <c r="G1439" s="122">
        <f t="shared" si="50"/>
        <v>0</v>
      </c>
      <c r="H1439" s="123">
        <f>IF(AND(ISNUMBER(F1439), F1439&gt;4, COUNTIFS($A$2:A1439, A1439, $B$2:B1439, B1439, $C$2:C1439, C1439, $F$2:F1439, "&gt;4")=1), 1, 0)</f>
        <v>1</v>
      </c>
      <c r="I1439" s="10">
        <f t="shared" si="51"/>
        <v>1</v>
      </c>
      <c r="J1439" s="10"/>
      <c r="K1439" s="7"/>
      <c r="L1439" s="7"/>
      <c r="M1439" s="7"/>
      <c r="N1439" s="10"/>
      <c r="O1439" s="113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t="15.75" customHeight="1">
      <c r="A1440" s="10" t="s">
        <v>25</v>
      </c>
      <c r="B1440" s="7" t="s">
        <v>130</v>
      </c>
      <c r="C1440" s="135">
        <v>46246</v>
      </c>
      <c r="D1440" s="44" t="s">
        <v>267</v>
      </c>
      <c r="E1440" s="35" t="s">
        <v>480</v>
      </c>
      <c r="F1440" s="121">
        <v>7.97</v>
      </c>
      <c r="G1440" s="122">
        <f t="shared" si="50"/>
        <v>0</v>
      </c>
      <c r="H1440" s="123">
        <f>IF(AND(ISNUMBER(F1440), F1440&gt;4, COUNTIFS($A$2:A1440, A1440, $B$2:B1440, B1440, $C$2:C1440, C1440, $F$2:F1440, "&gt;4")=1), 1, 0)</f>
        <v>1</v>
      </c>
      <c r="I1440" s="10">
        <f t="shared" si="51"/>
        <v>1</v>
      </c>
      <c r="J1440" s="10"/>
      <c r="K1440" s="7"/>
      <c r="L1440" s="7"/>
      <c r="M1440" s="7"/>
      <c r="N1440" s="10"/>
      <c r="O1440" s="113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t="15.75" customHeight="1">
      <c r="A1441" s="10" t="s">
        <v>25</v>
      </c>
      <c r="B1441" s="7" t="s">
        <v>130</v>
      </c>
      <c r="C1441" s="135">
        <v>46247</v>
      </c>
      <c r="D1441" s="44" t="s">
        <v>267</v>
      </c>
      <c r="E1441" s="35" t="s">
        <v>288</v>
      </c>
      <c r="F1441" s="121">
        <v>8.0500000000000007</v>
      </c>
      <c r="G1441" s="122">
        <f t="shared" si="50"/>
        <v>0</v>
      </c>
      <c r="H1441" s="123">
        <f>IF(AND(ISNUMBER(F1441), F1441&gt;4, COUNTIFS($A$2:A1441, A1441, $B$2:B1441, B1441, $C$2:C1441, C1441, $F$2:F1441, "&gt;4")=1), 1, 0)</f>
        <v>1</v>
      </c>
      <c r="I1441" s="10">
        <f t="shared" si="51"/>
        <v>1</v>
      </c>
      <c r="J1441" s="10"/>
      <c r="K1441" s="7"/>
      <c r="L1441" s="7"/>
      <c r="M1441" s="7"/>
      <c r="N1441" s="10"/>
      <c r="O1441" s="113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t="15.75" customHeight="1">
      <c r="A1442" s="10" t="s">
        <v>25</v>
      </c>
      <c r="B1442" s="7" t="s">
        <v>127</v>
      </c>
      <c r="C1442" s="135">
        <v>46235</v>
      </c>
      <c r="D1442" s="44" t="s">
        <v>267</v>
      </c>
      <c r="E1442" s="35" t="s">
        <v>481</v>
      </c>
      <c r="F1442" s="121">
        <v>7.98</v>
      </c>
      <c r="G1442" s="122">
        <f t="shared" si="50"/>
        <v>0</v>
      </c>
      <c r="H1442" s="123">
        <f>IF(AND(ISNUMBER(F1442), F1442&gt;4, COUNTIFS($A$2:A1442, A1442, $B$2:B1442, B1442, $C$2:C1442, C1442, $F$2:F1442, "&gt;4")=1), 1, 0)</f>
        <v>1</v>
      </c>
      <c r="I1442" s="10">
        <f t="shared" si="51"/>
        <v>1</v>
      </c>
      <c r="J1442" s="10"/>
      <c r="K1442" s="7"/>
      <c r="L1442" s="7"/>
      <c r="M1442" s="7"/>
      <c r="N1442" s="10"/>
      <c r="O1442" s="113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t="15.75" customHeight="1">
      <c r="A1443" s="10" t="s">
        <v>25</v>
      </c>
      <c r="B1443" s="7" t="s">
        <v>127</v>
      </c>
      <c r="C1443" s="135">
        <v>46236</v>
      </c>
      <c r="D1443" s="44" t="s">
        <v>267</v>
      </c>
      <c r="E1443" s="35" t="s">
        <v>479</v>
      </c>
      <c r="F1443" s="121">
        <v>8.02</v>
      </c>
      <c r="G1443" s="122">
        <f t="shared" si="50"/>
        <v>0</v>
      </c>
      <c r="H1443" s="123">
        <f>IF(AND(ISNUMBER(F1443), F1443&gt;4, COUNTIFS($A$2:A1443, A1443, $B$2:B1443, B1443, $C$2:C1443, C1443, $F$2:F1443, "&gt;4")=1), 1, 0)</f>
        <v>1</v>
      </c>
      <c r="I1443" s="10">
        <f t="shared" si="51"/>
        <v>1</v>
      </c>
      <c r="J1443" s="10"/>
      <c r="K1443" s="7"/>
      <c r="L1443" s="7"/>
      <c r="M1443" s="7"/>
      <c r="N1443" s="10"/>
      <c r="O1443" s="113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t="15.75" customHeight="1">
      <c r="A1444" s="10" t="s">
        <v>25</v>
      </c>
      <c r="B1444" s="7" t="s">
        <v>127</v>
      </c>
      <c r="C1444" s="135">
        <v>46237</v>
      </c>
      <c r="D1444" s="44" t="s">
        <v>267</v>
      </c>
      <c r="E1444" s="35" t="s">
        <v>479</v>
      </c>
      <c r="F1444" s="121">
        <v>8.02</v>
      </c>
      <c r="G1444" s="122">
        <f t="shared" si="50"/>
        <v>0</v>
      </c>
      <c r="H1444" s="123">
        <f>IF(AND(ISNUMBER(F1444), F1444&gt;4, COUNTIFS($A$2:A1444, A1444, $B$2:B1444, B1444, $C$2:C1444, C1444, $F$2:F1444, "&gt;4")=1), 1, 0)</f>
        <v>1</v>
      </c>
      <c r="I1444" s="10">
        <f t="shared" si="51"/>
        <v>1</v>
      </c>
      <c r="J1444" s="10"/>
      <c r="K1444" s="7"/>
      <c r="L1444" s="7"/>
      <c r="M1444" s="7"/>
      <c r="N1444" s="10"/>
      <c r="O1444" s="113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t="15.75" customHeight="1">
      <c r="A1445" s="10" t="s">
        <v>25</v>
      </c>
      <c r="B1445" s="7" t="s">
        <v>127</v>
      </c>
      <c r="C1445" s="135">
        <v>46238</v>
      </c>
      <c r="D1445" s="44" t="s">
        <v>267</v>
      </c>
      <c r="E1445" s="35" t="s">
        <v>479</v>
      </c>
      <c r="F1445" s="121">
        <v>8.02</v>
      </c>
      <c r="G1445" s="122">
        <f t="shared" si="50"/>
        <v>0</v>
      </c>
      <c r="H1445" s="123">
        <f>IF(AND(ISNUMBER(F1445), F1445&gt;4, COUNTIFS($A$2:A1445, A1445, $B$2:B1445, B1445, $C$2:C1445, C1445, $F$2:F1445, "&gt;4")=1), 1, 0)</f>
        <v>1</v>
      </c>
      <c r="I1445" s="10">
        <f t="shared" si="51"/>
        <v>1</v>
      </c>
      <c r="J1445" s="10"/>
      <c r="K1445" s="7"/>
      <c r="L1445" s="7"/>
      <c r="M1445" s="7"/>
      <c r="N1445" s="10"/>
      <c r="O1445" s="113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t="15.75" customHeight="1">
      <c r="A1446" s="10" t="s">
        <v>25</v>
      </c>
      <c r="B1446" s="7" t="s">
        <v>127</v>
      </c>
      <c r="C1446" s="135">
        <v>46239</v>
      </c>
      <c r="D1446" s="44" t="s">
        <v>267</v>
      </c>
      <c r="E1446" s="35" t="s">
        <v>481</v>
      </c>
      <c r="F1446" s="121">
        <v>7.98</v>
      </c>
      <c r="G1446" s="122">
        <f t="shared" si="50"/>
        <v>0</v>
      </c>
      <c r="H1446" s="123">
        <f>IF(AND(ISNUMBER(F1446), F1446&gt;4, COUNTIFS($A$2:A1446, A1446, $B$2:B1446, B1446, $C$2:C1446, C1446, $F$2:F1446, "&gt;4")=1), 1, 0)</f>
        <v>1</v>
      </c>
      <c r="I1446" s="10">
        <f t="shared" si="51"/>
        <v>1</v>
      </c>
      <c r="J1446" s="10"/>
      <c r="K1446" s="7"/>
      <c r="L1446" s="7"/>
      <c r="M1446" s="7"/>
      <c r="N1446" s="10"/>
      <c r="O1446" s="113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t="15.75" customHeight="1">
      <c r="A1447" s="10" t="s">
        <v>25</v>
      </c>
      <c r="B1447" s="7" t="s">
        <v>127</v>
      </c>
      <c r="C1447" s="135">
        <v>46240</v>
      </c>
      <c r="D1447" s="44" t="s">
        <v>267</v>
      </c>
      <c r="E1447" s="35" t="s">
        <v>199</v>
      </c>
      <c r="F1447" s="121">
        <v>8</v>
      </c>
      <c r="G1447" s="122">
        <f t="shared" si="50"/>
        <v>0</v>
      </c>
      <c r="H1447" s="123">
        <f>IF(AND(ISNUMBER(F1447), F1447&gt;4, COUNTIFS($A$2:A1447, A1447, $B$2:B1447, B1447, $C$2:C1447, C1447, $F$2:F1447, "&gt;4")=1), 1, 0)</f>
        <v>1</v>
      </c>
      <c r="I1447" s="10">
        <f t="shared" si="51"/>
        <v>1</v>
      </c>
      <c r="J1447" s="10"/>
      <c r="K1447" s="7"/>
      <c r="L1447" s="7"/>
      <c r="M1447" s="7"/>
      <c r="N1447" s="10"/>
      <c r="O1447" s="113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t="15.75" customHeight="1">
      <c r="A1448" s="10" t="s">
        <v>25</v>
      </c>
      <c r="B1448" s="7" t="s">
        <v>127</v>
      </c>
      <c r="C1448" s="135">
        <v>46241</v>
      </c>
      <c r="D1448" s="44" t="s">
        <v>267</v>
      </c>
      <c r="E1448" s="35" t="s">
        <v>199</v>
      </c>
      <c r="F1448" s="121">
        <v>8</v>
      </c>
      <c r="G1448" s="122">
        <f t="shared" si="50"/>
        <v>0</v>
      </c>
      <c r="H1448" s="123">
        <f>IF(AND(ISNUMBER(F1448), F1448&gt;4, COUNTIFS($A$2:A1448, A1448, $B$2:B1448, B1448, $C$2:C1448, C1448, $F$2:F1448, "&gt;4")=1), 1, 0)</f>
        <v>1</v>
      </c>
      <c r="I1448" s="10">
        <f t="shared" si="51"/>
        <v>1</v>
      </c>
      <c r="J1448" s="10"/>
      <c r="K1448" s="7"/>
      <c r="L1448" s="7"/>
      <c r="M1448" s="7"/>
      <c r="N1448" s="10"/>
      <c r="O1448" s="113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t="15.75" customHeight="1">
      <c r="A1449" s="10" t="s">
        <v>25</v>
      </c>
      <c r="B1449" s="7" t="s">
        <v>127</v>
      </c>
      <c r="C1449" s="135">
        <v>46242</v>
      </c>
      <c r="D1449" s="44" t="s">
        <v>267</v>
      </c>
      <c r="E1449" s="35" t="s">
        <v>481</v>
      </c>
      <c r="F1449" s="121">
        <v>7.98</v>
      </c>
      <c r="G1449" s="122">
        <f t="shared" si="50"/>
        <v>0</v>
      </c>
      <c r="H1449" s="123">
        <f>IF(AND(ISNUMBER(F1449), F1449&gt;4, COUNTIFS($A$2:A1449, A1449, $B$2:B1449, B1449, $C$2:C1449, C1449, $F$2:F1449, "&gt;4")=1), 1, 0)</f>
        <v>1</v>
      </c>
      <c r="I1449" s="10">
        <f t="shared" si="51"/>
        <v>1</v>
      </c>
      <c r="J1449" s="10"/>
      <c r="K1449" s="7"/>
      <c r="L1449" s="7"/>
      <c r="M1449" s="7"/>
      <c r="N1449" s="10"/>
      <c r="O1449" s="113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t="15.75" customHeight="1">
      <c r="A1450" s="10" t="s">
        <v>25</v>
      </c>
      <c r="B1450" s="7" t="s">
        <v>127</v>
      </c>
      <c r="C1450" s="135">
        <v>46243</v>
      </c>
      <c r="D1450" s="44" t="s">
        <v>267</v>
      </c>
      <c r="E1450" s="35" t="s">
        <v>239</v>
      </c>
      <c r="F1450" s="121">
        <v>8.07</v>
      </c>
      <c r="G1450" s="122">
        <f t="shared" si="50"/>
        <v>0</v>
      </c>
      <c r="H1450" s="123">
        <f>IF(AND(ISNUMBER(F1450), F1450&gt;4, COUNTIFS($A$2:A1450, A1450, $B$2:B1450, B1450, $C$2:C1450, C1450, $F$2:F1450, "&gt;4")=1), 1, 0)</f>
        <v>1</v>
      </c>
      <c r="I1450" s="10">
        <f t="shared" si="51"/>
        <v>1</v>
      </c>
      <c r="J1450" s="10"/>
      <c r="K1450" s="7"/>
      <c r="L1450" s="7"/>
      <c r="M1450" s="7"/>
      <c r="N1450" s="10"/>
      <c r="O1450" s="113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t="15.75" customHeight="1">
      <c r="A1451" s="10" t="s">
        <v>25</v>
      </c>
      <c r="B1451" s="7" t="s">
        <v>127</v>
      </c>
      <c r="C1451" s="135">
        <v>46244</v>
      </c>
      <c r="D1451" s="44" t="s">
        <v>267</v>
      </c>
      <c r="E1451" s="35" t="s">
        <v>329</v>
      </c>
      <c r="F1451" s="121">
        <v>8.0299999999999994</v>
      </c>
      <c r="G1451" s="122">
        <f t="shared" si="50"/>
        <v>0</v>
      </c>
      <c r="H1451" s="123">
        <f>IF(AND(ISNUMBER(F1451), F1451&gt;4, COUNTIFS($A$2:A1451, A1451, $B$2:B1451, B1451, $C$2:C1451, C1451, $F$2:F1451, "&gt;4")=1), 1, 0)</f>
        <v>1</v>
      </c>
      <c r="I1451" s="10">
        <f t="shared" si="51"/>
        <v>1</v>
      </c>
      <c r="J1451" s="10"/>
      <c r="K1451" s="7"/>
      <c r="L1451" s="7"/>
      <c r="M1451" s="7"/>
      <c r="N1451" s="10"/>
      <c r="O1451" s="113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t="15.75" customHeight="1">
      <c r="A1452" s="10" t="s">
        <v>25</v>
      </c>
      <c r="B1452" s="7" t="s">
        <v>127</v>
      </c>
      <c r="C1452" s="135">
        <v>46245</v>
      </c>
      <c r="D1452" s="44" t="s">
        <v>267</v>
      </c>
      <c r="E1452" s="35" t="s">
        <v>480</v>
      </c>
      <c r="F1452" s="121">
        <v>7.97</v>
      </c>
      <c r="G1452" s="122">
        <f t="shared" si="50"/>
        <v>0</v>
      </c>
      <c r="H1452" s="123">
        <f>IF(AND(ISNUMBER(F1452), F1452&gt;4, COUNTIFS($A$2:A1452, A1452, $B$2:B1452, B1452, $C$2:C1452, C1452, $F$2:F1452, "&gt;4")=1), 1, 0)</f>
        <v>1</v>
      </c>
      <c r="I1452" s="10">
        <f t="shared" si="51"/>
        <v>1</v>
      </c>
      <c r="J1452" s="10"/>
      <c r="K1452" s="7"/>
      <c r="L1452" s="7"/>
      <c r="M1452" s="7"/>
      <c r="N1452" s="10"/>
      <c r="O1452" s="113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t="15.75" customHeight="1">
      <c r="A1453" s="10" t="s">
        <v>25</v>
      </c>
      <c r="B1453" s="7" t="s">
        <v>127</v>
      </c>
      <c r="C1453" s="135">
        <v>46246</v>
      </c>
      <c r="D1453" s="44" t="s">
        <v>267</v>
      </c>
      <c r="E1453" s="35" t="s">
        <v>239</v>
      </c>
      <c r="F1453" s="121">
        <v>8.07</v>
      </c>
      <c r="G1453" s="122">
        <f t="shared" si="50"/>
        <v>0</v>
      </c>
      <c r="H1453" s="123">
        <f>IF(AND(ISNUMBER(F1453), F1453&gt;4, COUNTIFS($A$2:A1453, A1453, $B$2:B1453, B1453, $C$2:C1453, C1453, $F$2:F1453, "&gt;4")=1), 1, 0)</f>
        <v>1</v>
      </c>
      <c r="I1453" s="10">
        <f t="shared" si="51"/>
        <v>1</v>
      </c>
      <c r="J1453" s="10"/>
      <c r="K1453" s="7"/>
      <c r="L1453" s="7"/>
      <c r="M1453" s="7"/>
      <c r="N1453" s="10"/>
      <c r="O1453" s="113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t="15.75" customHeight="1">
      <c r="A1454" s="10" t="s">
        <v>25</v>
      </c>
      <c r="B1454" s="7" t="s">
        <v>127</v>
      </c>
      <c r="C1454" s="135">
        <v>46247</v>
      </c>
      <c r="D1454" s="44" t="s">
        <v>267</v>
      </c>
      <c r="E1454" s="35" t="s">
        <v>481</v>
      </c>
      <c r="F1454" s="121">
        <v>7.98</v>
      </c>
      <c r="G1454" s="122">
        <f t="shared" si="50"/>
        <v>0</v>
      </c>
      <c r="H1454" s="123">
        <f>IF(AND(ISNUMBER(F1454), F1454&gt;4, COUNTIFS($A$2:A1454, A1454, $B$2:B1454, B1454, $C$2:C1454, C1454, $F$2:F1454, "&gt;4")=1), 1, 0)</f>
        <v>1</v>
      </c>
      <c r="I1454" s="10">
        <f t="shared" si="51"/>
        <v>1</v>
      </c>
      <c r="J1454" s="10"/>
      <c r="K1454" s="7"/>
      <c r="L1454" s="7"/>
      <c r="M1454" s="7"/>
      <c r="N1454" s="10"/>
      <c r="O1454" s="113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t="15.75" customHeight="1">
      <c r="A1455" s="10" t="s">
        <v>25</v>
      </c>
      <c r="B1455" s="7" t="s">
        <v>127</v>
      </c>
      <c r="C1455" s="135">
        <v>46248</v>
      </c>
      <c r="D1455" s="44" t="s">
        <v>267</v>
      </c>
      <c r="E1455" s="35" t="s">
        <v>479</v>
      </c>
      <c r="F1455" s="121">
        <v>8.02</v>
      </c>
      <c r="G1455" s="122">
        <f t="shared" si="50"/>
        <v>0</v>
      </c>
      <c r="H1455" s="123">
        <f>IF(AND(ISNUMBER(F1455), F1455&gt;4, COUNTIFS($A$2:A1455, A1455, $B$2:B1455, B1455, $C$2:C1455, C1455, $F$2:F1455, "&gt;4")=1), 1, 0)</f>
        <v>1</v>
      </c>
      <c r="I1455" s="10">
        <f t="shared" si="51"/>
        <v>1</v>
      </c>
      <c r="J1455" s="10"/>
      <c r="K1455" s="7"/>
      <c r="L1455" s="7"/>
      <c r="M1455" s="7"/>
      <c r="N1455" s="10"/>
      <c r="O1455" s="113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t="15.75" customHeight="1">
      <c r="A1456" s="10" t="s">
        <v>25</v>
      </c>
      <c r="B1456" s="7" t="s">
        <v>127</v>
      </c>
      <c r="C1456" s="135">
        <v>46249</v>
      </c>
      <c r="D1456" s="44" t="s">
        <v>267</v>
      </c>
      <c r="E1456" s="35" t="s">
        <v>481</v>
      </c>
      <c r="F1456" s="121">
        <v>7.98</v>
      </c>
      <c r="G1456" s="122">
        <f t="shared" si="50"/>
        <v>0</v>
      </c>
      <c r="H1456" s="123">
        <f>IF(AND(ISNUMBER(F1456), F1456&gt;4, COUNTIFS($A$2:A1456, A1456, $B$2:B1456, B1456, $C$2:C1456, C1456, $F$2:F1456, "&gt;4")=1), 1, 0)</f>
        <v>1</v>
      </c>
      <c r="I1456" s="10">
        <f t="shared" si="51"/>
        <v>1</v>
      </c>
      <c r="J1456" s="10"/>
      <c r="K1456" s="7"/>
      <c r="L1456" s="7"/>
      <c r="M1456" s="7"/>
      <c r="N1456" s="10"/>
      <c r="O1456" s="113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t="15.75" customHeight="1">
      <c r="A1457" s="10" t="s">
        <v>25</v>
      </c>
      <c r="B1457" s="7" t="s">
        <v>127</v>
      </c>
      <c r="C1457" s="135">
        <v>46250</v>
      </c>
      <c r="D1457" s="44" t="s">
        <v>267</v>
      </c>
      <c r="E1457" s="35" t="s">
        <v>481</v>
      </c>
      <c r="F1457" s="121">
        <v>7.98</v>
      </c>
      <c r="G1457" s="122">
        <f t="shared" si="50"/>
        <v>0</v>
      </c>
      <c r="H1457" s="123">
        <f>IF(AND(ISNUMBER(F1457), F1457&gt;4, COUNTIFS($A$2:A1457, A1457, $B$2:B1457, B1457, $C$2:C1457, C1457, $F$2:F1457, "&gt;4")=1), 1, 0)</f>
        <v>1</v>
      </c>
      <c r="I1457" s="10">
        <f t="shared" si="51"/>
        <v>1</v>
      </c>
      <c r="J1457" s="10"/>
      <c r="K1457" s="7"/>
      <c r="L1457" s="7"/>
      <c r="M1457" s="7"/>
      <c r="N1457" s="10"/>
      <c r="O1457" s="113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t="15.75" customHeight="1">
      <c r="A1458" s="10" t="s">
        <v>25</v>
      </c>
      <c r="B1458" s="7" t="s">
        <v>127</v>
      </c>
      <c r="C1458" s="135">
        <v>46251</v>
      </c>
      <c r="D1458" s="44" t="s">
        <v>267</v>
      </c>
      <c r="E1458" s="35" t="s">
        <v>199</v>
      </c>
      <c r="F1458" s="121">
        <v>8</v>
      </c>
      <c r="G1458" s="122">
        <f t="shared" si="50"/>
        <v>0</v>
      </c>
      <c r="H1458" s="123">
        <f>IF(AND(ISNUMBER(F1458), F1458&gt;4, COUNTIFS($A$2:A1458, A1458, $B$2:B1458, B1458, $C$2:C1458, C1458, $F$2:F1458, "&gt;4")=1), 1, 0)</f>
        <v>1</v>
      </c>
      <c r="I1458" s="10">
        <f t="shared" si="51"/>
        <v>1</v>
      </c>
      <c r="J1458" s="10"/>
      <c r="K1458" s="7"/>
      <c r="L1458" s="7"/>
      <c r="M1458" s="7"/>
      <c r="N1458" s="10"/>
      <c r="O1458" s="113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t="15.75" customHeight="1">
      <c r="A1459" s="10" t="s">
        <v>25</v>
      </c>
      <c r="B1459" s="7" t="s">
        <v>127</v>
      </c>
      <c r="C1459" s="135">
        <v>46252</v>
      </c>
      <c r="D1459" s="44" t="s">
        <v>267</v>
      </c>
      <c r="E1459" s="35" t="s">
        <v>199</v>
      </c>
      <c r="F1459" s="121">
        <v>8</v>
      </c>
      <c r="G1459" s="122">
        <f t="shared" si="50"/>
        <v>0</v>
      </c>
      <c r="H1459" s="123">
        <f>IF(AND(ISNUMBER(F1459), F1459&gt;4, COUNTIFS($A$2:A1459, A1459, $B$2:B1459, B1459, $C$2:C1459, C1459, $F$2:F1459, "&gt;4")=1), 1, 0)</f>
        <v>1</v>
      </c>
      <c r="I1459" s="10">
        <f t="shared" si="51"/>
        <v>1</v>
      </c>
      <c r="J1459" s="10"/>
      <c r="K1459" s="7"/>
      <c r="L1459" s="7"/>
      <c r="M1459" s="7"/>
      <c r="N1459" s="10"/>
      <c r="O1459" s="113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t="15.75" customHeight="1">
      <c r="A1460" s="10" t="s">
        <v>25</v>
      </c>
      <c r="B1460" s="7" t="s">
        <v>127</v>
      </c>
      <c r="C1460" s="135">
        <v>46253</v>
      </c>
      <c r="D1460" s="44" t="s">
        <v>267</v>
      </c>
      <c r="E1460" s="35" t="s">
        <v>479</v>
      </c>
      <c r="F1460" s="121">
        <v>8.02</v>
      </c>
      <c r="G1460" s="122">
        <f t="shared" si="50"/>
        <v>0</v>
      </c>
      <c r="H1460" s="123">
        <f>IF(AND(ISNUMBER(F1460), F1460&gt;4, COUNTIFS($A$2:A1460, A1460, $B$2:B1460, B1460, $C$2:C1460, C1460, $F$2:F1460, "&gt;4")=1), 1, 0)</f>
        <v>1</v>
      </c>
      <c r="I1460" s="10">
        <f t="shared" si="51"/>
        <v>1</v>
      </c>
      <c r="J1460" s="10"/>
      <c r="K1460" s="7"/>
      <c r="L1460" s="7"/>
      <c r="M1460" s="7"/>
      <c r="N1460" s="10"/>
      <c r="O1460" s="113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t="15.75" customHeight="1">
      <c r="A1461" s="10" t="s">
        <v>25</v>
      </c>
      <c r="B1461" s="7" t="s">
        <v>127</v>
      </c>
      <c r="C1461" s="135">
        <v>46254</v>
      </c>
      <c r="D1461" s="44" t="s">
        <v>267</v>
      </c>
      <c r="E1461" s="35" t="s">
        <v>199</v>
      </c>
      <c r="F1461" s="121">
        <v>8</v>
      </c>
      <c r="G1461" s="122">
        <f t="shared" si="50"/>
        <v>0</v>
      </c>
      <c r="H1461" s="123">
        <f>IF(AND(ISNUMBER(F1461), F1461&gt;4, COUNTIFS($A$2:A1461, A1461, $B$2:B1461, B1461, $C$2:C1461, C1461, $F$2:F1461, "&gt;4")=1), 1, 0)</f>
        <v>1</v>
      </c>
      <c r="I1461" s="10">
        <f t="shared" si="51"/>
        <v>1</v>
      </c>
      <c r="J1461" s="10"/>
      <c r="K1461" s="7"/>
      <c r="L1461" s="7"/>
      <c r="M1461" s="7"/>
      <c r="N1461" s="10"/>
      <c r="O1461" s="113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t="15.75" customHeight="1">
      <c r="A1462" s="10" t="s">
        <v>25</v>
      </c>
      <c r="B1462" s="7" t="s">
        <v>127</v>
      </c>
      <c r="C1462" s="135">
        <v>46255</v>
      </c>
      <c r="D1462" s="44" t="s">
        <v>267</v>
      </c>
      <c r="E1462" s="35" t="s">
        <v>480</v>
      </c>
      <c r="F1462" s="121">
        <v>7.97</v>
      </c>
      <c r="G1462" s="122">
        <f t="shared" si="50"/>
        <v>0</v>
      </c>
      <c r="H1462" s="123">
        <f>IF(AND(ISNUMBER(F1462), F1462&gt;4, COUNTIFS($A$2:A1462, A1462, $B$2:B1462, B1462, $C$2:C1462, C1462, $F$2:F1462, "&gt;4")=1), 1, 0)</f>
        <v>1</v>
      </c>
      <c r="I1462" s="10">
        <f t="shared" si="51"/>
        <v>1</v>
      </c>
      <c r="J1462" s="10"/>
      <c r="K1462" s="7"/>
      <c r="L1462" s="7"/>
      <c r="M1462" s="7"/>
      <c r="N1462" s="10"/>
      <c r="O1462" s="113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t="15.75" customHeight="1">
      <c r="A1463" s="10" t="s">
        <v>25</v>
      </c>
      <c r="B1463" s="7" t="s">
        <v>127</v>
      </c>
      <c r="C1463" s="135">
        <v>46256</v>
      </c>
      <c r="D1463" s="44" t="s">
        <v>267</v>
      </c>
      <c r="E1463" s="35" t="s">
        <v>348</v>
      </c>
      <c r="F1463" s="121">
        <v>7.95</v>
      </c>
      <c r="G1463" s="122">
        <f t="shared" si="50"/>
        <v>0</v>
      </c>
      <c r="H1463" s="123">
        <f>IF(AND(ISNUMBER(F1463), F1463&gt;4, COUNTIFS($A$2:A1463, A1463, $B$2:B1463, B1463, $C$2:C1463, C1463, $F$2:F1463, "&gt;4")=1), 1, 0)</f>
        <v>1</v>
      </c>
      <c r="I1463" s="10">
        <f t="shared" si="51"/>
        <v>1</v>
      </c>
      <c r="J1463" s="10"/>
      <c r="K1463" s="7"/>
      <c r="L1463" s="7"/>
      <c r="M1463" s="7"/>
      <c r="N1463" s="10"/>
      <c r="O1463" s="113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t="15.75" customHeight="1">
      <c r="A1464" s="10" t="s">
        <v>25</v>
      </c>
      <c r="B1464" s="7" t="s">
        <v>127</v>
      </c>
      <c r="C1464" s="135">
        <v>46257</v>
      </c>
      <c r="D1464" s="44" t="s">
        <v>267</v>
      </c>
      <c r="E1464" s="35" t="s">
        <v>663</v>
      </c>
      <c r="F1464" s="121">
        <v>7.53</v>
      </c>
      <c r="G1464" s="122">
        <f t="shared" si="50"/>
        <v>0</v>
      </c>
      <c r="H1464" s="123">
        <f>IF(AND(ISNUMBER(F1464), F1464&gt;4, COUNTIFS($A$2:A1464, A1464, $B$2:B1464, B1464, $C$2:C1464, C1464, $F$2:F1464, "&gt;4")=1), 1, 0)</f>
        <v>1</v>
      </c>
      <c r="I1464" s="10">
        <f t="shared" si="51"/>
        <v>1</v>
      </c>
      <c r="J1464" s="10"/>
      <c r="K1464" s="7"/>
      <c r="L1464" s="7"/>
      <c r="M1464" s="7"/>
      <c r="N1464" s="10"/>
      <c r="O1464" s="113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t="15.75" customHeight="1">
      <c r="A1465" s="10" t="s">
        <v>25</v>
      </c>
      <c r="B1465" s="7" t="s">
        <v>127</v>
      </c>
      <c r="C1465" s="135">
        <v>46258</v>
      </c>
      <c r="D1465" s="44" t="s">
        <v>267</v>
      </c>
      <c r="E1465" s="35" t="s">
        <v>288</v>
      </c>
      <c r="F1465" s="121">
        <v>8.0500000000000007</v>
      </c>
      <c r="G1465" s="122">
        <f t="shared" si="50"/>
        <v>0</v>
      </c>
      <c r="H1465" s="123">
        <f>IF(AND(ISNUMBER(F1465), F1465&gt;4, COUNTIFS($A$2:A1465, A1465, $B$2:B1465, B1465, $C$2:C1465, C1465, $F$2:F1465, "&gt;4")=1), 1, 0)</f>
        <v>1</v>
      </c>
      <c r="I1465" s="10">
        <f t="shared" si="51"/>
        <v>1</v>
      </c>
      <c r="J1465" s="10"/>
      <c r="K1465" s="7"/>
      <c r="L1465" s="7"/>
      <c r="M1465" s="7"/>
      <c r="N1465" s="10"/>
      <c r="O1465" s="113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t="15.75" customHeight="1">
      <c r="A1466" s="10" t="s">
        <v>25</v>
      </c>
      <c r="B1466" s="7" t="s">
        <v>127</v>
      </c>
      <c r="C1466" s="135">
        <v>46259</v>
      </c>
      <c r="D1466" s="44" t="s">
        <v>267</v>
      </c>
      <c r="E1466" s="35" t="s">
        <v>288</v>
      </c>
      <c r="F1466" s="121">
        <v>8.0500000000000007</v>
      </c>
      <c r="G1466" s="122">
        <f t="shared" si="50"/>
        <v>0</v>
      </c>
      <c r="H1466" s="123">
        <f>IF(AND(ISNUMBER(F1466), F1466&gt;4, COUNTIFS($A$2:A1466, A1466, $B$2:B1466, B1466, $C$2:C1466, C1466, $F$2:F1466, "&gt;4")=1), 1, 0)</f>
        <v>1</v>
      </c>
      <c r="I1466" s="10">
        <f t="shared" si="51"/>
        <v>1</v>
      </c>
      <c r="J1466" s="10"/>
      <c r="K1466" s="7"/>
      <c r="L1466" s="7"/>
      <c r="M1466" s="7"/>
      <c r="N1466" s="10"/>
      <c r="O1466" s="113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t="15.75" customHeight="1">
      <c r="A1467" s="10" t="s">
        <v>25</v>
      </c>
      <c r="B1467" s="7" t="s">
        <v>127</v>
      </c>
      <c r="C1467" s="135">
        <v>46260</v>
      </c>
      <c r="D1467" s="44" t="s">
        <v>267</v>
      </c>
      <c r="E1467" s="35" t="s">
        <v>329</v>
      </c>
      <c r="F1467" s="121">
        <v>8.0299999999999994</v>
      </c>
      <c r="G1467" s="122">
        <f t="shared" si="50"/>
        <v>0</v>
      </c>
      <c r="H1467" s="123">
        <f>IF(AND(ISNUMBER(F1467), F1467&gt;4, COUNTIFS($A$2:A1467, A1467, $B$2:B1467, B1467, $C$2:C1467, C1467, $F$2:F1467, "&gt;4")=1), 1, 0)</f>
        <v>1</v>
      </c>
      <c r="I1467" s="10">
        <f t="shared" si="51"/>
        <v>1</v>
      </c>
      <c r="J1467" s="10"/>
      <c r="K1467" s="7"/>
      <c r="L1467" s="7"/>
      <c r="M1467" s="7"/>
      <c r="N1467" s="10"/>
      <c r="O1467" s="113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t="15.75" customHeight="1">
      <c r="A1468" s="10" t="s">
        <v>25</v>
      </c>
      <c r="B1468" s="7" t="s">
        <v>127</v>
      </c>
      <c r="C1468" s="135">
        <v>46261</v>
      </c>
      <c r="D1468" s="44" t="s">
        <v>267</v>
      </c>
      <c r="E1468" s="35" t="s">
        <v>214</v>
      </c>
      <c r="F1468" s="121">
        <v>8.08</v>
      </c>
      <c r="G1468" s="122">
        <f t="shared" si="50"/>
        <v>0</v>
      </c>
      <c r="H1468" s="123">
        <f>IF(AND(ISNUMBER(F1468), F1468&gt;4, COUNTIFS($A$2:A1468, A1468, $B$2:B1468, B1468, $C$2:C1468, C1468, $F$2:F1468, "&gt;4")=1), 1, 0)</f>
        <v>1</v>
      </c>
      <c r="I1468" s="10">
        <f t="shared" si="51"/>
        <v>1</v>
      </c>
      <c r="J1468" s="10"/>
      <c r="K1468" s="7"/>
      <c r="L1468" s="7"/>
      <c r="M1468" s="7"/>
      <c r="N1468" s="10"/>
      <c r="O1468" s="113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t="15.75" customHeight="1">
      <c r="A1469" s="10" t="s">
        <v>25</v>
      </c>
      <c r="B1469" s="7" t="s">
        <v>127</v>
      </c>
      <c r="C1469" s="135">
        <v>46262</v>
      </c>
      <c r="D1469" s="44" t="s">
        <v>267</v>
      </c>
      <c r="E1469" s="35" t="s">
        <v>479</v>
      </c>
      <c r="F1469" s="121">
        <v>8.02</v>
      </c>
      <c r="G1469" s="122">
        <f t="shared" si="50"/>
        <v>0</v>
      </c>
      <c r="H1469" s="123">
        <f>IF(AND(ISNUMBER(F1469), F1469&gt;4, COUNTIFS($A$2:A1469, A1469, $B$2:B1469, B1469, $C$2:C1469, C1469, $F$2:F1469, "&gt;4")=1), 1, 0)</f>
        <v>1</v>
      </c>
      <c r="I1469" s="10">
        <f t="shared" si="51"/>
        <v>1</v>
      </c>
      <c r="J1469" s="10"/>
      <c r="K1469" s="7"/>
      <c r="L1469" s="7"/>
      <c r="M1469" s="7"/>
      <c r="N1469" s="10"/>
      <c r="O1469" s="113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t="15.75" customHeight="1">
      <c r="A1470" s="10" t="s">
        <v>25</v>
      </c>
      <c r="B1470" s="7" t="s">
        <v>127</v>
      </c>
      <c r="C1470" s="135">
        <v>46263</v>
      </c>
      <c r="D1470" s="44" t="s">
        <v>267</v>
      </c>
      <c r="E1470" s="35" t="s">
        <v>481</v>
      </c>
      <c r="F1470" s="121">
        <v>7.98</v>
      </c>
      <c r="G1470" s="122">
        <f t="shared" si="50"/>
        <v>0</v>
      </c>
      <c r="H1470" s="123">
        <f>IF(AND(ISNUMBER(F1470), F1470&gt;4, COUNTIFS($A$2:A1470, A1470, $B$2:B1470, B1470, $C$2:C1470, C1470, $F$2:F1470, "&gt;4")=1), 1, 0)</f>
        <v>1</v>
      </c>
      <c r="I1470" s="10">
        <f t="shared" si="51"/>
        <v>1</v>
      </c>
      <c r="J1470" s="10"/>
      <c r="K1470" s="7"/>
      <c r="L1470" s="7"/>
      <c r="M1470" s="7"/>
      <c r="N1470" s="10"/>
      <c r="O1470" s="113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t="15.75" customHeight="1">
      <c r="A1471" s="10" t="s">
        <v>25</v>
      </c>
      <c r="B1471" s="7" t="s">
        <v>127</v>
      </c>
      <c r="C1471" s="135">
        <v>46264</v>
      </c>
      <c r="D1471" s="44" t="s">
        <v>267</v>
      </c>
      <c r="E1471" s="35" t="s">
        <v>480</v>
      </c>
      <c r="F1471" s="121">
        <v>7.97</v>
      </c>
      <c r="G1471" s="122">
        <f t="shared" si="50"/>
        <v>0</v>
      </c>
      <c r="H1471" s="123">
        <f>IF(AND(ISNUMBER(F1471), F1471&gt;4, COUNTIFS($A$2:A1471, A1471, $B$2:B1471, B1471, $C$2:C1471, C1471, $F$2:F1471, "&gt;4")=1), 1, 0)</f>
        <v>1</v>
      </c>
      <c r="I1471" s="10">
        <f t="shared" si="51"/>
        <v>1</v>
      </c>
      <c r="J1471" s="10"/>
      <c r="K1471" s="7"/>
      <c r="L1471" s="7"/>
      <c r="M1471" s="7"/>
      <c r="N1471" s="10"/>
      <c r="O1471" s="113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t="15.75" customHeight="1">
      <c r="A1472" s="10" t="s">
        <v>25</v>
      </c>
      <c r="B1472" s="7" t="s">
        <v>127</v>
      </c>
      <c r="C1472" s="135">
        <v>46265</v>
      </c>
      <c r="D1472" s="44" t="s">
        <v>267</v>
      </c>
      <c r="E1472" s="35" t="s">
        <v>479</v>
      </c>
      <c r="F1472" s="121">
        <v>8.02</v>
      </c>
      <c r="G1472" s="122">
        <f t="shared" si="50"/>
        <v>0</v>
      </c>
      <c r="H1472" s="123">
        <f>IF(AND(ISNUMBER(F1472), F1472&gt;4, COUNTIFS($A$2:A1472, A1472, $B$2:B1472, B1472, $C$2:C1472, C1472, $F$2:F1472, "&gt;4")=1), 1, 0)</f>
        <v>1</v>
      </c>
      <c r="I1472" s="10">
        <f t="shared" si="51"/>
        <v>1</v>
      </c>
      <c r="J1472" s="10"/>
      <c r="K1472" s="7"/>
      <c r="L1472" s="7"/>
      <c r="M1472" s="7"/>
      <c r="N1472" s="10"/>
      <c r="O1472" s="113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t="15.75" customHeight="1">
      <c r="A1473" s="10" t="s">
        <v>25</v>
      </c>
      <c r="B1473" s="7" t="s">
        <v>129</v>
      </c>
      <c r="C1473" s="135">
        <v>46235</v>
      </c>
      <c r="D1473" s="44" t="s">
        <v>245</v>
      </c>
      <c r="E1473" s="35" t="s">
        <v>645</v>
      </c>
      <c r="F1473" s="121">
        <v>9</v>
      </c>
      <c r="G1473" s="122">
        <f t="shared" si="50"/>
        <v>0</v>
      </c>
      <c r="H1473" s="123">
        <f>IF(AND(ISNUMBER(F1473), F1473&gt;4, COUNTIFS($A$2:A1473, A1473, $B$2:B1473, B1473, $C$2:C1473, C1473, $F$2:F1473, "&gt;4")=1), 1, 0)</f>
        <v>1</v>
      </c>
      <c r="I1473" s="10">
        <f t="shared" si="51"/>
        <v>0</v>
      </c>
      <c r="J1473" s="10"/>
      <c r="K1473" s="7"/>
      <c r="L1473" s="7"/>
      <c r="M1473" s="7"/>
      <c r="N1473" s="10"/>
      <c r="O1473" s="113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t="15.75" customHeight="1">
      <c r="A1474" s="10" t="s">
        <v>25</v>
      </c>
      <c r="B1474" s="7" t="s">
        <v>129</v>
      </c>
      <c r="C1474" s="135">
        <v>46236</v>
      </c>
      <c r="D1474" s="44" t="s">
        <v>245</v>
      </c>
      <c r="E1474" s="35" t="s">
        <v>645</v>
      </c>
      <c r="F1474" s="121">
        <v>9</v>
      </c>
      <c r="G1474" s="122">
        <f t="shared" ref="G1474:G1537" si="52">IF(AND(ISNUMBER(F1474), F1474&lt;=4), 1, 0)</f>
        <v>0</v>
      </c>
      <c r="H1474" s="123">
        <f>IF(AND(ISNUMBER(F1474), F1474&gt;4, COUNTIFS($A$2:A1474, A1474, $B$2:B1474, B1474, $C$2:C1474, C1474, $F$2:F1474, "&gt;4")=1), 1, 0)</f>
        <v>1</v>
      </c>
      <c r="I1474" s="10">
        <f t="shared" ref="I1474:I1537" si="53">IF(AND(ISNUMBER(F1474), F1474&gt;4, ISNUMBER(SEARCH("đêm", D1474))), 1, 0)</f>
        <v>0</v>
      </c>
      <c r="J1474" s="10"/>
      <c r="K1474" s="7"/>
      <c r="L1474" s="7"/>
      <c r="M1474" s="7"/>
      <c r="N1474" s="10"/>
      <c r="O1474" s="113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t="15.75" customHeight="1">
      <c r="A1475" s="10" t="s">
        <v>25</v>
      </c>
      <c r="B1475" s="7" t="s">
        <v>129</v>
      </c>
      <c r="C1475" s="135">
        <v>46238</v>
      </c>
      <c r="D1475" s="44" t="s">
        <v>245</v>
      </c>
      <c r="E1475" s="35" t="s">
        <v>645</v>
      </c>
      <c r="F1475" s="121">
        <v>9</v>
      </c>
      <c r="G1475" s="122">
        <f t="shared" si="52"/>
        <v>0</v>
      </c>
      <c r="H1475" s="123">
        <f>IF(AND(ISNUMBER(F1475), F1475&gt;4, COUNTIFS($A$2:A1475, A1475, $B$2:B1475, B1475, $C$2:C1475, C1475, $F$2:F1475, "&gt;4")=1), 1, 0)</f>
        <v>1</v>
      </c>
      <c r="I1475" s="10">
        <f t="shared" si="53"/>
        <v>0</v>
      </c>
      <c r="J1475" s="10"/>
      <c r="K1475" s="7"/>
      <c r="L1475" s="7"/>
      <c r="M1475" s="7"/>
      <c r="N1475" s="10"/>
      <c r="O1475" s="113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t="15.75" customHeight="1">
      <c r="A1476" s="10" t="s">
        <v>25</v>
      </c>
      <c r="B1476" s="7" t="s">
        <v>129</v>
      </c>
      <c r="C1476" s="135">
        <v>46239</v>
      </c>
      <c r="D1476" s="44" t="s">
        <v>245</v>
      </c>
      <c r="E1476" s="35" t="s">
        <v>737</v>
      </c>
      <c r="F1476" s="121">
        <v>9.33</v>
      </c>
      <c r="G1476" s="122">
        <f t="shared" si="52"/>
        <v>0</v>
      </c>
      <c r="H1476" s="123">
        <f>IF(AND(ISNUMBER(F1476), F1476&gt;4, COUNTIFS($A$2:A1476, A1476, $B$2:B1476, B1476, $C$2:C1476, C1476, $F$2:F1476, "&gt;4")=1), 1, 0)</f>
        <v>1</v>
      </c>
      <c r="I1476" s="10">
        <f t="shared" si="53"/>
        <v>0</v>
      </c>
      <c r="J1476" s="10"/>
      <c r="K1476" s="7"/>
      <c r="L1476" s="7"/>
      <c r="M1476" s="7"/>
      <c r="N1476" s="10"/>
      <c r="O1476" s="113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t="15.75" customHeight="1">
      <c r="A1477" s="10" t="s">
        <v>25</v>
      </c>
      <c r="B1477" s="7" t="s">
        <v>129</v>
      </c>
      <c r="C1477" s="135">
        <v>46240</v>
      </c>
      <c r="D1477" s="44" t="s">
        <v>245</v>
      </c>
      <c r="E1477" s="35" t="s">
        <v>737</v>
      </c>
      <c r="F1477" s="121">
        <v>9.33</v>
      </c>
      <c r="G1477" s="122">
        <f t="shared" si="52"/>
        <v>0</v>
      </c>
      <c r="H1477" s="123">
        <f>IF(AND(ISNUMBER(F1477), F1477&gt;4, COUNTIFS($A$2:A1477, A1477, $B$2:B1477, B1477, $C$2:C1477, C1477, $F$2:F1477, "&gt;4")=1), 1, 0)</f>
        <v>1</v>
      </c>
      <c r="I1477" s="10">
        <f t="shared" si="53"/>
        <v>0</v>
      </c>
      <c r="J1477" s="10"/>
      <c r="K1477" s="7"/>
      <c r="L1477" s="7"/>
      <c r="M1477" s="7"/>
      <c r="N1477" s="10"/>
      <c r="O1477" s="113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t="15.75" customHeight="1">
      <c r="A1478" s="10" t="s">
        <v>25</v>
      </c>
      <c r="B1478" s="7" t="s">
        <v>129</v>
      </c>
      <c r="C1478" s="135">
        <v>46244</v>
      </c>
      <c r="D1478" s="44" t="s">
        <v>245</v>
      </c>
      <c r="E1478" s="35" t="s">
        <v>521</v>
      </c>
      <c r="F1478" s="121">
        <v>9.43</v>
      </c>
      <c r="G1478" s="122">
        <f t="shared" si="52"/>
        <v>0</v>
      </c>
      <c r="H1478" s="123">
        <f>IF(AND(ISNUMBER(F1478), F1478&gt;4, COUNTIFS($A$2:A1478, A1478, $B$2:B1478, B1478, $C$2:C1478, C1478, $F$2:F1478, "&gt;4")=1), 1, 0)</f>
        <v>1</v>
      </c>
      <c r="I1478" s="10">
        <f t="shared" si="53"/>
        <v>0</v>
      </c>
      <c r="J1478" s="10"/>
      <c r="K1478" s="7"/>
      <c r="L1478" s="7"/>
      <c r="M1478" s="7"/>
      <c r="N1478" s="10"/>
      <c r="O1478" s="113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t="15.75" customHeight="1">
      <c r="A1479" s="10" t="s">
        <v>25</v>
      </c>
      <c r="B1479" s="7" t="s">
        <v>129</v>
      </c>
      <c r="C1479" s="135">
        <v>46245</v>
      </c>
      <c r="D1479" s="44" t="s">
        <v>245</v>
      </c>
      <c r="E1479" s="35" t="s">
        <v>511</v>
      </c>
      <c r="F1479" s="121">
        <v>8.1300000000000008</v>
      </c>
      <c r="G1479" s="122">
        <f t="shared" si="52"/>
        <v>0</v>
      </c>
      <c r="H1479" s="123">
        <f>IF(AND(ISNUMBER(F1479), F1479&gt;4, COUNTIFS($A$2:A1479, A1479, $B$2:B1479, B1479, $C$2:C1479, C1479, $F$2:F1479, "&gt;4")=1), 1, 0)</f>
        <v>1</v>
      </c>
      <c r="I1479" s="10">
        <f t="shared" si="53"/>
        <v>0</v>
      </c>
      <c r="J1479" s="10"/>
      <c r="K1479" s="7"/>
      <c r="L1479" s="7"/>
      <c r="M1479" s="7"/>
      <c r="N1479" s="10"/>
      <c r="O1479" s="113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t="15.75" customHeight="1">
      <c r="A1480" s="10" t="s">
        <v>25</v>
      </c>
      <c r="B1480" s="7" t="s">
        <v>129</v>
      </c>
      <c r="C1480" s="135">
        <v>46246</v>
      </c>
      <c r="D1480" s="44" t="s">
        <v>245</v>
      </c>
      <c r="E1480" s="35" t="s">
        <v>310</v>
      </c>
      <c r="F1480" s="121">
        <v>8.3000000000000007</v>
      </c>
      <c r="G1480" s="122">
        <f t="shared" si="52"/>
        <v>0</v>
      </c>
      <c r="H1480" s="123">
        <f>IF(AND(ISNUMBER(F1480), F1480&gt;4, COUNTIFS($A$2:A1480, A1480, $B$2:B1480, B1480, $C$2:C1480, C1480, $F$2:F1480, "&gt;4")=1), 1, 0)</f>
        <v>1</v>
      </c>
      <c r="I1480" s="10">
        <f t="shared" si="53"/>
        <v>0</v>
      </c>
      <c r="J1480" s="10"/>
      <c r="K1480" s="7"/>
      <c r="L1480" s="7"/>
      <c r="M1480" s="7"/>
      <c r="N1480" s="10"/>
      <c r="O1480" s="113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t="15.75" customHeight="1">
      <c r="A1481" s="10" t="s">
        <v>25</v>
      </c>
      <c r="B1481" s="7" t="s">
        <v>129</v>
      </c>
      <c r="C1481" s="135">
        <v>46247</v>
      </c>
      <c r="D1481" s="44" t="s">
        <v>245</v>
      </c>
      <c r="E1481" s="35" t="s">
        <v>329</v>
      </c>
      <c r="F1481" s="121">
        <v>8.0299999999999994</v>
      </c>
      <c r="G1481" s="122">
        <f t="shared" si="52"/>
        <v>0</v>
      </c>
      <c r="H1481" s="123">
        <f>IF(AND(ISNUMBER(F1481), F1481&gt;4, COUNTIFS($A$2:A1481, A1481, $B$2:B1481, B1481, $C$2:C1481, C1481, $F$2:F1481, "&gt;4")=1), 1, 0)</f>
        <v>1</v>
      </c>
      <c r="I1481" s="10">
        <f t="shared" si="53"/>
        <v>0</v>
      </c>
      <c r="J1481" s="10"/>
      <c r="K1481" s="7"/>
      <c r="L1481" s="7"/>
      <c r="M1481" s="7"/>
      <c r="N1481" s="10"/>
      <c r="O1481" s="113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t="15.75" customHeight="1">
      <c r="A1482" s="10" t="s">
        <v>25</v>
      </c>
      <c r="B1482" s="7" t="s">
        <v>129</v>
      </c>
      <c r="C1482" s="135">
        <v>46256</v>
      </c>
      <c r="D1482" s="44" t="s">
        <v>245</v>
      </c>
      <c r="E1482" s="35" t="s">
        <v>310</v>
      </c>
      <c r="F1482" s="121">
        <v>8.3000000000000007</v>
      </c>
      <c r="G1482" s="122">
        <f t="shared" si="52"/>
        <v>0</v>
      </c>
      <c r="H1482" s="123">
        <f>IF(AND(ISNUMBER(F1482), F1482&gt;4, COUNTIFS($A$2:A1482, A1482, $B$2:B1482, B1482, $C$2:C1482, C1482, $F$2:F1482, "&gt;4")=1), 1, 0)</f>
        <v>1</v>
      </c>
      <c r="I1482" s="10">
        <f t="shared" si="53"/>
        <v>0</v>
      </c>
      <c r="J1482" s="10"/>
      <c r="K1482" s="7"/>
      <c r="L1482" s="7"/>
      <c r="M1482" s="7"/>
      <c r="N1482" s="10"/>
      <c r="O1482" s="113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t="15.75" customHeight="1">
      <c r="A1483" s="10" t="s">
        <v>25</v>
      </c>
      <c r="B1483" s="7" t="s">
        <v>129</v>
      </c>
      <c r="C1483" s="135">
        <v>46249</v>
      </c>
      <c r="D1483" s="44" t="s">
        <v>193</v>
      </c>
      <c r="E1483" s="35" t="s">
        <v>502</v>
      </c>
      <c r="F1483" s="121">
        <v>8.17</v>
      </c>
      <c r="G1483" s="122">
        <f t="shared" si="52"/>
        <v>0</v>
      </c>
      <c r="H1483" s="123">
        <f>IF(AND(ISNUMBER(F1483), F1483&gt;4, COUNTIFS($A$2:A1483, A1483, $B$2:B1483, B1483, $C$2:C1483, C1483, $F$2:F1483, "&gt;4")=1), 1, 0)</f>
        <v>1</v>
      </c>
      <c r="I1483" s="10">
        <f t="shared" si="53"/>
        <v>0</v>
      </c>
      <c r="J1483" s="10"/>
      <c r="K1483" s="7"/>
      <c r="L1483" s="7"/>
      <c r="M1483" s="7"/>
      <c r="N1483" s="10"/>
      <c r="O1483" s="113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t="15.75" customHeight="1">
      <c r="A1484" s="10" t="s">
        <v>25</v>
      </c>
      <c r="B1484" s="7" t="s">
        <v>129</v>
      </c>
      <c r="C1484" s="135">
        <v>46258</v>
      </c>
      <c r="D1484" s="44" t="s">
        <v>193</v>
      </c>
      <c r="E1484" s="35" t="s">
        <v>214</v>
      </c>
      <c r="F1484" s="121">
        <v>8.08</v>
      </c>
      <c r="G1484" s="122">
        <f t="shared" si="52"/>
        <v>0</v>
      </c>
      <c r="H1484" s="123">
        <f>IF(AND(ISNUMBER(F1484), F1484&gt;4, COUNTIFS($A$2:A1484, A1484, $B$2:B1484, B1484, $C$2:C1484, C1484, $F$2:F1484, "&gt;4")=1), 1, 0)</f>
        <v>1</v>
      </c>
      <c r="I1484" s="10">
        <f t="shared" si="53"/>
        <v>0</v>
      </c>
      <c r="J1484" s="10"/>
      <c r="K1484" s="7"/>
      <c r="L1484" s="7"/>
      <c r="M1484" s="7"/>
      <c r="N1484" s="10"/>
      <c r="O1484" s="113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t="15.75" customHeight="1">
      <c r="A1485" s="10" t="s">
        <v>25</v>
      </c>
      <c r="B1485" s="7" t="s">
        <v>129</v>
      </c>
      <c r="C1485" s="135">
        <v>46265</v>
      </c>
      <c r="D1485" s="44" t="s">
        <v>193</v>
      </c>
      <c r="E1485" s="35" t="s">
        <v>214</v>
      </c>
      <c r="F1485" s="121">
        <v>8.08</v>
      </c>
      <c r="G1485" s="122">
        <f t="shared" si="52"/>
        <v>0</v>
      </c>
      <c r="H1485" s="123">
        <f>IF(AND(ISNUMBER(F1485), F1485&gt;4, COUNTIFS($A$2:A1485, A1485, $B$2:B1485, B1485, $C$2:C1485, C1485, $F$2:F1485, "&gt;4")=1), 1, 0)</f>
        <v>1</v>
      </c>
      <c r="I1485" s="10">
        <f t="shared" si="53"/>
        <v>0</v>
      </c>
      <c r="J1485" s="10"/>
      <c r="K1485" s="7"/>
      <c r="L1485" s="7"/>
      <c r="M1485" s="7"/>
      <c r="N1485" s="10"/>
      <c r="O1485" s="113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t="15.75" customHeight="1">
      <c r="A1486" s="10" t="s">
        <v>25</v>
      </c>
      <c r="B1486" s="7" t="s">
        <v>129</v>
      </c>
      <c r="C1486" s="135">
        <v>46235</v>
      </c>
      <c r="D1486" s="44" t="s">
        <v>267</v>
      </c>
      <c r="E1486" s="35" t="s">
        <v>214</v>
      </c>
      <c r="F1486" s="121">
        <v>8.08</v>
      </c>
      <c r="G1486" s="122">
        <f t="shared" si="52"/>
        <v>0</v>
      </c>
      <c r="H1486" s="123">
        <f>IF(AND(ISNUMBER(F1486), F1486&gt;4, COUNTIFS($A$2:A1486, A1486, $B$2:B1486, B1486, $C$2:C1486, C1486, $F$2:F1486, "&gt;4")=1), 1, 0)</f>
        <v>0</v>
      </c>
      <c r="I1486" s="10">
        <f t="shared" si="53"/>
        <v>1</v>
      </c>
      <c r="J1486" s="10"/>
      <c r="K1486" s="7"/>
      <c r="L1486" s="7"/>
      <c r="M1486" s="7"/>
      <c r="N1486" s="10"/>
      <c r="O1486" s="113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t="15.75" customHeight="1">
      <c r="A1487" s="10" t="s">
        <v>25</v>
      </c>
      <c r="B1487" s="7" t="s">
        <v>129</v>
      </c>
      <c r="C1487" s="135">
        <v>46236</v>
      </c>
      <c r="D1487" s="44" t="s">
        <v>267</v>
      </c>
      <c r="E1487" s="35" t="s">
        <v>214</v>
      </c>
      <c r="F1487" s="121">
        <v>8.08</v>
      </c>
      <c r="G1487" s="122">
        <f t="shared" si="52"/>
        <v>0</v>
      </c>
      <c r="H1487" s="123">
        <f>IF(AND(ISNUMBER(F1487), F1487&gt;4, COUNTIFS($A$2:A1487, A1487, $B$2:B1487, B1487, $C$2:C1487, C1487, $F$2:F1487, "&gt;4")=1), 1, 0)</f>
        <v>0</v>
      </c>
      <c r="I1487" s="10">
        <f t="shared" si="53"/>
        <v>1</v>
      </c>
      <c r="J1487" s="10"/>
      <c r="K1487" s="7"/>
      <c r="L1487" s="7"/>
      <c r="M1487" s="7"/>
      <c r="N1487" s="10"/>
      <c r="O1487" s="113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t="15.75" customHeight="1">
      <c r="A1488" s="10" t="s">
        <v>25</v>
      </c>
      <c r="B1488" s="7" t="s">
        <v>129</v>
      </c>
      <c r="C1488" s="135">
        <v>46237</v>
      </c>
      <c r="D1488" s="44" t="s">
        <v>267</v>
      </c>
      <c r="E1488" s="35" t="s">
        <v>214</v>
      </c>
      <c r="F1488" s="121">
        <v>8.08</v>
      </c>
      <c r="G1488" s="122">
        <f t="shared" si="52"/>
        <v>0</v>
      </c>
      <c r="H1488" s="123">
        <f>IF(AND(ISNUMBER(F1488), F1488&gt;4, COUNTIFS($A$2:A1488, A1488, $B$2:B1488, B1488, $C$2:C1488, C1488, $F$2:F1488, "&gt;4")=1), 1, 0)</f>
        <v>1</v>
      </c>
      <c r="I1488" s="10">
        <f t="shared" si="53"/>
        <v>1</v>
      </c>
      <c r="J1488" s="10"/>
      <c r="K1488" s="7"/>
      <c r="L1488" s="7"/>
      <c r="M1488" s="7"/>
      <c r="N1488" s="10"/>
      <c r="O1488" s="113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t="15.75" customHeight="1">
      <c r="A1489" s="10" t="s">
        <v>25</v>
      </c>
      <c r="B1489" s="7" t="s">
        <v>129</v>
      </c>
      <c r="C1489" s="135">
        <v>46238</v>
      </c>
      <c r="D1489" s="44" t="s">
        <v>267</v>
      </c>
      <c r="E1489" s="35" t="s">
        <v>329</v>
      </c>
      <c r="F1489" s="121">
        <v>8.0299999999999994</v>
      </c>
      <c r="G1489" s="122">
        <f t="shared" si="52"/>
        <v>0</v>
      </c>
      <c r="H1489" s="123">
        <f>IF(AND(ISNUMBER(F1489), F1489&gt;4, COUNTIFS($A$2:A1489, A1489, $B$2:B1489, B1489, $C$2:C1489, C1489, $F$2:F1489, "&gt;4")=1), 1, 0)</f>
        <v>0</v>
      </c>
      <c r="I1489" s="10">
        <f t="shared" si="53"/>
        <v>1</v>
      </c>
      <c r="J1489" s="10"/>
      <c r="K1489" s="7"/>
      <c r="L1489" s="7"/>
      <c r="M1489" s="7"/>
      <c r="N1489" s="10"/>
      <c r="O1489" s="113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t="15.75" customHeight="1">
      <c r="A1490" s="10" t="s">
        <v>25</v>
      </c>
      <c r="B1490" s="7" t="s">
        <v>129</v>
      </c>
      <c r="C1490" s="135">
        <v>46239</v>
      </c>
      <c r="D1490" s="44" t="s">
        <v>267</v>
      </c>
      <c r="E1490" s="35" t="s">
        <v>199</v>
      </c>
      <c r="F1490" s="121">
        <v>8</v>
      </c>
      <c r="G1490" s="122">
        <f t="shared" si="52"/>
        <v>0</v>
      </c>
      <c r="H1490" s="123">
        <f>IF(AND(ISNUMBER(F1490), F1490&gt;4, COUNTIFS($A$2:A1490, A1490, $B$2:B1490, B1490, $C$2:C1490, C1490, $F$2:F1490, "&gt;4")=1), 1, 0)</f>
        <v>0</v>
      </c>
      <c r="I1490" s="10">
        <f t="shared" si="53"/>
        <v>1</v>
      </c>
      <c r="J1490" s="10"/>
      <c r="K1490" s="7"/>
      <c r="L1490" s="7"/>
      <c r="M1490" s="7"/>
      <c r="N1490" s="10"/>
      <c r="O1490" s="113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t="15.75" customHeight="1">
      <c r="A1491" s="10" t="s">
        <v>25</v>
      </c>
      <c r="B1491" s="7" t="s">
        <v>129</v>
      </c>
      <c r="C1491" s="135">
        <v>46240</v>
      </c>
      <c r="D1491" s="44" t="s">
        <v>267</v>
      </c>
      <c r="E1491" s="35" t="s">
        <v>474</v>
      </c>
      <c r="F1491" s="121">
        <v>7.9</v>
      </c>
      <c r="G1491" s="122">
        <f t="shared" si="52"/>
        <v>0</v>
      </c>
      <c r="H1491" s="123">
        <f>IF(AND(ISNUMBER(F1491), F1491&gt;4, COUNTIFS($A$2:A1491, A1491, $B$2:B1491, B1491, $C$2:C1491, C1491, $F$2:F1491, "&gt;4")=1), 1, 0)</f>
        <v>0</v>
      </c>
      <c r="I1491" s="10">
        <f t="shared" si="53"/>
        <v>1</v>
      </c>
      <c r="J1491" s="10"/>
      <c r="K1491" s="7"/>
      <c r="L1491" s="7"/>
      <c r="M1491" s="7"/>
      <c r="N1491" s="10"/>
      <c r="O1491" s="113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t="15.75" customHeight="1">
      <c r="A1492" s="10" t="s">
        <v>25</v>
      </c>
      <c r="B1492" s="7" t="s">
        <v>129</v>
      </c>
      <c r="C1492" s="135">
        <v>46242</v>
      </c>
      <c r="D1492" s="44" t="s">
        <v>267</v>
      </c>
      <c r="E1492" s="35" t="s">
        <v>288</v>
      </c>
      <c r="F1492" s="121">
        <v>8.0500000000000007</v>
      </c>
      <c r="G1492" s="122">
        <f t="shared" si="52"/>
        <v>0</v>
      </c>
      <c r="H1492" s="123">
        <f>IF(AND(ISNUMBER(F1492), F1492&gt;4, COUNTIFS($A$2:A1492, A1492, $B$2:B1492, B1492, $C$2:C1492, C1492, $F$2:F1492, "&gt;4")=1), 1, 0)</f>
        <v>1</v>
      </c>
      <c r="I1492" s="10">
        <f t="shared" si="53"/>
        <v>1</v>
      </c>
      <c r="J1492" s="10"/>
      <c r="K1492" s="7"/>
      <c r="L1492" s="7"/>
      <c r="M1492" s="7"/>
      <c r="N1492" s="10"/>
      <c r="O1492" s="113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t="15.75" customHeight="1">
      <c r="A1493" s="10" t="s">
        <v>25</v>
      </c>
      <c r="B1493" s="7" t="s">
        <v>129</v>
      </c>
      <c r="C1493" s="135">
        <v>46243</v>
      </c>
      <c r="D1493" s="44" t="s">
        <v>267</v>
      </c>
      <c r="E1493" s="35" t="s">
        <v>288</v>
      </c>
      <c r="F1493" s="121">
        <v>8.0500000000000007</v>
      </c>
      <c r="G1493" s="122">
        <f t="shared" si="52"/>
        <v>0</v>
      </c>
      <c r="H1493" s="123">
        <f>IF(AND(ISNUMBER(F1493), F1493&gt;4, COUNTIFS($A$2:A1493, A1493, $B$2:B1493, B1493, $C$2:C1493, C1493, $F$2:F1493, "&gt;4")=1), 1, 0)</f>
        <v>1</v>
      </c>
      <c r="I1493" s="10">
        <f t="shared" si="53"/>
        <v>1</v>
      </c>
      <c r="J1493" s="10"/>
      <c r="K1493" s="7"/>
      <c r="L1493" s="7"/>
      <c r="M1493" s="7"/>
      <c r="N1493" s="10"/>
      <c r="O1493" s="113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t="15.75" customHeight="1">
      <c r="A1494" s="10" t="s">
        <v>25</v>
      </c>
      <c r="B1494" s="7" t="s">
        <v>129</v>
      </c>
      <c r="C1494" s="135">
        <v>46248</v>
      </c>
      <c r="D1494" s="44" t="s">
        <v>267</v>
      </c>
      <c r="E1494" s="35" t="s">
        <v>288</v>
      </c>
      <c r="F1494" s="121">
        <v>8.0500000000000007</v>
      </c>
      <c r="G1494" s="122">
        <f t="shared" si="52"/>
        <v>0</v>
      </c>
      <c r="H1494" s="123">
        <f>IF(AND(ISNUMBER(F1494), F1494&gt;4, COUNTIFS($A$2:A1494, A1494, $B$2:B1494, B1494, $C$2:C1494, C1494, $F$2:F1494, "&gt;4")=1), 1, 0)</f>
        <v>1</v>
      </c>
      <c r="I1494" s="10">
        <f t="shared" si="53"/>
        <v>1</v>
      </c>
      <c r="J1494" s="10"/>
      <c r="K1494" s="7"/>
      <c r="L1494" s="7"/>
      <c r="M1494" s="7"/>
      <c r="N1494" s="10"/>
      <c r="O1494" s="113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t="15.75" customHeight="1">
      <c r="A1495" s="10" t="s">
        <v>25</v>
      </c>
      <c r="B1495" s="7" t="s">
        <v>129</v>
      </c>
      <c r="C1495" s="135">
        <v>46249</v>
      </c>
      <c r="D1495" s="44" t="s">
        <v>267</v>
      </c>
      <c r="E1495" s="35" t="s">
        <v>481</v>
      </c>
      <c r="F1495" s="121">
        <v>7.98</v>
      </c>
      <c r="G1495" s="122">
        <f t="shared" si="52"/>
        <v>0</v>
      </c>
      <c r="H1495" s="123">
        <f>IF(AND(ISNUMBER(F1495), F1495&gt;4, COUNTIFS($A$2:A1495, A1495, $B$2:B1495, B1495, $C$2:C1495, C1495, $F$2:F1495, "&gt;4")=1), 1, 0)</f>
        <v>0</v>
      </c>
      <c r="I1495" s="10">
        <f t="shared" si="53"/>
        <v>1</v>
      </c>
      <c r="J1495" s="10"/>
      <c r="K1495" s="7"/>
      <c r="L1495" s="7"/>
      <c r="M1495" s="7"/>
      <c r="N1495" s="10"/>
      <c r="O1495" s="113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t="15.75" customHeight="1">
      <c r="A1496" s="10" t="s">
        <v>25</v>
      </c>
      <c r="B1496" s="7" t="s">
        <v>129</v>
      </c>
      <c r="C1496" s="135">
        <v>46251</v>
      </c>
      <c r="D1496" s="44" t="s">
        <v>267</v>
      </c>
      <c r="E1496" s="35" t="s">
        <v>348</v>
      </c>
      <c r="F1496" s="121">
        <v>7.95</v>
      </c>
      <c r="G1496" s="122">
        <f t="shared" si="52"/>
        <v>0</v>
      </c>
      <c r="H1496" s="123">
        <f>IF(AND(ISNUMBER(F1496), F1496&gt;4, COUNTIFS($A$2:A1496, A1496, $B$2:B1496, B1496, $C$2:C1496, C1496, $F$2:F1496, "&gt;4")=1), 1, 0)</f>
        <v>1</v>
      </c>
      <c r="I1496" s="10">
        <f t="shared" si="53"/>
        <v>1</v>
      </c>
      <c r="J1496" s="10"/>
      <c r="K1496" s="7"/>
      <c r="L1496" s="7"/>
      <c r="M1496" s="7"/>
      <c r="N1496" s="10"/>
      <c r="O1496" s="113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t="15.75" customHeight="1">
      <c r="A1497" s="10" t="s">
        <v>25</v>
      </c>
      <c r="B1497" s="7" t="s">
        <v>129</v>
      </c>
      <c r="C1497" s="135">
        <v>46252</v>
      </c>
      <c r="D1497" s="44" t="s">
        <v>267</v>
      </c>
      <c r="E1497" s="35" t="s">
        <v>199</v>
      </c>
      <c r="F1497" s="121">
        <v>8</v>
      </c>
      <c r="G1497" s="122">
        <f t="shared" si="52"/>
        <v>0</v>
      </c>
      <c r="H1497" s="123">
        <f>IF(AND(ISNUMBER(F1497), F1497&gt;4, COUNTIFS($A$2:A1497, A1497, $B$2:B1497, B1497, $C$2:C1497, C1497, $F$2:F1497, "&gt;4")=1), 1, 0)</f>
        <v>1</v>
      </c>
      <c r="I1497" s="10">
        <f t="shared" si="53"/>
        <v>1</v>
      </c>
      <c r="J1497" s="10"/>
      <c r="K1497" s="7"/>
      <c r="L1497" s="7"/>
      <c r="M1497" s="7"/>
      <c r="N1497" s="10"/>
      <c r="O1497" s="113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t="15.75" customHeight="1">
      <c r="A1498" s="10" t="s">
        <v>25</v>
      </c>
      <c r="B1498" s="7" t="s">
        <v>129</v>
      </c>
      <c r="C1498" s="135">
        <v>46253</v>
      </c>
      <c r="D1498" s="44" t="s">
        <v>267</v>
      </c>
      <c r="E1498" s="35" t="s">
        <v>348</v>
      </c>
      <c r="F1498" s="121">
        <v>7.95</v>
      </c>
      <c r="G1498" s="122">
        <f t="shared" si="52"/>
        <v>0</v>
      </c>
      <c r="H1498" s="123">
        <f>IF(AND(ISNUMBER(F1498), F1498&gt;4, COUNTIFS($A$2:A1498, A1498, $B$2:B1498, B1498, $C$2:C1498, C1498, $F$2:F1498, "&gt;4")=1), 1, 0)</f>
        <v>1</v>
      </c>
      <c r="I1498" s="10">
        <f t="shared" si="53"/>
        <v>1</v>
      </c>
      <c r="J1498" s="10"/>
      <c r="K1498" s="7"/>
      <c r="L1498" s="7"/>
      <c r="M1498" s="7"/>
      <c r="N1498" s="10"/>
      <c r="O1498" s="113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t="15.75" customHeight="1">
      <c r="A1499" s="10" t="s">
        <v>25</v>
      </c>
      <c r="B1499" s="7" t="s">
        <v>129</v>
      </c>
      <c r="C1499" s="135">
        <v>46254</v>
      </c>
      <c r="D1499" s="44" t="s">
        <v>267</v>
      </c>
      <c r="E1499" s="35" t="s">
        <v>239</v>
      </c>
      <c r="F1499" s="121">
        <v>8.07</v>
      </c>
      <c r="G1499" s="122">
        <f t="shared" si="52"/>
        <v>0</v>
      </c>
      <c r="H1499" s="123">
        <f>IF(AND(ISNUMBER(F1499), F1499&gt;4, COUNTIFS($A$2:A1499, A1499, $B$2:B1499, B1499, $C$2:C1499, C1499, $F$2:F1499, "&gt;4")=1), 1, 0)</f>
        <v>1</v>
      </c>
      <c r="I1499" s="10">
        <f t="shared" si="53"/>
        <v>1</v>
      </c>
      <c r="J1499" s="10"/>
      <c r="K1499" s="7"/>
      <c r="L1499" s="7"/>
      <c r="M1499" s="7"/>
      <c r="N1499" s="10"/>
      <c r="O1499" s="113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t="15.75" customHeight="1">
      <c r="A1500" s="10" t="s">
        <v>25</v>
      </c>
      <c r="B1500" s="7" t="s">
        <v>129</v>
      </c>
      <c r="C1500" s="135">
        <v>46256</v>
      </c>
      <c r="D1500" s="44" t="s">
        <v>267</v>
      </c>
      <c r="E1500" s="35" t="s">
        <v>329</v>
      </c>
      <c r="F1500" s="121">
        <v>8.0299999999999994</v>
      </c>
      <c r="G1500" s="122">
        <f t="shared" si="52"/>
        <v>0</v>
      </c>
      <c r="H1500" s="123">
        <f>IF(AND(ISNUMBER(F1500), F1500&gt;4, COUNTIFS($A$2:A1500, A1500, $B$2:B1500, B1500, $C$2:C1500, C1500, $F$2:F1500, "&gt;4")=1), 1, 0)</f>
        <v>0</v>
      </c>
      <c r="I1500" s="10">
        <f t="shared" si="53"/>
        <v>1</v>
      </c>
      <c r="J1500" s="10"/>
      <c r="K1500" s="7"/>
      <c r="L1500" s="7"/>
      <c r="M1500" s="7"/>
      <c r="N1500" s="10"/>
      <c r="O1500" s="113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t="15.75" customHeight="1">
      <c r="A1501" s="10" t="s">
        <v>25</v>
      </c>
      <c r="B1501" s="7" t="s">
        <v>129</v>
      </c>
      <c r="C1501" s="135">
        <v>46257</v>
      </c>
      <c r="D1501" s="44" t="s">
        <v>267</v>
      </c>
      <c r="E1501" s="35" t="s">
        <v>199</v>
      </c>
      <c r="F1501" s="121">
        <v>8</v>
      </c>
      <c r="G1501" s="122">
        <f t="shared" si="52"/>
        <v>0</v>
      </c>
      <c r="H1501" s="123">
        <f>IF(AND(ISNUMBER(F1501), F1501&gt;4, COUNTIFS($A$2:A1501, A1501, $B$2:B1501, B1501, $C$2:C1501, C1501, $F$2:F1501, "&gt;4")=1), 1, 0)</f>
        <v>1</v>
      </c>
      <c r="I1501" s="10">
        <f t="shared" si="53"/>
        <v>1</v>
      </c>
      <c r="J1501" s="10"/>
      <c r="K1501" s="7"/>
      <c r="L1501" s="7"/>
      <c r="M1501" s="7"/>
      <c r="N1501" s="10"/>
      <c r="O1501" s="113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t="15.75" customHeight="1">
      <c r="A1502" s="10" t="s">
        <v>25</v>
      </c>
      <c r="B1502" s="7" t="s">
        <v>129</v>
      </c>
      <c r="C1502" s="135">
        <v>46259</v>
      </c>
      <c r="D1502" s="44" t="s">
        <v>267</v>
      </c>
      <c r="E1502" s="35" t="s">
        <v>329</v>
      </c>
      <c r="F1502" s="121">
        <v>8.0299999999999994</v>
      </c>
      <c r="G1502" s="122">
        <f t="shared" si="52"/>
        <v>0</v>
      </c>
      <c r="H1502" s="123">
        <f>IF(AND(ISNUMBER(F1502), F1502&gt;4, COUNTIFS($A$2:A1502, A1502, $B$2:B1502, B1502, $C$2:C1502, C1502, $F$2:F1502, "&gt;4")=1), 1, 0)</f>
        <v>1</v>
      </c>
      <c r="I1502" s="10">
        <f t="shared" si="53"/>
        <v>1</v>
      </c>
      <c r="J1502" s="10"/>
      <c r="K1502" s="7"/>
      <c r="L1502" s="7"/>
      <c r="M1502" s="7"/>
      <c r="N1502" s="10"/>
      <c r="O1502" s="113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t="15.75" customHeight="1">
      <c r="A1503" s="10" t="s">
        <v>25</v>
      </c>
      <c r="B1503" s="7" t="s">
        <v>129</v>
      </c>
      <c r="C1503" s="135">
        <v>46260</v>
      </c>
      <c r="D1503" s="44" t="s">
        <v>267</v>
      </c>
      <c r="E1503" s="35" t="s">
        <v>474</v>
      </c>
      <c r="F1503" s="121">
        <v>7.9</v>
      </c>
      <c r="G1503" s="122">
        <f t="shared" si="52"/>
        <v>0</v>
      </c>
      <c r="H1503" s="123">
        <f>IF(AND(ISNUMBER(F1503), F1503&gt;4, COUNTIFS($A$2:A1503, A1503, $B$2:B1503, B1503, $C$2:C1503, C1503, $F$2:F1503, "&gt;4")=1), 1, 0)</f>
        <v>1</v>
      </c>
      <c r="I1503" s="10">
        <f t="shared" si="53"/>
        <v>1</v>
      </c>
      <c r="J1503" s="10"/>
      <c r="K1503" s="7"/>
      <c r="L1503" s="7"/>
      <c r="M1503" s="7"/>
      <c r="N1503" s="10"/>
      <c r="O1503" s="113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t="15.75" customHeight="1">
      <c r="A1504" s="10" t="s">
        <v>25</v>
      </c>
      <c r="B1504" s="7" t="s">
        <v>129</v>
      </c>
      <c r="C1504" s="135">
        <v>46261</v>
      </c>
      <c r="D1504" s="44" t="s">
        <v>267</v>
      </c>
      <c r="E1504" s="35" t="s">
        <v>329</v>
      </c>
      <c r="F1504" s="121">
        <v>8.0299999999999994</v>
      </c>
      <c r="G1504" s="122">
        <f t="shared" si="52"/>
        <v>0</v>
      </c>
      <c r="H1504" s="123">
        <f>IF(AND(ISNUMBER(F1504), F1504&gt;4, COUNTIFS($A$2:A1504, A1504, $B$2:B1504, B1504, $C$2:C1504, C1504, $F$2:F1504, "&gt;4")=1), 1, 0)</f>
        <v>1</v>
      </c>
      <c r="I1504" s="10">
        <f t="shared" si="53"/>
        <v>1</v>
      </c>
      <c r="J1504" s="10"/>
      <c r="K1504" s="7"/>
      <c r="L1504" s="7"/>
      <c r="M1504" s="7"/>
      <c r="N1504" s="10"/>
      <c r="O1504" s="113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t="15.75" customHeight="1">
      <c r="A1505" s="10" t="s">
        <v>25</v>
      </c>
      <c r="B1505" s="7" t="s">
        <v>129</v>
      </c>
      <c r="C1505" s="135">
        <v>46262</v>
      </c>
      <c r="D1505" s="44" t="s">
        <v>267</v>
      </c>
      <c r="E1505" s="35" t="s">
        <v>348</v>
      </c>
      <c r="F1505" s="121">
        <v>7.95</v>
      </c>
      <c r="G1505" s="122">
        <f t="shared" si="52"/>
        <v>0</v>
      </c>
      <c r="H1505" s="123">
        <f>IF(AND(ISNUMBER(F1505), F1505&gt;4, COUNTIFS($A$2:A1505, A1505, $B$2:B1505, B1505, $C$2:C1505, C1505, $F$2:F1505, "&gt;4")=1), 1, 0)</f>
        <v>1</v>
      </c>
      <c r="I1505" s="10">
        <f t="shared" si="53"/>
        <v>1</v>
      </c>
      <c r="J1505" s="10"/>
      <c r="K1505" s="7"/>
      <c r="L1505" s="7"/>
      <c r="M1505" s="7"/>
      <c r="N1505" s="10"/>
      <c r="O1505" s="113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t="15.75" customHeight="1">
      <c r="A1506" s="10" t="s">
        <v>25</v>
      </c>
      <c r="B1506" s="7" t="s">
        <v>129</v>
      </c>
      <c r="C1506" s="135">
        <v>46263</v>
      </c>
      <c r="D1506" s="44" t="s">
        <v>267</v>
      </c>
      <c r="E1506" s="35" t="s">
        <v>481</v>
      </c>
      <c r="F1506" s="121">
        <v>7.98</v>
      </c>
      <c r="G1506" s="122">
        <f t="shared" si="52"/>
        <v>0</v>
      </c>
      <c r="H1506" s="123">
        <f>IF(AND(ISNUMBER(F1506), F1506&gt;4, COUNTIFS($A$2:A1506, A1506, $B$2:B1506, B1506, $C$2:C1506, C1506, $F$2:F1506, "&gt;4")=1), 1, 0)</f>
        <v>1</v>
      </c>
      <c r="I1506" s="10">
        <f t="shared" si="53"/>
        <v>1</v>
      </c>
      <c r="J1506" s="10"/>
      <c r="K1506" s="7"/>
      <c r="L1506" s="7"/>
      <c r="M1506" s="7"/>
      <c r="N1506" s="10"/>
      <c r="O1506" s="113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t="15.75" customHeight="1">
      <c r="A1507" s="10" t="s">
        <v>25</v>
      </c>
      <c r="B1507" s="7" t="s">
        <v>129</v>
      </c>
      <c r="C1507" s="135">
        <v>46264</v>
      </c>
      <c r="D1507" s="44" t="s">
        <v>267</v>
      </c>
      <c r="E1507" s="35" t="s">
        <v>239</v>
      </c>
      <c r="F1507" s="121">
        <v>8.07</v>
      </c>
      <c r="G1507" s="122">
        <f t="shared" si="52"/>
        <v>0</v>
      </c>
      <c r="H1507" s="123">
        <f>IF(AND(ISNUMBER(F1507), F1507&gt;4, COUNTIFS($A$2:A1507, A1507, $B$2:B1507, B1507, $C$2:C1507, C1507, $F$2:F1507, "&gt;4")=1), 1, 0)</f>
        <v>1</v>
      </c>
      <c r="I1507" s="10">
        <f t="shared" si="53"/>
        <v>1</v>
      </c>
      <c r="J1507" s="10"/>
      <c r="K1507" s="7"/>
      <c r="L1507" s="7"/>
      <c r="M1507" s="7"/>
      <c r="N1507" s="10"/>
      <c r="O1507" s="113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t="15.75" customHeight="1">
      <c r="A1508" s="10" t="s">
        <v>25</v>
      </c>
      <c r="B1508" s="7" t="s">
        <v>126</v>
      </c>
      <c r="C1508" s="135">
        <v>46265</v>
      </c>
      <c r="D1508" s="44" t="s">
        <v>306</v>
      </c>
      <c r="E1508" s="35" t="s">
        <v>425</v>
      </c>
      <c r="F1508" s="121">
        <v>12</v>
      </c>
      <c r="G1508" s="122">
        <f t="shared" si="52"/>
        <v>0</v>
      </c>
      <c r="H1508" s="123">
        <f>IF(AND(ISNUMBER(F1508), F1508&gt;4, COUNTIFS($A$2:A1508, A1508, $B$2:B1508, B1508, $C$2:C1508, C1508, $F$2:F1508, "&gt;4")=1), 1, 0)</f>
        <v>1</v>
      </c>
      <c r="I1508" s="10">
        <f t="shared" si="53"/>
        <v>0</v>
      </c>
      <c r="J1508" s="10"/>
      <c r="K1508" s="7"/>
      <c r="L1508" s="7"/>
      <c r="M1508" s="7"/>
      <c r="N1508" s="10"/>
      <c r="O1508" s="113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t="15.75" customHeight="1">
      <c r="A1509" s="10" t="s">
        <v>25</v>
      </c>
      <c r="B1509" s="7" t="s">
        <v>126</v>
      </c>
      <c r="C1509" s="135">
        <v>46256</v>
      </c>
      <c r="D1509" s="44" t="s">
        <v>426</v>
      </c>
      <c r="E1509" s="35" t="s">
        <v>488</v>
      </c>
      <c r="F1509" s="121">
        <v>8.3800000000000008</v>
      </c>
      <c r="G1509" s="122">
        <f t="shared" si="52"/>
        <v>0</v>
      </c>
      <c r="H1509" s="123">
        <f>IF(AND(ISNUMBER(F1509), F1509&gt;4, COUNTIFS($A$2:A1509, A1509, $B$2:B1509, B1509, $C$2:C1509, C1509, $F$2:F1509, "&gt;4")=1), 1, 0)</f>
        <v>1</v>
      </c>
      <c r="I1509" s="10">
        <f t="shared" si="53"/>
        <v>0</v>
      </c>
      <c r="J1509" s="10"/>
      <c r="K1509" s="7"/>
      <c r="L1509" s="7"/>
      <c r="M1509" s="7"/>
      <c r="N1509" s="10"/>
      <c r="O1509" s="113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t="15.75" customHeight="1">
      <c r="A1510" s="10" t="s">
        <v>25</v>
      </c>
      <c r="B1510" s="7" t="s">
        <v>126</v>
      </c>
      <c r="C1510" s="135">
        <v>46259</v>
      </c>
      <c r="D1510" s="44" t="s">
        <v>426</v>
      </c>
      <c r="E1510" s="35" t="s">
        <v>489</v>
      </c>
      <c r="F1510" s="121">
        <v>8.33</v>
      </c>
      <c r="G1510" s="122">
        <f t="shared" si="52"/>
        <v>0</v>
      </c>
      <c r="H1510" s="123">
        <f>IF(AND(ISNUMBER(F1510), F1510&gt;4, COUNTIFS($A$2:A1510, A1510, $B$2:B1510, B1510, $C$2:C1510, C1510, $F$2:F1510, "&gt;4")=1), 1, 0)</f>
        <v>1</v>
      </c>
      <c r="I1510" s="10">
        <f t="shared" si="53"/>
        <v>0</v>
      </c>
      <c r="J1510" s="10"/>
      <c r="K1510" s="7"/>
      <c r="L1510" s="7"/>
      <c r="M1510" s="7"/>
      <c r="N1510" s="10"/>
      <c r="O1510" s="113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t="15.75" customHeight="1">
      <c r="A1511" s="10" t="s">
        <v>25</v>
      </c>
      <c r="B1511" s="7" t="s">
        <v>126</v>
      </c>
      <c r="C1511" s="135">
        <v>46235</v>
      </c>
      <c r="D1511" s="44" t="s">
        <v>193</v>
      </c>
      <c r="E1511" s="35" t="s">
        <v>305</v>
      </c>
      <c r="F1511" s="121">
        <v>8.2799999999999994</v>
      </c>
      <c r="G1511" s="122">
        <f t="shared" si="52"/>
        <v>0</v>
      </c>
      <c r="H1511" s="123">
        <f>IF(AND(ISNUMBER(F1511), F1511&gt;4, COUNTIFS($A$2:A1511, A1511, $B$2:B1511, B1511, $C$2:C1511, C1511, $F$2:F1511, "&gt;4")=1), 1, 0)</f>
        <v>1</v>
      </c>
      <c r="I1511" s="10">
        <f t="shared" si="53"/>
        <v>0</v>
      </c>
      <c r="J1511" s="10"/>
      <c r="K1511" s="7"/>
      <c r="L1511" s="7"/>
      <c r="M1511" s="7"/>
      <c r="N1511" s="10"/>
      <c r="O1511" s="113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t="15.75" customHeight="1">
      <c r="A1512" s="10" t="s">
        <v>25</v>
      </c>
      <c r="B1512" s="7" t="s">
        <v>126</v>
      </c>
      <c r="C1512" s="135">
        <v>46246</v>
      </c>
      <c r="D1512" s="44" t="s">
        <v>193</v>
      </c>
      <c r="E1512" s="35" t="s">
        <v>511</v>
      </c>
      <c r="F1512" s="121">
        <v>8.1300000000000008</v>
      </c>
      <c r="G1512" s="122">
        <f t="shared" si="52"/>
        <v>0</v>
      </c>
      <c r="H1512" s="123">
        <f>IF(AND(ISNUMBER(F1512), F1512&gt;4, COUNTIFS($A$2:A1512, A1512, $B$2:B1512, B1512, $C$2:C1512, C1512, $F$2:F1512, "&gt;4")=1), 1, 0)</f>
        <v>1</v>
      </c>
      <c r="I1512" s="10">
        <f t="shared" si="53"/>
        <v>0</v>
      </c>
      <c r="J1512" s="10"/>
      <c r="K1512" s="7"/>
      <c r="L1512" s="7"/>
      <c r="M1512" s="7"/>
      <c r="N1512" s="10"/>
      <c r="O1512" s="113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t="15.75" customHeight="1">
      <c r="A1513" s="10" t="s">
        <v>25</v>
      </c>
      <c r="B1513" s="7" t="s">
        <v>126</v>
      </c>
      <c r="C1513" s="135">
        <v>46247</v>
      </c>
      <c r="D1513" s="44" t="s">
        <v>193</v>
      </c>
      <c r="E1513" s="35" t="s">
        <v>502</v>
      </c>
      <c r="F1513" s="121">
        <v>8.17</v>
      </c>
      <c r="G1513" s="122">
        <f t="shared" si="52"/>
        <v>0</v>
      </c>
      <c r="H1513" s="123">
        <f>IF(AND(ISNUMBER(F1513), F1513&gt;4, COUNTIFS($A$2:A1513, A1513, $B$2:B1513, B1513, $C$2:C1513, C1513, $F$2:F1513, "&gt;4")=1), 1, 0)</f>
        <v>1</v>
      </c>
      <c r="I1513" s="10">
        <f t="shared" si="53"/>
        <v>0</v>
      </c>
      <c r="J1513" s="10"/>
      <c r="K1513" s="7"/>
      <c r="L1513" s="7"/>
      <c r="M1513" s="7"/>
      <c r="N1513" s="10"/>
      <c r="O1513" s="113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t="15.75" customHeight="1">
      <c r="A1514" s="10" t="s">
        <v>25</v>
      </c>
      <c r="B1514" s="7" t="s">
        <v>126</v>
      </c>
      <c r="C1514" s="135">
        <v>46248</v>
      </c>
      <c r="D1514" s="44" t="s">
        <v>193</v>
      </c>
      <c r="E1514" s="35" t="s">
        <v>502</v>
      </c>
      <c r="F1514" s="121">
        <v>8.17</v>
      </c>
      <c r="G1514" s="122">
        <f t="shared" si="52"/>
        <v>0</v>
      </c>
      <c r="H1514" s="123">
        <f>IF(AND(ISNUMBER(F1514), F1514&gt;4, COUNTIFS($A$2:A1514, A1514, $B$2:B1514, B1514, $C$2:C1514, C1514, $F$2:F1514, "&gt;4")=1), 1, 0)</f>
        <v>1</v>
      </c>
      <c r="I1514" s="10">
        <f t="shared" si="53"/>
        <v>0</v>
      </c>
      <c r="J1514" s="10"/>
      <c r="K1514" s="7"/>
      <c r="L1514" s="7"/>
      <c r="M1514" s="7"/>
      <c r="N1514" s="10"/>
      <c r="O1514" s="113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t="15.75" customHeight="1">
      <c r="A1515" s="10" t="s">
        <v>25</v>
      </c>
      <c r="B1515" s="7" t="s">
        <v>126</v>
      </c>
      <c r="C1515" s="135">
        <v>46253</v>
      </c>
      <c r="D1515" s="44" t="s">
        <v>193</v>
      </c>
      <c r="E1515" s="35" t="s">
        <v>705</v>
      </c>
      <c r="F1515" s="121">
        <v>7.72</v>
      </c>
      <c r="G1515" s="122">
        <f t="shared" si="52"/>
        <v>0</v>
      </c>
      <c r="H1515" s="123">
        <f>IF(AND(ISNUMBER(F1515), F1515&gt;4, COUNTIFS($A$2:A1515, A1515, $B$2:B1515, B1515, $C$2:C1515, C1515, $F$2:F1515, "&gt;4")=1), 1, 0)</f>
        <v>1</v>
      </c>
      <c r="I1515" s="10">
        <f t="shared" si="53"/>
        <v>0</v>
      </c>
      <c r="J1515" s="10"/>
      <c r="K1515" s="7"/>
      <c r="L1515" s="7"/>
      <c r="M1515" s="7"/>
      <c r="N1515" s="10"/>
      <c r="O1515" s="113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t="15.75" customHeight="1">
      <c r="A1516" s="10" t="s">
        <v>25</v>
      </c>
      <c r="B1516" s="7" t="s">
        <v>126</v>
      </c>
      <c r="C1516" s="135">
        <v>46254</v>
      </c>
      <c r="D1516" s="44" t="s">
        <v>193</v>
      </c>
      <c r="E1516" s="35" t="s">
        <v>476</v>
      </c>
      <c r="F1516" s="121">
        <v>8.1199999999999992</v>
      </c>
      <c r="G1516" s="122">
        <f t="shared" si="52"/>
        <v>0</v>
      </c>
      <c r="H1516" s="123">
        <f>IF(AND(ISNUMBER(F1516), F1516&gt;4, COUNTIFS($A$2:A1516, A1516, $B$2:B1516, B1516, $C$2:C1516, C1516, $F$2:F1516, "&gt;4")=1), 1, 0)</f>
        <v>1</v>
      </c>
      <c r="I1516" s="10">
        <f t="shared" si="53"/>
        <v>0</v>
      </c>
      <c r="J1516" s="10"/>
      <c r="K1516" s="7"/>
      <c r="L1516" s="7"/>
      <c r="M1516" s="7"/>
      <c r="N1516" s="10"/>
      <c r="O1516" s="113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t="15.75" customHeight="1">
      <c r="A1517" s="10" t="s">
        <v>25</v>
      </c>
      <c r="B1517" s="7" t="s">
        <v>126</v>
      </c>
      <c r="C1517" s="135">
        <v>46255</v>
      </c>
      <c r="D1517" s="44" t="s">
        <v>193</v>
      </c>
      <c r="E1517" s="35" t="s">
        <v>409</v>
      </c>
      <c r="F1517" s="121">
        <v>7.93</v>
      </c>
      <c r="G1517" s="122">
        <f t="shared" si="52"/>
        <v>0</v>
      </c>
      <c r="H1517" s="123">
        <f>IF(AND(ISNUMBER(F1517), F1517&gt;4, COUNTIFS($A$2:A1517, A1517, $B$2:B1517, B1517, $C$2:C1517, C1517, $F$2:F1517, "&gt;4")=1), 1, 0)</f>
        <v>1</v>
      </c>
      <c r="I1517" s="10">
        <f t="shared" si="53"/>
        <v>0</v>
      </c>
      <c r="J1517" s="10"/>
      <c r="K1517" s="7"/>
      <c r="L1517" s="7"/>
      <c r="M1517" s="7"/>
      <c r="N1517" s="10"/>
      <c r="O1517" s="113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t="15.75" customHeight="1">
      <c r="A1518" s="10" t="s">
        <v>25</v>
      </c>
      <c r="B1518" s="7" t="s">
        <v>126</v>
      </c>
      <c r="C1518" s="135">
        <v>46257</v>
      </c>
      <c r="D1518" s="44" t="s">
        <v>193</v>
      </c>
      <c r="E1518" s="35" t="s">
        <v>214</v>
      </c>
      <c r="F1518" s="121">
        <v>8.08</v>
      </c>
      <c r="G1518" s="122">
        <f t="shared" si="52"/>
        <v>0</v>
      </c>
      <c r="H1518" s="123">
        <f>IF(AND(ISNUMBER(F1518), F1518&gt;4, COUNTIFS($A$2:A1518, A1518, $B$2:B1518, B1518, $C$2:C1518, C1518, $F$2:F1518, "&gt;4")=1), 1, 0)</f>
        <v>1</v>
      </c>
      <c r="I1518" s="10">
        <f t="shared" si="53"/>
        <v>0</v>
      </c>
      <c r="J1518" s="10"/>
      <c r="K1518" s="7"/>
      <c r="L1518" s="7"/>
      <c r="M1518" s="7"/>
      <c r="N1518" s="10"/>
      <c r="O1518" s="113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t="15.75" customHeight="1">
      <c r="A1519" s="10" t="s">
        <v>25</v>
      </c>
      <c r="B1519" s="7" t="s">
        <v>126</v>
      </c>
      <c r="C1519" s="135">
        <v>46258</v>
      </c>
      <c r="D1519" s="44" t="s">
        <v>193</v>
      </c>
      <c r="E1519" s="35" t="s">
        <v>207</v>
      </c>
      <c r="F1519" s="121">
        <v>8.1</v>
      </c>
      <c r="G1519" s="122">
        <f t="shared" si="52"/>
        <v>0</v>
      </c>
      <c r="H1519" s="123">
        <f>IF(AND(ISNUMBER(F1519), F1519&gt;4, COUNTIFS($A$2:A1519, A1519, $B$2:B1519, B1519, $C$2:C1519, C1519, $F$2:F1519, "&gt;4")=1), 1, 0)</f>
        <v>1</v>
      </c>
      <c r="I1519" s="10">
        <f t="shared" si="53"/>
        <v>0</v>
      </c>
      <c r="J1519" s="10"/>
      <c r="K1519" s="7"/>
      <c r="L1519" s="7"/>
      <c r="M1519" s="7"/>
      <c r="N1519" s="10"/>
      <c r="O1519" s="113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t="15.75" customHeight="1">
      <c r="A1520" s="10" t="s">
        <v>25</v>
      </c>
      <c r="B1520" s="7" t="s">
        <v>126</v>
      </c>
      <c r="C1520" s="135">
        <v>46263</v>
      </c>
      <c r="D1520" s="44" t="s">
        <v>193</v>
      </c>
      <c r="E1520" s="35" t="s">
        <v>329</v>
      </c>
      <c r="F1520" s="121">
        <v>8.0299999999999994</v>
      </c>
      <c r="G1520" s="122">
        <f t="shared" si="52"/>
        <v>0</v>
      </c>
      <c r="H1520" s="123">
        <f>IF(AND(ISNUMBER(F1520), F1520&gt;4, COUNTIFS($A$2:A1520, A1520, $B$2:B1520, B1520, $C$2:C1520, C1520, $F$2:F1520, "&gt;4")=1), 1, 0)</f>
        <v>1</v>
      </c>
      <c r="I1520" s="10">
        <f t="shared" si="53"/>
        <v>0</v>
      </c>
      <c r="J1520" s="10"/>
      <c r="K1520" s="7"/>
      <c r="L1520" s="7"/>
      <c r="M1520" s="7"/>
      <c r="N1520" s="10"/>
      <c r="O1520" s="113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t="15.75" customHeight="1">
      <c r="A1521" s="10" t="s">
        <v>25</v>
      </c>
      <c r="B1521" s="7" t="s">
        <v>126</v>
      </c>
      <c r="C1521" s="135">
        <v>46264</v>
      </c>
      <c r="D1521" s="44" t="s">
        <v>193</v>
      </c>
      <c r="E1521" s="35" t="s">
        <v>199</v>
      </c>
      <c r="F1521" s="121">
        <v>8</v>
      </c>
      <c r="G1521" s="122">
        <f t="shared" si="52"/>
        <v>0</v>
      </c>
      <c r="H1521" s="123">
        <f>IF(AND(ISNUMBER(F1521), F1521&gt;4, COUNTIFS($A$2:A1521, A1521, $B$2:B1521, B1521, $C$2:C1521, C1521, $F$2:F1521, "&gt;4")=1), 1, 0)</f>
        <v>1</v>
      </c>
      <c r="I1521" s="10">
        <f t="shared" si="53"/>
        <v>0</v>
      </c>
      <c r="J1521" s="10"/>
      <c r="K1521" s="7"/>
      <c r="L1521" s="7"/>
      <c r="M1521" s="7"/>
      <c r="N1521" s="10"/>
      <c r="O1521" s="113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t="15.75" customHeight="1">
      <c r="A1522" s="10" t="s">
        <v>25</v>
      </c>
      <c r="B1522" s="7" t="s">
        <v>126</v>
      </c>
      <c r="C1522" s="135">
        <v>46251</v>
      </c>
      <c r="D1522" s="44" t="s">
        <v>428</v>
      </c>
      <c r="E1522" s="35" t="s">
        <v>429</v>
      </c>
      <c r="F1522" s="121">
        <v>5.18</v>
      </c>
      <c r="G1522" s="122">
        <f t="shared" si="52"/>
        <v>0</v>
      </c>
      <c r="H1522" s="123">
        <f>IF(AND(ISNUMBER(F1522), F1522&gt;4, COUNTIFS($A$2:A1522, A1522, $B$2:B1522, B1522, $C$2:C1522, C1522, $F$2:F1522, "&gt;4")=1), 1, 0)</f>
        <v>1</v>
      </c>
      <c r="I1522" s="10">
        <f t="shared" si="53"/>
        <v>0</v>
      </c>
      <c r="J1522" s="10"/>
      <c r="K1522" s="7"/>
      <c r="L1522" s="7"/>
      <c r="M1522" s="7"/>
      <c r="N1522" s="10"/>
      <c r="O1522" s="113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t="15.75" customHeight="1">
      <c r="A1523" s="10" t="s">
        <v>25</v>
      </c>
      <c r="B1523" s="7" t="s">
        <v>126</v>
      </c>
      <c r="C1523" s="135">
        <v>46239</v>
      </c>
      <c r="D1523" s="44" t="s">
        <v>430</v>
      </c>
      <c r="E1523" s="35" t="s">
        <v>781</v>
      </c>
      <c r="F1523" s="121">
        <v>4.25</v>
      </c>
      <c r="G1523" s="122">
        <f t="shared" si="52"/>
        <v>0</v>
      </c>
      <c r="H1523" s="123">
        <f>IF(AND(ISNUMBER(F1523), F1523&gt;4, COUNTIFS($A$2:A1523, A1523, $B$2:B1523, B1523, $C$2:C1523, C1523, $F$2:F1523, "&gt;4")=1), 1, 0)</f>
        <v>1</v>
      </c>
      <c r="I1523" s="10">
        <f t="shared" si="53"/>
        <v>0</v>
      </c>
      <c r="J1523" s="10"/>
      <c r="K1523" s="7"/>
      <c r="L1523" s="7"/>
      <c r="M1523" s="7"/>
      <c r="N1523" s="10"/>
      <c r="O1523" s="113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t="15.75" customHeight="1">
      <c r="A1524" s="10" t="s">
        <v>25</v>
      </c>
      <c r="B1524" s="7" t="s">
        <v>126</v>
      </c>
      <c r="C1524" s="135">
        <v>46240</v>
      </c>
      <c r="D1524" s="44" t="s">
        <v>430</v>
      </c>
      <c r="E1524" s="35" t="s">
        <v>701</v>
      </c>
      <c r="F1524" s="121">
        <v>4.6500000000000004</v>
      </c>
      <c r="G1524" s="122">
        <f t="shared" si="52"/>
        <v>0</v>
      </c>
      <c r="H1524" s="123">
        <f>IF(AND(ISNUMBER(F1524), F1524&gt;4, COUNTIFS($A$2:A1524, A1524, $B$2:B1524, B1524, $C$2:C1524, C1524, $F$2:F1524, "&gt;4")=1), 1, 0)</f>
        <v>1</v>
      </c>
      <c r="I1524" s="10">
        <f t="shared" si="53"/>
        <v>0</v>
      </c>
      <c r="J1524" s="10"/>
      <c r="K1524" s="7"/>
      <c r="L1524" s="7"/>
      <c r="M1524" s="7"/>
      <c r="N1524" s="10"/>
      <c r="O1524" s="113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t="15.75" customHeight="1">
      <c r="A1525" s="10" t="s">
        <v>25</v>
      </c>
      <c r="B1525" s="7" t="s">
        <v>126</v>
      </c>
      <c r="C1525" s="135">
        <v>46241</v>
      </c>
      <c r="D1525" s="44" t="s">
        <v>430</v>
      </c>
      <c r="E1525" s="35" t="s">
        <v>738</v>
      </c>
      <c r="F1525" s="121">
        <v>5.12</v>
      </c>
      <c r="G1525" s="122">
        <f t="shared" si="52"/>
        <v>0</v>
      </c>
      <c r="H1525" s="123">
        <f>IF(AND(ISNUMBER(F1525), F1525&gt;4, COUNTIFS($A$2:A1525, A1525, $B$2:B1525, B1525, $C$2:C1525, C1525, $F$2:F1525, "&gt;4")=1), 1, 0)</f>
        <v>1</v>
      </c>
      <c r="I1525" s="10">
        <f t="shared" si="53"/>
        <v>0</v>
      </c>
      <c r="J1525" s="10"/>
      <c r="K1525" s="7"/>
      <c r="L1525" s="7"/>
      <c r="M1525" s="7"/>
      <c r="N1525" s="10"/>
      <c r="O1525" s="113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t="15.75" customHeight="1">
      <c r="A1526" s="10" t="s">
        <v>25</v>
      </c>
      <c r="B1526" s="7" t="s">
        <v>126</v>
      </c>
      <c r="C1526" s="135">
        <v>46242</v>
      </c>
      <c r="D1526" s="44" t="s">
        <v>430</v>
      </c>
      <c r="E1526" s="35" t="s">
        <v>782</v>
      </c>
      <c r="F1526" s="121">
        <v>3.83</v>
      </c>
      <c r="G1526" s="122">
        <f t="shared" si="52"/>
        <v>1</v>
      </c>
      <c r="H1526" s="123">
        <f>IF(AND(ISNUMBER(F1526), F1526&gt;4, COUNTIFS($A$2:A1526, A1526, $B$2:B1526, B1526, $C$2:C1526, C1526, $F$2:F1526, "&gt;4")=1), 1, 0)</f>
        <v>0</v>
      </c>
      <c r="I1526" s="10">
        <f t="shared" si="53"/>
        <v>0</v>
      </c>
      <c r="J1526" s="10"/>
      <c r="K1526" s="7"/>
      <c r="L1526" s="7"/>
      <c r="M1526" s="7"/>
      <c r="N1526" s="10"/>
      <c r="O1526" s="113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t="15.75" customHeight="1">
      <c r="A1527" s="10" t="s">
        <v>25</v>
      </c>
      <c r="B1527" s="7" t="s">
        <v>126</v>
      </c>
      <c r="C1527" s="135">
        <v>46243</v>
      </c>
      <c r="D1527" s="44" t="s">
        <v>430</v>
      </c>
      <c r="E1527" s="35" t="s">
        <v>611</v>
      </c>
      <c r="F1527" s="121">
        <v>3.85</v>
      </c>
      <c r="G1527" s="122">
        <f t="shared" si="52"/>
        <v>1</v>
      </c>
      <c r="H1527" s="123">
        <f>IF(AND(ISNUMBER(F1527), F1527&gt;4, COUNTIFS($A$2:A1527, A1527, $B$2:B1527, B1527, $C$2:C1527, C1527, $F$2:F1527, "&gt;4")=1), 1, 0)</f>
        <v>0</v>
      </c>
      <c r="I1527" s="10">
        <f t="shared" si="53"/>
        <v>0</v>
      </c>
      <c r="J1527" s="10"/>
      <c r="K1527" s="7"/>
      <c r="L1527" s="7"/>
      <c r="M1527" s="7"/>
      <c r="N1527" s="10"/>
      <c r="O1527" s="113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t="15.75" customHeight="1">
      <c r="A1528" s="10" t="s">
        <v>25</v>
      </c>
      <c r="B1528" s="7" t="s">
        <v>126</v>
      </c>
      <c r="C1528" s="135">
        <v>46244</v>
      </c>
      <c r="D1528" s="44" t="s">
        <v>430</v>
      </c>
      <c r="E1528" s="35" t="s">
        <v>610</v>
      </c>
      <c r="F1528" s="121">
        <v>3.98</v>
      </c>
      <c r="G1528" s="122">
        <f t="shared" si="52"/>
        <v>1</v>
      </c>
      <c r="H1528" s="123">
        <f>IF(AND(ISNUMBER(F1528), F1528&gt;4, COUNTIFS($A$2:A1528, A1528, $B$2:B1528, B1528, $C$2:C1528, C1528, $F$2:F1528, "&gt;4")=1), 1, 0)</f>
        <v>0</v>
      </c>
      <c r="I1528" s="10">
        <f t="shared" si="53"/>
        <v>0</v>
      </c>
      <c r="J1528" s="10"/>
      <c r="K1528" s="7"/>
      <c r="L1528" s="7"/>
      <c r="M1528" s="7"/>
      <c r="N1528" s="10"/>
      <c r="O1528" s="113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t="15.75" customHeight="1">
      <c r="A1529" s="10" t="s">
        <v>25</v>
      </c>
      <c r="B1529" s="7" t="s">
        <v>126</v>
      </c>
      <c r="C1529" s="135">
        <v>46245</v>
      </c>
      <c r="D1529" s="44" t="s">
        <v>430</v>
      </c>
      <c r="E1529" s="35" t="s">
        <v>783</v>
      </c>
      <c r="F1529" s="121">
        <v>3.82</v>
      </c>
      <c r="G1529" s="122">
        <f t="shared" si="52"/>
        <v>1</v>
      </c>
      <c r="H1529" s="123">
        <f>IF(AND(ISNUMBER(F1529), F1529&gt;4, COUNTIFS($A$2:A1529, A1529, $B$2:B1529, B1529, $C$2:C1529, C1529, $F$2:F1529, "&gt;4")=1), 1, 0)</f>
        <v>0</v>
      </c>
      <c r="I1529" s="10">
        <f t="shared" si="53"/>
        <v>0</v>
      </c>
      <c r="J1529" s="10"/>
      <c r="K1529" s="7"/>
      <c r="L1529" s="7"/>
      <c r="M1529" s="7"/>
      <c r="N1529" s="10"/>
      <c r="O1529" s="113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t="15.75" customHeight="1">
      <c r="A1530" s="10" t="s">
        <v>25</v>
      </c>
      <c r="B1530" s="7" t="s">
        <v>126</v>
      </c>
      <c r="C1530" s="135">
        <v>46252</v>
      </c>
      <c r="D1530" s="44" t="s">
        <v>430</v>
      </c>
      <c r="E1530" s="35" t="s">
        <v>784</v>
      </c>
      <c r="F1530" s="121">
        <v>6.78</v>
      </c>
      <c r="G1530" s="122">
        <f t="shared" si="52"/>
        <v>0</v>
      </c>
      <c r="H1530" s="123">
        <f>IF(AND(ISNUMBER(F1530), F1530&gt;4, COUNTIFS($A$2:A1530, A1530, $B$2:B1530, B1530, $C$2:C1530, C1530, $F$2:F1530, "&gt;4")=1), 1, 0)</f>
        <v>1</v>
      </c>
      <c r="I1530" s="10">
        <f t="shared" si="53"/>
        <v>0</v>
      </c>
      <c r="J1530" s="10"/>
      <c r="K1530" s="7"/>
      <c r="L1530" s="7"/>
      <c r="M1530" s="7"/>
      <c r="N1530" s="10"/>
      <c r="O1530" s="113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t="15.75" customHeight="1">
      <c r="A1531" s="10" t="s">
        <v>25</v>
      </c>
      <c r="B1531" s="7" t="s">
        <v>126</v>
      </c>
      <c r="C1531" s="135">
        <v>46262</v>
      </c>
      <c r="D1531" s="44" t="s">
        <v>430</v>
      </c>
      <c r="E1531" s="35" t="s">
        <v>655</v>
      </c>
      <c r="F1531" s="121">
        <v>7.02</v>
      </c>
      <c r="G1531" s="122">
        <f t="shared" si="52"/>
        <v>0</v>
      </c>
      <c r="H1531" s="123">
        <f>IF(AND(ISNUMBER(F1531), F1531&gt;4, COUNTIFS($A$2:A1531, A1531, $B$2:B1531, B1531, $C$2:C1531, C1531, $F$2:F1531, "&gt;4")=1), 1, 0)</f>
        <v>1</v>
      </c>
      <c r="I1531" s="10">
        <f t="shared" si="53"/>
        <v>0</v>
      </c>
      <c r="J1531" s="10"/>
      <c r="K1531" s="7"/>
      <c r="L1531" s="7"/>
      <c r="M1531" s="7"/>
      <c r="N1531" s="10"/>
      <c r="O1531" s="113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t="15.75" customHeight="1">
      <c r="A1532" s="10" t="s">
        <v>25</v>
      </c>
      <c r="B1532" s="7" t="s">
        <v>126</v>
      </c>
      <c r="C1532" s="135">
        <v>46235</v>
      </c>
      <c r="D1532" s="44" t="s">
        <v>418</v>
      </c>
      <c r="E1532" s="35" t="s">
        <v>765</v>
      </c>
      <c r="F1532" s="121">
        <v>1.1299999999999999</v>
      </c>
      <c r="G1532" s="122">
        <f t="shared" si="52"/>
        <v>1</v>
      </c>
      <c r="H1532" s="123">
        <f>IF(AND(ISNUMBER(F1532), F1532&gt;4, COUNTIFS($A$2:A1532, A1532, $B$2:B1532, B1532, $C$2:C1532, C1532, $F$2:F1532, "&gt;4")=1), 1, 0)</f>
        <v>0</v>
      </c>
      <c r="I1532" s="10">
        <f t="shared" si="53"/>
        <v>0</v>
      </c>
      <c r="J1532" s="10"/>
      <c r="K1532" s="7"/>
      <c r="L1532" s="7"/>
      <c r="M1532" s="7"/>
      <c r="N1532" s="10"/>
      <c r="O1532" s="113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t="15.75" customHeight="1">
      <c r="A1533" s="10" t="s">
        <v>25</v>
      </c>
      <c r="B1533" s="7" t="s">
        <v>126</v>
      </c>
      <c r="C1533" s="135">
        <v>46245</v>
      </c>
      <c r="D1533" s="44" t="s">
        <v>418</v>
      </c>
      <c r="E1533" s="35" t="s">
        <v>672</v>
      </c>
      <c r="F1533" s="121">
        <v>0.93</v>
      </c>
      <c r="G1533" s="122">
        <f t="shared" si="52"/>
        <v>1</v>
      </c>
      <c r="H1533" s="123">
        <f>IF(AND(ISNUMBER(F1533), F1533&gt;4, COUNTIFS($A$2:A1533, A1533, $B$2:B1533, B1533, $C$2:C1533, C1533, $F$2:F1533, "&gt;4")=1), 1, 0)</f>
        <v>0</v>
      </c>
      <c r="I1533" s="10">
        <f t="shared" si="53"/>
        <v>0</v>
      </c>
      <c r="J1533" s="10"/>
      <c r="K1533" s="7"/>
      <c r="L1533" s="7"/>
      <c r="M1533" s="7"/>
      <c r="N1533" s="10"/>
      <c r="O1533" s="113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t="15.75" customHeight="1">
      <c r="A1534" s="10" t="s">
        <v>25</v>
      </c>
      <c r="B1534" s="7" t="s">
        <v>126</v>
      </c>
      <c r="C1534" s="135">
        <v>46247</v>
      </c>
      <c r="D1534" s="44" t="s">
        <v>418</v>
      </c>
      <c r="E1534" s="35" t="s">
        <v>785</v>
      </c>
      <c r="F1534" s="121">
        <v>2.12</v>
      </c>
      <c r="G1534" s="122">
        <f t="shared" si="52"/>
        <v>1</v>
      </c>
      <c r="H1534" s="123">
        <f>IF(AND(ISNUMBER(F1534), F1534&gt;4, COUNTIFS($A$2:A1534, A1534, $B$2:B1534, B1534, $C$2:C1534, C1534, $F$2:F1534, "&gt;4")=1), 1, 0)</f>
        <v>0</v>
      </c>
      <c r="I1534" s="10">
        <f t="shared" si="53"/>
        <v>0</v>
      </c>
      <c r="J1534" s="10"/>
      <c r="K1534" s="7"/>
      <c r="L1534" s="7"/>
      <c r="M1534" s="7"/>
      <c r="N1534" s="10"/>
      <c r="O1534" s="113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t="15.75" customHeight="1">
      <c r="A1535" s="10" t="s">
        <v>25</v>
      </c>
      <c r="B1535" s="7" t="s">
        <v>126</v>
      </c>
      <c r="C1535" s="135">
        <v>46252</v>
      </c>
      <c r="D1535" s="44" t="s">
        <v>418</v>
      </c>
      <c r="E1535" s="35" t="s">
        <v>786</v>
      </c>
      <c r="F1535" s="121">
        <v>2.5</v>
      </c>
      <c r="G1535" s="122">
        <f t="shared" si="52"/>
        <v>1</v>
      </c>
      <c r="H1535" s="123">
        <f>IF(AND(ISNUMBER(F1535), F1535&gt;4, COUNTIFS($A$2:A1535, A1535, $B$2:B1535, B1535, $C$2:C1535, C1535, $F$2:F1535, "&gt;4")=1), 1, 0)</f>
        <v>0</v>
      </c>
      <c r="I1535" s="10">
        <f t="shared" si="53"/>
        <v>0</v>
      </c>
      <c r="J1535" s="10"/>
      <c r="K1535" s="7"/>
      <c r="L1535" s="7"/>
      <c r="M1535" s="7"/>
      <c r="N1535" s="10"/>
      <c r="O1535" s="113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t="15.75" customHeight="1">
      <c r="A1536" s="10" t="s">
        <v>25</v>
      </c>
      <c r="B1536" s="7" t="s">
        <v>126</v>
      </c>
      <c r="C1536" s="135">
        <v>46253</v>
      </c>
      <c r="D1536" s="44" t="s">
        <v>418</v>
      </c>
      <c r="E1536" s="35" t="s">
        <v>787</v>
      </c>
      <c r="F1536" s="121">
        <v>2.08</v>
      </c>
      <c r="G1536" s="122">
        <f t="shared" si="52"/>
        <v>1</v>
      </c>
      <c r="H1536" s="123">
        <f>IF(AND(ISNUMBER(F1536), F1536&gt;4, COUNTIFS($A$2:A1536, A1536, $B$2:B1536, B1536, $C$2:C1536, C1536, $F$2:F1536, "&gt;4")=1), 1, 0)</f>
        <v>0</v>
      </c>
      <c r="I1536" s="10">
        <f t="shared" si="53"/>
        <v>0</v>
      </c>
      <c r="J1536" s="10"/>
      <c r="K1536" s="7"/>
      <c r="L1536" s="7"/>
      <c r="M1536" s="7"/>
      <c r="N1536" s="10"/>
      <c r="O1536" s="113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t="15.75" customHeight="1">
      <c r="A1537" s="10" t="s">
        <v>25</v>
      </c>
      <c r="B1537" s="7" t="s">
        <v>126</v>
      </c>
      <c r="C1537" s="135">
        <v>46255</v>
      </c>
      <c r="D1537" s="44" t="s">
        <v>418</v>
      </c>
      <c r="E1537" s="35" t="s">
        <v>788</v>
      </c>
      <c r="F1537" s="121">
        <v>1.08</v>
      </c>
      <c r="G1537" s="122">
        <f t="shared" si="52"/>
        <v>1</v>
      </c>
      <c r="H1537" s="123">
        <f>IF(AND(ISNUMBER(F1537), F1537&gt;4, COUNTIFS($A$2:A1537, A1537, $B$2:B1537, B1537, $C$2:C1537, C1537, $F$2:F1537, "&gt;4")=1), 1, 0)</f>
        <v>0</v>
      </c>
      <c r="I1537" s="10">
        <f t="shared" si="53"/>
        <v>0</v>
      </c>
      <c r="J1537" s="10"/>
      <c r="K1537" s="7"/>
      <c r="L1537" s="7"/>
      <c r="M1537" s="7"/>
      <c r="N1537" s="10"/>
      <c r="O1537" s="113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t="15.75" customHeight="1">
      <c r="A1538" s="10" t="s">
        <v>25</v>
      </c>
      <c r="B1538" s="7" t="s">
        <v>126</v>
      </c>
      <c r="C1538" s="135">
        <v>46257</v>
      </c>
      <c r="D1538" s="44" t="s">
        <v>418</v>
      </c>
      <c r="E1538" s="35" t="s">
        <v>582</v>
      </c>
      <c r="F1538" s="121">
        <v>1</v>
      </c>
      <c r="G1538" s="122">
        <f t="shared" ref="G1538:G1601" si="54">IF(AND(ISNUMBER(F1538), F1538&lt;=4), 1, 0)</f>
        <v>1</v>
      </c>
      <c r="H1538" s="123">
        <f>IF(AND(ISNUMBER(F1538), F1538&gt;4, COUNTIFS($A$2:A1538, A1538, $B$2:B1538, B1538, $C$2:C1538, C1538, $F$2:F1538, "&gt;4")=1), 1, 0)</f>
        <v>0</v>
      </c>
      <c r="I1538" s="10">
        <f t="shared" ref="I1538:I1601" si="55">IF(AND(ISNUMBER(F1538), F1538&gt;4, ISNUMBER(SEARCH("đêm", D1538))), 1, 0)</f>
        <v>0</v>
      </c>
      <c r="J1538" s="10"/>
      <c r="K1538" s="7"/>
      <c r="L1538" s="7"/>
      <c r="M1538" s="7"/>
      <c r="N1538" s="10"/>
      <c r="O1538" s="113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t="15.75" customHeight="1">
      <c r="A1539" s="10" t="s">
        <v>25</v>
      </c>
      <c r="B1539" s="7" t="s">
        <v>126</v>
      </c>
      <c r="C1539" s="135">
        <v>46258</v>
      </c>
      <c r="D1539" s="44" t="s">
        <v>418</v>
      </c>
      <c r="E1539" s="35" t="s">
        <v>789</v>
      </c>
      <c r="F1539" s="121">
        <v>2.68</v>
      </c>
      <c r="G1539" s="122">
        <f t="shared" si="54"/>
        <v>1</v>
      </c>
      <c r="H1539" s="123">
        <f>IF(AND(ISNUMBER(F1539), F1539&gt;4, COUNTIFS($A$2:A1539, A1539, $B$2:B1539, B1539, $C$2:C1539, C1539, $F$2:F1539, "&gt;4")=1), 1, 0)</f>
        <v>0</v>
      </c>
      <c r="I1539" s="10">
        <f t="shared" si="55"/>
        <v>0</v>
      </c>
      <c r="J1539" s="10"/>
      <c r="K1539" s="7"/>
      <c r="L1539" s="7"/>
      <c r="M1539" s="7"/>
      <c r="N1539" s="10"/>
      <c r="O1539" s="113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t="15.75" customHeight="1">
      <c r="A1540" s="10" t="s">
        <v>25</v>
      </c>
      <c r="B1540" s="7" t="s">
        <v>126</v>
      </c>
      <c r="C1540" s="135">
        <v>46263</v>
      </c>
      <c r="D1540" s="44" t="s">
        <v>418</v>
      </c>
      <c r="E1540" s="35" t="s">
        <v>790</v>
      </c>
      <c r="F1540" s="121">
        <v>4.53</v>
      </c>
      <c r="G1540" s="122">
        <f t="shared" si="54"/>
        <v>0</v>
      </c>
      <c r="H1540" s="123">
        <f>IF(AND(ISNUMBER(F1540), F1540&gt;4, COUNTIFS($A$2:A1540, A1540, $B$2:B1540, B1540, $C$2:C1540, C1540, $F$2:F1540, "&gt;4")=1), 1, 0)</f>
        <v>0</v>
      </c>
      <c r="I1540" s="10">
        <f t="shared" si="55"/>
        <v>1</v>
      </c>
      <c r="J1540" s="10"/>
      <c r="K1540" s="7"/>
      <c r="L1540" s="7"/>
      <c r="M1540" s="7"/>
      <c r="N1540" s="10"/>
      <c r="O1540" s="113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t="15.75" customHeight="1">
      <c r="A1541" s="10" t="s">
        <v>25</v>
      </c>
      <c r="B1541" s="7" t="s">
        <v>126</v>
      </c>
      <c r="C1541" s="135">
        <v>46264</v>
      </c>
      <c r="D1541" s="44" t="s">
        <v>418</v>
      </c>
      <c r="E1541" s="35" t="s">
        <v>791</v>
      </c>
      <c r="F1541" s="121">
        <v>2.27</v>
      </c>
      <c r="G1541" s="122">
        <f t="shared" si="54"/>
        <v>1</v>
      </c>
      <c r="H1541" s="123">
        <f>IF(AND(ISNUMBER(F1541), F1541&gt;4, COUNTIFS($A$2:A1541, A1541, $B$2:B1541, B1541, $C$2:C1541, C1541, $F$2:F1541, "&gt;4")=1), 1, 0)</f>
        <v>0</v>
      </c>
      <c r="I1541" s="10">
        <f t="shared" si="55"/>
        <v>0</v>
      </c>
      <c r="J1541" s="10"/>
      <c r="K1541" s="7"/>
      <c r="L1541" s="7"/>
      <c r="M1541" s="7"/>
      <c r="N1541" s="10"/>
      <c r="O1541" s="113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t="15.75" customHeight="1">
      <c r="A1542" s="10" t="s">
        <v>25</v>
      </c>
      <c r="B1542" s="7" t="s">
        <v>126</v>
      </c>
      <c r="C1542" s="135">
        <v>46239</v>
      </c>
      <c r="D1542" s="44" t="s">
        <v>433</v>
      </c>
      <c r="E1542" s="35" t="s">
        <v>296</v>
      </c>
      <c r="F1542" s="121">
        <v>4</v>
      </c>
      <c r="G1542" s="122">
        <f t="shared" si="54"/>
        <v>1</v>
      </c>
      <c r="H1542" s="123">
        <f>IF(AND(ISNUMBER(F1542), F1542&gt;4, COUNTIFS($A$2:A1542, A1542, $B$2:B1542, B1542, $C$2:C1542, C1542, $F$2:F1542, "&gt;4")=1), 1, 0)</f>
        <v>0</v>
      </c>
      <c r="I1542" s="10">
        <f t="shared" si="55"/>
        <v>0</v>
      </c>
      <c r="J1542" s="10"/>
      <c r="K1542" s="7"/>
      <c r="L1542" s="7"/>
      <c r="M1542" s="7"/>
      <c r="N1542" s="10"/>
      <c r="O1542" s="113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t="15.75" customHeight="1">
      <c r="A1543" s="10" t="s">
        <v>25</v>
      </c>
      <c r="B1543" s="7" t="s">
        <v>126</v>
      </c>
      <c r="C1543" s="135">
        <v>46240</v>
      </c>
      <c r="D1543" s="44" t="s">
        <v>433</v>
      </c>
      <c r="E1543" s="35" t="s">
        <v>376</v>
      </c>
      <c r="F1543" s="121">
        <v>4.32</v>
      </c>
      <c r="G1543" s="122">
        <f t="shared" si="54"/>
        <v>0</v>
      </c>
      <c r="H1543" s="123">
        <f>IF(AND(ISNUMBER(F1543), F1543&gt;4, COUNTIFS($A$2:A1543, A1543, $B$2:B1543, B1543, $C$2:C1543, C1543, $F$2:F1543, "&gt;4")=1), 1, 0)</f>
        <v>0</v>
      </c>
      <c r="I1543" s="10">
        <f t="shared" si="55"/>
        <v>1</v>
      </c>
      <c r="J1543" s="10"/>
      <c r="K1543" s="7"/>
      <c r="L1543" s="7"/>
      <c r="M1543" s="7"/>
      <c r="N1543" s="10"/>
      <c r="O1543" s="113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t="15.75" customHeight="1">
      <c r="A1544" s="10" t="s">
        <v>25</v>
      </c>
      <c r="B1544" s="7" t="s">
        <v>126</v>
      </c>
      <c r="C1544" s="135">
        <v>46241</v>
      </c>
      <c r="D1544" s="44" t="s">
        <v>433</v>
      </c>
      <c r="E1544" s="35" t="s">
        <v>653</v>
      </c>
      <c r="F1544" s="121">
        <v>5.0199999999999996</v>
      </c>
      <c r="G1544" s="122">
        <f t="shared" si="54"/>
        <v>0</v>
      </c>
      <c r="H1544" s="123">
        <f>IF(AND(ISNUMBER(F1544), F1544&gt;4, COUNTIFS($A$2:A1544, A1544, $B$2:B1544, B1544, $C$2:C1544, C1544, $F$2:F1544, "&gt;4")=1), 1, 0)</f>
        <v>0</v>
      </c>
      <c r="I1544" s="10">
        <f t="shared" si="55"/>
        <v>1</v>
      </c>
      <c r="J1544" s="10"/>
      <c r="K1544" s="7"/>
      <c r="L1544" s="7"/>
      <c r="M1544" s="7"/>
      <c r="N1544" s="10"/>
      <c r="O1544" s="113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t="15.75" customHeight="1">
      <c r="A1545" s="10" t="s">
        <v>25</v>
      </c>
      <c r="B1545" s="7" t="s">
        <v>126</v>
      </c>
      <c r="C1545" s="135">
        <v>46242</v>
      </c>
      <c r="D1545" s="44" t="s">
        <v>433</v>
      </c>
      <c r="E1545" s="35" t="s">
        <v>792</v>
      </c>
      <c r="F1545" s="121">
        <v>4.43</v>
      </c>
      <c r="G1545" s="122">
        <f t="shared" si="54"/>
        <v>0</v>
      </c>
      <c r="H1545" s="123">
        <f>IF(AND(ISNUMBER(F1545), F1545&gt;4, COUNTIFS($A$2:A1545, A1545, $B$2:B1545, B1545, $C$2:C1545, C1545, $F$2:F1545, "&gt;4")=1), 1, 0)</f>
        <v>1</v>
      </c>
      <c r="I1545" s="10">
        <f t="shared" si="55"/>
        <v>1</v>
      </c>
      <c r="J1545" s="10"/>
      <c r="K1545" s="7"/>
      <c r="L1545" s="7"/>
      <c r="M1545" s="7"/>
      <c r="N1545" s="10"/>
      <c r="O1545" s="113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t="15.75" customHeight="1">
      <c r="A1546" s="10" t="s">
        <v>25</v>
      </c>
      <c r="B1546" s="7" t="s">
        <v>126</v>
      </c>
      <c r="C1546" s="135">
        <v>46243</v>
      </c>
      <c r="D1546" s="44" t="s">
        <v>433</v>
      </c>
      <c r="E1546" s="35" t="s">
        <v>371</v>
      </c>
      <c r="F1546" s="121">
        <v>4.5</v>
      </c>
      <c r="G1546" s="122">
        <f t="shared" si="54"/>
        <v>0</v>
      </c>
      <c r="H1546" s="123">
        <f>IF(AND(ISNUMBER(F1546), F1546&gt;4, COUNTIFS($A$2:A1546, A1546, $B$2:B1546, B1546, $C$2:C1546, C1546, $F$2:F1546, "&gt;4")=1), 1, 0)</f>
        <v>1</v>
      </c>
      <c r="I1546" s="10">
        <f t="shared" si="55"/>
        <v>1</v>
      </c>
      <c r="J1546" s="10"/>
      <c r="K1546" s="7"/>
      <c r="L1546" s="7"/>
      <c r="M1546" s="7"/>
      <c r="N1546" s="10"/>
      <c r="O1546" s="113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t="15.75" customHeight="1">
      <c r="A1547" s="10" t="s">
        <v>25</v>
      </c>
      <c r="B1547" s="7" t="s">
        <v>126</v>
      </c>
      <c r="C1547" s="135">
        <v>46244</v>
      </c>
      <c r="D1547" s="44" t="s">
        <v>433</v>
      </c>
      <c r="E1547" s="35" t="s">
        <v>697</v>
      </c>
      <c r="F1547" s="121">
        <v>4.57</v>
      </c>
      <c r="G1547" s="122">
        <f t="shared" si="54"/>
        <v>0</v>
      </c>
      <c r="H1547" s="123">
        <f>IF(AND(ISNUMBER(F1547), F1547&gt;4, COUNTIFS($A$2:A1547, A1547, $B$2:B1547, B1547, $C$2:C1547, C1547, $F$2:F1547, "&gt;4")=1), 1, 0)</f>
        <v>1</v>
      </c>
      <c r="I1547" s="10">
        <f t="shared" si="55"/>
        <v>1</v>
      </c>
      <c r="J1547" s="10"/>
      <c r="K1547" s="7"/>
      <c r="L1547" s="7"/>
      <c r="M1547" s="7"/>
      <c r="N1547" s="10"/>
      <c r="O1547" s="113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t="15.75" customHeight="1">
      <c r="A1548" s="10" t="s">
        <v>26</v>
      </c>
      <c r="B1548" s="7" t="s">
        <v>131</v>
      </c>
      <c r="C1548" s="135">
        <v>46237</v>
      </c>
      <c r="D1548" s="44" t="s">
        <v>191</v>
      </c>
      <c r="E1548" s="35" t="s">
        <v>478</v>
      </c>
      <c r="F1548" s="121">
        <v>7.7</v>
      </c>
      <c r="G1548" s="122">
        <f t="shared" si="54"/>
        <v>0</v>
      </c>
      <c r="H1548" s="123">
        <f>IF(AND(ISNUMBER(F1548), F1548&gt;4, COUNTIFS($A$2:A1548, A1548, $B$2:B1548, B1548, $C$2:C1548, C1548, $F$2:F1548, "&gt;4")=1), 1, 0)</f>
        <v>1</v>
      </c>
      <c r="I1548" s="10">
        <f t="shared" si="55"/>
        <v>0</v>
      </c>
      <c r="J1548" s="10"/>
      <c r="K1548" s="7"/>
      <c r="L1548" s="7"/>
      <c r="M1548" s="7"/>
      <c r="N1548" s="10"/>
      <c r="O1548" s="113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t="15.75" customHeight="1">
      <c r="A1549" s="10" t="s">
        <v>26</v>
      </c>
      <c r="B1549" s="7" t="s">
        <v>131</v>
      </c>
      <c r="C1549" s="135">
        <v>46238</v>
      </c>
      <c r="D1549" s="44" t="s">
        <v>191</v>
      </c>
      <c r="E1549" s="35" t="s">
        <v>793</v>
      </c>
      <c r="F1549" s="121">
        <v>8.85</v>
      </c>
      <c r="G1549" s="122">
        <f t="shared" si="54"/>
        <v>0</v>
      </c>
      <c r="H1549" s="123">
        <f>IF(AND(ISNUMBER(F1549), F1549&gt;4, COUNTIFS($A$2:A1549, A1549, $B$2:B1549, B1549, $C$2:C1549, C1549, $F$2:F1549, "&gt;4")=1), 1, 0)</f>
        <v>1</v>
      </c>
      <c r="I1549" s="10">
        <f t="shared" si="55"/>
        <v>0</v>
      </c>
      <c r="J1549" s="10"/>
      <c r="K1549" s="7"/>
      <c r="L1549" s="7"/>
      <c r="M1549" s="7"/>
      <c r="N1549" s="10"/>
      <c r="O1549" s="113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t="15.75" customHeight="1">
      <c r="A1550" s="10" t="s">
        <v>26</v>
      </c>
      <c r="B1550" s="7" t="s">
        <v>131</v>
      </c>
      <c r="C1550" s="135">
        <v>46247</v>
      </c>
      <c r="D1550" s="44" t="s">
        <v>191</v>
      </c>
      <c r="E1550" s="35" t="s">
        <v>497</v>
      </c>
      <c r="F1550" s="121">
        <v>8.43</v>
      </c>
      <c r="G1550" s="122">
        <f t="shared" si="54"/>
        <v>0</v>
      </c>
      <c r="H1550" s="123">
        <f>IF(AND(ISNUMBER(F1550), F1550&gt;4, COUNTIFS($A$2:A1550, A1550, $B$2:B1550, B1550, $C$2:C1550, C1550, $F$2:F1550, "&gt;4")=1), 1, 0)</f>
        <v>1</v>
      </c>
      <c r="I1550" s="10">
        <f t="shared" si="55"/>
        <v>0</v>
      </c>
      <c r="J1550" s="10"/>
      <c r="K1550" s="7"/>
      <c r="L1550" s="7"/>
      <c r="M1550" s="7"/>
      <c r="N1550" s="10"/>
      <c r="O1550" s="113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t="15.75" customHeight="1">
      <c r="A1551" s="10" t="s">
        <v>26</v>
      </c>
      <c r="B1551" s="7" t="s">
        <v>131</v>
      </c>
      <c r="C1551" s="135">
        <v>46249</v>
      </c>
      <c r="D1551" s="44" t="s">
        <v>191</v>
      </c>
      <c r="E1551" s="35" t="s">
        <v>484</v>
      </c>
      <c r="F1551" s="121">
        <v>7.82</v>
      </c>
      <c r="G1551" s="122">
        <f t="shared" si="54"/>
        <v>0</v>
      </c>
      <c r="H1551" s="123">
        <f>IF(AND(ISNUMBER(F1551), F1551&gt;4, COUNTIFS($A$2:A1551, A1551, $B$2:B1551, B1551, $C$2:C1551, C1551, $F$2:F1551, "&gt;4")=1), 1, 0)</f>
        <v>1</v>
      </c>
      <c r="I1551" s="10">
        <f t="shared" si="55"/>
        <v>0</v>
      </c>
      <c r="J1551" s="10"/>
      <c r="K1551" s="7"/>
      <c r="L1551" s="7"/>
      <c r="M1551" s="7"/>
      <c r="N1551" s="10"/>
      <c r="O1551" s="113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 ht="15.75" customHeight="1">
      <c r="A1552" s="10" t="s">
        <v>26</v>
      </c>
      <c r="B1552" s="7" t="s">
        <v>131</v>
      </c>
      <c r="C1552" s="135">
        <v>46250</v>
      </c>
      <c r="D1552" s="44" t="s">
        <v>191</v>
      </c>
      <c r="E1552" s="35" t="s">
        <v>484</v>
      </c>
      <c r="F1552" s="121">
        <v>7.82</v>
      </c>
      <c r="G1552" s="122">
        <f t="shared" si="54"/>
        <v>0</v>
      </c>
      <c r="H1552" s="123">
        <f>IF(AND(ISNUMBER(F1552), F1552&gt;4, COUNTIFS($A$2:A1552, A1552, $B$2:B1552, B1552, $C$2:C1552, C1552, $F$2:F1552, "&gt;4")=1), 1, 0)</f>
        <v>1</v>
      </c>
      <c r="I1552" s="10">
        <f t="shared" si="55"/>
        <v>0</v>
      </c>
      <c r="J1552" s="10"/>
      <c r="K1552" s="7"/>
      <c r="L1552" s="7"/>
      <c r="M1552" s="7"/>
      <c r="N1552" s="10"/>
      <c r="O1552" s="113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ht="15.75" customHeight="1">
      <c r="A1553" s="10" t="s">
        <v>26</v>
      </c>
      <c r="B1553" s="7" t="s">
        <v>131</v>
      </c>
      <c r="C1553" s="135">
        <v>46252</v>
      </c>
      <c r="D1553" s="44" t="s">
        <v>191</v>
      </c>
      <c r="E1553" s="35" t="s">
        <v>514</v>
      </c>
      <c r="F1553" s="121">
        <v>8.5500000000000007</v>
      </c>
      <c r="G1553" s="122">
        <f t="shared" si="54"/>
        <v>0</v>
      </c>
      <c r="H1553" s="123">
        <f>IF(AND(ISNUMBER(F1553), F1553&gt;4, COUNTIFS($A$2:A1553, A1553, $B$2:B1553, B1553, $C$2:C1553, C1553, $F$2:F1553, "&gt;4")=1), 1, 0)</f>
        <v>1</v>
      </c>
      <c r="I1553" s="10">
        <f t="shared" si="55"/>
        <v>0</v>
      </c>
      <c r="J1553" s="10"/>
      <c r="K1553" s="7"/>
      <c r="L1553" s="7"/>
      <c r="M1553" s="7"/>
      <c r="N1553" s="10"/>
      <c r="O1553" s="113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t="15.75" customHeight="1">
      <c r="A1554" s="10" t="s">
        <v>26</v>
      </c>
      <c r="B1554" s="7" t="s">
        <v>131</v>
      </c>
      <c r="C1554" s="135">
        <v>46255</v>
      </c>
      <c r="D1554" s="44" t="s">
        <v>191</v>
      </c>
      <c r="E1554" s="35" t="s">
        <v>794</v>
      </c>
      <c r="F1554" s="121">
        <v>10.4</v>
      </c>
      <c r="G1554" s="122">
        <f t="shared" si="54"/>
        <v>0</v>
      </c>
      <c r="H1554" s="123">
        <f>IF(AND(ISNUMBER(F1554), F1554&gt;4, COUNTIFS($A$2:A1554, A1554, $B$2:B1554, B1554, $C$2:C1554, C1554, $F$2:F1554, "&gt;4")=1), 1, 0)</f>
        <v>1</v>
      </c>
      <c r="I1554" s="10">
        <f t="shared" si="55"/>
        <v>0</v>
      </c>
      <c r="J1554" s="10"/>
      <c r="K1554" s="7"/>
      <c r="L1554" s="7"/>
      <c r="M1554" s="7"/>
      <c r="N1554" s="10"/>
      <c r="O1554" s="113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 ht="15.75" customHeight="1">
      <c r="A1555" s="10" t="s">
        <v>26</v>
      </c>
      <c r="B1555" s="7" t="s">
        <v>131</v>
      </c>
      <c r="C1555" s="135">
        <v>46256</v>
      </c>
      <c r="D1555" s="44" t="s">
        <v>191</v>
      </c>
      <c r="E1555" s="35" t="s">
        <v>795</v>
      </c>
      <c r="F1555" s="121">
        <v>10.25</v>
      </c>
      <c r="G1555" s="122">
        <f t="shared" si="54"/>
        <v>0</v>
      </c>
      <c r="H1555" s="123">
        <f>IF(AND(ISNUMBER(F1555), F1555&gt;4, COUNTIFS($A$2:A1555, A1555, $B$2:B1555, B1555, $C$2:C1555, C1555, $F$2:F1555, "&gt;4")=1), 1, 0)</f>
        <v>1</v>
      </c>
      <c r="I1555" s="10">
        <f t="shared" si="55"/>
        <v>0</v>
      </c>
      <c r="J1555" s="10"/>
      <c r="K1555" s="7"/>
      <c r="L1555" s="7"/>
      <c r="M1555" s="7"/>
      <c r="N1555" s="10"/>
      <c r="O1555" s="113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t="15.75" customHeight="1">
      <c r="A1556" s="10" t="s">
        <v>26</v>
      </c>
      <c r="B1556" s="7" t="s">
        <v>131</v>
      </c>
      <c r="C1556" s="135">
        <v>46257</v>
      </c>
      <c r="D1556" s="44" t="s">
        <v>191</v>
      </c>
      <c r="E1556" s="35" t="s">
        <v>485</v>
      </c>
      <c r="F1556" s="121">
        <v>7.67</v>
      </c>
      <c r="G1556" s="122">
        <f t="shared" si="54"/>
        <v>0</v>
      </c>
      <c r="H1556" s="123">
        <f>IF(AND(ISNUMBER(F1556), F1556&gt;4, COUNTIFS($A$2:A1556, A1556, $B$2:B1556, B1556, $C$2:C1556, C1556, $F$2:F1556, "&gt;4")=1), 1, 0)</f>
        <v>1</v>
      </c>
      <c r="I1556" s="10">
        <f t="shared" si="55"/>
        <v>0</v>
      </c>
      <c r="J1556" s="10"/>
      <c r="K1556" s="7"/>
      <c r="L1556" s="7"/>
      <c r="M1556" s="7"/>
      <c r="N1556" s="10"/>
      <c r="O1556" s="113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ht="15.75" customHeight="1">
      <c r="A1557" s="10" t="s">
        <v>26</v>
      </c>
      <c r="B1557" s="7" t="s">
        <v>131</v>
      </c>
      <c r="C1557" s="135">
        <v>46259</v>
      </c>
      <c r="D1557" s="44" t="s">
        <v>191</v>
      </c>
      <c r="E1557" s="35" t="s">
        <v>617</v>
      </c>
      <c r="F1557" s="121">
        <v>8.67</v>
      </c>
      <c r="G1557" s="122">
        <f t="shared" si="54"/>
        <v>0</v>
      </c>
      <c r="H1557" s="123">
        <f>IF(AND(ISNUMBER(F1557), F1557&gt;4, COUNTIFS($A$2:A1557, A1557, $B$2:B1557, B1557, $C$2:C1557, C1557, $F$2:F1557, "&gt;4")=1), 1, 0)</f>
        <v>1</v>
      </c>
      <c r="I1557" s="10">
        <f t="shared" si="55"/>
        <v>0</v>
      </c>
      <c r="J1557" s="10"/>
      <c r="K1557" s="7"/>
      <c r="L1557" s="7"/>
      <c r="M1557" s="7"/>
      <c r="N1557" s="10"/>
      <c r="O1557" s="113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t="15.75" customHeight="1">
      <c r="A1558" s="10" t="s">
        <v>26</v>
      </c>
      <c r="B1558" s="7" t="s">
        <v>131</v>
      </c>
      <c r="C1558" s="135">
        <v>46263</v>
      </c>
      <c r="D1558" s="44" t="s">
        <v>191</v>
      </c>
      <c r="E1558" s="35" t="s">
        <v>391</v>
      </c>
      <c r="F1558" s="121">
        <v>10</v>
      </c>
      <c r="G1558" s="122">
        <f t="shared" si="54"/>
        <v>0</v>
      </c>
      <c r="H1558" s="123">
        <f>IF(AND(ISNUMBER(F1558), F1558&gt;4, COUNTIFS($A$2:A1558, A1558, $B$2:B1558, B1558, $C$2:C1558, C1558, $F$2:F1558, "&gt;4")=1), 1, 0)</f>
        <v>1</v>
      </c>
      <c r="I1558" s="10">
        <f t="shared" si="55"/>
        <v>0</v>
      </c>
      <c r="J1558" s="10"/>
      <c r="K1558" s="7"/>
      <c r="L1558" s="7"/>
      <c r="M1558" s="7"/>
      <c r="N1558" s="10"/>
      <c r="O1558" s="113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ht="15.75" customHeight="1">
      <c r="A1559" s="10" t="s">
        <v>26</v>
      </c>
      <c r="B1559" s="7" t="s">
        <v>131</v>
      </c>
      <c r="C1559" s="135">
        <v>46242</v>
      </c>
      <c r="D1559" s="44" t="s">
        <v>436</v>
      </c>
      <c r="E1559" s="35" t="s">
        <v>704</v>
      </c>
      <c r="F1559" s="121">
        <v>7.65</v>
      </c>
      <c r="G1559" s="122">
        <f t="shared" si="54"/>
        <v>0</v>
      </c>
      <c r="H1559" s="123">
        <f>IF(AND(ISNUMBER(F1559), F1559&gt;4, COUNTIFS($A$2:A1559, A1559, $B$2:B1559, B1559, $C$2:C1559, C1559, $F$2:F1559, "&gt;4")=1), 1, 0)</f>
        <v>1</v>
      </c>
      <c r="I1559" s="10">
        <f t="shared" si="55"/>
        <v>0</v>
      </c>
      <c r="J1559" s="10"/>
      <c r="K1559" s="7"/>
      <c r="L1559" s="7"/>
      <c r="M1559" s="7"/>
      <c r="N1559" s="10"/>
      <c r="O1559" s="113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t="15.75" customHeight="1">
      <c r="A1560" s="10" t="s">
        <v>26</v>
      </c>
      <c r="B1560" s="7" t="s">
        <v>131</v>
      </c>
      <c r="C1560" s="135">
        <v>46243</v>
      </c>
      <c r="D1560" s="44" t="s">
        <v>436</v>
      </c>
      <c r="E1560" s="35" t="s">
        <v>199</v>
      </c>
      <c r="F1560" s="121">
        <v>8</v>
      </c>
      <c r="G1560" s="122">
        <f t="shared" si="54"/>
        <v>0</v>
      </c>
      <c r="H1560" s="123">
        <f>IF(AND(ISNUMBER(F1560), F1560&gt;4, COUNTIFS($A$2:A1560, A1560, $B$2:B1560, B1560, $C$2:C1560, C1560, $F$2:F1560, "&gt;4")=1), 1, 0)</f>
        <v>1</v>
      </c>
      <c r="I1560" s="10">
        <f t="shared" si="55"/>
        <v>0</v>
      </c>
      <c r="J1560" s="10"/>
      <c r="K1560" s="7"/>
      <c r="L1560" s="7"/>
      <c r="M1560" s="7"/>
      <c r="N1560" s="10"/>
      <c r="O1560" s="113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t="15.75" customHeight="1">
      <c r="A1561" s="10" t="s">
        <v>26</v>
      </c>
      <c r="B1561" s="7" t="s">
        <v>131</v>
      </c>
      <c r="C1561" s="135">
        <v>46248</v>
      </c>
      <c r="D1561" s="44" t="s">
        <v>436</v>
      </c>
      <c r="E1561" s="35" t="s">
        <v>490</v>
      </c>
      <c r="F1561" s="121">
        <v>8.23</v>
      </c>
      <c r="G1561" s="122">
        <f t="shared" si="54"/>
        <v>0</v>
      </c>
      <c r="H1561" s="123">
        <f>IF(AND(ISNUMBER(F1561), F1561&gt;4, COUNTIFS($A$2:A1561, A1561, $B$2:B1561, B1561, $C$2:C1561, C1561, $F$2:F1561, "&gt;4")=1), 1, 0)</f>
        <v>1</v>
      </c>
      <c r="I1561" s="10">
        <f t="shared" si="55"/>
        <v>0</v>
      </c>
      <c r="J1561" s="10"/>
      <c r="K1561" s="7"/>
      <c r="L1561" s="7"/>
      <c r="M1561" s="7"/>
      <c r="N1561" s="10"/>
      <c r="O1561" s="113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ht="15.75" customHeight="1">
      <c r="A1562" s="10" t="s">
        <v>26</v>
      </c>
      <c r="B1562" s="7" t="s">
        <v>131</v>
      </c>
      <c r="C1562" s="135">
        <v>46251</v>
      </c>
      <c r="D1562" s="44" t="s">
        <v>436</v>
      </c>
      <c r="E1562" s="35" t="s">
        <v>796</v>
      </c>
      <c r="F1562" s="121">
        <v>5.27</v>
      </c>
      <c r="G1562" s="122">
        <f t="shared" si="54"/>
        <v>0</v>
      </c>
      <c r="H1562" s="123">
        <f>IF(AND(ISNUMBER(F1562), F1562&gt;4, COUNTIFS($A$2:A1562, A1562, $B$2:B1562, B1562, $C$2:C1562, C1562, $F$2:F1562, "&gt;4")=1), 1, 0)</f>
        <v>1</v>
      </c>
      <c r="I1562" s="10">
        <f t="shared" si="55"/>
        <v>0</v>
      </c>
      <c r="J1562" s="10"/>
      <c r="K1562" s="7"/>
      <c r="L1562" s="7"/>
      <c r="M1562" s="7"/>
      <c r="N1562" s="10"/>
      <c r="O1562" s="113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t="15.75" customHeight="1">
      <c r="A1563" s="10" t="s">
        <v>26</v>
      </c>
      <c r="B1563" s="7" t="s">
        <v>131</v>
      </c>
      <c r="C1563" s="135">
        <v>46254</v>
      </c>
      <c r="D1563" s="44" t="s">
        <v>436</v>
      </c>
      <c r="E1563" s="35" t="s">
        <v>203</v>
      </c>
      <c r="F1563" s="121">
        <v>8.68</v>
      </c>
      <c r="G1563" s="122">
        <f t="shared" si="54"/>
        <v>0</v>
      </c>
      <c r="H1563" s="123">
        <f>IF(AND(ISNUMBER(F1563), F1563&gt;4, COUNTIFS($A$2:A1563, A1563, $B$2:B1563, B1563, $C$2:C1563, C1563, $F$2:F1563, "&gt;4")=1), 1, 0)</f>
        <v>1</v>
      </c>
      <c r="I1563" s="10">
        <f t="shared" si="55"/>
        <v>0</v>
      </c>
      <c r="J1563" s="10"/>
      <c r="K1563" s="7"/>
      <c r="L1563" s="7"/>
      <c r="M1563" s="7"/>
      <c r="N1563" s="10"/>
      <c r="O1563" s="113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ht="15.75" customHeight="1">
      <c r="A1564" s="10" t="s">
        <v>26</v>
      </c>
      <c r="B1564" s="7" t="s">
        <v>131</v>
      </c>
      <c r="C1564" s="135">
        <v>46258</v>
      </c>
      <c r="D1564" s="44" t="s">
        <v>436</v>
      </c>
      <c r="E1564" s="35" t="s">
        <v>658</v>
      </c>
      <c r="F1564" s="121">
        <v>7.03</v>
      </c>
      <c r="G1564" s="122">
        <f t="shared" si="54"/>
        <v>0</v>
      </c>
      <c r="H1564" s="123">
        <f>IF(AND(ISNUMBER(F1564), F1564&gt;4, COUNTIFS($A$2:A1564, A1564, $B$2:B1564, B1564, $C$2:C1564, C1564, $F$2:F1564, "&gt;4")=1), 1, 0)</f>
        <v>1</v>
      </c>
      <c r="I1564" s="10">
        <f t="shared" si="55"/>
        <v>0</v>
      </c>
      <c r="J1564" s="10"/>
      <c r="K1564" s="7"/>
      <c r="L1564" s="7"/>
      <c r="M1564" s="7"/>
      <c r="N1564" s="10"/>
      <c r="O1564" s="113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ht="15.75" customHeight="1">
      <c r="A1565" s="10" t="s">
        <v>26</v>
      </c>
      <c r="B1565" s="7" t="s">
        <v>131</v>
      </c>
      <c r="C1565" s="135">
        <v>46260</v>
      </c>
      <c r="D1565" s="44" t="s">
        <v>436</v>
      </c>
      <c r="E1565" s="35" t="s">
        <v>239</v>
      </c>
      <c r="F1565" s="121">
        <v>8.07</v>
      </c>
      <c r="G1565" s="122">
        <f t="shared" si="54"/>
        <v>0</v>
      </c>
      <c r="H1565" s="123">
        <f>IF(AND(ISNUMBER(F1565), F1565&gt;4, COUNTIFS($A$2:A1565, A1565, $B$2:B1565, B1565, $C$2:C1565, C1565, $F$2:F1565, "&gt;4")=1), 1, 0)</f>
        <v>1</v>
      </c>
      <c r="I1565" s="10">
        <f t="shared" si="55"/>
        <v>0</v>
      </c>
      <c r="J1565" s="10"/>
      <c r="K1565" s="7"/>
      <c r="L1565" s="7"/>
      <c r="M1565" s="7"/>
      <c r="N1565" s="10"/>
      <c r="O1565" s="113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 ht="15.75" customHeight="1">
      <c r="A1566" s="10" t="s">
        <v>26</v>
      </c>
      <c r="B1566" s="7" t="s">
        <v>131</v>
      </c>
      <c r="C1566" s="135">
        <v>46262</v>
      </c>
      <c r="D1566" s="44" t="s">
        <v>436</v>
      </c>
      <c r="E1566" s="35" t="s">
        <v>797</v>
      </c>
      <c r="F1566" s="121">
        <v>9.9499999999999993</v>
      </c>
      <c r="G1566" s="122">
        <f t="shared" si="54"/>
        <v>0</v>
      </c>
      <c r="H1566" s="123">
        <f>IF(AND(ISNUMBER(F1566), F1566&gt;4, COUNTIFS($A$2:A1566, A1566, $B$2:B1566, B1566, $C$2:C1566, C1566, $F$2:F1566, "&gt;4")=1), 1, 0)</f>
        <v>1</v>
      </c>
      <c r="I1566" s="10">
        <f t="shared" si="55"/>
        <v>0</v>
      </c>
      <c r="J1566" s="10"/>
      <c r="K1566" s="7"/>
      <c r="L1566" s="7"/>
      <c r="M1566" s="7"/>
      <c r="N1566" s="10"/>
      <c r="O1566" s="113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ht="15.75" customHeight="1">
      <c r="A1567" s="10" t="s">
        <v>26</v>
      </c>
      <c r="B1567" s="7" t="s">
        <v>131</v>
      </c>
      <c r="C1567" s="135">
        <v>46264</v>
      </c>
      <c r="D1567" s="44" t="s">
        <v>436</v>
      </c>
      <c r="E1567" s="35" t="s">
        <v>784</v>
      </c>
      <c r="F1567" s="121">
        <v>6.78</v>
      </c>
      <c r="G1567" s="122">
        <f t="shared" si="54"/>
        <v>0</v>
      </c>
      <c r="H1567" s="123">
        <f>IF(AND(ISNUMBER(F1567), F1567&gt;4, COUNTIFS($A$2:A1567, A1567, $B$2:B1567, B1567, $C$2:C1567, C1567, $F$2:F1567, "&gt;4")=1), 1, 0)</f>
        <v>1</v>
      </c>
      <c r="I1567" s="10">
        <f t="shared" si="55"/>
        <v>0</v>
      </c>
      <c r="J1567" s="10"/>
      <c r="K1567" s="7"/>
      <c r="L1567" s="7"/>
      <c r="M1567" s="7"/>
      <c r="N1567" s="10"/>
      <c r="O1567" s="113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t="15.75" customHeight="1">
      <c r="A1568" s="10" t="s">
        <v>26</v>
      </c>
      <c r="B1568" s="7" t="s">
        <v>131</v>
      </c>
      <c r="C1568" s="135">
        <v>46265</v>
      </c>
      <c r="D1568" s="44" t="s">
        <v>436</v>
      </c>
      <c r="E1568" s="35" t="s">
        <v>798</v>
      </c>
      <c r="F1568" s="121">
        <v>10.3</v>
      </c>
      <c r="G1568" s="122">
        <f t="shared" si="54"/>
        <v>0</v>
      </c>
      <c r="H1568" s="123">
        <f>IF(AND(ISNUMBER(F1568), F1568&gt;4, COUNTIFS($A$2:A1568, A1568, $B$2:B1568, B1568, $C$2:C1568, C1568, $F$2:F1568, "&gt;4")=1), 1, 0)</f>
        <v>1</v>
      </c>
      <c r="I1568" s="10">
        <f t="shared" si="55"/>
        <v>0</v>
      </c>
      <c r="J1568" s="10"/>
      <c r="K1568" s="7"/>
      <c r="L1568" s="7"/>
      <c r="M1568" s="7"/>
      <c r="N1568" s="10"/>
      <c r="O1568" s="113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 ht="15.75" customHeight="1">
      <c r="A1569" s="10" t="s">
        <v>26</v>
      </c>
      <c r="B1569" s="7" t="s">
        <v>131</v>
      </c>
      <c r="C1569" s="135">
        <v>46239</v>
      </c>
      <c r="D1569" s="44" t="s">
        <v>257</v>
      </c>
      <c r="E1569" s="35" t="s">
        <v>799</v>
      </c>
      <c r="F1569" s="121">
        <v>9.15</v>
      </c>
      <c r="G1569" s="122">
        <f t="shared" si="54"/>
        <v>0</v>
      </c>
      <c r="H1569" s="123">
        <f>IF(AND(ISNUMBER(F1569), F1569&gt;4, COUNTIFS($A$2:A1569, A1569, $B$2:B1569, B1569, $C$2:C1569, C1569, $F$2:F1569, "&gt;4")=1), 1, 0)</f>
        <v>1</v>
      </c>
      <c r="I1569" s="10">
        <f t="shared" si="55"/>
        <v>0</v>
      </c>
      <c r="J1569" s="10"/>
      <c r="K1569" s="7"/>
      <c r="L1569" s="7"/>
      <c r="M1569" s="7"/>
      <c r="N1569" s="10"/>
      <c r="O1569" s="113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ht="15.75" customHeight="1">
      <c r="A1570" s="10" t="s">
        <v>26</v>
      </c>
      <c r="B1570" s="7" t="s">
        <v>131</v>
      </c>
      <c r="C1570" s="135">
        <v>46240</v>
      </c>
      <c r="D1570" s="44" t="s">
        <v>257</v>
      </c>
      <c r="E1570" s="35" t="s">
        <v>214</v>
      </c>
      <c r="F1570" s="121">
        <v>8.08</v>
      </c>
      <c r="G1570" s="122">
        <f t="shared" si="54"/>
        <v>0</v>
      </c>
      <c r="H1570" s="123">
        <f>IF(AND(ISNUMBER(F1570), F1570&gt;4, COUNTIFS($A$2:A1570, A1570, $B$2:B1570, B1570, $C$2:C1570, C1570, $F$2:F1570, "&gt;4")=1), 1, 0)</f>
        <v>1</v>
      </c>
      <c r="I1570" s="10">
        <f t="shared" si="55"/>
        <v>0</v>
      </c>
      <c r="J1570" s="10"/>
      <c r="K1570" s="7"/>
      <c r="L1570" s="7"/>
      <c r="M1570" s="7"/>
      <c r="N1570" s="10"/>
      <c r="O1570" s="113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ht="15.75" customHeight="1">
      <c r="A1571" s="10" t="s">
        <v>26</v>
      </c>
      <c r="B1571" s="7" t="s">
        <v>131</v>
      </c>
      <c r="C1571" s="135">
        <v>46241</v>
      </c>
      <c r="D1571" s="44" t="s">
        <v>257</v>
      </c>
      <c r="E1571" s="35" t="s">
        <v>409</v>
      </c>
      <c r="F1571" s="121">
        <v>7.93</v>
      </c>
      <c r="G1571" s="122">
        <f t="shared" si="54"/>
        <v>0</v>
      </c>
      <c r="H1571" s="123">
        <f>IF(AND(ISNUMBER(F1571), F1571&gt;4, COUNTIFS($A$2:A1571, A1571, $B$2:B1571, B1571, $C$2:C1571, C1571, $F$2:F1571, "&gt;4")=1), 1, 0)</f>
        <v>1</v>
      </c>
      <c r="I1571" s="10">
        <f t="shared" si="55"/>
        <v>0</v>
      </c>
      <c r="J1571" s="10"/>
      <c r="K1571" s="7"/>
      <c r="L1571" s="7"/>
      <c r="M1571" s="7"/>
      <c r="N1571" s="10"/>
      <c r="O1571" s="113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ht="15.75" customHeight="1">
      <c r="A1572" s="10" t="s">
        <v>26</v>
      </c>
      <c r="B1572" s="7" t="s">
        <v>131</v>
      </c>
      <c r="C1572" s="135">
        <v>46244</v>
      </c>
      <c r="D1572" s="44" t="s">
        <v>257</v>
      </c>
      <c r="E1572" s="35" t="s">
        <v>489</v>
      </c>
      <c r="F1572" s="121">
        <v>8.33</v>
      </c>
      <c r="G1572" s="122">
        <f t="shared" si="54"/>
        <v>0</v>
      </c>
      <c r="H1572" s="123">
        <f>IF(AND(ISNUMBER(F1572), F1572&gt;4, COUNTIFS($A$2:A1572, A1572, $B$2:B1572, B1572, $C$2:C1572, C1572, $F$2:F1572, "&gt;4")=1), 1, 0)</f>
        <v>1</v>
      </c>
      <c r="I1572" s="10">
        <f t="shared" si="55"/>
        <v>0</v>
      </c>
      <c r="J1572" s="10"/>
      <c r="K1572" s="7"/>
      <c r="L1572" s="7"/>
      <c r="M1572" s="7"/>
      <c r="N1572" s="10"/>
      <c r="O1572" s="113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ht="15.75" customHeight="1">
      <c r="A1573" s="10" t="s">
        <v>26</v>
      </c>
      <c r="B1573" s="7" t="s">
        <v>131</v>
      </c>
      <c r="C1573" s="135">
        <v>46245</v>
      </c>
      <c r="D1573" s="44" t="s">
        <v>257</v>
      </c>
      <c r="E1573" s="35" t="s">
        <v>224</v>
      </c>
      <c r="F1573" s="121">
        <v>8.77</v>
      </c>
      <c r="G1573" s="122">
        <f t="shared" si="54"/>
        <v>0</v>
      </c>
      <c r="H1573" s="123">
        <f>IF(AND(ISNUMBER(F1573), F1573&gt;4, COUNTIFS($A$2:A1573, A1573, $B$2:B1573, B1573, $C$2:C1573, C1573, $F$2:F1573, "&gt;4")=1), 1, 0)</f>
        <v>1</v>
      </c>
      <c r="I1573" s="10">
        <f t="shared" si="55"/>
        <v>0</v>
      </c>
      <c r="J1573" s="10"/>
      <c r="K1573" s="7"/>
      <c r="L1573" s="7"/>
      <c r="M1573" s="7"/>
      <c r="N1573" s="10"/>
      <c r="O1573" s="113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t="15.75" customHeight="1">
      <c r="A1574" s="10" t="s">
        <v>26</v>
      </c>
      <c r="B1574" s="7" t="s">
        <v>131</v>
      </c>
      <c r="C1574" s="135">
        <v>46246</v>
      </c>
      <c r="D1574" s="44" t="s">
        <v>257</v>
      </c>
      <c r="E1574" s="35" t="s">
        <v>477</v>
      </c>
      <c r="F1574" s="121">
        <v>7.88</v>
      </c>
      <c r="G1574" s="122">
        <f t="shared" si="54"/>
        <v>0</v>
      </c>
      <c r="H1574" s="123">
        <f>IF(AND(ISNUMBER(F1574), F1574&gt;4, COUNTIFS($A$2:A1574, A1574, $B$2:B1574, B1574, $C$2:C1574, C1574, $F$2:F1574, "&gt;4")=1), 1, 0)</f>
        <v>1</v>
      </c>
      <c r="I1574" s="10">
        <f t="shared" si="55"/>
        <v>0</v>
      </c>
      <c r="J1574" s="10"/>
      <c r="K1574" s="7"/>
      <c r="L1574" s="7"/>
      <c r="M1574" s="7"/>
      <c r="N1574" s="10"/>
      <c r="O1574" s="113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ht="15.75" customHeight="1">
      <c r="A1575" s="10" t="s">
        <v>26</v>
      </c>
      <c r="B1575" s="7" t="s">
        <v>131</v>
      </c>
      <c r="C1575" s="135">
        <v>46261</v>
      </c>
      <c r="D1575" s="44" t="s">
        <v>257</v>
      </c>
      <c r="E1575" s="35" t="s">
        <v>501</v>
      </c>
      <c r="F1575" s="121">
        <v>8.2200000000000006</v>
      </c>
      <c r="G1575" s="122">
        <f t="shared" si="54"/>
        <v>0</v>
      </c>
      <c r="H1575" s="123">
        <f>IF(AND(ISNUMBER(F1575), F1575&gt;4, COUNTIFS($A$2:A1575, A1575, $B$2:B1575, B1575, $C$2:C1575, C1575, $F$2:F1575, "&gt;4")=1), 1, 0)</f>
        <v>1</v>
      </c>
      <c r="I1575" s="10">
        <f t="shared" si="55"/>
        <v>0</v>
      </c>
      <c r="J1575" s="10"/>
      <c r="K1575" s="7"/>
      <c r="L1575" s="7"/>
      <c r="M1575" s="7"/>
      <c r="N1575" s="10"/>
      <c r="O1575" s="113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t="15.75" customHeight="1">
      <c r="A1576" s="10" t="s">
        <v>26</v>
      </c>
      <c r="B1576" s="7" t="s">
        <v>131</v>
      </c>
      <c r="C1576" s="135">
        <v>46236</v>
      </c>
      <c r="D1576" s="44" t="s">
        <v>439</v>
      </c>
      <c r="E1576" s="35" t="s">
        <v>440</v>
      </c>
      <c r="F1576" s="121">
        <v>7.37</v>
      </c>
      <c r="G1576" s="122">
        <f t="shared" si="54"/>
        <v>0</v>
      </c>
      <c r="H1576" s="123">
        <f>IF(AND(ISNUMBER(F1576), F1576&gt;4, COUNTIFS($A$2:A1576, A1576, $B$2:B1576, B1576, $C$2:C1576, C1576, $F$2:F1576, "&gt;4")=1), 1, 0)</f>
        <v>1</v>
      </c>
      <c r="I1576" s="10">
        <f t="shared" si="55"/>
        <v>0</v>
      </c>
      <c r="J1576" s="10"/>
      <c r="K1576" s="7"/>
      <c r="L1576" s="7"/>
      <c r="M1576" s="7"/>
      <c r="N1576" s="10"/>
      <c r="O1576" s="113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ht="15.75" customHeight="1">
      <c r="A1577" s="10" t="s">
        <v>26</v>
      </c>
      <c r="B1577" s="7" t="s">
        <v>131</v>
      </c>
      <c r="C1577" s="135">
        <v>46235</v>
      </c>
      <c r="D1577" s="44" t="s">
        <v>441</v>
      </c>
      <c r="E1577" s="35" t="s">
        <v>303</v>
      </c>
      <c r="F1577" s="121">
        <v>7.83</v>
      </c>
      <c r="G1577" s="122">
        <f t="shared" si="54"/>
        <v>0</v>
      </c>
      <c r="H1577" s="123">
        <f>IF(AND(ISNUMBER(F1577), F1577&gt;4, COUNTIFS($A$2:A1577, A1577, $B$2:B1577, B1577, $C$2:C1577, C1577, $F$2:F1577, "&gt;4")=1), 1, 0)</f>
        <v>1</v>
      </c>
      <c r="I1577" s="10">
        <f t="shared" si="55"/>
        <v>1</v>
      </c>
      <c r="J1577" s="10"/>
      <c r="K1577" s="7"/>
      <c r="L1577" s="7"/>
      <c r="M1577" s="7"/>
      <c r="N1577" s="10"/>
      <c r="O1577" s="113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ht="15.75" customHeight="1">
      <c r="A1578" s="10" t="s">
        <v>26</v>
      </c>
      <c r="B1578" s="7" t="s">
        <v>131</v>
      </c>
      <c r="C1578" s="135">
        <v>46240</v>
      </c>
      <c r="D1578" s="44" t="s">
        <v>442</v>
      </c>
      <c r="E1578" s="35" t="s">
        <v>800</v>
      </c>
      <c r="F1578" s="121">
        <v>2.2000000000000002</v>
      </c>
      <c r="G1578" s="122">
        <f t="shared" si="54"/>
        <v>1</v>
      </c>
      <c r="H1578" s="123">
        <f>IF(AND(ISNUMBER(F1578), F1578&gt;4, COUNTIFS($A$2:A1578, A1578, $B$2:B1578, B1578, $C$2:C1578, C1578, $F$2:F1578, "&gt;4")=1), 1, 0)</f>
        <v>0</v>
      </c>
      <c r="I1578" s="10">
        <f t="shared" si="55"/>
        <v>0</v>
      </c>
      <c r="J1578" s="10"/>
      <c r="K1578" s="7"/>
      <c r="L1578" s="7"/>
      <c r="M1578" s="7"/>
      <c r="N1578" s="10"/>
      <c r="O1578" s="113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t="15.75" customHeight="1">
      <c r="A1579" s="10" t="s">
        <v>26</v>
      </c>
      <c r="B1579" s="7" t="s">
        <v>131</v>
      </c>
      <c r="C1579" s="135">
        <v>46244</v>
      </c>
      <c r="D1579" s="44" t="s">
        <v>442</v>
      </c>
      <c r="E1579" s="35" t="s">
        <v>801</v>
      </c>
      <c r="F1579" s="121">
        <v>2.95</v>
      </c>
      <c r="G1579" s="122">
        <f t="shared" si="54"/>
        <v>1</v>
      </c>
      <c r="H1579" s="123">
        <f>IF(AND(ISNUMBER(F1579), F1579&gt;4, COUNTIFS($A$2:A1579, A1579, $B$2:B1579, B1579, $C$2:C1579, C1579, $F$2:F1579, "&gt;4")=1), 1, 0)</f>
        <v>0</v>
      </c>
      <c r="I1579" s="10">
        <f t="shared" si="55"/>
        <v>0</v>
      </c>
      <c r="J1579" s="10"/>
      <c r="K1579" s="7"/>
      <c r="L1579" s="7"/>
      <c r="M1579" s="7"/>
      <c r="N1579" s="10"/>
      <c r="O1579" s="113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ht="15.75" customHeight="1">
      <c r="A1580" s="10" t="s">
        <v>25</v>
      </c>
      <c r="B1580" s="7" t="s">
        <v>128</v>
      </c>
      <c r="C1580" s="135">
        <v>46237</v>
      </c>
      <c r="D1580" s="44" t="s">
        <v>245</v>
      </c>
      <c r="E1580" s="35" t="s">
        <v>802</v>
      </c>
      <c r="F1580" s="121">
        <v>9.82</v>
      </c>
      <c r="G1580" s="122">
        <f t="shared" si="54"/>
        <v>0</v>
      </c>
      <c r="H1580" s="123">
        <f>IF(AND(ISNUMBER(F1580), F1580&gt;4, COUNTIFS($A$2:A1580, A1580, $B$2:B1580, B1580, $C$2:C1580, C1580, $F$2:F1580, "&gt;4")=1), 1, 0)</f>
        <v>1</v>
      </c>
      <c r="I1580" s="10">
        <f t="shared" si="55"/>
        <v>0</v>
      </c>
      <c r="J1580" s="10"/>
      <c r="K1580" s="7"/>
      <c r="L1580" s="7"/>
      <c r="M1580" s="7"/>
      <c r="N1580" s="10"/>
      <c r="O1580" s="113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ht="15.75" customHeight="1">
      <c r="A1581" s="10" t="s">
        <v>25</v>
      </c>
      <c r="B1581" s="7" t="s">
        <v>128</v>
      </c>
      <c r="C1581" s="135">
        <v>46238</v>
      </c>
      <c r="D1581" s="44" t="s">
        <v>245</v>
      </c>
      <c r="E1581" s="35" t="s">
        <v>803</v>
      </c>
      <c r="F1581" s="121">
        <v>9.32</v>
      </c>
      <c r="G1581" s="122">
        <f t="shared" si="54"/>
        <v>0</v>
      </c>
      <c r="H1581" s="123">
        <f>IF(AND(ISNUMBER(F1581), F1581&gt;4, COUNTIFS($A$2:A1581, A1581, $B$2:B1581, B1581, $C$2:C1581, C1581, $F$2:F1581, "&gt;4")=1), 1, 0)</f>
        <v>1</v>
      </c>
      <c r="I1581" s="10">
        <f t="shared" si="55"/>
        <v>0</v>
      </c>
      <c r="J1581" s="10"/>
      <c r="K1581" s="7"/>
      <c r="L1581" s="7"/>
      <c r="M1581" s="7"/>
      <c r="N1581" s="10"/>
      <c r="O1581" s="113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 ht="15.75" customHeight="1">
      <c r="A1582" s="10" t="s">
        <v>25</v>
      </c>
      <c r="B1582" s="7" t="s">
        <v>128</v>
      </c>
      <c r="C1582" s="135">
        <v>46248</v>
      </c>
      <c r="D1582" s="44" t="s">
        <v>245</v>
      </c>
      <c r="E1582" s="35" t="s">
        <v>400</v>
      </c>
      <c r="F1582" s="121">
        <v>8.6199999999999992</v>
      </c>
      <c r="G1582" s="122">
        <f t="shared" si="54"/>
        <v>0</v>
      </c>
      <c r="H1582" s="123">
        <f>IF(AND(ISNUMBER(F1582), F1582&gt;4, COUNTIFS($A$2:A1582, A1582, $B$2:B1582, B1582, $C$2:C1582, C1582, $F$2:F1582, "&gt;4")=1), 1, 0)</f>
        <v>1</v>
      </c>
      <c r="I1582" s="10">
        <f t="shared" si="55"/>
        <v>0</v>
      </c>
      <c r="J1582" s="10"/>
      <c r="K1582" s="7"/>
      <c r="L1582" s="7"/>
      <c r="M1582" s="7"/>
      <c r="N1582" s="10"/>
      <c r="O1582" s="113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ht="15.75" customHeight="1">
      <c r="A1583" s="10" t="s">
        <v>25</v>
      </c>
      <c r="B1583" s="7" t="s">
        <v>128</v>
      </c>
      <c r="C1583" s="135">
        <v>46257</v>
      </c>
      <c r="D1583" s="44" t="s">
        <v>245</v>
      </c>
      <c r="E1583" s="35" t="s">
        <v>481</v>
      </c>
      <c r="F1583" s="121">
        <v>7.98</v>
      </c>
      <c r="G1583" s="122">
        <f t="shared" si="54"/>
        <v>0</v>
      </c>
      <c r="H1583" s="123">
        <f>IF(AND(ISNUMBER(F1583), F1583&gt;4, COUNTIFS($A$2:A1583, A1583, $B$2:B1583, B1583, $C$2:C1583, C1583, $F$2:F1583, "&gt;4")=1), 1, 0)</f>
        <v>1</v>
      </c>
      <c r="I1583" s="10">
        <f t="shared" si="55"/>
        <v>0</v>
      </c>
      <c r="J1583" s="10"/>
      <c r="K1583" s="7"/>
      <c r="L1583" s="7"/>
      <c r="M1583" s="7"/>
      <c r="N1583" s="10"/>
      <c r="O1583" s="113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t="15.75" customHeight="1">
      <c r="A1584" s="10" t="s">
        <v>25</v>
      </c>
      <c r="B1584" s="7" t="s">
        <v>128</v>
      </c>
      <c r="C1584" s="135">
        <v>46262</v>
      </c>
      <c r="D1584" s="44" t="s">
        <v>245</v>
      </c>
      <c r="E1584" s="35" t="s">
        <v>496</v>
      </c>
      <c r="F1584" s="121">
        <v>8.35</v>
      </c>
      <c r="G1584" s="122">
        <f t="shared" si="54"/>
        <v>0</v>
      </c>
      <c r="H1584" s="123">
        <f>IF(AND(ISNUMBER(F1584), F1584&gt;4, COUNTIFS($A$2:A1584, A1584, $B$2:B1584, B1584, $C$2:C1584, C1584, $F$2:F1584, "&gt;4")=1), 1, 0)</f>
        <v>1</v>
      </c>
      <c r="I1584" s="10">
        <f t="shared" si="55"/>
        <v>0</v>
      </c>
      <c r="J1584" s="10"/>
      <c r="K1584" s="7"/>
      <c r="L1584" s="7"/>
      <c r="M1584" s="7"/>
      <c r="N1584" s="10"/>
      <c r="O1584" s="113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 ht="15.75" customHeight="1">
      <c r="A1585" s="10" t="s">
        <v>25</v>
      </c>
      <c r="B1585" s="7" t="s">
        <v>128</v>
      </c>
      <c r="C1585" s="135">
        <v>46235</v>
      </c>
      <c r="D1585" s="44" t="s">
        <v>193</v>
      </c>
      <c r="E1585" s="35" t="s">
        <v>666</v>
      </c>
      <c r="F1585" s="121">
        <v>7.18</v>
      </c>
      <c r="G1585" s="122">
        <f t="shared" si="54"/>
        <v>0</v>
      </c>
      <c r="H1585" s="123">
        <f>IF(AND(ISNUMBER(F1585), F1585&gt;4, COUNTIFS($A$2:A1585, A1585, $B$2:B1585, B1585, $C$2:C1585, C1585, $F$2:F1585, "&gt;4")=1), 1, 0)</f>
        <v>1</v>
      </c>
      <c r="I1585" s="10">
        <f t="shared" si="55"/>
        <v>0</v>
      </c>
      <c r="J1585" s="10"/>
      <c r="K1585" s="7"/>
      <c r="L1585" s="7"/>
      <c r="M1585" s="7"/>
      <c r="N1585" s="10"/>
      <c r="O1585" s="113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t="15.75" customHeight="1">
      <c r="A1586" s="10" t="s">
        <v>25</v>
      </c>
      <c r="B1586" s="7" t="s">
        <v>128</v>
      </c>
      <c r="C1586" s="135">
        <v>46236</v>
      </c>
      <c r="D1586" s="44" t="s">
        <v>193</v>
      </c>
      <c r="E1586" s="35" t="s">
        <v>739</v>
      </c>
      <c r="F1586" s="121">
        <v>7.07</v>
      </c>
      <c r="G1586" s="122">
        <f t="shared" si="54"/>
        <v>0</v>
      </c>
      <c r="H1586" s="123">
        <f>IF(AND(ISNUMBER(F1586), F1586&gt;4, COUNTIFS($A$2:A1586, A1586, $B$2:B1586, B1586, $C$2:C1586, C1586, $F$2:F1586, "&gt;4")=1), 1, 0)</f>
        <v>1</v>
      </c>
      <c r="I1586" s="10">
        <f t="shared" si="55"/>
        <v>0</v>
      </c>
      <c r="J1586" s="10"/>
      <c r="K1586" s="7"/>
      <c r="L1586" s="7"/>
      <c r="M1586" s="7"/>
      <c r="N1586" s="10"/>
      <c r="O1586" s="113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t="15.75" customHeight="1">
      <c r="A1587" s="10" t="s">
        <v>25</v>
      </c>
      <c r="B1587" s="7" t="s">
        <v>128</v>
      </c>
      <c r="C1587" s="135">
        <v>46238</v>
      </c>
      <c r="D1587" s="44" t="s">
        <v>193</v>
      </c>
      <c r="E1587" s="35" t="s">
        <v>776</v>
      </c>
      <c r="F1587" s="121">
        <v>6.62</v>
      </c>
      <c r="G1587" s="122">
        <f t="shared" si="54"/>
        <v>0</v>
      </c>
      <c r="H1587" s="123">
        <f>IF(AND(ISNUMBER(F1587), F1587&gt;4, COUNTIFS($A$2:A1587, A1587, $B$2:B1587, B1587, $C$2:C1587, C1587, $F$2:F1587, "&gt;4")=1), 1, 0)</f>
        <v>0</v>
      </c>
      <c r="I1587" s="10">
        <f t="shared" si="55"/>
        <v>0</v>
      </c>
      <c r="J1587" s="10"/>
      <c r="K1587" s="7"/>
      <c r="L1587" s="7"/>
      <c r="M1587" s="7"/>
      <c r="N1587" s="10"/>
      <c r="O1587" s="113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 ht="15.75" customHeight="1">
      <c r="A1588" s="10" t="s">
        <v>25</v>
      </c>
      <c r="B1588" s="7" t="s">
        <v>128</v>
      </c>
      <c r="C1588" s="135">
        <v>46239</v>
      </c>
      <c r="D1588" s="44" t="s">
        <v>193</v>
      </c>
      <c r="E1588" s="35" t="s">
        <v>636</v>
      </c>
      <c r="F1588" s="121">
        <v>6.98</v>
      </c>
      <c r="G1588" s="122">
        <f t="shared" si="54"/>
        <v>0</v>
      </c>
      <c r="H1588" s="123">
        <f>IF(AND(ISNUMBER(F1588), F1588&gt;4, COUNTIFS($A$2:A1588, A1588, $B$2:B1588, B1588, $C$2:C1588, C1588, $F$2:F1588, "&gt;4")=1), 1, 0)</f>
        <v>1</v>
      </c>
      <c r="I1588" s="10">
        <f t="shared" si="55"/>
        <v>0</v>
      </c>
      <c r="J1588" s="10"/>
      <c r="K1588" s="7"/>
      <c r="L1588" s="7"/>
      <c r="M1588" s="7"/>
      <c r="N1588" s="10"/>
      <c r="O1588" s="113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t="15.75" customHeight="1">
      <c r="A1589" s="10" t="s">
        <v>25</v>
      </c>
      <c r="B1589" s="7" t="s">
        <v>128</v>
      </c>
      <c r="C1589" s="135">
        <v>46240</v>
      </c>
      <c r="D1589" s="44" t="s">
        <v>193</v>
      </c>
      <c r="E1589" s="35" t="s">
        <v>784</v>
      </c>
      <c r="F1589" s="121">
        <v>6.78</v>
      </c>
      <c r="G1589" s="122">
        <f t="shared" si="54"/>
        <v>0</v>
      </c>
      <c r="H1589" s="123">
        <f>IF(AND(ISNUMBER(F1589), F1589&gt;4, COUNTIFS($A$2:A1589, A1589, $B$2:B1589, B1589, $C$2:C1589, C1589, $F$2:F1589, "&gt;4")=1), 1, 0)</f>
        <v>1</v>
      </c>
      <c r="I1589" s="10">
        <f t="shared" si="55"/>
        <v>0</v>
      </c>
      <c r="J1589" s="10"/>
      <c r="K1589" s="7"/>
      <c r="L1589" s="7"/>
      <c r="M1589" s="7"/>
      <c r="N1589" s="10"/>
      <c r="O1589" s="113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t="15.75" customHeight="1">
      <c r="A1590" s="10" t="s">
        <v>25</v>
      </c>
      <c r="B1590" s="7" t="s">
        <v>128</v>
      </c>
      <c r="C1590" s="135">
        <v>46241</v>
      </c>
      <c r="D1590" s="44" t="s">
        <v>193</v>
      </c>
      <c r="E1590" s="35" t="s">
        <v>774</v>
      </c>
      <c r="F1590" s="121">
        <v>6.95</v>
      </c>
      <c r="G1590" s="122">
        <f t="shared" si="54"/>
        <v>0</v>
      </c>
      <c r="H1590" s="123">
        <f>IF(AND(ISNUMBER(F1590), F1590&gt;4, COUNTIFS($A$2:A1590, A1590, $B$2:B1590, B1590, $C$2:C1590, C1590, $F$2:F1590, "&gt;4")=1), 1, 0)</f>
        <v>1</v>
      </c>
      <c r="I1590" s="10">
        <f t="shared" si="55"/>
        <v>0</v>
      </c>
      <c r="J1590" s="10"/>
      <c r="K1590" s="7"/>
      <c r="L1590" s="7"/>
      <c r="M1590" s="7"/>
      <c r="N1590" s="10"/>
      <c r="O1590" s="113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ht="15.75" customHeight="1">
      <c r="A1591" s="10" t="s">
        <v>25</v>
      </c>
      <c r="B1591" s="7" t="s">
        <v>128</v>
      </c>
      <c r="C1591" s="135">
        <v>46242</v>
      </c>
      <c r="D1591" s="44" t="s">
        <v>193</v>
      </c>
      <c r="E1591" s="35" t="s">
        <v>655</v>
      </c>
      <c r="F1591" s="121">
        <v>7.02</v>
      </c>
      <c r="G1591" s="122">
        <f t="shared" si="54"/>
        <v>0</v>
      </c>
      <c r="H1591" s="123">
        <f>IF(AND(ISNUMBER(F1591), F1591&gt;4, COUNTIFS($A$2:A1591, A1591, $B$2:B1591, B1591, $C$2:C1591, C1591, $F$2:F1591, "&gt;4")=1), 1, 0)</f>
        <v>1</v>
      </c>
      <c r="I1591" s="10">
        <f t="shared" si="55"/>
        <v>0</v>
      </c>
      <c r="J1591" s="10"/>
      <c r="K1591" s="7"/>
      <c r="L1591" s="7"/>
      <c r="M1591" s="7"/>
      <c r="N1591" s="10"/>
      <c r="O1591" s="113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ht="15.75" customHeight="1">
      <c r="A1592" s="10" t="s">
        <v>25</v>
      </c>
      <c r="B1592" s="7" t="s">
        <v>128</v>
      </c>
      <c r="C1592" s="135">
        <v>46243</v>
      </c>
      <c r="D1592" s="44" t="s">
        <v>193</v>
      </c>
      <c r="E1592" s="35" t="s">
        <v>804</v>
      </c>
      <c r="F1592" s="121">
        <v>6.92</v>
      </c>
      <c r="G1592" s="122">
        <f t="shared" si="54"/>
        <v>0</v>
      </c>
      <c r="H1592" s="123">
        <f>IF(AND(ISNUMBER(F1592), F1592&gt;4, COUNTIFS($A$2:A1592, A1592, $B$2:B1592, B1592, $C$2:C1592, C1592, $F$2:F1592, "&gt;4")=1), 1, 0)</f>
        <v>1</v>
      </c>
      <c r="I1592" s="10">
        <f t="shared" si="55"/>
        <v>0</v>
      </c>
      <c r="J1592" s="10"/>
      <c r="K1592" s="7"/>
      <c r="L1592" s="7"/>
      <c r="M1592" s="7"/>
      <c r="N1592" s="10"/>
      <c r="O1592" s="113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t="15.75" customHeight="1">
      <c r="A1593" s="10" t="s">
        <v>25</v>
      </c>
      <c r="B1593" s="7" t="s">
        <v>128</v>
      </c>
      <c r="C1593" s="135">
        <v>46244</v>
      </c>
      <c r="D1593" s="44" t="s">
        <v>193</v>
      </c>
      <c r="E1593" s="35" t="s">
        <v>636</v>
      </c>
      <c r="F1593" s="121">
        <v>6.98</v>
      </c>
      <c r="G1593" s="122">
        <f t="shared" si="54"/>
        <v>0</v>
      </c>
      <c r="H1593" s="123">
        <f>IF(AND(ISNUMBER(F1593), F1593&gt;4, COUNTIFS($A$2:A1593, A1593, $B$2:B1593, B1593, $C$2:C1593, C1593, $F$2:F1593, "&gt;4")=1), 1, 0)</f>
        <v>1</v>
      </c>
      <c r="I1593" s="10">
        <f t="shared" si="55"/>
        <v>0</v>
      </c>
      <c r="J1593" s="10"/>
      <c r="K1593" s="7"/>
      <c r="L1593" s="7"/>
      <c r="M1593" s="7"/>
      <c r="N1593" s="10"/>
      <c r="O1593" s="113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ht="15.75" customHeight="1">
      <c r="A1594" s="10" t="s">
        <v>25</v>
      </c>
      <c r="B1594" s="7" t="s">
        <v>128</v>
      </c>
      <c r="C1594" s="135">
        <v>46245</v>
      </c>
      <c r="D1594" s="44" t="s">
        <v>193</v>
      </c>
      <c r="E1594" s="35" t="s">
        <v>476</v>
      </c>
      <c r="F1594" s="121">
        <v>8.1199999999999992</v>
      </c>
      <c r="G1594" s="122">
        <f t="shared" si="54"/>
        <v>0</v>
      </c>
      <c r="H1594" s="123">
        <f>IF(AND(ISNUMBER(F1594), F1594&gt;4, COUNTIFS($A$2:A1594, A1594, $B$2:B1594, B1594, $C$2:C1594, C1594, $F$2:F1594, "&gt;4")=1), 1, 0)</f>
        <v>1</v>
      </c>
      <c r="I1594" s="10">
        <f t="shared" si="55"/>
        <v>0</v>
      </c>
      <c r="J1594" s="10"/>
      <c r="K1594" s="7"/>
      <c r="L1594" s="7"/>
      <c r="M1594" s="7"/>
      <c r="N1594" s="10"/>
      <c r="O1594" s="113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t="15.75" customHeight="1">
      <c r="A1595" s="10" t="s">
        <v>25</v>
      </c>
      <c r="B1595" s="7" t="s">
        <v>128</v>
      </c>
      <c r="C1595" s="135">
        <v>46246</v>
      </c>
      <c r="D1595" s="44" t="s">
        <v>193</v>
      </c>
      <c r="E1595" s="35" t="s">
        <v>214</v>
      </c>
      <c r="F1595" s="121">
        <v>8.08</v>
      </c>
      <c r="G1595" s="122">
        <f t="shared" si="54"/>
        <v>0</v>
      </c>
      <c r="H1595" s="123">
        <f>IF(AND(ISNUMBER(F1595), F1595&gt;4, COUNTIFS($A$2:A1595, A1595, $B$2:B1595, B1595, $C$2:C1595, C1595, $F$2:F1595, "&gt;4")=1), 1, 0)</f>
        <v>1</v>
      </c>
      <c r="I1595" s="10">
        <f t="shared" si="55"/>
        <v>0</v>
      </c>
      <c r="J1595" s="10"/>
      <c r="K1595" s="7"/>
      <c r="L1595" s="7"/>
      <c r="M1595" s="7"/>
      <c r="N1595" s="10"/>
      <c r="O1595" s="113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t="15.75" customHeight="1">
      <c r="A1596" s="10" t="s">
        <v>25</v>
      </c>
      <c r="B1596" s="7" t="s">
        <v>128</v>
      </c>
      <c r="C1596" s="135">
        <v>46247</v>
      </c>
      <c r="D1596" s="44" t="s">
        <v>193</v>
      </c>
      <c r="E1596" s="35" t="s">
        <v>480</v>
      </c>
      <c r="F1596" s="121">
        <v>7.97</v>
      </c>
      <c r="G1596" s="122">
        <f t="shared" si="54"/>
        <v>0</v>
      </c>
      <c r="H1596" s="123">
        <f>IF(AND(ISNUMBER(F1596), F1596&gt;4, COUNTIFS($A$2:A1596, A1596, $B$2:B1596, B1596, $C$2:C1596, C1596, $F$2:F1596, "&gt;4")=1), 1, 0)</f>
        <v>1</v>
      </c>
      <c r="I1596" s="10">
        <f t="shared" si="55"/>
        <v>0</v>
      </c>
      <c r="J1596" s="10"/>
      <c r="K1596" s="7"/>
      <c r="L1596" s="7"/>
      <c r="M1596" s="7"/>
      <c r="N1596" s="10"/>
      <c r="O1596" s="113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t="15.75" customHeight="1">
      <c r="A1597" s="10" t="s">
        <v>25</v>
      </c>
      <c r="B1597" s="7" t="s">
        <v>128</v>
      </c>
      <c r="C1597" s="135">
        <v>46251</v>
      </c>
      <c r="D1597" s="44" t="s">
        <v>193</v>
      </c>
      <c r="E1597" s="35" t="s">
        <v>501</v>
      </c>
      <c r="F1597" s="121">
        <v>8.2200000000000006</v>
      </c>
      <c r="G1597" s="122">
        <f t="shared" si="54"/>
        <v>0</v>
      </c>
      <c r="H1597" s="123">
        <f>IF(AND(ISNUMBER(F1597), F1597&gt;4, COUNTIFS($A$2:A1597, A1597, $B$2:B1597, B1597, $C$2:C1597, C1597, $F$2:F1597, "&gt;4")=1), 1, 0)</f>
        <v>1</v>
      </c>
      <c r="I1597" s="10">
        <f t="shared" si="55"/>
        <v>0</v>
      </c>
      <c r="J1597" s="10"/>
      <c r="K1597" s="7"/>
      <c r="L1597" s="7"/>
      <c r="M1597" s="7"/>
      <c r="N1597" s="10"/>
      <c r="O1597" s="113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t="15.75" customHeight="1">
      <c r="A1598" s="10" t="s">
        <v>25</v>
      </c>
      <c r="B1598" s="7" t="s">
        <v>128</v>
      </c>
      <c r="C1598" s="135">
        <v>46252</v>
      </c>
      <c r="D1598" s="44" t="s">
        <v>193</v>
      </c>
      <c r="E1598" s="35" t="s">
        <v>475</v>
      </c>
      <c r="F1598" s="121">
        <v>7.87</v>
      </c>
      <c r="G1598" s="122">
        <f t="shared" si="54"/>
        <v>0</v>
      </c>
      <c r="H1598" s="123">
        <f>IF(AND(ISNUMBER(F1598), F1598&gt;4, COUNTIFS($A$2:A1598, A1598, $B$2:B1598, B1598, $C$2:C1598, C1598, $F$2:F1598, "&gt;4")=1), 1, 0)</f>
        <v>1</v>
      </c>
      <c r="I1598" s="10">
        <f t="shared" si="55"/>
        <v>0</v>
      </c>
      <c r="J1598" s="10"/>
      <c r="K1598" s="7"/>
      <c r="L1598" s="7"/>
      <c r="M1598" s="7"/>
      <c r="N1598" s="10"/>
      <c r="O1598" s="113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t="15.75" customHeight="1">
      <c r="A1599" s="10" t="s">
        <v>25</v>
      </c>
      <c r="B1599" s="7" t="s">
        <v>128</v>
      </c>
      <c r="C1599" s="135">
        <v>46253</v>
      </c>
      <c r="D1599" s="44" t="s">
        <v>193</v>
      </c>
      <c r="E1599" s="35" t="s">
        <v>214</v>
      </c>
      <c r="F1599" s="121">
        <v>8.08</v>
      </c>
      <c r="G1599" s="122">
        <f t="shared" si="54"/>
        <v>0</v>
      </c>
      <c r="H1599" s="123">
        <f>IF(AND(ISNUMBER(F1599), F1599&gt;4, COUNTIFS($A$2:A1599, A1599, $B$2:B1599, B1599, $C$2:C1599, C1599, $F$2:F1599, "&gt;4")=1), 1, 0)</f>
        <v>1</v>
      </c>
      <c r="I1599" s="10">
        <f t="shared" si="55"/>
        <v>0</v>
      </c>
      <c r="J1599" s="10"/>
      <c r="K1599" s="7"/>
      <c r="L1599" s="7"/>
      <c r="M1599" s="7"/>
      <c r="N1599" s="10"/>
      <c r="O1599" s="113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t="15.75" customHeight="1">
      <c r="A1600" s="10" t="s">
        <v>25</v>
      </c>
      <c r="B1600" s="7" t="s">
        <v>128</v>
      </c>
      <c r="C1600" s="135">
        <v>46254</v>
      </c>
      <c r="D1600" s="44" t="s">
        <v>193</v>
      </c>
      <c r="E1600" s="35" t="s">
        <v>476</v>
      </c>
      <c r="F1600" s="121">
        <v>8.1199999999999992</v>
      </c>
      <c r="G1600" s="122">
        <f t="shared" si="54"/>
        <v>0</v>
      </c>
      <c r="H1600" s="123">
        <f>IF(AND(ISNUMBER(F1600), F1600&gt;4, COUNTIFS($A$2:A1600, A1600, $B$2:B1600, B1600, $C$2:C1600, C1600, $F$2:F1600, "&gt;4")=1), 1, 0)</f>
        <v>1</v>
      </c>
      <c r="I1600" s="10">
        <f t="shared" si="55"/>
        <v>0</v>
      </c>
      <c r="J1600" s="10"/>
      <c r="K1600" s="7"/>
      <c r="L1600" s="7"/>
      <c r="M1600" s="7"/>
      <c r="N1600" s="10"/>
      <c r="O1600" s="113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t="15.75" customHeight="1">
      <c r="A1601" s="10" t="s">
        <v>25</v>
      </c>
      <c r="B1601" s="7" t="s">
        <v>128</v>
      </c>
      <c r="C1601" s="135">
        <v>46255</v>
      </c>
      <c r="D1601" s="44" t="s">
        <v>193</v>
      </c>
      <c r="E1601" s="35" t="s">
        <v>329</v>
      </c>
      <c r="F1601" s="121">
        <v>8.0299999999999994</v>
      </c>
      <c r="G1601" s="122">
        <f t="shared" si="54"/>
        <v>0</v>
      </c>
      <c r="H1601" s="123">
        <f>IF(AND(ISNUMBER(F1601), F1601&gt;4, COUNTIFS($A$2:A1601, A1601, $B$2:B1601, B1601, $C$2:C1601, C1601, $F$2:F1601, "&gt;4")=1), 1, 0)</f>
        <v>1</v>
      </c>
      <c r="I1601" s="10">
        <f t="shared" si="55"/>
        <v>0</v>
      </c>
      <c r="J1601" s="10"/>
      <c r="K1601" s="7"/>
      <c r="L1601" s="7"/>
      <c r="M1601" s="7"/>
      <c r="N1601" s="10"/>
      <c r="O1601" s="113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t="15.75" customHeight="1">
      <c r="A1602" s="10" t="s">
        <v>25</v>
      </c>
      <c r="B1602" s="7" t="s">
        <v>128</v>
      </c>
      <c r="C1602" s="135">
        <v>46256</v>
      </c>
      <c r="D1602" s="44" t="s">
        <v>193</v>
      </c>
      <c r="E1602" s="35" t="s">
        <v>207</v>
      </c>
      <c r="F1602" s="121">
        <v>8.1</v>
      </c>
      <c r="G1602" s="122">
        <f t="shared" ref="G1602:G1665" si="56">IF(AND(ISNUMBER(F1602), F1602&lt;=4), 1, 0)</f>
        <v>0</v>
      </c>
      <c r="H1602" s="123">
        <f>IF(AND(ISNUMBER(F1602), F1602&gt;4, COUNTIFS($A$2:A1602, A1602, $B$2:B1602, B1602, $C$2:C1602, C1602, $F$2:F1602, "&gt;4")=1), 1, 0)</f>
        <v>1</v>
      </c>
      <c r="I1602" s="10">
        <f t="shared" ref="I1602:I1665" si="57">IF(AND(ISNUMBER(F1602), F1602&gt;4, ISNUMBER(SEARCH("đêm", D1602))), 1, 0)</f>
        <v>0</v>
      </c>
      <c r="J1602" s="10"/>
      <c r="K1602" s="7"/>
      <c r="L1602" s="7"/>
      <c r="M1602" s="7"/>
      <c r="N1602" s="10"/>
      <c r="O1602" s="113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t="15.75" customHeight="1">
      <c r="A1603" s="10" t="s">
        <v>25</v>
      </c>
      <c r="B1603" s="7" t="s">
        <v>128</v>
      </c>
      <c r="C1603" s="135">
        <v>46257</v>
      </c>
      <c r="D1603" s="44" t="s">
        <v>193</v>
      </c>
      <c r="E1603" s="35" t="s">
        <v>199</v>
      </c>
      <c r="F1603" s="121">
        <v>8</v>
      </c>
      <c r="G1603" s="122">
        <f t="shared" si="56"/>
        <v>0</v>
      </c>
      <c r="H1603" s="123">
        <f>IF(AND(ISNUMBER(F1603), F1603&gt;4, COUNTIFS($A$2:A1603, A1603, $B$2:B1603, B1603, $C$2:C1603, C1603, $F$2:F1603, "&gt;4")=1), 1, 0)</f>
        <v>0</v>
      </c>
      <c r="I1603" s="10">
        <f t="shared" si="57"/>
        <v>0</v>
      </c>
      <c r="J1603" s="10"/>
      <c r="K1603" s="7"/>
      <c r="L1603" s="7"/>
      <c r="M1603" s="7"/>
      <c r="N1603" s="10"/>
      <c r="O1603" s="113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t="15.75" customHeight="1">
      <c r="A1604" s="10" t="s">
        <v>25</v>
      </c>
      <c r="B1604" s="7" t="s">
        <v>128</v>
      </c>
      <c r="C1604" s="135">
        <v>46259</v>
      </c>
      <c r="D1604" s="44" t="s">
        <v>193</v>
      </c>
      <c r="E1604" s="35" t="s">
        <v>214</v>
      </c>
      <c r="F1604" s="121">
        <v>8.08</v>
      </c>
      <c r="G1604" s="122">
        <f t="shared" si="56"/>
        <v>0</v>
      </c>
      <c r="H1604" s="123">
        <f>IF(AND(ISNUMBER(F1604), F1604&gt;4, COUNTIFS($A$2:A1604, A1604, $B$2:B1604, B1604, $C$2:C1604, C1604, $F$2:F1604, "&gt;4")=1), 1, 0)</f>
        <v>1</v>
      </c>
      <c r="I1604" s="10">
        <f t="shared" si="57"/>
        <v>0</v>
      </c>
      <c r="J1604" s="10"/>
      <c r="K1604" s="7"/>
      <c r="L1604" s="7"/>
      <c r="M1604" s="7"/>
      <c r="N1604" s="10"/>
      <c r="O1604" s="113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t="15.75" customHeight="1">
      <c r="A1605" s="10" t="s">
        <v>25</v>
      </c>
      <c r="B1605" s="7" t="s">
        <v>128</v>
      </c>
      <c r="C1605" s="135">
        <v>46260</v>
      </c>
      <c r="D1605" s="44" t="s">
        <v>193</v>
      </c>
      <c r="E1605" s="35" t="s">
        <v>409</v>
      </c>
      <c r="F1605" s="121">
        <v>7.93</v>
      </c>
      <c r="G1605" s="122">
        <f t="shared" si="56"/>
        <v>0</v>
      </c>
      <c r="H1605" s="123">
        <f>IF(AND(ISNUMBER(F1605), F1605&gt;4, COUNTIFS($A$2:A1605, A1605, $B$2:B1605, B1605, $C$2:C1605, C1605, $F$2:F1605, "&gt;4")=1), 1, 0)</f>
        <v>1</v>
      </c>
      <c r="I1605" s="10">
        <f t="shared" si="57"/>
        <v>0</v>
      </c>
      <c r="J1605" s="10"/>
      <c r="K1605" s="7"/>
      <c r="L1605" s="7"/>
      <c r="M1605" s="7"/>
      <c r="N1605" s="10"/>
      <c r="O1605" s="113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t="15.75" customHeight="1">
      <c r="A1606" s="10" t="s">
        <v>25</v>
      </c>
      <c r="B1606" s="7" t="s">
        <v>128</v>
      </c>
      <c r="C1606" s="135">
        <v>46261</v>
      </c>
      <c r="D1606" s="44" t="s">
        <v>193</v>
      </c>
      <c r="E1606" s="35" t="s">
        <v>501</v>
      </c>
      <c r="F1606" s="121">
        <v>8.2200000000000006</v>
      </c>
      <c r="G1606" s="122">
        <f t="shared" si="56"/>
        <v>0</v>
      </c>
      <c r="H1606" s="123">
        <f>IF(AND(ISNUMBER(F1606), F1606&gt;4, COUNTIFS($A$2:A1606, A1606, $B$2:B1606, B1606, $C$2:C1606, C1606, $F$2:F1606, "&gt;4")=1), 1, 0)</f>
        <v>1</v>
      </c>
      <c r="I1606" s="10">
        <f t="shared" si="57"/>
        <v>0</v>
      </c>
      <c r="J1606" s="10"/>
      <c r="K1606" s="7"/>
      <c r="L1606" s="7"/>
      <c r="M1606" s="7"/>
      <c r="N1606" s="10"/>
      <c r="O1606" s="113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t="15.75" customHeight="1">
      <c r="A1607" s="10" t="s">
        <v>25</v>
      </c>
      <c r="B1607" s="7" t="s">
        <v>128</v>
      </c>
      <c r="C1607" s="135">
        <v>46235</v>
      </c>
      <c r="D1607" s="44" t="s">
        <v>418</v>
      </c>
      <c r="E1607" s="35" t="s">
        <v>805</v>
      </c>
      <c r="F1607" s="121">
        <v>3.57</v>
      </c>
      <c r="G1607" s="122">
        <f t="shared" si="56"/>
        <v>1</v>
      </c>
      <c r="H1607" s="123">
        <f>IF(AND(ISNUMBER(F1607), F1607&gt;4, COUNTIFS($A$2:A1607, A1607, $B$2:B1607, B1607, $C$2:C1607, C1607, $F$2:F1607, "&gt;4")=1), 1, 0)</f>
        <v>0</v>
      </c>
      <c r="I1607" s="10">
        <f t="shared" si="57"/>
        <v>0</v>
      </c>
      <c r="J1607" s="10"/>
      <c r="K1607" s="7"/>
      <c r="L1607" s="7"/>
      <c r="M1607" s="7"/>
      <c r="N1607" s="10"/>
      <c r="O1607" s="113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t="15.75" customHeight="1">
      <c r="A1608" s="10" t="s">
        <v>25</v>
      </c>
      <c r="B1608" s="7" t="s">
        <v>128</v>
      </c>
      <c r="C1608" s="135">
        <v>46236</v>
      </c>
      <c r="D1608" s="44" t="s">
        <v>418</v>
      </c>
      <c r="E1608" s="35" t="s">
        <v>806</v>
      </c>
      <c r="F1608" s="121">
        <v>2.98</v>
      </c>
      <c r="G1608" s="122">
        <f t="shared" si="56"/>
        <v>1</v>
      </c>
      <c r="H1608" s="123">
        <f>IF(AND(ISNUMBER(F1608), F1608&gt;4, COUNTIFS($A$2:A1608, A1608, $B$2:B1608, B1608, $C$2:C1608, C1608, $F$2:F1608, "&gt;4")=1), 1, 0)</f>
        <v>0</v>
      </c>
      <c r="I1608" s="10">
        <f t="shared" si="57"/>
        <v>0</v>
      </c>
      <c r="J1608" s="10"/>
      <c r="K1608" s="7"/>
      <c r="L1608" s="7"/>
      <c r="M1608" s="7"/>
      <c r="N1608" s="10"/>
      <c r="O1608" s="113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t="15.75" customHeight="1">
      <c r="A1609" s="10" t="s">
        <v>25</v>
      </c>
      <c r="B1609" s="7" t="s">
        <v>128</v>
      </c>
      <c r="C1609" s="135">
        <v>46238</v>
      </c>
      <c r="D1609" s="44" t="s">
        <v>418</v>
      </c>
      <c r="E1609" s="35" t="s">
        <v>807</v>
      </c>
      <c r="F1609" s="121">
        <v>1.43</v>
      </c>
      <c r="G1609" s="122">
        <f t="shared" si="56"/>
        <v>1</v>
      </c>
      <c r="H1609" s="123">
        <f>IF(AND(ISNUMBER(F1609), F1609&gt;4, COUNTIFS($A$2:A1609, A1609, $B$2:B1609, B1609, $C$2:C1609, C1609, $F$2:F1609, "&gt;4")=1), 1, 0)</f>
        <v>0</v>
      </c>
      <c r="I1609" s="10">
        <f t="shared" si="57"/>
        <v>0</v>
      </c>
      <c r="J1609" s="10"/>
      <c r="K1609" s="7"/>
      <c r="L1609" s="7"/>
      <c r="M1609" s="7"/>
      <c r="N1609" s="10"/>
      <c r="O1609" s="113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t="15.75" customHeight="1">
      <c r="A1610" s="10" t="s">
        <v>25</v>
      </c>
      <c r="B1610" s="7" t="s">
        <v>128</v>
      </c>
      <c r="C1610" s="135">
        <v>46240</v>
      </c>
      <c r="D1610" s="44" t="s">
        <v>418</v>
      </c>
      <c r="E1610" s="35" t="s">
        <v>632</v>
      </c>
      <c r="F1610" s="121">
        <v>2.1</v>
      </c>
      <c r="G1610" s="122">
        <f t="shared" si="56"/>
        <v>1</v>
      </c>
      <c r="H1610" s="123">
        <f>IF(AND(ISNUMBER(F1610), F1610&gt;4, COUNTIFS($A$2:A1610, A1610, $B$2:B1610, B1610, $C$2:C1610, C1610, $F$2:F1610, "&gt;4")=1), 1, 0)</f>
        <v>0</v>
      </c>
      <c r="I1610" s="10">
        <f t="shared" si="57"/>
        <v>0</v>
      </c>
      <c r="J1610" s="10"/>
      <c r="K1610" s="7"/>
      <c r="L1610" s="7"/>
      <c r="M1610" s="7"/>
      <c r="N1610" s="10"/>
      <c r="O1610" s="113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t="15.75" customHeight="1">
      <c r="A1611" s="10" t="s">
        <v>25</v>
      </c>
      <c r="B1611" s="7" t="s">
        <v>128</v>
      </c>
      <c r="C1611" s="135">
        <v>46242</v>
      </c>
      <c r="D1611" s="44" t="s">
        <v>418</v>
      </c>
      <c r="E1611" s="35" t="s">
        <v>808</v>
      </c>
      <c r="F1611" s="121">
        <v>1.62</v>
      </c>
      <c r="G1611" s="122">
        <f t="shared" si="56"/>
        <v>1</v>
      </c>
      <c r="H1611" s="123">
        <f>IF(AND(ISNUMBER(F1611), F1611&gt;4, COUNTIFS($A$2:A1611, A1611, $B$2:B1611, B1611, $C$2:C1611, C1611, $F$2:F1611, "&gt;4")=1), 1, 0)</f>
        <v>0</v>
      </c>
      <c r="I1611" s="10">
        <f t="shared" si="57"/>
        <v>0</v>
      </c>
      <c r="J1611" s="10"/>
      <c r="K1611" s="7"/>
      <c r="L1611" s="7"/>
      <c r="M1611" s="7"/>
      <c r="N1611" s="10"/>
      <c r="O1611" s="113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t="15.75" customHeight="1">
      <c r="A1612" s="10" t="s">
        <v>25</v>
      </c>
      <c r="B1612" s="7" t="s">
        <v>128</v>
      </c>
      <c r="C1612" s="135">
        <v>46243</v>
      </c>
      <c r="D1612" s="44" t="s">
        <v>418</v>
      </c>
      <c r="E1612" s="35" t="s">
        <v>809</v>
      </c>
      <c r="F1612" s="121">
        <v>2.65</v>
      </c>
      <c r="G1612" s="122">
        <f t="shared" si="56"/>
        <v>1</v>
      </c>
      <c r="H1612" s="123">
        <f>IF(AND(ISNUMBER(F1612), F1612&gt;4, COUNTIFS($A$2:A1612, A1612, $B$2:B1612, B1612, $C$2:C1612, C1612, $F$2:F1612, "&gt;4")=1), 1, 0)</f>
        <v>0</v>
      </c>
      <c r="I1612" s="10">
        <f t="shared" si="57"/>
        <v>0</v>
      </c>
      <c r="J1612" s="10"/>
      <c r="K1612" s="7"/>
      <c r="L1612" s="7"/>
      <c r="M1612" s="7"/>
      <c r="N1612" s="10"/>
      <c r="O1612" s="113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t="15.75" customHeight="1">
      <c r="A1613" s="10" t="s">
        <v>25</v>
      </c>
      <c r="B1613" s="7" t="s">
        <v>128</v>
      </c>
      <c r="C1613" s="135">
        <v>46244</v>
      </c>
      <c r="D1613" s="44" t="s">
        <v>418</v>
      </c>
      <c r="E1613" s="35" t="s">
        <v>527</v>
      </c>
      <c r="F1613" s="121">
        <v>1.07</v>
      </c>
      <c r="G1613" s="122">
        <f t="shared" si="56"/>
        <v>1</v>
      </c>
      <c r="H1613" s="123">
        <f>IF(AND(ISNUMBER(F1613), F1613&gt;4, COUNTIFS($A$2:A1613, A1613, $B$2:B1613, B1613, $C$2:C1613, C1613, $F$2:F1613, "&gt;4")=1), 1, 0)</f>
        <v>0</v>
      </c>
      <c r="I1613" s="10">
        <f t="shared" si="57"/>
        <v>0</v>
      </c>
      <c r="J1613" s="10"/>
      <c r="K1613" s="7"/>
      <c r="L1613" s="7"/>
      <c r="M1613" s="7"/>
      <c r="N1613" s="10"/>
      <c r="O1613" s="113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t="15.75" customHeight="1">
      <c r="A1614" s="10" t="s">
        <v>25</v>
      </c>
      <c r="B1614" s="7" t="s">
        <v>128</v>
      </c>
      <c r="C1614" s="135">
        <v>46246</v>
      </c>
      <c r="D1614" s="44" t="s">
        <v>418</v>
      </c>
      <c r="E1614" s="35" t="s">
        <v>632</v>
      </c>
      <c r="F1614" s="121">
        <v>2.1</v>
      </c>
      <c r="G1614" s="122">
        <f t="shared" si="56"/>
        <v>1</v>
      </c>
      <c r="H1614" s="123">
        <f>IF(AND(ISNUMBER(F1614), F1614&gt;4, COUNTIFS($A$2:A1614, A1614, $B$2:B1614, B1614, $C$2:C1614, C1614, $F$2:F1614, "&gt;4")=1), 1, 0)</f>
        <v>0</v>
      </c>
      <c r="I1614" s="10">
        <f t="shared" si="57"/>
        <v>0</v>
      </c>
      <c r="J1614" s="10"/>
      <c r="K1614" s="7"/>
      <c r="L1614" s="7"/>
      <c r="M1614" s="7"/>
      <c r="N1614" s="10"/>
      <c r="O1614" s="113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t="15.75" customHeight="1">
      <c r="A1615" s="10" t="s">
        <v>25</v>
      </c>
      <c r="B1615" s="7" t="s">
        <v>128</v>
      </c>
      <c r="C1615" s="135">
        <v>46251</v>
      </c>
      <c r="D1615" s="44" t="s">
        <v>418</v>
      </c>
      <c r="E1615" s="35" t="s">
        <v>800</v>
      </c>
      <c r="F1615" s="121">
        <v>2.2000000000000002</v>
      </c>
      <c r="G1615" s="122">
        <f t="shared" si="56"/>
        <v>1</v>
      </c>
      <c r="H1615" s="123">
        <f>IF(AND(ISNUMBER(F1615), F1615&gt;4, COUNTIFS($A$2:A1615, A1615, $B$2:B1615, B1615, $C$2:C1615, C1615, $F$2:F1615, "&gt;4")=1), 1, 0)</f>
        <v>0</v>
      </c>
      <c r="I1615" s="10">
        <f t="shared" si="57"/>
        <v>0</v>
      </c>
      <c r="J1615" s="10"/>
      <c r="K1615" s="7"/>
      <c r="L1615" s="7"/>
      <c r="M1615" s="7"/>
      <c r="N1615" s="10"/>
      <c r="O1615" s="113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t="15.75" customHeight="1">
      <c r="A1616" s="10" t="s">
        <v>25</v>
      </c>
      <c r="B1616" s="7" t="s">
        <v>128</v>
      </c>
      <c r="C1616" s="135">
        <v>46254</v>
      </c>
      <c r="D1616" s="44" t="s">
        <v>418</v>
      </c>
      <c r="E1616" s="35" t="s">
        <v>810</v>
      </c>
      <c r="F1616" s="121">
        <v>2.25</v>
      </c>
      <c r="G1616" s="122">
        <f t="shared" si="56"/>
        <v>1</v>
      </c>
      <c r="H1616" s="123">
        <f>IF(AND(ISNUMBER(F1616), F1616&gt;4, COUNTIFS($A$2:A1616, A1616, $B$2:B1616, B1616, $C$2:C1616, C1616, $F$2:F1616, "&gt;4")=1), 1, 0)</f>
        <v>0</v>
      </c>
      <c r="I1616" s="10">
        <f t="shared" si="57"/>
        <v>0</v>
      </c>
      <c r="J1616" s="10"/>
      <c r="K1616" s="7"/>
      <c r="L1616" s="7"/>
      <c r="M1616" s="7"/>
      <c r="N1616" s="10"/>
      <c r="O1616" s="113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t="15.75" customHeight="1">
      <c r="A1617" s="10" t="s">
        <v>25</v>
      </c>
      <c r="B1617" s="7" t="s">
        <v>128</v>
      </c>
      <c r="C1617" s="135">
        <v>46256</v>
      </c>
      <c r="D1617" s="44" t="s">
        <v>418</v>
      </c>
      <c r="E1617" s="35" t="s">
        <v>673</v>
      </c>
      <c r="F1617" s="121">
        <v>1.25</v>
      </c>
      <c r="G1617" s="122">
        <f t="shared" si="56"/>
        <v>1</v>
      </c>
      <c r="H1617" s="123">
        <f>IF(AND(ISNUMBER(F1617), F1617&gt;4, COUNTIFS($A$2:A1617, A1617, $B$2:B1617, B1617, $C$2:C1617, C1617, $F$2:F1617, "&gt;4")=1), 1, 0)</f>
        <v>0</v>
      </c>
      <c r="I1617" s="10">
        <f t="shared" si="57"/>
        <v>0</v>
      </c>
      <c r="J1617" s="10"/>
      <c r="K1617" s="7"/>
      <c r="L1617" s="7"/>
      <c r="M1617" s="7"/>
      <c r="N1617" s="10"/>
      <c r="O1617" s="113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t="15.75" customHeight="1">
      <c r="A1618" s="10" t="s">
        <v>25</v>
      </c>
      <c r="B1618" s="7" t="s">
        <v>128</v>
      </c>
      <c r="C1618" s="135">
        <v>46257</v>
      </c>
      <c r="D1618" s="44" t="s">
        <v>418</v>
      </c>
      <c r="E1618" s="35" t="s">
        <v>811</v>
      </c>
      <c r="F1618" s="121">
        <v>1.58</v>
      </c>
      <c r="G1618" s="122">
        <f t="shared" si="56"/>
        <v>1</v>
      </c>
      <c r="H1618" s="123">
        <f>IF(AND(ISNUMBER(F1618), F1618&gt;4, COUNTIFS($A$2:A1618, A1618, $B$2:B1618, B1618, $C$2:C1618, C1618, $F$2:F1618, "&gt;4")=1), 1, 0)</f>
        <v>0</v>
      </c>
      <c r="I1618" s="10">
        <f t="shared" si="57"/>
        <v>0</v>
      </c>
      <c r="J1618" s="10"/>
      <c r="K1618" s="7"/>
      <c r="L1618" s="7"/>
      <c r="M1618" s="7"/>
      <c r="N1618" s="10"/>
      <c r="O1618" s="113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t="15.75" customHeight="1">
      <c r="A1619" s="10" t="s">
        <v>25</v>
      </c>
      <c r="B1619" s="7" t="s">
        <v>128</v>
      </c>
      <c r="C1619" s="135">
        <v>46259</v>
      </c>
      <c r="D1619" s="44" t="s">
        <v>418</v>
      </c>
      <c r="E1619" s="35" t="s">
        <v>812</v>
      </c>
      <c r="F1619" s="121">
        <v>1.47</v>
      </c>
      <c r="G1619" s="122">
        <f t="shared" si="56"/>
        <v>1</v>
      </c>
      <c r="H1619" s="123">
        <f>IF(AND(ISNUMBER(F1619), F1619&gt;4, COUNTIFS($A$2:A1619, A1619, $B$2:B1619, B1619, $C$2:C1619, C1619, $F$2:F1619, "&gt;4")=1), 1, 0)</f>
        <v>0</v>
      </c>
      <c r="I1619" s="10">
        <f t="shared" si="57"/>
        <v>0</v>
      </c>
      <c r="J1619" s="10"/>
      <c r="K1619" s="7"/>
      <c r="L1619" s="7"/>
      <c r="M1619" s="7"/>
      <c r="N1619" s="10"/>
      <c r="O1619" s="113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t="15.75" customHeight="1">
      <c r="A1620" s="10" t="s">
        <v>25</v>
      </c>
      <c r="B1620" s="7" t="s">
        <v>128</v>
      </c>
      <c r="C1620" s="135">
        <v>46261</v>
      </c>
      <c r="D1620" s="44" t="s">
        <v>418</v>
      </c>
      <c r="E1620" s="35" t="s">
        <v>813</v>
      </c>
      <c r="F1620" s="121">
        <v>2.7</v>
      </c>
      <c r="G1620" s="122">
        <f t="shared" si="56"/>
        <v>1</v>
      </c>
      <c r="H1620" s="123">
        <f>IF(AND(ISNUMBER(F1620), F1620&gt;4, COUNTIFS($A$2:A1620, A1620, $B$2:B1620, B1620, $C$2:C1620, C1620, $F$2:F1620, "&gt;4")=1), 1, 0)</f>
        <v>0</v>
      </c>
      <c r="I1620" s="10">
        <f t="shared" si="57"/>
        <v>0</v>
      </c>
      <c r="J1620" s="10"/>
      <c r="K1620" s="7"/>
      <c r="L1620" s="7"/>
      <c r="M1620" s="7"/>
      <c r="N1620" s="10"/>
      <c r="O1620" s="113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t="15.75" customHeight="1">
      <c r="A1621" s="10" t="s">
        <v>25</v>
      </c>
      <c r="B1621" s="7" t="s">
        <v>128</v>
      </c>
      <c r="C1621" s="135">
        <v>46239</v>
      </c>
      <c r="D1621" s="44" t="s">
        <v>267</v>
      </c>
      <c r="E1621" s="35" t="s">
        <v>288</v>
      </c>
      <c r="F1621" s="121">
        <v>8.0500000000000007</v>
      </c>
      <c r="G1621" s="122">
        <f t="shared" si="56"/>
        <v>0</v>
      </c>
      <c r="H1621" s="123">
        <f>IF(AND(ISNUMBER(F1621), F1621&gt;4, COUNTIFS($A$2:A1621, A1621, $B$2:B1621, B1621, $C$2:C1621, C1621, $F$2:F1621, "&gt;4")=1), 1, 0)</f>
        <v>0</v>
      </c>
      <c r="I1621" s="10">
        <f t="shared" si="57"/>
        <v>1</v>
      </c>
      <c r="J1621" s="10"/>
      <c r="K1621" s="7"/>
      <c r="L1621" s="7"/>
      <c r="M1621" s="7"/>
      <c r="N1621" s="10"/>
      <c r="O1621" s="113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t="15.75" customHeight="1">
      <c r="A1622" s="10" t="s">
        <v>25</v>
      </c>
      <c r="B1622" s="7" t="s">
        <v>128</v>
      </c>
      <c r="C1622" s="135">
        <v>46241</v>
      </c>
      <c r="D1622" s="44" t="s">
        <v>267</v>
      </c>
      <c r="E1622" s="35" t="s">
        <v>479</v>
      </c>
      <c r="F1622" s="121">
        <v>8.02</v>
      </c>
      <c r="G1622" s="122">
        <f t="shared" si="56"/>
        <v>0</v>
      </c>
      <c r="H1622" s="123">
        <f>IF(AND(ISNUMBER(F1622), F1622&gt;4, COUNTIFS($A$2:A1622, A1622, $B$2:B1622, B1622, $C$2:C1622, C1622, $F$2:F1622, "&gt;4")=1), 1, 0)</f>
        <v>0</v>
      </c>
      <c r="I1622" s="10">
        <f t="shared" si="57"/>
        <v>1</v>
      </c>
      <c r="J1622" s="10"/>
      <c r="K1622" s="7"/>
      <c r="L1622" s="7"/>
      <c r="M1622" s="7"/>
      <c r="N1622" s="10"/>
      <c r="O1622" s="113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t="15.75" customHeight="1">
      <c r="A1623" s="10" t="s">
        <v>25</v>
      </c>
      <c r="B1623" s="7" t="s">
        <v>128</v>
      </c>
      <c r="C1623" s="135">
        <v>46250</v>
      </c>
      <c r="D1623" s="44" t="s">
        <v>267</v>
      </c>
      <c r="E1623" s="35" t="s">
        <v>207</v>
      </c>
      <c r="F1623" s="121">
        <v>8.1</v>
      </c>
      <c r="G1623" s="122">
        <f t="shared" si="56"/>
        <v>0</v>
      </c>
      <c r="H1623" s="123">
        <f>IF(AND(ISNUMBER(F1623), F1623&gt;4, COUNTIFS($A$2:A1623, A1623, $B$2:B1623, B1623, $C$2:C1623, C1623, $F$2:F1623, "&gt;4")=1), 1, 0)</f>
        <v>1</v>
      </c>
      <c r="I1623" s="10">
        <f t="shared" si="57"/>
        <v>1</v>
      </c>
      <c r="J1623" s="10"/>
      <c r="K1623" s="7"/>
      <c r="L1623" s="7"/>
      <c r="M1623" s="7"/>
      <c r="N1623" s="10"/>
      <c r="O1623" s="113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t="15.75" customHeight="1">
      <c r="A1624" s="10" t="s">
        <v>25</v>
      </c>
      <c r="B1624" s="7" t="s">
        <v>128</v>
      </c>
      <c r="C1624" s="135">
        <v>46255</v>
      </c>
      <c r="D1624" s="44" t="s">
        <v>267</v>
      </c>
      <c r="E1624" s="35" t="s">
        <v>288</v>
      </c>
      <c r="F1624" s="121">
        <v>8.0500000000000007</v>
      </c>
      <c r="G1624" s="122">
        <f t="shared" si="56"/>
        <v>0</v>
      </c>
      <c r="H1624" s="123">
        <f>IF(AND(ISNUMBER(F1624), F1624&gt;4, COUNTIFS($A$2:A1624, A1624, $B$2:B1624, B1624, $C$2:C1624, C1624, $F$2:F1624, "&gt;4")=1), 1, 0)</f>
        <v>0</v>
      </c>
      <c r="I1624" s="10">
        <f t="shared" si="57"/>
        <v>1</v>
      </c>
      <c r="J1624" s="10"/>
      <c r="K1624" s="7"/>
      <c r="L1624" s="7"/>
      <c r="M1624" s="7"/>
      <c r="N1624" s="10"/>
      <c r="O1624" s="113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t="15.75" customHeight="1">
      <c r="A1625" s="10" t="s">
        <v>25</v>
      </c>
      <c r="B1625" s="7" t="s">
        <v>128</v>
      </c>
      <c r="C1625" s="135">
        <v>46258</v>
      </c>
      <c r="D1625" s="44" t="s">
        <v>267</v>
      </c>
      <c r="E1625" s="35" t="s">
        <v>207</v>
      </c>
      <c r="F1625" s="121">
        <v>8.1</v>
      </c>
      <c r="G1625" s="122">
        <f t="shared" si="56"/>
        <v>0</v>
      </c>
      <c r="H1625" s="123">
        <f>IF(AND(ISNUMBER(F1625), F1625&gt;4, COUNTIFS($A$2:A1625, A1625, $B$2:B1625, B1625, $C$2:C1625, C1625, $F$2:F1625, "&gt;4")=1), 1, 0)</f>
        <v>1</v>
      </c>
      <c r="I1625" s="10">
        <f t="shared" si="57"/>
        <v>1</v>
      </c>
      <c r="J1625" s="10"/>
      <c r="K1625" s="7"/>
      <c r="L1625" s="7"/>
      <c r="M1625" s="7"/>
      <c r="N1625" s="10"/>
      <c r="O1625" s="113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t="15.75" customHeight="1">
      <c r="A1626" s="10" t="s">
        <v>25</v>
      </c>
      <c r="B1626" s="7" t="s">
        <v>128</v>
      </c>
      <c r="C1626" s="135">
        <v>46265</v>
      </c>
      <c r="D1626" s="44" t="s">
        <v>267</v>
      </c>
      <c r="E1626" s="35" t="s">
        <v>288</v>
      </c>
      <c r="F1626" s="121">
        <v>8.0500000000000007</v>
      </c>
      <c r="G1626" s="122">
        <f t="shared" si="56"/>
        <v>0</v>
      </c>
      <c r="H1626" s="123">
        <f>IF(AND(ISNUMBER(F1626), F1626&gt;4, COUNTIFS($A$2:A1626, A1626, $B$2:B1626, B1626, $C$2:C1626, C1626, $F$2:F1626, "&gt;4")=1), 1, 0)</f>
        <v>1</v>
      </c>
      <c r="I1626" s="10">
        <f t="shared" si="57"/>
        <v>1</v>
      </c>
      <c r="J1626" s="10"/>
      <c r="K1626" s="7"/>
      <c r="L1626" s="7"/>
      <c r="M1626" s="7"/>
      <c r="N1626" s="10"/>
      <c r="O1626" s="113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t="15.75" customHeight="1">
      <c r="A1627" s="10" t="s">
        <v>26</v>
      </c>
      <c r="B1627" s="7" t="s">
        <v>133</v>
      </c>
      <c r="C1627" s="135">
        <v>46235</v>
      </c>
      <c r="D1627" s="44" t="s">
        <v>191</v>
      </c>
      <c r="E1627" s="35" t="s">
        <v>199</v>
      </c>
      <c r="F1627" s="121">
        <v>8</v>
      </c>
      <c r="G1627" s="122">
        <f t="shared" si="56"/>
        <v>0</v>
      </c>
      <c r="H1627" s="123">
        <f>IF(AND(ISNUMBER(F1627), F1627&gt;4, COUNTIFS($A$2:A1627, A1627, $B$2:B1627, B1627, $C$2:C1627, C1627, $F$2:F1627, "&gt;4")=1), 1, 0)</f>
        <v>1</v>
      </c>
      <c r="I1627" s="10">
        <f t="shared" si="57"/>
        <v>0</v>
      </c>
      <c r="J1627" s="10"/>
      <c r="K1627" s="7"/>
      <c r="L1627" s="7"/>
      <c r="M1627" s="7"/>
      <c r="N1627" s="10"/>
      <c r="O1627" s="113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t="15.75" customHeight="1">
      <c r="A1628" s="10" t="s">
        <v>26</v>
      </c>
      <c r="B1628" s="7" t="s">
        <v>133</v>
      </c>
      <c r="C1628" s="135">
        <v>46236</v>
      </c>
      <c r="D1628" s="44" t="s">
        <v>191</v>
      </c>
      <c r="E1628" s="35" t="s">
        <v>592</v>
      </c>
      <c r="F1628" s="121">
        <v>8.8800000000000008</v>
      </c>
      <c r="G1628" s="122">
        <f t="shared" si="56"/>
        <v>0</v>
      </c>
      <c r="H1628" s="123">
        <f>IF(AND(ISNUMBER(F1628), F1628&gt;4, COUNTIFS($A$2:A1628, A1628, $B$2:B1628, B1628, $C$2:C1628, C1628, $F$2:F1628, "&gt;4")=1), 1, 0)</f>
        <v>1</v>
      </c>
      <c r="I1628" s="10">
        <f t="shared" si="57"/>
        <v>0</v>
      </c>
      <c r="J1628" s="10"/>
      <c r="K1628" s="7"/>
      <c r="L1628" s="7"/>
      <c r="M1628" s="7"/>
      <c r="N1628" s="10"/>
      <c r="O1628" s="113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t="15.75" customHeight="1">
      <c r="A1629" s="10" t="s">
        <v>26</v>
      </c>
      <c r="B1629" s="7" t="s">
        <v>133</v>
      </c>
      <c r="C1629" s="135">
        <v>46241</v>
      </c>
      <c r="D1629" s="44" t="s">
        <v>191</v>
      </c>
      <c r="E1629" s="35" t="s">
        <v>262</v>
      </c>
      <c r="F1629" s="121">
        <v>7.08</v>
      </c>
      <c r="G1629" s="122">
        <f t="shared" si="56"/>
        <v>0</v>
      </c>
      <c r="H1629" s="123">
        <f>IF(AND(ISNUMBER(F1629), F1629&gt;4, COUNTIFS($A$2:A1629, A1629, $B$2:B1629, B1629, $C$2:C1629, C1629, $F$2:F1629, "&gt;4")=1), 1, 0)</f>
        <v>1</v>
      </c>
      <c r="I1629" s="10">
        <f t="shared" si="57"/>
        <v>0</v>
      </c>
      <c r="J1629" s="10"/>
      <c r="K1629" s="7"/>
      <c r="L1629" s="7"/>
      <c r="M1629" s="7"/>
      <c r="N1629" s="10"/>
      <c r="O1629" s="113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t="15.75" customHeight="1">
      <c r="A1630" s="10" t="s">
        <v>26</v>
      </c>
      <c r="B1630" s="7" t="s">
        <v>133</v>
      </c>
      <c r="C1630" s="135">
        <v>46242</v>
      </c>
      <c r="D1630" s="44" t="s">
        <v>191</v>
      </c>
      <c r="E1630" s="35" t="s">
        <v>540</v>
      </c>
      <c r="F1630" s="121">
        <v>8.65</v>
      </c>
      <c r="G1630" s="122">
        <f t="shared" si="56"/>
        <v>0</v>
      </c>
      <c r="H1630" s="123">
        <f>IF(AND(ISNUMBER(F1630), F1630&gt;4, COUNTIFS($A$2:A1630, A1630, $B$2:B1630, B1630, $C$2:C1630, C1630, $F$2:F1630, "&gt;4")=1), 1, 0)</f>
        <v>1</v>
      </c>
      <c r="I1630" s="10">
        <f t="shared" si="57"/>
        <v>0</v>
      </c>
      <c r="J1630" s="10"/>
      <c r="K1630" s="7"/>
      <c r="L1630" s="7"/>
      <c r="M1630" s="7"/>
      <c r="N1630" s="10"/>
      <c r="O1630" s="113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t="15.75" customHeight="1">
      <c r="A1631" s="10" t="s">
        <v>26</v>
      </c>
      <c r="B1631" s="7" t="s">
        <v>133</v>
      </c>
      <c r="C1631" s="135">
        <v>46245</v>
      </c>
      <c r="D1631" s="44" t="s">
        <v>191</v>
      </c>
      <c r="E1631" s="35" t="s">
        <v>686</v>
      </c>
      <c r="F1631" s="121">
        <v>7.52</v>
      </c>
      <c r="G1631" s="122">
        <f t="shared" si="56"/>
        <v>0</v>
      </c>
      <c r="H1631" s="123">
        <f>IF(AND(ISNUMBER(F1631), F1631&gt;4, COUNTIFS($A$2:A1631, A1631, $B$2:B1631, B1631, $C$2:C1631, C1631, $F$2:F1631, "&gt;4")=1), 1, 0)</f>
        <v>1</v>
      </c>
      <c r="I1631" s="10">
        <f t="shared" si="57"/>
        <v>0</v>
      </c>
      <c r="J1631" s="10"/>
      <c r="K1631" s="7"/>
      <c r="L1631" s="7"/>
      <c r="M1631" s="7"/>
      <c r="N1631" s="10"/>
      <c r="O1631" s="113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t="15.75" customHeight="1">
      <c r="A1632" s="10" t="s">
        <v>26</v>
      </c>
      <c r="B1632" s="7" t="s">
        <v>133</v>
      </c>
      <c r="C1632" s="135">
        <v>46246</v>
      </c>
      <c r="D1632" s="44" t="s">
        <v>191</v>
      </c>
      <c r="E1632" s="35" t="s">
        <v>615</v>
      </c>
      <c r="F1632" s="121">
        <v>7.38</v>
      </c>
      <c r="G1632" s="122">
        <f t="shared" si="56"/>
        <v>0</v>
      </c>
      <c r="H1632" s="123">
        <f>IF(AND(ISNUMBER(F1632), F1632&gt;4, COUNTIFS($A$2:A1632, A1632, $B$2:B1632, B1632, $C$2:C1632, C1632, $F$2:F1632, "&gt;4")=1), 1, 0)</f>
        <v>1</v>
      </c>
      <c r="I1632" s="10">
        <f t="shared" si="57"/>
        <v>0</v>
      </c>
      <c r="J1632" s="10"/>
      <c r="K1632" s="7"/>
      <c r="L1632" s="7"/>
      <c r="M1632" s="7"/>
      <c r="N1632" s="10"/>
      <c r="O1632" s="113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t="15.75" customHeight="1">
      <c r="A1633" s="10" t="s">
        <v>26</v>
      </c>
      <c r="B1633" s="7" t="s">
        <v>133</v>
      </c>
      <c r="C1633" s="135">
        <v>46251</v>
      </c>
      <c r="D1633" s="44" t="s">
        <v>191</v>
      </c>
      <c r="E1633" s="35" t="s">
        <v>814</v>
      </c>
      <c r="F1633" s="121">
        <v>6.72</v>
      </c>
      <c r="G1633" s="122">
        <f t="shared" si="56"/>
        <v>0</v>
      </c>
      <c r="H1633" s="123">
        <f>IF(AND(ISNUMBER(F1633), F1633&gt;4, COUNTIFS($A$2:A1633, A1633, $B$2:B1633, B1633, $C$2:C1633, C1633, $F$2:F1633, "&gt;4")=1), 1, 0)</f>
        <v>1</v>
      </c>
      <c r="I1633" s="10">
        <f t="shared" si="57"/>
        <v>0</v>
      </c>
      <c r="J1633" s="10"/>
      <c r="K1633" s="7"/>
      <c r="L1633" s="7"/>
      <c r="M1633" s="7"/>
      <c r="N1633" s="10"/>
      <c r="O1633" s="113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t="15.75" customHeight="1">
      <c r="A1634" s="10" t="s">
        <v>26</v>
      </c>
      <c r="B1634" s="7" t="s">
        <v>133</v>
      </c>
      <c r="C1634" s="135">
        <v>46253</v>
      </c>
      <c r="D1634" s="44" t="s">
        <v>191</v>
      </c>
      <c r="E1634" s="35" t="s">
        <v>504</v>
      </c>
      <c r="F1634" s="121">
        <v>8.18</v>
      </c>
      <c r="G1634" s="122">
        <f t="shared" si="56"/>
        <v>0</v>
      </c>
      <c r="H1634" s="123">
        <f>IF(AND(ISNUMBER(F1634), F1634&gt;4, COUNTIFS($A$2:A1634, A1634, $B$2:B1634, B1634, $C$2:C1634, C1634, $F$2:F1634, "&gt;4")=1), 1, 0)</f>
        <v>1</v>
      </c>
      <c r="I1634" s="10">
        <f t="shared" si="57"/>
        <v>0</v>
      </c>
      <c r="J1634" s="10"/>
      <c r="K1634" s="7"/>
      <c r="L1634" s="7"/>
      <c r="M1634" s="7"/>
      <c r="N1634" s="10"/>
      <c r="O1634" s="113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t="15.75" customHeight="1">
      <c r="A1635" s="10" t="s">
        <v>26</v>
      </c>
      <c r="B1635" s="7" t="s">
        <v>133</v>
      </c>
      <c r="C1635" s="135">
        <v>46258</v>
      </c>
      <c r="D1635" s="44" t="s">
        <v>191</v>
      </c>
      <c r="E1635" s="35" t="s">
        <v>553</v>
      </c>
      <c r="F1635" s="121">
        <v>7.8</v>
      </c>
      <c r="G1635" s="122">
        <f t="shared" si="56"/>
        <v>0</v>
      </c>
      <c r="H1635" s="123">
        <f>IF(AND(ISNUMBER(F1635), F1635&gt;4, COUNTIFS($A$2:A1635, A1635, $B$2:B1635, B1635, $C$2:C1635, C1635, $F$2:F1635, "&gt;4")=1), 1, 0)</f>
        <v>1</v>
      </c>
      <c r="I1635" s="10">
        <f t="shared" si="57"/>
        <v>0</v>
      </c>
      <c r="J1635" s="10"/>
      <c r="K1635" s="7"/>
      <c r="L1635" s="7"/>
      <c r="M1635" s="7"/>
      <c r="N1635" s="10"/>
      <c r="O1635" s="113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t="15.75" customHeight="1">
      <c r="A1636" s="10" t="s">
        <v>26</v>
      </c>
      <c r="B1636" s="7" t="s">
        <v>133</v>
      </c>
      <c r="C1636" s="135">
        <v>46264</v>
      </c>
      <c r="D1636" s="44" t="s">
        <v>191</v>
      </c>
      <c r="E1636" s="35" t="s">
        <v>348</v>
      </c>
      <c r="F1636" s="121">
        <v>7.95</v>
      </c>
      <c r="G1636" s="122">
        <f t="shared" si="56"/>
        <v>0</v>
      </c>
      <c r="H1636" s="123">
        <f>IF(AND(ISNUMBER(F1636), F1636&gt;4, COUNTIFS($A$2:A1636, A1636, $B$2:B1636, B1636, $C$2:C1636, C1636, $F$2:F1636, "&gt;4")=1), 1, 0)</f>
        <v>1</v>
      </c>
      <c r="I1636" s="10">
        <f t="shared" si="57"/>
        <v>0</v>
      </c>
      <c r="J1636" s="10"/>
      <c r="K1636" s="7"/>
      <c r="L1636" s="7"/>
      <c r="M1636" s="7"/>
      <c r="N1636" s="10"/>
      <c r="O1636" s="113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t="15.75" customHeight="1">
      <c r="A1637" s="10" t="s">
        <v>26</v>
      </c>
      <c r="B1637" s="7" t="s">
        <v>133</v>
      </c>
      <c r="C1637" s="135">
        <v>46265</v>
      </c>
      <c r="D1637" s="44" t="s">
        <v>191</v>
      </c>
      <c r="E1637" s="35" t="s">
        <v>481</v>
      </c>
      <c r="F1637" s="121">
        <v>7.98</v>
      </c>
      <c r="G1637" s="122">
        <f t="shared" si="56"/>
        <v>0</v>
      </c>
      <c r="H1637" s="123">
        <f>IF(AND(ISNUMBER(F1637), F1637&gt;4, COUNTIFS($A$2:A1637, A1637, $B$2:B1637, B1637, $C$2:C1637, C1637, $F$2:F1637, "&gt;4")=1), 1, 0)</f>
        <v>1</v>
      </c>
      <c r="I1637" s="10">
        <f t="shared" si="57"/>
        <v>0</v>
      </c>
      <c r="J1637" s="10"/>
      <c r="K1637" s="7"/>
      <c r="L1637" s="7"/>
      <c r="M1637" s="7"/>
      <c r="N1637" s="10"/>
      <c r="O1637" s="113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t="15.75" customHeight="1">
      <c r="A1638" s="10" t="s">
        <v>26</v>
      </c>
      <c r="B1638" s="7" t="s">
        <v>133</v>
      </c>
      <c r="C1638" s="135">
        <v>46237</v>
      </c>
      <c r="D1638" s="44" t="s">
        <v>257</v>
      </c>
      <c r="E1638" s="35" t="s">
        <v>239</v>
      </c>
      <c r="F1638" s="121">
        <v>8.07</v>
      </c>
      <c r="G1638" s="122">
        <f t="shared" si="56"/>
        <v>0</v>
      </c>
      <c r="H1638" s="123">
        <f>IF(AND(ISNUMBER(F1638), F1638&gt;4, COUNTIFS($A$2:A1638, A1638, $B$2:B1638, B1638, $C$2:C1638, C1638, $F$2:F1638, "&gt;4")=1), 1, 0)</f>
        <v>1</v>
      </c>
      <c r="I1638" s="10">
        <f t="shared" si="57"/>
        <v>0</v>
      </c>
      <c r="J1638" s="10"/>
      <c r="K1638" s="7"/>
      <c r="L1638" s="7"/>
      <c r="M1638" s="7"/>
      <c r="N1638" s="10"/>
      <c r="O1638" s="113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t="15.75" customHeight="1">
      <c r="A1639" s="10" t="s">
        <v>26</v>
      </c>
      <c r="B1639" s="7" t="s">
        <v>133</v>
      </c>
      <c r="C1639" s="135">
        <v>46243</v>
      </c>
      <c r="D1639" s="44" t="s">
        <v>257</v>
      </c>
      <c r="E1639" s="35" t="s">
        <v>288</v>
      </c>
      <c r="F1639" s="121">
        <v>8.0500000000000007</v>
      </c>
      <c r="G1639" s="122">
        <f t="shared" si="56"/>
        <v>0</v>
      </c>
      <c r="H1639" s="123">
        <f>IF(AND(ISNUMBER(F1639), F1639&gt;4, COUNTIFS($A$2:A1639, A1639, $B$2:B1639, B1639, $C$2:C1639, C1639, $F$2:F1639, "&gt;4")=1), 1, 0)</f>
        <v>1</v>
      </c>
      <c r="I1639" s="10">
        <f t="shared" si="57"/>
        <v>0</v>
      </c>
      <c r="J1639" s="10"/>
      <c r="K1639" s="7"/>
      <c r="L1639" s="7"/>
      <c r="M1639" s="7"/>
      <c r="N1639" s="10"/>
      <c r="O1639" s="113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t="15.75" customHeight="1">
      <c r="A1640" s="10" t="s">
        <v>26</v>
      </c>
      <c r="B1640" s="7" t="s">
        <v>133</v>
      </c>
      <c r="C1640" s="135">
        <v>46244</v>
      </c>
      <c r="D1640" s="44" t="s">
        <v>257</v>
      </c>
      <c r="E1640" s="35" t="s">
        <v>814</v>
      </c>
      <c r="F1640" s="121">
        <v>6.72</v>
      </c>
      <c r="G1640" s="122">
        <f t="shared" si="56"/>
        <v>0</v>
      </c>
      <c r="H1640" s="123">
        <f>IF(AND(ISNUMBER(F1640), F1640&gt;4, COUNTIFS($A$2:A1640, A1640, $B$2:B1640, B1640, $C$2:C1640, C1640, $F$2:F1640, "&gt;4")=1), 1, 0)</f>
        <v>1</v>
      </c>
      <c r="I1640" s="10">
        <f t="shared" si="57"/>
        <v>0</v>
      </c>
      <c r="J1640" s="10"/>
      <c r="K1640" s="7"/>
      <c r="L1640" s="7"/>
      <c r="M1640" s="7"/>
      <c r="N1640" s="10"/>
      <c r="O1640" s="113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t="15.75" customHeight="1">
      <c r="A1641" s="10" t="s">
        <v>26</v>
      </c>
      <c r="B1641" s="7" t="s">
        <v>133</v>
      </c>
      <c r="C1641" s="135">
        <v>46248</v>
      </c>
      <c r="D1641" s="44" t="s">
        <v>257</v>
      </c>
      <c r="E1641" s="35" t="s">
        <v>684</v>
      </c>
      <c r="F1641" s="121">
        <v>7.73</v>
      </c>
      <c r="G1641" s="122">
        <f t="shared" si="56"/>
        <v>0</v>
      </c>
      <c r="H1641" s="123">
        <f>IF(AND(ISNUMBER(F1641), F1641&gt;4, COUNTIFS($A$2:A1641, A1641, $B$2:B1641, B1641, $C$2:C1641, C1641, $F$2:F1641, "&gt;4")=1), 1, 0)</f>
        <v>1</v>
      </c>
      <c r="I1641" s="10">
        <f t="shared" si="57"/>
        <v>0</v>
      </c>
      <c r="J1641" s="10"/>
      <c r="K1641" s="7"/>
      <c r="L1641" s="7"/>
      <c r="M1641" s="7"/>
      <c r="N1641" s="10"/>
      <c r="O1641" s="113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t="15.75" customHeight="1">
      <c r="A1642" s="10" t="s">
        <v>26</v>
      </c>
      <c r="B1642" s="7" t="s">
        <v>133</v>
      </c>
      <c r="C1642" s="135">
        <v>46249</v>
      </c>
      <c r="D1642" s="44" t="s">
        <v>257</v>
      </c>
      <c r="E1642" s="35" t="s">
        <v>636</v>
      </c>
      <c r="F1642" s="121">
        <v>6.98</v>
      </c>
      <c r="G1642" s="122">
        <f t="shared" si="56"/>
        <v>0</v>
      </c>
      <c r="H1642" s="123">
        <f>IF(AND(ISNUMBER(F1642), F1642&gt;4, COUNTIFS($A$2:A1642, A1642, $B$2:B1642, B1642, $C$2:C1642, C1642, $F$2:F1642, "&gt;4")=1), 1, 0)</f>
        <v>1</v>
      </c>
      <c r="I1642" s="10">
        <f t="shared" si="57"/>
        <v>0</v>
      </c>
      <c r="J1642" s="10"/>
      <c r="K1642" s="7"/>
      <c r="L1642" s="7"/>
      <c r="M1642" s="7"/>
      <c r="N1642" s="10"/>
      <c r="O1642" s="113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t="15.75" customHeight="1">
      <c r="A1643" s="10" t="s">
        <v>26</v>
      </c>
      <c r="B1643" s="7" t="s">
        <v>133</v>
      </c>
      <c r="C1643" s="135">
        <v>46250</v>
      </c>
      <c r="D1643" s="44" t="s">
        <v>257</v>
      </c>
      <c r="E1643" s="35" t="s">
        <v>815</v>
      </c>
      <c r="F1643" s="121">
        <v>7.62</v>
      </c>
      <c r="G1643" s="122">
        <f t="shared" si="56"/>
        <v>0</v>
      </c>
      <c r="H1643" s="123">
        <f>IF(AND(ISNUMBER(F1643), F1643&gt;4, COUNTIFS($A$2:A1643, A1643, $B$2:B1643, B1643, $C$2:C1643, C1643, $F$2:F1643, "&gt;4")=1), 1, 0)</f>
        <v>1</v>
      </c>
      <c r="I1643" s="10">
        <f t="shared" si="57"/>
        <v>0</v>
      </c>
      <c r="J1643" s="10"/>
      <c r="K1643" s="7"/>
      <c r="L1643" s="7"/>
      <c r="M1643" s="7"/>
      <c r="N1643" s="10"/>
      <c r="O1643" s="113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t="15.75" customHeight="1">
      <c r="A1644" s="10" t="s">
        <v>26</v>
      </c>
      <c r="B1644" s="7" t="s">
        <v>133</v>
      </c>
      <c r="C1644" s="135">
        <v>46252</v>
      </c>
      <c r="D1644" s="44" t="s">
        <v>257</v>
      </c>
      <c r="E1644" s="35" t="s">
        <v>484</v>
      </c>
      <c r="F1644" s="121">
        <v>7.82</v>
      </c>
      <c r="G1644" s="122">
        <f t="shared" si="56"/>
        <v>0</v>
      </c>
      <c r="H1644" s="123">
        <f>IF(AND(ISNUMBER(F1644), F1644&gt;4, COUNTIFS($A$2:A1644, A1644, $B$2:B1644, B1644, $C$2:C1644, C1644, $F$2:F1644, "&gt;4")=1), 1, 0)</f>
        <v>1</v>
      </c>
      <c r="I1644" s="10">
        <f t="shared" si="57"/>
        <v>0</v>
      </c>
      <c r="J1644" s="10"/>
      <c r="K1644" s="7"/>
      <c r="L1644" s="7"/>
      <c r="M1644" s="7"/>
      <c r="N1644" s="10"/>
      <c r="O1644" s="113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t="15.75" customHeight="1">
      <c r="A1645" s="10" t="s">
        <v>26</v>
      </c>
      <c r="B1645" s="7" t="s">
        <v>133</v>
      </c>
      <c r="C1645" s="135">
        <v>46255</v>
      </c>
      <c r="D1645" s="44" t="s">
        <v>257</v>
      </c>
      <c r="E1645" s="35" t="s">
        <v>310</v>
      </c>
      <c r="F1645" s="121">
        <v>8.3000000000000007</v>
      </c>
      <c r="G1645" s="122">
        <f t="shared" si="56"/>
        <v>0</v>
      </c>
      <c r="H1645" s="123">
        <f>IF(AND(ISNUMBER(F1645), F1645&gt;4, COUNTIFS($A$2:A1645, A1645, $B$2:B1645, B1645, $C$2:C1645, C1645, $F$2:F1645, "&gt;4")=1), 1, 0)</f>
        <v>1</v>
      </c>
      <c r="I1645" s="10">
        <f t="shared" si="57"/>
        <v>0</v>
      </c>
      <c r="J1645" s="10"/>
      <c r="K1645" s="7"/>
      <c r="L1645" s="7"/>
      <c r="M1645" s="7"/>
      <c r="N1645" s="10"/>
      <c r="O1645" s="113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t="15.75" customHeight="1">
      <c r="A1646" s="10" t="s">
        <v>26</v>
      </c>
      <c r="B1646" s="7" t="s">
        <v>133</v>
      </c>
      <c r="C1646" s="135">
        <v>46257</v>
      </c>
      <c r="D1646" s="44" t="s">
        <v>257</v>
      </c>
      <c r="E1646" s="35" t="s">
        <v>207</v>
      </c>
      <c r="F1646" s="121">
        <v>8.1</v>
      </c>
      <c r="G1646" s="122">
        <f t="shared" si="56"/>
        <v>0</v>
      </c>
      <c r="H1646" s="123">
        <f>IF(AND(ISNUMBER(F1646), F1646&gt;4, COUNTIFS($A$2:A1646, A1646, $B$2:B1646, B1646, $C$2:C1646, C1646, $F$2:F1646, "&gt;4")=1), 1, 0)</f>
        <v>1</v>
      </c>
      <c r="I1646" s="10">
        <f t="shared" si="57"/>
        <v>0</v>
      </c>
      <c r="J1646" s="10"/>
      <c r="K1646" s="7"/>
      <c r="L1646" s="7"/>
      <c r="M1646" s="7"/>
      <c r="N1646" s="10"/>
      <c r="O1646" s="113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t="15.75" customHeight="1">
      <c r="A1647" s="10" t="s">
        <v>26</v>
      </c>
      <c r="B1647" s="7" t="s">
        <v>133</v>
      </c>
      <c r="C1647" s="135">
        <v>46263</v>
      </c>
      <c r="D1647" s="44" t="s">
        <v>257</v>
      </c>
      <c r="E1647" s="35" t="s">
        <v>655</v>
      </c>
      <c r="F1647" s="121">
        <v>7.02</v>
      </c>
      <c r="G1647" s="122">
        <f t="shared" si="56"/>
        <v>0</v>
      </c>
      <c r="H1647" s="123">
        <f>IF(AND(ISNUMBER(F1647), F1647&gt;4, COUNTIFS($A$2:A1647, A1647, $B$2:B1647, B1647, $C$2:C1647, C1647, $F$2:F1647, "&gt;4")=1), 1, 0)</f>
        <v>1</v>
      </c>
      <c r="I1647" s="10">
        <f t="shared" si="57"/>
        <v>0</v>
      </c>
      <c r="J1647" s="10"/>
      <c r="K1647" s="7"/>
      <c r="L1647" s="7"/>
      <c r="M1647" s="7"/>
      <c r="N1647" s="10"/>
      <c r="O1647" s="113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t="15.75" customHeight="1">
      <c r="A1648" s="10" t="s">
        <v>26</v>
      </c>
      <c r="B1648" s="7" t="s">
        <v>133</v>
      </c>
      <c r="C1648" s="135">
        <v>46239</v>
      </c>
      <c r="D1648" s="44" t="s">
        <v>439</v>
      </c>
      <c r="E1648" s="35" t="s">
        <v>738</v>
      </c>
      <c r="F1648" s="121">
        <v>5.12</v>
      </c>
      <c r="G1648" s="122">
        <f t="shared" si="56"/>
        <v>0</v>
      </c>
      <c r="H1648" s="123">
        <f>IF(AND(ISNUMBER(F1648), F1648&gt;4, COUNTIFS($A$2:A1648, A1648, $B$2:B1648, B1648, $C$2:C1648, C1648, $F$2:F1648, "&gt;4")=1), 1, 0)</f>
        <v>1</v>
      </c>
      <c r="I1648" s="10">
        <f t="shared" si="57"/>
        <v>0</v>
      </c>
      <c r="J1648" s="10"/>
      <c r="K1648" s="7"/>
      <c r="L1648" s="7"/>
      <c r="M1648" s="7"/>
      <c r="N1648" s="10"/>
      <c r="O1648" s="113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t="15.75" customHeight="1">
      <c r="A1649" s="10" t="s">
        <v>26</v>
      </c>
      <c r="B1649" s="7" t="s">
        <v>133</v>
      </c>
      <c r="C1649" s="135">
        <v>46254</v>
      </c>
      <c r="D1649" s="44" t="s">
        <v>439</v>
      </c>
      <c r="E1649" s="35" t="s">
        <v>816</v>
      </c>
      <c r="F1649" s="121">
        <v>6.3</v>
      </c>
      <c r="G1649" s="122">
        <f t="shared" si="56"/>
        <v>0</v>
      </c>
      <c r="H1649" s="123">
        <f>IF(AND(ISNUMBER(F1649), F1649&gt;4, COUNTIFS($A$2:A1649, A1649, $B$2:B1649, B1649, $C$2:C1649, C1649, $F$2:F1649, "&gt;4")=1), 1, 0)</f>
        <v>1</v>
      </c>
      <c r="I1649" s="10">
        <f t="shared" si="57"/>
        <v>0</v>
      </c>
      <c r="J1649" s="10"/>
      <c r="K1649" s="7"/>
      <c r="L1649" s="7"/>
      <c r="M1649" s="7"/>
      <c r="N1649" s="10"/>
      <c r="O1649" s="113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t="15.75" customHeight="1">
      <c r="A1650" s="10" t="s">
        <v>26</v>
      </c>
      <c r="B1650" s="7" t="s">
        <v>133</v>
      </c>
      <c r="C1650" s="135">
        <v>46259</v>
      </c>
      <c r="D1650" s="44" t="s">
        <v>439</v>
      </c>
      <c r="E1650" s="35" t="s">
        <v>358</v>
      </c>
      <c r="F1650" s="121">
        <v>6.37</v>
      </c>
      <c r="G1650" s="122">
        <f t="shared" si="56"/>
        <v>0</v>
      </c>
      <c r="H1650" s="123">
        <f>IF(AND(ISNUMBER(F1650), F1650&gt;4, COUNTIFS($A$2:A1650, A1650, $B$2:B1650, B1650, $C$2:C1650, C1650, $F$2:F1650, "&gt;4")=1), 1, 0)</f>
        <v>1</v>
      </c>
      <c r="I1650" s="10">
        <f t="shared" si="57"/>
        <v>0</v>
      </c>
      <c r="J1650" s="10"/>
      <c r="K1650" s="7"/>
      <c r="L1650" s="7"/>
      <c r="M1650" s="7"/>
      <c r="N1650" s="10"/>
      <c r="O1650" s="113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t="15.75" customHeight="1">
      <c r="A1651" s="10" t="s">
        <v>26</v>
      </c>
      <c r="B1651" s="7" t="s">
        <v>133</v>
      </c>
      <c r="C1651" s="135">
        <v>46260</v>
      </c>
      <c r="D1651" s="44" t="s">
        <v>439</v>
      </c>
      <c r="E1651" s="35" t="s">
        <v>759</v>
      </c>
      <c r="F1651" s="121">
        <v>9.23</v>
      </c>
      <c r="G1651" s="122">
        <f t="shared" si="56"/>
        <v>0</v>
      </c>
      <c r="H1651" s="123">
        <f>IF(AND(ISNUMBER(F1651), F1651&gt;4, COUNTIFS($A$2:A1651, A1651, $B$2:B1651, B1651, $C$2:C1651, C1651, $F$2:F1651, "&gt;4")=1), 1, 0)</f>
        <v>1</v>
      </c>
      <c r="I1651" s="10">
        <f t="shared" si="57"/>
        <v>0</v>
      </c>
      <c r="J1651" s="10"/>
      <c r="K1651" s="7"/>
      <c r="L1651" s="7"/>
      <c r="M1651" s="7"/>
      <c r="N1651" s="10"/>
      <c r="O1651" s="113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t="15.75" customHeight="1">
      <c r="A1652" s="10" t="s">
        <v>26</v>
      </c>
      <c r="B1652" s="7" t="s">
        <v>133</v>
      </c>
      <c r="C1652" s="135">
        <v>46261</v>
      </c>
      <c r="D1652" s="44" t="s">
        <v>439</v>
      </c>
      <c r="E1652" s="35" t="s">
        <v>549</v>
      </c>
      <c r="F1652" s="121">
        <v>6.33</v>
      </c>
      <c r="G1652" s="122">
        <f t="shared" si="56"/>
        <v>0</v>
      </c>
      <c r="H1652" s="123">
        <f>IF(AND(ISNUMBER(F1652), F1652&gt;4, COUNTIFS($A$2:A1652, A1652, $B$2:B1652, B1652, $C$2:C1652, C1652, $F$2:F1652, "&gt;4")=1), 1, 0)</f>
        <v>1</v>
      </c>
      <c r="I1652" s="10">
        <f t="shared" si="57"/>
        <v>0</v>
      </c>
      <c r="J1652" s="10"/>
      <c r="K1652" s="7"/>
      <c r="L1652" s="7"/>
      <c r="M1652" s="7"/>
      <c r="N1652" s="10"/>
      <c r="O1652" s="113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t="15.75" customHeight="1">
      <c r="A1653" s="10" t="s">
        <v>26</v>
      </c>
      <c r="B1653" s="7" t="s">
        <v>133</v>
      </c>
      <c r="C1653" s="135">
        <v>46262</v>
      </c>
      <c r="D1653" s="44" t="s">
        <v>439</v>
      </c>
      <c r="E1653" s="35" t="s">
        <v>608</v>
      </c>
      <c r="F1653" s="121">
        <v>6.77</v>
      </c>
      <c r="G1653" s="122">
        <f t="shared" si="56"/>
        <v>0</v>
      </c>
      <c r="H1653" s="123">
        <f>IF(AND(ISNUMBER(F1653), F1653&gt;4, COUNTIFS($A$2:A1653, A1653, $B$2:B1653, B1653, $C$2:C1653, C1653, $F$2:F1653, "&gt;4")=1), 1, 0)</f>
        <v>1</v>
      </c>
      <c r="I1653" s="10">
        <f t="shared" si="57"/>
        <v>0</v>
      </c>
      <c r="J1653" s="10"/>
      <c r="K1653" s="7"/>
      <c r="L1653" s="7"/>
      <c r="M1653" s="7"/>
      <c r="N1653" s="10"/>
      <c r="O1653" s="113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t="15.75" customHeight="1">
      <c r="A1654" s="10" t="s">
        <v>26</v>
      </c>
      <c r="B1654" s="7" t="s">
        <v>133</v>
      </c>
      <c r="C1654" s="135">
        <v>46238</v>
      </c>
      <c r="D1654" s="44" t="s">
        <v>441</v>
      </c>
      <c r="E1654" s="35" t="s">
        <v>329</v>
      </c>
      <c r="F1654" s="121">
        <v>8.0299999999999994</v>
      </c>
      <c r="G1654" s="122">
        <f t="shared" si="56"/>
        <v>0</v>
      </c>
      <c r="H1654" s="123">
        <f>IF(AND(ISNUMBER(F1654), F1654&gt;4, COUNTIFS($A$2:A1654, A1654, $B$2:B1654, B1654, $C$2:C1654, C1654, $F$2:F1654, "&gt;4")=1), 1, 0)</f>
        <v>1</v>
      </c>
      <c r="I1654" s="10">
        <f t="shared" si="57"/>
        <v>1</v>
      </c>
      <c r="J1654" s="10"/>
      <c r="K1654" s="7"/>
      <c r="L1654" s="7"/>
      <c r="M1654" s="7"/>
      <c r="N1654" s="10"/>
      <c r="O1654" s="113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t="15.75" customHeight="1">
      <c r="A1655" s="10" t="s">
        <v>26</v>
      </c>
      <c r="B1655" s="7" t="s">
        <v>133</v>
      </c>
      <c r="C1655" s="135">
        <v>46239</v>
      </c>
      <c r="D1655" s="44" t="s">
        <v>442</v>
      </c>
      <c r="E1655" s="35" t="s">
        <v>817</v>
      </c>
      <c r="F1655" s="121">
        <v>2.88</v>
      </c>
      <c r="G1655" s="122">
        <f t="shared" si="56"/>
        <v>1</v>
      </c>
      <c r="H1655" s="123">
        <f>IF(AND(ISNUMBER(F1655), F1655&gt;4, COUNTIFS($A$2:A1655, A1655, $B$2:B1655, B1655, $C$2:C1655, C1655, $F$2:F1655, "&gt;4")=1), 1, 0)</f>
        <v>0</v>
      </c>
      <c r="I1655" s="10">
        <f t="shared" si="57"/>
        <v>0</v>
      </c>
      <c r="J1655" s="10"/>
      <c r="K1655" s="7"/>
      <c r="L1655" s="7"/>
      <c r="M1655" s="7"/>
      <c r="N1655" s="10"/>
      <c r="O1655" s="113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t="15.75" customHeight="1">
      <c r="A1656" s="10" t="s">
        <v>26</v>
      </c>
      <c r="B1656" s="7" t="s">
        <v>133</v>
      </c>
      <c r="C1656" s="135">
        <v>46243</v>
      </c>
      <c r="D1656" s="44" t="s">
        <v>442</v>
      </c>
      <c r="E1656" s="35" t="s">
        <v>818</v>
      </c>
      <c r="F1656" s="121">
        <v>3.33</v>
      </c>
      <c r="G1656" s="122">
        <f t="shared" si="56"/>
        <v>1</v>
      </c>
      <c r="H1656" s="123">
        <f>IF(AND(ISNUMBER(F1656), F1656&gt;4, COUNTIFS($A$2:A1656, A1656, $B$2:B1656, B1656, $C$2:C1656, C1656, $F$2:F1656, "&gt;4")=1), 1, 0)</f>
        <v>0</v>
      </c>
      <c r="I1656" s="10">
        <f t="shared" si="57"/>
        <v>0</v>
      </c>
      <c r="J1656" s="10"/>
      <c r="K1656" s="7"/>
      <c r="L1656" s="7"/>
      <c r="M1656" s="7"/>
      <c r="N1656" s="10"/>
      <c r="O1656" s="113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t="15.75" customHeight="1">
      <c r="A1657" s="10" t="s">
        <v>26</v>
      </c>
      <c r="B1657" s="7" t="s">
        <v>133</v>
      </c>
      <c r="C1657" s="135">
        <v>46248</v>
      </c>
      <c r="D1657" s="44" t="s">
        <v>442</v>
      </c>
      <c r="E1657" s="35" t="s">
        <v>819</v>
      </c>
      <c r="F1657" s="121">
        <v>2.4</v>
      </c>
      <c r="G1657" s="122">
        <f t="shared" si="56"/>
        <v>1</v>
      </c>
      <c r="H1657" s="123">
        <f>IF(AND(ISNUMBER(F1657), F1657&gt;4, COUNTIFS($A$2:A1657, A1657, $B$2:B1657, B1657, $C$2:C1657, C1657, $F$2:F1657, "&gt;4")=1), 1, 0)</f>
        <v>0</v>
      </c>
      <c r="I1657" s="10">
        <f t="shared" si="57"/>
        <v>0</v>
      </c>
      <c r="J1657" s="10"/>
      <c r="K1657" s="7"/>
      <c r="L1657" s="7"/>
      <c r="M1657" s="7"/>
      <c r="N1657" s="10"/>
      <c r="O1657" s="113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t="15.75" customHeight="1">
      <c r="A1658" s="10" t="s">
        <v>26</v>
      </c>
      <c r="B1658" s="7" t="s">
        <v>133</v>
      </c>
      <c r="C1658" s="135">
        <v>46249</v>
      </c>
      <c r="D1658" s="44" t="s">
        <v>442</v>
      </c>
      <c r="E1658" s="35" t="s">
        <v>694</v>
      </c>
      <c r="F1658" s="121">
        <v>1.98</v>
      </c>
      <c r="G1658" s="122">
        <f t="shared" si="56"/>
        <v>1</v>
      </c>
      <c r="H1658" s="123">
        <f>IF(AND(ISNUMBER(F1658), F1658&gt;4, COUNTIFS($A$2:A1658, A1658, $B$2:B1658, B1658, $C$2:C1658, C1658, $F$2:F1658, "&gt;4")=1), 1, 0)</f>
        <v>0</v>
      </c>
      <c r="I1658" s="10">
        <f t="shared" si="57"/>
        <v>0</v>
      </c>
      <c r="J1658" s="10"/>
      <c r="K1658" s="7"/>
      <c r="L1658" s="7"/>
      <c r="M1658" s="7"/>
      <c r="N1658" s="10"/>
      <c r="O1658" s="113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t="15.75" customHeight="1">
      <c r="A1659" s="10" t="s">
        <v>26</v>
      </c>
      <c r="B1659" s="7" t="s">
        <v>133</v>
      </c>
      <c r="C1659" s="135">
        <v>46254</v>
      </c>
      <c r="D1659" s="44" t="s">
        <v>442</v>
      </c>
      <c r="E1659" s="35" t="s">
        <v>459</v>
      </c>
      <c r="F1659" s="121">
        <v>3</v>
      </c>
      <c r="G1659" s="122">
        <f t="shared" si="56"/>
        <v>1</v>
      </c>
      <c r="H1659" s="123">
        <f>IF(AND(ISNUMBER(F1659), F1659&gt;4, COUNTIFS($A$2:A1659, A1659, $B$2:B1659, B1659, $C$2:C1659, C1659, $F$2:F1659, "&gt;4")=1), 1, 0)</f>
        <v>0</v>
      </c>
      <c r="I1659" s="10">
        <f t="shared" si="57"/>
        <v>0</v>
      </c>
      <c r="J1659" s="10"/>
      <c r="K1659" s="7"/>
      <c r="L1659" s="7"/>
      <c r="M1659" s="7"/>
      <c r="N1659" s="10"/>
      <c r="O1659" s="113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t="15.75" customHeight="1">
      <c r="A1660" s="10" t="s">
        <v>26</v>
      </c>
      <c r="B1660" s="7" t="s">
        <v>133</v>
      </c>
      <c r="C1660" s="135">
        <v>46259</v>
      </c>
      <c r="D1660" s="44" t="s">
        <v>442</v>
      </c>
      <c r="E1660" s="35" t="s">
        <v>695</v>
      </c>
      <c r="F1660" s="121">
        <v>2.58</v>
      </c>
      <c r="G1660" s="122">
        <f t="shared" si="56"/>
        <v>1</v>
      </c>
      <c r="H1660" s="123">
        <f>IF(AND(ISNUMBER(F1660), F1660&gt;4, COUNTIFS($A$2:A1660, A1660, $B$2:B1660, B1660, $C$2:C1660, C1660, $F$2:F1660, "&gt;4")=1), 1, 0)</f>
        <v>0</v>
      </c>
      <c r="I1660" s="10">
        <f t="shared" si="57"/>
        <v>0</v>
      </c>
      <c r="J1660" s="10"/>
      <c r="K1660" s="7"/>
      <c r="L1660" s="7"/>
      <c r="M1660" s="7"/>
      <c r="N1660" s="10"/>
      <c r="O1660" s="113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t="15.75" customHeight="1">
      <c r="A1661" s="10" t="s">
        <v>26</v>
      </c>
      <c r="B1661" s="7" t="s">
        <v>133</v>
      </c>
      <c r="C1661" s="135">
        <v>46261</v>
      </c>
      <c r="D1661" s="44" t="s">
        <v>442</v>
      </c>
      <c r="E1661" s="35" t="s">
        <v>785</v>
      </c>
      <c r="F1661" s="121">
        <v>2.12</v>
      </c>
      <c r="G1661" s="122">
        <f t="shared" si="56"/>
        <v>1</v>
      </c>
      <c r="H1661" s="123">
        <f>IF(AND(ISNUMBER(F1661), F1661&gt;4, COUNTIFS($A$2:A1661, A1661, $B$2:B1661, B1661, $C$2:C1661, C1661, $F$2:F1661, "&gt;4")=1), 1, 0)</f>
        <v>0</v>
      </c>
      <c r="I1661" s="10">
        <f t="shared" si="57"/>
        <v>0</v>
      </c>
      <c r="J1661" s="10"/>
      <c r="K1661" s="7"/>
      <c r="L1661" s="7"/>
      <c r="M1661" s="7"/>
      <c r="N1661" s="10"/>
      <c r="O1661" s="113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t="15.75" customHeight="1">
      <c r="A1662" s="10" t="s">
        <v>26</v>
      </c>
      <c r="B1662" s="7" t="s">
        <v>133</v>
      </c>
      <c r="C1662" s="135">
        <v>46262</v>
      </c>
      <c r="D1662" s="44" t="s">
        <v>442</v>
      </c>
      <c r="E1662" s="35" t="s">
        <v>820</v>
      </c>
      <c r="F1662" s="121">
        <v>3.6</v>
      </c>
      <c r="G1662" s="122">
        <f t="shared" si="56"/>
        <v>1</v>
      </c>
      <c r="H1662" s="123">
        <f>IF(AND(ISNUMBER(F1662), F1662&gt;4, COUNTIFS($A$2:A1662, A1662, $B$2:B1662, B1662, $C$2:C1662, C1662, $F$2:F1662, "&gt;4")=1), 1, 0)</f>
        <v>0</v>
      </c>
      <c r="I1662" s="10">
        <f t="shared" si="57"/>
        <v>0</v>
      </c>
      <c r="J1662" s="10"/>
      <c r="K1662" s="7"/>
      <c r="L1662" s="7"/>
      <c r="M1662" s="7"/>
      <c r="N1662" s="10"/>
      <c r="O1662" s="113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t="15.75" customHeight="1">
      <c r="A1663" s="10" t="s">
        <v>26</v>
      </c>
      <c r="B1663" s="7" t="s">
        <v>135</v>
      </c>
      <c r="C1663" s="135">
        <v>46250</v>
      </c>
      <c r="D1663" s="44" t="s">
        <v>191</v>
      </c>
      <c r="E1663" s="35" t="s">
        <v>329</v>
      </c>
      <c r="F1663" s="121">
        <v>8.0299999999999994</v>
      </c>
      <c r="G1663" s="122">
        <f t="shared" si="56"/>
        <v>0</v>
      </c>
      <c r="H1663" s="123">
        <f>IF(AND(ISNUMBER(F1663), F1663&gt;4, COUNTIFS($A$2:A1663, A1663, $B$2:B1663, B1663, $C$2:C1663, C1663, $F$2:F1663, "&gt;4")=1), 1, 0)</f>
        <v>1</v>
      </c>
      <c r="I1663" s="10">
        <f t="shared" si="57"/>
        <v>0</v>
      </c>
      <c r="J1663" s="10"/>
      <c r="K1663" s="7"/>
      <c r="L1663" s="7"/>
      <c r="M1663" s="7"/>
      <c r="N1663" s="10"/>
      <c r="O1663" s="113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t="15.75" customHeight="1">
      <c r="A1664" s="10" t="s">
        <v>26</v>
      </c>
      <c r="B1664" s="7" t="s">
        <v>135</v>
      </c>
      <c r="C1664" s="135">
        <v>46251</v>
      </c>
      <c r="D1664" s="44" t="s">
        <v>191</v>
      </c>
      <c r="E1664" s="35" t="s">
        <v>616</v>
      </c>
      <c r="F1664" s="121">
        <v>7.57</v>
      </c>
      <c r="G1664" s="122">
        <f t="shared" si="56"/>
        <v>0</v>
      </c>
      <c r="H1664" s="123">
        <f>IF(AND(ISNUMBER(F1664), F1664&gt;4, COUNTIFS($A$2:A1664, A1664, $B$2:B1664, B1664, $C$2:C1664, C1664, $F$2:F1664, "&gt;4")=1), 1, 0)</f>
        <v>1</v>
      </c>
      <c r="I1664" s="10">
        <f t="shared" si="57"/>
        <v>0</v>
      </c>
      <c r="J1664" s="10"/>
      <c r="K1664" s="7"/>
      <c r="L1664" s="7"/>
      <c r="M1664" s="7"/>
      <c r="N1664" s="10"/>
      <c r="O1664" s="113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t="15.75" customHeight="1">
      <c r="A1665" s="10" t="s">
        <v>26</v>
      </c>
      <c r="B1665" s="7" t="s">
        <v>135</v>
      </c>
      <c r="C1665" s="135">
        <v>46255</v>
      </c>
      <c r="D1665" s="44" t="s">
        <v>191</v>
      </c>
      <c r="E1665" s="35" t="s">
        <v>300</v>
      </c>
      <c r="F1665" s="121">
        <v>7.75</v>
      </c>
      <c r="G1665" s="122">
        <f t="shared" si="56"/>
        <v>0</v>
      </c>
      <c r="H1665" s="123">
        <f>IF(AND(ISNUMBER(F1665), F1665&gt;4, COUNTIFS($A$2:A1665, A1665, $B$2:B1665, B1665, $C$2:C1665, C1665, $F$2:F1665, "&gt;4")=1), 1, 0)</f>
        <v>1</v>
      </c>
      <c r="I1665" s="10">
        <f t="shared" si="57"/>
        <v>0</v>
      </c>
      <c r="J1665" s="10"/>
      <c r="K1665" s="7"/>
      <c r="L1665" s="7"/>
      <c r="M1665" s="7"/>
      <c r="N1665" s="10"/>
      <c r="O1665" s="113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t="15.75" customHeight="1">
      <c r="A1666" s="10" t="s">
        <v>26</v>
      </c>
      <c r="B1666" s="7" t="s">
        <v>135</v>
      </c>
      <c r="C1666" s="135">
        <v>46259</v>
      </c>
      <c r="D1666" s="44" t="s">
        <v>191</v>
      </c>
      <c r="E1666" s="35" t="s">
        <v>475</v>
      </c>
      <c r="F1666" s="121">
        <v>7.87</v>
      </c>
      <c r="G1666" s="122">
        <f t="shared" ref="G1666:G1729" si="58">IF(AND(ISNUMBER(F1666), F1666&lt;=4), 1, 0)</f>
        <v>0</v>
      </c>
      <c r="H1666" s="123">
        <f>IF(AND(ISNUMBER(F1666), F1666&gt;4, COUNTIFS($A$2:A1666, A1666, $B$2:B1666, B1666, $C$2:C1666, C1666, $F$2:F1666, "&gt;4")=1), 1, 0)</f>
        <v>1</v>
      </c>
      <c r="I1666" s="10">
        <f t="shared" ref="I1666:I1729" si="59">IF(AND(ISNUMBER(F1666), F1666&gt;4, ISNUMBER(SEARCH("đêm", D1666))), 1, 0)</f>
        <v>0</v>
      </c>
      <c r="J1666" s="10"/>
      <c r="K1666" s="7"/>
      <c r="L1666" s="7"/>
      <c r="M1666" s="7"/>
      <c r="N1666" s="10"/>
      <c r="O1666" s="113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t="15.75" customHeight="1">
      <c r="A1667" s="10" t="s">
        <v>26</v>
      </c>
      <c r="B1667" s="7" t="s">
        <v>135</v>
      </c>
      <c r="C1667" s="135">
        <v>46261</v>
      </c>
      <c r="D1667" s="44" t="s">
        <v>191</v>
      </c>
      <c r="E1667" s="35" t="s">
        <v>199</v>
      </c>
      <c r="F1667" s="121">
        <v>8</v>
      </c>
      <c r="G1667" s="122">
        <f t="shared" si="58"/>
        <v>0</v>
      </c>
      <c r="H1667" s="123">
        <f>IF(AND(ISNUMBER(F1667), F1667&gt;4, COUNTIFS($A$2:A1667, A1667, $B$2:B1667, B1667, $C$2:C1667, C1667, $F$2:F1667, "&gt;4")=1), 1, 0)</f>
        <v>1</v>
      </c>
      <c r="I1667" s="10">
        <f t="shared" si="59"/>
        <v>0</v>
      </c>
      <c r="J1667" s="10"/>
      <c r="K1667" s="7"/>
      <c r="L1667" s="7"/>
      <c r="M1667" s="7"/>
      <c r="N1667" s="10"/>
      <c r="O1667" s="113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t="15.75" customHeight="1">
      <c r="A1668" s="10" t="s">
        <v>26</v>
      </c>
      <c r="B1668" s="7" t="s">
        <v>135</v>
      </c>
      <c r="C1668" s="135">
        <v>46263</v>
      </c>
      <c r="D1668" s="44" t="s">
        <v>191</v>
      </c>
      <c r="E1668" s="35" t="s">
        <v>310</v>
      </c>
      <c r="F1668" s="121">
        <v>8.3000000000000007</v>
      </c>
      <c r="G1668" s="122">
        <f t="shared" si="58"/>
        <v>0</v>
      </c>
      <c r="H1668" s="123">
        <f>IF(AND(ISNUMBER(F1668), F1668&gt;4, COUNTIFS($A$2:A1668, A1668, $B$2:B1668, B1668, $C$2:C1668, C1668, $F$2:F1668, "&gt;4")=1), 1, 0)</f>
        <v>1</v>
      </c>
      <c r="I1668" s="10">
        <f t="shared" si="59"/>
        <v>0</v>
      </c>
      <c r="J1668" s="10"/>
      <c r="K1668" s="7"/>
      <c r="L1668" s="7"/>
      <c r="M1668" s="7"/>
      <c r="N1668" s="10"/>
      <c r="O1668" s="113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t="15.75" customHeight="1">
      <c r="A1669" s="10" t="s">
        <v>26</v>
      </c>
      <c r="B1669" s="7" t="s">
        <v>135</v>
      </c>
      <c r="C1669" s="135">
        <v>46249</v>
      </c>
      <c r="D1669" s="44" t="s">
        <v>257</v>
      </c>
      <c r="E1669" s="35" t="s">
        <v>511</v>
      </c>
      <c r="F1669" s="121">
        <v>8.1300000000000008</v>
      </c>
      <c r="G1669" s="122">
        <f t="shared" si="58"/>
        <v>0</v>
      </c>
      <c r="H1669" s="123">
        <f>IF(AND(ISNUMBER(F1669), F1669&gt;4, COUNTIFS($A$2:A1669, A1669, $B$2:B1669, B1669, $C$2:C1669, C1669, $F$2:F1669, "&gt;4")=1), 1, 0)</f>
        <v>1</v>
      </c>
      <c r="I1669" s="10">
        <f t="shared" si="59"/>
        <v>0</v>
      </c>
      <c r="J1669" s="10"/>
      <c r="K1669" s="7"/>
      <c r="L1669" s="7"/>
      <c r="M1669" s="7"/>
      <c r="N1669" s="10"/>
      <c r="O1669" s="113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t="15.75" customHeight="1">
      <c r="A1670" s="10" t="s">
        <v>26</v>
      </c>
      <c r="B1670" s="7" t="s">
        <v>135</v>
      </c>
      <c r="C1670" s="135">
        <v>46252</v>
      </c>
      <c r="D1670" s="44" t="s">
        <v>257</v>
      </c>
      <c r="E1670" s="35" t="s">
        <v>199</v>
      </c>
      <c r="F1670" s="121">
        <v>8</v>
      </c>
      <c r="G1670" s="122">
        <f t="shared" si="58"/>
        <v>0</v>
      </c>
      <c r="H1670" s="123">
        <f>IF(AND(ISNUMBER(F1670), F1670&gt;4, COUNTIFS($A$2:A1670, A1670, $B$2:B1670, B1670, $C$2:C1670, C1670, $F$2:F1670, "&gt;4")=1), 1, 0)</f>
        <v>1</v>
      </c>
      <c r="I1670" s="10">
        <f t="shared" si="59"/>
        <v>0</v>
      </c>
      <c r="J1670" s="10"/>
      <c r="K1670" s="7"/>
      <c r="L1670" s="7"/>
      <c r="M1670" s="7"/>
      <c r="N1670" s="10"/>
      <c r="O1670" s="113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t="15.75" customHeight="1">
      <c r="A1671" s="10" t="s">
        <v>26</v>
      </c>
      <c r="B1671" s="7" t="s">
        <v>135</v>
      </c>
      <c r="C1671" s="135">
        <v>46254</v>
      </c>
      <c r="D1671" s="44" t="s">
        <v>257</v>
      </c>
      <c r="E1671" s="35" t="s">
        <v>479</v>
      </c>
      <c r="F1671" s="121">
        <v>8.02</v>
      </c>
      <c r="G1671" s="122">
        <f t="shared" si="58"/>
        <v>0</v>
      </c>
      <c r="H1671" s="123">
        <f>IF(AND(ISNUMBER(F1671), F1671&gt;4, COUNTIFS($A$2:A1671, A1671, $B$2:B1671, B1671, $C$2:C1671, C1671, $F$2:F1671, "&gt;4")=1), 1, 0)</f>
        <v>1</v>
      </c>
      <c r="I1671" s="10">
        <f t="shared" si="59"/>
        <v>0</v>
      </c>
      <c r="J1671" s="10"/>
      <c r="K1671" s="7"/>
      <c r="L1671" s="7"/>
      <c r="M1671" s="7"/>
      <c r="N1671" s="10"/>
      <c r="O1671" s="113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t="15.75" customHeight="1">
      <c r="A1672" s="10" t="s">
        <v>26</v>
      </c>
      <c r="B1672" s="7" t="s">
        <v>135</v>
      </c>
      <c r="C1672" s="135">
        <v>46256</v>
      </c>
      <c r="D1672" s="44" t="s">
        <v>257</v>
      </c>
      <c r="E1672" s="35" t="s">
        <v>483</v>
      </c>
      <c r="F1672" s="121">
        <v>7.92</v>
      </c>
      <c r="G1672" s="122">
        <f t="shared" si="58"/>
        <v>0</v>
      </c>
      <c r="H1672" s="123">
        <f>IF(AND(ISNUMBER(F1672), F1672&gt;4, COUNTIFS($A$2:A1672, A1672, $B$2:B1672, B1672, $C$2:C1672, C1672, $F$2:F1672, "&gt;4")=1), 1, 0)</f>
        <v>1</v>
      </c>
      <c r="I1672" s="10">
        <f t="shared" si="59"/>
        <v>0</v>
      </c>
      <c r="J1672" s="10"/>
      <c r="K1672" s="7"/>
      <c r="L1672" s="7"/>
      <c r="M1672" s="7"/>
      <c r="N1672" s="10"/>
      <c r="O1672" s="113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t="15.75" customHeight="1">
      <c r="A1673" s="10" t="s">
        <v>26</v>
      </c>
      <c r="B1673" s="7" t="s">
        <v>135</v>
      </c>
      <c r="C1673" s="135">
        <v>46260</v>
      </c>
      <c r="D1673" s="44" t="s">
        <v>257</v>
      </c>
      <c r="E1673" s="35" t="s">
        <v>239</v>
      </c>
      <c r="F1673" s="121">
        <v>8.07</v>
      </c>
      <c r="G1673" s="122">
        <f t="shared" si="58"/>
        <v>0</v>
      </c>
      <c r="H1673" s="123">
        <f>IF(AND(ISNUMBER(F1673), F1673&gt;4, COUNTIFS($A$2:A1673, A1673, $B$2:B1673, B1673, $C$2:C1673, C1673, $F$2:F1673, "&gt;4")=1), 1, 0)</f>
        <v>1</v>
      </c>
      <c r="I1673" s="10">
        <f t="shared" si="59"/>
        <v>0</v>
      </c>
      <c r="J1673" s="10"/>
      <c r="K1673" s="7"/>
      <c r="L1673" s="7"/>
      <c r="M1673" s="7"/>
      <c r="N1673" s="10"/>
      <c r="O1673" s="113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t="15.75" customHeight="1">
      <c r="A1674" s="10" t="s">
        <v>26</v>
      </c>
      <c r="B1674" s="7" t="s">
        <v>135</v>
      </c>
      <c r="C1674" s="135">
        <v>46262</v>
      </c>
      <c r="D1674" s="44" t="s">
        <v>257</v>
      </c>
      <c r="E1674" s="35" t="s">
        <v>476</v>
      </c>
      <c r="F1674" s="121">
        <v>8.1199999999999992</v>
      </c>
      <c r="G1674" s="122">
        <f t="shared" si="58"/>
        <v>0</v>
      </c>
      <c r="H1674" s="123">
        <f>IF(AND(ISNUMBER(F1674), F1674&gt;4, COUNTIFS($A$2:A1674, A1674, $B$2:B1674, B1674, $C$2:C1674, C1674, $F$2:F1674, "&gt;4")=1), 1, 0)</f>
        <v>1</v>
      </c>
      <c r="I1674" s="10">
        <f t="shared" si="59"/>
        <v>0</v>
      </c>
      <c r="J1674" s="10"/>
      <c r="K1674" s="7"/>
      <c r="L1674" s="7"/>
      <c r="M1674" s="7"/>
      <c r="N1674" s="10"/>
      <c r="O1674" s="113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t="15.75" customHeight="1">
      <c r="A1675" s="10" t="s">
        <v>26</v>
      </c>
      <c r="B1675" s="7" t="s">
        <v>135</v>
      </c>
      <c r="C1675" s="135">
        <v>46264</v>
      </c>
      <c r="D1675" s="44" t="s">
        <v>257</v>
      </c>
      <c r="E1675" s="35" t="s">
        <v>511</v>
      </c>
      <c r="F1675" s="121">
        <v>8.1300000000000008</v>
      </c>
      <c r="G1675" s="122">
        <f t="shared" si="58"/>
        <v>0</v>
      </c>
      <c r="H1675" s="123">
        <f>IF(AND(ISNUMBER(F1675), F1675&gt;4, COUNTIFS($A$2:A1675, A1675, $B$2:B1675, B1675, $C$2:C1675, C1675, $F$2:F1675, "&gt;4")=1), 1, 0)</f>
        <v>1</v>
      </c>
      <c r="I1675" s="10">
        <f t="shared" si="59"/>
        <v>0</v>
      </c>
      <c r="J1675" s="10"/>
      <c r="K1675" s="7"/>
      <c r="L1675" s="7"/>
      <c r="M1675" s="7"/>
      <c r="N1675" s="10"/>
      <c r="O1675" s="113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t="15.75" customHeight="1">
      <c r="A1676" s="10" t="s">
        <v>26</v>
      </c>
      <c r="B1676" s="7" t="s">
        <v>135</v>
      </c>
      <c r="C1676" s="135">
        <v>46265</v>
      </c>
      <c r="D1676" s="44" t="s">
        <v>257</v>
      </c>
      <c r="E1676" s="35" t="s">
        <v>476</v>
      </c>
      <c r="F1676" s="121">
        <v>8.1199999999999992</v>
      </c>
      <c r="G1676" s="122">
        <f t="shared" si="58"/>
        <v>0</v>
      </c>
      <c r="H1676" s="123">
        <f>IF(AND(ISNUMBER(F1676), F1676&gt;4, COUNTIFS($A$2:A1676, A1676, $B$2:B1676, B1676, $C$2:C1676, C1676, $F$2:F1676, "&gt;4")=1), 1, 0)</f>
        <v>1</v>
      </c>
      <c r="I1676" s="10">
        <f t="shared" si="59"/>
        <v>0</v>
      </c>
      <c r="J1676" s="10"/>
      <c r="K1676" s="7"/>
      <c r="L1676" s="7"/>
      <c r="M1676" s="7"/>
      <c r="N1676" s="10"/>
      <c r="O1676" s="113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t="15.75" customHeight="1">
      <c r="A1677" s="10" t="s">
        <v>26</v>
      </c>
      <c r="B1677" s="7" t="s">
        <v>134</v>
      </c>
      <c r="C1677" s="135">
        <v>46237</v>
      </c>
      <c r="D1677" s="44" t="s">
        <v>191</v>
      </c>
      <c r="E1677" s="35" t="s">
        <v>673</v>
      </c>
      <c r="F1677" s="121">
        <v>1.25</v>
      </c>
      <c r="G1677" s="122">
        <f t="shared" si="58"/>
        <v>1</v>
      </c>
      <c r="H1677" s="123">
        <f>IF(AND(ISNUMBER(F1677), F1677&gt;4, COUNTIFS($A$2:A1677, A1677, $B$2:B1677, B1677, $C$2:C1677, C1677, $F$2:F1677, "&gt;4")=1), 1, 0)</f>
        <v>0</v>
      </c>
      <c r="I1677" s="10">
        <f t="shared" si="59"/>
        <v>0</v>
      </c>
      <c r="J1677" s="10"/>
      <c r="K1677" s="7"/>
      <c r="L1677" s="7"/>
      <c r="M1677" s="7"/>
      <c r="N1677" s="10"/>
      <c r="O1677" s="113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t="15.75" customHeight="1">
      <c r="A1678" s="10" t="s">
        <v>26</v>
      </c>
      <c r="B1678" s="7" t="s">
        <v>134</v>
      </c>
      <c r="C1678" s="135">
        <v>46238</v>
      </c>
      <c r="D1678" s="44" t="s">
        <v>191</v>
      </c>
      <c r="E1678" s="35" t="s">
        <v>807</v>
      </c>
      <c r="F1678" s="121">
        <v>1.43</v>
      </c>
      <c r="G1678" s="122">
        <f t="shared" si="58"/>
        <v>1</v>
      </c>
      <c r="H1678" s="123">
        <f>IF(AND(ISNUMBER(F1678), F1678&gt;4, COUNTIFS($A$2:A1678, A1678, $B$2:B1678, B1678, $C$2:C1678, C1678, $F$2:F1678, "&gt;4")=1), 1, 0)</f>
        <v>0</v>
      </c>
      <c r="I1678" s="10">
        <f t="shared" si="59"/>
        <v>0</v>
      </c>
      <c r="J1678" s="10"/>
      <c r="K1678" s="7"/>
      <c r="L1678" s="7"/>
      <c r="M1678" s="7"/>
      <c r="N1678" s="10"/>
      <c r="O1678" s="113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t="15.75" customHeight="1">
      <c r="A1679" s="10" t="s">
        <v>26</v>
      </c>
      <c r="B1679" s="7" t="s">
        <v>134</v>
      </c>
      <c r="C1679" s="135">
        <v>46239</v>
      </c>
      <c r="D1679" s="44" t="s">
        <v>191</v>
      </c>
      <c r="E1679" s="35" t="s">
        <v>821</v>
      </c>
      <c r="F1679" s="121">
        <v>8.7200000000000006</v>
      </c>
      <c r="G1679" s="122">
        <f t="shared" si="58"/>
        <v>0</v>
      </c>
      <c r="H1679" s="123">
        <f>IF(AND(ISNUMBER(F1679), F1679&gt;4, COUNTIFS($A$2:A1679, A1679, $B$2:B1679, B1679, $C$2:C1679, C1679, $F$2:F1679, "&gt;4")=1), 1, 0)</f>
        <v>1</v>
      </c>
      <c r="I1679" s="10">
        <f t="shared" si="59"/>
        <v>0</v>
      </c>
      <c r="J1679" s="10"/>
      <c r="K1679" s="7"/>
      <c r="L1679" s="7"/>
      <c r="M1679" s="7"/>
      <c r="N1679" s="10"/>
      <c r="O1679" s="113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t="15.75" customHeight="1">
      <c r="A1680" s="10" t="s">
        <v>26</v>
      </c>
      <c r="B1680" s="7" t="s">
        <v>134</v>
      </c>
      <c r="C1680" s="135">
        <v>46240</v>
      </c>
      <c r="D1680" s="44" t="s">
        <v>191</v>
      </c>
      <c r="E1680" s="35" t="s">
        <v>822</v>
      </c>
      <c r="F1680" s="121">
        <v>9.1</v>
      </c>
      <c r="G1680" s="122">
        <f t="shared" si="58"/>
        <v>0</v>
      </c>
      <c r="H1680" s="123">
        <f>IF(AND(ISNUMBER(F1680), F1680&gt;4, COUNTIFS($A$2:A1680, A1680, $B$2:B1680, B1680, $C$2:C1680, C1680, $F$2:F1680, "&gt;4")=1), 1, 0)</f>
        <v>1</v>
      </c>
      <c r="I1680" s="10">
        <f t="shared" si="59"/>
        <v>0</v>
      </c>
      <c r="J1680" s="10"/>
      <c r="K1680" s="7"/>
      <c r="L1680" s="7"/>
      <c r="M1680" s="7"/>
      <c r="N1680" s="10"/>
      <c r="O1680" s="113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t="15.75" customHeight="1">
      <c r="A1681" s="10" t="s">
        <v>26</v>
      </c>
      <c r="B1681" s="7" t="s">
        <v>134</v>
      </c>
      <c r="C1681" s="135">
        <v>46243</v>
      </c>
      <c r="D1681" s="44" t="s">
        <v>191</v>
      </c>
      <c r="E1681" s="35" t="s">
        <v>480</v>
      </c>
      <c r="F1681" s="121">
        <v>7.97</v>
      </c>
      <c r="G1681" s="122">
        <f t="shared" si="58"/>
        <v>0</v>
      </c>
      <c r="H1681" s="123">
        <f>IF(AND(ISNUMBER(F1681), F1681&gt;4, COUNTIFS($A$2:A1681, A1681, $B$2:B1681, B1681, $C$2:C1681, C1681, $F$2:F1681, "&gt;4")=1), 1, 0)</f>
        <v>1</v>
      </c>
      <c r="I1681" s="10">
        <f t="shared" si="59"/>
        <v>0</v>
      </c>
      <c r="J1681" s="10"/>
      <c r="K1681" s="7"/>
      <c r="L1681" s="7"/>
      <c r="M1681" s="7"/>
      <c r="N1681" s="10"/>
      <c r="O1681" s="113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t="15.75" customHeight="1">
      <c r="A1682" s="10" t="s">
        <v>26</v>
      </c>
      <c r="B1682" s="7" t="s">
        <v>134</v>
      </c>
      <c r="C1682" s="135">
        <v>46244</v>
      </c>
      <c r="D1682" s="44" t="s">
        <v>191</v>
      </c>
      <c r="E1682" s="35" t="s">
        <v>516</v>
      </c>
      <c r="F1682" s="121">
        <v>8.3699999999999992</v>
      </c>
      <c r="G1682" s="122">
        <f t="shared" si="58"/>
        <v>0</v>
      </c>
      <c r="H1682" s="123">
        <f>IF(AND(ISNUMBER(F1682), F1682&gt;4, COUNTIFS($A$2:A1682, A1682, $B$2:B1682, B1682, $C$2:C1682, C1682, $F$2:F1682, "&gt;4")=1), 1, 0)</f>
        <v>1</v>
      </c>
      <c r="I1682" s="10">
        <f t="shared" si="59"/>
        <v>0</v>
      </c>
      <c r="J1682" s="10"/>
      <c r="K1682" s="7"/>
      <c r="L1682" s="7"/>
      <c r="M1682" s="7"/>
      <c r="N1682" s="10"/>
      <c r="O1682" s="113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t="15.75" customHeight="1">
      <c r="A1683" s="10" t="s">
        <v>26</v>
      </c>
      <c r="B1683" s="7" t="s">
        <v>134</v>
      </c>
      <c r="C1683" s="135">
        <v>46248</v>
      </c>
      <c r="D1683" s="44" t="s">
        <v>191</v>
      </c>
      <c r="E1683" s="35" t="s">
        <v>503</v>
      </c>
      <c r="F1683" s="121">
        <v>8.1999999999999993</v>
      </c>
      <c r="G1683" s="122">
        <f t="shared" si="58"/>
        <v>0</v>
      </c>
      <c r="H1683" s="123">
        <f>IF(AND(ISNUMBER(F1683), F1683&gt;4, COUNTIFS($A$2:A1683, A1683, $B$2:B1683, B1683, $C$2:C1683, C1683, $F$2:F1683, "&gt;4")=1), 1, 0)</f>
        <v>1</v>
      </c>
      <c r="I1683" s="10">
        <f t="shared" si="59"/>
        <v>0</v>
      </c>
      <c r="J1683" s="10"/>
      <c r="K1683" s="7"/>
      <c r="L1683" s="7"/>
      <c r="M1683" s="7"/>
      <c r="N1683" s="10"/>
      <c r="O1683" s="113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t="15.75" customHeight="1">
      <c r="A1684" s="10" t="s">
        <v>26</v>
      </c>
      <c r="B1684" s="7" t="s">
        <v>134</v>
      </c>
      <c r="C1684" s="135">
        <v>46254</v>
      </c>
      <c r="D1684" s="44" t="s">
        <v>191</v>
      </c>
      <c r="E1684" s="35" t="s">
        <v>823</v>
      </c>
      <c r="F1684" s="121">
        <v>9.02</v>
      </c>
      <c r="G1684" s="122">
        <f t="shared" si="58"/>
        <v>0</v>
      </c>
      <c r="H1684" s="123">
        <f>IF(AND(ISNUMBER(F1684), F1684&gt;4, COUNTIFS($A$2:A1684, A1684, $B$2:B1684, B1684, $C$2:C1684, C1684, $F$2:F1684, "&gt;4")=1), 1, 0)</f>
        <v>1</v>
      </c>
      <c r="I1684" s="10">
        <f t="shared" si="59"/>
        <v>0</v>
      </c>
      <c r="J1684" s="10"/>
      <c r="K1684" s="7"/>
      <c r="L1684" s="7"/>
      <c r="M1684" s="7"/>
      <c r="N1684" s="10"/>
      <c r="O1684" s="113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t="15.75" customHeight="1">
      <c r="A1685" s="10" t="s">
        <v>26</v>
      </c>
      <c r="B1685" s="7" t="s">
        <v>134</v>
      </c>
      <c r="C1685" s="135">
        <v>46260</v>
      </c>
      <c r="D1685" s="44" t="s">
        <v>191</v>
      </c>
      <c r="E1685" s="35" t="s">
        <v>489</v>
      </c>
      <c r="F1685" s="121">
        <v>8.33</v>
      </c>
      <c r="G1685" s="122">
        <f t="shared" si="58"/>
        <v>0</v>
      </c>
      <c r="H1685" s="123">
        <f>IF(AND(ISNUMBER(F1685), F1685&gt;4, COUNTIFS($A$2:A1685, A1685, $B$2:B1685, B1685, $C$2:C1685, C1685, $F$2:F1685, "&gt;4")=1), 1, 0)</f>
        <v>1</v>
      </c>
      <c r="I1685" s="10">
        <f t="shared" si="59"/>
        <v>0</v>
      </c>
      <c r="J1685" s="10"/>
      <c r="K1685" s="7"/>
      <c r="L1685" s="7"/>
      <c r="M1685" s="7"/>
      <c r="N1685" s="10"/>
      <c r="O1685" s="113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t="15.75" customHeight="1">
      <c r="A1686" s="10" t="s">
        <v>26</v>
      </c>
      <c r="B1686" s="7" t="s">
        <v>134</v>
      </c>
      <c r="C1686" s="135">
        <v>46261</v>
      </c>
      <c r="D1686" s="44" t="s">
        <v>191</v>
      </c>
      <c r="E1686" s="35" t="s">
        <v>490</v>
      </c>
      <c r="F1686" s="121">
        <v>8.23</v>
      </c>
      <c r="G1686" s="122">
        <f t="shared" si="58"/>
        <v>0</v>
      </c>
      <c r="H1686" s="123">
        <f>IF(AND(ISNUMBER(F1686), F1686&gt;4, COUNTIFS($A$2:A1686, A1686, $B$2:B1686, B1686, $C$2:C1686, C1686, $F$2:F1686, "&gt;4")=1), 1, 0)</f>
        <v>1</v>
      </c>
      <c r="I1686" s="10">
        <f t="shared" si="59"/>
        <v>0</v>
      </c>
      <c r="J1686" s="10"/>
      <c r="K1686" s="7"/>
      <c r="L1686" s="7"/>
      <c r="M1686" s="7"/>
      <c r="N1686" s="10"/>
      <c r="O1686" s="113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t="15.75" customHeight="1">
      <c r="A1687" s="10" t="s">
        <v>26</v>
      </c>
      <c r="B1687" s="7" t="s">
        <v>134</v>
      </c>
      <c r="C1687" s="135">
        <v>46262</v>
      </c>
      <c r="D1687" s="44" t="s">
        <v>191</v>
      </c>
      <c r="E1687" s="35" t="s">
        <v>297</v>
      </c>
      <c r="F1687" s="121">
        <v>8.5</v>
      </c>
      <c r="G1687" s="122">
        <f t="shared" si="58"/>
        <v>0</v>
      </c>
      <c r="H1687" s="123">
        <f>IF(AND(ISNUMBER(F1687), F1687&gt;4, COUNTIFS($A$2:A1687, A1687, $B$2:B1687, B1687, $C$2:C1687, C1687, $F$2:F1687, "&gt;4")=1), 1, 0)</f>
        <v>1</v>
      </c>
      <c r="I1687" s="10">
        <f t="shared" si="59"/>
        <v>0</v>
      </c>
      <c r="J1687" s="10"/>
      <c r="K1687" s="7"/>
      <c r="L1687" s="7"/>
      <c r="M1687" s="7"/>
      <c r="N1687" s="10"/>
      <c r="O1687" s="113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t="15.75" customHeight="1">
      <c r="A1688" s="10" t="s">
        <v>26</v>
      </c>
      <c r="B1688" s="7" t="s">
        <v>134</v>
      </c>
      <c r="C1688" s="135">
        <v>46235</v>
      </c>
      <c r="D1688" s="44" t="s">
        <v>257</v>
      </c>
      <c r="E1688" s="35" t="s">
        <v>553</v>
      </c>
      <c r="F1688" s="121">
        <v>7.8</v>
      </c>
      <c r="G1688" s="122">
        <f t="shared" si="58"/>
        <v>0</v>
      </c>
      <c r="H1688" s="123">
        <f>IF(AND(ISNUMBER(F1688), F1688&gt;4, COUNTIFS($A$2:A1688, A1688, $B$2:B1688, B1688, $C$2:C1688, C1688, $F$2:F1688, "&gt;4")=1), 1, 0)</f>
        <v>1</v>
      </c>
      <c r="I1688" s="10">
        <f t="shared" si="59"/>
        <v>0</v>
      </c>
      <c r="J1688" s="10"/>
      <c r="K1688" s="7"/>
      <c r="L1688" s="7"/>
      <c r="M1688" s="7"/>
      <c r="N1688" s="10"/>
      <c r="O1688" s="113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t="15.75" customHeight="1">
      <c r="A1689" s="10" t="s">
        <v>26</v>
      </c>
      <c r="B1689" s="7" t="s">
        <v>134</v>
      </c>
      <c r="C1689" s="135">
        <v>46242</v>
      </c>
      <c r="D1689" s="44" t="s">
        <v>257</v>
      </c>
      <c r="E1689" s="35" t="s">
        <v>480</v>
      </c>
      <c r="F1689" s="121">
        <v>7.97</v>
      </c>
      <c r="G1689" s="122">
        <f t="shared" si="58"/>
        <v>0</v>
      </c>
      <c r="H1689" s="123">
        <f>IF(AND(ISNUMBER(F1689), F1689&gt;4, COUNTIFS($A$2:A1689, A1689, $B$2:B1689, B1689, $C$2:C1689, C1689, $F$2:F1689, "&gt;4")=1), 1, 0)</f>
        <v>1</v>
      </c>
      <c r="I1689" s="10">
        <f t="shared" si="59"/>
        <v>0</v>
      </c>
      <c r="J1689" s="10"/>
      <c r="K1689" s="7"/>
      <c r="L1689" s="7"/>
      <c r="M1689" s="7"/>
      <c r="N1689" s="10"/>
      <c r="O1689" s="113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t="15.75" customHeight="1">
      <c r="A1690" s="10" t="s">
        <v>26</v>
      </c>
      <c r="B1690" s="7" t="s">
        <v>134</v>
      </c>
      <c r="C1690" s="135">
        <v>46247</v>
      </c>
      <c r="D1690" s="44" t="s">
        <v>257</v>
      </c>
      <c r="E1690" s="35" t="s">
        <v>755</v>
      </c>
      <c r="F1690" s="121">
        <v>9.18</v>
      </c>
      <c r="G1690" s="122">
        <f t="shared" si="58"/>
        <v>0</v>
      </c>
      <c r="H1690" s="123">
        <f>IF(AND(ISNUMBER(F1690), F1690&gt;4, COUNTIFS($A$2:A1690, A1690, $B$2:B1690, B1690, $C$2:C1690, C1690, $F$2:F1690, "&gt;4")=1), 1, 0)</f>
        <v>1</v>
      </c>
      <c r="I1690" s="10">
        <f t="shared" si="59"/>
        <v>0</v>
      </c>
      <c r="J1690" s="10"/>
      <c r="K1690" s="7"/>
      <c r="L1690" s="7"/>
      <c r="M1690" s="7"/>
      <c r="N1690" s="10"/>
      <c r="O1690" s="113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t="15.75" customHeight="1">
      <c r="A1691" s="10" t="s">
        <v>26</v>
      </c>
      <c r="B1691" s="7" t="s">
        <v>134</v>
      </c>
      <c r="C1691" s="135">
        <v>46259</v>
      </c>
      <c r="D1691" s="44" t="s">
        <v>257</v>
      </c>
      <c r="E1691" s="35" t="s">
        <v>207</v>
      </c>
      <c r="F1691" s="121">
        <v>8.1</v>
      </c>
      <c r="G1691" s="122">
        <f t="shared" si="58"/>
        <v>0</v>
      </c>
      <c r="H1691" s="123">
        <f>IF(AND(ISNUMBER(F1691), F1691&gt;4, COUNTIFS($A$2:A1691, A1691, $B$2:B1691, B1691, $C$2:C1691, C1691, $F$2:F1691, "&gt;4")=1), 1, 0)</f>
        <v>1</v>
      </c>
      <c r="I1691" s="10">
        <f t="shared" si="59"/>
        <v>0</v>
      </c>
      <c r="J1691" s="10"/>
      <c r="K1691" s="7"/>
      <c r="L1691" s="7"/>
      <c r="M1691" s="7"/>
      <c r="N1691" s="10"/>
      <c r="O1691" s="113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t="15.75" customHeight="1">
      <c r="A1692" s="10" t="s">
        <v>26</v>
      </c>
      <c r="B1692" s="7" t="s">
        <v>134</v>
      </c>
      <c r="C1692" s="135">
        <v>46238</v>
      </c>
      <c r="D1692" s="44" t="s">
        <v>439</v>
      </c>
      <c r="E1692" s="35" t="s">
        <v>665</v>
      </c>
      <c r="F1692" s="121">
        <v>6.43</v>
      </c>
      <c r="G1692" s="122">
        <f t="shared" si="58"/>
        <v>0</v>
      </c>
      <c r="H1692" s="123">
        <f>IF(AND(ISNUMBER(F1692), F1692&gt;4, COUNTIFS($A$2:A1692, A1692, $B$2:B1692, B1692, $C$2:C1692, C1692, $F$2:F1692, "&gt;4")=1), 1, 0)</f>
        <v>1</v>
      </c>
      <c r="I1692" s="10">
        <f t="shared" si="59"/>
        <v>0</v>
      </c>
      <c r="J1692" s="10"/>
      <c r="K1692" s="7"/>
      <c r="L1692" s="7"/>
      <c r="M1692" s="7"/>
      <c r="N1692" s="10"/>
      <c r="O1692" s="113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t="15.75" customHeight="1">
      <c r="A1693" s="10" t="s">
        <v>26</v>
      </c>
      <c r="B1693" s="7" t="s">
        <v>134</v>
      </c>
      <c r="C1693" s="135">
        <v>46251</v>
      </c>
      <c r="D1693" s="44" t="s">
        <v>439</v>
      </c>
      <c r="E1693" s="35" t="s">
        <v>666</v>
      </c>
      <c r="F1693" s="121">
        <v>7.18</v>
      </c>
      <c r="G1693" s="122">
        <f t="shared" si="58"/>
        <v>0</v>
      </c>
      <c r="H1693" s="123">
        <f>IF(AND(ISNUMBER(F1693), F1693&gt;4, COUNTIFS($A$2:A1693, A1693, $B$2:B1693, B1693, $C$2:C1693, C1693, $F$2:F1693, "&gt;4")=1), 1, 0)</f>
        <v>1</v>
      </c>
      <c r="I1693" s="10">
        <f t="shared" si="59"/>
        <v>0</v>
      </c>
      <c r="J1693" s="10"/>
      <c r="K1693" s="7"/>
      <c r="L1693" s="7"/>
      <c r="M1693" s="7"/>
      <c r="N1693" s="10"/>
      <c r="O1693" s="113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t="15.75" customHeight="1">
      <c r="A1694" s="10" t="s">
        <v>26</v>
      </c>
      <c r="B1694" s="7" t="s">
        <v>134</v>
      </c>
      <c r="C1694" s="135">
        <v>46253</v>
      </c>
      <c r="D1694" s="44" t="s">
        <v>439</v>
      </c>
      <c r="E1694" s="35" t="s">
        <v>214</v>
      </c>
      <c r="F1694" s="121">
        <v>8.08</v>
      </c>
      <c r="G1694" s="122">
        <f t="shared" si="58"/>
        <v>0</v>
      </c>
      <c r="H1694" s="123">
        <f>IF(AND(ISNUMBER(F1694), F1694&gt;4, COUNTIFS($A$2:A1694, A1694, $B$2:B1694, B1694, $C$2:C1694, C1694, $F$2:F1694, "&gt;4")=1), 1, 0)</f>
        <v>1</v>
      </c>
      <c r="I1694" s="10">
        <f t="shared" si="59"/>
        <v>0</v>
      </c>
      <c r="J1694" s="10"/>
      <c r="K1694" s="7"/>
      <c r="L1694" s="7"/>
      <c r="M1694" s="7"/>
      <c r="N1694" s="10"/>
      <c r="O1694" s="113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t="15.75" customHeight="1">
      <c r="A1695" s="10" t="s">
        <v>26</v>
      </c>
      <c r="B1695" s="7" t="s">
        <v>134</v>
      </c>
      <c r="C1695" s="135">
        <v>46256</v>
      </c>
      <c r="D1695" s="44" t="s">
        <v>439</v>
      </c>
      <c r="E1695" s="35" t="s">
        <v>744</v>
      </c>
      <c r="F1695" s="121">
        <v>6.18</v>
      </c>
      <c r="G1695" s="122">
        <f t="shared" si="58"/>
        <v>0</v>
      </c>
      <c r="H1695" s="123">
        <f>IF(AND(ISNUMBER(F1695), F1695&gt;4, COUNTIFS($A$2:A1695, A1695, $B$2:B1695, B1695, $C$2:C1695, C1695, $F$2:F1695, "&gt;4")=1), 1, 0)</f>
        <v>1</v>
      </c>
      <c r="I1695" s="10">
        <f t="shared" si="59"/>
        <v>0</v>
      </c>
      <c r="J1695" s="10"/>
      <c r="K1695" s="7"/>
      <c r="L1695" s="7"/>
      <c r="M1695" s="7"/>
      <c r="N1695" s="10"/>
      <c r="O1695" s="113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t="15.75" customHeight="1">
      <c r="A1696" s="10" t="s">
        <v>26</v>
      </c>
      <c r="B1696" s="7" t="s">
        <v>134</v>
      </c>
      <c r="C1696" s="135">
        <v>46258</v>
      </c>
      <c r="D1696" s="44" t="s">
        <v>439</v>
      </c>
      <c r="E1696" s="35" t="s">
        <v>406</v>
      </c>
      <c r="F1696" s="121">
        <v>5.95</v>
      </c>
      <c r="G1696" s="122">
        <f t="shared" si="58"/>
        <v>0</v>
      </c>
      <c r="H1696" s="123">
        <f>IF(AND(ISNUMBER(F1696), F1696&gt;4, COUNTIFS($A$2:A1696, A1696, $B$2:B1696, B1696, $C$2:C1696, C1696, $F$2:F1696, "&gt;4")=1), 1, 0)</f>
        <v>1</v>
      </c>
      <c r="I1696" s="10">
        <f t="shared" si="59"/>
        <v>0</v>
      </c>
      <c r="J1696" s="10"/>
      <c r="K1696" s="7"/>
      <c r="L1696" s="7"/>
      <c r="M1696" s="7"/>
      <c r="N1696" s="10"/>
      <c r="O1696" s="113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t="15.75" customHeight="1">
      <c r="A1697" s="10" t="s">
        <v>26</v>
      </c>
      <c r="B1697" s="7" t="s">
        <v>134</v>
      </c>
      <c r="C1697" s="135">
        <v>46263</v>
      </c>
      <c r="D1697" s="44" t="s">
        <v>439</v>
      </c>
      <c r="E1697" s="35" t="s">
        <v>278</v>
      </c>
      <c r="F1697" s="121">
        <v>6.02</v>
      </c>
      <c r="G1697" s="122">
        <f t="shared" si="58"/>
        <v>0</v>
      </c>
      <c r="H1697" s="123">
        <f>IF(AND(ISNUMBER(F1697), F1697&gt;4, COUNTIFS($A$2:A1697, A1697, $B$2:B1697, B1697, $C$2:C1697, C1697, $F$2:F1697, "&gt;4")=1), 1, 0)</f>
        <v>1</v>
      </c>
      <c r="I1697" s="10">
        <f t="shared" si="59"/>
        <v>0</v>
      </c>
      <c r="J1697" s="10"/>
      <c r="K1697" s="7"/>
      <c r="L1697" s="7"/>
      <c r="M1697" s="7"/>
      <c r="N1697" s="10"/>
      <c r="O1697" s="113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t="15.75" customHeight="1">
      <c r="A1698" s="10" t="s">
        <v>26</v>
      </c>
      <c r="B1698" s="7" t="s">
        <v>134</v>
      </c>
      <c r="C1698" s="135">
        <v>46264</v>
      </c>
      <c r="D1698" s="44" t="s">
        <v>439</v>
      </c>
      <c r="E1698" s="35" t="s">
        <v>474</v>
      </c>
      <c r="F1698" s="121">
        <v>7.9</v>
      </c>
      <c r="G1698" s="122">
        <f t="shared" si="58"/>
        <v>0</v>
      </c>
      <c r="H1698" s="123">
        <f>IF(AND(ISNUMBER(F1698), F1698&gt;4, COUNTIFS($A$2:A1698, A1698, $B$2:B1698, B1698, $C$2:C1698, C1698, $F$2:F1698, "&gt;4")=1), 1, 0)</f>
        <v>1</v>
      </c>
      <c r="I1698" s="10">
        <f t="shared" si="59"/>
        <v>0</v>
      </c>
      <c r="J1698" s="10"/>
      <c r="K1698" s="7"/>
      <c r="L1698" s="7"/>
      <c r="M1698" s="7"/>
      <c r="N1698" s="10"/>
      <c r="O1698" s="113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t="15.75" customHeight="1">
      <c r="A1699" s="10" t="s">
        <v>26</v>
      </c>
      <c r="B1699" s="7" t="s">
        <v>134</v>
      </c>
      <c r="C1699" s="135">
        <v>46265</v>
      </c>
      <c r="D1699" s="44" t="s">
        <v>439</v>
      </c>
      <c r="E1699" s="35" t="s">
        <v>479</v>
      </c>
      <c r="F1699" s="121">
        <v>8.02</v>
      </c>
      <c r="G1699" s="122">
        <f t="shared" si="58"/>
        <v>0</v>
      </c>
      <c r="H1699" s="123">
        <f>IF(AND(ISNUMBER(F1699), F1699&gt;4, COUNTIFS($A$2:A1699, A1699, $B$2:B1699, B1699, $C$2:C1699, C1699, $F$2:F1699, "&gt;4")=1), 1, 0)</f>
        <v>1</v>
      </c>
      <c r="I1699" s="10">
        <f t="shared" si="59"/>
        <v>0</v>
      </c>
      <c r="J1699" s="10"/>
      <c r="K1699" s="7"/>
      <c r="L1699" s="7"/>
      <c r="M1699" s="7"/>
      <c r="N1699" s="10"/>
      <c r="O1699" s="113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t="15.75" customHeight="1">
      <c r="A1700" s="10" t="s">
        <v>26</v>
      </c>
      <c r="B1700" s="7" t="s">
        <v>134</v>
      </c>
      <c r="C1700" s="135">
        <v>46236</v>
      </c>
      <c r="D1700" s="44" t="s">
        <v>441</v>
      </c>
      <c r="E1700" s="35" t="s">
        <v>288</v>
      </c>
      <c r="F1700" s="121">
        <v>8.0500000000000007</v>
      </c>
      <c r="G1700" s="122">
        <f t="shared" si="58"/>
        <v>0</v>
      </c>
      <c r="H1700" s="123">
        <f>IF(AND(ISNUMBER(F1700), F1700&gt;4, COUNTIFS($A$2:A1700, A1700, $B$2:B1700, B1700, $C$2:C1700, C1700, $F$2:F1700, "&gt;4")=1), 1, 0)</f>
        <v>1</v>
      </c>
      <c r="I1700" s="10">
        <f t="shared" si="59"/>
        <v>1</v>
      </c>
      <c r="J1700" s="10"/>
      <c r="K1700" s="7"/>
      <c r="L1700" s="7"/>
      <c r="M1700" s="7"/>
      <c r="N1700" s="10"/>
      <c r="O1700" s="113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t="15.75" customHeight="1">
      <c r="A1701" s="10" t="s">
        <v>26</v>
      </c>
      <c r="B1701" s="7" t="s">
        <v>134</v>
      </c>
      <c r="C1701" s="135">
        <v>46237</v>
      </c>
      <c r="D1701" s="44" t="s">
        <v>441</v>
      </c>
      <c r="E1701" s="35" t="s">
        <v>477</v>
      </c>
      <c r="F1701" s="121">
        <v>7.88</v>
      </c>
      <c r="G1701" s="122">
        <f t="shared" si="58"/>
        <v>0</v>
      </c>
      <c r="H1701" s="123">
        <f>IF(AND(ISNUMBER(F1701), F1701&gt;4, COUNTIFS($A$2:A1701, A1701, $B$2:B1701, B1701, $C$2:C1701, C1701, $F$2:F1701, "&gt;4")=1), 1, 0)</f>
        <v>1</v>
      </c>
      <c r="I1701" s="10">
        <f t="shared" si="59"/>
        <v>1</v>
      </c>
      <c r="J1701" s="10"/>
      <c r="K1701" s="7"/>
      <c r="L1701" s="7"/>
      <c r="M1701" s="7"/>
      <c r="N1701" s="10"/>
      <c r="O1701" s="113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t="15.75" customHeight="1">
      <c r="A1702" s="10" t="s">
        <v>26</v>
      </c>
      <c r="B1702" s="7" t="s">
        <v>134</v>
      </c>
      <c r="C1702" s="135">
        <v>46252</v>
      </c>
      <c r="D1702" s="44" t="s">
        <v>441</v>
      </c>
      <c r="E1702" s="35" t="s">
        <v>481</v>
      </c>
      <c r="F1702" s="121">
        <v>7.98</v>
      </c>
      <c r="G1702" s="122">
        <f t="shared" si="58"/>
        <v>0</v>
      </c>
      <c r="H1702" s="123">
        <f>IF(AND(ISNUMBER(F1702), F1702&gt;4, COUNTIFS($A$2:A1702, A1702, $B$2:B1702, B1702, $C$2:C1702, C1702, $F$2:F1702, "&gt;4")=1), 1, 0)</f>
        <v>1</v>
      </c>
      <c r="I1702" s="10">
        <f t="shared" si="59"/>
        <v>1</v>
      </c>
      <c r="J1702" s="10"/>
      <c r="K1702" s="7"/>
      <c r="L1702" s="7"/>
      <c r="M1702" s="7"/>
      <c r="N1702" s="10"/>
      <c r="O1702" s="113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t="15.75" customHeight="1">
      <c r="A1703" s="10" t="s">
        <v>26</v>
      </c>
      <c r="B1703" s="7" t="s">
        <v>134</v>
      </c>
      <c r="C1703" s="135">
        <v>46255</v>
      </c>
      <c r="D1703" s="44" t="s">
        <v>441</v>
      </c>
      <c r="E1703" s="35" t="s">
        <v>474</v>
      </c>
      <c r="F1703" s="121">
        <v>7.9</v>
      </c>
      <c r="G1703" s="122">
        <f t="shared" si="58"/>
        <v>0</v>
      </c>
      <c r="H1703" s="123">
        <f>IF(AND(ISNUMBER(F1703), F1703&gt;4, COUNTIFS($A$2:A1703, A1703, $B$2:B1703, B1703, $C$2:C1703, C1703, $F$2:F1703, "&gt;4")=1), 1, 0)</f>
        <v>1</v>
      </c>
      <c r="I1703" s="10">
        <f t="shared" si="59"/>
        <v>1</v>
      </c>
      <c r="J1703" s="10"/>
      <c r="K1703" s="7"/>
      <c r="L1703" s="7"/>
      <c r="M1703" s="7"/>
      <c r="N1703" s="10"/>
      <c r="O1703" s="113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t="15.75" customHeight="1">
      <c r="A1704" s="10" t="s">
        <v>26</v>
      </c>
      <c r="B1704" s="7" t="s">
        <v>134</v>
      </c>
      <c r="C1704" s="135">
        <v>46257</v>
      </c>
      <c r="D1704" s="44" t="s">
        <v>441</v>
      </c>
      <c r="E1704" s="35" t="s">
        <v>493</v>
      </c>
      <c r="F1704" s="121">
        <v>7.77</v>
      </c>
      <c r="G1704" s="122">
        <f t="shared" si="58"/>
        <v>0</v>
      </c>
      <c r="H1704" s="123">
        <f>IF(AND(ISNUMBER(F1704), F1704&gt;4, COUNTIFS($A$2:A1704, A1704, $B$2:B1704, B1704, $C$2:C1704, C1704, $F$2:F1704, "&gt;4")=1), 1, 0)</f>
        <v>1</v>
      </c>
      <c r="I1704" s="10">
        <f t="shared" si="59"/>
        <v>1</v>
      </c>
      <c r="J1704" s="10"/>
      <c r="K1704" s="7"/>
      <c r="L1704" s="7"/>
      <c r="M1704" s="7"/>
      <c r="N1704" s="10"/>
      <c r="O1704" s="113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t="15.75" customHeight="1">
      <c r="A1705" s="10" t="s">
        <v>26</v>
      </c>
      <c r="B1705" s="7" t="s">
        <v>134</v>
      </c>
      <c r="C1705" s="135">
        <v>46235</v>
      </c>
      <c r="D1705" s="44" t="s">
        <v>442</v>
      </c>
      <c r="E1705" s="35" t="s">
        <v>824</v>
      </c>
      <c r="F1705" s="121">
        <v>3.52</v>
      </c>
      <c r="G1705" s="122">
        <f t="shared" si="58"/>
        <v>1</v>
      </c>
      <c r="H1705" s="123">
        <f>IF(AND(ISNUMBER(F1705), F1705&gt;4, COUNTIFS($A$2:A1705, A1705, $B$2:B1705, B1705, $C$2:C1705, C1705, $F$2:F1705, "&gt;4")=1), 1, 0)</f>
        <v>0</v>
      </c>
      <c r="I1705" s="10">
        <f t="shared" si="59"/>
        <v>0</v>
      </c>
      <c r="J1705" s="10"/>
      <c r="K1705" s="7"/>
      <c r="L1705" s="7"/>
      <c r="M1705" s="7"/>
      <c r="N1705" s="10"/>
      <c r="O1705" s="113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t="15.75" customHeight="1">
      <c r="A1706" s="10" t="s">
        <v>26</v>
      </c>
      <c r="B1706" s="7" t="s">
        <v>134</v>
      </c>
      <c r="C1706" s="135">
        <v>46241</v>
      </c>
      <c r="D1706" s="44" t="s">
        <v>442</v>
      </c>
      <c r="E1706" s="35" t="s">
        <v>825</v>
      </c>
      <c r="F1706" s="121">
        <v>4.22</v>
      </c>
      <c r="G1706" s="122">
        <f t="shared" si="58"/>
        <v>0</v>
      </c>
      <c r="H1706" s="123">
        <f>IF(AND(ISNUMBER(F1706), F1706&gt;4, COUNTIFS($A$2:A1706, A1706, $B$2:B1706, B1706, $C$2:C1706, C1706, $F$2:F1706, "&gt;4")=1), 1, 0)</f>
        <v>1</v>
      </c>
      <c r="I1706" s="10">
        <f t="shared" si="59"/>
        <v>1</v>
      </c>
      <c r="J1706" s="10"/>
      <c r="K1706" s="7"/>
      <c r="L1706" s="7"/>
      <c r="M1706" s="7"/>
      <c r="N1706" s="10"/>
      <c r="O1706" s="113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t="15.75" customHeight="1">
      <c r="A1707" s="10" t="s">
        <v>26</v>
      </c>
      <c r="B1707" s="7" t="s">
        <v>134</v>
      </c>
      <c r="C1707" s="135">
        <v>46242</v>
      </c>
      <c r="D1707" s="44" t="s">
        <v>442</v>
      </c>
      <c r="E1707" s="35" t="s">
        <v>826</v>
      </c>
      <c r="F1707" s="121">
        <v>3.08</v>
      </c>
      <c r="G1707" s="122">
        <f t="shared" si="58"/>
        <v>1</v>
      </c>
      <c r="H1707" s="123">
        <f>IF(AND(ISNUMBER(F1707), F1707&gt;4, COUNTIFS($A$2:A1707, A1707, $B$2:B1707, B1707, $C$2:C1707, C1707, $F$2:F1707, "&gt;4")=1), 1, 0)</f>
        <v>0</v>
      </c>
      <c r="I1707" s="10">
        <f t="shared" si="59"/>
        <v>0</v>
      </c>
      <c r="J1707" s="10"/>
      <c r="K1707" s="7"/>
      <c r="L1707" s="7"/>
      <c r="M1707" s="7"/>
      <c r="N1707" s="10"/>
      <c r="O1707" s="113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t="15.75" customHeight="1">
      <c r="A1708" s="10" t="s">
        <v>26</v>
      </c>
      <c r="B1708" s="7" t="s">
        <v>134</v>
      </c>
      <c r="C1708" s="135">
        <v>46251</v>
      </c>
      <c r="D1708" s="44" t="s">
        <v>442</v>
      </c>
      <c r="E1708" s="35" t="s">
        <v>827</v>
      </c>
      <c r="F1708" s="121">
        <v>3.13</v>
      </c>
      <c r="G1708" s="122">
        <f t="shared" si="58"/>
        <v>1</v>
      </c>
      <c r="H1708" s="123">
        <f>IF(AND(ISNUMBER(F1708), F1708&gt;4, COUNTIFS($A$2:A1708, A1708, $B$2:B1708, B1708, $C$2:C1708, C1708, $F$2:F1708, "&gt;4")=1), 1, 0)</f>
        <v>0</v>
      </c>
      <c r="I1708" s="10">
        <f t="shared" si="59"/>
        <v>0</v>
      </c>
      <c r="J1708" s="10"/>
      <c r="K1708" s="7"/>
      <c r="L1708" s="7"/>
      <c r="M1708" s="7"/>
      <c r="N1708" s="10"/>
      <c r="O1708" s="113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t="15.75" customHeight="1">
      <c r="A1709" s="10" t="s">
        <v>26</v>
      </c>
      <c r="B1709" s="7" t="s">
        <v>134</v>
      </c>
      <c r="C1709" s="135">
        <v>46256</v>
      </c>
      <c r="D1709" s="44" t="s">
        <v>442</v>
      </c>
      <c r="E1709" s="35" t="s">
        <v>780</v>
      </c>
      <c r="F1709" s="121">
        <v>3.22</v>
      </c>
      <c r="G1709" s="122">
        <f t="shared" si="58"/>
        <v>1</v>
      </c>
      <c r="H1709" s="123">
        <f>IF(AND(ISNUMBER(F1709), F1709&gt;4, COUNTIFS($A$2:A1709, A1709, $B$2:B1709, B1709, $C$2:C1709, C1709, $F$2:F1709, "&gt;4")=1), 1, 0)</f>
        <v>0</v>
      </c>
      <c r="I1709" s="10">
        <f t="shared" si="59"/>
        <v>0</v>
      </c>
      <c r="J1709" s="10"/>
      <c r="K1709" s="7"/>
      <c r="L1709" s="7"/>
      <c r="M1709" s="7"/>
      <c r="N1709" s="10"/>
      <c r="O1709" s="113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t="15.75" customHeight="1">
      <c r="A1710" s="10" t="s">
        <v>26</v>
      </c>
      <c r="B1710" s="7" t="s">
        <v>134</v>
      </c>
      <c r="C1710" s="135">
        <v>46258</v>
      </c>
      <c r="D1710" s="44" t="s">
        <v>442</v>
      </c>
      <c r="E1710" s="35" t="s">
        <v>828</v>
      </c>
      <c r="F1710" s="121">
        <v>3.32</v>
      </c>
      <c r="G1710" s="122">
        <f t="shared" si="58"/>
        <v>1</v>
      </c>
      <c r="H1710" s="123">
        <f>IF(AND(ISNUMBER(F1710), F1710&gt;4, COUNTIFS($A$2:A1710, A1710, $B$2:B1710, B1710, $C$2:C1710, C1710, $F$2:F1710, "&gt;4")=1), 1, 0)</f>
        <v>0</v>
      </c>
      <c r="I1710" s="10">
        <f t="shared" si="59"/>
        <v>0</v>
      </c>
      <c r="J1710" s="10"/>
      <c r="K1710" s="7"/>
      <c r="L1710" s="7"/>
      <c r="M1710" s="7"/>
      <c r="N1710" s="10"/>
      <c r="O1710" s="113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t="15.75" customHeight="1">
      <c r="A1711" s="10" t="s">
        <v>26</v>
      </c>
      <c r="B1711" s="7" t="s">
        <v>134</v>
      </c>
      <c r="C1711" s="135">
        <v>46263</v>
      </c>
      <c r="D1711" s="44" t="s">
        <v>442</v>
      </c>
      <c r="E1711" s="35" t="s">
        <v>717</v>
      </c>
      <c r="F1711" s="121">
        <v>4.07</v>
      </c>
      <c r="G1711" s="122">
        <f t="shared" si="58"/>
        <v>0</v>
      </c>
      <c r="H1711" s="123">
        <f>IF(AND(ISNUMBER(F1711), F1711&gt;4, COUNTIFS($A$2:A1711, A1711, $B$2:B1711, B1711, $C$2:C1711, C1711, $F$2:F1711, "&gt;4")=1), 1, 0)</f>
        <v>0</v>
      </c>
      <c r="I1711" s="10">
        <f t="shared" si="59"/>
        <v>1</v>
      </c>
      <c r="J1711" s="10"/>
      <c r="K1711" s="7"/>
      <c r="L1711" s="7"/>
      <c r="M1711" s="7"/>
      <c r="N1711" s="10"/>
      <c r="O1711" s="113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t="15.75" customHeight="1">
      <c r="A1712" s="10" t="s">
        <v>26</v>
      </c>
      <c r="B1712" s="7" t="s">
        <v>134</v>
      </c>
      <c r="C1712" s="135">
        <v>46264</v>
      </c>
      <c r="D1712" s="44" t="s">
        <v>442</v>
      </c>
      <c r="E1712" s="35" t="s">
        <v>346</v>
      </c>
      <c r="F1712" s="121">
        <v>4.1500000000000004</v>
      </c>
      <c r="G1712" s="122">
        <f t="shared" si="58"/>
        <v>0</v>
      </c>
      <c r="H1712" s="123">
        <f>IF(AND(ISNUMBER(F1712), F1712&gt;4, COUNTIFS($A$2:A1712, A1712, $B$2:B1712, B1712, $C$2:C1712, C1712, $F$2:F1712, "&gt;4")=1), 1, 0)</f>
        <v>0</v>
      </c>
      <c r="I1712" s="10">
        <f t="shared" si="59"/>
        <v>1</v>
      </c>
      <c r="J1712" s="10"/>
      <c r="K1712" s="7"/>
      <c r="L1712" s="7"/>
      <c r="M1712" s="7"/>
      <c r="N1712" s="10"/>
      <c r="O1712" s="113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t="15.75" customHeight="1">
      <c r="A1713" s="10" t="s">
        <v>26</v>
      </c>
      <c r="B1713" s="7" t="s">
        <v>134</v>
      </c>
      <c r="C1713" s="135">
        <v>46265</v>
      </c>
      <c r="D1713" s="44" t="s">
        <v>442</v>
      </c>
      <c r="E1713" s="35" t="s">
        <v>829</v>
      </c>
      <c r="F1713" s="121">
        <v>4.0999999999999996</v>
      </c>
      <c r="G1713" s="122">
        <f t="shared" si="58"/>
        <v>0</v>
      </c>
      <c r="H1713" s="123">
        <f>IF(AND(ISNUMBER(F1713), F1713&gt;4, COUNTIFS($A$2:A1713, A1713, $B$2:B1713, B1713, $C$2:C1713, C1713, $F$2:F1713, "&gt;4")=1), 1, 0)</f>
        <v>0</v>
      </c>
      <c r="I1713" s="10">
        <f t="shared" si="59"/>
        <v>1</v>
      </c>
      <c r="J1713" s="10"/>
      <c r="K1713" s="7"/>
      <c r="L1713" s="7"/>
      <c r="M1713" s="7"/>
      <c r="N1713" s="10"/>
      <c r="O1713" s="113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t="15.75" customHeight="1">
      <c r="A1714" s="10" t="s">
        <v>26</v>
      </c>
      <c r="B1714" s="7" t="s">
        <v>132</v>
      </c>
      <c r="C1714" s="135">
        <v>46265</v>
      </c>
      <c r="D1714" s="44" t="s">
        <v>191</v>
      </c>
      <c r="E1714" s="35" t="s">
        <v>459</v>
      </c>
      <c r="F1714" s="121">
        <v>3</v>
      </c>
      <c r="G1714" s="122">
        <f t="shared" si="58"/>
        <v>1</v>
      </c>
      <c r="H1714" s="123">
        <f>IF(AND(ISNUMBER(F1714), F1714&gt;4, COUNTIFS($A$2:A1714, A1714, $B$2:B1714, B1714, $C$2:C1714, C1714, $F$2:F1714, "&gt;4")=1), 1, 0)</f>
        <v>0</v>
      </c>
      <c r="I1714" s="10">
        <f t="shared" si="59"/>
        <v>0</v>
      </c>
      <c r="J1714" s="10"/>
      <c r="K1714" s="7"/>
      <c r="L1714" s="7"/>
      <c r="M1714" s="7"/>
      <c r="N1714" s="10"/>
      <c r="O1714" s="113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t="15.75" customHeight="1">
      <c r="A1715" s="10" t="s">
        <v>26</v>
      </c>
      <c r="B1715" s="7" t="s">
        <v>132</v>
      </c>
      <c r="C1715" s="135">
        <v>46245</v>
      </c>
      <c r="D1715" s="44" t="s">
        <v>439</v>
      </c>
      <c r="E1715" s="35" t="s">
        <v>830</v>
      </c>
      <c r="F1715" s="121">
        <v>2.9</v>
      </c>
      <c r="G1715" s="122">
        <f t="shared" si="58"/>
        <v>1</v>
      </c>
      <c r="H1715" s="123">
        <f>IF(AND(ISNUMBER(F1715), F1715&gt;4, COUNTIFS($A$2:A1715, A1715, $B$2:B1715, B1715, $C$2:C1715, C1715, $F$2:F1715, "&gt;4")=1), 1, 0)</f>
        <v>0</v>
      </c>
      <c r="I1715" s="10">
        <f t="shared" si="59"/>
        <v>0</v>
      </c>
      <c r="J1715" s="10"/>
      <c r="K1715" s="7"/>
      <c r="L1715" s="7"/>
      <c r="M1715" s="7"/>
      <c r="N1715" s="10"/>
      <c r="O1715" s="113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t="15.75" customHeight="1">
      <c r="A1716" s="10" t="s">
        <v>26</v>
      </c>
      <c r="B1716" s="7" t="s">
        <v>132</v>
      </c>
      <c r="C1716" s="135">
        <v>46246</v>
      </c>
      <c r="D1716" s="44" t="s">
        <v>439</v>
      </c>
      <c r="E1716" s="35" t="s">
        <v>831</v>
      </c>
      <c r="F1716" s="121">
        <v>2.42</v>
      </c>
      <c r="G1716" s="122">
        <f t="shared" si="58"/>
        <v>1</v>
      </c>
      <c r="H1716" s="123">
        <f>IF(AND(ISNUMBER(F1716), F1716&gt;4, COUNTIFS($A$2:A1716, A1716, $B$2:B1716, B1716, $C$2:C1716, C1716, $F$2:F1716, "&gt;4")=1), 1, 0)</f>
        <v>0</v>
      </c>
      <c r="I1716" s="10">
        <f t="shared" si="59"/>
        <v>0</v>
      </c>
      <c r="J1716" s="10"/>
      <c r="K1716" s="7"/>
      <c r="L1716" s="7"/>
      <c r="M1716" s="7"/>
      <c r="N1716" s="10"/>
      <c r="O1716" s="113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t="15.75" customHeight="1">
      <c r="A1717" s="10" t="s">
        <v>26</v>
      </c>
      <c r="B1717" s="7" t="s">
        <v>132</v>
      </c>
      <c r="C1717" s="135">
        <v>46249</v>
      </c>
      <c r="D1717" s="44" t="s">
        <v>439</v>
      </c>
      <c r="E1717" s="35" t="s">
        <v>832</v>
      </c>
      <c r="F1717" s="121">
        <v>2.15</v>
      </c>
      <c r="G1717" s="122">
        <f t="shared" si="58"/>
        <v>1</v>
      </c>
      <c r="H1717" s="123">
        <f>IF(AND(ISNUMBER(F1717), F1717&gt;4, COUNTIFS($A$2:A1717, A1717, $B$2:B1717, B1717, $C$2:C1717, C1717, $F$2:F1717, "&gt;4")=1), 1, 0)</f>
        <v>0</v>
      </c>
      <c r="I1717" s="10">
        <f t="shared" si="59"/>
        <v>0</v>
      </c>
      <c r="J1717" s="10"/>
      <c r="K1717" s="7"/>
      <c r="L1717" s="7"/>
      <c r="M1717" s="7"/>
      <c r="N1717" s="10"/>
      <c r="O1717" s="113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t="15.75" customHeight="1">
      <c r="A1718" s="10" t="s">
        <v>26</v>
      </c>
      <c r="B1718" s="7" t="s">
        <v>132</v>
      </c>
      <c r="C1718" s="135">
        <v>46250</v>
      </c>
      <c r="D1718" s="44" t="s">
        <v>439</v>
      </c>
      <c r="E1718" s="35" t="s">
        <v>813</v>
      </c>
      <c r="F1718" s="121">
        <v>2.7</v>
      </c>
      <c r="G1718" s="122">
        <f t="shared" si="58"/>
        <v>1</v>
      </c>
      <c r="H1718" s="123">
        <f>IF(AND(ISNUMBER(F1718), F1718&gt;4, COUNTIFS($A$2:A1718, A1718, $B$2:B1718, B1718, $C$2:C1718, C1718, $F$2:F1718, "&gt;4")=1), 1, 0)</f>
        <v>0</v>
      </c>
      <c r="I1718" s="10">
        <f t="shared" si="59"/>
        <v>0</v>
      </c>
      <c r="J1718" s="10"/>
      <c r="K1718" s="7"/>
      <c r="L1718" s="7"/>
      <c r="M1718" s="7"/>
      <c r="N1718" s="10"/>
      <c r="O1718" s="113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t="15.75" customHeight="1">
      <c r="A1719" s="10" t="s">
        <v>26</v>
      </c>
      <c r="B1719" s="7" t="s">
        <v>132</v>
      </c>
      <c r="C1719" s="135">
        <v>46255</v>
      </c>
      <c r="D1719" s="44" t="s">
        <v>439</v>
      </c>
      <c r="E1719" s="35" t="s">
        <v>833</v>
      </c>
      <c r="F1719" s="121">
        <v>6.15</v>
      </c>
      <c r="G1719" s="122">
        <f t="shared" si="58"/>
        <v>0</v>
      </c>
      <c r="H1719" s="123">
        <f>IF(AND(ISNUMBER(F1719), F1719&gt;4, COUNTIFS($A$2:A1719, A1719, $B$2:B1719, B1719, $C$2:C1719, C1719, $F$2:F1719, "&gt;4")=1), 1, 0)</f>
        <v>1</v>
      </c>
      <c r="I1719" s="10">
        <f t="shared" si="59"/>
        <v>0</v>
      </c>
      <c r="J1719" s="10"/>
      <c r="K1719" s="7"/>
      <c r="L1719" s="7"/>
      <c r="M1719" s="7"/>
      <c r="N1719" s="10"/>
      <c r="O1719" s="113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t="15.75" customHeight="1">
      <c r="A1720" s="10" t="s">
        <v>26</v>
      </c>
      <c r="B1720" s="7" t="s">
        <v>132</v>
      </c>
      <c r="C1720" s="135">
        <v>46257</v>
      </c>
      <c r="D1720" s="44" t="s">
        <v>439</v>
      </c>
      <c r="E1720" s="35" t="s">
        <v>834</v>
      </c>
      <c r="F1720" s="121">
        <v>5.13</v>
      </c>
      <c r="G1720" s="122">
        <f t="shared" si="58"/>
        <v>0</v>
      </c>
      <c r="H1720" s="123">
        <f>IF(AND(ISNUMBER(F1720), F1720&gt;4, COUNTIFS($A$2:A1720, A1720, $B$2:B1720, B1720, $C$2:C1720, C1720, $F$2:F1720, "&gt;4")=1), 1, 0)</f>
        <v>1</v>
      </c>
      <c r="I1720" s="10">
        <f t="shared" si="59"/>
        <v>0</v>
      </c>
      <c r="J1720" s="10"/>
      <c r="K1720" s="7"/>
      <c r="L1720" s="7"/>
      <c r="M1720" s="7"/>
      <c r="N1720" s="10"/>
      <c r="O1720" s="113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t="15.75" customHeight="1">
      <c r="A1721" s="10" t="s">
        <v>26</v>
      </c>
      <c r="B1721" s="7" t="s">
        <v>132</v>
      </c>
      <c r="C1721" s="135">
        <v>46239</v>
      </c>
      <c r="D1721" s="44" t="s">
        <v>441</v>
      </c>
      <c r="E1721" s="35" t="s">
        <v>329</v>
      </c>
      <c r="F1721" s="121">
        <v>8.0299999999999994</v>
      </c>
      <c r="G1721" s="122">
        <f t="shared" si="58"/>
        <v>0</v>
      </c>
      <c r="H1721" s="123">
        <f>IF(AND(ISNUMBER(F1721), F1721&gt;4, COUNTIFS($A$2:A1721, A1721, $B$2:B1721, B1721, $C$2:C1721, C1721, $F$2:F1721, "&gt;4")=1), 1, 0)</f>
        <v>1</v>
      </c>
      <c r="I1721" s="10">
        <f t="shared" si="59"/>
        <v>1</v>
      </c>
      <c r="J1721" s="10"/>
      <c r="K1721" s="7"/>
      <c r="L1721" s="7"/>
      <c r="M1721" s="7"/>
      <c r="N1721" s="10"/>
      <c r="O1721" s="113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t="15.75" customHeight="1">
      <c r="A1722" s="10" t="s">
        <v>26</v>
      </c>
      <c r="B1722" s="7" t="s">
        <v>132</v>
      </c>
      <c r="C1722" s="135">
        <v>46240</v>
      </c>
      <c r="D1722" s="44" t="s">
        <v>441</v>
      </c>
      <c r="E1722" s="35" t="s">
        <v>474</v>
      </c>
      <c r="F1722" s="121">
        <v>7.9</v>
      </c>
      <c r="G1722" s="122">
        <f t="shared" si="58"/>
        <v>0</v>
      </c>
      <c r="H1722" s="123">
        <f>IF(AND(ISNUMBER(F1722), F1722&gt;4, COUNTIFS($A$2:A1722, A1722, $B$2:B1722, B1722, $C$2:C1722, C1722, $F$2:F1722, "&gt;4")=1), 1, 0)</f>
        <v>1</v>
      </c>
      <c r="I1722" s="10">
        <f t="shared" si="59"/>
        <v>1</v>
      </c>
      <c r="J1722" s="10"/>
      <c r="K1722" s="7"/>
      <c r="L1722" s="7"/>
      <c r="M1722" s="7"/>
      <c r="N1722" s="10"/>
      <c r="O1722" s="113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t="15.75" customHeight="1">
      <c r="A1723" s="10" t="s">
        <v>26</v>
      </c>
      <c r="B1723" s="7" t="s">
        <v>132</v>
      </c>
      <c r="C1723" s="135">
        <v>46241</v>
      </c>
      <c r="D1723" s="44" t="s">
        <v>441</v>
      </c>
      <c r="E1723" s="35" t="s">
        <v>655</v>
      </c>
      <c r="F1723" s="121">
        <v>7.02</v>
      </c>
      <c r="G1723" s="122">
        <f t="shared" si="58"/>
        <v>0</v>
      </c>
      <c r="H1723" s="123">
        <f>IF(AND(ISNUMBER(F1723), F1723&gt;4, COUNTIFS($A$2:A1723, A1723, $B$2:B1723, B1723, $C$2:C1723, C1723, $F$2:F1723, "&gt;4")=1), 1, 0)</f>
        <v>1</v>
      </c>
      <c r="I1723" s="10">
        <f t="shared" si="59"/>
        <v>1</v>
      </c>
      <c r="J1723" s="10"/>
      <c r="K1723" s="7"/>
      <c r="L1723" s="7"/>
      <c r="M1723" s="7"/>
      <c r="N1723" s="10"/>
      <c r="O1723" s="113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t="15.75" customHeight="1">
      <c r="A1724" s="10" t="s">
        <v>26</v>
      </c>
      <c r="B1724" s="7" t="s">
        <v>132</v>
      </c>
      <c r="C1724" s="135">
        <v>46242</v>
      </c>
      <c r="D1724" s="44" t="s">
        <v>441</v>
      </c>
      <c r="E1724" s="35" t="s">
        <v>303</v>
      </c>
      <c r="F1724" s="121">
        <v>7.83</v>
      </c>
      <c r="G1724" s="122">
        <f t="shared" si="58"/>
        <v>0</v>
      </c>
      <c r="H1724" s="123">
        <f>IF(AND(ISNUMBER(F1724), F1724&gt;4, COUNTIFS($A$2:A1724, A1724, $B$2:B1724, B1724, $C$2:C1724, C1724, $F$2:F1724, "&gt;4")=1), 1, 0)</f>
        <v>1</v>
      </c>
      <c r="I1724" s="10">
        <f t="shared" si="59"/>
        <v>1</v>
      </c>
      <c r="J1724" s="10"/>
      <c r="K1724" s="7"/>
      <c r="L1724" s="7"/>
      <c r="M1724" s="7"/>
      <c r="N1724" s="10"/>
      <c r="O1724" s="113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t="15.75" customHeight="1">
      <c r="A1725" s="10" t="s">
        <v>26</v>
      </c>
      <c r="B1725" s="7" t="s">
        <v>132</v>
      </c>
      <c r="C1725" s="135">
        <v>46243</v>
      </c>
      <c r="D1725" s="44" t="s">
        <v>441</v>
      </c>
      <c r="E1725" s="35" t="s">
        <v>480</v>
      </c>
      <c r="F1725" s="121">
        <v>7.97</v>
      </c>
      <c r="G1725" s="122">
        <f t="shared" si="58"/>
        <v>0</v>
      </c>
      <c r="H1725" s="123">
        <f>IF(AND(ISNUMBER(F1725), F1725&gt;4, COUNTIFS($A$2:A1725, A1725, $B$2:B1725, B1725, $C$2:C1725, C1725, $F$2:F1725, "&gt;4")=1), 1, 0)</f>
        <v>1</v>
      </c>
      <c r="I1725" s="10">
        <f t="shared" si="59"/>
        <v>1</v>
      </c>
      <c r="J1725" s="10"/>
      <c r="K1725" s="7"/>
      <c r="L1725" s="7"/>
      <c r="M1725" s="7"/>
      <c r="N1725" s="10"/>
      <c r="O1725" s="113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t="15.75" customHeight="1">
      <c r="A1726" s="10" t="s">
        <v>26</v>
      </c>
      <c r="B1726" s="7" t="s">
        <v>132</v>
      </c>
      <c r="C1726" s="135">
        <v>46244</v>
      </c>
      <c r="D1726" s="44" t="s">
        <v>441</v>
      </c>
      <c r="E1726" s="35" t="s">
        <v>475</v>
      </c>
      <c r="F1726" s="121">
        <v>7.87</v>
      </c>
      <c r="G1726" s="122">
        <f t="shared" si="58"/>
        <v>0</v>
      </c>
      <c r="H1726" s="123">
        <f>IF(AND(ISNUMBER(F1726), F1726&gt;4, COUNTIFS($A$2:A1726, A1726, $B$2:B1726, B1726, $C$2:C1726, C1726, $F$2:F1726, "&gt;4")=1), 1, 0)</f>
        <v>1</v>
      </c>
      <c r="I1726" s="10">
        <f t="shared" si="59"/>
        <v>1</v>
      </c>
      <c r="J1726" s="10"/>
      <c r="K1726" s="7"/>
      <c r="L1726" s="7"/>
      <c r="M1726" s="7"/>
      <c r="N1726" s="10"/>
      <c r="O1726" s="113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t="15.75" customHeight="1">
      <c r="A1727" s="10" t="s">
        <v>26</v>
      </c>
      <c r="B1727" s="7" t="s">
        <v>132</v>
      </c>
      <c r="C1727" s="142">
        <v>46245</v>
      </c>
      <c r="D1727" s="44" t="s">
        <v>441</v>
      </c>
      <c r="E1727" s="35" t="s">
        <v>348</v>
      </c>
      <c r="F1727" s="121">
        <v>7.95</v>
      </c>
      <c r="G1727" s="122">
        <f t="shared" si="58"/>
        <v>0</v>
      </c>
      <c r="H1727" s="123">
        <f>IF(AND(ISNUMBER(F1727), F1727&gt;4, COUNTIFS($A$2:A1727, A1727, $B$2:B1727, B1727, $C$2:C1727, C1727, $F$2:F1727, "&gt;4")=1), 1, 0)</f>
        <v>1</v>
      </c>
      <c r="I1727" s="10">
        <f t="shared" si="59"/>
        <v>1</v>
      </c>
      <c r="J1727" s="10"/>
      <c r="K1727" s="7"/>
      <c r="L1727" s="7"/>
      <c r="M1727" s="7"/>
      <c r="N1727" s="10"/>
      <c r="O1727" s="113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t="15.75" customHeight="1">
      <c r="A1728" s="10" t="s">
        <v>26</v>
      </c>
      <c r="B1728" s="7" t="s">
        <v>132</v>
      </c>
      <c r="C1728" s="142">
        <v>46246</v>
      </c>
      <c r="D1728" s="44" t="s">
        <v>441</v>
      </c>
      <c r="E1728" s="35" t="s">
        <v>481</v>
      </c>
      <c r="F1728" s="121">
        <v>7.98</v>
      </c>
      <c r="G1728" s="122">
        <f t="shared" si="58"/>
        <v>0</v>
      </c>
      <c r="H1728" s="123">
        <f>IF(AND(ISNUMBER(F1728), F1728&gt;4, COUNTIFS($A$2:A1728, A1728, $B$2:B1728, B1728, $C$2:C1728, C1728, $F$2:F1728, "&gt;4")=1), 1, 0)</f>
        <v>1</v>
      </c>
      <c r="I1728" s="10">
        <f t="shared" si="59"/>
        <v>1</v>
      </c>
      <c r="J1728" s="10"/>
      <c r="K1728" s="7"/>
      <c r="L1728" s="7"/>
      <c r="M1728" s="7"/>
      <c r="N1728" s="10"/>
      <c r="O1728" s="113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t="15.75" customHeight="1">
      <c r="A1729" s="10" t="s">
        <v>26</v>
      </c>
      <c r="B1729" s="7" t="s">
        <v>132</v>
      </c>
      <c r="C1729" s="142">
        <v>46247</v>
      </c>
      <c r="D1729" s="44" t="s">
        <v>441</v>
      </c>
      <c r="E1729" s="35" t="s">
        <v>288</v>
      </c>
      <c r="F1729" s="121">
        <v>8.0500000000000007</v>
      </c>
      <c r="G1729" s="122">
        <f t="shared" si="58"/>
        <v>0</v>
      </c>
      <c r="H1729" s="123">
        <f>IF(AND(ISNUMBER(F1729), F1729&gt;4, COUNTIFS($A$2:A1729, A1729, $B$2:B1729, B1729, $C$2:C1729, C1729, $F$2:F1729, "&gt;4")=1), 1, 0)</f>
        <v>1</v>
      </c>
      <c r="I1729" s="10">
        <f t="shared" si="59"/>
        <v>1</v>
      </c>
      <c r="J1729" s="10"/>
      <c r="K1729" s="7"/>
      <c r="L1729" s="7"/>
      <c r="M1729" s="7"/>
      <c r="N1729" s="10"/>
      <c r="O1729" s="113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t="15.75" customHeight="1">
      <c r="A1730" s="10" t="s">
        <v>26</v>
      </c>
      <c r="B1730" s="7" t="s">
        <v>132</v>
      </c>
      <c r="C1730" s="142">
        <v>46248</v>
      </c>
      <c r="D1730" s="44" t="s">
        <v>441</v>
      </c>
      <c r="E1730" s="35" t="s">
        <v>475</v>
      </c>
      <c r="F1730" s="121">
        <v>7.87</v>
      </c>
      <c r="G1730" s="122">
        <f t="shared" ref="G1730:G1793" si="60">IF(AND(ISNUMBER(F1730), F1730&lt;=4), 1, 0)</f>
        <v>0</v>
      </c>
      <c r="H1730" s="123">
        <f>IF(AND(ISNUMBER(F1730), F1730&gt;4, COUNTIFS($A$2:A1730, A1730, $B$2:B1730, B1730, $C$2:C1730, C1730, $F$2:F1730, "&gt;4")=1), 1, 0)</f>
        <v>1</v>
      </c>
      <c r="I1730" s="10">
        <f t="shared" ref="I1730:I1746" si="61">IF(AND(ISNUMBER(F1730), F1730&gt;4, ISNUMBER(SEARCH("đêm", D1730))), 1, 0)</f>
        <v>1</v>
      </c>
      <c r="J1730" s="10"/>
      <c r="K1730" s="7"/>
      <c r="L1730" s="7"/>
      <c r="M1730" s="7"/>
      <c r="N1730" s="10"/>
      <c r="O1730" s="113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t="15.75" customHeight="1">
      <c r="A1731" s="10" t="s">
        <v>26</v>
      </c>
      <c r="B1731" s="7" t="s">
        <v>132</v>
      </c>
      <c r="C1731" s="142">
        <v>46249</v>
      </c>
      <c r="D1731" s="44" t="s">
        <v>441</v>
      </c>
      <c r="E1731" s="35" t="s">
        <v>479</v>
      </c>
      <c r="F1731" s="121">
        <v>8.02</v>
      </c>
      <c r="G1731" s="122">
        <f t="shared" si="60"/>
        <v>0</v>
      </c>
      <c r="H1731" s="123">
        <f>IF(AND(ISNUMBER(F1731), F1731&gt;4, COUNTIFS($A$2:A1731, A1731, $B$2:B1731, B1731, $C$2:C1731, C1731, $F$2:F1731, "&gt;4")=1), 1, 0)</f>
        <v>1</v>
      </c>
      <c r="I1731" s="10">
        <f t="shared" si="61"/>
        <v>1</v>
      </c>
      <c r="J1731" s="10"/>
      <c r="K1731" s="7"/>
      <c r="L1731" s="7"/>
      <c r="M1731" s="7"/>
      <c r="N1731" s="10"/>
      <c r="O1731" s="113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t="15.75" customHeight="1">
      <c r="A1732" s="10" t="s">
        <v>26</v>
      </c>
      <c r="B1732" s="7" t="s">
        <v>132</v>
      </c>
      <c r="C1732" s="142">
        <v>46250</v>
      </c>
      <c r="D1732" s="44" t="s">
        <v>441</v>
      </c>
      <c r="E1732" s="35" t="s">
        <v>479</v>
      </c>
      <c r="F1732" s="121">
        <v>8.02</v>
      </c>
      <c r="G1732" s="122">
        <f t="shared" si="60"/>
        <v>0</v>
      </c>
      <c r="H1732" s="123">
        <f>IF(AND(ISNUMBER(F1732), F1732&gt;4, COUNTIFS($A$2:A1732, A1732, $B$2:B1732, B1732, $C$2:C1732, C1732, $F$2:F1732, "&gt;4")=1), 1, 0)</f>
        <v>1</v>
      </c>
      <c r="I1732" s="10">
        <f t="shared" si="61"/>
        <v>1</v>
      </c>
      <c r="J1732" s="10"/>
      <c r="K1732" s="7"/>
      <c r="L1732" s="7"/>
      <c r="M1732" s="7"/>
      <c r="N1732" s="10"/>
      <c r="O1732" s="113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t="15.75" customHeight="1">
      <c r="A1733" s="10" t="s">
        <v>26</v>
      </c>
      <c r="B1733" s="7" t="s">
        <v>132</v>
      </c>
      <c r="C1733" s="142">
        <v>46251</v>
      </c>
      <c r="D1733" s="44" t="s">
        <v>441</v>
      </c>
      <c r="E1733" s="35" t="s">
        <v>199</v>
      </c>
      <c r="F1733" s="121">
        <v>8</v>
      </c>
      <c r="G1733" s="122">
        <f t="shared" si="60"/>
        <v>0</v>
      </c>
      <c r="H1733" s="123">
        <f>IF(AND(ISNUMBER(F1733), F1733&gt;4, COUNTIFS($A$2:A1733, A1733, $B$2:B1733, B1733, $C$2:C1733, C1733, $F$2:F1733, "&gt;4")=1), 1, 0)</f>
        <v>1</v>
      </c>
      <c r="I1733" s="10">
        <f t="shared" si="61"/>
        <v>1</v>
      </c>
      <c r="J1733" s="10"/>
      <c r="K1733" s="7"/>
      <c r="L1733" s="7"/>
      <c r="M1733" s="7"/>
      <c r="N1733" s="10"/>
      <c r="O1733" s="113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t="15.75" customHeight="1">
      <c r="A1734" s="10" t="s">
        <v>26</v>
      </c>
      <c r="B1734" s="7" t="s">
        <v>132</v>
      </c>
      <c r="C1734" s="135">
        <v>46253</v>
      </c>
      <c r="D1734" s="44" t="s">
        <v>441</v>
      </c>
      <c r="E1734" s="35" t="s">
        <v>348</v>
      </c>
      <c r="F1734" s="121">
        <v>7.95</v>
      </c>
      <c r="G1734" s="122">
        <f t="shared" si="60"/>
        <v>0</v>
      </c>
      <c r="H1734" s="123">
        <f>IF(AND(ISNUMBER(F1734), F1734&gt;4, COUNTIFS($A$2:A1734, A1734, $B$2:B1734, B1734, $C$2:C1734, C1734, $F$2:F1734, "&gt;4")=1), 1, 0)</f>
        <v>1</v>
      </c>
      <c r="I1734" s="10">
        <f t="shared" si="61"/>
        <v>1</v>
      </c>
      <c r="J1734" s="10"/>
      <c r="K1734" s="7"/>
      <c r="L1734" s="7"/>
      <c r="M1734" s="7"/>
      <c r="N1734" s="10"/>
      <c r="O1734" s="113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t="15.75" customHeight="1">
      <c r="A1735" s="10" t="s">
        <v>26</v>
      </c>
      <c r="B1735" s="7" t="s">
        <v>132</v>
      </c>
      <c r="C1735" s="135">
        <v>46254</v>
      </c>
      <c r="D1735" s="44" t="s">
        <v>441</v>
      </c>
      <c r="E1735" s="35" t="s">
        <v>483</v>
      </c>
      <c r="F1735" s="121">
        <v>7.92</v>
      </c>
      <c r="G1735" s="122">
        <f t="shared" si="60"/>
        <v>0</v>
      </c>
      <c r="H1735" s="123">
        <f>IF(AND(ISNUMBER(F1735), F1735&gt;4, COUNTIFS($A$2:A1735, A1735, $B$2:B1735, B1735, $C$2:C1735, C1735, $F$2:F1735, "&gt;4")=1), 1, 0)</f>
        <v>1</v>
      </c>
      <c r="I1735" s="10">
        <f t="shared" si="61"/>
        <v>1</v>
      </c>
      <c r="J1735" s="10"/>
      <c r="K1735" s="7"/>
      <c r="L1735" s="7"/>
      <c r="M1735" s="7"/>
      <c r="N1735" s="10"/>
      <c r="O1735" s="113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t="15.75" customHeight="1">
      <c r="A1736" s="10" t="s">
        <v>26</v>
      </c>
      <c r="B1736" s="7" t="s">
        <v>132</v>
      </c>
      <c r="C1736" s="135">
        <v>46256</v>
      </c>
      <c r="D1736" s="44" t="s">
        <v>441</v>
      </c>
      <c r="E1736" s="35" t="s">
        <v>483</v>
      </c>
      <c r="F1736" s="121">
        <v>7.92</v>
      </c>
      <c r="G1736" s="122">
        <f t="shared" si="60"/>
        <v>0</v>
      </c>
      <c r="H1736" s="123">
        <f>IF(AND(ISNUMBER(F1736), F1736&gt;4, COUNTIFS($A$2:A1736, A1736, $B$2:B1736, B1736, $C$2:C1736, C1736, $F$2:F1736, "&gt;4")=1), 1, 0)</f>
        <v>1</v>
      </c>
      <c r="I1736" s="10">
        <f t="shared" si="61"/>
        <v>1</v>
      </c>
      <c r="J1736" s="10"/>
      <c r="K1736" s="7"/>
      <c r="L1736" s="7"/>
      <c r="M1736" s="7"/>
      <c r="N1736" s="10"/>
      <c r="O1736" s="113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t="15.75" customHeight="1">
      <c r="A1737" s="10" t="s">
        <v>26</v>
      </c>
      <c r="B1737" s="7" t="s">
        <v>132</v>
      </c>
      <c r="C1737" s="135">
        <v>46258</v>
      </c>
      <c r="D1737" s="44" t="s">
        <v>441</v>
      </c>
      <c r="E1737" s="35" t="s">
        <v>303</v>
      </c>
      <c r="F1737" s="121">
        <v>7.83</v>
      </c>
      <c r="G1737" s="122">
        <f t="shared" si="60"/>
        <v>0</v>
      </c>
      <c r="H1737" s="123">
        <f>IF(AND(ISNUMBER(F1737), F1737&gt;4, COUNTIFS($A$2:A1737, A1737, $B$2:B1737, B1737, $C$2:C1737, C1737, $F$2:F1737, "&gt;4")=1), 1, 0)</f>
        <v>1</v>
      </c>
      <c r="I1737" s="10">
        <f t="shared" si="61"/>
        <v>1</v>
      </c>
      <c r="J1737" s="10"/>
      <c r="K1737" s="7"/>
      <c r="L1737" s="7"/>
      <c r="M1737" s="7"/>
      <c r="N1737" s="10"/>
      <c r="O1737" s="113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t="15.75" customHeight="1">
      <c r="A1738" s="10" t="s">
        <v>26</v>
      </c>
      <c r="B1738" s="7" t="s">
        <v>132</v>
      </c>
      <c r="C1738" s="135">
        <v>46259</v>
      </c>
      <c r="D1738" s="44" t="s">
        <v>441</v>
      </c>
      <c r="E1738" s="35" t="s">
        <v>479</v>
      </c>
      <c r="F1738" s="121">
        <v>8.02</v>
      </c>
      <c r="G1738" s="122">
        <f t="shared" si="60"/>
        <v>0</v>
      </c>
      <c r="H1738" s="123">
        <f>IF(AND(ISNUMBER(F1738), F1738&gt;4, COUNTIFS($A$2:A1738, A1738, $B$2:B1738, B1738, $C$2:C1738, C1738, $F$2:F1738, "&gt;4")=1), 1, 0)</f>
        <v>1</v>
      </c>
      <c r="I1738" s="10">
        <f t="shared" si="61"/>
        <v>1</v>
      </c>
      <c r="J1738" s="10"/>
      <c r="K1738" s="7"/>
      <c r="L1738" s="7"/>
      <c r="M1738" s="7"/>
      <c r="N1738" s="10"/>
      <c r="O1738" s="113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t="15.75" customHeight="1">
      <c r="A1739" s="10" t="s">
        <v>26</v>
      </c>
      <c r="B1739" s="7" t="s">
        <v>132</v>
      </c>
      <c r="C1739" s="135">
        <v>46260</v>
      </c>
      <c r="D1739" s="44" t="s">
        <v>441</v>
      </c>
      <c r="E1739" s="35" t="s">
        <v>705</v>
      </c>
      <c r="F1739" s="121">
        <v>7.72</v>
      </c>
      <c r="G1739" s="122">
        <f t="shared" si="60"/>
        <v>0</v>
      </c>
      <c r="H1739" s="123">
        <f>IF(AND(ISNUMBER(F1739), F1739&gt;4, COUNTIFS($A$2:A1739, A1739, $B$2:B1739, B1739, $C$2:C1739, C1739, $F$2:F1739, "&gt;4")=1), 1, 0)</f>
        <v>1</v>
      </c>
      <c r="I1739" s="10">
        <f t="shared" si="61"/>
        <v>1</v>
      </c>
      <c r="J1739" s="10"/>
      <c r="K1739" s="7"/>
      <c r="L1739" s="7"/>
      <c r="M1739" s="7"/>
      <c r="N1739" s="10"/>
      <c r="O1739" s="113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t="15.75" customHeight="1">
      <c r="A1740" s="10" t="s">
        <v>26</v>
      </c>
      <c r="B1740" s="7" t="s">
        <v>132</v>
      </c>
      <c r="C1740" s="135">
        <v>46261</v>
      </c>
      <c r="D1740" s="44" t="s">
        <v>441</v>
      </c>
      <c r="E1740" s="35" t="s">
        <v>303</v>
      </c>
      <c r="F1740" s="121">
        <v>7.83</v>
      </c>
      <c r="G1740" s="122">
        <f t="shared" si="60"/>
        <v>0</v>
      </c>
      <c r="H1740" s="123">
        <f>IF(AND(ISNUMBER(F1740), F1740&gt;4, COUNTIFS($A$2:A1740, A1740, $B$2:B1740, B1740, $C$2:C1740, C1740, $F$2:F1740, "&gt;4")=1), 1, 0)</f>
        <v>1</v>
      </c>
      <c r="I1740" s="10">
        <f t="shared" si="61"/>
        <v>1</v>
      </c>
      <c r="J1740" s="10"/>
      <c r="K1740" s="7"/>
      <c r="L1740" s="7"/>
      <c r="M1740" s="7"/>
      <c r="N1740" s="10"/>
      <c r="O1740" s="113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t="15.75" customHeight="1">
      <c r="A1741" s="10" t="s">
        <v>26</v>
      </c>
      <c r="B1741" s="7" t="s">
        <v>132</v>
      </c>
      <c r="C1741" s="135">
        <v>46262</v>
      </c>
      <c r="D1741" s="44" t="s">
        <v>441</v>
      </c>
      <c r="E1741" s="35" t="s">
        <v>474</v>
      </c>
      <c r="F1741" s="121">
        <v>7.9</v>
      </c>
      <c r="G1741" s="122">
        <f t="shared" si="60"/>
        <v>0</v>
      </c>
      <c r="H1741" s="123">
        <f>IF(AND(ISNUMBER(F1741), F1741&gt;4, COUNTIFS($A$2:A1741, A1741, $B$2:B1741, B1741, $C$2:C1741, C1741, $F$2:F1741, "&gt;4")=1), 1, 0)</f>
        <v>1</v>
      </c>
      <c r="I1741" s="10">
        <f t="shared" si="61"/>
        <v>1</v>
      </c>
      <c r="J1741" s="10"/>
      <c r="K1741" s="7"/>
      <c r="L1741" s="7"/>
      <c r="M1741" s="7"/>
      <c r="N1741" s="10"/>
      <c r="O1741" s="113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t="15.75" customHeight="1">
      <c r="A1742" s="10" t="s">
        <v>26</v>
      </c>
      <c r="B1742" s="7" t="s">
        <v>132</v>
      </c>
      <c r="C1742" s="135">
        <v>46263</v>
      </c>
      <c r="D1742" s="44" t="s">
        <v>441</v>
      </c>
      <c r="E1742" s="35" t="s">
        <v>481</v>
      </c>
      <c r="F1742" s="121">
        <v>7.98</v>
      </c>
      <c r="G1742" s="122">
        <f t="shared" si="60"/>
        <v>0</v>
      </c>
      <c r="H1742" s="123">
        <f>IF(AND(ISNUMBER(F1742), F1742&gt;4, COUNTIFS($A$2:A1742, A1742, $B$2:B1742, B1742, $C$2:C1742, C1742, $F$2:F1742, "&gt;4")=1), 1, 0)</f>
        <v>1</v>
      </c>
      <c r="I1742" s="10">
        <f t="shared" si="61"/>
        <v>1</v>
      </c>
      <c r="J1742" s="10"/>
      <c r="K1742" s="7"/>
      <c r="L1742" s="7"/>
      <c r="M1742" s="7"/>
      <c r="N1742" s="10"/>
      <c r="O1742" s="113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t="15.75" customHeight="1">
      <c r="A1743" s="10" t="s">
        <v>26</v>
      </c>
      <c r="B1743" s="7" t="s">
        <v>132</v>
      </c>
      <c r="C1743" s="135">
        <v>46264</v>
      </c>
      <c r="D1743" s="44" t="s">
        <v>441</v>
      </c>
      <c r="E1743" s="35" t="s">
        <v>484</v>
      </c>
      <c r="F1743" s="121">
        <v>7.82</v>
      </c>
      <c r="G1743" s="122">
        <f t="shared" si="60"/>
        <v>0</v>
      </c>
      <c r="H1743" s="123">
        <f>IF(AND(ISNUMBER(F1743), F1743&gt;4, COUNTIFS($A$2:A1743, A1743, $B$2:B1743, B1743, $C$2:C1743, C1743, $F$2:F1743, "&gt;4")=1), 1, 0)</f>
        <v>1</v>
      </c>
      <c r="I1743" s="10">
        <f t="shared" si="61"/>
        <v>1</v>
      </c>
      <c r="J1743" s="10"/>
      <c r="K1743" s="7"/>
      <c r="L1743" s="7"/>
      <c r="M1743" s="7"/>
      <c r="N1743" s="10"/>
      <c r="O1743" s="113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t="15.75" customHeight="1">
      <c r="A1744" s="10" t="s">
        <v>26</v>
      </c>
      <c r="B1744" s="7" t="s">
        <v>132</v>
      </c>
      <c r="C1744" s="135">
        <v>46265</v>
      </c>
      <c r="D1744" s="44" t="s">
        <v>441</v>
      </c>
      <c r="E1744" s="35" t="s">
        <v>475</v>
      </c>
      <c r="F1744" s="121">
        <v>7.87</v>
      </c>
      <c r="G1744" s="122">
        <f t="shared" si="60"/>
        <v>0</v>
      </c>
      <c r="H1744" s="123">
        <f>IF(AND(ISNUMBER(F1744), F1744&gt;4, COUNTIFS($A$2:A1744, A1744, $B$2:B1744, B1744, $C$2:C1744, C1744, $F$2:F1744, "&gt;4")=1), 1, 0)</f>
        <v>1</v>
      </c>
      <c r="I1744" s="10">
        <f t="shared" si="61"/>
        <v>1</v>
      </c>
      <c r="J1744" s="10"/>
      <c r="K1744" s="7"/>
      <c r="L1744" s="7"/>
      <c r="M1744" s="7"/>
      <c r="N1744" s="10"/>
      <c r="O1744" s="113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t="15.75" customHeight="1">
      <c r="A1745" s="10" t="s">
        <v>26</v>
      </c>
      <c r="B1745" s="7" t="s">
        <v>132</v>
      </c>
      <c r="C1745" s="135">
        <v>46255</v>
      </c>
      <c r="D1745" s="44" t="s">
        <v>442</v>
      </c>
      <c r="E1745" s="35" t="s">
        <v>835</v>
      </c>
      <c r="F1745" s="121">
        <v>2.87</v>
      </c>
      <c r="G1745" s="122">
        <f t="shared" si="60"/>
        <v>1</v>
      </c>
      <c r="H1745" s="123">
        <f>IF(AND(ISNUMBER(F1745), F1745&gt;4, COUNTIFS($A$2:A1745, A1745, $B$2:B1745, B1745, $C$2:C1745, C1745, $F$2:F1745, "&gt;4")=1), 1, 0)</f>
        <v>0</v>
      </c>
      <c r="I1745" s="10">
        <f t="shared" si="61"/>
        <v>0</v>
      </c>
      <c r="J1745" s="10"/>
      <c r="K1745" s="7"/>
      <c r="L1745" s="7"/>
      <c r="M1745" s="7"/>
      <c r="N1745" s="10"/>
      <c r="O1745" s="113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t="15.75" customHeight="1">
      <c r="A1746" s="10" t="s">
        <v>26</v>
      </c>
      <c r="B1746" s="7" t="s">
        <v>132</v>
      </c>
      <c r="C1746" s="142">
        <v>46257</v>
      </c>
      <c r="D1746" s="44" t="s">
        <v>442</v>
      </c>
      <c r="E1746" s="35" t="s">
        <v>670</v>
      </c>
      <c r="F1746" s="121">
        <v>2.92</v>
      </c>
      <c r="G1746" s="122">
        <f t="shared" si="60"/>
        <v>1</v>
      </c>
      <c r="H1746" s="123">
        <f>IF(AND(ISNUMBER(F1746), F1746&gt;4, COUNTIFS($A$2:A1746, A1746, $B$2:B1746, B1746, $C$2:C1746, C1746, $F$2:F1746, "&gt;4")=1), 1, 0)</f>
        <v>0</v>
      </c>
      <c r="I1746" s="10">
        <f t="shared" si="61"/>
        <v>0</v>
      </c>
      <c r="J1746" s="10"/>
      <c r="K1746" s="7"/>
      <c r="L1746" s="7"/>
      <c r="M1746" s="7"/>
      <c r="N1746" s="10"/>
      <c r="O1746" s="113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t="15.75" customHeight="1">
      <c r="A1747" s="10"/>
      <c r="B1747" s="7"/>
      <c r="C1747" s="142"/>
      <c r="D1747" s="44"/>
      <c r="E1747" s="35"/>
      <c r="F1747" s="121"/>
      <c r="G1747" s="122"/>
      <c r="H1747" s="123"/>
      <c r="I1747" s="10"/>
      <c r="J1747" s="10"/>
      <c r="K1747" s="7"/>
      <c r="L1747" s="7"/>
      <c r="M1747" s="7"/>
      <c r="N1747" s="10"/>
      <c r="O1747" s="113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t="15.75" customHeight="1">
      <c r="A1748" s="10"/>
      <c r="B1748" s="7"/>
      <c r="C1748" s="142"/>
      <c r="D1748" s="44"/>
      <c r="E1748" s="35"/>
      <c r="F1748" s="121"/>
      <c r="G1748" s="122"/>
      <c r="H1748" s="123"/>
      <c r="I1748" s="10"/>
      <c r="J1748" s="10"/>
      <c r="K1748" s="7"/>
      <c r="L1748" s="7"/>
      <c r="M1748" s="7"/>
      <c r="N1748" s="10"/>
      <c r="O1748" s="113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t="15.75" customHeight="1">
      <c r="A1749" s="10"/>
      <c r="B1749" s="7"/>
      <c r="C1749" s="142"/>
      <c r="D1749" s="44"/>
      <c r="E1749" s="35"/>
      <c r="F1749" s="121"/>
      <c r="G1749" s="122"/>
      <c r="H1749" s="123"/>
      <c r="I1749" s="10"/>
      <c r="J1749" s="10"/>
      <c r="K1749" s="7"/>
      <c r="L1749" s="7"/>
      <c r="M1749" s="7"/>
      <c r="N1749" s="10"/>
      <c r="O1749" s="113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t="15.75" customHeight="1">
      <c r="A1750" s="10"/>
      <c r="B1750" s="7"/>
      <c r="C1750" s="142"/>
      <c r="D1750" s="44"/>
      <c r="E1750" s="35"/>
      <c r="F1750" s="121"/>
      <c r="G1750" s="122"/>
      <c r="H1750" s="123"/>
      <c r="I1750" s="10"/>
      <c r="J1750" s="10"/>
      <c r="K1750" s="7"/>
      <c r="L1750" s="7"/>
      <c r="M1750" s="7"/>
      <c r="N1750" s="10"/>
      <c r="O1750" s="113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t="15.75" customHeight="1">
      <c r="A1751" s="10"/>
      <c r="B1751" s="7"/>
      <c r="C1751" s="142"/>
      <c r="D1751" s="44"/>
      <c r="E1751" s="35"/>
      <c r="F1751" s="121"/>
      <c r="G1751" s="122"/>
      <c r="H1751" s="123"/>
      <c r="I1751" s="10"/>
      <c r="J1751" s="10"/>
      <c r="K1751" s="7"/>
      <c r="L1751" s="7"/>
      <c r="M1751" s="7"/>
      <c r="N1751" s="10"/>
      <c r="O1751" s="113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t="15.75" customHeight="1">
      <c r="A1752" s="10"/>
      <c r="B1752" s="7"/>
      <c r="C1752" s="142"/>
      <c r="D1752" s="44"/>
      <c r="E1752" s="35"/>
      <c r="F1752" s="121"/>
      <c r="G1752" s="122"/>
      <c r="H1752" s="123"/>
      <c r="I1752" s="10"/>
      <c r="J1752" s="10"/>
      <c r="K1752" s="7"/>
      <c r="L1752" s="7"/>
      <c r="M1752" s="7"/>
      <c r="N1752" s="10"/>
      <c r="O1752" s="113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t="15.75" customHeight="1">
      <c r="A1753" s="10"/>
      <c r="B1753" s="7"/>
      <c r="C1753" s="142"/>
      <c r="D1753" s="44"/>
      <c r="E1753" s="35"/>
      <c r="F1753" s="121"/>
      <c r="G1753" s="122"/>
      <c r="H1753" s="123"/>
      <c r="I1753" s="10"/>
      <c r="J1753" s="10"/>
      <c r="K1753" s="7"/>
      <c r="L1753" s="7"/>
      <c r="M1753" s="7"/>
      <c r="N1753" s="10"/>
      <c r="O1753" s="113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t="15.75" customHeight="1">
      <c r="A1754" s="10"/>
      <c r="B1754" s="7"/>
      <c r="C1754" s="142"/>
      <c r="D1754" s="44"/>
      <c r="E1754" s="35"/>
      <c r="F1754" s="121"/>
      <c r="G1754" s="122"/>
      <c r="H1754" s="123"/>
      <c r="I1754" s="10"/>
      <c r="J1754" s="10"/>
      <c r="K1754" s="7"/>
      <c r="L1754" s="7"/>
      <c r="M1754" s="7"/>
      <c r="N1754" s="10"/>
      <c r="O1754" s="113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t="15.75" customHeight="1">
      <c r="A1755" s="10"/>
      <c r="B1755" s="7"/>
      <c r="C1755" s="142"/>
      <c r="D1755" s="44"/>
      <c r="E1755" s="35"/>
      <c r="F1755" s="121"/>
      <c r="G1755" s="122"/>
      <c r="H1755" s="123"/>
      <c r="I1755" s="10"/>
      <c r="J1755" s="10"/>
      <c r="K1755" s="7"/>
      <c r="L1755" s="7"/>
      <c r="M1755" s="7"/>
      <c r="N1755" s="10"/>
      <c r="O1755" s="113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t="15.75" customHeight="1">
      <c r="A1756" s="10"/>
      <c r="B1756" s="7"/>
      <c r="C1756" s="142"/>
      <c r="D1756" s="44"/>
      <c r="E1756" s="35"/>
      <c r="F1756" s="121"/>
      <c r="G1756" s="122"/>
      <c r="H1756" s="123"/>
      <c r="I1756" s="10"/>
      <c r="J1756" s="10"/>
      <c r="K1756" s="7"/>
      <c r="L1756" s="7"/>
      <c r="M1756" s="7"/>
      <c r="N1756" s="10"/>
      <c r="O1756" s="113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t="15.75" customHeight="1">
      <c r="A1757" s="10"/>
      <c r="B1757" s="7"/>
      <c r="C1757" s="142"/>
      <c r="D1757" s="44"/>
      <c r="E1757" s="35"/>
      <c r="F1757" s="121"/>
      <c r="G1757" s="122"/>
      <c r="H1757" s="123"/>
      <c r="I1757" s="10"/>
      <c r="J1757" s="10"/>
      <c r="K1757" s="7"/>
      <c r="L1757" s="7"/>
      <c r="M1757" s="7"/>
      <c r="N1757" s="10"/>
      <c r="O1757" s="113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t="15.75" customHeight="1">
      <c r="A1758" s="10"/>
      <c r="B1758" s="7"/>
      <c r="C1758" s="142"/>
      <c r="D1758" s="44"/>
      <c r="E1758" s="35"/>
      <c r="F1758" s="121"/>
      <c r="G1758" s="122"/>
      <c r="H1758" s="123"/>
      <c r="I1758" s="10"/>
      <c r="J1758" s="10"/>
      <c r="K1758" s="7"/>
      <c r="L1758" s="7"/>
      <c r="M1758" s="7"/>
      <c r="N1758" s="10"/>
      <c r="O1758" s="113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t="15.75" customHeight="1">
      <c r="A1759" s="10"/>
      <c r="B1759" s="7"/>
      <c r="C1759" s="142"/>
      <c r="D1759" s="44"/>
      <c r="E1759" s="35"/>
      <c r="F1759" s="121"/>
      <c r="G1759" s="122"/>
      <c r="H1759" s="123"/>
      <c r="I1759" s="10"/>
      <c r="J1759" s="10"/>
      <c r="K1759" s="7"/>
      <c r="L1759" s="7"/>
      <c r="M1759" s="7"/>
      <c r="N1759" s="10"/>
      <c r="O1759" s="113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t="15.75" customHeight="1">
      <c r="A1760" s="10"/>
      <c r="B1760" s="7"/>
      <c r="C1760" s="142"/>
      <c r="D1760" s="44"/>
      <c r="E1760" s="35"/>
      <c r="F1760" s="121"/>
      <c r="G1760" s="122"/>
      <c r="H1760" s="123"/>
      <c r="I1760" s="10"/>
      <c r="J1760" s="10"/>
      <c r="K1760" s="7"/>
      <c r="L1760" s="7"/>
      <c r="M1760" s="7"/>
      <c r="N1760" s="10"/>
      <c r="O1760" s="113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t="15.75" customHeight="1">
      <c r="A1761" s="10"/>
      <c r="B1761" s="7"/>
      <c r="C1761" s="142"/>
      <c r="D1761" s="44"/>
      <c r="E1761" s="35"/>
      <c r="F1761" s="121"/>
      <c r="G1761" s="122"/>
      <c r="H1761" s="123"/>
      <c r="I1761" s="10"/>
      <c r="J1761" s="10"/>
      <c r="K1761" s="7"/>
      <c r="L1761" s="7"/>
      <c r="M1761" s="7"/>
      <c r="N1761" s="10"/>
      <c r="O1761" s="113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t="15.75" customHeight="1">
      <c r="A1762" s="10"/>
      <c r="B1762" s="7"/>
      <c r="C1762" s="142"/>
      <c r="D1762" s="44"/>
      <c r="E1762" s="35"/>
      <c r="F1762" s="121"/>
      <c r="G1762" s="122"/>
      <c r="H1762" s="123"/>
      <c r="I1762" s="10"/>
      <c r="J1762" s="10"/>
      <c r="K1762" s="7"/>
      <c r="L1762" s="7"/>
      <c r="M1762" s="7"/>
      <c r="N1762" s="10"/>
      <c r="O1762" s="113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t="15.75" customHeight="1">
      <c r="A1763" s="10"/>
      <c r="B1763" s="7"/>
      <c r="C1763" s="142"/>
      <c r="D1763" s="44"/>
      <c r="E1763" s="35"/>
      <c r="F1763" s="121"/>
      <c r="G1763" s="122"/>
      <c r="H1763" s="123"/>
      <c r="I1763" s="10"/>
      <c r="J1763" s="10"/>
      <c r="K1763" s="7"/>
      <c r="L1763" s="7"/>
      <c r="M1763" s="7"/>
      <c r="N1763" s="10"/>
      <c r="O1763" s="113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t="15.75" customHeight="1">
      <c r="A1764" s="10"/>
      <c r="B1764" s="7"/>
      <c r="C1764" s="142"/>
      <c r="D1764" s="44"/>
      <c r="E1764" s="35"/>
      <c r="F1764" s="121"/>
      <c r="G1764" s="122"/>
      <c r="H1764" s="123"/>
      <c r="I1764" s="10"/>
      <c r="J1764" s="10"/>
      <c r="K1764" s="7"/>
      <c r="L1764" s="7"/>
      <c r="M1764" s="7"/>
      <c r="N1764" s="10"/>
      <c r="O1764" s="113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t="15.75" customHeight="1">
      <c r="A1765" s="10"/>
      <c r="B1765" s="7"/>
      <c r="C1765" s="142"/>
      <c r="D1765" s="44"/>
      <c r="E1765" s="35"/>
      <c r="F1765" s="121"/>
      <c r="G1765" s="122"/>
      <c r="H1765" s="123"/>
      <c r="I1765" s="10"/>
      <c r="J1765" s="10"/>
      <c r="K1765" s="7"/>
      <c r="L1765" s="7"/>
      <c r="M1765" s="7"/>
      <c r="N1765" s="10"/>
      <c r="O1765" s="113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t="15.75" customHeight="1">
      <c r="A1766" s="10"/>
      <c r="B1766" s="7"/>
      <c r="C1766" s="142"/>
      <c r="D1766" s="44"/>
      <c r="E1766" s="35"/>
      <c r="F1766" s="121"/>
      <c r="G1766" s="122"/>
      <c r="H1766" s="123"/>
      <c r="I1766" s="10"/>
      <c r="J1766" s="10"/>
      <c r="K1766" s="7"/>
      <c r="L1766" s="7"/>
      <c r="M1766" s="7"/>
      <c r="N1766" s="10"/>
      <c r="O1766" s="113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t="15.75" customHeight="1">
      <c r="A1767" s="10"/>
      <c r="B1767" s="7"/>
      <c r="C1767" s="142"/>
      <c r="D1767" s="44"/>
      <c r="E1767" s="35"/>
      <c r="F1767" s="121"/>
      <c r="G1767" s="122"/>
      <c r="H1767" s="123"/>
      <c r="I1767" s="10"/>
      <c r="J1767" s="10"/>
      <c r="K1767" s="7"/>
      <c r="L1767" s="7"/>
      <c r="M1767" s="7"/>
      <c r="N1767" s="10"/>
      <c r="O1767" s="113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t="15.75" customHeight="1">
      <c r="A1768" s="10"/>
      <c r="B1768" s="7"/>
      <c r="C1768" s="142"/>
      <c r="D1768" s="44"/>
      <c r="E1768" s="35"/>
      <c r="F1768" s="121"/>
      <c r="G1768" s="122"/>
      <c r="H1768" s="123"/>
      <c r="I1768" s="10"/>
      <c r="J1768" s="10"/>
      <c r="K1768" s="7"/>
      <c r="L1768" s="7"/>
      <c r="M1768" s="7"/>
      <c r="N1768" s="10"/>
      <c r="O1768" s="113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t="15.75" customHeight="1">
      <c r="A1769" s="10"/>
      <c r="B1769" s="7"/>
      <c r="C1769" s="142"/>
      <c r="D1769" s="44"/>
      <c r="E1769" s="35"/>
      <c r="F1769" s="121"/>
      <c r="G1769" s="122"/>
      <c r="H1769" s="123"/>
      <c r="I1769" s="10"/>
      <c r="J1769" s="10"/>
      <c r="K1769" s="7"/>
      <c r="L1769" s="7"/>
      <c r="M1769" s="7"/>
      <c r="N1769" s="10"/>
      <c r="O1769" s="113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t="15.75" customHeight="1">
      <c r="A1770" s="10"/>
      <c r="B1770" s="7"/>
      <c r="C1770" s="142"/>
      <c r="D1770" s="44"/>
      <c r="E1770" s="35"/>
      <c r="F1770" s="121"/>
      <c r="G1770" s="122"/>
      <c r="H1770" s="123"/>
      <c r="I1770" s="10"/>
      <c r="J1770" s="10"/>
      <c r="K1770" s="7"/>
      <c r="L1770" s="7"/>
      <c r="M1770" s="7"/>
      <c r="N1770" s="10"/>
      <c r="O1770" s="113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t="15.75" customHeight="1">
      <c r="A1771" s="10"/>
      <c r="B1771" s="7"/>
      <c r="C1771" s="142"/>
      <c r="D1771" s="44"/>
      <c r="E1771" s="35"/>
      <c r="F1771" s="121"/>
      <c r="G1771" s="122"/>
      <c r="H1771" s="123"/>
      <c r="I1771" s="10"/>
      <c r="J1771" s="10"/>
      <c r="K1771" s="7"/>
      <c r="L1771" s="7"/>
      <c r="M1771" s="7"/>
      <c r="N1771" s="10"/>
      <c r="O1771" s="113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t="15.75" customHeight="1">
      <c r="A1772" s="10"/>
      <c r="B1772" s="7"/>
      <c r="C1772" s="142"/>
      <c r="D1772" s="44"/>
      <c r="E1772" s="35"/>
      <c r="F1772" s="121"/>
      <c r="G1772" s="122"/>
      <c r="H1772" s="123"/>
      <c r="I1772" s="10"/>
      <c r="J1772" s="10"/>
      <c r="K1772" s="7"/>
      <c r="L1772" s="7"/>
      <c r="M1772" s="7"/>
      <c r="N1772" s="10"/>
      <c r="O1772" s="113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t="15.75" customHeight="1">
      <c r="A1773" s="10"/>
      <c r="B1773" s="7"/>
      <c r="C1773" s="142"/>
      <c r="D1773" s="44"/>
      <c r="E1773" s="35"/>
      <c r="F1773" s="121"/>
      <c r="G1773" s="122"/>
      <c r="H1773" s="123"/>
      <c r="I1773" s="10"/>
      <c r="J1773" s="10"/>
      <c r="K1773" s="7"/>
      <c r="L1773" s="7"/>
      <c r="M1773" s="7"/>
      <c r="N1773" s="10"/>
      <c r="O1773" s="113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t="15.75" customHeight="1">
      <c r="A1774" s="10"/>
      <c r="B1774" s="7"/>
      <c r="C1774" s="142"/>
      <c r="D1774" s="44"/>
      <c r="E1774" s="35"/>
      <c r="F1774" s="121"/>
      <c r="G1774" s="122"/>
      <c r="H1774" s="123"/>
      <c r="I1774" s="10"/>
      <c r="J1774" s="10"/>
      <c r="K1774" s="7"/>
      <c r="L1774" s="7"/>
      <c r="M1774" s="7"/>
      <c r="N1774" s="10"/>
      <c r="O1774" s="113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t="15.75" customHeight="1">
      <c r="A1775" s="10"/>
      <c r="B1775" s="7"/>
      <c r="C1775" s="142"/>
      <c r="D1775" s="44"/>
      <c r="E1775" s="35"/>
      <c r="F1775" s="121"/>
      <c r="G1775" s="122"/>
      <c r="H1775" s="123"/>
      <c r="I1775" s="10"/>
      <c r="J1775" s="10"/>
      <c r="K1775" s="7"/>
      <c r="L1775" s="7"/>
      <c r="M1775" s="7"/>
      <c r="N1775" s="10"/>
      <c r="O1775" s="113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t="15.75" customHeight="1">
      <c r="A1776" s="10"/>
      <c r="B1776" s="7"/>
      <c r="C1776" s="142"/>
      <c r="D1776" s="44"/>
      <c r="E1776" s="35"/>
      <c r="F1776" s="121"/>
      <c r="G1776" s="122"/>
      <c r="H1776" s="123"/>
      <c r="I1776" s="10"/>
      <c r="J1776" s="10"/>
      <c r="K1776" s="7"/>
      <c r="L1776" s="7"/>
      <c r="M1776" s="7"/>
      <c r="N1776" s="10"/>
      <c r="O1776" s="113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t="15.75" customHeight="1">
      <c r="A1777" s="10"/>
      <c r="B1777" s="7"/>
      <c r="C1777" s="142"/>
      <c r="D1777" s="44"/>
      <c r="E1777" s="35"/>
      <c r="F1777" s="121"/>
      <c r="G1777" s="122"/>
      <c r="H1777" s="123"/>
      <c r="I1777" s="10"/>
      <c r="J1777" s="10"/>
      <c r="K1777" s="7"/>
      <c r="L1777" s="7"/>
      <c r="M1777" s="7"/>
      <c r="N1777" s="10"/>
      <c r="O1777" s="113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t="15.75" customHeight="1">
      <c r="A1778" s="10"/>
      <c r="B1778" s="7"/>
      <c r="C1778" s="142"/>
      <c r="D1778" s="44"/>
      <c r="E1778" s="35"/>
      <c r="F1778" s="121"/>
      <c r="G1778" s="122"/>
      <c r="H1778" s="123"/>
      <c r="I1778" s="10"/>
      <c r="J1778" s="10"/>
      <c r="K1778" s="7"/>
      <c r="L1778" s="7"/>
      <c r="M1778" s="7"/>
      <c r="N1778" s="10"/>
      <c r="O1778" s="113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t="15.75" customHeight="1">
      <c r="A1779" s="10"/>
      <c r="B1779" s="7"/>
      <c r="C1779" s="142"/>
      <c r="D1779" s="44"/>
      <c r="E1779" s="35"/>
      <c r="F1779" s="121"/>
      <c r="G1779" s="122"/>
      <c r="H1779" s="123"/>
      <c r="I1779" s="10"/>
      <c r="J1779" s="10"/>
      <c r="K1779" s="7"/>
      <c r="L1779" s="7"/>
      <c r="M1779" s="7"/>
      <c r="N1779" s="10"/>
      <c r="O1779" s="113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t="15.75" customHeight="1">
      <c r="A1780" s="10"/>
      <c r="B1780" s="7"/>
      <c r="C1780" s="142"/>
      <c r="D1780" s="44"/>
      <c r="E1780" s="35"/>
      <c r="F1780" s="121"/>
      <c r="G1780" s="122"/>
      <c r="H1780" s="123"/>
      <c r="I1780" s="10"/>
      <c r="J1780" s="10"/>
      <c r="K1780" s="7"/>
      <c r="L1780" s="7"/>
      <c r="M1780" s="7"/>
      <c r="N1780" s="10"/>
      <c r="O1780" s="113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t="15.75" customHeight="1">
      <c r="A1781" s="10"/>
      <c r="B1781" s="7"/>
      <c r="C1781" s="135"/>
      <c r="D1781" s="44"/>
      <c r="E1781" s="35"/>
      <c r="F1781" s="121"/>
      <c r="G1781" s="122"/>
      <c r="H1781" s="123"/>
      <c r="I1781" s="10"/>
      <c r="J1781" s="10"/>
      <c r="K1781" s="7"/>
      <c r="L1781" s="7"/>
      <c r="M1781" s="7"/>
      <c r="N1781" s="10"/>
      <c r="O1781" s="113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t="15.75" customHeight="1">
      <c r="A1782" s="10"/>
      <c r="B1782" s="7"/>
      <c r="C1782" s="135"/>
      <c r="D1782" s="44"/>
      <c r="E1782" s="35"/>
      <c r="F1782" s="121"/>
      <c r="G1782" s="122"/>
      <c r="H1782" s="123"/>
      <c r="I1782" s="10"/>
      <c r="J1782" s="10"/>
      <c r="K1782" s="7"/>
      <c r="L1782" s="7"/>
      <c r="M1782" s="7"/>
      <c r="N1782" s="10"/>
      <c r="O1782" s="113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t="15.75" customHeight="1">
      <c r="A1783" s="10"/>
      <c r="B1783" s="7"/>
      <c r="C1783" s="135"/>
      <c r="D1783" s="44"/>
      <c r="E1783" s="35"/>
      <c r="F1783" s="121"/>
      <c r="G1783" s="122"/>
      <c r="H1783" s="123"/>
      <c r="I1783" s="10"/>
      <c r="J1783" s="10"/>
      <c r="K1783" s="7"/>
      <c r="L1783" s="7"/>
      <c r="M1783" s="7"/>
      <c r="N1783" s="10"/>
      <c r="O1783" s="113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t="15.75" customHeight="1">
      <c r="A1784" s="10"/>
      <c r="B1784" s="7"/>
      <c r="C1784" s="135"/>
      <c r="D1784" s="44"/>
      <c r="E1784" s="35"/>
      <c r="F1784" s="121"/>
      <c r="G1784" s="122"/>
      <c r="H1784" s="123"/>
      <c r="I1784" s="10"/>
      <c r="J1784" s="10"/>
      <c r="K1784" s="7"/>
      <c r="L1784" s="7"/>
      <c r="M1784" s="7"/>
      <c r="N1784" s="10"/>
      <c r="O1784" s="113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t="15.75" customHeight="1">
      <c r="A1785" s="10"/>
      <c r="B1785" s="7"/>
      <c r="C1785" s="135"/>
      <c r="D1785" s="44"/>
      <c r="E1785" s="35"/>
      <c r="F1785" s="121"/>
      <c r="G1785" s="122"/>
      <c r="H1785" s="123"/>
      <c r="I1785" s="10"/>
      <c r="J1785" s="10"/>
      <c r="K1785" s="7"/>
      <c r="L1785" s="7"/>
      <c r="M1785" s="7"/>
      <c r="N1785" s="10"/>
      <c r="O1785" s="113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t="15.75" customHeight="1">
      <c r="A1786" s="10"/>
      <c r="B1786" s="7"/>
      <c r="C1786" s="135"/>
      <c r="D1786" s="44"/>
      <c r="E1786" s="35"/>
      <c r="F1786" s="121"/>
      <c r="G1786" s="122"/>
      <c r="H1786" s="123"/>
      <c r="I1786" s="10"/>
      <c r="J1786" s="10"/>
      <c r="K1786" s="7"/>
      <c r="L1786" s="7"/>
      <c r="M1786" s="7"/>
      <c r="N1786" s="10"/>
      <c r="O1786" s="113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t="15.75" customHeight="1">
      <c r="A1787" s="10"/>
      <c r="B1787" s="7"/>
      <c r="C1787" s="135"/>
      <c r="D1787" s="44"/>
      <c r="E1787" s="35"/>
      <c r="F1787" s="121"/>
      <c r="G1787" s="122"/>
      <c r="H1787" s="123"/>
      <c r="I1787" s="10"/>
      <c r="J1787" s="10"/>
      <c r="K1787" s="7"/>
      <c r="L1787" s="7"/>
      <c r="M1787" s="7"/>
      <c r="N1787" s="10"/>
      <c r="O1787" s="113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t="15.75" customHeight="1">
      <c r="A1788" s="10"/>
      <c r="B1788" s="7"/>
      <c r="C1788" s="142"/>
      <c r="D1788" s="44"/>
      <c r="E1788" s="35"/>
      <c r="F1788" s="121"/>
      <c r="G1788" s="122"/>
      <c r="H1788" s="123"/>
      <c r="I1788" s="10"/>
      <c r="J1788" s="10"/>
      <c r="K1788" s="7"/>
      <c r="L1788" s="7"/>
      <c r="M1788" s="7"/>
      <c r="N1788" s="10"/>
      <c r="O1788" s="113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t="15.75" customHeight="1">
      <c r="A1789" s="10"/>
      <c r="B1789" s="7"/>
      <c r="C1789" s="142"/>
      <c r="D1789" s="44"/>
      <c r="E1789" s="35"/>
      <c r="F1789" s="121"/>
      <c r="G1789" s="122"/>
      <c r="H1789" s="123"/>
      <c r="I1789" s="10"/>
      <c r="J1789" s="10"/>
      <c r="K1789" s="7"/>
      <c r="L1789" s="7"/>
      <c r="M1789" s="7"/>
      <c r="N1789" s="10"/>
      <c r="O1789" s="113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t="15.75" customHeight="1">
      <c r="A1790" s="10"/>
      <c r="B1790" s="7"/>
      <c r="C1790" s="142"/>
      <c r="D1790" s="44"/>
      <c r="E1790" s="35"/>
      <c r="F1790" s="121"/>
      <c r="G1790" s="122"/>
      <c r="H1790" s="123"/>
      <c r="I1790" s="10"/>
      <c r="J1790" s="10"/>
      <c r="K1790" s="7"/>
      <c r="L1790" s="7"/>
      <c r="M1790" s="7"/>
      <c r="N1790" s="10"/>
      <c r="O1790" s="113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t="15.75" customHeight="1">
      <c r="A1791" s="10"/>
      <c r="B1791" s="7"/>
      <c r="C1791" s="142"/>
      <c r="D1791" s="44"/>
      <c r="E1791" s="35"/>
      <c r="F1791" s="121"/>
      <c r="G1791" s="122"/>
      <c r="H1791" s="123"/>
      <c r="I1791" s="10"/>
      <c r="J1791" s="10"/>
      <c r="K1791" s="7"/>
      <c r="L1791" s="7"/>
      <c r="M1791" s="7"/>
      <c r="N1791" s="10"/>
      <c r="O1791" s="113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t="15.75" customHeight="1">
      <c r="A1792" s="10"/>
      <c r="B1792" s="7"/>
      <c r="C1792" s="142"/>
      <c r="D1792" s="44"/>
      <c r="E1792" s="35"/>
      <c r="F1792" s="121"/>
      <c r="G1792" s="122"/>
      <c r="H1792" s="123"/>
      <c r="I1792" s="10"/>
      <c r="J1792" s="10"/>
      <c r="K1792" s="7"/>
      <c r="L1792" s="7"/>
      <c r="M1792" s="7"/>
      <c r="N1792" s="10"/>
      <c r="O1792" s="113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t="15.75" customHeight="1">
      <c r="A1793" s="10"/>
      <c r="B1793" s="7"/>
      <c r="C1793" s="142"/>
      <c r="D1793" s="44"/>
      <c r="E1793" s="35"/>
      <c r="F1793" s="121"/>
      <c r="G1793" s="122"/>
      <c r="H1793" s="123"/>
      <c r="I1793" s="10"/>
      <c r="J1793" s="10"/>
      <c r="K1793" s="7"/>
      <c r="L1793" s="7"/>
      <c r="M1793" s="7"/>
      <c r="N1793" s="10"/>
      <c r="O1793" s="113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t="15.75" customHeight="1">
      <c r="A1794" s="10"/>
      <c r="B1794" s="7"/>
      <c r="C1794" s="142"/>
      <c r="D1794" s="44"/>
      <c r="E1794" s="35"/>
      <c r="F1794" s="121"/>
      <c r="G1794" s="122"/>
      <c r="H1794" s="123"/>
      <c r="I1794" s="10"/>
      <c r="J1794" s="10"/>
      <c r="K1794" s="7"/>
      <c r="L1794" s="7"/>
      <c r="M1794" s="7"/>
      <c r="N1794" s="10"/>
      <c r="O1794" s="113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t="15.75" customHeight="1">
      <c r="A1795" s="10"/>
      <c r="B1795" s="7"/>
      <c r="C1795" s="142"/>
      <c r="D1795" s="44"/>
      <c r="E1795" s="35"/>
      <c r="F1795" s="121"/>
      <c r="G1795" s="122"/>
      <c r="H1795" s="123"/>
      <c r="I1795" s="10"/>
      <c r="J1795" s="10"/>
      <c r="K1795" s="7"/>
      <c r="L1795" s="7"/>
      <c r="M1795" s="7"/>
      <c r="N1795" s="10"/>
      <c r="O1795" s="113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t="15.75" customHeight="1">
      <c r="A1796" s="10"/>
      <c r="B1796" s="7"/>
      <c r="C1796" s="142"/>
      <c r="D1796" s="44"/>
      <c r="E1796" s="35"/>
      <c r="F1796" s="121"/>
      <c r="G1796" s="122"/>
      <c r="H1796" s="123"/>
      <c r="I1796" s="10"/>
      <c r="J1796" s="10"/>
      <c r="K1796" s="7"/>
      <c r="L1796" s="7"/>
      <c r="M1796" s="7"/>
      <c r="N1796" s="10"/>
      <c r="O1796" s="113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t="15.75" customHeight="1">
      <c r="A1797" s="10"/>
      <c r="B1797" s="7"/>
      <c r="C1797" s="142"/>
      <c r="D1797" s="44"/>
      <c r="E1797" s="35"/>
      <c r="F1797" s="121"/>
      <c r="G1797" s="122"/>
      <c r="H1797" s="123"/>
      <c r="I1797" s="10"/>
      <c r="J1797" s="10"/>
      <c r="K1797" s="7"/>
      <c r="L1797" s="7"/>
      <c r="M1797" s="7"/>
      <c r="N1797" s="10"/>
      <c r="O1797" s="113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t="15.75" customHeight="1">
      <c r="A1798" s="10"/>
      <c r="B1798" s="7"/>
      <c r="C1798" s="142"/>
      <c r="D1798" s="44"/>
      <c r="E1798" s="35"/>
      <c r="F1798" s="121"/>
      <c r="G1798" s="122"/>
      <c r="H1798" s="123"/>
      <c r="I1798" s="10"/>
      <c r="J1798" s="10"/>
      <c r="K1798" s="7"/>
      <c r="L1798" s="7"/>
      <c r="M1798" s="7"/>
      <c r="N1798" s="10"/>
      <c r="O1798" s="113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t="15.75" customHeight="1">
      <c r="A1799" s="10"/>
      <c r="B1799" s="7"/>
      <c r="C1799" s="142"/>
      <c r="D1799" s="44"/>
      <c r="E1799" s="35"/>
      <c r="F1799" s="121"/>
      <c r="G1799" s="122"/>
      <c r="H1799" s="123"/>
      <c r="I1799" s="10"/>
      <c r="J1799" s="10"/>
      <c r="K1799" s="7"/>
      <c r="L1799" s="7"/>
      <c r="M1799" s="7"/>
      <c r="N1799" s="10"/>
      <c r="O1799" s="113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t="15.75" customHeight="1">
      <c r="A1800" s="10"/>
      <c r="B1800" s="7"/>
      <c r="C1800" s="142"/>
      <c r="D1800" s="44"/>
      <c r="E1800" s="35"/>
      <c r="F1800" s="121"/>
      <c r="G1800" s="122"/>
      <c r="H1800" s="123"/>
      <c r="I1800" s="10"/>
      <c r="J1800" s="10"/>
      <c r="K1800" s="7"/>
      <c r="L1800" s="7"/>
      <c r="M1800" s="7"/>
      <c r="N1800" s="10"/>
      <c r="O1800" s="113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t="15.75" customHeight="1">
      <c r="A1801" s="10"/>
      <c r="B1801" s="7"/>
      <c r="C1801" s="142"/>
      <c r="D1801" s="44"/>
      <c r="E1801" s="35"/>
      <c r="F1801" s="121"/>
      <c r="G1801" s="122"/>
      <c r="H1801" s="123"/>
      <c r="I1801" s="10"/>
      <c r="J1801" s="10"/>
      <c r="K1801" s="7"/>
      <c r="L1801" s="7"/>
      <c r="M1801" s="7"/>
      <c r="N1801" s="10"/>
      <c r="O1801" s="113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t="15.75" customHeight="1">
      <c r="A1802" s="10"/>
      <c r="B1802" s="7"/>
      <c r="C1802" s="142"/>
      <c r="D1802" s="44"/>
      <c r="E1802" s="35"/>
      <c r="F1802" s="121"/>
      <c r="G1802" s="122"/>
      <c r="H1802" s="123"/>
      <c r="I1802" s="10"/>
      <c r="J1802" s="10"/>
      <c r="K1802" s="7"/>
      <c r="L1802" s="7"/>
      <c r="M1802" s="7"/>
      <c r="N1802" s="10"/>
      <c r="O1802" s="113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t="15.75" customHeight="1">
      <c r="A1803" s="10"/>
      <c r="B1803" s="7"/>
      <c r="C1803" s="142"/>
      <c r="D1803" s="44"/>
      <c r="E1803" s="35"/>
      <c r="F1803" s="121"/>
      <c r="G1803" s="122"/>
      <c r="H1803" s="123"/>
      <c r="I1803" s="10"/>
      <c r="J1803" s="10"/>
      <c r="K1803" s="7"/>
      <c r="L1803" s="7"/>
      <c r="M1803" s="7"/>
      <c r="N1803" s="10"/>
      <c r="O1803" s="113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t="15.75" customHeight="1">
      <c r="A1804" s="10"/>
      <c r="B1804" s="7"/>
      <c r="C1804" s="142"/>
      <c r="D1804" s="44"/>
      <c r="E1804" s="35"/>
      <c r="F1804" s="121"/>
      <c r="G1804" s="122"/>
      <c r="H1804" s="123"/>
      <c r="I1804" s="10"/>
      <c r="J1804" s="10"/>
      <c r="K1804" s="7"/>
      <c r="L1804" s="7"/>
      <c r="M1804" s="7"/>
      <c r="N1804" s="10"/>
      <c r="O1804" s="113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t="15.75" customHeight="1">
      <c r="A1805" s="10"/>
      <c r="B1805" s="7"/>
      <c r="C1805" s="142"/>
      <c r="D1805" s="44"/>
      <c r="E1805" s="35"/>
      <c r="F1805" s="121"/>
      <c r="G1805" s="122"/>
      <c r="H1805" s="123"/>
      <c r="I1805" s="10"/>
      <c r="J1805" s="10"/>
      <c r="K1805" s="7"/>
      <c r="L1805" s="7"/>
      <c r="M1805" s="7"/>
      <c r="N1805" s="10"/>
      <c r="O1805" s="113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t="15.75" customHeight="1">
      <c r="A1806" s="10"/>
      <c r="B1806" s="7"/>
      <c r="C1806" s="142"/>
      <c r="D1806" s="44"/>
      <c r="E1806" s="35"/>
      <c r="F1806" s="121"/>
      <c r="G1806" s="122"/>
      <c r="H1806" s="123"/>
      <c r="I1806" s="10"/>
      <c r="J1806" s="10"/>
      <c r="K1806" s="7"/>
      <c r="L1806" s="7"/>
      <c r="M1806" s="7"/>
      <c r="N1806" s="10"/>
      <c r="O1806" s="113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t="15.75" customHeight="1">
      <c r="A1807" s="10"/>
      <c r="B1807" s="7"/>
      <c r="C1807" s="142"/>
      <c r="D1807" s="44"/>
      <c r="E1807" s="35"/>
      <c r="F1807" s="121"/>
      <c r="G1807" s="122"/>
      <c r="H1807" s="123"/>
      <c r="I1807" s="10"/>
      <c r="J1807" s="10"/>
      <c r="K1807" s="7"/>
      <c r="L1807" s="7"/>
      <c r="M1807" s="7"/>
      <c r="N1807" s="10"/>
      <c r="O1807" s="113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t="15.75" customHeight="1">
      <c r="A1808" s="10"/>
      <c r="B1808" s="7"/>
      <c r="C1808" s="142"/>
      <c r="D1808" s="44"/>
      <c r="E1808" s="35"/>
      <c r="F1808" s="121"/>
      <c r="G1808" s="122"/>
      <c r="H1808" s="123"/>
      <c r="I1808" s="10"/>
      <c r="J1808" s="10"/>
      <c r="K1808" s="7"/>
      <c r="L1808" s="7"/>
      <c r="M1808" s="7"/>
      <c r="N1808" s="10"/>
      <c r="O1808" s="113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t="15.75" customHeight="1">
      <c r="A1809" s="10"/>
      <c r="B1809" s="7"/>
      <c r="C1809" s="135"/>
      <c r="D1809" s="44"/>
      <c r="E1809" s="35"/>
      <c r="F1809" s="121"/>
      <c r="G1809" s="122"/>
      <c r="H1809" s="123"/>
      <c r="I1809" s="10"/>
      <c r="J1809" s="10"/>
      <c r="K1809" s="7"/>
      <c r="L1809" s="7"/>
      <c r="M1809" s="7"/>
      <c r="N1809" s="10"/>
      <c r="O1809" s="113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t="15.75" customHeight="1">
      <c r="A1810" s="10"/>
      <c r="B1810" s="7"/>
      <c r="C1810" s="135"/>
      <c r="D1810" s="44"/>
      <c r="E1810" s="35"/>
      <c r="F1810" s="121"/>
      <c r="G1810" s="122"/>
      <c r="H1810" s="123"/>
      <c r="I1810" s="10"/>
      <c r="J1810" s="10"/>
      <c r="K1810" s="7"/>
      <c r="L1810" s="7"/>
      <c r="M1810" s="7"/>
      <c r="N1810" s="10"/>
      <c r="O1810" s="113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t="15.75" customHeight="1">
      <c r="A1811" s="10"/>
      <c r="B1811" s="7"/>
      <c r="C1811" s="135"/>
      <c r="D1811" s="44"/>
      <c r="E1811" s="35"/>
      <c r="F1811" s="121"/>
      <c r="G1811" s="122"/>
      <c r="H1811" s="123"/>
      <c r="I1811" s="10"/>
      <c r="J1811" s="10"/>
      <c r="K1811" s="7"/>
      <c r="L1811" s="7"/>
      <c r="M1811" s="7"/>
      <c r="N1811" s="10"/>
      <c r="O1811" s="113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t="15.75" customHeight="1">
      <c r="A1812" s="10"/>
      <c r="B1812" s="7"/>
      <c r="C1812" s="135"/>
      <c r="D1812" s="44"/>
      <c r="E1812" s="35"/>
      <c r="F1812" s="121"/>
      <c r="G1812" s="122"/>
      <c r="H1812" s="123"/>
      <c r="I1812" s="10"/>
      <c r="J1812" s="10"/>
      <c r="K1812" s="7"/>
      <c r="L1812" s="7"/>
      <c r="M1812" s="7"/>
      <c r="N1812" s="10"/>
      <c r="O1812" s="113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t="15.75" customHeight="1">
      <c r="A1813" s="10"/>
      <c r="B1813" s="7"/>
      <c r="C1813" s="135"/>
      <c r="D1813" s="44"/>
      <c r="E1813" s="35"/>
      <c r="F1813" s="121"/>
      <c r="G1813" s="122"/>
      <c r="H1813" s="123"/>
      <c r="I1813" s="10"/>
      <c r="J1813" s="10"/>
      <c r="K1813" s="7"/>
      <c r="L1813" s="7"/>
      <c r="M1813" s="7"/>
      <c r="N1813" s="10"/>
      <c r="O1813" s="113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t="15.75" customHeight="1">
      <c r="A1814" s="10"/>
      <c r="B1814" s="7"/>
      <c r="C1814" s="135"/>
      <c r="D1814" s="44"/>
      <c r="E1814" s="35"/>
      <c r="F1814" s="121"/>
      <c r="G1814" s="122"/>
      <c r="H1814" s="123"/>
      <c r="I1814" s="10"/>
      <c r="J1814" s="10"/>
      <c r="K1814" s="7"/>
      <c r="L1814" s="7"/>
      <c r="M1814" s="7"/>
      <c r="N1814" s="10"/>
      <c r="O1814" s="113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t="15.75" customHeight="1">
      <c r="A1815" s="10"/>
      <c r="B1815" s="7"/>
      <c r="C1815" s="142"/>
      <c r="D1815" s="44"/>
      <c r="E1815" s="35"/>
      <c r="F1815" s="121"/>
      <c r="G1815" s="122"/>
      <c r="H1815" s="123"/>
      <c r="I1815" s="10"/>
      <c r="J1815" s="10"/>
      <c r="K1815" s="7"/>
      <c r="L1815" s="7"/>
      <c r="M1815" s="7"/>
      <c r="N1815" s="10"/>
      <c r="O1815" s="113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t="15.75" customHeight="1">
      <c r="A1816" s="10"/>
      <c r="B1816" s="7"/>
      <c r="C1816" s="142"/>
      <c r="D1816" s="44"/>
      <c r="E1816" s="35"/>
      <c r="F1816" s="121"/>
      <c r="G1816" s="122"/>
      <c r="H1816" s="123"/>
      <c r="I1816" s="10"/>
      <c r="J1816" s="10"/>
      <c r="K1816" s="7"/>
      <c r="L1816" s="7"/>
      <c r="M1816" s="7"/>
      <c r="N1816" s="10"/>
      <c r="O1816" s="113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t="15.75" customHeight="1">
      <c r="A1817" s="10"/>
      <c r="B1817" s="7"/>
      <c r="C1817" s="142"/>
      <c r="D1817" s="44"/>
      <c r="E1817" s="35"/>
      <c r="F1817" s="121"/>
      <c r="G1817" s="122"/>
      <c r="H1817" s="123"/>
      <c r="I1817" s="10"/>
      <c r="J1817" s="10"/>
      <c r="K1817" s="7"/>
      <c r="L1817" s="7"/>
      <c r="M1817" s="7"/>
      <c r="N1817" s="10"/>
      <c r="O1817" s="113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t="15.75" customHeight="1">
      <c r="A1818" s="10"/>
      <c r="B1818" s="7"/>
      <c r="C1818" s="142"/>
      <c r="D1818" s="44"/>
      <c r="E1818" s="35"/>
      <c r="F1818" s="121"/>
      <c r="G1818" s="122"/>
      <c r="H1818" s="123"/>
      <c r="I1818" s="10"/>
      <c r="J1818" s="10"/>
      <c r="K1818" s="7"/>
      <c r="L1818" s="7"/>
      <c r="M1818" s="7"/>
      <c r="N1818" s="10"/>
      <c r="O1818" s="113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t="15.75" customHeight="1">
      <c r="A1819" s="10"/>
      <c r="B1819" s="7"/>
      <c r="C1819" s="142"/>
      <c r="D1819" s="44"/>
      <c r="E1819" s="35"/>
      <c r="F1819" s="121"/>
      <c r="G1819" s="122"/>
      <c r="H1819" s="123"/>
      <c r="I1819" s="10"/>
      <c r="J1819" s="10"/>
      <c r="K1819" s="7"/>
      <c r="L1819" s="7"/>
      <c r="M1819" s="7"/>
      <c r="N1819" s="10"/>
      <c r="O1819" s="113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t="15.75" customHeight="1">
      <c r="A1820" s="10"/>
      <c r="B1820" s="7"/>
      <c r="C1820" s="142"/>
      <c r="D1820" s="44"/>
      <c r="E1820" s="35"/>
      <c r="F1820" s="121"/>
      <c r="G1820" s="122"/>
      <c r="H1820" s="123"/>
      <c r="I1820" s="10"/>
      <c r="J1820" s="10"/>
      <c r="K1820" s="7"/>
      <c r="L1820" s="7"/>
      <c r="M1820" s="7"/>
      <c r="N1820" s="10"/>
      <c r="O1820" s="113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t="15.75" customHeight="1">
      <c r="A1821" s="10"/>
      <c r="B1821" s="7"/>
      <c r="C1821" s="142"/>
      <c r="D1821" s="44"/>
      <c r="E1821" s="35"/>
      <c r="F1821" s="121"/>
      <c r="G1821" s="122"/>
      <c r="H1821" s="123"/>
      <c r="I1821" s="10"/>
      <c r="J1821" s="10"/>
      <c r="K1821" s="7"/>
      <c r="L1821" s="7"/>
      <c r="M1821" s="7"/>
      <c r="N1821" s="10"/>
      <c r="O1821" s="113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t="15.75" customHeight="1">
      <c r="A1822" s="10"/>
      <c r="B1822" s="7"/>
      <c r="C1822" s="142"/>
      <c r="D1822" s="44"/>
      <c r="E1822" s="35"/>
      <c r="F1822" s="121"/>
      <c r="G1822" s="122"/>
      <c r="H1822" s="123"/>
      <c r="I1822" s="10"/>
      <c r="J1822" s="10"/>
      <c r="K1822" s="7"/>
      <c r="L1822" s="7"/>
      <c r="M1822" s="7"/>
      <c r="N1822" s="10"/>
      <c r="O1822" s="113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t="15.75" customHeight="1">
      <c r="A1823" s="10"/>
      <c r="B1823" s="7"/>
      <c r="C1823" s="142"/>
      <c r="D1823" s="44"/>
      <c r="E1823" s="35"/>
      <c r="F1823" s="121"/>
      <c r="G1823" s="122"/>
      <c r="H1823" s="123"/>
      <c r="I1823" s="10"/>
      <c r="J1823" s="10"/>
      <c r="K1823" s="7"/>
      <c r="L1823" s="7"/>
      <c r="M1823" s="7"/>
      <c r="N1823" s="10"/>
      <c r="O1823" s="113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t="15.75" customHeight="1">
      <c r="A1824" s="10"/>
      <c r="B1824" s="7"/>
      <c r="C1824" s="142"/>
      <c r="D1824" s="44"/>
      <c r="E1824" s="35"/>
      <c r="F1824" s="121"/>
      <c r="G1824" s="122"/>
      <c r="H1824" s="123"/>
      <c r="I1824" s="10"/>
      <c r="J1824" s="10"/>
      <c r="K1824" s="7"/>
      <c r="L1824" s="7"/>
      <c r="M1824" s="7"/>
      <c r="N1824" s="10"/>
      <c r="O1824" s="113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t="15.75" customHeight="1">
      <c r="A1825" s="10"/>
      <c r="B1825" s="7"/>
      <c r="C1825" s="142"/>
      <c r="D1825" s="44"/>
      <c r="E1825" s="35"/>
      <c r="F1825" s="121"/>
      <c r="G1825" s="122"/>
      <c r="H1825" s="123"/>
      <c r="I1825" s="10"/>
      <c r="J1825" s="10"/>
      <c r="K1825" s="7"/>
      <c r="L1825" s="7"/>
      <c r="M1825" s="7"/>
      <c r="N1825" s="10"/>
      <c r="O1825" s="113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t="15.75" customHeight="1">
      <c r="A1826" s="10"/>
      <c r="B1826" s="7"/>
      <c r="C1826" s="142"/>
      <c r="D1826" s="44"/>
      <c r="E1826" s="35"/>
      <c r="F1826" s="121"/>
      <c r="G1826" s="122"/>
      <c r="H1826" s="123"/>
      <c r="I1826" s="10"/>
      <c r="J1826" s="10"/>
      <c r="K1826" s="7"/>
      <c r="L1826" s="7"/>
      <c r="M1826" s="7"/>
      <c r="N1826" s="10"/>
      <c r="O1826" s="113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t="15.75" customHeight="1">
      <c r="A1827" s="10"/>
      <c r="B1827" s="7"/>
      <c r="C1827" s="142"/>
      <c r="D1827" s="44"/>
      <c r="E1827" s="35"/>
      <c r="F1827" s="121"/>
      <c r="G1827" s="122"/>
      <c r="H1827" s="123"/>
      <c r="I1827" s="10"/>
      <c r="J1827" s="10"/>
      <c r="K1827" s="7"/>
      <c r="L1827" s="7"/>
      <c r="M1827" s="7"/>
      <c r="N1827" s="10"/>
      <c r="O1827" s="113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t="15.75" customHeight="1">
      <c r="A1828" s="10"/>
      <c r="B1828" s="7"/>
      <c r="C1828" s="142"/>
      <c r="D1828" s="44"/>
      <c r="E1828" s="35"/>
      <c r="F1828" s="121"/>
      <c r="G1828" s="122"/>
      <c r="H1828" s="123"/>
      <c r="I1828" s="10"/>
      <c r="J1828" s="10"/>
      <c r="K1828" s="7"/>
      <c r="L1828" s="7"/>
      <c r="M1828" s="7"/>
      <c r="N1828" s="10"/>
      <c r="O1828" s="113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t="15.75" customHeight="1">
      <c r="A1829" s="10"/>
      <c r="B1829" s="7"/>
      <c r="C1829" s="142"/>
      <c r="D1829" s="44"/>
      <c r="E1829" s="35"/>
      <c r="F1829" s="121"/>
      <c r="G1829" s="122"/>
      <c r="H1829" s="123"/>
      <c r="I1829" s="10"/>
      <c r="J1829" s="10"/>
      <c r="K1829" s="7"/>
      <c r="L1829" s="7"/>
      <c r="M1829" s="7"/>
      <c r="N1829" s="10"/>
      <c r="O1829" s="113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t="15.75" customHeight="1">
      <c r="A1830" s="10"/>
      <c r="B1830" s="7"/>
      <c r="C1830" s="142"/>
      <c r="D1830" s="44"/>
      <c r="E1830" s="35"/>
      <c r="F1830" s="121"/>
      <c r="G1830" s="122"/>
      <c r="H1830" s="123"/>
      <c r="I1830" s="10"/>
      <c r="J1830" s="10"/>
      <c r="K1830" s="7"/>
      <c r="L1830" s="7"/>
      <c r="M1830" s="7"/>
      <c r="N1830" s="10"/>
      <c r="O1830" s="113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t="15.75" customHeight="1">
      <c r="A1831" s="10"/>
      <c r="B1831" s="7"/>
      <c r="C1831" s="142"/>
      <c r="D1831" s="44"/>
      <c r="E1831" s="35"/>
      <c r="F1831" s="121"/>
      <c r="G1831" s="122"/>
      <c r="H1831" s="123"/>
      <c r="I1831" s="10"/>
      <c r="J1831" s="10"/>
      <c r="K1831" s="7"/>
      <c r="L1831" s="7"/>
      <c r="M1831" s="7"/>
      <c r="N1831" s="10"/>
      <c r="O1831" s="113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t="15.75" customHeight="1">
      <c r="A1832" s="10"/>
      <c r="B1832" s="7"/>
      <c r="C1832" s="142"/>
      <c r="D1832" s="44"/>
      <c r="E1832" s="35"/>
      <c r="F1832" s="121"/>
      <c r="G1832" s="122"/>
      <c r="H1832" s="123"/>
      <c r="I1832" s="10"/>
      <c r="J1832" s="10"/>
      <c r="K1832" s="7"/>
      <c r="L1832" s="7"/>
      <c r="M1832" s="7"/>
      <c r="N1832" s="10"/>
      <c r="O1832" s="113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t="15.75" customHeight="1">
      <c r="A1833" s="10"/>
      <c r="B1833" s="7"/>
      <c r="C1833" s="142"/>
      <c r="D1833" s="44"/>
      <c r="E1833" s="35"/>
      <c r="F1833" s="121"/>
      <c r="G1833" s="122"/>
      <c r="H1833" s="123"/>
      <c r="I1833" s="10"/>
      <c r="J1833" s="10"/>
      <c r="K1833" s="7"/>
      <c r="L1833" s="7"/>
      <c r="M1833" s="7"/>
      <c r="N1833" s="10"/>
      <c r="O1833" s="113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t="15.75" customHeight="1">
      <c r="A1834" s="10"/>
      <c r="B1834" s="7"/>
      <c r="C1834" s="142"/>
      <c r="D1834" s="44"/>
      <c r="E1834" s="35"/>
      <c r="F1834" s="121"/>
      <c r="G1834" s="122"/>
      <c r="H1834" s="123"/>
      <c r="I1834" s="10"/>
      <c r="J1834" s="10"/>
      <c r="K1834" s="7"/>
      <c r="L1834" s="7"/>
      <c r="M1834" s="7"/>
      <c r="N1834" s="10"/>
      <c r="O1834" s="113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t="15.75" customHeight="1">
      <c r="A1835" s="10"/>
      <c r="B1835" s="7"/>
      <c r="C1835" s="142"/>
      <c r="D1835" s="44"/>
      <c r="E1835" s="35"/>
      <c r="F1835" s="121"/>
      <c r="G1835" s="122"/>
      <c r="H1835" s="123"/>
      <c r="I1835" s="10"/>
      <c r="J1835" s="10"/>
      <c r="K1835" s="7"/>
      <c r="L1835" s="7"/>
      <c r="M1835" s="7"/>
      <c r="N1835" s="10"/>
      <c r="O1835" s="113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t="15.75" customHeight="1">
      <c r="A1836" s="10"/>
      <c r="B1836" s="7"/>
      <c r="C1836" s="142"/>
      <c r="D1836" s="44"/>
      <c r="E1836" s="35"/>
      <c r="F1836" s="121"/>
      <c r="G1836" s="122"/>
      <c r="H1836" s="123"/>
      <c r="I1836" s="10"/>
      <c r="J1836" s="10"/>
      <c r="K1836" s="7"/>
      <c r="L1836" s="7"/>
      <c r="M1836" s="7"/>
      <c r="N1836" s="10"/>
      <c r="O1836" s="113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t="15.75" customHeight="1">
      <c r="A1837" s="10"/>
      <c r="B1837" s="7"/>
      <c r="C1837" s="142"/>
      <c r="D1837" s="44"/>
      <c r="E1837" s="35"/>
      <c r="F1837" s="121"/>
      <c r="G1837" s="122"/>
      <c r="H1837" s="123"/>
      <c r="I1837" s="10"/>
      <c r="J1837" s="10"/>
      <c r="K1837" s="7"/>
      <c r="L1837" s="7"/>
      <c r="M1837" s="7"/>
      <c r="N1837" s="10"/>
      <c r="O1837" s="113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t="15.75" customHeight="1">
      <c r="A1838" s="10"/>
      <c r="B1838" s="7"/>
      <c r="C1838" s="142"/>
      <c r="D1838" s="44"/>
      <c r="E1838" s="35"/>
      <c r="F1838" s="121"/>
      <c r="G1838" s="122"/>
      <c r="H1838" s="123"/>
      <c r="I1838" s="10"/>
      <c r="J1838" s="10"/>
      <c r="K1838" s="7"/>
      <c r="L1838" s="7"/>
      <c r="M1838" s="7"/>
      <c r="N1838" s="10"/>
      <c r="O1838" s="113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t="15.75" customHeight="1">
      <c r="A1839" s="10"/>
      <c r="B1839" s="7"/>
      <c r="C1839" s="142"/>
      <c r="D1839" s="44"/>
      <c r="E1839" s="35"/>
      <c r="F1839" s="121"/>
      <c r="G1839" s="122"/>
      <c r="H1839" s="123"/>
      <c r="I1839" s="10"/>
      <c r="J1839" s="10"/>
      <c r="K1839" s="7"/>
      <c r="L1839" s="7"/>
      <c r="M1839" s="7"/>
      <c r="N1839" s="10"/>
      <c r="O1839" s="113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t="15.75" customHeight="1">
      <c r="A1840" s="10"/>
      <c r="B1840" s="7"/>
      <c r="C1840" s="142"/>
      <c r="D1840" s="44"/>
      <c r="E1840" s="35"/>
      <c r="F1840" s="121"/>
      <c r="G1840" s="122"/>
      <c r="H1840" s="123"/>
      <c r="I1840" s="10"/>
      <c r="J1840" s="10"/>
      <c r="K1840" s="7"/>
      <c r="L1840" s="7"/>
      <c r="M1840" s="7"/>
      <c r="N1840" s="10"/>
      <c r="O1840" s="113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t="15.75" customHeight="1">
      <c r="A1841" s="10"/>
      <c r="B1841" s="7"/>
      <c r="C1841" s="142"/>
      <c r="D1841" s="44"/>
      <c r="E1841" s="35"/>
      <c r="F1841" s="121"/>
      <c r="G1841" s="122"/>
      <c r="H1841" s="123"/>
      <c r="I1841" s="10"/>
      <c r="J1841" s="10"/>
      <c r="K1841" s="7"/>
      <c r="L1841" s="7"/>
      <c r="M1841" s="7"/>
      <c r="N1841" s="10"/>
      <c r="O1841" s="113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t="15.75" customHeight="1">
      <c r="A1842" s="10"/>
      <c r="B1842" s="7"/>
      <c r="C1842" s="142"/>
      <c r="D1842" s="44"/>
      <c r="E1842" s="35"/>
      <c r="F1842" s="121"/>
      <c r="G1842" s="122"/>
      <c r="H1842" s="123"/>
      <c r="I1842" s="10"/>
      <c r="J1842" s="10"/>
      <c r="K1842" s="7"/>
      <c r="L1842" s="7"/>
      <c r="M1842" s="7"/>
      <c r="N1842" s="10"/>
      <c r="O1842" s="113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t="15.75" customHeight="1">
      <c r="A1843" s="10"/>
      <c r="B1843" s="7"/>
      <c r="C1843" s="142"/>
      <c r="D1843" s="44"/>
      <c r="E1843" s="35"/>
      <c r="F1843" s="121"/>
      <c r="G1843" s="122"/>
      <c r="H1843" s="123"/>
      <c r="I1843" s="10"/>
      <c r="J1843" s="10"/>
      <c r="K1843" s="7"/>
      <c r="L1843" s="7"/>
      <c r="M1843" s="7"/>
      <c r="N1843" s="10"/>
      <c r="O1843" s="113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t="15.75" customHeight="1">
      <c r="A1844" s="10"/>
      <c r="B1844" s="7"/>
      <c r="C1844" s="142"/>
      <c r="D1844" s="44"/>
      <c r="E1844" s="35"/>
      <c r="F1844" s="121"/>
      <c r="G1844" s="122"/>
      <c r="H1844" s="123"/>
      <c r="I1844" s="10"/>
      <c r="J1844" s="10"/>
      <c r="K1844" s="7"/>
      <c r="L1844" s="7"/>
      <c r="M1844" s="7"/>
      <c r="N1844" s="10"/>
      <c r="O1844" s="113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t="15.75" customHeight="1">
      <c r="A1845" s="10"/>
      <c r="B1845" s="7"/>
      <c r="C1845" s="142"/>
      <c r="D1845" s="44"/>
      <c r="E1845" s="35"/>
      <c r="F1845" s="121"/>
      <c r="G1845" s="122"/>
      <c r="H1845" s="123"/>
      <c r="I1845" s="10"/>
      <c r="J1845" s="10"/>
      <c r="K1845" s="7"/>
      <c r="L1845" s="7"/>
      <c r="M1845" s="7"/>
      <c r="N1845" s="10"/>
      <c r="O1845" s="113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t="15.75" customHeight="1">
      <c r="A1846" s="10"/>
      <c r="B1846" s="7"/>
      <c r="C1846" s="142"/>
      <c r="D1846" s="44"/>
      <c r="E1846" s="35"/>
      <c r="F1846" s="121"/>
      <c r="G1846" s="122"/>
      <c r="H1846" s="123"/>
      <c r="I1846" s="10"/>
      <c r="J1846" s="10"/>
      <c r="K1846" s="7"/>
      <c r="L1846" s="7"/>
      <c r="M1846" s="7"/>
      <c r="N1846" s="10"/>
      <c r="O1846" s="113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t="15.75" customHeight="1">
      <c r="A1847" s="10"/>
      <c r="B1847" s="7"/>
      <c r="C1847" s="142"/>
      <c r="D1847" s="44"/>
      <c r="E1847" s="35"/>
      <c r="F1847" s="121"/>
      <c r="G1847" s="122"/>
      <c r="H1847" s="123"/>
      <c r="I1847" s="10"/>
      <c r="J1847" s="10"/>
      <c r="K1847" s="7"/>
      <c r="L1847" s="7"/>
      <c r="M1847" s="7"/>
      <c r="N1847" s="10"/>
      <c r="O1847" s="113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t="15.75" customHeight="1">
      <c r="A1848" s="10"/>
      <c r="B1848" s="7"/>
      <c r="C1848" s="135"/>
      <c r="D1848" s="44"/>
      <c r="E1848" s="35"/>
      <c r="F1848" s="121"/>
      <c r="G1848" s="122"/>
      <c r="H1848" s="123"/>
      <c r="I1848" s="10"/>
      <c r="J1848" s="10"/>
      <c r="K1848" s="7"/>
      <c r="L1848" s="7"/>
      <c r="M1848" s="7"/>
      <c r="N1848" s="10"/>
      <c r="O1848" s="113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t="15.75" customHeight="1">
      <c r="A1849" s="10"/>
      <c r="B1849" s="7"/>
      <c r="C1849" s="135"/>
      <c r="D1849" s="44"/>
      <c r="E1849" s="35"/>
      <c r="F1849" s="121"/>
      <c r="G1849" s="122"/>
      <c r="H1849" s="123"/>
      <c r="I1849" s="10"/>
      <c r="J1849" s="10"/>
      <c r="K1849" s="7"/>
      <c r="L1849" s="7"/>
      <c r="M1849" s="7"/>
      <c r="N1849" s="10"/>
      <c r="O1849" s="113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t="15.75" customHeight="1">
      <c r="A1850" s="10"/>
      <c r="B1850" s="7"/>
      <c r="C1850" s="135"/>
      <c r="D1850" s="44"/>
      <c r="E1850" s="35"/>
      <c r="F1850" s="121"/>
      <c r="G1850" s="122"/>
      <c r="H1850" s="123"/>
      <c r="I1850" s="10"/>
      <c r="J1850" s="10"/>
      <c r="K1850" s="7"/>
      <c r="L1850" s="7"/>
      <c r="M1850" s="7"/>
      <c r="N1850" s="10"/>
      <c r="O1850" s="113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t="15.75" customHeight="1">
      <c r="A1851" s="10"/>
      <c r="B1851" s="7"/>
      <c r="C1851" s="135"/>
      <c r="D1851" s="44"/>
      <c r="E1851" s="35"/>
      <c r="F1851" s="121"/>
      <c r="G1851" s="122"/>
      <c r="H1851" s="123"/>
      <c r="I1851" s="10"/>
      <c r="J1851" s="10"/>
      <c r="K1851" s="7"/>
      <c r="L1851" s="7"/>
      <c r="M1851" s="7"/>
      <c r="N1851" s="10"/>
      <c r="O1851" s="113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t="15.75" customHeight="1">
      <c r="A1852" s="10"/>
      <c r="B1852" s="7"/>
      <c r="C1852" s="135"/>
      <c r="D1852" s="44"/>
      <c r="E1852" s="35"/>
      <c r="F1852" s="121"/>
      <c r="G1852" s="122"/>
      <c r="H1852" s="123"/>
      <c r="I1852" s="10"/>
      <c r="J1852" s="10"/>
      <c r="K1852" s="7"/>
      <c r="L1852" s="7"/>
      <c r="M1852" s="7"/>
      <c r="N1852" s="10"/>
      <c r="O1852" s="113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t="15.75" customHeight="1">
      <c r="A1853" s="10"/>
      <c r="B1853" s="7"/>
      <c r="C1853" s="135"/>
      <c r="D1853" s="44"/>
      <c r="E1853" s="35"/>
      <c r="F1853" s="121"/>
      <c r="G1853" s="122"/>
      <c r="H1853" s="123"/>
      <c r="I1853" s="10"/>
      <c r="J1853" s="10"/>
      <c r="K1853" s="7"/>
      <c r="L1853" s="7"/>
      <c r="M1853" s="7"/>
      <c r="N1853" s="10"/>
      <c r="O1853" s="113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t="15.75" customHeight="1">
      <c r="A1854" s="10"/>
      <c r="B1854" s="7"/>
      <c r="C1854" s="135"/>
      <c r="D1854" s="44"/>
      <c r="E1854" s="35"/>
      <c r="F1854" s="121"/>
      <c r="G1854" s="122"/>
      <c r="H1854" s="123"/>
      <c r="I1854" s="10"/>
      <c r="J1854" s="10"/>
      <c r="K1854" s="7"/>
      <c r="L1854" s="7"/>
      <c r="M1854" s="7"/>
      <c r="N1854" s="10"/>
      <c r="O1854" s="113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t="15.75" customHeight="1">
      <c r="A1855" s="10"/>
      <c r="B1855" s="7"/>
      <c r="C1855" s="135"/>
      <c r="D1855" s="44"/>
      <c r="E1855" s="35"/>
      <c r="F1855" s="121"/>
      <c r="G1855" s="122"/>
      <c r="H1855" s="123"/>
      <c r="I1855" s="10"/>
      <c r="J1855" s="10"/>
      <c r="K1855" s="7"/>
      <c r="L1855" s="7"/>
      <c r="M1855" s="7"/>
      <c r="N1855" s="10"/>
      <c r="O1855" s="113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t="15.75" customHeight="1">
      <c r="A1856" s="10"/>
      <c r="B1856" s="7"/>
      <c r="C1856" s="135"/>
      <c r="D1856" s="44"/>
      <c r="E1856" s="35"/>
      <c r="F1856" s="121"/>
      <c r="G1856" s="122"/>
      <c r="H1856" s="123"/>
      <c r="I1856" s="10"/>
      <c r="J1856" s="10"/>
      <c r="K1856" s="7"/>
      <c r="L1856" s="7"/>
      <c r="M1856" s="7"/>
      <c r="N1856" s="10"/>
      <c r="O1856" s="113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t="15.75" customHeight="1">
      <c r="A1857" s="10"/>
      <c r="B1857" s="7"/>
      <c r="C1857" s="142"/>
      <c r="D1857" s="44"/>
      <c r="E1857" s="35"/>
      <c r="F1857" s="121"/>
      <c r="G1857" s="122"/>
      <c r="H1857" s="123"/>
      <c r="I1857" s="10"/>
      <c r="J1857" s="10"/>
      <c r="K1857" s="7"/>
      <c r="L1857" s="7"/>
      <c r="M1857" s="7"/>
      <c r="N1857" s="10"/>
      <c r="O1857" s="113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t="15.75" customHeight="1">
      <c r="A1858" s="10"/>
      <c r="B1858" s="7"/>
      <c r="C1858" s="142"/>
      <c r="D1858" s="44"/>
      <c r="E1858" s="35"/>
      <c r="F1858" s="121"/>
      <c r="G1858" s="122"/>
      <c r="H1858" s="123"/>
      <c r="I1858" s="10"/>
      <c r="J1858" s="10"/>
      <c r="K1858" s="7"/>
      <c r="L1858" s="7"/>
      <c r="M1858" s="7"/>
      <c r="N1858" s="10"/>
      <c r="O1858" s="113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t="15.75" customHeight="1">
      <c r="A1859" s="10"/>
      <c r="B1859" s="7"/>
      <c r="C1859" s="142"/>
      <c r="D1859" s="44"/>
      <c r="E1859" s="35"/>
      <c r="F1859" s="121"/>
      <c r="G1859" s="122"/>
      <c r="H1859" s="123"/>
      <c r="I1859" s="10"/>
      <c r="J1859" s="10"/>
      <c r="K1859" s="7"/>
      <c r="L1859" s="7"/>
      <c r="M1859" s="7"/>
      <c r="N1859" s="10"/>
      <c r="O1859" s="113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t="15.75" customHeight="1">
      <c r="A1860" s="10"/>
      <c r="B1860" s="7"/>
      <c r="C1860" s="142"/>
      <c r="D1860" s="44"/>
      <c r="E1860" s="35"/>
      <c r="F1860" s="121"/>
      <c r="G1860" s="122"/>
      <c r="H1860" s="123"/>
      <c r="I1860" s="10"/>
      <c r="J1860" s="10"/>
      <c r="K1860" s="7"/>
      <c r="L1860" s="7"/>
      <c r="M1860" s="7"/>
      <c r="N1860" s="10"/>
      <c r="O1860" s="113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t="15.75" customHeight="1">
      <c r="A1861" s="10"/>
      <c r="B1861" s="7"/>
      <c r="C1861" s="142"/>
      <c r="D1861" s="44"/>
      <c r="E1861" s="35"/>
      <c r="F1861" s="121"/>
      <c r="G1861" s="122"/>
      <c r="H1861" s="123"/>
      <c r="I1861" s="10"/>
      <c r="J1861" s="10"/>
      <c r="K1861" s="7"/>
      <c r="L1861" s="7"/>
      <c r="M1861" s="7"/>
      <c r="N1861" s="10"/>
      <c r="O1861" s="113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t="15.75" customHeight="1">
      <c r="A1862" s="10"/>
      <c r="B1862" s="7"/>
      <c r="C1862" s="142"/>
      <c r="D1862" s="44"/>
      <c r="E1862" s="35"/>
      <c r="F1862" s="121"/>
      <c r="G1862" s="122"/>
      <c r="H1862" s="123"/>
      <c r="I1862" s="10"/>
      <c r="J1862" s="10"/>
      <c r="K1862" s="7"/>
      <c r="L1862" s="7"/>
      <c r="M1862" s="7"/>
      <c r="N1862" s="10"/>
      <c r="O1862" s="113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t="15.75" customHeight="1">
      <c r="A1863" s="10"/>
      <c r="B1863" s="7"/>
      <c r="C1863" s="142"/>
      <c r="D1863" s="44"/>
      <c r="E1863" s="35"/>
      <c r="F1863" s="121"/>
      <c r="G1863" s="122"/>
      <c r="H1863" s="123"/>
      <c r="I1863" s="10"/>
      <c r="J1863" s="10"/>
      <c r="K1863" s="7"/>
      <c r="L1863" s="7"/>
      <c r="M1863" s="7"/>
      <c r="N1863" s="10"/>
      <c r="O1863" s="113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t="15.75" customHeight="1">
      <c r="A1864" s="10"/>
      <c r="B1864" s="7"/>
      <c r="C1864" s="142"/>
      <c r="D1864" s="44"/>
      <c r="E1864" s="35"/>
      <c r="F1864" s="121"/>
      <c r="G1864" s="122"/>
      <c r="H1864" s="123"/>
      <c r="I1864" s="10"/>
      <c r="J1864" s="10"/>
      <c r="K1864" s="7"/>
      <c r="L1864" s="7"/>
      <c r="M1864" s="7"/>
      <c r="N1864" s="10"/>
      <c r="O1864" s="113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t="15.75" customHeight="1">
      <c r="A1865" s="10"/>
      <c r="B1865" s="7"/>
      <c r="C1865" s="142"/>
      <c r="D1865" s="44"/>
      <c r="E1865" s="35"/>
      <c r="F1865" s="121"/>
      <c r="G1865" s="122"/>
      <c r="H1865" s="123"/>
      <c r="I1865" s="10"/>
      <c r="J1865" s="10"/>
      <c r="K1865" s="7"/>
      <c r="L1865" s="7"/>
      <c r="M1865" s="7"/>
      <c r="N1865" s="10"/>
      <c r="O1865" s="113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t="15.75" customHeight="1">
      <c r="A1866" s="10"/>
      <c r="B1866" s="7"/>
      <c r="C1866" s="142"/>
      <c r="D1866" s="44"/>
      <c r="E1866" s="35"/>
      <c r="F1866" s="121"/>
      <c r="G1866" s="122"/>
      <c r="H1866" s="123"/>
      <c r="I1866" s="10"/>
      <c r="J1866" s="10"/>
      <c r="K1866" s="7"/>
      <c r="L1866" s="7"/>
      <c r="M1866" s="7"/>
      <c r="N1866" s="10"/>
      <c r="O1866" s="113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t="15.75" customHeight="1">
      <c r="A1867" s="10"/>
      <c r="B1867" s="7"/>
      <c r="C1867" s="142"/>
      <c r="D1867" s="44"/>
      <c r="E1867" s="35"/>
      <c r="F1867" s="121"/>
      <c r="G1867" s="122"/>
      <c r="H1867" s="123"/>
      <c r="I1867" s="10"/>
      <c r="J1867" s="10"/>
      <c r="K1867" s="7"/>
      <c r="L1867" s="7"/>
      <c r="M1867" s="7"/>
      <c r="N1867" s="10"/>
      <c r="O1867" s="113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t="15.75" customHeight="1">
      <c r="A1868" s="10"/>
      <c r="B1868" s="7"/>
      <c r="C1868" s="142"/>
      <c r="D1868" s="44"/>
      <c r="E1868" s="35"/>
      <c r="F1868" s="121"/>
      <c r="G1868" s="122"/>
      <c r="H1868" s="123"/>
      <c r="I1868" s="10"/>
      <c r="J1868" s="10"/>
      <c r="K1868" s="7"/>
      <c r="L1868" s="7"/>
      <c r="M1868" s="7"/>
      <c r="N1868" s="10"/>
      <c r="O1868" s="113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t="15.75" customHeight="1">
      <c r="A1869" s="10"/>
      <c r="B1869" s="7"/>
      <c r="C1869" s="142"/>
      <c r="D1869" s="44"/>
      <c r="E1869" s="35"/>
      <c r="F1869" s="121"/>
      <c r="G1869" s="122"/>
      <c r="H1869" s="123"/>
      <c r="I1869" s="10"/>
      <c r="J1869" s="10"/>
      <c r="K1869" s="7"/>
      <c r="L1869" s="7"/>
      <c r="M1869" s="7"/>
      <c r="N1869" s="10"/>
      <c r="O1869" s="113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t="15.75" customHeight="1">
      <c r="A1870" s="10"/>
      <c r="B1870" s="7"/>
      <c r="C1870" s="142"/>
      <c r="D1870" s="44"/>
      <c r="E1870" s="35"/>
      <c r="F1870" s="121"/>
      <c r="G1870" s="122"/>
      <c r="H1870" s="123"/>
      <c r="I1870" s="10"/>
      <c r="J1870" s="10"/>
      <c r="K1870" s="7"/>
      <c r="L1870" s="7"/>
      <c r="M1870" s="7"/>
      <c r="N1870" s="10"/>
      <c r="O1870" s="113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t="15.75" customHeight="1">
      <c r="A1871" s="10"/>
      <c r="B1871" s="7"/>
      <c r="C1871" s="142"/>
      <c r="D1871" s="44"/>
      <c r="E1871" s="35"/>
      <c r="F1871" s="121"/>
      <c r="G1871" s="122"/>
      <c r="H1871" s="123"/>
      <c r="I1871" s="10"/>
      <c r="J1871" s="10"/>
      <c r="K1871" s="7"/>
      <c r="L1871" s="7"/>
      <c r="M1871" s="7"/>
      <c r="N1871" s="10"/>
      <c r="O1871" s="113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t="15.75" customHeight="1">
      <c r="A1872" s="10"/>
      <c r="B1872" s="7"/>
      <c r="C1872" s="142"/>
      <c r="D1872" s="44"/>
      <c r="E1872" s="35"/>
      <c r="F1872" s="121"/>
      <c r="G1872" s="122"/>
      <c r="H1872" s="123"/>
      <c r="I1872" s="10"/>
      <c r="J1872" s="10"/>
      <c r="K1872" s="7"/>
      <c r="L1872" s="7"/>
      <c r="M1872" s="7"/>
      <c r="N1872" s="10"/>
      <c r="O1872" s="113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t="15.75" customHeight="1">
      <c r="A1873" s="10"/>
      <c r="B1873" s="7"/>
      <c r="C1873" s="142"/>
      <c r="D1873" s="44"/>
      <c r="E1873" s="35"/>
      <c r="F1873" s="121"/>
      <c r="G1873" s="122"/>
      <c r="H1873" s="123"/>
      <c r="I1873" s="10"/>
      <c r="J1873" s="10"/>
      <c r="K1873" s="7"/>
      <c r="L1873" s="7"/>
      <c r="M1873" s="7"/>
      <c r="N1873" s="10"/>
      <c r="O1873" s="113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t="15.75" customHeight="1">
      <c r="A1874" s="10"/>
      <c r="B1874" s="7"/>
      <c r="C1874" s="142"/>
      <c r="D1874" s="44"/>
      <c r="E1874" s="35"/>
      <c r="F1874" s="121"/>
      <c r="G1874" s="122"/>
      <c r="H1874" s="123"/>
      <c r="I1874" s="10"/>
      <c r="J1874" s="10"/>
      <c r="K1874" s="7"/>
      <c r="L1874" s="7"/>
      <c r="M1874" s="7"/>
      <c r="N1874" s="10"/>
      <c r="O1874" s="113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t="15.75" customHeight="1">
      <c r="A1875" s="10"/>
      <c r="B1875" s="7"/>
      <c r="C1875" s="142"/>
      <c r="D1875" s="44"/>
      <c r="E1875" s="35"/>
      <c r="F1875" s="121"/>
      <c r="G1875" s="122"/>
      <c r="H1875" s="123"/>
      <c r="I1875" s="10"/>
      <c r="J1875" s="10"/>
      <c r="K1875" s="7"/>
      <c r="L1875" s="7"/>
      <c r="M1875" s="7"/>
      <c r="N1875" s="10"/>
      <c r="O1875" s="113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t="15.75" customHeight="1">
      <c r="A1876" s="10"/>
      <c r="B1876" s="7"/>
      <c r="C1876" s="142"/>
      <c r="D1876" s="44"/>
      <c r="E1876" s="35"/>
      <c r="F1876" s="121"/>
      <c r="G1876" s="122"/>
      <c r="H1876" s="123"/>
      <c r="I1876" s="10"/>
      <c r="J1876" s="10"/>
      <c r="K1876" s="7"/>
      <c r="L1876" s="7"/>
      <c r="M1876" s="7"/>
      <c r="N1876" s="10"/>
      <c r="O1876" s="113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t="15.75" customHeight="1">
      <c r="A1877" s="10"/>
      <c r="B1877" s="7"/>
      <c r="C1877" s="142"/>
      <c r="D1877" s="44"/>
      <c r="E1877" s="35"/>
      <c r="F1877" s="121"/>
      <c r="G1877" s="122"/>
      <c r="H1877" s="123"/>
      <c r="I1877" s="10"/>
      <c r="J1877" s="10"/>
      <c r="K1877" s="7"/>
      <c r="L1877" s="7"/>
      <c r="M1877" s="7"/>
      <c r="N1877" s="10"/>
      <c r="O1877" s="113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t="15.75" customHeight="1">
      <c r="A1878" s="10"/>
      <c r="B1878" s="7"/>
      <c r="C1878" s="142"/>
      <c r="D1878" s="44"/>
      <c r="E1878" s="35"/>
      <c r="F1878" s="121"/>
      <c r="G1878" s="122"/>
      <c r="H1878" s="123"/>
      <c r="I1878" s="10"/>
      <c r="J1878" s="10"/>
      <c r="K1878" s="7"/>
      <c r="L1878" s="7"/>
      <c r="M1878" s="7"/>
      <c r="N1878" s="10"/>
      <c r="O1878" s="113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t="15.75" customHeight="1">
      <c r="A1879" s="10"/>
      <c r="B1879" s="7"/>
      <c r="C1879" s="142"/>
      <c r="D1879" s="44"/>
      <c r="E1879" s="35"/>
      <c r="F1879" s="121"/>
      <c r="G1879" s="122"/>
      <c r="H1879" s="123"/>
      <c r="I1879" s="10"/>
      <c r="J1879" s="10"/>
      <c r="K1879" s="7"/>
      <c r="L1879" s="7"/>
      <c r="M1879" s="7"/>
      <c r="N1879" s="10"/>
      <c r="O1879" s="113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t="15.75" customHeight="1">
      <c r="A1880" s="10"/>
      <c r="B1880" s="7"/>
      <c r="C1880" s="142"/>
      <c r="D1880" s="44"/>
      <c r="E1880" s="35"/>
      <c r="F1880" s="121"/>
      <c r="G1880" s="122"/>
      <c r="H1880" s="123"/>
      <c r="I1880" s="10"/>
      <c r="J1880" s="10"/>
      <c r="K1880" s="7"/>
      <c r="L1880" s="7"/>
      <c r="M1880" s="7"/>
      <c r="N1880" s="10"/>
      <c r="O1880" s="113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t="15.75" customHeight="1">
      <c r="A1881" s="10"/>
      <c r="B1881" s="7"/>
      <c r="C1881" s="142"/>
      <c r="D1881" s="44"/>
      <c r="E1881" s="35"/>
      <c r="F1881" s="121"/>
      <c r="G1881" s="122"/>
      <c r="H1881" s="123"/>
      <c r="I1881" s="10"/>
      <c r="J1881" s="10"/>
      <c r="K1881" s="7"/>
      <c r="L1881" s="7"/>
      <c r="M1881" s="7"/>
      <c r="N1881" s="10"/>
      <c r="O1881" s="113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t="15.75" customHeight="1">
      <c r="A1882" s="10"/>
      <c r="B1882" s="7"/>
      <c r="C1882" s="142"/>
      <c r="D1882" s="44"/>
      <c r="E1882" s="35"/>
      <c r="F1882" s="121"/>
      <c r="G1882" s="122"/>
      <c r="H1882" s="123"/>
      <c r="I1882" s="10"/>
      <c r="J1882" s="10"/>
      <c r="K1882" s="7"/>
      <c r="L1882" s="7"/>
      <c r="M1882" s="7"/>
      <c r="N1882" s="10"/>
      <c r="O1882" s="113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t="15.75" customHeight="1">
      <c r="A1883" s="10"/>
      <c r="B1883" s="7"/>
      <c r="C1883" s="142"/>
      <c r="D1883" s="44"/>
      <c r="E1883" s="35"/>
      <c r="F1883" s="121"/>
      <c r="G1883" s="122"/>
      <c r="H1883" s="123"/>
      <c r="I1883" s="10"/>
      <c r="J1883" s="10"/>
      <c r="K1883" s="7"/>
      <c r="L1883" s="7"/>
      <c r="M1883" s="7"/>
      <c r="N1883" s="10"/>
      <c r="O1883" s="113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t="15.75" customHeight="1">
      <c r="A1884" s="10"/>
      <c r="B1884" s="7"/>
      <c r="C1884" s="142"/>
      <c r="D1884" s="44"/>
      <c r="E1884" s="35"/>
      <c r="F1884" s="121"/>
      <c r="G1884" s="122"/>
      <c r="H1884" s="123"/>
      <c r="I1884" s="10"/>
      <c r="J1884" s="10"/>
      <c r="K1884" s="7"/>
      <c r="L1884" s="7"/>
      <c r="M1884" s="7"/>
      <c r="N1884" s="10"/>
      <c r="O1884" s="113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t="15.75" customHeight="1">
      <c r="A1885" s="10"/>
      <c r="B1885" s="7"/>
      <c r="C1885" s="142"/>
      <c r="D1885" s="44"/>
      <c r="E1885" s="35"/>
      <c r="F1885" s="121"/>
      <c r="G1885" s="122"/>
      <c r="H1885" s="123"/>
      <c r="I1885" s="10"/>
      <c r="J1885" s="10"/>
      <c r="K1885" s="7"/>
      <c r="L1885" s="7"/>
      <c r="M1885" s="7"/>
      <c r="N1885" s="10"/>
      <c r="O1885" s="113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t="15.75" customHeight="1">
      <c r="A1886" s="10"/>
      <c r="B1886" s="7"/>
      <c r="C1886" s="142"/>
      <c r="D1886" s="44"/>
      <c r="E1886" s="35"/>
      <c r="F1886" s="121"/>
      <c r="G1886" s="122"/>
      <c r="H1886" s="123"/>
      <c r="I1886" s="10"/>
      <c r="J1886" s="10"/>
      <c r="K1886" s="7"/>
      <c r="L1886" s="7"/>
      <c r="M1886" s="7"/>
      <c r="N1886" s="10"/>
      <c r="O1886" s="113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t="15.75" customHeight="1">
      <c r="A1887" s="10"/>
      <c r="B1887" s="7"/>
      <c r="C1887" s="142"/>
      <c r="D1887" s="44"/>
      <c r="E1887" s="35"/>
      <c r="F1887" s="121"/>
      <c r="G1887" s="122"/>
      <c r="H1887" s="123"/>
      <c r="I1887" s="10"/>
      <c r="J1887" s="10"/>
      <c r="K1887" s="7"/>
      <c r="L1887" s="7"/>
      <c r="M1887" s="7"/>
      <c r="N1887" s="10"/>
      <c r="O1887" s="113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t="15.75" customHeight="1">
      <c r="A1888" s="10"/>
      <c r="B1888" s="7"/>
      <c r="C1888" s="142"/>
      <c r="D1888" s="44"/>
      <c r="E1888" s="35"/>
      <c r="F1888" s="121"/>
      <c r="G1888" s="122"/>
      <c r="H1888" s="123"/>
      <c r="I1888" s="10"/>
      <c r="J1888" s="10"/>
      <c r="K1888" s="7"/>
      <c r="L1888" s="7"/>
      <c r="M1888" s="7"/>
      <c r="N1888" s="10"/>
      <c r="O1888" s="113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t="15.75" customHeight="1">
      <c r="A1889" s="10"/>
      <c r="B1889" s="7"/>
      <c r="C1889" s="142"/>
      <c r="D1889" s="44"/>
      <c r="E1889" s="35"/>
      <c r="F1889" s="121"/>
      <c r="G1889" s="122"/>
      <c r="H1889" s="123"/>
      <c r="I1889" s="10"/>
      <c r="J1889" s="10"/>
      <c r="K1889" s="7"/>
      <c r="L1889" s="7"/>
      <c r="M1889" s="7"/>
      <c r="N1889" s="10"/>
      <c r="O1889" s="113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t="15.75" customHeight="1">
      <c r="A1890" s="10"/>
      <c r="B1890" s="7"/>
      <c r="C1890" s="135"/>
      <c r="D1890" s="44"/>
      <c r="E1890" s="35"/>
      <c r="F1890" s="121"/>
      <c r="G1890" s="122"/>
      <c r="H1890" s="123"/>
      <c r="I1890" s="10"/>
      <c r="J1890" s="10"/>
      <c r="K1890" s="7"/>
      <c r="L1890" s="7"/>
      <c r="M1890" s="7"/>
      <c r="N1890" s="10"/>
      <c r="O1890" s="113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t="15.75" customHeight="1">
      <c r="A1891" s="10"/>
      <c r="B1891" s="7"/>
      <c r="C1891" s="135"/>
      <c r="D1891" s="44"/>
      <c r="E1891" s="35"/>
      <c r="F1891" s="121"/>
      <c r="G1891" s="122"/>
      <c r="H1891" s="123"/>
      <c r="I1891" s="10"/>
      <c r="J1891" s="10"/>
      <c r="K1891" s="7"/>
      <c r="L1891" s="7"/>
      <c r="M1891" s="7"/>
      <c r="N1891" s="10"/>
      <c r="O1891" s="113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t="15.75" customHeight="1">
      <c r="A1892" s="10"/>
      <c r="B1892" s="7"/>
      <c r="C1892" s="135"/>
      <c r="D1892" s="44"/>
      <c r="E1892" s="35"/>
      <c r="F1892" s="121"/>
      <c r="G1892" s="122"/>
      <c r="H1892" s="123"/>
      <c r="I1892" s="10"/>
      <c r="J1892" s="10"/>
      <c r="K1892" s="7"/>
      <c r="L1892" s="7"/>
      <c r="M1892" s="7"/>
      <c r="N1892" s="10"/>
      <c r="O1892" s="113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t="15.75" customHeight="1">
      <c r="A1893" s="10"/>
      <c r="B1893" s="7"/>
      <c r="C1893" s="135"/>
      <c r="D1893" s="44"/>
      <c r="E1893" s="35"/>
      <c r="F1893" s="121"/>
      <c r="G1893" s="122"/>
      <c r="H1893" s="123"/>
      <c r="I1893" s="10"/>
      <c r="J1893" s="10"/>
      <c r="K1893" s="7"/>
      <c r="L1893" s="7"/>
      <c r="M1893" s="7"/>
      <c r="N1893" s="10"/>
      <c r="O1893" s="113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t="15.75" customHeight="1">
      <c r="A1894" s="10"/>
      <c r="B1894" s="7"/>
      <c r="C1894" s="135"/>
      <c r="D1894" s="44"/>
      <c r="E1894" s="35"/>
      <c r="F1894" s="121"/>
      <c r="G1894" s="122"/>
      <c r="H1894" s="123"/>
      <c r="I1894" s="10"/>
      <c r="J1894" s="10"/>
      <c r="K1894" s="7"/>
      <c r="L1894" s="7"/>
      <c r="M1894" s="7"/>
      <c r="N1894" s="10"/>
      <c r="O1894" s="113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t="15.75" customHeight="1">
      <c r="A1895" s="10"/>
      <c r="B1895" s="7"/>
      <c r="C1895" s="135"/>
      <c r="D1895" s="44"/>
      <c r="E1895" s="35"/>
      <c r="F1895" s="121"/>
      <c r="G1895" s="122"/>
      <c r="H1895" s="123"/>
      <c r="I1895" s="10"/>
      <c r="J1895" s="10"/>
      <c r="K1895" s="7"/>
      <c r="L1895" s="7"/>
      <c r="M1895" s="7"/>
      <c r="N1895" s="10"/>
      <c r="O1895" s="113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t="15.75" customHeight="1">
      <c r="A1896" s="10"/>
      <c r="B1896" s="7"/>
      <c r="C1896" s="135"/>
      <c r="D1896" s="44"/>
      <c r="E1896" s="35"/>
      <c r="F1896" s="121"/>
      <c r="G1896" s="122"/>
      <c r="H1896" s="123"/>
      <c r="I1896" s="10"/>
      <c r="J1896" s="10"/>
      <c r="K1896" s="7"/>
      <c r="L1896" s="7"/>
      <c r="M1896" s="7"/>
      <c r="N1896" s="10"/>
      <c r="O1896" s="113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t="15.75" customHeight="1">
      <c r="A1897" s="10"/>
      <c r="B1897" s="7"/>
      <c r="C1897" s="135"/>
      <c r="D1897" s="44"/>
      <c r="E1897" s="35"/>
      <c r="F1897" s="121"/>
      <c r="G1897" s="122"/>
      <c r="H1897" s="123"/>
      <c r="I1897" s="10"/>
      <c r="J1897" s="10"/>
      <c r="K1897" s="7"/>
      <c r="L1897" s="7"/>
      <c r="M1897" s="7"/>
      <c r="N1897" s="10"/>
      <c r="O1897" s="113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t="15.75" customHeight="1">
      <c r="A1898" s="10"/>
      <c r="B1898" s="7"/>
      <c r="C1898" s="135"/>
      <c r="D1898" s="44"/>
      <c r="E1898" s="35"/>
      <c r="F1898" s="121"/>
      <c r="G1898" s="122"/>
      <c r="H1898" s="123"/>
      <c r="I1898" s="10"/>
      <c r="J1898" s="10"/>
      <c r="K1898" s="7"/>
      <c r="L1898" s="7"/>
      <c r="M1898" s="7"/>
      <c r="N1898" s="10"/>
      <c r="O1898" s="113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t="15.75" customHeight="1">
      <c r="A1899" s="10"/>
      <c r="B1899" s="7"/>
      <c r="C1899" s="142"/>
      <c r="D1899" s="44"/>
      <c r="E1899" s="35"/>
      <c r="F1899" s="121"/>
      <c r="G1899" s="122"/>
      <c r="H1899" s="123"/>
      <c r="I1899" s="10"/>
      <c r="J1899" s="10"/>
      <c r="K1899" s="7"/>
      <c r="L1899" s="7"/>
      <c r="M1899" s="7"/>
      <c r="N1899" s="10"/>
      <c r="O1899" s="113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t="15.75" customHeight="1">
      <c r="A1900" s="10"/>
      <c r="B1900" s="7"/>
      <c r="C1900" s="142"/>
      <c r="D1900" s="44"/>
      <c r="E1900" s="35"/>
      <c r="F1900" s="121"/>
      <c r="G1900" s="122"/>
      <c r="H1900" s="123"/>
      <c r="I1900" s="10"/>
      <c r="J1900" s="10"/>
      <c r="K1900" s="7"/>
      <c r="L1900" s="7"/>
      <c r="M1900" s="7"/>
      <c r="N1900" s="10"/>
      <c r="O1900" s="113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t="15.75" customHeight="1">
      <c r="A1901" s="10"/>
      <c r="B1901" s="7"/>
      <c r="C1901" s="142"/>
      <c r="D1901" s="44"/>
      <c r="E1901" s="35"/>
      <c r="F1901" s="121"/>
      <c r="G1901" s="122"/>
      <c r="H1901" s="123"/>
      <c r="I1901" s="10"/>
      <c r="J1901" s="10"/>
      <c r="K1901" s="7"/>
      <c r="L1901" s="7"/>
      <c r="M1901" s="7"/>
      <c r="N1901" s="10"/>
      <c r="O1901" s="113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t="15.75" customHeight="1">
      <c r="A1902" s="10"/>
      <c r="B1902" s="7"/>
      <c r="C1902" s="142"/>
      <c r="D1902" s="44"/>
      <c r="E1902" s="35"/>
      <c r="F1902" s="121"/>
      <c r="G1902" s="122"/>
      <c r="H1902" s="123"/>
      <c r="I1902" s="10"/>
      <c r="J1902" s="10"/>
      <c r="K1902" s="7"/>
      <c r="L1902" s="7"/>
      <c r="M1902" s="7"/>
      <c r="N1902" s="10"/>
      <c r="O1902" s="113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t="15.75" customHeight="1">
      <c r="A1903" s="10"/>
      <c r="B1903" s="7"/>
      <c r="C1903" s="142"/>
      <c r="D1903" s="44"/>
      <c r="E1903" s="35"/>
      <c r="F1903" s="121"/>
      <c r="G1903" s="122"/>
      <c r="H1903" s="123"/>
      <c r="I1903" s="10"/>
      <c r="J1903" s="10"/>
      <c r="K1903" s="7"/>
      <c r="L1903" s="7"/>
      <c r="M1903" s="7"/>
      <c r="N1903" s="10"/>
      <c r="O1903" s="113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t="15.75" customHeight="1">
      <c r="A1904" s="10"/>
      <c r="B1904" s="7"/>
      <c r="C1904" s="142"/>
      <c r="D1904" s="44"/>
      <c r="E1904" s="35"/>
      <c r="F1904" s="121"/>
      <c r="G1904" s="122"/>
      <c r="H1904" s="123"/>
      <c r="I1904" s="10"/>
      <c r="J1904" s="10"/>
      <c r="K1904" s="7"/>
      <c r="L1904" s="7"/>
      <c r="M1904" s="7"/>
      <c r="N1904" s="10"/>
      <c r="O1904" s="113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t="15.75" customHeight="1">
      <c r="A1905" s="10"/>
      <c r="B1905" s="7"/>
      <c r="C1905" s="142"/>
      <c r="D1905" s="44"/>
      <c r="E1905" s="35"/>
      <c r="F1905" s="121"/>
      <c r="G1905" s="122"/>
      <c r="H1905" s="123"/>
      <c r="I1905" s="10"/>
      <c r="J1905" s="10"/>
      <c r="K1905" s="7"/>
      <c r="L1905" s="7"/>
      <c r="M1905" s="7"/>
      <c r="N1905" s="10"/>
      <c r="O1905" s="113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t="15.75" customHeight="1">
      <c r="A1906" s="10"/>
      <c r="B1906" s="7"/>
      <c r="C1906" s="142"/>
      <c r="D1906" s="44"/>
      <c r="E1906" s="35"/>
      <c r="F1906" s="121"/>
      <c r="G1906" s="122"/>
      <c r="H1906" s="123"/>
      <c r="I1906" s="10"/>
      <c r="J1906" s="10"/>
      <c r="K1906" s="7"/>
      <c r="L1906" s="7"/>
      <c r="M1906" s="7"/>
      <c r="N1906" s="10"/>
      <c r="O1906" s="113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t="15.75" customHeight="1">
      <c r="A1907" s="10"/>
      <c r="B1907" s="7"/>
      <c r="C1907" s="142"/>
      <c r="D1907" s="44"/>
      <c r="E1907" s="35"/>
      <c r="F1907" s="121"/>
      <c r="G1907" s="122"/>
      <c r="H1907" s="123"/>
      <c r="I1907" s="10"/>
      <c r="J1907" s="10"/>
      <c r="K1907" s="7"/>
      <c r="L1907" s="7"/>
      <c r="M1907" s="7"/>
      <c r="N1907" s="10"/>
      <c r="O1907" s="113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t="15.75" customHeight="1">
      <c r="A1908" s="10"/>
      <c r="B1908" s="7"/>
      <c r="C1908" s="142"/>
      <c r="D1908" s="44"/>
      <c r="E1908" s="35"/>
      <c r="F1908" s="121"/>
      <c r="G1908" s="122"/>
      <c r="H1908" s="123"/>
      <c r="I1908" s="10"/>
      <c r="J1908" s="10"/>
      <c r="K1908" s="7"/>
      <c r="L1908" s="7"/>
      <c r="M1908" s="7"/>
      <c r="N1908" s="10"/>
      <c r="O1908" s="113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t="15.75" customHeight="1">
      <c r="A1909" s="10"/>
      <c r="B1909" s="7"/>
      <c r="C1909" s="142"/>
      <c r="D1909" s="44"/>
      <c r="E1909" s="35"/>
      <c r="F1909" s="121"/>
      <c r="G1909" s="122"/>
      <c r="H1909" s="123"/>
      <c r="I1909" s="10"/>
      <c r="J1909" s="10"/>
      <c r="K1909" s="7"/>
      <c r="L1909" s="7"/>
      <c r="M1909" s="7"/>
      <c r="N1909" s="10"/>
      <c r="O1909" s="113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t="15.75" customHeight="1">
      <c r="A1910" s="10"/>
      <c r="B1910" s="7"/>
      <c r="C1910" s="142"/>
      <c r="D1910" s="44"/>
      <c r="E1910" s="35"/>
      <c r="F1910" s="121"/>
      <c r="G1910" s="122"/>
      <c r="H1910" s="123"/>
      <c r="I1910" s="10"/>
      <c r="J1910" s="10"/>
      <c r="K1910" s="7"/>
      <c r="L1910" s="7"/>
      <c r="M1910" s="7"/>
      <c r="N1910" s="10"/>
      <c r="O1910" s="113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t="15.75" customHeight="1">
      <c r="A1911" s="10"/>
      <c r="B1911" s="7"/>
      <c r="C1911" s="142"/>
      <c r="D1911" s="44"/>
      <c r="E1911" s="35"/>
      <c r="F1911" s="121"/>
      <c r="G1911" s="122"/>
      <c r="H1911" s="123"/>
      <c r="I1911" s="10"/>
      <c r="J1911" s="10"/>
      <c r="K1911" s="7"/>
      <c r="L1911" s="7"/>
      <c r="M1911" s="7"/>
      <c r="N1911" s="10"/>
      <c r="O1911" s="113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t="15.75" customHeight="1">
      <c r="A1912" s="10"/>
      <c r="B1912" s="7"/>
      <c r="C1912" s="142"/>
      <c r="D1912" s="44"/>
      <c r="E1912" s="35"/>
      <c r="F1912" s="121"/>
      <c r="G1912" s="122"/>
      <c r="H1912" s="123"/>
      <c r="I1912" s="10"/>
      <c r="J1912" s="10"/>
      <c r="K1912" s="7"/>
      <c r="L1912" s="7"/>
      <c r="M1912" s="7"/>
      <c r="N1912" s="10"/>
      <c r="O1912" s="113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t="15.75" customHeight="1">
      <c r="A1913" s="10"/>
      <c r="B1913" s="7"/>
      <c r="C1913" s="142"/>
      <c r="D1913" s="44"/>
      <c r="E1913" s="35"/>
      <c r="F1913" s="121"/>
      <c r="G1913" s="122"/>
      <c r="H1913" s="123"/>
      <c r="I1913" s="10"/>
      <c r="J1913" s="10"/>
      <c r="K1913" s="7"/>
      <c r="L1913" s="7"/>
      <c r="M1913" s="7"/>
      <c r="N1913" s="10"/>
      <c r="O1913" s="113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t="15.75" customHeight="1">
      <c r="A1914" s="10"/>
      <c r="B1914" s="7"/>
      <c r="C1914" s="142"/>
      <c r="D1914" s="44"/>
      <c r="E1914" s="35"/>
      <c r="F1914" s="121"/>
      <c r="G1914" s="122"/>
      <c r="H1914" s="123"/>
      <c r="I1914" s="10"/>
      <c r="J1914" s="10"/>
      <c r="K1914" s="7"/>
      <c r="L1914" s="7"/>
      <c r="M1914" s="7"/>
      <c r="N1914" s="10"/>
      <c r="O1914" s="113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t="15.75" customHeight="1">
      <c r="A1915" s="10"/>
      <c r="B1915" s="7"/>
      <c r="C1915" s="142"/>
      <c r="D1915" s="44"/>
      <c r="E1915" s="35"/>
      <c r="F1915" s="121"/>
      <c r="G1915" s="122"/>
      <c r="H1915" s="123"/>
      <c r="I1915" s="10"/>
      <c r="J1915" s="10"/>
      <c r="K1915" s="7"/>
      <c r="L1915" s="7"/>
      <c r="M1915" s="7"/>
      <c r="N1915" s="10"/>
      <c r="O1915" s="113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t="15.75" customHeight="1">
      <c r="A1916" s="10"/>
      <c r="B1916" s="7"/>
      <c r="C1916" s="142"/>
      <c r="D1916" s="44"/>
      <c r="E1916" s="35"/>
      <c r="F1916" s="121"/>
      <c r="G1916" s="122"/>
      <c r="H1916" s="123"/>
      <c r="I1916" s="10"/>
      <c r="J1916" s="10"/>
      <c r="K1916" s="7"/>
      <c r="L1916" s="7"/>
      <c r="M1916" s="7"/>
      <c r="N1916" s="10"/>
      <c r="O1916" s="113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t="15.75" customHeight="1">
      <c r="A1917" s="10"/>
      <c r="B1917" s="7"/>
      <c r="C1917" s="142"/>
      <c r="D1917" s="44"/>
      <c r="E1917" s="35"/>
      <c r="F1917" s="121"/>
      <c r="G1917" s="122"/>
      <c r="H1917" s="123"/>
      <c r="I1917" s="10"/>
      <c r="J1917" s="10"/>
      <c r="K1917" s="7"/>
      <c r="L1917" s="7"/>
      <c r="M1917" s="7"/>
      <c r="N1917" s="10"/>
      <c r="O1917" s="113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t="15.75" customHeight="1">
      <c r="A1918" s="10"/>
      <c r="B1918" s="7"/>
      <c r="C1918" s="142"/>
      <c r="D1918" s="44"/>
      <c r="E1918" s="35"/>
      <c r="F1918" s="121"/>
      <c r="G1918" s="122"/>
      <c r="H1918" s="123"/>
      <c r="I1918" s="10"/>
      <c r="J1918" s="10"/>
      <c r="K1918" s="7"/>
      <c r="L1918" s="7"/>
      <c r="M1918" s="7"/>
      <c r="N1918" s="10"/>
      <c r="O1918" s="113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t="15.75" customHeight="1">
      <c r="A1919" s="10"/>
      <c r="B1919" s="7"/>
      <c r="C1919" s="142"/>
      <c r="D1919" s="44"/>
      <c r="E1919" s="35"/>
      <c r="F1919" s="121"/>
      <c r="G1919" s="122"/>
      <c r="H1919" s="123"/>
      <c r="I1919" s="10"/>
      <c r="J1919" s="10"/>
      <c r="K1919" s="7"/>
      <c r="L1919" s="7"/>
      <c r="M1919" s="7"/>
      <c r="N1919" s="10"/>
      <c r="O1919" s="113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t="15.75" customHeight="1">
      <c r="A1920" s="10"/>
      <c r="B1920" s="7"/>
      <c r="C1920" s="142"/>
      <c r="D1920" s="44"/>
      <c r="E1920" s="35"/>
      <c r="F1920" s="121"/>
      <c r="G1920" s="122"/>
      <c r="H1920" s="123"/>
      <c r="I1920" s="10"/>
      <c r="J1920" s="10"/>
      <c r="K1920" s="7"/>
      <c r="L1920" s="7"/>
      <c r="M1920" s="7"/>
      <c r="N1920" s="10"/>
      <c r="O1920" s="113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t="15.75" customHeight="1">
      <c r="A1921" s="10"/>
      <c r="B1921" s="7"/>
      <c r="C1921" s="142"/>
      <c r="D1921" s="44"/>
      <c r="E1921" s="35"/>
      <c r="F1921" s="121"/>
      <c r="G1921" s="122"/>
      <c r="H1921" s="123"/>
      <c r="I1921" s="10"/>
      <c r="J1921" s="10"/>
      <c r="K1921" s="7"/>
      <c r="L1921" s="7"/>
      <c r="M1921" s="7"/>
      <c r="N1921" s="10"/>
      <c r="O1921" s="113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t="15.75" customHeight="1">
      <c r="A1922" s="10"/>
      <c r="B1922" s="7"/>
      <c r="C1922" s="142"/>
      <c r="D1922" s="44"/>
      <c r="E1922" s="35"/>
      <c r="F1922" s="121"/>
      <c r="G1922" s="122"/>
      <c r="H1922" s="123"/>
      <c r="I1922" s="10"/>
      <c r="J1922" s="10"/>
      <c r="K1922" s="7"/>
      <c r="L1922" s="7"/>
      <c r="M1922" s="7"/>
      <c r="N1922" s="10"/>
      <c r="O1922" s="113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t="15.75" customHeight="1">
      <c r="A1923" s="10"/>
      <c r="B1923" s="7"/>
      <c r="C1923" s="142"/>
      <c r="D1923" s="44"/>
      <c r="E1923" s="35"/>
      <c r="F1923" s="121"/>
      <c r="G1923" s="122"/>
      <c r="H1923" s="123"/>
      <c r="I1923" s="10"/>
      <c r="J1923" s="10"/>
      <c r="K1923" s="7"/>
      <c r="L1923" s="7"/>
      <c r="M1923" s="7"/>
      <c r="N1923" s="10"/>
      <c r="O1923" s="113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t="15.75" customHeight="1">
      <c r="A1924" s="10"/>
      <c r="B1924" s="7"/>
      <c r="C1924" s="142"/>
      <c r="D1924" s="44"/>
      <c r="E1924" s="35"/>
      <c r="F1924" s="121"/>
      <c r="G1924" s="122"/>
      <c r="H1924" s="123"/>
      <c r="I1924" s="10"/>
      <c r="J1924" s="10"/>
      <c r="K1924" s="7"/>
      <c r="L1924" s="7"/>
      <c r="M1924" s="7"/>
      <c r="N1924" s="10"/>
      <c r="O1924" s="113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t="15.75" customHeight="1">
      <c r="A1925" s="10"/>
      <c r="B1925" s="7"/>
      <c r="C1925" s="142"/>
      <c r="D1925" s="44"/>
      <c r="E1925" s="35"/>
      <c r="F1925" s="121"/>
      <c r="G1925" s="122"/>
      <c r="H1925" s="123"/>
      <c r="I1925" s="10"/>
      <c r="J1925" s="10"/>
      <c r="K1925" s="7"/>
      <c r="L1925" s="7"/>
      <c r="M1925" s="7"/>
      <c r="N1925" s="10"/>
      <c r="O1925" s="113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t="15.75" customHeight="1">
      <c r="A1926" s="10"/>
      <c r="B1926" s="7"/>
      <c r="C1926" s="142"/>
      <c r="D1926" s="44"/>
      <c r="E1926" s="35"/>
      <c r="F1926" s="121"/>
      <c r="G1926" s="122"/>
      <c r="H1926" s="123"/>
      <c r="I1926" s="10"/>
      <c r="J1926" s="10"/>
      <c r="K1926" s="7"/>
      <c r="L1926" s="7"/>
      <c r="M1926" s="7"/>
      <c r="N1926" s="10"/>
      <c r="O1926" s="113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t="15.75" customHeight="1">
      <c r="A1927" s="10"/>
      <c r="B1927" s="7"/>
      <c r="C1927" s="142"/>
      <c r="D1927" s="44"/>
      <c r="E1927" s="35"/>
      <c r="F1927" s="121"/>
      <c r="G1927" s="122"/>
      <c r="H1927" s="123"/>
      <c r="I1927" s="10"/>
      <c r="J1927" s="10"/>
      <c r="K1927" s="7"/>
      <c r="L1927" s="7"/>
      <c r="M1927" s="7"/>
      <c r="N1927" s="10"/>
      <c r="O1927" s="113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t="15.75" customHeight="1">
      <c r="A1928" s="10"/>
      <c r="B1928" s="7"/>
      <c r="C1928" s="142"/>
      <c r="D1928" s="44"/>
      <c r="E1928" s="35"/>
      <c r="F1928" s="121"/>
      <c r="G1928" s="122"/>
      <c r="H1928" s="123"/>
      <c r="I1928" s="10"/>
      <c r="J1928" s="10"/>
      <c r="K1928" s="7"/>
      <c r="L1928" s="7"/>
      <c r="M1928" s="7"/>
      <c r="N1928" s="10"/>
      <c r="O1928" s="113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t="15.75" customHeight="1">
      <c r="A1929" s="10"/>
      <c r="B1929" s="7"/>
      <c r="C1929" s="142"/>
      <c r="D1929" s="44"/>
      <c r="E1929" s="35"/>
      <c r="F1929" s="121"/>
      <c r="G1929" s="122"/>
      <c r="H1929" s="123"/>
      <c r="I1929" s="10"/>
      <c r="J1929" s="10"/>
      <c r="K1929" s="7"/>
      <c r="L1929" s="7"/>
      <c r="M1929" s="7"/>
      <c r="N1929" s="10"/>
      <c r="O1929" s="113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t="15.75" customHeight="1">
      <c r="A1930" s="10"/>
      <c r="B1930" s="7"/>
      <c r="C1930" s="142"/>
      <c r="D1930" s="44"/>
      <c r="E1930" s="35"/>
      <c r="F1930" s="121"/>
      <c r="G1930" s="122"/>
      <c r="H1930" s="123"/>
      <c r="I1930" s="10"/>
      <c r="J1930" s="10"/>
      <c r="K1930" s="7"/>
      <c r="L1930" s="7"/>
      <c r="M1930" s="7"/>
      <c r="N1930" s="10"/>
      <c r="O1930" s="113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t="15.75" customHeight="1">
      <c r="A1931" s="10"/>
      <c r="B1931" s="7"/>
      <c r="C1931" s="142"/>
      <c r="D1931" s="44"/>
      <c r="E1931" s="35"/>
      <c r="F1931" s="121"/>
      <c r="G1931" s="122"/>
      <c r="H1931" s="123"/>
      <c r="I1931" s="10"/>
      <c r="J1931" s="10"/>
      <c r="K1931" s="7"/>
      <c r="L1931" s="7"/>
      <c r="M1931" s="7"/>
      <c r="N1931" s="10"/>
      <c r="O1931" s="113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t="15.75" customHeight="1">
      <c r="A1932" s="10"/>
      <c r="B1932" s="7"/>
      <c r="C1932" s="142"/>
      <c r="D1932" s="44"/>
      <c r="E1932" s="35"/>
      <c r="F1932" s="121"/>
      <c r="G1932" s="122"/>
      <c r="H1932" s="123"/>
      <c r="I1932" s="10"/>
      <c r="J1932" s="10"/>
      <c r="K1932" s="7"/>
      <c r="L1932" s="7"/>
      <c r="M1932" s="7"/>
      <c r="N1932" s="10"/>
      <c r="O1932" s="113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t="15.75" customHeight="1">
      <c r="A1933" s="10"/>
      <c r="B1933" s="7"/>
      <c r="C1933" s="142"/>
      <c r="D1933" s="44"/>
      <c r="E1933" s="35"/>
      <c r="F1933" s="121"/>
      <c r="G1933" s="122"/>
      <c r="H1933" s="123"/>
      <c r="I1933" s="10"/>
      <c r="J1933" s="10"/>
      <c r="K1933" s="7"/>
      <c r="L1933" s="7"/>
      <c r="M1933" s="7"/>
      <c r="N1933" s="10"/>
      <c r="O1933" s="113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t="15.75" customHeight="1">
      <c r="A1934" s="10"/>
      <c r="B1934" s="7"/>
      <c r="C1934" s="142"/>
      <c r="D1934" s="44"/>
      <c r="E1934" s="35"/>
      <c r="F1934" s="121"/>
      <c r="G1934" s="122"/>
      <c r="H1934" s="123"/>
      <c r="I1934" s="10"/>
      <c r="J1934" s="10"/>
      <c r="K1934" s="7"/>
      <c r="L1934" s="7"/>
      <c r="M1934" s="7"/>
      <c r="N1934" s="10"/>
      <c r="O1934" s="113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t="15.75" customHeight="1">
      <c r="A1935" s="10"/>
      <c r="B1935" s="7"/>
      <c r="C1935" s="142"/>
      <c r="D1935" s="44"/>
      <c r="E1935" s="35"/>
      <c r="F1935" s="121"/>
      <c r="G1935" s="122"/>
      <c r="H1935" s="123"/>
      <c r="I1935" s="10"/>
      <c r="J1935" s="10"/>
      <c r="K1935" s="7"/>
      <c r="L1935" s="7"/>
      <c r="M1935" s="7"/>
      <c r="N1935" s="10"/>
      <c r="O1935" s="113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t="15.75" customHeight="1">
      <c r="A1936" s="10"/>
      <c r="B1936" s="7"/>
      <c r="C1936" s="142"/>
      <c r="D1936" s="44"/>
      <c r="E1936" s="35"/>
      <c r="F1936" s="121"/>
      <c r="G1936" s="122"/>
      <c r="H1936" s="123"/>
      <c r="I1936" s="10"/>
      <c r="J1936" s="10"/>
      <c r="K1936" s="7"/>
      <c r="L1936" s="7"/>
      <c r="M1936" s="7"/>
      <c r="N1936" s="10"/>
      <c r="O1936" s="113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t="15.75" customHeight="1">
      <c r="A1937" s="10"/>
      <c r="B1937" s="7"/>
      <c r="C1937" s="142"/>
      <c r="D1937" s="44"/>
      <c r="E1937" s="35"/>
      <c r="F1937" s="121"/>
      <c r="G1937" s="122"/>
      <c r="H1937" s="123"/>
      <c r="I1937" s="10"/>
      <c r="J1937" s="10"/>
      <c r="K1937" s="7"/>
      <c r="L1937" s="7"/>
      <c r="M1937" s="7"/>
      <c r="N1937" s="10"/>
      <c r="O1937" s="113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t="15.75" customHeight="1">
      <c r="A1938" s="10"/>
      <c r="B1938" s="7"/>
      <c r="C1938" s="10"/>
      <c r="D1938" s="44"/>
      <c r="E1938" s="35"/>
      <c r="F1938" s="121"/>
      <c r="G1938" s="122"/>
      <c r="H1938" s="123"/>
      <c r="I1938" s="10"/>
      <c r="J1938" s="10"/>
      <c r="K1938" s="7"/>
      <c r="L1938" s="7"/>
      <c r="M1938" s="7"/>
      <c r="N1938" s="10"/>
      <c r="O1938" s="113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t="15.75" customHeight="1">
      <c r="A1939" s="10"/>
      <c r="B1939" s="7"/>
      <c r="C1939" s="10"/>
      <c r="D1939" s="44"/>
      <c r="E1939" s="35"/>
      <c r="F1939" s="121"/>
      <c r="G1939" s="122"/>
      <c r="H1939" s="123"/>
      <c r="I1939" s="10"/>
      <c r="J1939" s="10"/>
      <c r="K1939" s="7"/>
      <c r="L1939" s="7"/>
      <c r="M1939" s="7"/>
      <c r="N1939" s="10"/>
      <c r="O1939" s="113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t="15.75" customHeight="1">
      <c r="A1940" s="10"/>
      <c r="B1940" s="7"/>
      <c r="C1940" s="10"/>
      <c r="D1940" s="44"/>
      <c r="E1940" s="35"/>
      <c r="F1940" s="121"/>
      <c r="G1940" s="122"/>
      <c r="H1940" s="123"/>
      <c r="I1940" s="10"/>
      <c r="J1940" s="10"/>
      <c r="K1940" s="7"/>
      <c r="L1940" s="7"/>
      <c r="M1940" s="7"/>
      <c r="N1940" s="10"/>
      <c r="O1940" s="113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t="15.75" customHeight="1">
      <c r="A1941" s="10"/>
      <c r="B1941" s="7"/>
      <c r="C1941" s="10"/>
      <c r="D1941" s="44"/>
      <c r="E1941" s="35"/>
      <c r="F1941" s="121"/>
      <c r="G1941" s="122"/>
      <c r="H1941" s="123"/>
      <c r="I1941" s="10"/>
      <c r="J1941" s="10"/>
      <c r="K1941" s="7"/>
      <c r="L1941" s="7"/>
      <c r="M1941" s="7"/>
      <c r="N1941" s="10"/>
      <c r="O1941" s="113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t="15.75" customHeight="1">
      <c r="A1942" s="10"/>
      <c r="B1942" s="7"/>
      <c r="C1942" s="10"/>
      <c r="D1942" s="44"/>
      <c r="E1942" s="35"/>
      <c r="F1942" s="121"/>
      <c r="G1942" s="122"/>
      <c r="H1942" s="123"/>
      <c r="I1942" s="10"/>
      <c r="J1942" s="10"/>
      <c r="K1942" s="7"/>
      <c r="L1942" s="7"/>
      <c r="M1942" s="7"/>
      <c r="N1942" s="10"/>
      <c r="O1942" s="113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t="15.75" customHeight="1">
      <c r="A1943" s="10"/>
      <c r="B1943" s="7"/>
      <c r="C1943" s="10"/>
      <c r="D1943" s="44"/>
      <c r="E1943" s="35"/>
      <c r="F1943" s="121"/>
      <c r="G1943" s="122"/>
      <c r="H1943" s="123"/>
      <c r="I1943" s="10"/>
      <c r="J1943" s="10"/>
      <c r="K1943" s="7"/>
      <c r="L1943" s="7"/>
      <c r="M1943" s="7"/>
      <c r="N1943" s="10"/>
      <c r="O1943" s="113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t="15.75" customHeight="1">
      <c r="A1944" s="10"/>
      <c r="B1944" s="7"/>
      <c r="C1944" s="10"/>
      <c r="D1944" s="44"/>
      <c r="E1944" s="35"/>
      <c r="F1944" s="121"/>
      <c r="G1944" s="122"/>
      <c r="H1944" s="123"/>
      <c r="I1944" s="10"/>
      <c r="J1944" s="10"/>
      <c r="K1944" s="7"/>
      <c r="L1944" s="7"/>
      <c r="M1944" s="7"/>
      <c r="N1944" s="10"/>
      <c r="O1944" s="113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t="15.75" customHeight="1">
      <c r="A1945" s="10"/>
      <c r="B1945" s="7"/>
      <c r="C1945" s="10"/>
      <c r="D1945" s="44"/>
      <c r="E1945" s="35"/>
      <c r="F1945" s="121"/>
      <c r="G1945" s="122"/>
      <c r="H1945" s="123"/>
      <c r="I1945" s="10"/>
      <c r="J1945" s="10"/>
      <c r="K1945" s="7"/>
      <c r="L1945" s="7"/>
      <c r="M1945" s="7"/>
      <c r="N1945" s="10"/>
      <c r="O1945" s="113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t="15.75" customHeight="1">
      <c r="A1946" s="10"/>
      <c r="B1946" s="7"/>
      <c r="C1946" s="10"/>
      <c r="D1946" s="44"/>
      <c r="E1946" s="35"/>
      <c r="F1946" s="121"/>
      <c r="G1946" s="122"/>
      <c r="H1946" s="123"/>
      <c r="I1946" s="10"/>
      <c r="J1946" s="10"/>
      <c r="K1946" s="7"/>
      <c r="L1946" s="7"/>
      <c r="M1946" s="7"/>
      <c r="N1946" s="10"/>
      <c r="O1946" s="113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t="15.75" customHeight="1">
      <c r="A1947" s="10"/>
      <c r="B1947" s="7"/>
      <c r="C1947" s="10"/>
      <c r="D1947" s="44"/>
      <c r="E1947" s="35"/>
      <c r="F1947" s="121"/>
      <c r="G1947" s="122"/>
      <c r="H1947" s="123"/>
      <c r="I1947" s="10"/>
      <c r="J1947" s="10"/>
      <c r="K1947" s="7"/>
      <c r="L1947" s="7"/>
      <c r="M1947" s="7"/>
      <c r="N1947" s="10"/>
      <c r="O1947" s="113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t="15.75" customHeight="1">
      <c r="A1948" s="10"/>
      <c r="B1948" s="7"/>
      <c r="C1948" s="10"/>
      <c r="D1948" s="44"/>
      <c r="E1948" s="35"/>
      <c r="F1948" s="121"/>
      <c r="G1948" s="122"/>
      <c r="H1948" s="123"/>
      <c r="I1948" s="10"/>
      <c r="J1948" s="10"/>
      <c r="K1948" s="7"/>
      <c r="L1948" s="7"/>
      <c r="M1948" s="7"/>
      <c r="N1948" s="10"/>
      <c r="O1948" s="113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t="15.75" customHeight="1">
      <c r="A1949" s="10"/>
      <c r="B1949" s="7"/>
      <c r="C1949" s="10"/>
      <c r="D1949" s="44"/>
      <c r="E1949" s="35"/>
      <c r="F1949" s="121"/>
      <c r="G1949" s="122"/>
      <c r="H1949" s="123"/>
      <c r="I1949" s="10"/>
      <c r="J1949" s="10"/>
      <c r="K1949" s="7"/>
      <c r="L1949" s="7"/>
      <c r="M1949" s="7"/>
      <c r="N1949" s="10"/>
      <c r="O1949" s="113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t="15.75" customHeight="1">
      <c r="A1950" s="10"/>
      <c r="B1950" s="7"/>
      <c r="C1950" s="10"/>
      <c r="D1950" s="44"/>
      <c r="E1950" s="35"/>
      <c r="F1950" s="121"/>
      <c r="G1950" s="122"/>
      <c r="H1950" s="123"/>
      <c r="I1950" s="10"/>
      <c r="J1950" s="10"/>
      <c r="K1950" s="7"/>
      <c r="L1950" s="7"/>
      <c r="M1950" s="7"/>
      <c r="N1950" s="10"/>
      <c r="O1950" s="113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t="15.75" customHeight="1">
      <c r="A1951" s="10"/>
      <c r="B1951" s="7"/>
      <c r="C1951" s="10"/>
      <c r="D1951" s="44"/>
      <c r="E1951" s="35"/>
      <c r="F1951" s="121"/>
      <c r="G1951" s="122"/>
      <c r="H1951" s="123"/>
      <c r="I1951" s="10"/>
      <c r="J1951" s="10"/>
      <c r="K1951" s="7"/>
      <c r="L1951" s="7"/>
      <c r="M1951" s="7"/>
      <c r="N1951" s="10"/>
      <c r="O1951" s="113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t="15.75" customHeight="1">
      <c r="A1952" s="10"/>
      <c r="B1952" s="7"/>
      <c r="C1952" s="10"/>
      <c r="D1952" s="44"/>
      <c r="E1952" s="35"/>
      <c r="F1952" s="121"/>
      <c r="G1952" s="122"/>
      <c r="H1952" s="123"/>
      <c r="I1952" s="10"/>
      <c r="J1952" s="10"/>
      <c r="K1952" s="7"/>
      <c r="L1952" s="7"/>
      <c r="M1952" s="7"/>
      <c r="N1952" s="10"/>
      <c r="O1952" s="113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t="15.75" customHeight="1">
      <c r="A1953" s="10"/>
      <c r="B1953" s="7"/>
      <c r="C1953" s="10"/>
      <c r="D1953" s="44"/>
      <c r="E1953" s="35"/>
      <c r="F1953" s="121"/>
      <c r="G1953" s="122"/>
      <c r="H1953" s="123"/>
      <c r="I1953" s="10"/>
      <c r="J1953" s="10"/>
      <c r="K1953" s="7"/>
      <c r="L1953" s="7"/>
      <c r="M1953" s="7"/>
      <c r="N1953" s="10"/>
      <c r="O1953" s="113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t="15.75" customHeight="1">
      <c r="A1954" s="10"/>
      <c r="B1954" s="7"/>
      <c r="C1954" s="10"/>
      <c r="D1954" s="44"/>
      <c r="E1954" s="35"/>
      <c r="F1954" s="121"/>
      <c r="G1954" s="122"/>
      <c r="H1954" s="123"/>
      <c r="I1954" s="10"/>
      <c r="J1954" s="10"/>
      <c r="K1954" s="7"/>
      <c r="L1954" s="7"/>
      <c r="M1954" s="7"/>
      <c r="N1954" s="10"/>
      <c r="O1954" s="113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t="15.75" customHeight="1">
      <c r="A1955" s="10"/>
      <c r="B1955" s="7"/>
      <c r="C1955" s="10"/>
      <c r="D1955" s="44"/>
      <c r="E1955" s="35"/>
      <c r="F1955" s="121"/>
      <c r="G1955" s="122"/>
      <c r="H1955" s="123"/>
      <c r="I1955" s="10"/>
      <c r="J1955" s="10"/>
      <c r="K1955" s="7"/>
      <c r="L1955" s="7"/>
      <c r="M1955" s="7"/>
      <c r="N1955" s="10"/>
      <c r="O1955" s="113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t="15.75" customHeight="1">
      <c r="A1956" s="10"/>
      <c r="B1956" s="7"/>
      <c r="C1956" s="10"/>
      <c r="D1956" s="44"/>
      <c r="E1956" s="35"/>
      <c r="F1956" s="121"/>
      <c r="G1956" s="122"/>
      <c r="H1956" s="123"/>
      <c r="I1956" s="10"/>
      <c r="J1956" s="10"/>
      <c r="K1956" s="7"/>
      <c r="L1956" s="7"/>
      <c r="M1956" s="7"/>
      <c r="N1956" s="10"/>
      <c r="O1956" s="113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t="15.75" customHeight="1">
      <c r="A1957" s="10"/>
      <c r="B1957" s="7"/>
      <c r="C1957" s="10"/>
      <c r="D1957" s="44"/>
      <c r="E1957" s="35"/>
      <c r="F1957" s="121"/>
      <c r="G1957" s="122"/>
      <c r="H1957" s="123"/>
      <c r="I1957" s="10"/>
      <c r="J1957" s="10"/>
      <c r="K1957" s="7"/>
      <c r="L1957" s="7"/>
      <c r="M1957" s="7"/>
      <c r="N1957" s="10"/>
      <c r="O1957" s="113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t="15.75" customHeight="1">
      <c r="A1958" s="10"/>
      <c r="B1958" s="7"/>
      <c r="C1958" s="10"/>
      <c r="D1958" s="44"/>
      <c r="E1958" s="35"/>
      <c r="F1958" s="121"/>
      <c r="G1958" s="122"/>
      <c r="H1958" s="123"/>
      <c r="I1958" s="10"/>
      <c r="J1958" s="10"/>
      <c r="K1958" s="7"/>
      <c r="L1958" s="7"/>
      <c r="M1958" s="7"/>
      <c r="N1958" s="10"/>
      <c r="O1958" s="113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t="15.75" customHeight="1">
      <c r="A1959" s="10"/>
      <c r="B1959" s="7"/>
      <c r="C1959" s="10"/>
      <c r="D1959" s="44"/>
      <c r="E1959" s="35"/>
      <c r="F1959" s="121"/>
      <c r="G1959" s="122"/>
      <c r="H1959" s="123"/>
      <c r="I1959" s="10"/>
      <c r="J1959" s="10"/>
      <c r="K1959" s="7"/>
      <c r="L1959" s="7"/>
      <c r="M1959" s="7"/>
      <c r="N1959" s="10"/>
      <c r="O1959" s="113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t="15.75" customHeight="1">
      <c r="A1960" s="10"/>
      <c r="B1960" s="7"/>
      <c r="C1960" s="10"/>
      <c r="D1960" s="44"/>
      <c r="E1960" s="35"/>
      <c r="F1960" s="121"/>
      <c r="G1960" s="122"/>
      <c r="H1960" s="123"/>
      <c r="I1960" s="10"/>
      <c r="J1960" s="10"/>
      <c r="K1960" s="7"/>
      <c r="L1960" s="7"/>
      <c r="M1960" s="7"/>
      <c r="N1960" s="10"/>
      <c r="O1960" s="113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t="15.75" customHeight="1">
      <c r="A1961" s="10"/>
      <c r="B1961" s="7"/>
      <c r="C1961" s="10"/>
      <c r="D1961" s="44"/>
      <c r="E1961" s="35"/>
      <c r="F1961" s="121"/>
      <c r="G1961" s="122"/>
      <c r="H1961" s="123"/>
      <c r="I1961" s="10"/>
      <c r="J1961" s="10"/>
      <c r="K1961" s="7"/>
      <c r="L1961" s="7"/>
      <c r="M1961" s="7"/>
      <c r="N1961" s="10"/>
      <c r="O1961" s="113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t="15.75" customHeight="1">
      <c r="A1962" s="10"/>
      <c r="B1962" s="7"/>
      <c r="C1962" s="10"/>
      <c r="D1962" s="44"/>
      <c r="E1962" s="35"/>
      <c r="F1962" s="121"/>
      <c r="G1962" s="122"/>
      <c r="H1962" s="123"/>
      <c r="I1962" s="10"/>
      <c r="J1962" s="10"/>
      <c r="K1962" s="7"/>
      <c r="L1962" s="7"/>
      <c r="M1962" s="7"/>
      <c r="N1962" s="10"/>
      <c r="O1962" s="113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t="15.75" customHeight="1">
      <c r="A1963" s="10"/>
      <c r="B1963" s="7"/>
      <c r="C1963" s="10"/>
      <c r="D1963" s="44"/>
      <c r="E1963" s="35"/>
      <c r="F1963" s="121"/>
      <c r="G1963" s="122"/>
      <c r="H1963" s="123"/>
      <c r="I1963" s="10"/>
      <c r="J1963" s="10"/>
      <c r="K1963" s="7"/>
      <c r="L1963" s="7"/>
      <c r="M1963" s="7"/>
      <c r="N1963" s="10"/>
      <c r="O1963" s="113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t="15.75" customHeight="1">
      <c r="A1964" s="10"/>
      <c r="B1964" s="7"/>
      <c r="C1964" s="10"/>
      <c r="D1964" s="44"/>
      <c r="E1964" s="35"/>
      <c r="F1964" s="121"/>
      <c r="G1964" s="122"/>
      <c r="H1964" s="123"/>
      <c r="I1964" s="10"/>
      <c r="J1964" s="10"/>
      <c r="K1964" s="7"/>
      <c r="L1964" s="7"/>
      <c r="M1964" s="7"/>
      <c r="N1964" s="10"/>
      <c r="O1964" s="113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t="15.75" customHeight="1">
      <c r="A1965" s="10"/>
      <c r="B1965" s="7"/>
      <c r="C1965" s="10"/>
      <c r="D1965" s="44"/>
      <c r="E1965" s="35"/>
      <c r="F1965" s="121"/>
      <c r="G1965" s="122"/>
      <c r="H1965" s="123"/>
      <c r="I1965" s="10"/>
      <c r="J1965" s="10"/>
      <c r="K1965" s="7"/>
      <c r="L1965" s="7"/>
      <c r="M1965" s="7"/>
      <c r="N1965" s="10"/>
      <c r="O1965" s="113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t="15.75" customHeight="1">
      <c r="A1966" s="10"/>
      <c r="B1966" s="7"/>
      <c r="C1966" s="10"/>
      <c r="D1966" s="44"/>
      <c r="E1966" s="35"/>
      <c r="F1966" s="121"/>
      <c r="G1966" s="122"/>
      <c r="H1966" s="123"/>
      <c r="I1966" s="10"/>
      <c r="J1966" s="10"/>
      <c r="K1966" s="7"/>
      <c r="L1966" s="7"/>
      <c r="M1966" s="7"/>
      <c r="N1966" s="10"/>
      <c r="O1966" s="113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t="15.75" customHeight="1">
      <c r="A1967" s="10"/>
      <c r="B1967" s="7"/>
      <c r="C1967" s="10"/>
      <c r="D1967" s="44"/>
      <c r="E1967" s="35"/>
      <c r="F1967" s="121"/>
      <c r="G1967" s="122"/>
      <c r="H1967" s="123"/>
      <c r="I1967" s="10"/>
      <c r="J1967" s="10"/>
      <c r="K1967" s="7"/>
      <c r="L1967" s="7"/>
      <c r="M1967" s="7"/>
      <c r="N1967" s="10"/>
      <c r="O1967" s="113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t="15.75" customHeight="1">
      <c r="A1968" s="10"/>
      <c r="B1968" s="7"/>
      <c r="C1968" s="10"/>
      <c r="D1968" s="44"/>
      <c r="E1968" s="35"/>
      <c r="F1968" s="121"/>
      <c r="G1968" s="122"/>
      <c r="H1968" s="123"/>
      <c r="I1968" s="10"/>
      <c r="J1968" s="10"/>
      <c r="K1968" s="7"/>
      <c r="L1968" s="7"/>
      <c r="M1968" s="7"/>
      <c r="N1968" s="10"/>
      <c r="O1968" s="113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t="15.75" customHeight="1">
      <c r="A1969" s="10"/>
      <c r="B1969" s="7"/>
      <c r="C1969" s="10"/>
      <c r="D1969" s="44"/>
      <c r="E1969" s="35"/>
      <c r="F1969" s="121"/>
      <c r="G1969" s="122"/>
      <c r="H1969" s="123"/>
      <c r="I1969" s="10"/>
      <c r="J1969" s="10"/>
      <c r="K1969" s="7"/>
      <c r="L1969" s="7"/>
      <c r="M1969" s="7"/>
      <c r="N1969" s="10"/>
      <c r="O1969" s="113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t="15.75" customHeight="1">
      <c r="A1970" s="10"/>
      <c r="B1970" s="7"/>
      <c r="C1970" s="10"/>
      <c r="D1970" s="44"/>
      <c r="E1970" s="35"/>
      <c r="F1970" s="121"/>
      <c r="G1970" s="122"/>
      <c r="H1970" s="123"/>
      <c r="I1970" s="10"/>
      <c r="J1970" s="10"/>
      <c r="K1970" s="7"/>
      <c r="L1970" s="7"/>
      <c r="M1970" s="7"/>
      <c r="N1970" s="10"/>
      <c r="O1970" s="113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t="15.75" customHeight="1">
      <c r="A1971" s="10"/>
      <c r="B1971" s="7"/>
      <c r="C1971" s="10"/>
      <c r="D1971" s="44"/>
      <c r="E1971" s="35"/>
      <c r="F1971" s="121"/>
      <c r="G1971" s="122"/>
      <c r="H1971" s="123"/>
      <c r="I1971" s="10"/>
      <c r="J1971" s="10"/>
      <c r="K1971" s="7"/>
      <c r="L1971" s="7"/>
      <c r="M1971" s="7"/>
      <c r="N1971" s="10"/>
      <c r="O1971" s="113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t="15.75" customHeight="1">
      <c r="A1972" s="10"/>
      <c r="B1972" s="7"/>
      <c r="C1972" s="10"/>
      <c r="D1972" s="44"/>
      <c r="E1972" s="35"/>
      <c r="F1972" s="121"/>
      <c r="G1972" s="122"/>
      <c r="H1972" s="123"/>
      <c r="I1972" s="10"/>
      <c r="J1972" s="10"/>
      <c r="K1972" s="7"/>
      <c r="L1972" s="7"/>
      <c r="M1972" s="7"/>
      <c r="N1972" s="10"/>
      <c r="O1972" s="113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t="15.75" customHeight="1">
      <c r="A1973" s="10"/>
      <c r="B1973" s="7"/>
      <c r="C1973" s="10"/>
      <c r="D1973" s="44"/>
      <c r="E1973" s="35"/>
      <c r="F1973" s="121"/>
      <c r="G1973" s="122"/>
      <c r="H1973" s="123"/>
      <c r="I1973" s="10"/>
      <c r="J1973" s="10"/>
      <c r="K1973" s="7"/>
      <c r="L1973" s="7"/>
      <c r="M1973" s="7"/>
      <c r="N1973" s="10"/>
      <c r="O1973" s="113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t="15.75" customHeight="1">
      <c r="A1974" s="10"/>
      <c r="B1974" s="7"/>
      <c r="C1974" s="10"/>
      <c r="D1974" s="44"/>
      <c r="E1974" s="35"/>
      <c r="F1974" s="121"/>
      <c r="G1974" s="122"/>
      <c r="H1974" s="123"/>
      <c r="I1974" s="10"/>
      <c r="J1974" s="10"/>
      <c r="K1974" s="7"/>
      <c r="L1974" s="7"/>
      <c r="M1974" s="7"/>
      <c r="N1974" s="10"/>
      <c r="O1974" s="113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t="15.75" customHeight="1">
      <c r="A1975" s="10"/>
      <c r="B1975" s="7"/>
      <c r="C1975" s="10"/>
      <c r="D1975" s="44"/>
      <c r="E1975" s="35"/>
      <c r="F1975" s="121"/>
      <c r="G1975" s="122"/>
      <c r="H1975" s="123"/>
      <c r="I1975" s="10"/>
      <c r="J1975" s="10"/>
      <c r="K1975" s="7"/>
      <c r="L1975" s="7"/>
      <c r="M1975" s="7"/>
      <c r="N1975" s="10"/>
      <c r="O1975" s="113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t="15.75" customHeight="1">
      <c r="A1976" s="10"/>
      <c r="B1976" s="7"/>
      <c r="C1976" s="10"/>
      <c r="D1976" s="44"/>
      <c r="E1976" s="35"/>
      <c r="F1976" s="121"/>
      <c r="G1976" s="122"/>
      <c r="H1976" s="123"/>
      <c r="I1976" s="10"/>
      <c r="J1976" s="10"/>
      <c r="K1976" s="7"/>
      <c r="L1976" s="7"/>
      <c r="M1976" s="7"/>
      <c r="N1976" s="10"/>
      <c r="O1976" s="113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t="15.75" customHeight="1">
      <c r="A1977" s="10"/>
      <c r="B1977" s="7"/>
      <c r="C1977" s="10"/>
      <c r="D1977" s="44"/>
      <c r="E1977" s="35"/>
      <c r="F1977" s="121"/>
      <c r="G1977" s="122"/>
      <c r="H1977" s="123"/>
      <c r="I1977" s="10"/>
      <c r="J1977" s="10"/>
      <c r="K1977" s="7"/>
      <c r="L1977" s="7"/>
      <c r="M1977" s="7"/>
      <c r="N1977" s="10"/>
      <c r="O1977" s="113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t="15.75" customHeight="1">
      <c r="A1978" s="10"/>
      <c r="B1978" s="7"/>
      <c r="C1978" s="10"/>
      <c r="D1978" s="44"/>
      <c r="E1978" s="35"/>
      <c r="F1978" s="121"/>
      <c r="G1978" s="122"/>
      <c r="H1978" s="123"/>
      <c r="I1978" s="10"/>
      <c r="J1978" s="10"/>
      <c r="K1978" s="7"/>
      <c r="L1978" s="7"/>
      <c r="M1978" s="7"/>
      <c r="N1978" s="10"/>
      <c r="O1978" s="113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t="15.75" customHeight="1">
      <c r="A1979" s="10"/>
      <c r="B1979" s="7"/>
      <c r="C1979" s="10"/>
      <c r="D1979" s="44"/>
      <c r="E1979" s="35"/>
      <c r="F1979" s="121"/>
      <c r="G1979" s="122"/>
      <c r="H1979" s="123"/>
      <c r="I1979" s="10"/>
      <c r="J1979" s="10"/>
      <c r="K1979" s="7"/>
      <c r="L1979" s="7"/>
      <c r="M1979" s="7"/>
      <c r="N1979" s="10"/>
      <c r="O1979" s="113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t="15.75" customHeight="1">
      <c r="A1980" s="10"/>
      <c r="B1980" s="7"/>
      <c r="C1980" s="10"/>
      <c r="D1980" s="44"/>
      <c r="E1980" s="35"/>
      <c r="F1980" s="121"/>
      <c r="G1980" s="122"/>
      <c r="H1980" s="123"/>
      <c r="I1980" s="10"/>
      <c r="J1980" s="10"/>
      <c r="K1980" s="7"/>
      <c r="L1980" s="7"/>
      <c r="M1980" s="7"/>
      <c r="N1980" s="10"/>
      <c r="O1980" s="113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t="15.75" customHeight="1">
      <c r="A1981" s="10"/>
      <c r="B1981" s="7"/>
      <c r="C1981" s="10"/>
      <c r="D1981" s="44"/>
      <c r="E1981" s="35"/>
      <c r="F1981" s="121"/>
      <c r="G1981" s="122"/>
      <c r="H1981" s="123"/>
      <c r="I1981" s="10"/>
      <c r="J1981" s="10"/>
      <c r="K1981" s="7"/>
      <c r="L1981" s="7"/>
      <c r="M1981" s="7"/>
      <c r="N1981" s="10"/>
      <c r="O1981" s="113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t="15.75" customHeight="1">
      <c r="A1982" s="10"/>
      <c r="B1982" s="7"/>
      <c r="C1982" s="10"/>
      <c r="D1982" s="44"/>
      <c r="E1982" s="35"/>
      <c r="F1982" s="121"/>
      <c r="G1982" s="122"/>
      <c r="H1982" s="123"/>
      <c r="I1982" s="10"/>
      <c r="J1982" s="10"/>
      <c r="K1982" s="7"/>
      <c r="L1982" s="7"/>
      <c r="M1982" s="7"/>
      <c r="N1982" s="10"/>
      <c r="O1982" s="113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t="15.75" customHeight="1">
      <c r="A1983" s="10"/>
      <c r="B1983" s="7"/>
      <c r="C1983" s="10"/>
      <c r="D1983" s="44"/>
      <c r="E1983" s="35"/>
      <c r="F1983" s="121"/>
      <c r="G1983" s="122"/>
      <c r="H1983" s="123"/>
      <c r="I1983" s="10"/>
      <c r="J1983" s="10"/>
      <c r="K1983" s="7"/>
      <c r="L1983" s="7"/>
      <c r="M1983" s="7"/>
      <c r="N1983" s="10"/>
      <c r="O1983" s="113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t="15.75" customHeight="1">
      <c r="A1984" s="10"/>
      <c r="B1984" s="7"/>
      <c r="C1984" s="10"/>
      <c r="D1984" s="44"/>
      <c r="E1984" s="35"/>
      <c r="F1984" s="121"/>
      <c r="G1984" s="122"/>
      <c r="H1984" s="123"/>
      <c r="I1984" s="10"/>
      <c r="J1984" s="10"/>
      <c r="K1984" s="7"/>
      <c r="L1984" s="7"/>
      <c r="M1984" s="7"/>
      <c r="N1984" s="10"/>
      <c r="O1984" s="113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t="15.75" customHeight="1">
      <c r="A1985" s="10"/>
      <c r="B1985" s="7"/>
      <c r="C1985" s="10"/>
      <c r="D1985" s="44"/>
      <c r="E1985" s="35"/>
      <c r="F1985" s="121"/>
      <c r="G1985" s="122"/>
      <c r="H1985" s="123"/>
      <c r="I1985" s="10"/>
      <c r="J1985" s="10"/>
      <c r="K1985" s="7"/>
      <c r="L1985" s="7"/>
      <c r="M1985" s="7"/>
      <c r="N1985" s="10"/>
      <c r="O1985" s="113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t="15.75" customHeight="1">
      <c r="A1986" s="10"/>
      <c r="B1986" s="7"/>
      <c r="C1986" s="10"/>
      <c r="D1986" s="44"/>
      <c r="E1986" s="35"/>
      <c r="F1986" s="121"/>
      <c r="G1986" s="122"/>
      <c r="H1986" s="123"/>
      <c r="I1986" s="10"/>
      <c r="J1986" s="10"/>
      <c r="K1986" s="7"/>
      <c r="L1986" s="7"/>
      <c r="M1986" s="7"/>
      <c r="N1986" s="10"/>
      <c r="O1986" s="113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t="15.75" customHeight="1">
      <c r="A1987" s="10"/>
      <c r="B1987" s="7"/>
      <c r="C1987" s="10"/>
      <c r="D1987" s="44"/>
      <c r="E1987" s="35"/>
      <c r="F1987" s="121"/>
      <c r="G1987" s="122"/>
      <c r="H1987" s="123"/>
      <c r="I1987" s="10"/>
      <c r="J1987" s="10"/>
      <c r="K1987" s="7"/>
      <c r="L1987" s="7"/>
      <c r="M1987" s="7"/>
      <c r="N1987" s="10"/>
      <c r="O1987" s="113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t="15.75" customHeight="1">
      <c r="A1988" s="10"/>
      <c r="B1988" s="7"/>
      <c r="C1988" s="10"/>
      <c r="D1988" s="44"/>
      <c r="E1988" s="35"/>
      <c r="F1988" s="121"/>
      <c r="G1988" s="122"/>
      <c r="H1988" s="123"/>
      <c r="I1988" s="10"/>
      <c r="J1988" s="10"/>
      <c r="K1988" s="7"/>
      <c r="L1988" s="7"/>
      <c r="M1988" s="7"/>
      <c r="N1988" s="10"/>
      <c r="O1988" s="113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t="15.75" customHeight="1">
      <c r="A1989" s="10"/>
      <c r="B1989" s="7"/>
      <c r="C1989" s="10"/>
      <c r="D1989" s="44"/>
      <c r="E1989" s="35"/>
      <c r="F1989" s="121"/>
      <c r="G1989" s="122"/>
      <c r="H1989" s="123"/>
      <c r="I1989" s="10"/>
      <c r="J1989" s="10"/>
      <c r="K1989" s="7"/>
      <c r="L1989" s="7"/>
      <c r="M1989" s="7"/>
      <c r="N1989" s="10"/>
      <c r="O1989" s="113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t="15.75" customHeight="1">
      <c r="A1990" s="10"/>
      <c r="B1990" s="7"/>
      <c r="C1990" s="10"/>
      <c r="D1990" s="44"/>
      <c r="E1990" s="35"/>
      <c r="F1990" s="121"/>
      <c r="G1990" s="122"/>
      <c r="H1990" s="123"/>
      <c r="I1990" s="10"/>
      <c r="J1990" s="10"/>
      <c r="K1990" s="7"/>
      <c r="L1990" s="7"/>
      <c r="M1990" s="7"/>
      <c r="N1990" s="10"/>
      <c r="O1990" s="113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t="15.75" customHeight="1">
      <c r="A1991" s="10"/>
      <c r="B1991" s="7"/>
      <c r="C1991" s="10"/>
      <c r="D1991" s="44"/>
      <c r="E1991" s="35"/>
      <c r="F1991" s="121"/>
      <c r="G1991" s="122"/>
      <c r="H1991" s="123"/>
      <c r="I1991" s="10"/>
      <c r="J1991" s="10"/>
      <c r="K1991" s="7"/>
      <c r="L1991" s="7"/>
      <c r="M1991" s="7"/>
      <c r="N1991" s="10"/>
      <c r="O1991" s="113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t="15.75" customHeight="1">
      <c r="A1992" s="10"/>
      <c r="B1992" s="7"/>
      <c r="C1992" s="10"/>
      <c r="D1992" s="44"/>
      <c r="E1992" s="35"/>
      <c r="F1992" s="121"/>
      <c r="G1992" s="122"/>
      <c r="H1992" s="123"/>
      <c r="I1992" s="10"/>
      <c r="J1992" s="10"/>
      <c r="K1992" s="7"/>
      <c r="L1992" s="7"/>
      <c r="M1992" s="7"/>
      <c r="N1992" s="10"/>
      <c r="O1992" s="113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t="15.75" customHeight="1">
      <c r="A1993" s="10"/>
      <c r="B1993" s="7"/>
      <c r="C1993" s="10"/>
      <c r="D1993" s="44"/>
      <c r="E1993" s="35"/>
      <c r="F1993" s="121"/>
      <c r="G1993" s="122"/>
      <c r="H1993" s="123"/>
      <c r="I1993" s="10"/>
      <c r="J1993" s="10"/>
      <c r="K1993" s="7"/>
      <c r="L1993" s="7"/>
      <c r="M1993" s="7"/>
      <c r="N1993" s="10"/>
      <c r="O1993" s="113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t="15.75" customHeight="1">
      <c r="A1994" s="10"/>
      <c r="B1994" s="7"/>
      <c r="C1994" s="10"/>
      <c r="D1994" s="44"/>
      <c r="E1994" s="35"/>
      <c r="F1994" s="121"/>
      <c r="G1994" s="122"/>
      <c r="H1994" s="123"/>
      <c r="I1994" s="10"/>
      <c r="J1994" s="10"/>
      <c r="K1994" s="7"/>
      <c r="L1994" s="7"/>
      <c r="M1994" s="7"/>
      <c r="N1994" s="10"/>
      <c r="O1994" s="113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t="15.75" customHeight="1">
      <c r="A1995" s="10"/>
      <c r="B1995" s="7"/>
      <c r="C1995" s="10"/>
      <c r="D1995" s="44"/>
      <c r="E1995" s="35"/>
      <c r="F1995" s="121"/>
      <c r="G1995" s="122"/>
      <c r="H1995" s="123"/>
      <c r="I1995" s="10"/>
      <c r="J1995" s="10"/>
      <c r="K1995" s="7"/>
      <c r="L1995" s="7"/>
      <c r="M1995" s="7"/>
      <c r="N1995" s="10"/>
      <c r="O1995" s="113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t="15.75" customHeight="1">
      <c r="A1996" s="10"/>
      <c r="B1996" s="7"/>
      <c r="C1996" s="10"/>
      <c r="D1996" s="44"/>
      <c r="E1996" s="35"/>
      <c r="F1996" s="121"/>
      <c r="G1996" s="122"/>
      <c r="H1996" s="123"/>
      <c r="I1996" s="10"/>
      <c r="J1996" s="10"/>
      <c r="K1996" s="7"/>
      <c r="L1996" s="7"/>
      <c r="M1996" s="7"/>
      <c r="N1996" s="10"/>
      <c r="O1996" s="113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t="15.75" customHeight="1">
      <c r="A1997" s="10"/>
      <c r="B1997" s="7"/>
      <c r="C1997" s="10"/>
      <c r="D1997" s="44"/>
      <c r="E1997" s="35"/>
      <c r="F1997" s="121"/>
      <c r="G1997" s="122"/>
      <c r="H1997" s="123"/>
      <c r="I1997" s="10"/>
      <c r="J1997" s="10"/>
      <c r="K1997" s="7"/>
      <c r="L1997" s="7"/>
      <c r="M1997" s="7"/>
      <c r="N1997" s="10"/>
      <c r="O1997" s="113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t="15.75" customHeight="1">
      <c r="A1998" s="10"/>
      <c r="B1998" s="7"/>
      <c r="C1998" s="10"/>
      <c r="D1998" s="44"/>
      <c r="E1998" s="35"/>
      <c r="F1998" s="121"/>
      <c r="G1998" s="122"/>
      <c r="H1998" s="123"/>
      <c r="I1998" s="10"/>
      <c r="J1998" s="10"/>
      <c r="K1998" s="7"/>
      <c r="L1998" s="7"/>
      <c r="M1998" s="7"/>
      <c r="N1998" s="10"/>
      <c r="O1998" s="113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t="15.75" customHeight="1">
      <c r="A1999" s="10"/>
      <c r="B1999" s="7"/>
      <c r="C1999" s="10"/>
      <c r="D1999" s="44"/>
      <c r="E1999" s="35"/>
      <c r="F1999" s="121"/>
      <c r="G1999" s="122"/>
      <c r="H1999" s="123"/>
      <c r="I1999" s="10"/>
      <c r="J1999" s="10"/>
      <c r="K1999" s="7"/>
      <c r="L1999" s="7"/>
      <c r="M1999" s="7"/>
      <c r="N1999" s="10"/>
      <c r="O1999" s="113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t="15.75" customHeight="1">
      <c r="A2000" s="10"/>
      <c r="B2000" s="7"/>
      <c r="C2000" s="10"/>
      <c r="D2000" s="44"/>
      <c r="E2000" s="35"/>
      <c r="F2000" s="121"/>
      <c r="G2000" s="122"/>
      <c r="H2000" s="123"/>
      <c r="I2000" s="10"/>
      <c r="J2000" s="10"/>
      <c r="K2000" s="7"/>
      <c r="L2000" s="7"/>
      <c r="M2000" s="7"/>
      <c r="N2000" s="10"/>
      <c r="O2000" s="113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t="15.75" customHeight="1">
      <c r="A2001" s="10"/>
      <c r="B2001" s="7"/>
      <c r="C2001" s="10"/>
      <c r="D2001" s="44"/>
      <c r="E2001" s="35"/>
      <c r="F2001" s="121"/>
      <c r="G2001" s="122"/>
      <c r="H2001" s="123"/>
      <c r="I2001" s="10"/>
      <c r="J2001" s="10"/>
      <c r="K2001" s="7"/>
      <c r="L2001" s="7"/>
      <c r="M2001" s="7"/>
      <c r="N2001" s="10"/>
      <c r="O2001" s="113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t="15.75" customHeight="1">
      <c r="A2002" s="10"/>
      <c r="B2002" s="7"/>
      <c r="C2002" s="10"/>
      <c r="D2002" s="44"/>
      <c r="E2002" s="35"/>
      <c r="F2002" s="121"/>
      <c r="G2002" s="122"/>
      <c r="H2002" s="123"/>
      <c r="I2002" s="10"/>
      <c r="J2002" s="10"/>
      <c r="K2002" s="7"/>
      <c r="L2002" s="7"/>
      <c r="M2002" s="7"/>
      <c r="N2002" s="10"/>
      <c r="O2002" s="113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t="15.75" customHeight="1">
      <c r="A2003" s="10"/>
      <c r="B2003" s="7"/>
      <c r="C2003" s="10"/>
      <c r="D2003" s="44"/>
      <c r="E2003" s="35"/>
      <c r="F2003" s="121"/>
      <c r="G2003" s="122"/>
      <c r="H2003" s="123"/>
      <c r="I2003" s="10"/>
      <c r="J2003" s="10"/>
      <c r="K2003" s="7"/>
      <c r="L2003" s="7"/>
      <c r="M2003" s="7"/>
      <c r="N2003" s="10"/>
      <c r="O2003" s="113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t="15.75" customHeight="1">
      <c r="A2004" s="10"/>
      <c r="B2004" s="7"/>
      <c r="C2004" s="10"/>
      <c r="D2004" s="44"/>
      <c r="E2004" s="35"/>
      <c r="F2004" s="121"/>
      <c r="G2004" s="122"/>
      <c r="H2004" s="123"/>
      <c r="I2004" s="10"/>
      <c r="J2004" s="10"/>
      <c r="K2004" s="7"/>
      <c r="L2004" s="7"/>
      <c r="M2004" s="7"/>
      <c r="N2004" s="10"/>
      <c r="O2004" s="113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t="15.75" customHeight="1">
      <c r="A2005" s="10"/>
      <c r="B2005" s="7"/>
      <c r="C2005" s="10"/>
      <c r="D2005" s="44"/>
      <c r="E2005" s="35"/>
      <c r="F2005" s="121"/>
      <c r="G2005" s="122"/>
      <c r="H2005" s="123"/>
      <c r="I2005" s="10"/>
      <c r="J2005" s="10"/>
      <c r="K2005" s="7"/>
      <c r="L2005" s="7"/>
      <c r="M2005" s="7"/>
      <c r="N2005" s="10"/>
      <c r="O2005" s="113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t="15.75" customHeight="1">
      <c r="A2006" s="10"/>
      <c r="B2006" s="7"/>
      <c r="C2006" s="10"/>
      <c r="D2006" s="44"/>
      <c r="E2006" s="35"/>
      <c r="F2006" s="121"/>
      <c r="G2006" s="122"/>
      <c r="H2006" s="123"/>
      <c r="I2006" s="10"/>
      <c r="J2006" s="10"/>
      <c r="K2006" s="7"/>
      <c r="L2006" s="7"/>
      <c r="M2006" s="7"/>
      <c r="N2006" s="10"/>
      <c r="O2006" s="113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t="15.75" customHeight="1">
      <c r="A2007" s="10"/>
      <c r="B2007" s="7"/>
      <c r="C2007" s="10"/>
      <c r="D2007" s="44"/>
      <c r="E2007" s="35"/>
      <c r="F2007" s="121"/>
      <c r="G2007" s="122"/>
      <c r="H2007" s="123"/>
      <c r="I2007" s="10"/>
      <c r="J2007" s="10"/>
      <c r="K2007" s="7"/>
      <c r="L2007" s="7"/>
      <c r="M2007" s="7"/>
      <c r="N2007" s="10"/>
      <c r="O2007" s="113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t="15.75" customHeight="1">
      <c r="A2008" s="10"/>
      <c r="B2008" s="7"/>
      <c r="C2008" s="10"/>
      <c r="D2008" s="44"/>
      <c r="E2008" s="35"/>
      <c r="F2008" s="121"/>
      <c r="G2008" s="122"/>
      <c r="H2008" s="123"/>
      <c r="I2008" s="10"/>
      <c r="J2008" s="10"/>
      <c r="K2008" s="7"/>
      <c r="L2008" s="7"/>
      <c r="M2008" s="7"/>
      <c r="N2008" s="10"/>
      <c r="O2008" s="113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t="15.75" customHeight="1">
      <c r="A2009" s="10"/>
      <c r="B2009" s="7"/>
      <c r="C2009" s="10"/>
      <c r="D2009" s="44"/>
      <c r="E2009" s="35"/>
      <c r="F2009" s="121"/>
      <c r="G2009" s="122"/>
      <c r="H2009" s="123"/>
      <c r="I2009" s="10"/>
      <c r="J2009" s="10"/>
      <c r="K2009" s="7"/>
      <c r="L2009" s="7"/>
      <c r="M2009" s="7"/>
      <c r="N2009" s="10"/>
      <c r="O2009" s="113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t="15.75" customHeight="1">
      <c r="A2010" s="10"/>
      <c r="B2010" s="7"/>
      <c r="C2010" s="10"/>
      <c r="D2010" s="44"/>
      <c r="E2010" s="35"/>
      <c r="F2010" s="121"/>
      <c r="G2010" s="122"/>
      <c r="H2010" s="123"/>
      <c r="I2010" s="10"/>
      <c r="J2010" s="10"/>
      <c r="K2010" s="7"/>
      <c r="L2010" s="7"/>
      <c r="M2010" s="7"/>
      <c r="N2010" s="10"/>
      <c r="O2010" s="113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t="15.75" customHeight="1">
      <c r="A2011" s="10"/>
      <c r="B2011" s="7"/>
      <c r="C2011" s="10"/>
      <c r="D2011" s="44"/>
      <c r="E2011" s="35"/>
      <c r="F2011" s="121"/>
      <c r="G2011" s="122"/>
      <c r="H2011" s="123"/>
      <c r="I2011" s="10"/>
      <c r="J2011" s="10"/>
      <c r="K2011" s="7"/>
      <c r="L2011" s="7"/>
      <c r="M2011" s="7"/>
      <c r="N2011" s="10"/>
      <c r="O2011" s="113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t="15.75" customHeight="1">
      <c r="A2012" s="10"/>
      <c r="B2012" s="7"/>
      <c r="C2012" s="10"/>
      <c r="D2012" s="44"/>
      <c r="E2012" s="35"/>
      <c r="F2012" s="121"/>
      <c r="G2012" s="122"/>
      <c r="H2012" s="123"/>
      <c r="I2012" s="10"/>
      <c r="J2012" s="10"/>
      <c r="K2012" s="7"/>
      <c r="L2012" s="7"/>
      <c r="M2012" s="7"/>
      <c r="N2012" s="10"/>
      <c r="O2012" s="113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t="15.75" customHeight="1">
      <c r="A2013" s="10"/>
      <c r="B2013" s="7"/>
      <c r="C2013" s="10"/>
      <c r="D2013" s="44"/>
      <c r="E2013" s="35"/>
      <c r="F2013" s="121"/>
      <c r="G2013" s="122"/>
      <c r="H2013" s="123"/>
      <c r="I2013" s="10"/>
      <c r="J2013" s="10"/>
      <c r="K2013" s="7"/>
      <c r="L2013" s="7"/>
      <c r="M2013" s="7"/>
      <c r="N2013" s="10"/>
      <c r="O2013" s="113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t="15.75" customHeight="1">
      <c r="A2014" s="10"/>
      <c r="B2014" s="7"/>
      <c r="C2014" s="10"/>
      <c r="D2014" s="44"/>
      <c r="E2014" s="35"/>
      <c r="F2014" s="121"/>
      <c r="G2014" s="122"/>
      <c r="H2014" s="123"/>
      <c r="I2014" s="10"/>
      <c r="J2014" s="10"/>
      <c r="K2014" s="7"/>
      <c r="L2014" s="7"/>
      <c r="M2014" s="7"/>
      <c r="N2014" s="10"/>
      <c r="O2014" s="113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t="15.75" customHeight="1">
      <c r="A2015" s="10"/>
      <c r="B2015" s="7"/>
      <c r="C2015" s="10"/>
      <c r="D2015" s="44"/>
      <c r="E2015" s="35"/>
      <c r="F2015" s="121"/>
      <c r="G2015" s="122"/>
      <c r="H2015" s="123"/>
      <c r="I2015" s="10"/>
      <c r="J2015" s="10"/>
      <c r="K2015" s="7"/>
      <c r="L2015" s="7"/>
      <c r="M2015" s="7"/>
      <c r="N2015" s="10"/>
      <c r="O2015" s="113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t="15.75" customHeight="1">
      <c r="A2016" s="10"/>
      <c r="B2016" s="7"/>
      <c r="C2016" s="10"/>
      <c r="D2016" s="44"/>
      <c r="E2016" s="35"/>
      <c r="F2016" s="121"/>
      <c r="G2016" s="122"/>
      <c r="H2016" s="123"/>
      <c r="I2016" s="10"/>
      <c r="J2016" s="10"/>
      <c r="K2016" s="7"/>
      <c r="L2016" s="7"/>
      <c r="M2016" s="7"/>
      <c r="N2016" s="10"/>
      <c r="O2016" s="113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t="15.75" customHeight="1">
      <c r="A2017" s="10"/>
      <c r="B2017" s="7"/>
      <c r="C2017" s="10"/>
      <c r="D2017" s="44"/>
      <c r="E2017" s="35"/>
      <c r="F2017" s="121"/>
      <c r="G2017" s="122"/>
      <c r="H2017" s="123"/>
      <c r="I2017" s="10"/>
      <c r="J2017" s="10"/>
      <c r="K2017" s="7"/>
      <c r="L2017" s="7"/>
      <c r="M2017" s="7"/>
      <c r="N2017" s="10"/>
      <c r="O2017" s="113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t="15.75" customHeight="1">
      <c r="A2018" s="10"/>
      <c r="B2018" s="7"/>
      <c r="C2018" s="10"/>
      <c r="D2018" s="44"/>
      <c r="E2018" s="35"/>
      <c r="F2018" s="121"/>
      <c r="G2018" s="122"/>
      <c r="H2018" s="123"/>
      <c r="I2018" s="10"/>
      <c r="J2018" s="10"/>
      <c r="K2018" s="7"/>
      <c r="L2018" s="7"/>
      <c r="M2018" s="7"/>
      <c r="N2018" s="10"/>
      <c r="O2018" s="113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t="15.75" customHeight="1">
      <c r="A2019" s="10"/>
      <c r="B2019" s="7"/>
      <c r="C2019" s="10"/>
      <c r="D2019" s="44"/>
      <c r="E2019" s="35"/>
      <c r="F2019" s="121"/>
      <c r="G2019" s="122"/>
      <c r="H2019" s="123"/>
      <c r="I2019" s="10"/>
      <c r="J2019" s="10"/>
      <c r="K2019" s="7"/>
      <c r="L2019" s="7"/>
      <c r="M2019" s="7"/>
      <c r="N2019" s="10"/>
      <c r="O2019" s="113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t="15.75" customHeight="1">
      <c r="A2020" s="10"/>
      <c r="B2020" s="7"/>
      <c r="C2020" s="10"/>
      <c r="D2020" s="44"/>
      <c r="E2020" s="35"/>
      <c r="F2020" s="121"/>
      <c r="G2020" s="122"/>
      <c r="H2020" s="123"/>
      <c r="I2020" s="10"/>
      <c r="J2020" s="10"/>
      <c r="K2020" s="7"/>
      <c r="L2020" s="7"/>
      <c r="M2020" s="7"/>
      <c r="N2020" s="10"/>
      <c r="O2020" s="113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t="15.75" customHeight="1">
      <c r="A2021" s="10"/>
      <c r="B2021" s="7"/>
      <c r="C2021" s="10"/>
      <c r="D2021" s="44"/>
      <c r="E2021" s="35"/>
      <c r="F2021" s="121"/>
      <c r="G2021" s="122"/>
      <c r="H2021" s="123"/>
      <c r="I2021" s="10"/>
      <c r="J2021" s="10"/>
      <c r="K2021" s="7"/>
      <c r="L2021" s="7"/>
      <c r="M2021" s="7"/>
      <c r="N2021" s="10"/>
      <c r="O2021" s="113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t="15.75" customHeight="1">
      <c r="A2022" s="10"/>
      <c r="B2022" s="7"/>
      <c r="C2022" s="10"/>
      <c r="D2022" s="44"/>
      <c r="E2022" s="35"/>
      <c r="F2022" s="121"/>
      <c r="G2022" s="122"/>
      <c r="H2022" s="123"/>
      <c r="I2022" s="10"/>
      <c r="J2022" s="10"/>
      <c r="K2022" s="7"/>
      <c r="L2022" s="7"/>
      <c r="M2022" s="7"/>
      <c r="N2022" s="10"/>
      <c r="O2022" s="113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t="15.75" customHeight="1">
      <c r="A2023" s="10"/>
      <c r="B2023" s="7"/>
      <c r="C2023" s="10"/>
      <c r="D2023" s="44"/>
      <c r="E2023" s="35"/>
      <c r="F2023" s="121"/>
      <c r="G2023" s="122"/>
      <c r="H2023" s="123"/>
      <c r="I2023" s="10"/>
      <c r="J2023" s="10"/>
      <c r="K2023" s="7"/>
      <c r="L2023" s="7"/>
      <c r="M2023" s="7"/>
      <c r="N2023" s="10"/>
      <c r="O2023" s="113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t="15.75" customHeight="1">
      <c r="A2024" s="10"/>
      <c r="B2024" s="7"/>
      <c r="C2024" s="10"/>
      <c r="D2024" s="44"/>
      <c r="E2024" s="35"/>
      <c r="F2024" s="121"/>
      <c r="G2024" s="122"/>
      <c r="H2024" s="123"/>
      <c r="I2024" s="10"/>
      <c r="J2024" s="10"/>
      <c r="K2024" s="7"/>
      <c r="L2024" s="7"/>
      <c r="M2024" s="7"/>
      <c r="N2024" s="10"/>
      <c r="O2024" s="113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t="15.75" customHeight="1">
      <c r="A2025" s="10"/>
      <c r="B2025" s="7"/>
      <c r="C2025" s="10"/>
      <c r="D2025" s="44"/>
      <c r="E2025" s="35"/>
      <c r="F2025" s="121"/>
      <c r="G2025" s="122"/>
      <c r="H2025" s="123"/>
      <c r="I2025" s="10"/>
      <c r="J2025" s="10"/>
      <c r="K2025" s="7"/>
      <c r="L2025" s="7"/>
      <c r="M2025" s="7"/>
      <c r="N2025" s="10"/>
      <c r="O2025" s="113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t="15.75" customHeight="1">
      <c r="A2026" s="10"/>
      <c r="B2026" s="7"/>
      <c r="C2026" s="10"/>
      <c r="D2026" s="44"/>
      <c r="E2026" s="35"/>
      <c r="F2026" s="121"/>
      <c r="G2026" s="122"/>
      <c r="H2026" s="123"/>
      <c r="I2026" s="10"/>
      <c r="J2026" s="10"/>
      <c r="K2026" s="7"/>
      <c r="L2026" s="7"/>
      <c r="M2026" s="7"/>
      <c r="N2026" s="10"/>
      <c r="O2026" s="113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t="15.75" customHeight="1">
      <c r="A2027" s="10"/>
      <c r="B2027" s="7"/>
      <c r="C2027" s="10"/>
      <c r="D2027" s="44"/>
      <c r="E2027" s="35"/>
      <c r="F2027" s="121"/>
      <c r="G2027" s="122"/>
      <c r="H2027" s="123"/>
      <c r="I2027" s="10"/>
      <c r="J2027" s="10"/>
      <c r="K2027" s="7"/>
      <c r="L2027" s="7"/>
      <c r="M2027" s="7"/>
      <c r="N2027" s="10"/>
      <c r="O2027" s="113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t="15.75" customHeight="1">
      <c r="A2028" s="10"/>
      <c r="B2028" s="7"/>
      <c r="C2028" s="10"/>
      <c r="D2028" s="44"/>
      <c r="E2028" s="35"/>
      <c r="F2028" s="121"/>
      <c r="G2028" s="122"/>
      <c r="H2028" s="123"/>
      <c r="I2028" s="10"/>
      <c r="J2028" s="10"/>
      <c r="K2028" s="7"/>
      <c r="L2028" s="7"/>
      <c r="M2028" s="7"/>
      <c r="N2028" s="10"/>
      <c r="O2028" s="113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t="15.75" customHeight="1">
      <c r="A2029" s="10"/>
      <c r="B2029" s="7"/>
      <c r="C2029" s="10"/>
      <c r="D2029" s="44"/>
      <c r="E2029" s="35"/>
      <c r="F2029" s="121"/>
      <c r="G2029" s="122"/>
      <c r="H2029" s="123"/>
      <c r="I2029" s="10"/>
      <c r="J2029" s="10"/>
      <c r="K2029" s="7"/>
      <c r="L2029" s="7"/>
      <c r="M2029" s="7"/>
      <c r="N2029" s="10"/>
      <c r="O2029" s="113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t="15.75" customHeight="1">
      <c r="A2030" s="10"/>
      <c r="B2030" s="7"/>
      <c r="C2030" s="10"/>
      <c r="D2030" s="44"/>
      <c r="E2030" s="35"/>
      <c r="F2030" s="121"/>
      <c r="G2030" s="122"/>
      <c r="H2030" s="123"/>
      <c r="I2030" s="10"/>
      <c r="J2030" s="10"/>
      <c r="K2030" s="7"/>
      <c r="L2030" s="7"/>
      <c r="M2030" s="7"/>
      <c r="N2030" s="10"/>
      <c r="O2030" s="113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t="15.75" customHeight="1">
      <c r="A2031" s="10"/>
      <c r="B2031" s="7"/>
      <c r="C2031" s="10"/>
      <c r="D2031" s="44"/>
      <c r="E2031" s="35"/>
      <c r="F2031" s="121"/>
      <c r="G2031" s="122"/>
      <c r="H2031" s="123"/>
      <c r="I2031" s="10"/>
      <c r="J2031" s="10"/>
      <c r="K2031" s="7"/>
      <c r="L2031" s="7"/>
      <c r="M2031" s="7"/>
      <c r="N2031" s="10"/>
      <c r="O2031" s="113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t="15.75" customHeight="1">
      <c r="A2032" s="10"/>
      <c r="B2032" s="7"/>
      <c r="C2032" s="10"/>
      <c r="D2032" s="44"/>
      <c r="E2032" s="35"/>
      <c r="F2032" s="121"/>
      <c r="G2032" s="122"/>
      <c r="H2032" s="123"/>
      <c r="I2032" s="10"/>
      <c r="J2032" s="10"/>
      <c r="K2032" s="7"/>
      <c r="L2032" s="7"/>
      <c r="M2032" s="7"/>
      <c r="N2032" s="10"/>
      <c r="O2032" s="113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t="15.75" customHeight="1">
      <c r="A2033" s="10"/>
      <c r="B2033" s="7"/>
      <c r="C2033" s="10"/>
      <c r="D2033" s="44"/>
      <c r="E2033" s="35"/>
      <c r="F2033" s="121"/>
      <c r="G2033" s="122"/>
      <c r="H2033" s="123"/>
      <c r="I2033" s="10"/>
      <c r="J2033" s="10"/>
      <c r="K2033" s="7"/>
      <c r="L2033" s="7"/>
      <c r="M2033" s="7"/>
      <c r="N2033" s="10"/>
      <c r="O2033" s="113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t="15.75" customHeight="1">
      <c r="A2034" s="10"/>
      <c r="B2034" s="7"/>
      <c r="C2034" s="10"/>
      <c r="D2034" s="44"/>
      <c r="E2034" s="35"/>
      <c r="F2034" s="121"/>
      <c r="G2034" s="122"/>
      <c r="H2034" s="123"/>
      <c r="I2034" s="10"/>
      <c r="J2034" s="10"/>
      <c r="K2034" s="7"/>
      <c r="L2034" s="7"/>
      <c r="M2034" s="7"/>
      <c r="N2034" s="10"/>
      <c r="O2034" s="113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t="15.75" customHeight="1">
      <c r="A2035" s="10"/>
      <c r="B2035" s="7"/>
      <c r="C2035" s="10"/>
      <c r="D2035" s="44"/>
      <c r="E2035" s="35"/>
      <c r="F2035" s="121"/>
      <c r="G2035" s="122"/>
      <c r="H2035" s="123"/>
      <c r="I2035" s="10"/>
      <c r="J2035" s="10"/>
      <c r="K2035" s="7"/>
      <c r="L2035" s="7"/>
      <c r="M2035" s="7"/>
      <c r="N2035" s="10"/>
      <c r="O2035" s="113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t="15.75" customHeight="1">
      <c r="A2036" s="10"/>
      <c r="B2036" s="7"/>
      <c r="C2036" s="10"/>
      <c r="D2036" s="44"/>
      <c r="E2036" s="35"/>
      <c r="F2036" s="121"/>
      <c r="G2036" s="122"/>
      <c r="H2036" s="123"/>
      <c r="I2036" s="10"/>
      <c r="J2036" s="10"/>
      <c r="K2036" s="7"/>
      <c r="L2036" s="7"/>
      <c r="M2036" s="7"/>
      <c r="N2036" s="10"/>
      <c r="O2036" s="113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t="15.75" customHeight="1">
      <c r="A2037" s="10"/>
      <c r="B2037" s="7"/>
      <c r="C2037" s="10"/>
      <c r="D2037" s="44"/>
      <c r="E2037" s="35"/>
      <c r="F2037" s="121"/>
      <c r="G2037" s="122"/>
      <c r="H2037" s="123"/>
      <c r="I2037" s="10"/>
      <c r="J2037" s="10"/>
      <c r="K2037" s="7"/>
      <c r="L2037" s="7"/>
      <c r="M2037" s="7"/>
      <c r="N2037" s="10"/>
      <c r="O2037" s="113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t="15.75" customHeight="1">
      <c r="A2038" s="10"/>
      <c r="B2038" s="7"/>
      <c r="C2038" s="10"/>
      <c r="D2038" s="44"/>
      <c r="E2038" s="35"/>
      <c r="F2038" s="121"/>
      <c r="G2038" s="122"/>
      <c r="H2038" s="123"/>
      <c r="I2038" s="10"/>
      <c r="J2038" s="10"/>
      <c r="K2038" s="7"/>
      <c r="L2038" s="7"/>
      <c r="M2038" s="7"/>
      <c r="N2038" s="10"/>
      <c r="O2038" s="113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t="15.75" customHeight="1">
      <c r="A2039" s="10"/>
      <c r="B2039" s="7"/>
      <c r="C2039" s="10"/>
      <c r="D2039" s="44"/>
      <c r="E2039" s="35"/>
      <c r="F2039" s="121"/>
      <c r="G2039" s="122"/>
      <c r="H2039" s="123"/>
      <c r="I2039" s="10"/>
      <c r="J2039" s="10"/>
      <c r="K2039" s="7"/>
      <c r="L2039" s="7"/>
      <c r="M2039" s="7"/>
      <c r="N2039" s="10"/>
      <c r="O2039" s="113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t="15.75" customHeight="1">
      <c r="A2040" s="10"/>
      <c r="B2040" s="7"/>
      <c r="C2040" s="10"/>
      <c r="D2040" s="44"/>
      <c r="E2040" s="35"/>
      <c r="F2040" s="121"/>
      <c r="G2040" s="122"/>
      <c r="H2040" s="123"/>
      <c r="I2040" s="10"/>
      <c r="J2040" s="10"/>
      <c r="K2040" s="7"/>
      <c r="L2040" s="7"/>
      <c r="M2040" s="7"/>
      <c r="N2040" s="10"/>
      <c r="O2040" s="113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t="15.75" customHeight="1">
      <c r="A2041" s="10"/>
      <c r="B2041" s="7"/>
      <c r="C2041" s="10"/>
      <c r="D2041" s="44"/>
      <c r="E2041" s="35"/>
      <c r="F2041" s="121"/>
      <c r="G2041" s="122"/>
      <c r="H2041" s="123"/>
      <c r="I2041" s="10"/>
      <c r="J2041" s="10"/>
      <c r="K2041" s="7"/>
      <c r="L2041" s="7"/>
      <c r="M2041" s="7"/>
      <c r="N2041" s="10"/>
      <c r="O2041" s="113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t="15.75" customHeight="1">
      <c r="A2042" s="10"/>
      <c r="B2042" s="7"/>
      <c r="C2042" s="10"/>
      <c r="D2042" s="44"/>
      <c r="E2042" s="35"/>
      <c r="F2042" s="121"/>
      <c r="G2042" s="122"/>
      <c r="H2042" s="123"/>
      <c r="I2042" s="10"/>
      <c r="J2042" s="10"/>
      <c r="K2042" s="7"/>
      <c r="L2042" s="7"/>
      <c r="M2042" s="7"/>
      <c r="N2042" s="10"/>
      <c r="O2042" s="113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t="15.75" customHeight="1">
      <c r="A2043" s="10"/>
      <c r="B2043" s="7"/>
      <c r="C2043" s="10"/>
      <c r="D2043" s="44"/>
      <c r="E2043" s="35"/>
      <c r="F2043" s="121"/>
      <c r="G2043" s="122"/>
      <c r="H2043" s="123"/>
      <c r="I2043" s="10"/>
      <c r="J2043" s="10"/>
      <c r="K2043" s="7"/>
      <c r="L2043" s="7"/>
      <c r="M2043" s="7"/>
      <c r="N2043" s="10"/>
      <c r="O2043" s="113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t="15.75" customHeight="1">
      <c r="A2044" s="10"/>
      <c r="B2044" s="7"/>
      <c r="C2044" s="10"/>
      <c r="D2044" s="44"/>
      <c r="E2044" s="35"/>
      <c r="F2044" s="121"/>
      <c r="G2044" s="122"/>
      <c r="H2044" s="123"/>
      <c r="I2044" s="10"/>
      <c r="J2044" s="10"/>
      <c r="K2044" s="7"/>
      <c r="L2044" s="7"/>
      <c r="M2044" s="7"/>
      <c r="N2044" s="10"/>
      <c r="O2044" s="113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t="15.75" customHeight="1">
      <c r="A2045" s="10"/>
      <c r="B2045" s="7"/>
      <c r="C2045" s="10"/>
      <c r="D2045" s="44"/>
      <c r="E2045" s="35"/>
      <c r="F2045" s="121"/>
      <c r="G2045" s="122"/>
      <c r="H2045" s="123"/>
      <c r="I2045" s="10"/>
      <c r="J2045" s="10"/>
      <c r="K2045" s="7"/>
      <c r="L2045" s="7"/>
      <c r="M2045" s="7"/>
      <c r="N2045" s="10"/>
      <c r="O2045" s="113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t="15.75" customHeight="1">
      <c r="A2046" s="10"/>
      <c r="B2046" s="7"/>
      <c r="C2046" s="10"/>
      <c r="D2046" s="44"/>
      <c r="E2046" s="35"/>
      <c r="F2046" s="121"/>
      <c r="G2046" s="122"/>
      <c r="H2046" s="123"/>
      <c r="I2046" s="10"/>
      <c r="J2046" s="10"/>
      <c r="K2046" s="7"/>
      <c r="L2046" s="7"/>
      <c r="M2046" s="7"/>
      <c r="N2046" s="10"/>
      <c r="O2046" s="113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t="15.75" customHeight="1">
      <c r="A2047" s="10"/>
      <c r="B2047" s="7"/>
      <c r="C2047" s="10"/>
      <c r="D2047" s="44"/>
      <c r="E2047" s="35"/>
      <c r="F2047" s="121"/>
      <c r="G2047" s="122"/>
      <c r="H2047" s="123"/>
      <c r="I2047" s="10"/>
      <c r="J2047" s="10"/>
      <c r="K2047" s="7"/>
      <c r="L2047" s="7"/>
      <c r="M2047" s="7"/>
      <c r="N2047" s="10"/>
      <c r="O2047" s="113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t="15.75" customHeight="1">
      <c r="A2048" s="10"/>
      <c r="B2048" s="7"/>
      <c r="C2048" s="10"/>
      <c r="D2048" s="44"/>
      <c r="E2048" s="35"/>
      <c r="F2048" s="121"/>
      <c r="G2048" s="122"/>
      <c r="H2048" s="123"/>
      <c r="I2048" s="10"/>
      <c r="J2048" s="10"/>
      <c r="K2048" s="7"/>
      <c r="L2048" s="7"/>
      <c r="M2048" s="7"/>
      <c r="N2048" s="10"/>
      <c r="O2048" s="113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t="15.75" customHeight="1">
      <c r="A2049" s="10"/>
      <c r="B2049" s="7"/>
      <c r="C2049" s="10"/>
      <c r="D2049" s="44"/>
      <c r="E2049" s="35"/>
      <c r="F2049" s="121"/>
      <c r="G2049" s="122"/>
      <c r="H2049" s="123"/>
      <c r="I2049" s="10"/>
      <c r="J2049" s="10"/>
      <c r="K2049" s="7"/>
      <c r="L2049" s="7"/>
      <c r="M2049" s="7"/>
      <c r="N2049" s="10"/>
      <c r="O2049" s="113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t="15.75" customHeight="1">
      <c r="A2050" s="10"/>
      <c r="B2050" s="7"/>
      <c r="C2050" s="10"/>
      <c r="D2050" s="44"/>
      <c r="E2050" s="35"/>
      <c r="F2050" s="121"/>
      <c r="G2050" s="122"/>
      <c r="H2050" s="123"/>
      <c r="I2050" s="10"/>
      <c r="J2050" s="10"/>
      <c r="K2050" s="7"/>
      <c r="L2050" s="7"/>
      <c r="M2050" s="7"/>
      <c r="N2050" s="10"/>
      <c r="O2050" s="113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t="15.75" customHeight="1">
      <c r="A2051" s="10"/>
      <c r="B2051" s="7"/>
      <c r="C2051" s="10"/>
      <c r="D2051" s="44"/>
      <c r="E2051" s="35"/>
      <c r="F2051" s="121"/>
      <c r="G2051" s="122"/>
      <c r="H2051" s="123"/>
      <c r="I2051" s="10"/>
      <c r="J2051" s="10"/>
      <c r="K2051" s="7"/>
      <c r="L2051" s="7"/>
      <c r="M2051" s="7"/>
      <c r="N2051" s="10"/>
      <c r="O2051" s="113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t="15.75" customHeight="1">
      <c r="A2052" s="10"/>
      <c r="B2052" s="7"/>
      <c r="C2052" s="10"/>
      <c r="D2052" s="44"/>
      <c r="E2052" s="35"/>
      <c r="F2052" s="121"/>
      <c r="G2052" s="122"/>
      <c r="H2052" s="123"/>
      <c r="I2052" s="10"/>
      <c r="J2052" s="10"/>
      <c r="K2052" s="7"/>
      <c r="L2052" s="7"/>
      <c r="M2052" s="7"/>
      <c r="N2052" s="10"/>
      <c r="O2052" s="113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t="15.75" customHeight="1">
      <c r="A2053" s="10"/>
      <c r="B2053" s="7"/>
      <c r="C2053" s="10"/>
      <c r="D2053" s="44"/>
      <c r="E2053" s="35"/>
      <c r="F2053" s="121"/>
      <c r="G2053" s="122"/>
      <c r="H2053" s="123"/>
      <c r="I2053" s="10"/>
      <c r="J2053" s="10"/>
      <c r="K2053" s="7"/>
      <c r="L2053" s="7"/>
      <c r="M2053" s="7"/>
      <c r="N2053" s="10"/>
      <c r="O2053" s="113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t="15.75" customHeight="1">
      <c r="A2054" s="10"/>
      <c r="B2054" s="7"/>
      <c r="C2054" s="10"/>
      <c r="D2054" s="44"/>
      <c r="E2054" s="35"/>
      <c r="F2054" s="121"/>
      <c r="G2054" s="122"/>
      <c r="H2054" s="123"/>
      <c r="I2054" s="10"/>
      <c r="J2054" s="10"/>
      <c r="K2054" s="7"/>
      <c r="L2054" s="7"/>
      <c r="M2054" s="7"/>
      <c r="N2054" s="10"/>
      <c r="O2054" s="113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t="15.75" customHeight="1">
      <c r="A2055" s="10"/>
      <c r="B2055" s="7"/>
      <c r="C2055" s="10"/>
      <c r="D2055" s="44"/>
      <c r="E2055" s="35"/>
      <c r="F2055" s="121"/>
      <c r="G2055" s="122"/>
      <c r="H2055" s="123"/>
      <c r="I2055" s="10"/>
      <c r="J2055" s="10"/>
      <c r="K2055" s="7"/>
      <c r="L2055" s="7"/>
      <c r="M2055" s="7"/>
      <c r="N2055" s="10"/>
      <c r="O2055" s="113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t="15.75" customHeight="1">
      <c r="A2056" s="10"/>
      <c r="B2056" s="7"/>
      <c r="C2056" s="10"/>
      <c r="D2056" s="44"/>
      <c r="E2056" s="35"/>
      <c r="F2056" s="121"/>
      <c r="G2056" s="122"/>
      <c r="H2056" s="123"/>
      <c r="I2056" s="10"/>
      <c r="J2056" s="10"/>
      <c r="K2056" s="7"/>
      <c r="L2056" s="7"/>
      <c r="M2056" s="7"/>
      <c r="N2056" s="10"/>
      <c r="O2056" s="113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t="15.75" customHeight="1">
      <c r="A2057" s="10"/>
      <c r="B2057" s="7"/>
      <c r="C2057" s="10"/>
      <c r="D2057" s="44"/>
      <c r="E2057" s="35"/>
      <c r="F2057" s="121"/>
      <c r="G2057" s="122"/>
      <c r="H2057" s="123"/>
      <c r="I2057" s="10"/>
      <c r="J2057" s="10"/>
      <c r="K2057" s="7"/>
      <c r="L2057" s="7"/>
      <c r="M2057" s="7"/>
      <c r="N2057" s="10"/>
      <c r="O2057" s="113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t="15.75" customHeight="1">
      <c r="A2058" s="10"/>
      <c r="B2058" s="7"/>
      <c r="C2058" s="10"/>
      <c r="D2058" s="44"/>
      <c r="E2058" s="35"/>
      <c r="F2058" s="121"/>
      <c r="G2058" s="122"/>
      <c r="H2058" s="123"/>
      <c r="I2058" s="10"/>
      <c r="J2058" s="10"/>
      <c r="K2058" s="7"/>
      <c r="L2058" s="7"/>
      <c r="M2058" s="7"/>
      <c r="N2058" s="10"/>
      <c r="O2058" s="113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t="15.75" customHeight="1">
      <c r="A2059" s="10"/>
      <c r="B2059" s="7"/>
      <c r="C2059" s="10"/>
      <c r="D2059" s="44"/>
      <c r="E2059" s="35"/>
      <c r="F2059" s="121"/>
      <c r="G2059" s="122"/>
      <c r="H2059" s="123"/>
      <c r="I2059" s="10"/>
      <c r="J2059" s="10"/>
      <c r="K2059" s="7"/>
      <c r="L2059" s="7"/>
      <c r="M2059" s="7"/>
      <c r="N2059" s="10"/>
      <c r="O2059" s="113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t="15.75" customHeight="1">
      <c r="A2060" s="10"/>
      <c r="B2060" s="7"/>
      <c r="C2060" s="10"/>
      <c r="D2060" s="44"/>
      <c r="E2060" s="35"/>
      <c r="F2060" s="121"/>
      <c r="G2060" s="122"/>
      <c r="H2060" s="123"/>
      <c r="I2060" s="10"/>
      <c r="J2060" s="10"/>
      <c r="K2060" s="7"/>
      <c r="L2060" s="7"/>
      <c r="M2060" s="7"/>
      <c r="N2060" s="10"/>
      <c r="O2060" s="113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t="15.75" customHeight="1">
      <c r="A2061" s="10"/>
      <c r="B2061" s="7"/>
      <c r="C2061" s="10"/>
      <c r="D2061" s="44"/>
      <c r="E2061" s="35"/>
      <c r="F2061" s="121"/>
      <c r="G2061" s="122"/>
      <c r="H2061" s="123"/>
      <c r="I2061" s="10"/>
      <c r="J2061" s="10"/>
      <c r="K2061" s="7"/>
      <c r="L2061" s="7"/>
      <c r="M2061" s="7"/>
      <c r="N2061" s="10"/>
      <c r="O2061" s="113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t="15.75" customHeight="1">
      <c r="A2062" s="10"/>
      <c r="B2062" s="7"/>
      <c r="C2062" s="10"/>
      <c r="D2062" s="44"/>
      <c r="E2062" s="35"/>
      <c r="F2062" s="121"/>
      <c r="G2062" s="122"/>
      <c r="H2062" s="123"/>
      <c r="I2062" s="10"/>
      <c r="J2062" s="10"/>
      <c r="K2062" s="7"/>
      <c r="L2062" s="7"/>
      <c r="M2062" s="7"/>
      <c r="N2062" s="10"/>
      <c r="O2062" s="113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t="15.75" customHeight="1">
      <c r="A2063" s="10"/>
      <c r="B2063" s="7"/>
      <c r="C2063" s="10"/>
      <c r="D2063" s="44"/>
      <c r="E2063" s="35"/>
      <c r="F2063" s="121"/>
      <c r="G2063" s="122"/>
      <c r="H2063" s="123"/>
      <c r="I2063" s="10"/>
      <c r="J2063" s="10"/>
      <c r="K2063" s="7"/>
      <c r="L2063" s="7"/>
      <c r="M2063" s="7"/>
      <c r="N2063" s="10"/>
      <c r="O2063" s="113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t="15.75" customHeight="1">
      <c r="A2064" s="10"/>
      <c r="B2064" s="7"/>
      <c r="C2064" s="10"/>
      <c r="D2064" s="44"/>
      <c r="E2064" s="35"/>
      <c r="F2064" s="121"/>
      <c r="G2064" s="122"/>
      <c r="H2064" s="123"/>
      <c r="I2064" s="10"/>
      <c r="J2064" s="10"/>
      <c r="K2064" s="7"/>
      <c r="L2064" s="7"/>
      <c r="M2064" s="7"/>
      <c r="N2064" s="10"/>
      <c r="O2064" s="113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t="15.75" customHeight="1">
      <c r="A2065" s="10"/>
      <c r="B2065" s="7"/>
      <c r="C2065" s="10"/>
      <c r="D2065" s="44"/>
      <c r="E2065" s="35"/>
      <c r="F2065" s="121"/>
      <c r="G2065" s="122"/>
      <c r="H2065" s="123"/>
      <c r="I2065" s="10"/>
      <c r="J2065" s="10"/>
      <c r="K2065" s="7"/>
      <c r="L2065" s="7"/>
      <c r="M2065" s="7"/>
      <c r="N2065" s="10"/>
      <c r="O2065" s="113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t="15.75" customHeight="1">
      <c r="A2066" s="10"/>
      <c r="B2066" s="7"/>
      <c r="C2066" s="10"/>
      <c r="D2066" s="44"/>
      <c r="E2066" s="35"/>
      <c r="F2066" s="121"/>
      <c r="G2066" s="122"/>
      <c r="H2066" s="123"/>
      <c r="I2066" s="10"/>
      <c r="J2066" s="10"/>
      <c r="K2066" s="7"/>
      <c r="L2066" s="7"/>
      <c r="M2066" s="7"/>
      <c r="N2066" s="10"/>
      <c r="O2066" s="113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t="15.75" customHeight="1">
      <c r="A2067" s="10"/>
      <c r="B2067" s="7"/>
      <c r="C2067" s="10"/>
      <c r="D2067" s="44"/>
      <c r="E2067" s="35"/>
      <c r="F2067" s="121"/>
      <c r="G2067" s="122"/>
      <c r="H2067" s="123"/>
      <c r="I2067" s="10"/>
      <c r="J2067" s="10"/>
      <c r="K2067" s="7"/>
      <c r="L2067" s="7"/>
      <c r="M2067" s="7"/>
      <c r="N2067" s="10"/>
      <c r="O2067" s="113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t="15.75" customHeight="1">
      <c r="A2068" s="10"/>
      <c r="B2068" s="7"/>
      <c r="C2068" s="10"/>
      <c r="D2068" s="44"/>
      <c r="E2068" s="35"/>
      <c r="F2068" s="121"/>
      <c r="G2068" s="122"/>
      <c r="H2068" s="123"/>
      <c r="I2068" s="10"/>
      <c r="J2068" s="10"/>
      <c r="K2068" s="7"/>
      <c r="L2068" s="7"/>
      <c r="M2068" s="7"/>
      <c r="N2068" s="10"/>
      <c r="O2068" s="113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t="15.75" customHeight="1">
      <c r="A2069" s="10"/>
      <c r="B2069" s="7"/>
      <c r="C2069" s="10"/>
      <c r="D2069" s="44"/>
      <c r="E2069" s="35"/>
      <c r="F2069" s="121"/>
      <c r="G2069" s="122"/>
      <c r="H2069" s="123"/>
      <c r="I2069" s="10"/>
      <c r="J2069" s="10"/>
      <c r="K2069" s="7"/>
      <c r="L2069" s="7"/>
      <c r="M2069" s="7"/>
      <c r="N2069" s="10"/>
      <c r="O2069" s="113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t="15.75" customHeight="1">
      <c r="A2070" s="10"/>
      <c r="B2070" s="7"/>
      <c r="C2070" s="10"/>
      <c r="D2070" s="44"/>
      <c r="E2070" s="35"/>
      <c r="F2070" s="121"/>
      <c r="G2070" s="122"/>
      <c r="H2070" s="123"/>
      <c r="I2070" s="10"/>
      <c r="J2070" s="10"/>
      <c r="K2070" s="7"/>
      <c r="L2070" s="7"/>
      <c r="M2070" s="7"/>
      <c r="N2070" s="10"/>
      <c r="O2070" s="113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t="15.75" customHeight="1">
      <c r="A2071" s="10"/>
      <c r="B2071" s="7"/>
      <c r="C2071" s="10"/>
      <c r="D2071" s="44"/>
      <c r="E2071" s="35"/>
      <c r="F2071" s="121"/>
      <c r="G2071" s="122"/>
      <c r="H2071" s="123"/>
      <c r="I2071" s="10"/>
      <c r="J2071" s="10"/>
      <c r="K2071" s="7"/>
      <c r="L2071" s="7"/>
      <c r="M2071" s="7"/>
      <c r="N2071" s="10"/>
      <c r="O2071" s="113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t="15.75" customHeight="1">
      <c r="A2072" s="10"/>
      <c r="B2072" s="7"/>
      <c r="C2072" s="10"/>
      <c r="D2072" s="44"/>
      <c r="E2072" s="35"/>
      <c r="F2072" s="121"/>
      <c r="G2072" s="122"/>
      <c r="H2072" s="123"/>
      <c r="I2072" s="10"/>
      <c r="J2072" s="10"/>
      <c r="K2072" s="7"/>
      <c r="L2072" s="7"/>
      <c r="M2072" s="7"/>
      <c r="N2072" s="10"/>
      <c r="O2072" s="113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t="15.75" customHeight="1">
      <c r="A2073" s="10"/>
      <c r="B2073" s="7"/>
      <c r="C2073" s="10"/>
      <c r="D2073" s="44"/>
      <c r="E2073" s="35"/>
      <c r="F2073" s="121"/>
      <c r="G2073" s="122"/>
      <c r="H2073" s="123"/>
      <c r="I2073" s="10"/>
      <c r="J2073" s="10"/>
      <c r="K2073" s="7"/>
      <c r="L2073" s="7"/>
      <c r="M2073" s="7"/>
      <c r="N2073" s="10"/>
      <c r="O2073" s="113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t="15.75" customHeight="1"/>
    <row r="2075" spans="1:30" ht="15.75" customHeight="1"/>
    <row r="2076" spans="1:30" ht="15.75" customHeight="1"/>
    <row r="2077" spans="1:30" ht="15.75" customHeight="1"/>
    <row r="2078" spans="1:30" ht="15.75" customHeight="1"/>
    <row r="2079" spans="1:30" ht="15.75" customHeight="1"/>
    <row r="2080" spans="1:3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</sheetData>
  <autoFilter ref="A1:H2677" xr:uid="{00000000-0009-0000-0000-00000A000000}"/>
  <conditionalFormatting sqref="G2:H2677">
    <cfRule type="expression" dxfId="360" priority="1">
      <formula>G2&gt;0</formula>
    </cfRule>
  </conditionalFormatting>
  <conditionalFormatting sqref="I2:I2677">
    <cfRule type="expression" dxfId="359" priority="2">
      <formula>I2 &gt; 0</formula>
    </cfRule>
  </conditionalFormatting>
  <conditionalFormatting sqref="L2:L32 L34:L53 L57">
    <cfRule type="expression" dxfId="358" priority="3">
      <formula>COUNTIF($C$1:$C$847, L2) &gt; 1</formula>
    </cfRule>
  </conditionalFormatting>
  <conditionalFormatting sqref="L2:L33 L35:L62">
    <cfRule type="expression" dxfId="357" priority="4">
      <formula>COUNTIF($C$1:$C$853, L2) &gt; 1</formula>
    </cfRule>
  </conditionalFormatting>
  <conditionalFormatting sqref="L2:L40 L42:L68">
    <cfRule type="expression" dxfId="356" priority="5">
      <formula>COUNTIF($C$1:$C$859, L2) &gt; 1</formula>
    </cfRule>
  </conditionalFormatting>
  <conditionalFormatting sqref="L2:L57">
    <cfRule type="expression" dxfId="355" priority="6">
      <formula>COUNTIF($C$1:$C$1003, L2) &gt; 1</formula>
    </cfRule>
  </conditionalFormatting>
  <conditionalFormatting sqref="L2:L58">
    <cfRule type="expression" dxfId="354" priority="7">
      <formula>COUNTIF($C$1:$C$1004, L2) &gt; 1</formula>
    </cfRule>
    <cfRule type="expression" dxfId="353" priority="8">
      <formula>COUNTIF($C$1:$C$988, L2) &gt; 1</formula>
    </cfRule>
    <cfRule type="expression" dxfId="352" priority="9">
      <formula>COUNTIF($C$1:$C$849, L2) &gt; 1</formula>
    </cfRule>
  </conditionalFormatting>
  <conditionalFormatting sqref="L2:L59">
    <cfRule type="expression" dxfId="351" priority="10">
      <formula>COUNTIF($C$1:$C$1005, L2) &gt; 1</formula>
    </cfRule>
    <cfRule type="expression" dxfId="350" priority="11">
      <formula>COUNTIF($I$2:$I$105, L2) &gt; 1</formula>
    </cfRule>
  </conditionalFormatting>
  <conditionalFormatting sqref="L2:L61">
    <cfRule type="expression" dxfId="349" priority="12">
      <formula>COUNTIF($C$1:$C$1025, L2) &gt; 1</formula>
    </cfRule>
    <cfRule type="expression" dxfId="348" priority="13">
      <formula>COUNTIF($C$1:$C$1006, L2) &gt; 1</formula>
    </cfRule>
    <cfRule type="expression" dxfId="347" priority="14">
      <formula>COUNTIF($C$1:$C$850, L2) &gt; 1</formula>
    </cfRule>
  </conditionalFormatting>
  <conditionalFormatting sqref="L2:L62">
    <cfRule type="expression" dxfId="346" priority="15">
      <formula>COUNTIF($C$1:$C$1007, L2) &gt; 1</formula>
    </cfRule>
    <cfRule type="expression" dxfId="345" priority="16">
      <formula>COUNTIF($C$1:$C$851, L2) &gt; 1</formula>
    </cfRule>
  </conditionalFormatting>
  <conditionalFormatting sqref="L2:L63">
    <cfRule type="expression" dxfId="344" priority="17">
      <formula>COUNTIF($C$1:$C$1008, L2) &gt; 1</formula>
    </cfRule>
    <cfRule type="expression" dxfId="343" priority="18">
      <formula>COUNTIF($C$1:$C$852, L2) &gt; 1</formula>
    </cfRule>
  </conditionalFormatting>
  <conditionalFormatting sqref="L2:L65">
    <cfRule type="expression" dxfId="342" priority="19">
      <formula>COUNTIF($C$1:$C$854, L2) &gt; 1</formula>
    </cfRule>
    <cfRule type="expression" dxfId="341" priority="20">
      <formula>COUNTIF($C$1:$C$856, L2) &gt; 1</formula>
    </cfRule>
  </conditionalFormatting>
  <conditionalFormatting sqref="L2:L66">
    <cfRule type="expression" dxfId="340" priority="21">
      <formula>COUNTIF($C$1:$C$855, L2) &gt; 1</formula>
    </cfRule>
    <cfRule type="expression" dxfId="339" priority="22">
      <formula>COUNTIF($C$1:$C$857, L2) &gt; 1</formula>
    </cfRule>
  </conditionalFormatting>
  <conditionalFormatting sqref="L2:L68">
    <cfRule type="expression" dxfId="338" priority="23">
      <formula>COUNTIF($C$1:$C$1013, L2) &gt; 1</formula>
    </cfRule>
  </conditionalFormatting>
  <conditionalFormatting sqref="L2:L69">
    <cfRule type="expression" dxfId="337" priority="24">
      <formula>COUNTIF($C$1:$C$997, L2) &gt; 1</formula>
    </cfRule>
  </conditionalFormatting>
  <conditionalFormatting sqref="L2:L70">
    <cfRule type="expression" dxfId="336" priority="25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7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29">
      <formula>T2 &gt; 1</formula>
    </cfRule>
  </conditionalFormatting>
  <dataValidations count="2">
    <dataValidation type="list" allowBlank="1" showErrorMessage="1" sqref="A138:A1776 K36:K42 K71:K80" xr:uid="{00000000-0002-0000-0A00-000000000000}">
      <formula1>"Hàng Bông,Đường Láng,24H,Minh Châu,Nguyễn Chí Thanh,Rạch Bùng Binh,Nguyễn Thị Thập,Nguyễn Văn Quá,Đỗ Quang Đẩu,Nam Hòa,Lê Bình"</formula1>
    </dataValidation>
    <dataValidation type="list" allowBlank="1" showErrorMessage="1" sqref="A2:A137 K2:K35 K43:K70" xr:uid="{00000000-0002-0000-0A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33.5546875" customWidth="1"/>
    <col min="3" max="3" width="18" customWidth="1"/>
    <col min="4" max="5" width="21" customWidth="1"/>
    <col min="6" max="6" width="17.88671875" customWidth="1"/>
    <col min="7" max="7" width="21.109375" customWidth="1"/>
    <col min="8" max="8" width="81.44140625" customWidth="1"/>
    <col min="9" max="14" width="11" customWidth="1"/>
  </cols>
  <sheetData>
    <row r="1" spans="1:22" ht="33" customHeight="1">
      <c r="A1" s="57" t="s">
        <v>0</v>
      </c>
      <c r="B1" s="57" t="s">
        <v>162</v>
      </c>
      <c r="C1" s="124" t="s">
        <v>66</v>
      </c>
      <c r="D1" s="124" t="s">
        <v>67</v>
      </c>
      <c r="E1" s="124" t="s">
        <v>68</v>
      </c>
      <c r="F1" s="125" t="s">
        <v>69</v>
      </c>
      <c r="G1" s="125" t="s">
        <v>70</v>
      </c>
      <c r="H1" s="126" t="s">
        <v>71</v>
      </c>
      <c r="I1" s="59"/>
      <c r="J1" s="59"/>
      <c r="K1" s="59"/>
      <c r="L1" s="59"/>
      <c r="M1" s="59"/>
      <c r="N1" s="59"/>
      <c r="O1" s="127"/>
      <c r="P1" s="127"/>
      <c r="Q1" s="127"/>
      <c r="R1" s="127"/>
      <c r="S1" s="127"/>
      <c r="T1" s="127"/>
      <c r="U1" s="127"/>
      <c r="V1" s="127"/>
    </row>
    <row r="2" spans="1:22" ht="15.75" customHeight="1">
      <c r="A2" s="35" t="s">
        <v>15</v>
      </c>
      <c r="B2" s="36" t="s">
        <v>72</v>
      </c>
      <c r="C2" s="42">
        <v>0</v>
      </c>
      <c r="D2" s="65">
        <v>0</v>
      </c>
      <c r="E2" s="42">
        <v>0</v>
      </c>
      <c r="F2" s="128">
        <v>0</v>
      </c>
      <c r="G2" s="65">
        <v>0</v>
      </c>
      <c r="H2" s="65"/>
      <c r="I2" s="75"/>
      <c r="J2" s="75"/>
      <c r="K2" s="75"/>
      <c r="L2" s="67"/>
      <c r="M2" s="75"/>
      <c r="N2" s="129"/>
      <c r="O2" s="36"/>
      <c r="P2" s="36"/>
      <c r="Q2" s="36"/>
      <c r="R2" s="36"/>
      <c r="S2" s="36"/>
      <c r="T2" s="36"/>
      <c r="U2" s="36"/>
      <c r="V2" s="36"/>
    </row>
    <row r="3" spans="1:22" ht="15.75" customHeight="1">
      <c r="A3" s="35" t="s">
        <v>15</v>
      </c>
      <c r="B3" s="36" t="s">
        <v>74</v>
      </c>
      <c r="C3" s="42">
        <v>0</v>
      </c>
      <c r="D3" s="65">
        <v>0</v>
      </c>
      <c r="E3" s="65">
        <v>0</v>
      </c>
      <c r="F3" s="128">
        <v>0</v>
      </c>
      <c r="G3" s="65">
        <v>500000</v>
      </c>
      <c r="H3" s="130" t="s">
        <v>836</v>
      </c>
      <c r="I3" s="131"/>
      <c r="J3" s="75"/>
      <c r="K3" s="75"/>
      <c r="L3" s="67"/>
      <c r="M3" s="75"/>
      <c r="N3" s="129"/>
      <c r="O3" s="36"/>
      <c r="P3" s="36"/>
      <c r="Q3" s="36"/>
      <c r="R3" s="36"/>
      <c r="S3" s="36"/>
      <c r="T3" s="36"/>
      <c r="U3" s="36"/>
      <c r="V3" s="36"/>
    </row>
    <row r="4" spans="1:22" ht="15.75" customHeight="1">
      <c r="A4" s="35" t="s">
        <v>15</v>
      </c>
      <c r="B4" s="44" t="s">
        <v>76</v>
      </c>
      <c r="C4" s="42">
        <v>0</v>
      </c>
      <c r="D4" s="65">
        <v>0</v>
      </c>
      <c r="E4" s="65">
        <v>0</v>
      </c>
      <c r="F4" s="65">
        <v>0</v>
      </c>
      <c r="G4" s="130">
        <v>0</v>
      </c>
      <c r="H4" s="130"/>
      <c r="I4" s="75"/>
      <c r="J4" s="75"/>
      <c r="K4" s="75"/>
      <c r="L4" s="67"/>
      <c r="M4" s="75"/>
      <c r="N4" s="129"/>
      <c r="O4" s="36"/>
      <c r="P4" s="36"/>
      <c r="Q4" s="36"/>
      <c r="R4" s="36"/>
      <c r="S4" s="36"/>
      <c r="T4" s="36"/>
      <c r="U4" s="36"/>
      <c r="V4" s="36"/>
    </row>
    <row r="5" spans="1:22" ht="15.75" customHeight="1">
      <c r="A5" s="35" t="s">
        <v>15</v>
      </c>
      <c r="B5" s="36" t="s">
        <v>78</v>
      </c>
      <c r="C5" s="42">
        <v>0</v>
      </c>
      <c r="D5" s="65">
        <v>0</v>
      </c>
      <c r="E5" s="42">
        <v>0</v>
      </c>
      <c r="F5" s="65">
        <v>0</v>
      </c>
      <c r="G5" s="65">
        <v>0</v>
      </c>
      <c r="H5" s="35"/>
      <c r="I5" s="75"/>
      <c r="J5" s="75"/>
      <c r="K5" s="75"/>
      <c r="L5" s="67"/>
      <c r="M5" s="75"/>
      <c r="N5" s="129"/>
      <c r="O5" s="36"/>
      <c r="P5" s="36"/>
      <c r="Q5" s="36"/>
      <c r="R5" s="36"/>
      <c r="S5" s="36"/>
      <c r="T5" s="36"/>
      <c r="U5" s="36"/>
      <c r="V5" s="36"/>
    </row>
    <row r="6" spans="1:22" ht="15.75" customHeight="1">
      <c r="A6" s="35" t="s">
        <v>15</v>
      </c>
      <c r="B6" s="36" t="s">
        <v>80</v>
      </c>
      <c r="C6" s="42">
        <v>0</v>
      </c>
      <c r="D6" s="65">
        <v>0</v>
      </c>
      <c r="E6" s="65">
        <v>0</v>
      </c>
      <c r="F6" s="65">
        <v>0</v>
      </c>
      <c r="G6" s="65">
        <v>0</v>
      </c>
      <c r="H6" s="133"/>
      <c r="I6" s="75"/>
      <c r="J6" s="75"/>
      <c r="K6" s="75"/>
      <c r="L6" s="67"/>
      <c r="M6" s="75"/>
      <c r="N6" s="129"/>
      <c r="O6" s="36"/>
      <c r="P6" s="36"/>
      <c r="Q6" s="36"/>
      <c r="R6" s="36"/>
      <c r="S6" s="36"/>
      <c r="T6" s="36"/>
      <c r="U6" s="36"/>
      <c r="V6" s="36"/>
    </row>
    <row r="7" spans="1:22" ht="15.75" customHeight="1">
      <c r="A7" s="35" t="s">
        <v>15</v>
      </c>
      <c r="B7" s="36" t="s">
        <v>82</v>
      </c>
      <c r="C7" s="42">
        <v>0</v>
      </c>
      <c r="D7" s="65">
        <v>0</v>
      </c>
      <c r="E7" s="65">
        <v>0</v>
      </c>
      <c r="F7" s="134">
        <v>0</v>
      </c>
      <c r="G7" s="65">
        <v>0</v>
      </c>
      <c r="H7" s="65"/>
      <c r="I7" s="75"/>
      <c r="J7" s="75"/>
      <c r="K7" s="75"/>
      <c r="L7" s="67"/>
      <c r="M7" s="75"/>
      <c r="N7" s="75"/>
      <c r="O7" s="36"/>
      <c r="P7" s="36"/>
      <c r="Q7" s="36"/>
      <c r="R7" s="36"/>
      <c r="S7" s="36"/>
      <c r="T7" s="36"/>
      <c r="U7" s="36"/>
      <c r="V7" s="36"/>
    </row>
    <row r="8" spans="1:22" ht="15.75" customHeight="1">
      <c r="A8" s="35" t="s">
        <v>15</v>
      </c>
      <c r="B8" s="36" t="s">
        <v>83</v>
      </c>
      <c r="C8" s="42">
        <v>0</v>
      </c>
      <c r="D8" s="65">
        <v>0</v>
      </c>
      <c r="E8" s="65">
        <v>0</v>
      </c>
      <c r="F8" s="134">
        <v>0</v>
      </c>
      <c r="G8" s="65">
        <v>0</v>
      </c>
      <c r="H8" s="133"/>
      <c r="I8" s="75"/>
      <c r="J8" s="75"/>
      <c r="K8" s="75"/>
      <c r="L8" s="67"/>
      <c r="M8" s="75"/>
      <c r="N8" s="75"/>
      <c r="O8" s="36"/>
      <c r="P8" s="36"/>
      <c r="Q8" s="36"/>
      <c r="R8" s="36"/>
      <c r="S8" s="36"/>
      <c r="T8" s="36"/>
      <c r="U8" s="36"/>
      <c r="V8" s="36"/>
    </row>
    <row r="9" spans="1:22" ht="15.75" customHeight="1">
      <c r="A9" s="35" t="s">
        <v>17</v>
      </c>
      <c r="B9" s="36" t="s">
        <v>84</v>
      </c>
      <c r="C9" s="42">
        <v>0</v>
      </c>
      <c r="D9" s="65">
        <v>0</v>
      </c>
      <c r="E9" s="65">
        <v>0</v>
      </c>
      <c r="F9" s="128">
        <v>0</v>
      </c>
      <c r="G9" s="65">
        <v>0</v>
      </c>
      <c r="H9" s="65"/>
      <c r="I9" s="75"/>
      <c r="J9" s="75"/>
      <c r="K9" s="75"/>
      <c r="L9" s="67"/>
      <c r="M9" s="75"/>
      <c r="N9" s="129"/>
      <c r="O9" s="36"/>
      <c r="P9" s="36"/>
      <c r="Q9" s="36"/>
      <c r="R9" s="36"/>
      <c r="S9" s="36"/>
      <c r="T9" s="36"/>
      <c r="U9" s="36"/>
      <c r="V9" s="36"/>
    </row>
    <row r="10" spans="1:22" ht="15.75" customHeight="1">
      <c r="A10" s="35" t="s">
        <v>17</v>
      </c>
      <c r="B10" s="36" t="s">
        <v>85</v>
      </c>
      <c r="C10" s="42">
        <v>0</v>
      </c>
      <c r="D10" s="65">
        <v>0</v>
      </c>
      <c r="E10" s="42">
        <v>0</v>
      </c>
      <c r="F10" s="134">
        <v>0</v>
      </c>
      <c r="G10" s="65">
        <v>0</v>
      </c>
      <c r="H10" s="42"/>
      <c r="I10" s="75"/>
      <c r="J10" s="75"/>
      <c r="K10" s="75"/>
      <c r="L10" s="67"/>
      <c r="M10" s="75"/>
      <c r="N10" s="129"/>
      <c r="O10" s="36"/>
      <c r="P10" s="36"/>
      <c r="Q10" s="36"/>
      <c r="R10" s="36"/>
      <c r="S10" s="36"/>
      <c r="T10" s="36"/>
      <c r="U10" s="36"/>
      <c r="V10" s="36"/>
    </row>
    <row r="11" spans="1:22" ht="15.75" customHeight="1">
      <c r="A11" s="35" t="s">
        <v>17</v>
      </c>
      <c r="B11" s="36" t="s">
        <v>86</v>
      </c>
      <c r="C11" s="42">
        <v>0</v>
      </c>
      <c r="D11" s="65">
        <v>0</v>
      </c>
      <c r="E11" s="65">
        <v>0</v>
      </c>
      <c r="F11" s="128">
        <v>0</v>
      </c>
      <c r="G11" s="65">
        <v>0</v>
      </c>
      <c r="H11" s="133"/>
      <c r="I11" s="75"/>
      <c r="J11" s="75"/>
      <c r="K11" s="75"/>
      <c r="L11" s="67"/>
      <c r="M11" s="75"/>
      <c r="N11" s="129"/>
      <c r="O11" s="36"/>
      <c r="P11" s="36"/>
      <c r="Q11" s="36"/>
      <c r="R11" s="36"/>
      <c r="S11" s="36"/>
      <c r="T11" s="36"/>
      <c r="U11" s="36"/>
      <c r="V11" s="36"/>
    </row>
    <row r="12" spans="1:22" ht="15.75" customHeight="1">
      <c r="A12" s="35" t="s">
        <v>17</v>
      </c>
      <c r="B12" s="44" t="s">
        <v>87</v>
      </c>
      <c r="C12" s="42">
        <v>0</v>
      </c>
      <c r="D12" s="65">
        <v>0</v>
      </c>
      <c r="E12" s="37">
        <v>0</v>
      </c>
      <c r="F12" s="11">
        <v>0</v>
      </c>
      <c r="G12" s="65">
        <v>0</v>
      </c>
      <c r="H12" s="10"/>
      <c r="I12" s="75"/>
      <c r="J12" s="75"/>
      <c r="K12" s="75"/>
      <c r="L12" s="67"/>
      <c r="M12" s="75"/>
      <c r="N12" s="129"/>
      <c r="O12" s="36"/>
      <c r="P12" s="36"/>
      <c r="Q12" s="36"/>
      <c r="R12" s="36"/>
      <c r="S12" s="36"/>
      <c r="T12" s="36"/>
      <c r="U12" s="36"/>
      <c r="V12" s="36"/>
    </row>
    <row r="13" spans="1:22" ht="15.75" customHeight="1">
      <c r="A13" s="35" t="s">
        <v>17</v>
      </c>
      <c r="B13" s="44" t="s">
        <v>88</v>
      </c>
      <c r="C13" s="42">
        <v>0</v>
      </c>
      <c r="D13" s="65">
        <v>0</v>
      </c>
      <c r="E13" s="65">
        <v>0</v>
      </c>
      <c r="F13" s="128">
        <v>0</v>
      </c>
      <c r="G13" s="65">
        <v>0</v>
      </c>
      <c r="H13" s="34"/>
      <c r="I13" s="75"/>
      <c r="J13" s="75"/>
      <c r="K13" s="75"/>
      <c r="L13" s="75"/>
      <c r="M13" s="75"/>
      <c r="N13" s="75"/>
      <c r="O13" s="36"/>
      <c r="P13" s="36"/>
      <c r="Q13" s="36"/>
      <c r="R13" s="36"/>
      <c r="S13" s="36"/>
      <c r="T13" s="36"/>
      <c r="U13" s="36"/>
      <c r="V13" s="36"/>
    </row>
    <row r="14" spans="1:22" ht="15.75" customHeight="1">
      <c r="A14" s="35" t="s">
        <v>17</v>
      </c>
      <c r="B14" s="44" t="s">
        <v>89</v>
      </c>
      <c r="C14" s="42">
        <v>0</v>
      </c>
      <c r="D14" s="65">
        <v>0</v>
      </c>
      <c r="E14" s="65">
        <v>0</v>
      </c>
      <c r="F14" s="134">
        <v>0</v>
      </c>
      <c r="G14" s="65">
        <v>0</v>
      </c>
      <c r="H14" s="34"/>
      <c r="I14" s="75"/>
      <c r="J14" s="75"/>
      <c r="K14" s="75"/>
      <c r="L14" s="75"/>
      <c r="M14" s="75"/>
      <c r="N14" s="75"/>
      <c r="O14" s="36"/>
      <c r="P14" s="36"/>
      <c r="Q14" s="36"/>
      <c r="R14" s="36"/>
      <c r="S14" s="36"/>
      <c r="T14" s="36"/>
      <c r="U14" s="36"/>
      <c r="V14" s="36"/>
    </row>
    <row r="15" spans="1:22" ht="15.75" customHeight="1">
      <c r="A15" s="35" t="s">
        <v>17</v>
      </c>
      <c r="B15" s="44" t="s">
        <v>90</v>
      </c>
      <c r="C15" s="42">
        <v>0</v>
      </c>
      <c r="D15" s="65">
        <v>0</v>
      </c>
      <c r="E15" s="65">
        <v>0</v>
      </c>
      <c r="F15" s="134">
        <v>0</v>
      </c>
      <c r="G15" s="65">
        <v>0</v>
      </c>
      <c r="H15" s="133"/>
      <c r="I15" s="75"/>
      <c r="J15" s="75"/>
      <c r="K15" s="75"/>
      <c r="L15" s="75"/>
      <c r="M15" s="75"/>
      <c r="N15" s="75"/>
      <c r="O15" s="36"/>
      <c r="P15" s="36"/>
      <c r="Q15" s="36"/>
      <c r="R15" s="36"/>
      <c r="S15" s="36"/>
      <c r="T15" s="36"/>
      <c r="U15" s="36"/>
      <c r="V15" s="36"/>
    </row>
    <row r="16" spans="1:22" ht="15.75" customHeight="1">
      <c r="A16" s="35" t="s">
        <v>18</v>
      </c>
      <c r="B16" s="44" t="s">
        <v>91</v>
      </c>
      <c r="C16" s="42">
        <v>0</v>
      </c>
      <c r="D16" s="65">
        <v>0</v>
      </c>
      <c r="E16" s="65">
        <v>0</v>
      </c>
      <c r="F16" s="134">
        <v>0</v>
      </c>
      <c r="G16" s="65">
        <v>0</v>
      </c>
      <c r="H16" s="133"/>
      <c r="I16" s="75"/>
      <c r="J16" s="75"/>
      <c r="K16" s="75"/>
      <c r="L16" s="75"/>
      <c r="M16" s="75"/>
      <c r="N16" s="75"/>
      <c r="O16" s="36"/>
      <c r="P16" s="36"/>
      <c r="Q16" s="36"/>
      <c r="R16" s="36"/>
      <c r="S16" s="36"/>
      <c r="T16" s="36"/>
      <c r="U16" s="36"/>
      <c r="V16" s="36"/>
    </row>
    <row r="17" spans="1:22" ht="15.75" customHeight="1">
      <c r="A17" s="35" t="s">
        <v>18</v>
      </c>
      <c r="B17" s="36" t="s">
        <v>78</v>
      </c>
      <c r="C17" s="42">
        <v>0</v>
      </c>
      <c r="D17" s="65">
        <v>0</v>
      </c>
      <c r="E17" s="65">
        <v>0</v>
      </c>
      <c r="F17" s="134">
        <v>0</v>
      </c>
      <c r="G17" s="65">
        <v>0</v>
      </c>
      <c r="H17" s="65"/>
      <c r="I17" s="75"/>
      <c r="J17" s="75"/>
      <c r="K17" s="75"/>
      <c r="L17" s="75"/>
      <c r="M17" s="75"/>
      <c r="N17" s="75"/>
      <c r="O17" s="36"/>
      <c r="P17" s="36"/>
      <c r="Q17" s="36"/>
      <c r="R17" s="36"/>
      <c r="S17" s="36"/>
      <c r="T17" s="36"/>
      <c r="U17" s="36"/>
      <c r="V17" s="36"/>
    </row>
    <row r="18" spans="1:22" ht="15.75" customHeight="1">
      <c r="A18" s="35" t="s">
        <v>18</v>
      </c>
      <c r="B18" s="36" t="s">
        <v>92</v>
      </c>
      <c r="C18" s="42">
        <v>0</v>
      </c>
      <c r="D18" s="65">
        <v>0</v>
      </c>
      <c r="E18" s="65">
        <v>0</v>
      </c>
      <c r="F18" s="134">
        <v>0</v>
      </c>
      <c r="G18" s="65">
        <v>0</v>
      </c>
      <c r="H18" s="65"/>
      <c r="I18" s="75"/>
      <c r="J18" s="75"/>
      <c r="K18" s="75"/>
      <c r="L18" s="75"/>
      <c r="M18" s="75"/>
      <c r="N18" s="75"/>
      <c r="O18" s="36"/>
      <c r="P18" s="36"/>
      <c r="Q18" s="36"/>
      <c r="R18" s="36"/>
      <c r="S18" s="36"/>
      <c r="T18" s="36"/>
      <c r="U18" s="36"/>
      <c r="V18" s="36"/>
    </row>
    <row r="19" spans="1:22" ht="15.75" customHeight="1">
      <c r="A19" s="35" t="s">
        <v>18</v>
      </c>
      <c r="B19" s="36" t="s">
        <v>93</v>
      </c>
      <c r="C19" s="42">
        <v>0</v>
      </c>
      <c r="D19" s="65">
        <v>0</v>
      </c>
      <c r="E19" s="65">
        <v>0</v>
      </c>
      <c r="F19" s="11">
        <v>0</v>
      </c>
      <c r="G19" s="65">
        <v>0</v>
      </c>
      <c r="H19" s="65"/>
      <c r="I19" s="75"/>
      <c r="J19" s="75"/>
      <c r="K19" s="75"/>
      <c r="L19" s="75"/>
      <c r="M19" s="75"/>
      <c r="N19" s="75"/>
      <c r="O19" s="36"/>
      <c r="P19" s="36"/>
      <c r="Q19" s="36"/>
      <c r="R19" s="36"/>
      <c r="S19" s="36"/>
      <c r="T19" s="36"/>
      <c r="U19" s="36"/>
      <c r="V19" s="36"/>
    </row>
    <row r="20" spans="1:22" ht="15.75" customHeight="1">
      <c r="A20" s="35" t="s">
        <v>18</v>
      </c>
      <c r="B20" s="36" t="s">
        <v>94</v>
      </c>
      <c r="C20" s="42">
        <v>0</v>
      </c>
      <c r="D20" s="65">
        <v>0</v>
      </c>
      <c r="E20" s="136">
        <v>0</v>
      </c>
      <c r="F20" s="11">
        <v>0</v>
      </c>
      <c r="G20" s="65">
        <v>0</v>
      </c>
      <c r="H20" s="65"/>
      <c r="I20" s="75"/>
      <c r="J20" s="75"/>
      <c r="K20" s="75"/>
      <c r="L20" s="75"/>
      <c r="M20" s="75"/>
      <c r="N20" s="75"/>
      <c r="O20" s="36"/>
      <c r="P20" s="36"/>
      <c r="Q20" s="36"/>
      <c r="R20" s="36"/>
      <c r="S20" s="36"/>
      <c r="T20" s="36"/>
      <c r="U20" s="36"/>
      <c r="V20" s="36"/>
    </row>
    <row r="21" spans="1:22" ht="15.75" customHeight="1">
      <c r="A21" s="35" t="s">
        <v>19</v>
      </c>
      <c r="B21" s="36" t="s">
        <v>85</v>
      </c>
      <c r="C21" s="42">
        <v>0</v>
      </c>
      <c r="D21" s="65">
        <v>0</v>
      </c>
      <c r="E21" s="42">
        <v>0</v>
      </c>
      <c r="F21" s="134">
        <v>0</v>
      </c>
      <c r="G21" s="65">
        <v>0</v>
      </c>
      <c r="H21" s="65"/>
      <c r="I21" s="75"/>
      <c r="J21" s="75"/>
      <c r="K21" s="75"/>
      <c r="L21" s="75"/>
      <c r="M21" s="75"/>
      <c r="N21" s="75"/>
      <c r="O21" s="36"/>
      <c r="P21" s="36"/>
      <c r="Q21" s="36"/>
      <c r="R21" s="36"/>
      <c r="S21" s="36"/>
      <c r="T21" s="36"/>
      <c r="U21" s="36"/>
      <c r="V21" s="36"/>
    </row>
    <row r="22" spans="1:22" ht="15.75" customHeight="1">
      <c r="A22" s="35" t="s">
        <v>19</v>
      </c>
      <c r="B22" s="36" t="s">
        <v>96</v>
      </c>
      <c r="C22" s="42">
        <v>0</v>
      </c>
      <c r="D22" s="65">
        <v>0</v>
      </c>
      <c r="E22" s="65">
        <v>0</v>
      </c>
      <c r="F22" s="134">
        <v>0</v>
      </c>
      <c r="G22" s="65">
        <v>0</v>
      </c>
      <c r="H22" s="65"/>
      <c r="I22" s="75"/>
      <c r="J22" s="75"/>
      <c r="K22" s="75"/>
      <c r="L22" s="75"/>
      <c r="M22" s="75"/>
      <c r="N22" s="75"/>
      <c r="O22" s="36"/>
      <c r="P22" s="36"/>
      <c r="Q22" s="36"/>
      <c r="R22" s="36"/>
      <c r="S22" s="36"/>
      <c r="T22" s="36"/>
      <c r="U22" s="36"/>
      <c r="V22" s="36"/>
    </row>
    <row r="23" spans="1:22" ht="15.75" customHeight="1">
      <c r="A23" s="35" t="s">
        <v>19</v>
      </c>
      <c r="B23" s="36" t="s">
        <v>97</v>
      </c>
      <c r="C23" s="42">
        <v>0</v>
      </c>
      <c r="D23" s="65">
        <v>0</v>
      </c>
      <c r="E23" s="65">
        <v>0</v>
      </c>
      <c r="F23" s="134">
        <v>0</v>
      </c>
      <c r="G23" s="130">
        <v>0</v>
      </c>
      <c r="H23" s="130"/>
      <c r="I23" s="75"/>
      <c r="J23" s="75"/>
      <c r="K23" s="75"/>
      <c r="L23" s="75"/>
      <c r="M23" s="75"/>
      <c r="N23" s="75"/>
      <c r="O23" s="36"/>
      <c r="P23" s="36"/>
      <c r="Q23" s="36"/>
      <c r="R23" s="36"/>
      <c r="S23" s="36"/>
      <c r="T23" s="36"/>
      <c r="U23" s="36"/>
      <c r="V23" s="36"/>
    </row>
    <row r="24" spans="1:22" ht="15.75" customHeight="1">
      <c r="A24" s="35" t="s">
        <v>19</v>
      </c>
      <c r="B24" s="36" t="s">
        <v>98</v>
      </c>
      <c r="C24" s="42">
        <v>0</v>
      </c>
      <c r="D24" s="65">
        <v>0</v>
      </c>
      <c r="E24" s="65">
        <v>0</v>
      </c>
      <c r="F24" s="65">
        <v>0</v>
      </c>
      <c r="G24" s="65">
        <v>0</v>
      </c>
      <c r="H24" s="65"/>
      <c r="I24" s="75"/>
      <c r="J24" s="75"/>
      <c r="K24" s="75"/>
      <c r="L24" s="75"/>
      <c r="M24" s="75"/>
      <c r="N24" s="75"/>
      <c r="O24" s="36"/>
      <c r="P24" s="36"/>
      <c r="Q24" s="36"/>
      <c r="R24" s="36"/>
      <c r="S24" s="36"/>
      <c r="T24" s="36"/>
      <c r="U24" s="36"/>
      <c r="V24" s="36"/>
    </row>
    <row r="25" spans="1:22" ht="15.75" customHeight="1">
      <c r="A25" s="35" t="s">
        <v>19</v>
      </c>
      <c r="B25" s="36" t="s">
        <v>88</v>
      </c>
      <c r="C25" s="42">
        <v>0</v>
      </c>
      <c r="D25" s="65">
        <v>0</v>
      </c>
      <c r="E25" s="65">
        <v>0</v>
      </c>
      <c r="F25" s="134">
        <v>0</v>
      </c>
      <c r="G25" s="130">
        <v>0</v>
      </c>
      <c r="H25" s="130"/>
      <c r="I25" s="75"/>
      <c r="J25" s="75"/>
      <c r="K25" s="75"/>
      <c r="L25" s="75"/>
      <c r="M25" s="75"/>
      <c r="N25" s="75"/>
      <c r="O25" s="36"/>
      <c r="P25" s="36"/>
      <c r="Q25" s="36"/>
      <c r="R25" s="36"/>
      <c r="S25" s="36"/>
      <c r="T25" s="36"/>
      <c r="U25" s="36"/>
      <c r="V25" s="36"/>
    </row>
    <row r="26" spans="1:22" ht="15.75" customHeight="1">
      <c r="A26" s="35" t="s">
        <v>19</v>
      </c>
      <c r="B26" s="36" t="s">
        <v>100</v>
      </c>
      <c r="C26" s="42">
        <v>0</v>
      </c>
      <c r="D26" s="65">
        <v>0</v>
      </c>
      <c r="E26" s="42">
        <v>0</v>
      </c>
      <c r="F26" s="11">
        <v>0</v>
      </c>
      <c r="G26" s="130">
        <v>0</v>
      </c>
      <c r="H26" s="130"/>
      <c r="I26" s="75"/>
      <c r="J26" s="75"/>
      <c r="K26" s="75"/>
      <c r="L26" s="75"/>
      <c r="M26" s="75"/>
      <c r="N26" s="75"/>
      <c r="O26" s="36"/>
      <c r="P26" s="36"/>
      <c r="Q26" s="36"/>
      <c r="R26" s="36"/>
      <c r="S26" s="36"/>
      <c r="T26" s="36"/>
      <c r="U26" s="36"/>
      <c r="V26" s="36"/>
    </row>
    <row r="27" spans="1:22" ht="15.75" customHeight="1">
      <c r="A27" s="35" t="s">
        <v>19</v>
      </c>
      <c r="B27" s="36" t="s">
        <v>92</v>
      </c>
      <c r="C27" s="42">
        <v>0</v>
      </c>
      <c r="D27" s="65">
        <v>0</v>
      </c>
      <c r="E27" s="65">
        <v>0</v>
      </c>
      <c r="F27" s="11">
        <v>0</v>
      </c>
      <c r="G27" s="65">
        <v>0</v>
      </c>
      <c r="H27" s="133"/>
      <c r="I27" s="75"/>
      <c r="J27" s="75"/>
      <c r="K27" s="75"/>
      <c r="L27" s="75"/>
      <c r="M27" s="75"/>
      <c r="N27" s="75"/>
      <c r="O27" s="36"/>
      <c r="P27" s="36"/>
      <c r="Q27" s="36"/>
      <c r="R27" s="36"/>
      <c r="S27" s="36"/>
      <c r="T27" s="36"/>
      <c r="U27" s="36"/>
      <c r="V27" s="36"/>
    </row>
    <row r="28" spans="1:22" ht="15.75" customHeight="1">
      <c r="A28" s="35" t="s">
        <v>19</v>
      </c>
      <c r="B28" s="36" t="s">
        <v>101</v>
      </c>
      <c r="C28" s="42">
        <v>0</v>
      </c>
      <c r="D28" s="65">
        <v>0</v>
      </c>
      <c r="E28" s="65">
        <v>0</v>
      </c>
      <c r="F28" s="65">
        <v>0</v>
      </c>
      <c r="G28" s="65">
        <v>0</v>
      </c>
      <c r="H28" s="65"/>
      <c r="I28" s="75"/>
      <c r="J28" s="75"/>
      <c r="K28" s="75"/>
      <c r="L28" s="75"/>
      <c r="M28" s="75"/>
      <c r="N28" s="75"/>
      <c r="O28" s="36"/>
      <c r="P28" s="36"/>
      <c r="Q28" s="36"/>
      <c r="R28" s="36"/>
      <c r="S28" s="36"/>
      <c r="T28" s="36"/>
      <c r="U28" s="36"/>
      <c r="V28" s="36"/>
    </row>
    <row r="29" spans="1:22" ht="15.75" customHeight="1">
      <c r="A29" s="35" t="s">
        <v>20</v>
      </c>
      <c r="B29" s="36" t="s">
        <v>103</v>
      </c>
      <c r="C29" s="42">
        <v>0</v>
      </c>
      <c r="D29" s="65">
        <v>0</v>
      </c>
      <c r="E29" s="65">
        <v>0</v>
      </c>
      <c r="F29" s="134">
        <v>0</v>
      </c>
      <c r="G29" s="65">
        <v>0</v>
      </c>
      <c r="H29" s="133"/>
      <c r="I29" s="75"/>
      <c r="J29" s="75"/>
      <c r="K29" s="75"/>
      <c r="L29" s="75"/>
      <c r="M29" s="75"/>
      <c r="N29" s="75"/>
      <c r="O29" s="36"/>
      <c r="P29" s="36"/>
      <c r="Q29" s="36"/>
      <c r="R29" s="36"/>
      <c r="S29" s="36"/>
      <c r="T29" s="36"/>
      <c r="U29" s="36"/>
      <c r="V29" s="36"/>
    </row>
    <row r="30" spans="1:22" ht="15.75" customHeight="1">
      <c r="A30" s="35" t="s">
        <v>20</v>
      </c>
      <c r="B30" s="36" t="s">
        <v>104</v>
      </c>
      <c r="C30" s="42">
        <v>0</v>
      </c>
      <c r="D30" s="65">
        <v>0</v>
      </c>
      <c r="E30" s="65">
        <v>0</v>
      </c>
      <c r="F30" s="134">
        <v>0</v>
      </c>
      <c r="G30" s="65">
        <v>0</v>
      </c>
      <c r="H30" s="65"/>
      <c r="I30" s="75"/>
      <c r="J30" s="75"/>
      <c r="K30" s="75"/>
      <c r="L30" s="75"/>
      <c r="M30" s="75"/>
      <c r="N30" s="75"/>
      <c r="O30" s="36"/>
      <c r="P30" s="36"/>
      <c r="Q30" s="36"/>
      <c r="R30" s="36"/>
      <c r="S30" s="36"/>
      <c r="T30" s="36"/>
      <c r="U30" s="36"/>
      <c r="V30" s="36"/>
    </row>
    <row r="31" spans="1:22" ht="15.75" customHeight="1">
      <c r="A31" s="35" t="s">
        <v>20</v>
      </c>
      <c r="B31" s="36" t="s">
        <v>105</v>
      </c>
      <c r="C31" s="42">
        <v>0</v>
      </c>
      <c r="D31" s="65">
        <v>0</v>
      </c>
      <c r="E31" s="65">
        <v>0</v>
      </c>
      <c r="F31" s="134">
        <v>0</v>
      </c>
      <c r="G31" s="65">
        <v>0</v>
      </c>
      <c r="H31" s="34"/>
      <c r="I31" s="75"/>
      <c r="J31" s="75"/>
      <c r="K31" s="75"/>
      <c r="L31" s="75"/>
      <c r="M31" s="75"/>
      <c r="N31" s="75"/>
      <c r="O31" s="36"/>
      <c r="P31" s="36"/>
      <c r="Q31" s="36"/>
      <c r="R31" s="36"/>
      <c r="S31" s="36"/>
      <c r="T31" s="36"/>
      <c r="U31" s="36"/>
      <c r="V31" s="36"/>
    </row>
    <row r="32" spans="1:22" ht="15.75" customHeight="1">
      <c r="A32" s="35" t="s">
        <v>20</v>
      </c>
      <c r="B32" s="36" t="s">
        <v>106</v>
      </c>
      <c r="C32" s="42">
        <v>0</v>
      </c>
      <c r="D32" s="65">
        <v>0</v>
      </c>
      <c r="E32" s="65">
        <v>0</v>
      </c>
      <c r="F32" s="134">
        <v>0</v>
      </c>
      <c r="G32" s="65">
        <v>0</v>
      </c>
      <c r="H32" s="34"/>
      <c r="I32" s="75"/>
      <c r="J32" s="75"/>
      <c r="K32" s="75"/>
      <c r="L32" s="75"/>
      <c r="M32" s="75"/>
      <c r="N32" s="75"/>
      <c r="O32" s="36"/>
      <c r="P32" s="36"/>
      <c r="Q32" s="36"/>
      <c r="R32" s="36"/>
      <c r="S32" s="36"/>
      <c r="T32" s="36"/>
      <c r="U32" s="36"/>
      <c r="V32" s="36"/>
    </row>
    <row r="33" spans="1:22" ht="15.75" customHeight="1">
      <c r="A33" s="35" t="s">
        <v>20</v>
      </c>
      <c r="B33" s="36" t="s">
        <v>107</v>
      </c>
      <c r="C33" s="42">
        <v>0</v>
      </c>
      <c r="D33" s="65">
        <v>0</v>
      </c>
      <c r="E33" s="65">
        <v>0</v>
      </c>
      <c r="F33" s="11">
        <v>0</v>
      </c>
      <c r="G33" s="65">
        <v>0</v>
      </c>
      <c r="H33" s="65"/>
      <c r="I33" s="75"/>
      <c r="J33" s="75"/>
      <c r="K33" s="75"/>
      <c r="L33" s="75"/>
      <c r="M33" s="75"/>
      <c r="N33" s="75"/>
      <c r="O33" s="36"/>
      <c r="P33" s="36"/>
      <c r="Q33" s="36"/>
      <c r="R33" s="36"/>
      <c r="S33" s="36"/>
      <c r="T33" s="36"/>
      <c r="U33" s="36"/>
      <c r="V33" s="36"/>
    </row>
    <row r="34" spans="1:22" ht="15.75" customHeight="1">
      <c r="A34" s="35" t="s">
        <v>20</v>
      </c>
      <c r="B34" s="36" t="s">
        <v>108</v>
      </c>
      <c r="C34" s="42">
        <v>0</v>
      </c>
      <c r="D34" s="65">
        <v>0</v>
      </c>
      <c r="E34" s="65">
        <v>0</v>
      </c>
      <c r="F34" s="65">
        <v>0</v>
      </c>
      <c r="G34" s="130">
        <v>0</v>
      </c>
      <c r="H34" s="65"/>
      <c r="I34" s="75"/>
      <c r="J34" s="75"/>
      <c r="K34" s="75"/>
      <c r="L34" s="75"/>
      <c r="M34" s="75"/>
      <c r="N34" s="75"/>
      <c r="O34" s="36"/>
      <c r="P34" s="36"/>
      <c r="Q34" s="36"/>
      <c r="R34" s="36"/>
      <c r="S34" s="36"/>
      <c r="T34" s="36"/>
      <c r="U34" s="36"/>
      <c r="V34" s="36"/>
    </row>
    <row r="35" spans="1:22" ht="15.75" customHeight="1">
      <c r="A35" s="35" t="s">
        <v>21</v>
      </c>
      <c r="B35" s="36" t="s">
        <v>109</v>
      </c>
      <c r="C35" s="42">
        <v>0</v>
      </c>
      <c r="D35" s="65">
        <v>0</v>
      </c>
      <c r="E35" s="65">
        <v>0</v>
      </c>
      <c r="F35" s="134">
        <v>0</v>
      </c>
      <c r="G35" s="65">
        <v>0</v>
      </c>
      <c r="H35" s="65"/>
      <c r="I35" s="75"/>
      <c r="J35" s="75"/>
      <c r="K35" s="75"/>
      <c r="L35" s="75"/>
      <c r="M35" s="75"/>
      <c r="N35" s="75"/>
      <c r="O35" s="36"/>
      <c r="P35" s="36"/>
      <c r="Q35" s="36"/>
      <c r="R35" s="36"/>
      <c r="S35" s="36"/>
      <c r="T35" s="36"/>
      <c r="U35" s="36"/>
      <c r="V35" s="36"/>
    </row>
    <row r="36" spans="1:22" ht="15.75" customHeight="1">
      <c r="A36" s="35" t="s">
        <v>21</v>
      </c>
      <c r="B36" s="36" t="s">
        <v>110</v>
      </c>
      <c r="C36" s="42">
        <v>0</v>
      </c>
      <c r="D36" s="65">
        <v>0</v>
      </c>
      <c r="E36" s="65">
        <v>0</v>
      </c>
      <c r="F36" s="134">
        <v>0</v>
      </c>
      <c r="G36" s="65">
        <v>0</v>
      </c>
      <c r="H36" s="65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ht="15.75" customHeight="1">
      <c r="A37" s="35" t="s">
        <v>21</v>
      </c>
      <c r="B37" s="36" t="s">
        <v>111</v>
      </c>
      <c r="C37" s="42">
        <v>0</v>
      </c>
      <c r="D37" s="65">
        <v>0</v>
      </c>
      <c r="E37" s="65">
        <v>0</v>
      </c>
      <c r="F37" s="134">
        <v>0</v>
      </c>
      <c r="G37" s="65">
        <v>0</v>
      </c>
      <c r="H37" s="65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ht="15.75" customHeight="1">
      <c r="A38" s="35" t="s">
        <v>21</v>
      </c>
      <c r="B38" s="36" t="s">
        <v>112</v>
      </c>
      <c r="C38" s="42">
        <v>0</v>
      </c>
      <c r="D38" s="65">
        <v>0</v>
      </c>
      <c r="E38" s="65">
        <v>0</v>
      </c>
      <c r="F38" s="134">
        <v>0</v>
      </c>
      <c r="G38" s="42">
        <v>0</v>
      </c>
      <c r="H38" s="3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ht="15.75" customHeight="1">
      <c r="A39" s="35" t="s">
        <v>21</v>
      </c>
      <c r="B39" s="36" t="s">
        <v>88</v>
      </c>
      <c r="C39" s="42">
        <v>0</v>
      </c>
      <c r="D39" s="65">
        <v>0</v>
      </c>
      <c r="E39" s="65">
        <v>0</v>
      </c>
      <c r="F39" s="128">
        <v>0</v>
      </c>
      <c r="G39" s="65">
        <v>0</v>
      </c>
      <c r="H39" s="3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ht="15.75" customHeight="1">
      <c r="A40" s="35" t="s">
        <v>21</v>
      </c>
      <c r="B40" s="36" t="s">
        <v>113</v>
      </c>
      <c r="C40" s="42">
        <v>0</v>
      </c>
      <c r="D40" s="65">
        <v>0</v>
      </c>
      <c r="E40" s="65">
        <v>0</v>
      </c>
      <c r="F40" s="134">
        <v>0</v>
      </c>
      <c r="G40" s="42">
        <v>0</v>
      </c>
      <c r="H40" s="42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 ht="15.75" customHeight="1">
      <c r="A41" s="35" t="s">
        <v>21</v>
      </c>
      <c r="B41" s="36" t="s">
        <v>92</v>
      </c>
      <c r="C41" s="42">
        <v>0</v>
      </c>
      <c r="D41" s="65">
        <v>0</v>
      </c>
      <c r="E41" s="65">
        <v>0</v>
      </c>
      <c r="F41" s="42">
        <v>0</v>
      </c>
      <c r="G41" s="42">
        <v>0</v>
      </c>
      <c r="H41" s="3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1:22" ht="15.75" customHeight="1">
      <c r="A42" s="35" t="s">
        <v>21</v>
      </c>
      <c r="B42" s="36" t="s">
        <v>114</v>
      </c>
      <c r="C42" s="42">
        <v>0</v>
      </c>
      <c r="D42" s="65">
        <v>0</v>
      </c>
      <c r="E42" s="65">
        <v>0</v>
      </c>
      <c r="F42" s="128">
        <v>0</v>
      </c>
      <c r="G42" s="42">
        <v>0</v>
      </c>
      <c r="H42" s="42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1:22" ht="15.75" customHeight="1">
      <c r="A43" s="35" t="s">
        <v>21</v>
      </c>
      <c r="B43" s="36" t="s">
        <v>115</v>
      </c>
      <c r="C43" s="42">
        <v>0</v>
      </c>
      <c r="D43" s="65">
        <v>0</v>
      </c>
      <c r="E43" s="65">
        <v>0</v>
      </c>
      <c r="F43" s="134">
        <v>0</v>
      </c>
      <c r="G43" s="42">
        <v>0</v>
      </c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 ht="15.75" customHeight="1">
      <c r="A44" s="35" t="s">
        <v>22</v>
      </c>
      <c r="B44" s="36" t="s">
        <v>116</v>
      </c>
      <c r="C44" s="42">
        <v>0</v>
      </c>
      <c r="D44" s="65">
        <v>0</v>
      </c>
      <c r="E44" s="65">
        <v>0</v>
      </c>
      <c r="F44" s="65">
        <v>0</v>
      </c>
      <c r="G44" s="42">
        <v>0</v>
      </c>
      <c r="H44" s="13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1:22" ht="15.75" customHeight="1">
      <c r="A45" s="35" t="s">
        <v>22</v>
      </c>
      <c r="B45" s="36" t="s">
        <v>117</v>
      </c>
      <c r="C45" s="42">
        <v>0</v>
      </c>
      <c r="D45" s="65">
        <v>0</v>
      </c>
      <c r="E45" s="65">
        <v>0</v>
      </c>
      <c r="F45" s="11">
        <v>0</v>
      </c>
      <c r="G45" s="65">
        <v>0</v>
      </c>
      <c r="H45" s="3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1:22" ht="15.75" customHeight="1">
      <c r="A46" s="35" t="s">
        <v>22</v>
      </c>
      <c r="B46" s="36" t="s">
        <v>118</v>
      </c>
      <c r="C46" s="42">
        <v>0</v>
      </c>
      <c r="D46" s="65">
        <v>0</v>
      </c>
      <c r="E46" s="137">
        <v>0</v>
      </c>
      <c r="F46" s="128">
        <v>0</v>
      </c>
      <c r="G46" s="42">
        <v>0</v>
      </c>
      <c r="H46" s="137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1:22" ht="15.75" customHeight="1">
      <c r="A47" s="35" t="s">
        <v>22</v>
      </c>
      <c r="B47" s="36" t="s">
        <v>119</v>
      </c>
      <c r="C47" s="42">
        <v>0</v>
      </c>
      <c r="D47" s="65">
        <v>0</v>
      </c>
      <c r="E47" s="65">
        <v>0</v>
      </c>
      <c r="F47" s="128">
        <v>0</v>
      </c>
      <c r="G47" s="42">
        <v>0</v>
      </c>
      <c r="H47" s="139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22" ht="15.75" customHeight="1">
      <c r="A48" s="35" t="s">
        <v>23</v>
      </c>
      <c r="B48" s="44" t="s">
        <v>109</v>
      </c>
      <c r="C48" s="42">
        <v>0</v>
      </c>
      <c r="D48" s="65">
        <v>0</v>
      </c>
      <c r="E48" s="65">
        <v>0</v>
      </c>
      <c r="F48" s="128">
        <v>0</v>
      </c>
      <c r="G48" s="42">
        <v>0</v>
      </c>
      <c r="H48" s="42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spans="1:22" ht="15.75" customHeight="1">
      <c r="A49" s="35" t="s">
        <v>23</v>
      </c>
      <c r="B49" s="44" t="s">
        <v>120</v>
      </c>
      <c r="C49" s="42">
        <v>0</v>
      </c>
      <c r="D49" s="42">
        <v>0</v>
      </c>
      <c r="E49" s="42">
        <v>0</v>
      </c>
      <c r="F49" s="128">
        <v>0</v>
      </c>
      <c r="G49" s="42">
        <v>0</v>
      </c>
      <c r="H49" s="34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spans="1:22" ht="17.25" customHeight="1">
      <c r="A50" s="35" t="s">
        <v>23</v>
      </c>
      <c r="B50" s="36" t="s">
        <v>121</v>
      </c>
      <c r="C50" s="42">
        <v>0</v>
      </c>
      <c r="D50" s="65">
        <v>0</v>
      </c>
      <c r="E50" s="65">
        <v>0</v>
      </c>
      <c r="F50" s="128">
        <v>0</v>
      </c>
      <c r="G50" s="42">
        <v>0</v>
      </c>
      <c r="H50" s="42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spans="1:22" ht="17.25" customHeight="1">
      <c r="A51" s="35" t="s">
        <v>23</v>
      </c>
      <c r="B51" s="36" t="s">
        <v>107</v>
      </c>
      <c r="C51" s="42">
        <v>0</v>
      </c>
      <c r="D51" s="65">
        <v>0</v>
      </c>
      <c r="E51" s="65">
        <v>0</v>
      </c>
      <c r="F51" s="128">
        <v>0</v>
      </c>
      <c r="G51" s="42">
        <v>0</v>
      </c>
      <c r="H51" s="6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spans="1:22" ht="15.75" customHeight="1">
      <c r="A52" s="35" t="s">
        <v>23</v>
      </c>
      <c r="B52" s="36" t="s">
        <v>92</v>
      </c>
      <c r="C52" s="42">
        <v>0</v>
      </c>
      <c r="D52" s="65">
        <v>0</v>
      </c>
      <c r="E52" s="65">
        <v>0</v>
      </c>
      <c r="F52" s="11">
        <v>0</v>
      </c>
      <c r="G52" s="42">
        <v>0</v>
      </c>
      <c r="H52" s="35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spans="1:22" ht="15.75" customHeight="1">
      <c r="A53" s="35" t="s">
        <v>23</v>
      </c>
      <c r="B53" s="36" t="s">
        <v>122</v>
      </c>
      <c r="C53" s="42">
        <v>0</v>
      </c>
      <c r="D53" s="65">
        <v>0</v>
      </c>
      <c r="E53" s="65">
        <v>0</v>
      </c>
      <c r="F53" s="11">
        <v>0</v>
      </c>
      <c r="G53" s="65">
        <v>0</v>
      </c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22" ht="15.75" customHeight="1">
      <c r="A54" s="35" t="s">
        <v>24</v>
      </c>
      <c r="B54" s="36" t="s">
        <v>72</v>
      </c>
      <c r="C54" s="42">
        <v>0</v>
      </c>
      <c r="D54" s="65">
        <v>0</v>
      </c>
      <c r="E54" s="65">
        <v>0</v>
      </c>
      <c r="F54" s="134">
        <v>0</v>
      </c>
      <c r="G54" s="65">
        <v>0</v>
      </c>
      <c r="H54" s="65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spans="1:22" ht="15.75" customHeight="1">
      <c r="A55" s="35" t="s">
        <v>24</v>
      </c>
      <c r="B55" s="36" t="s">
        <v>74</v>
      </c>
      <c r="C55" s="42">
        <v>0</v>
      </c>
      <c r="D55" s="65">
        <v>0</v>
      </c>
      <c r="E55" s="65">
        <v>0</v>
      </c>
      <c r="F55" s="65">
        <v>0</v>
      </c>
      <c r="G55" s="42">
        <v>500000</v>
      </c>
      <c r="H55" s="42" t="s">
        <v>836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spans="1:22" ht="15.75" customHeight="1">
      <c r="A56" s="35" t="s">
        <v>24</v>
      </c>
      <c r="B56" s="36" t="s">
        <v>123</v>
      </c>
      <c r="C56" s="42">
        <v>0</v>
      </c>
      <c r="D56" s="65">
        <v>0</v>
      </c>
      <c r="E56" s="65">
        <v>0</v>
      </c>
      <c r="F56" s="134">
        <v>0</v>
      </c>
      <c r="G56" s="42">
        <v>0</v>
      </c>
      <c r="H56" s="130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 ht="15.75" customHeight="1">
      <c r="A57" s="35" t="s">
        <v>24</v>
      </c>
      <c r="B57" s="36" t="s">
        <v>124</v>
      </c>
      <c r="C57" s="42">
        <v>0</v>
      </c>
      <c r="D57" s="65">
        <v>0</v>
      </c>
      <c r="E57" s="65">
        <v>0</v>
      </c>
      <c r="F57" s="42">
        <v>0</v>
      </c>
      <c r="G57" s="42">
        <v>0</v>
      </c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 ht="15.75" customHeight="1">
      <c r="A58" s="35" t="s">
        <v>24</v>
      </c>
      <c r="B58" s="36" t="s">
        <v>88</v>
      </c>
      <c r="C58" s="65">
        <v>0</v>
      </c>
      <c r="D58" s="65">
        <v>0</v>
      </c>
      <c r="E58" s="65">
        <v>0</v>
      </c>
      <c r="F58" s="42">
        <v>0</v>
      </c>
      <c r="G58" s="42">
        <v>0</v>
      </c>
      <c r="H58" s="42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spans="1:22" ht="15.75" customHeight="1">
      <c r="A59" s="35" t="s">
        <v>24</v>
      </c>
      <c r="B59" s="36" t="s">
        <v>100</v>
      </c>
      <c r="C59" s="65">
        <v>0</v>
      </c>
      <c r="D59" s="65">
        <v>0</v>
      </c>
      <c r="E59" s="65">
        <v>0</v>
      </c>
      <c r="F59" s="42">
        <v>0</v>
      </c>
      <c r="G59" s="42">
        <v>0</v>
      </c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spans="1:22" ht="15.75" customHeight="1">
      <c r="A60" s="35" t="s">
        <v>24</v>
      </c>
      <c r="B60" s="36" t="s">
        <v>82</v>
      </c>
      <c r="C60" s="65">
        <v>0</v>
      </c>
      <c r="D60" s="42">
        <v>0</v>
      </c>
      <c r="E60" s="65">
        <v>0</v>
      </c>
      <c r="F60" s="42">
        <v>0</v>
      </c>
      <c r="G60" s="42">
        <v>0</v>
      </c>
      <c r="H60" s="42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spans="1:22" ht="15.75" customHeight="1">
      <c r="A61" s="35" t="s">
        <v>24</v>
      </c>
      <c r="B61" s="36" t="s">
        <v>125</v>
      </c>
      <c r="C61" s="65">
        <v>0</v>
      </c>
      <c r="D61" s="42">
        <v>0</v>
      </c>
      <c r="E61" s="65">
        <v>0</v>
      </c>
      <c r="F61" s="42">
        <v>0</v>
      </c>
      <c r="G61" s="42">
        <v>0</v>
      </c>
      <c r="H61" s="65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spans="1:22" ht="15.75" customHeight="1">
      <c r="A62" s="35" t="s">
        <v>25</v>
      </c>
      <c r="B62" s="36" t="s">
        <v>126</v>
      </c>
      <c r="C62" s="129">
        <v>0</v>
      </c>
      <c r="D62" s="42">
        <v>0</v>
      </c>
      <c r="E62" s="129">
        <v>0</v>
      </c>
      <c r="F62" s="42">
        <v>0</v>
      </c>
      <c r="G62" s="42">
        <v>0</v>
      </c>
      <c r="H62" s="42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spans="1:22" ht="15.75" customHeight="1">
      <c r="A63" s="35" t="s">
        <v>25</v>
      </c>
      <c r="B63" s="36" t="s">
        <v>127</v>
      </c>
      <c r="C63" s="129">
        <v>0</v>
      </c>
      <c r="D63" s="42">
        <v>0</v>
      </c>
      <c r="E63" s="129">
        <v>0</v>
      </c>
      <c r="F63" s="42">
        <v>0</v>
      </c>
      <c r="G63" s="42">
        <v>0</v>
      </c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spans="1:22" ht="15.75" customHeight="1">
      <c r="A64" s="35" t="s">
        <v>25</v>
      </c>
      <c r="B64" s="36" t="s">
        <v>128</v>
      </c>
      <c r="C64" s="129">
        <v>0</v>
      </c>
      <c r="D64" s="42">
        <v>0</v>
      </c>
      <c r="E64" s="42">
        <v>0</v>
      </c>
      <c r="F64" s="42">
        <v>0</v>
      </c>
      <c r="G64" s="42">
        <v>0</v>
      </c>
      <c r="H64" s="42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1:22" ht="15.75" customHeight="1">
      <c r="A65" s="35" t="s">
        <v>25</v>
      </c>
      <c r="B65" s="36" t="s">
        <v>129</v>
      </c>
      <c r="C65" s="129">
        <v>0</v>
      </c>
      <c r="D65" s="42">
        <v>0</v>
      </c>
      <c r="E65" s="42">
        <v>0</v>
      </c>
      <c r="F65" s="42">
        <v>0</v>
      </c>
      <c r="G65" s="42">
        <v>0</v>
      </c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spans="1:22" ht="15.75" customHeight="1">
      <c r="A66" s="35" t="s">
        <v>25</v>
      </c>
      <c r="B66" s="36" t="s">
        <v>130</v>
      </c>
      <c r="C66" s="129">
        <v>0</v>
      </c>
      <c r="D66" s="42">
        <v>0</v>
      </c>
      <c r="E66" s="42">
        <v>0</v>
      </c>
      <c r="F66" s="42">
        <v>0</v>
      </c>
      <c r="G66" s="42">
        <v>0</v>
      </c>
      <c r="H66" s="42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spans="1:22" ht="15.75" customHeight="1">
      <c r="A67" s="35" t="s">
        <v>26</v>
      </c>
      <c r="B67" s="36" t="s">
        <v>131</v>
      </c>
      <c r="C67" s="129">
        <v>0</v>
      </c>
      <c r="D67" s="42">
        <v>0</v>
      </c>
      <c r="E67" s="42">
        <v>0</v>
      </c>
      <c r="F67" s="42">
        <v>0</v>
      </c>
      <c r="G67" s="42">
        <v>0</v>
      </c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spans="1:22" ht="15.75" customHeight="1">
      <c r="A68" s="35" t="s">
        <v>26</v>
      </c>
      <c r="B68" s="36" t="s">
        <v>132</v>
      </c>
      <c r="C68" s="129">
        <v>0</v>
      </c>
      <c r="D68" s="42">
        <v>0</v>
      </c>
      <c r="E68" s="42">
        <v>0</v>
      </c>
      <c r="F68" s="42">
        <v>0</v>
      </c>
      <c r="G68" s="42">
        <v>0</v>
      </c>
      <c r="H68" s="42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spans="1:22" ht="15.75" customHeight="1">
      <c r="A69" s="35" t="s">
        <v>26</v>
      </c>
      <c r="B69" s="36" t="s">
        <v>133</v>
      </c>
      <c r="C69" s="129">
        <v>0</v>
      </c>
      <c r="D69" s="42">
        <v>0</v>
      </c>
      <c r="E69" s="42">
        <v>0</v>
      </c>
      <c r="F69" s="42">
        <v>0</v>
      </c>
      <c r="G69" s="42">
        <v>0</v>
      </c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spans="1:22" ht="15.75" customHeight="1">
      <c r="A70" s="35" t="s">
        <v>26</v>
      </c>
      <c r="B70" s="36" t="s">
        <v>134</v>
      </c>
      <c r="C70" s="129">
        <v>0</v>
      </c>
      <c r="D70" s="42">
        <v>0</v>
      </c>
      <c r="E70" s="42">
        <v>0</v>
      </c>
      <c r="F70" s="42">
        <v>0</v>
      </c>
      <c r="G70" s="42">
        <v>0</v>
      </c>
      <c r="H70" s="42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spans="1:22" ht="15.75" customHeight="1">
      <c r="A71" s="35" t="s">
        <v>26</v>
      </c>
      <c r="B71" s="36" t="s">
        <v>135</v>
      </c>
      <c r="C71" s="129">
        <v>0</v>
      </c>
      <c r="D71" s="42">
        <v>0</v>
      </c>
      <c r="E71" s="42">
        <v>0</v>
      </c>
      <c r="F71" s="42">
        <v>0</v>
      </c>
      <c r="G71" s="42">
        <v>0</v>
      </c>
      <c r="H71" s="42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spans="1:22" ht="15.75" customHeight="1">
      <c r="A72" s="35"/>
      <c r="B72" s="36"/>
      <c r="C72" s="129"/>
      <c r="D72" s="42"/>
      <c r="E72" s="42"/>
      <c r="F72" s="42"/>
      <c r="G72" s="42"/>
      <c r="H72" s="42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spans="1:22" ht="15.75" customHeight="1">
      <c r="A73" s="35"/>
      <c r="B73" s="36"/>
      <c r="C73" s="129"/>
      <c r="D73" s="42"/>
      <c r="E73" s="42"/>
      <c r="F73" s="42"/>
      <c r="G73" s="42"/>
      <c r="H73" s="42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spans="1:22" ht="15.75" customHeight="1">
      <c r="A74" s="35"/>
      <c r="B74" s="36"/>
      <c r="C74" s="129"/>
      <c r="D74" s="42"/>
      <c r="E74" s="42"/>
      <c r="F74" s="42"/>
      <c r="G74" s="42"/>
      <c r="H74" s="42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spans="1:22" ht="15.75" customHeight="1">
      <c r="A75" s="35"/>
      <c r="B75" s="36"/>
      <c r="C75" s="129"/>
      <c r="D75" s="42"/>
      <c r="E75" s="42"/>
      <c r="F75" s="42"/>
      <c r="G75" s="42"/>
      <c r="H75" s="42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spans="1:22" ht="15.75" customHeight="1">
      <c r="A76" s="35"/>
      <c r="B76" s="36"/>
      <c r="C76" s="129"/>
      <c r="D76" s="42"/>
      <c r="E76" s="42"/>
      <c r="F76" s="42"/>
      <c r="G76" s="42"/>
      <c r="H76" s="42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spans="1:22" ht="15.75" customHeight="1">
      <c r="A77" s="35"/>
      <c r="B77" s="36"/>
      <c r="C77" s="129"/>
      <c r="D77" s="42"/>
      <c r="E77" s="42"/>
      <c r="F77" s="42"/>
      <c r="G77" s="42"/>
      <c r="H77" s="42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spans="1:22" ht="15.75" customHeight="1">
      <c r="A78" s="35"/>
      <c r="B78" s="36"/>
      <c r="C78" s="129"/>
      <c r="D78" s="42"/>
      <c r="E78" s="42"/>
      <c r="F78" s="42"/>
      <c r="G78" s="42"/>
      <c r="H78" s="42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spans="1:22" ht="15.75" customHeight="1">
      <c r="A79" s="35"/>
      <c r="B79" s="36"/>
      <c r="C79" s="129"/>
      <c r="D79" s="42"/>
      <c r="E79" s="42"/>
      <c r="F79" s="42"/>
      <c r="G79" s="42"/>
      <c r="H79" s="42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spans="1:22" ht="15.75" customHeight="1">
      <c r="A80" s="36"/>
      <c r="B80" s="36"/>
      <c r="C80" s="42"/>
      <c r="D80" s="42"/>
      <c r="E80" s="42"/>
      <c r="F80" s="42"/>
      <c r="G80" s="42"/>
      <c r="H80" s="42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spans="1:22" ht="15.75" customHeight="1">
      <c r="A81" s="36"/>
      <c r="B81" s="36"/>
      <c r="C81" s="42"/>
      <c r="D81" s="42"/>
      <c r="E81" s="42"/>
      <c r="F81" s="42"/>
      <c r="G81" s="42"/>
      <c r="H81" s="42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spans="1:22" ht="15.75" customHeight="1">
      <c r="A82" s="36"/>
      <c r="B82" s="36"/>
      <c r="C82" s="42"/>
      <c r="D82" s="42"/>
      <c r="E82" s="42"/>
      <c r="F82" s="42"/>
      <c r="G82" s="42"/>
      <c r="H82" s="42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spans="1:22" ht="15.75" customHeight="1">
      <c r="A83" s="36"/>
      <c r="B83" s="36"/>
      <c r="C83" s="42"/>
      <c r="D83" s="42"/>
      <c r="E83" s="42"/>
      <c r="F83" s="42"/>
      <c r="G83" s="42"/>
      <c r="H83" s="42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spans="1:22" ht="15.75" customHeight="1">
      <c r="A84" s="36"/>
      <c r="B84" s="36"/>
      <c r="C84" s="42"/>
      <c r="D84" s="42"/>
      <c r="E84" s="42"/>
      <c r="F84" s="42"/>
      <c r="G84" s="42"/>
      <c r="H84" s="42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spans="1:22" ht="15.75" customHeight="1">
      <c r="A85" s="36"/>
      <c r="B85" s="36"/>
      <c r="C85" s="42"/>
      <c r="D85" s="42"/>
      <c r="E85" s="42"/>
      <c r="F85" s="42"/>
      <c r="G85" s="42"/>
      <c r="H85" s="42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spans="1:22" ht="15.75" customHeight="1">
      <c r="A86" s="36"/>
      <c r="B86" s="36"/>
      <c r="C86" s="42"/>
      <c r="D86" s="42"/>
      <c r="E86" s="42"/>
      <c r="F86" s="42"/>
      <c r="G86" s="42"/>
      <c r="H86" s="42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spans="1:22" ht="15.75" customHeight="1">
      <c r="A87" s="36"/>
      <c r="B87" s="36"/>
      <c r="C87" s="42"/>
      <c r="D87" s="42"/>
      <c r="E87" s="42"/>
      <c r="F87" s="42"/>
      <c r="G87" s="42"/>
      <c r="H87" s="42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spans="1:22" ht="15.75" customHeight="1">
      <c r="A88" s="36"/>
      <c r="B88" s="36"/>
      <c r="C88" s="42"/>
      <c r="D88" s="42"/>
      <c r="E88" s="42"/>
      <c r="F88" s="42"/>
      <c r="G88" s="42"/>
      <c r="H88" s="42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spans="1:22" ht="15.75" customHeight="1">
      <c r="A89" s="36"/>
      <c r="B89" s="36"/>
      <c r="C89" s="42"/>
      <c r="D89" s="42"/>
      <c r="E89" s="42"/>
      <c r="F89" s="42"/>
      <c r="G89" s="42"/>
      <c r="H89" s="42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spans="1:22" ht="15.75" customHeight="1">
      <c r="A90" s="36"/>
      <c r="B90" s="36"/>
      <c r="C90" s="42"/>
      <c r="D90" s="42"/>
      <c r="E90" s="42"/>
      <c r="F90" s="42"/>
      <c r="G90" s="42"/>
      <c r="H90" s="42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spans="1:22" ht="15.75" customHeight="1">
      <c r="A91" s="36"/>
      <c r="B91" s="36"/>
      <c r="C91" s="42"/>
      <c r="D91" s="42"/>
      <c r="E91" s="42"/>
      <c r="F91" s="42"/>
      <c r="G91" s="42"/>
      <c r="H91" s="42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spans="1:22" ht="15.75" customHeight="1">
      <c r="A92" s="36"/>
      <c r="B92" s="36"/>
      <c r="C92" s="42"/>
      <c r="D92" s="42"/>
      <c r="E92" s="42"/>
      <c r="F92" s="42"/>
      <c r="G92" s="42"/>
      <c r="H92" s="42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spans="1:22" ht="15.75" customHeight="1">
      <c r="A93" s="36"/>
      <c r="B93" s="36"/>
      <c r="C93" s="42"/>
      <c r="D93" s="42"/>
      <c r="E93" s="42"/>
      <c r="F93" s="42"/>
      <c r="G93" s="42"/>
      <c r="H93" s="42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spans="1:22" ht="15.75" customHeight="1">
      <c r="A94" s="36"/>
      <c r="B94" s="36"/>
      <c r="C94" s="42"/>
      <c r="D94" s="42"/>
      <c r="E94" s="42"/>
      <c r="F94" s="42"/>
      <c r="G94" s="42"/>
      <c r="H94" s="42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spans="1:22" ht="15.75" customHeight="1">
      <c r="A95" s="36"/>
      <c r="B95" s="36"/>
      <c r="C95" s="42"/>
      <c r="D95" s="42"/>
      <c r="E95" s="42"/>
      <c r="F95" s="42"/>
      <c r="G95" s="42"/>
      <c r="H95" s="42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spans="1:22" ht="15.75" customHeight="1">
      <c r="A96" s="36"/>
      <c r="B96" s="36"/>
      <c r="C96" s="42"/>
      <c r="D96" s="42"/>
      <c r="E96" s="42"/>
      <c r="F96" s="42"/>
      <c r="G96" s="42"/>
      <c r="H96" s="42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spans="1:22" ht="15.75" customHeight="1">
      <c r="A97" s="36"/>
      <c r="B97" s="36"/>
      <c r="C97" s="42"/>
      <c r="D97" s="42"/>
      <c r="E97" s="42"/>
      <c r="F97" s="42"/>
      <c r="G97" s="42"/>
      <c r="H97" s="42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spans="1:22" ht="15.75" customHeight="1">
      <c r="A98" s="36"/>
      <c r="B98" s="36"/>
      <c r="C98" s="42"/>
      <c r="D98" s="42"/>
      <c r="E98" s="42"/>
      <c r="F98" s="42"/>
      <c r="G98" s="42"/>
      <c r="H98" s="42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spans="1:22" ht="15.75" customHeight="1">
      <c r="A99" s="36"/>
      <c r="B99" s="36"/>
      <c r="C99" s="42"/>
      <c r="D99" s="42"/>
      <c r="E99" s="42"/>
      <c r="F99" s="42"/>
      <c r="G99" s="42"/>
      <c r="H99" s="42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spans="1:22" ht="15.75" customHeight="1">
      <c r="A100" s="36"/>
      <c r="B100" s="36"/>
      <c r="C100" s="42"/>
      <c r="D100" s="42"/>
      <c r="E100" s="42"/>
      <c r="F100" s="42"/>
      <c r="G100" s="42"/>
      <c r="H100" s="42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spans="1:22" ht="15.75" customHeight="1">
      <c r="A101" s="36"/>
      <c r="B101" s="36"/>
      <c r="C101" s="42"/>
      <c r="D101" s="42"/>
      <c r="E101" s="42"/>
      <c r="F101" s="42"/>
      <c r="G101" s="42"/>
      <c r="H101" s="42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spans="1:22" ht="15.75" customHeight="1">
      <c r="A102" s="36"/>
      <c r="B102" s="36"/>
      <c r="C102" s="42"/>
      <c r="D102" s="42"/>
      <c r="E102" s="42"/>
      <c r="F102" s="42"/>
      <c r="G102" s="42"/>
      <c r="H102" s="42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spans="1:22" ht="15.75" customHeight="1">
      <c r="A103" s="36"/>
      <c r="B103" s="36"/>
      <c r="C103" s="42"/>
      <c r="D103" s="42"/>
      <c r="E103" s="42"/>
      <c r="F103" s="42"/>
      <c r="G103" s="42"/>
      <c r="H103" s="42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spans="1:22" ht="15.75" customHeight="1">
      <c r="A104" s="36"/>
      <c r="B104" s="36"/>
      <c r="C104" s="42"/>
      <c r="D104" s="42"/>
      <c r="E104" s="42"/>
      <c r="F104" s="42"/>
      <c r="G104" s="42"/>
      <c r="H104" s="42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spans="1:22" ht="15.75" customHeight="1">
      <c r="A105" s="36"/>
      <c r="B105" s="36"/>
      <c r="C105" s="42"/>
      <c r="D105" s="42"/>
      <c r="E105" s="42"/>
      <c r="F105" s="42"/>
      <c r="G105" s="42"/>
      <c r="H105" s="42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spans="1:22" ht="15.75" customHeight="1">
      <c r="A106" s="36"/>
      <c r="B106" s="36"/>
      <c r="C106" s="42"/>
      <c r="D106" s="42"/>
      <c r="E106" s="42"/>
      <c r="F106" s="42"/>
      <c r="G106" s="42"/>
      <c r="H106" s="42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spans="1:22" ht="15.75" customHeight="1">
      <c r="A107" s="36"/>
      <c r="B107" s="36"/>
      <c r="C107" s="42"/>
      <c r="D107" s="42"/>
      <c r="E107" s="42"/>
      <c r="F107" s="42"/>
      <c r="G107" s="42"/>
      <c r="H107" s="42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spans="1:22" ht="15.75" customHeight="1">
      <c r="A108" s="36"/>
      <c r="B108" s="36"/>
      <c r="C108" s="42"/>
      <c r="D108" s="42"/>
      <c r="E108" s="42"/>
      <c r="F108" s="42"/>
      <c r="G108" s="42"/>
      <c r="H108" s="42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spans="1:22" ht="15.75" customHeight="1">
      <c r="A109" s="36"/>
      <c r="B109" s="36"/>
      <c r="C109" s="42"/>
      <c r="D109" s="42"/>
      <c r="E109" s="42"/>
      <c r="F109" s="42"/>
      <c r="G109" s="42"/>
      <c r="H109" s="42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spans="1:22" ht="15.75" customHeight="1">
      <c r="A110" s="36"/>
      <c r="B110" s="36"/>
      <c r="C110" s="42"/>
      <c r="D110" s="42"/>
      <c r="E110" s="42"/>
      <c r="F110" s="42"/>
      <c r="G110" s="42"/>
      <c r="H110" s="42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spans="1:22" ht="15.75" customHeight="1">
      <c r="A111" s="36"/>
      <c r="B111" s="36"/>
      <c r="C111" s="42"/>
      <c r="D111" s="42"/>
      <c r="E111" s="42"/>
      <c r="F111" s="42"/>
      <c r="G111" s="42"/>
      <c r="H111" s="42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spans="1:22" ht="15.75" customHeight="1">
      <c r="A112" s="36"/>
      <c r="B112" s="36"/>
      <c r="C112" s="42"/>
      <c r="D112" s="42"/>
      <c r="E112" s="42"/>
      <c r="F112" s="42"/>
      <c r="G112" s="42"/>
      <c r="H112" s="42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spans="1:22" ht="15.75" customHeight="1">
      <c r="A113" s="36"/>
      <c r="B113" s="36"/>
      <c r="C113" s="42"/>
      <c r="D113" s="42"/>
      <c r="E113" s="42"/>
      <c r="F113" s="42"/>
      <c r="G113" s="42"/>
      <c r="H113" s="42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spans="1:22" ht="15.75" customHeight="1">
      <c r="A114" s="36"/>
      <c r="B114" s="36"/>
      <c r="C114" s="42"/>
      <c r="D114" s="42"/>
      <c r="E114" s="42"/>
      <c r="F114" s="42"/>
      <c r="G114" s="42"/>
      <c r="H114" s="42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spans="1:22" ht="15.75" customHeight="1">
      <c r="A115" s="36"/>
      <c r="B115" s="36"/>
      <c r="C115" s="42"/>
      <c r="D115" s="42"/>
      <c r="E115" s="42"/>
      <c r="F115" s="42"/>
      <c r="G115" s="42"/>
      <c r="H115" s="42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spans="1:22" ht="15.75" customHeight="1">
      <c r="A116" s="36"/>
      <c r="B116" s="36"/>
      <c r="C116" s="42"/>
      <c r="D116" s="42"/>
      <c r="E116" s="42"/>
      <c r="F116" s="42"/>
      <c r="G116" s="42"/>
      <c r="H116" s="42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spans="1:22" ht="15.75" customHeight="1">
      <c r="A117" s="36"/>
      <c r="B117" s="36"/>
      <c r="C117" s="42"/>
      <c r="D117" s="42"/>
      <c r="E117" s="42"/>
      <c r="F117" s="42"/>
      <c r="G117" s="42"/>
      <c r="H117" s="42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spans="1:22" ht="15.75" customHeight="1">
      <c r="A118" s="36"/>
      <c r="B118" s="36"/>
      <c r="C118" s="42"/>
      <c r="D118" s="42"/>
      <c r="E118" s="42"/>
      <c r="F118" s="42"/>
      <c r="G118" s="42"/>
      <c r="H118" s="42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spans="1:22" ht="15.75" customHeight="1">
      <c r="A119" s="36"/>
      <c r="B119" s="36"/>
      <c r="C119" s="42"/>
      <c r="D119" s="42"/>
      <c r="E119" s="42"/>
      <c r="F119" s="42"/>
      <c r="G119" s="42"/>
      <c r="H119" s="42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spans="1:22" ht="15.75" customHeight="1">
      <c r="A120" s="36"/>
      <c r="B120" s="36"/>
      <c r="C120" s="42"/>
      <c r="D120" s="42"/>
      <c r="E120" s="42"/>
      <c r="F120" s="42"/>
      <c r="G120" s="42"/>
      <c r="H120" s="42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spans="1:22" ht="15.75" customHeight="1">
      <c r="A121" s="36"/>
      <c r="B121" s="36"/>
      <c r="C121" s="42"/>
      <c r="D121" s="42"/>
      <c r="E121" s="42"/>
      <c r="F121" s="42"/>
      <c r="G121" s="42"/>
      <c r="H121" s="42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spans="1:22" ht="15.75" customHeight="1">
      <c r="A122" s="36"/>
      <c r="B122" s="36"/>
      <c r="C122" s="42"/>
      <c r="D122" s="42"/>
      <c r="E122" s="42"/>
      <c r="F122" s="42"/>
      <c r="G122" s="42"/>
      <c r="H122" s="42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spans="1:22" ht="15.75" customHeight="1">
      <c r="A123" s="36"/>
      <c r="B123" s="36"/>
      <c r="C123" s="42"/>
      <c r="D123" s="42"/>
      <c r="E123" s="42"/>
      <c r="F123" s="42"/>
      <c r="G123" s="42"/>
      <c r="H123" s="42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spans="1:22" ht="15.75" customHeight="1">
      <c r="A124" s="36"/>
      <c r="B124" s="36"/>
      <c r="C124" s="42"/>
      <c r="D124" s="42"/>
      <c r="E124" s="42"/>
      <c r="F124" s="42"/>
      <c r="G124" s="42"/>
      <c r="H124" s="42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spans="1:22" ht="15.75" customHeight="1">
      <c r="A125" s="36"/>
      <c r="B125" s="36"/>
      <c r="C125" s="42"/>
      <c r="D125" s="42"/>
      <c r="E125" s="42"/>
      <c r="F125" s="42"/>
      <c r="G125" s="42"/>
      <c r="H125" s="42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spans="1:22" ht="15.75" customHeight="1">
      <c r="A126" s="36"/>
      <c r="B126" s="36"/>
      <c r="C126" s="42"/>
      <c r="D126" s="42"/>
      <c r="E126" s="42"/>
      <c r="F126" s="42"/>
      <c r="G126" s="42"/>
      <c r="H126" s="42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spans="1:22" ht="15.75" customHeight="1">
      <c r="A127" s="36"/>
      <c r="B127" s="36"/>
      <c r="C127" s="42"/>
      <c r="D127" s="42"/>
      <c r="E127" s="42"/>
      <c r="F127" s="42"/>
      <c r="G127" s="42"/>
      <c r="H127" s="42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spans="1:22" ht="15.75" customHeight="1">
      <c r="A128" s="36"/>
      <c r="B128" s="36"/>
      <c r="C128" s="42"/>
      <c r="D128" s="42"/>
      <c r="E128" s="42"/>
      <c r="F128" s="42"/>
      <c r="G128" s="42"/>
      <c r="H128" s="42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spans="1:22" ht="15.75" customHeight="1">
      <c r="A129" s="36"/>
      <c r="B129" s="36"/>
      <c r="C129" s="42"/>
      <c r="D129" s="42"/>
      <c r="E129" s="42"/>
      <c r="F129" s="42"/>
      <c r="G129" s="42"/>
      <c r="H129" s="42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spans="1:22" ht="15.75" customHeight="1">
      <c r="A130" s="36"/>
      <c r="B130" s="36"/>
      <c r="C130" s="42"/>
      <c r="D130" s="42"/>
      <c r="E130" s="42"/>
      <c r="F130" s="42"/>
      <c r="G130" s="42"/>
      <c r="H130" s="42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spans="1:22" ht="15.75" customHeight="1">
      <c r="A131" s="36"/>
      <c r="B131" s="36"/>
      <c r="C131" s="42"/>
      <c r="D131" s="42"/>
      <c r="E131" s="42"/>
      <c r="F131" s="42"/>
      <c r="G131" s="42"/>
      <c r="H131" s="42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spans="1:22" ht="15.75" customHeight="1">
      <c r="A132" s="36"/>
      <c r="B132" s="36"/>
      <c r="C132" s="42"/>
      <c r="D132" s="42"/>
      <c r="E132" s="42"/>
      <c r="F132" s="42"/>
      <c r="G132" s="42"/>
      <c r="H132" s="42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spans="1:22" ht="15.75" customHeight="1">
      <c r="A133" s="36"/>
      <c r="B133" s="36"/>
      <c r="C133" s="42"/>
      <c r="D133" s="42"/>
      <c r="E133" s="42"/>
      <c r="F133" s="42"/>
      <c r="G133" s="42"/>
      <c r="H133" s="42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spans="1:22" ht="15.75" customHeight="1">
      <c r="A134" s="36"/>
      <c r="B134" s="36"/>
      <c r="C134" s="42"/>
      <c r="D134" s="42"/>
      <c r="E134" s="42"/>
      <c r="F134" s="42"/>
      <c r="G134" s="42"/>
      <c r="H134" s="42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spans="1:22" ht="15.75" customHeight="1">
      <c r="A135" s="36"/>
      <c r="B135" s="36"/>
      <c r="C135" s="42"/>
      <c r="D135" s="42"/>
      <c r="E135" s="42"/>
      <c r="F135" s="42"/>
      <c r="G135" s="42"/>
      <c r="H135" s="42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spans="1:22" ht="15.75" customHeight="1">
      <c r="A136" s="36"/>
      <c r="B136" s="36"/>
      <c r="C136" s="42"/>
      <c r="D136" s="42"/>
      <c r="E136" s="42"/>
      <c r="F136" s="42"/>
      <c r="G136" s="42"/>
      <c r="H136" s="42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spans="1:22" ht="15.75" customHeight="1">
      <c r="A137" s="36"/>
      <c r="B137" s="36"/>
      <c r="C137" s="42"/>
      <c r="D137" s="42"/>
      <c r="E137" s="42"/>
      <c r="F137" s="42"/>
      <c r="G137" s="42"/>
      <c r="H137" s="42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spans="1:22" ht="15.75" customHeight="1">
      <c r="A138" s="36"/>
      <c r="B138" s="36"/>
      <c r="C138" s="42"/>
      <c r="D138" s="42"/>
      <c r="E138" s="42"/>
      <c r="F138" s="42"/>
      <c r="G138" s="42"/>
      <c r="H138" s="42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spans="1:22" ht="15.75" customHeight="1">
      <c r="A139" s="36"/>
      <c r="B139" s="36"/>
      <c r="C139" s="42"/>
      <c r="D139" s="42"/>
      <c r="E139" s="42"/>
      <c r="F139" s="42"/>
      <c r="G139" s="42"/>
      <c r="H139" s="42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spans="1:22" ht="15.75" customHeight="1">
      <c r="A140" s="36"/>
      <c r="B140" s="36"/>
      <c r="C140" s="42"/>
      <c r="D140" s="42"/>
      <c r="E140" s="42"/>
      <c r="F140" s="42"/>
      <c r="G140" s="42"/>
      <c r="H140" s="42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spans="1:22" ht="15.75" customHeight="1">
      <c r="A141" s="36"/>
      <c r="B141" s="36"/>
      <c r="C141" s="42"/>
      <c r="D141" s="42"/>
      <c r="E141" s="42"/>
      <c r="F141" s="42"/>
      <c r="G141" s="42"/>
      <c r="H141" s="42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spans="1:22" ht="15.75" customHeight="1">
      <c r="A142" s="36"/>
      <c r="B142" s="36"/>
      <c r="C142" s="42"/>
      <c r="D142" s="42"/>
      <c r="E142" s="42"/>
      <c r="F142" s="42"/>
      <c r="G142" s="42"/>
      <c r="H142" s="42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spans="1:22" ht="15.75" customHeight="1">
      <c r="A143" s="36"/>
      <c r="B143" s="36"/>
      <c r="C143" s="42"/>
      <c r="D143" s="42"/>
      <c r="E143" s="42"/>
      <c r="F143" s="42"/>
      <c r="G143" s="42"/>
      <c r="H143" s="42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spans="1:22" ht="15.75" customHeight="1">
      <c r="A144" s="36"/>
      <c r="B144" s="36"/>
      <c r="C144" s="42"/>
      <c r="D144" s="42"/>
      <c r="E144" s="42"/>
      <c r="F144" s="42"/>
      <c r="G144" s="42"/>
      <c r="H144" s="42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spans="1:22" ht="15.75" customHeight="1">
      <c r="A145" s="36"/>
      <c r="B145" s="36"/>
      <c r="C145" s="42"/>
      <c r="D145" s="42"/>
      <c r="E145" s="42"/>
      <c r="F145" s="42"/>
      <c r="G145" s="42"/>
      <c r="H145" s="42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spans="1:22" ht="15.75" customHeight="1">
      <c r="A146" s="36"/>
      <c r="B146" s="36"/>
      <c r="C146" s="42"/>
      <c r="D146" s="42"/>
      <c r="E146" s="42"/>
      <c r="F146" s="42"/>
      <c r="G146" s="42"/>
      <c r="H146" s="42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spans="1:22" ht="15.75" customHeight="1">
      <c r="A147" s="36"/>
      <c r="B147" s="36"/>
      <c r="C147" s="42"/>
      <c r="D147" s="42"/>
      <c r="E147" s="42"/>
      <c r="F147" s="42"/>
      <c r="G147" s="42"/>
      <c r="H147" s="42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spans="1:22" ht="15.75" customHeight="1">
      <c r="A148" s="36"/>
      <c r="B148" s="36"/>
      <c r="C148" s="42"/>
      <c r="D148" s="42"/>
      <c r="E148" s="42"/>
      <c r="F148" s="42"/>
      <c r="G148" s="42"/>
      <c r="H148" s="42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spans="1:22" ht="15.75" customHeight="1">
      <c r="A149" s="36"/>
      <c r="B149" s="36"/>
      <c r="C149" s="42"/>
      <c r="D149" s="42"/>
      <c r="E149" s="42"/>
      <c r="F149" s="42"/>
      <c r="G149" s="42"/>
      <c r="H149" s="42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spans="1:22" ht="15.75" customHeight="1">
      <c r="A150" s="36"/>
      <c r="B150" s="36"/>
      <c r="C150" s="42"/>
      <c r="D150" s="42"/>
      <c r="E150" s="42"/>
      <c r="F150" s="42"/>
      <c r="G150" s="42"/>
      <c r="H150" s="42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spans="1:22" ht="15.75" customHeight="1">
      <c r="A151" s="36"/>
      <c r="B151" s="36"/>
      <c r="C151" s="42"/>
      <c r="D151" s="42"/>
      <c r="E151" s="42"/>
      <c r="F151" s="42"/>
      <c r="G151" s="42"/>
      <c r="H151" s="42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spans="1:22" ht="15.75" customHeight="1">
      <c r="A152" s="36"/>
      <c r="B152" s="36"/>
      <c r="C152" s="42"/>
      <c r="D152" s="42"/>
      <c r="E152" s="42"/>
      <c r="F152" s="42"/>
      <c r="G152" s="42"/>
      <c r="H152" s="42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spans="1:22" ht="15.75" customHeight="1">
      <c r="A153" s="36"/>
      <c r="B153" s="36"/>
      <c r="C153" s="42"/>
      <c r="D153" s="42"/>
      <c r="E153" s="42"/>
      <c r="F153" s="42"/>
      <c r="G153" s="42"/>
      <c r="H153" s="42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spans="1:22" ht="15.75" customHeight="1">
      <c r="A154" s="36"/>
      <c r="B154" s="36"/>
      <c r="C154" s="42"/>
      <c r="D154" s="42"/>
      <c r="E154" s="42"/>
      <c r="F154" s="42"/>
      <c r="G154" s="42"/>
      <c r="H154" s="42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spans="1:22" ht="15.75" customHeight="1">
      <c r="A155" s="36"/>
      <c r="B155" s="36"/>
      <c r="C155" s="42"/>
      <c r="D155" s="42"/>
      <c r="E155" s="42"/>
      <c r="F155" s="42"/>
      <c r="G155" s="42"/>
      <c r="H155" s="42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spans="1:22" ht="15.75" customHeight="1">
      <c r="A156" s="36"/>
      <c r="B156" s="36"/>
      <c r="C156" s="42"/>
      <c r="D156" s="42"/>
      <c r="E156" s="42"/>
      <c r="F156" s="42"/>
      <c r="G156" s="42"/>
      <c r="H156" s="42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spans="1:22" ht="15.75" customHeight="1">
      <c r="A157" s="36"/>
      <c r="B157" s="36"/>
      <c r="C157" s="42"/>
      <c r="D157" s="42"/>
      <c r="E157" s="42"/>
      <c r="F157" s="42"/>
      <c r="G157" s="42"/>
      <c r="H157" s="42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spans="1:22" ht="15.75" customHeight="1">
      <c r="A158" s="36"/>
      <c r="B158" s="36"/>
      <c r="C158" s="42"/>
      <c r="D158" s="42"/>
      <c r="E158" s="42"/>
      <c r="F158" s="42"/>
      <c r="G158" s="42"/>
      <c r="H158" s="4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spans="1:22" ht="15.75" customHeight="1">
      <c r="A159" s="36"/>
      <c r="B159" s="36"/>
      <c r="C159" s="42"/>
      <c r="D159" s="42"/>
      <c r="E159" s="42"/>
      <c r="F159" s="42"/>
      <c r="G159" s="42"/>
      <c r="H159" s="42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spans="1:22" ht="15.75" customHeight="1">
      <c r="A160" s="36"/>
      <c r="B160" s="36"/>
      <c r="C160" s="42"/>
      <c r="D160" s="42"/>
      <c r="E160" s="42"/>
      <c r="F160" s="42"/>
      <c r="G160" s="42"/>
      <c r="H160" s="42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spans="1:22" ht="15.75" customHeight="1">
      <c r="A161" s="36"/>
      <c r="B161" s="36"/>
      <c r="C161" s="42"/>
      <c r="D161" s="42"/>
      <c r="E161" s="42"/>
      <c r="F161" s="42"/>
      <c r="G161" s="42"/>
      <c r="H161" s="42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spans="1:22" ht="15.75" customHeight="1">
      <c r="A162" s="36"/>
      <c r="B162" s="36"/>
      <c r="C162" s="42"/>
      <c r="D162" s="42"/>
      <c r="E162" s="42"/>
      <c r="F162" s="42"/>
      <c r="G162" s="42"/>
      <c r="H162" s="42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spans="1:22" ht="15.75" customHeight="1">
      <c r="A163" s="36"/>
      <c r="B163" s="36"/>
      <c r="C163" s="42"/>
      <c r="D163" s="42"/>
      <c r="E163" s="42"/>
      <c r="F163" s="42"/>
      <c r="G163" s="42"/>
      <c r="H163" s="42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spans="1:22" ht="15.75" customHeight="1">
      <c r="A164" s="36"/>
      <c r="B164" s="36"/>
      <c r="C164" s="42"/>
      <c r="D164" s="42"/>
      <c r="E164" s="42"/>
      <c r="F164" s="42"/>
      <c r="G164" s="42"/>
      <c r="H164" s="42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spans="1:22" ht="15.75" customHeight="1">
      <c r="A165" s="36"/>
      <c r="B165" s="36"/>
      <c r="C165" s="42"/>
      <c r="D165" s="42"/>
      <c r="E165" s="42"/>
      <c r="F165" s="42"/>
      <c r="G165" s="42"/>
      <c r="H165" s="42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spans="1:22" ht="15.75" customHeight="1">
      <c r="A166" s="36"/>
      <c r="B166" s="36"/>
      <c r="C166" s="42"/>
      <c r="D166" s="42"/>
      <c r="E166" s="42"/>
      <c r="F166" s="42"/>
      <c r="G166" s="42"/>
      <c r="H166" s="42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spans="1:22" ht="15.75" customHeight="1">
      <c r="A167" s="36"/>
      <c r="B167" s="36"/>
      <c r="C167" s="42"/>
      <c r="D167" s="42"/>
      <c r="E167" s="42"/>
      <c r="F167" s="42"/>
      <c r="G167" s="42"/>
      <c r="H167" s="42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spans="1:22" ht="15.75" customHeight="1">
      <c r="A168" s="36"/>
      <c r="B168" s="36"/>
      <c r="C168" s="42"/>
      <c r="D168" s="42"/>
      <c r="E168" s="42"/>
      <c r="F168" s="42"/>
      <c r="G168" s="42"/>
      <c r="H168" s="42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spans="1:22" ht="15.75" customHeight="1">
      <c r="A169" s="36"/>
      <c r="B169" s="36"/>
      <c r="C169" s="42"/>
      <c r="D169" s="42"/>
      <c r="E169" s="42"/>
      <c r="F169" s="42"/>
      <c r="G169" s="42"/>
      <c r="H169" s="42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spans="1:22" ht="15.75" customHeight="1">
      <c r="A170" s="36"/>
      <c r="B170" s="36"/>
      <c r="C170" s="42"/>
      <c r="D170" s="42"/>
      <c r="E170" s="42"/>
      <c r="F170" s="42"/>
      <c r="G170" s="42"/>
      <c r="H170" s="42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spans="1:22" ht="15.75" customHeight="1">
      <c r="A171" s="36"/>
      <c r="B171" s="36"/>
      <c r="C171" s="42"/>
      <c r="D171" s="42"/>
      <c r="E171" s="42"/>
      <c r="F171" s="42"/>
      <c r="G171" s="42"/>
      <c r="H171" s="42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spans="1:22" ht="15.75" customHeight="1">
      <c r="A172" s="36"/>
      <c r="B172" s="36"/>
      <c r="C172" s="42"/>
      <c r="D172" s="42"/>
      <c r="E172" s="42"/>
      <c r="F172" s="42"/>
      <c r="G172" s="42"/>
      <c r="H172" s="42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spans="1:22" ht="15.75" customHeight="1">
      <c r="A173" s="36"/>
      <c r="B173" s="36"/>
      <c r="C173" s="42"/>
      <c r="D173" s="42"/>
      <c r="E173" s="42"/>
      <c r="F173" s="42"/>
      <c r="G173" s="42"/>
      <c r="H173" s="42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spans="1:22" ht="15.75" customHeight="1">
      <c r="A174" s="36"/>
      <c r="B174" s="36"/>
      <c r="C174" s="42"/>
      <c r="D174" s="42"/>
      <c r="E174" s="42"/>
      <c r="F174" s="42"/>
      <c r="G174" s="42"/>
      <c r="H174" s="42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spans="1:22" ht="15.75" customHeight="1">
      <c r="A175" s="36"/>
      <c r="B175" s="36"/>
      <c r="C175" s="42"/>
      <c r="D175" s="42"/>
      <c r="E175" s="42"/>
      <c r="F175" s="42"/>
      <c r="G175" s="42"/>
      <c r="H175" s="42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spans="1:22" ht="15.75" customHeight="1">
      <c r="A176" s="36"/>
      <c r="B176" s="36"/>
      <c r="C176" s="42"/>
      <c r="D176" s="42"/>
      <c r="E176" s="42"/>
      <c r="F176" s="42"/>
      <c r="G176" s="42"/>
      <c r="H176" s="42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spans="1:22" ht="15.75" customHeight="1">
      <c r="A177" s="36"/>
      <c r="B177" s="36"/>
      <c r="C177" s="42"/>
      <c r="D177" s="42"/>
      <c r="E177" s="42"/>
      <c r="F177" s="42"/>
      <c r="G177" s="42"/>
      <c r="H177" s="42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spans="1:22" ht="15.75" customHeight="1">
      <c r="A178" s="36"/>
      <c r="B178" s="36"/>
      <c r="C178" s="42"/>
      <c r="D178" s="42"/>
      <c r="E178" s="42"/>
      <c r="F178" s="42"/>
      <c r="G178" s="42"/>
      <c r="H178" s="42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spans="1:22" ht="15.75" customHeight="1">
      <c r="A179" s="36"/>
      <c r="B179" s="36"/>
      <c r="C179" s="42"/>
      <c r="D179" s="42"/>
      <c r="E179" s="42"/>
      <c r="F179" s="42"/>
      <c r="G179" s="42"/>
      <c r="H179" s="42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spans="1:22" ht="15.75" customHeight="1">
      <c r="A180" s="36"/>
      <c r="B180" s="36"/>
      <c r="C180" s="42"/>
      <c r="D180" s="42"/>
      <c r="E180" s="42"/>
      <c r="F180" s="42"/>
      <c r="G180" s="42"/>
      <c r="H180" s="42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spans="1:22" ht="15.75" customHeight="1">
      <c r="A181" s="36"/>
      <c r="B181" s="36"/>
      <c r="C181" s="42"/>
      <c r="D181" s="42"/>
      <c r="E181" s="42"/>
      <c r="F181" s="42"/>
      <c r="G181" s="42"/>
      <c r="H181" s="42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spans="1:22" ht="15.75" customHeight="1">
      <c r="A182" s="36"/>
      <c r="B182" s="36"/>
      <c r="C182" s="42"/>
      <c r="D182" s="42"/>
      <c r="E182" s="42"/>
      <c r="F182" s="42"/>
      <c r="G182" s="42"/>
      <c r="H182" s="42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spans="1:22" ht="15.75" customHeight="1">
      <c r="A183" s="36"/>
      <c r="B183" s="36"/>
      <c r="C183" s="42"/>
      <c r="D183" s="42"/>
      <c r="E183" s="42"/>
      <c r="F183" s="42"/>
      <c r="G183" s="42"/>
      <c r="H183" s="42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spans="1:22" ht="15.75" customHeight="1">
      <c r="A184" s="36"/>
      <c r="B184" s="36"/>
      <c r="C184" s="42"/>
      <c r="D184" s="42"/>
      <c r="E184" s="42"/>
      <c r="F184" s="42"/>
      <c r="G184" s="42"/>
      <c r="H184" s="42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spans="1:22" ht="15.75" customHeight="1">
      <c r="A185" s="36"/>
      <c r="B185" s="36"/>
      <c r="C185" s="42"/>
      <c r="D185" s="42"/>
      <c r="E185" s="42"/>
      <c r="F185" s="42"/>
      <c r="G185" s="42"/>
      <c r="H185" s="42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spans="1:22" ht="15.75" customHeight="1">
      <c r="A186" s="36"/>
      <c r="B186" s="36"/>
      <c r="C186" s="42"/>
      <c r="D186" s="42"/>
      <c r="E186" s="42"/>
      <c r="F186" s="42"/>
      <c r="G186" s="42"/>
      <c r="H186" s="42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spans="1:22" ht="15.75" customHeight="1">
      <c r="A187" s="36"/>
      <c r="B187" s="36"/>
      <c r="C187" s="42"/>
      <c r="D187" s="42"/>
      <c r="E187" s="42"/>
      <c r="F187" s="42"/>
      <c r="G187" s="42"/>
      <c r="H187" s="42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spans="1:22" ht="15.75" customHeight="1">
      <c r="A188" s="36"/>
      <c r="B188" s="36"/>
      <c r="C188" s="42"/>
      <c r="D188" s="42"/>
      <c r="E188" s="42"/>
      <c r="F188" s="42"/>
      <c r="G188" s="42"/>
      <c r="H188" s="42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spans="1:22" ht="15.75" customHeight="1">
      <c r="A189" s="36"/>
      <c r="B189" s="36"/>
      <c r="C189" s="42"/>
      <c r="D189" s="42"/>
      <c r="E189" s="42"/>
      <c r="F189" s="42"/>
      <c r="G189" s="42"/>
      <c r="H189" s="42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spans="1:22" ht="15.75" customHeight="1">
      <c r="A190" s="36"/>
      <c r="B190" s="36"/>
      <c r="C190" s="42"/>
      <c r="D190" s="42"/>
      <c r="E190" s="42"/>
      <c r="F190" s="42"/>
      <c r="G190" s="42"/>
      <c r="H190" s="42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spans="1:22" ht="15.75" customHeight="1">
      <c r="A191" s="36"/>
      <c r="B191" s="36"/>
      <c r="C191" s="42"/>
      <c r="D191" s="42"/>
      <c r="E191" s="42"/>
      <c r="F191" s="42"/>
      <c r="G191" s="42"/>
      <c r="H191" s="42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spans="1:22" ht="15.75" customHeight="1">
      <c r="A192" s="36"/>
      <c r="B192" s="36"/>
      <c r="C192" s="42"/>
      <c r="D192" s="42"/>
      <c r="E192" s="42"/>
      <c r="F192" s="42"/>
      <c r="G192" s="42"/>
      <c r="H192" s="42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spans="1:22" ht="15.75" customHeight="1">
      <c r="A193" s="36"/>
      <c r="B193" s="36"/>
      <c r="C193" s="42"/>
      <c r="D193" s="42"/>
      <c r="E193" s="42"/>
      <c r="F193" s="42"/>
      <c r="G193" s="42"/>
      <c r="H193" s="42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spans="1:22" ht="15.75" customHeight="1">
      <c r="A194" s="36"/>
      <c r="B194" s="36"/>
      <c r="C194" s="42"/>
      <c r="D194" s="42"/>
      <c r="E194" s="42"/>
      <c r="F194" s="42"/>
      <c r="G194" s="42"/>
      <c r="H194" s="42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spans="1:22" ht="15.75" customHeight="1">
      <c r="A195" s="36"/>
      <c r="B195" s="36"/>
      <c r="C195" s="42"/>
      <c r="D195" s="42"/>
      <c r="E195" s="42"/>
      <c r="F195" s="42"/>
      <c r="G195" s="42"/>
      <c r="H195" s="42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spans="1:22" ht="15.75" customHeight="1">
      <c r="A196" s="36"/>
      <c r="B196" s="36"/>
      <c r="C196" s="42"/>
      <c r="D196" s="42"/>
      <c r="E196" s="42"/>
      <c r="F196" s="42"/>
      <c r="G196" s="42"/>
      <c r="H196" s="42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spans="1:22" ht="15.75" customHeight="1">
      <c r="A197" s="36"/>
      <c r="B197" s="36"/>
      <c r="C197" s="42"/>
      <c r="D197" s="42"/>
      <c r="E197" s="42"/>
      <c r="F197" s="42"/>
      <c r="G197" s="42"/>
      <c r="H197" s="42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spans="1:22" ht="15.75" customHeight="1">
      <c r="A198" s="36"/>
      <c r="B198" s="36"/>
      <c r="C198" s="42"/>
      <c r="D198" s="42"/>
      <c r="E198" s="42"/>
      <c r="F198" s="42"/>
      <c r="G198" s="42"/>
      <c r="H198" s="42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spans="1:22" ht="15.75" customHeight="1">
      <c r="A199" s="36"/>
      <c r="B199" s="36"/>
      <c r="C199" s="42"/>
      <c r="D199" s="42"/>
      <c r="E199" s="42"/>
      <c r="F199" s="42"/>
      <c r="G199" s="42"/>
      <c r="H199" s="42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spans="1:22" ht="15.75" customHeight="1">
      <c r="A200" s="36"/>
      <c r="B200" s="36"/>
      <c r="C200" s="42"/>
      <c r="D200" s="42"/>
      <c r="E200" s="42"/>
      <c r="F200" s="42"/>
      <c r="G200" s="42"/>
      <c r="H200" s="42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spans="1:22" ht="15.75" customHeight="1">
      <c r="A201" s="36"/>
      <c r="B201" s="36"/>
      <c r="C201" s="42"/>
      <c r="D201" s="42"/>
      <c r="E201" s="42"/>
      <c r="F201" s="42"/>
      <c r="G201" s="42"/>
      <c r="H201" s="42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spans="1:22" ht="15.75" customHeight="1">
      <c r="A202" s="36"/>
      <c r="B202" s="36"/>
      <c r="C202" s="42"/>
      <c r="D202" s="42"/>
      <c r="E202" s="42"/>
      <c r="F202" s="42"/>
      <c r="G202" s="42"/>
      <c r="H202" s="42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spans="1:22" ht="15.75" customHeight="1">
      <c r="A203" s="36"/>
      <c r="B203" s="36"/>
      <c r="C203" s="42"/>
      <c r="D203" s="42"/>
      <c r="E203" s="42"/>
      <c r="F203" s="42"/>
      <c r="G203" s="42"/>
      <c r="H203" s="42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spans="1:22" ht="15.75" customHeight="1">
      <c r="A204" s="36"/>
      <c r="B204" s="36"/>
      <c r="C204" s="42"/>
      <c r="D204" s="42"/>
      <c r="E204" s="42"/>
      <c r="F204" s="42"/>
      <c r="G204" s="42"/>
      <c r="H204" s="42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spans="1:22" ht="15.75" customHeight="1">
      <c r="A205" s="36"/>
      <c r="B205" s="36"/>
      <c r="C205" s="42"/>
      <c r="D205" s="42"/>
      <c r="E205" s="42"/>
      <c r="F205" s="42"/>
      <c r="G205" s="42"/>
      <c r="H205" s="42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spans="1:22" ht="15.75" customHeight="1">
      <c r="A206" s="36"/>
      <c r="B206" s="36"/>
      <c r="C206" s="42"/>
      <c r="D206" s="42"/>
      <c r="E206" s="42"/>
      <c r="F206" s="42"/>
      <c r="G206" s="42"/>
      <c r="H206" s="42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spans="1:22" ht="15.75" customHeight="1">
      <c r="A207" s="36"/>
      <c r="B207" s="36"/>
      <c r="C207" s="42"/>
      <c r="D207" s="42"/>
      <c r="E207" s="42"/>
      <c r="F207" s="42"/>
      <c r="G207" s="42"/>
      <c r="H207" s="42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spans="1:22" ht="15.75" customHeight="1">
      <c r="A208" s="36"/>
      <c r="B208" s="36"/>
      <c r="C208" s="42"/>
      <c r="D208" s="42"/>
      <c r="E208" s="42"/>
      <c r="F208" s="42"/>
      <c r="G208" s="42"/>
      <c r="H208" s="42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spans="1:22" ht="15.75" customHeight="1">
      <c r="A209" s="36"/>
      <c r="B209" s="36"/>
      <c r="C209" s="42"/>
      <c r="D209" s="42"/>
      <c r="E209" s="42"/>
      <c r="F209" s="42"/>
      <c r="G209" s="42"/>
      <c r="H209" s="42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spans="1:22" ht="15.75" customHeight="1">
      <c r="A210" s="36"/>
      <c r="B210" s="36"/>
      <c r="C210" s="42"/>
      <c r="D210" s="42"/>
      <c r="E210" s="42"/>
      <c r="F210" s="42"/>
      <c r="G210" s="42"/>
      <c r="H210" s="42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spans="1:22" ht="15.75" customHeight="1">
      <c r="A211" s="36"/>
      <c r="B211" s="36"/>
      <c r="C211" s="42"/>
      <c r="D211" s="42"/>
      <c r="E211" s="42"/>
      <c r="F211" s="42"/>
      <c r="G211" s="42"/>
      <c r="H211" s="42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spans="1:22" ht="15.75" customHeight="1">
      <c r="A212" s="36"/>
      <c r="B212" s="36"/>
      <c r="C212" s="42"/>
      <c r="D212" s="42"/>
      <c r="E212" s="42"/>
      <c r="F212" s="42"/>
      <c r="G212" s="42"/>
      <c r="H212" s="42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spans="1:22" ht="15.75" customHeight="1">
      <c r="A213" s="36"/>
      <c r="B213" s="36"/>
      <c r="C213" s="42"/>
      <c r="D213" s="42"/>
      <c r="E213" s="42"/>
      <c r="F213" s="42"/>
      <c r="G213" s="42"/>
      <c r="H213" s="42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 ht="15.75" customHeight="1">
      <c r="A214" s="36"/>
      <c r="B214" s="36"/>
      <c r="C214" s="42"/>
      <c r="D214" s="42"/>
      <c r="E214" s="42"/>
      <c r="F214" s="42"/>
      <c r="G214" s="42"/>
      <c r="H214" s="42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spans="1:22" ht="15.75" customHeight="1">
      <c r="A215" s="36"/>
      <c r="B215" s="36"/>
      <c r="C215" s="42"/>
      <c r="D215" s="42"/>
      <c r="E215" s="42"/>
      <c r="F215" s="42"/>
      <c r="G215" s="42"/>
      <c r="H215" s="42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spans="1:22" ht="15.75" customHeight="1">
      <c r="A216" s="36"/>
      <c r="B216" s="36"/>
      <c r="C216" s="42"/>
      <c r="D216" s="42"/>
      <c r="E216" s="42"/>
      <c r="F216" s="42"/>
      <c r="G216" s="42"/>
      <c r="H216" s="42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spans="1:22" ht="15.75" customHeight="1">
      <c r="A217" s="36"/>
      <c r="B217" s="36"/>
      <c r="C217" s="42"/>
      <c r="D217" s="42"/>
      <c r="E217" s="42"/>
      <c r="F217" s="42"/>
      <c r="G217" s="42"/>
      <c r="H217" s="42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spans="1:22" ht="15.75" customHeight="1">
      <c r="A218" s="36"/>
      <c r="B218" s="36"/>
      <c r="C218" s="42"/>
      <c r="D218" s="42"/>
      <c r="E218" s="42"/>
      <c r="F218" s="42"/>
      <c r="G218" s="42"/>
      <c r="H218" s="42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spans="1:22" ht="15.75" customHeight="1">
      <c r="A219" s="36"/>
      <c r="B219" s="36"/>
      <c r="C219" s="42"/>
      <c r="D219" s="42"/>
      <c r="E219" s="42"/>
      <c r="F219" s="42"/>
      <c r="G219" s="42"/>
      <c r="H219" s="42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spans="1:22" ht="15.75" customHeight="1">
      <c r="A220" s="36"/>
      <c r="B220" s="36"/>
      <c r="C220" s="42"/>
      <c r="D220" s="42"/>
      <c r="E220" s="42"/>
      <c r="F220" s="42"/>
      <c r="G220" s="42"/>
      <c r="H220" s="42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spans="1:22" ht="15.75" customHeight="1">
      <c r="A221" s="36"/>
      <c r="B221" s="36"/>
      <c r="C221" s="42"/>
      <c r="D221" s="42"/>
      <c r="E221" s="42"/>
      <c r="F221" s="42"/>
      <c r="G221" s="42"/>
      <c r="H221" s="42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spans="1:22" ht="15.75" customHeight="1">
      <c r="A222" s="36"/>
      <c r="B222" s="36"/>
      <c r="C222" s="42"/>
      <c r="D222" s="42"/>
      <c r="E222" s="42"/>
      <c r="F222" s="42"/>
      <c r="G222" s="42"/>
      <c r="H222" s="42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spans="1:22" ht="15.75" customHeight="1">
      <c r="A223" s="36"/>
      <c r="B223" s="36"/>
      <c r="C223" s="42"/>
      <c r="D223" s="42"/>
      <c r="E223" s="42"/>
      <c r="F223" s="42"/>
      <c r="G223" s="42"/>
      <c r="H223" s="42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spans="1:22" ht="15.75" customHeight="1">
      <c r="A224" s="36"/>
      <c r="B224" s="36"/>
      <c r="C224" s="42"/>
      <c r="D224" s="42"/>
      <c r="E224" s="42"/>
      <c r="F224" s="42"/>
      <c r="G224" s="42"/>
      <c r="H224" s="42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spans="1:22" ht="15.75" customHeight="1">
      <c r="A225" s="36"/>
      <c r="B225" s="36"/>
      <c r="C225" s="42"/>
      <c r="D225" s="42"/>
      <c r="E225" s="42"/>
      <c r="F225" s="42"/>
      <c r="G225" s="42"/>
      <c r="H225" s="42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spans="1:22" ht="15.75" customHeight="1">
      <c r="A226" s="36"/>
      <c r="B226" s="36"/>
      <c r="C226" s="42"/>
      <c r="D226" s="42"/>
      <c r="E226" s="42"/>
      <c r="F226" s="42"/>
      <c r="G226" s="42"/>
      <c r="H226" s="42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spans="1:22" ht="15.75" customHeight="1">
      <c r="A227" s="36"/>
      <c r="B227" s="36"/>
      <c r="C227" s="42"/>
      <c r="D227" s="42"/>
      <c r="E227" s="42"/>
      <c r="F227" s="42"/>
      <c r="G227" s="42"/>
      <c r="H227" s="42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spans="1:22" ht="15.75" customHeight="1">
      <c r="A228" s="36"/>
      <c r="B228" s="36"/>
      <c r="C228" s="42"/>
      <c r="D228" s="42"/>
      <c r="E228" s="42"/>
      <c r="F228" s="42"/>
      <c r="G228" s="42"/>
      <c r="H228" s="42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spans="1:22" ht="15.75" customHeight="1">
      <c r="A229" s="36"/>
      <c r="B229" s="36"/>
      <c r="C229" s="42"/>
      <c r="D229" s="42"/>
      <c r="E229" s="42"/>
      <c r="F229" s="42"/>
      <c r="G229" s="42"/>
      <c r="H229" s="42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spans="1:22" ht="15.75" customHeight="1">
      <c r="A230" s="36"/>
      <c r="B230" s="36"/>
      <c r="C230" s="42"/>
      <c r="D230" s="42"/>
      <c r="E230" s="42"/>
      <c r="F230" s="42"/>
      <c r="G230" s="42"/>
      <c r="H230" s="42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spans="1:22" ht="15.75" customHeight="1">
      <c r="A231" s="36"/>
      <c r="B231" s="36"/>
      <c r="C231" s="42"/>
      <c r="D231" s="42"/>
      <c r="E231" s="42"/>
      <c r="F231" s="42"/>
      <c r="G231" s="42"/>
      <c r="H231" s="42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spans="1:22" ht="15.75" customHeight="1">
      <c r="A232" s="36"/>
      <c r="B232" s="36"/>
      <c r="C232" s="42"/>
      <c r="D232" s="42"/>
      <c r="E232" s="42"/>
      <c r="F232" s="42"/>
      <c r="G232" s="42"/>
      <c r="H232" s="42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spans="1:22" ht="15.75" customHeight="1">
      <c r="A233" s="36"/>
      <c r="B233" s="36"/>
      <c r="C233" s="42"/>
      <c r="D233" s="42"/>
      <c r="E233" s="42"/>
      <c r="F233" s="42"/>
      <c r="G233" s="42"/>
      <c r="H233" s="42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spans="1:22" ht="15.75" customHeight="1">
      <c r="A234" s="36"/>
      <c r="B234" s="36"/>
      <c r="C234" s="42"/>
      <c r="D234" s="42"/>
      <c r="E234" s="42"/>
      <c r="F234" s="42"/>
      <c r="G234" s="42"/>
      <c r="H234" s="42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spans="1:22" ht="15.75" customHeight="1">
      <c r="A235" s="36"/>
      <c r="B235" s="36"/>
      <c r="C235" s="42"/>
      <c r="D235" s="42"/>
      <c r="E235" s="42"/>
      <c r="F235" s="42"/>
      <c r="G235" s="42"/>
      <c r="H235" s="42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spans="1:22" ht="15.75" customHeight="1">
      <c r="A236" s="36"/>
      <c r="B236" s="36"/>
      <c r="C236" s="42"/>
      <c r="D236" s="42"/>
      <c r="E236" s="42"/>
      <c r="F236" s="42"/>
      <c r="G236" s="42"/>
      <c r="H236" s="42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spans="1:22" ht="15.75" customHeight="1">
      <c r="A237" s="36"/>
      <c r="B237" s="36"/>
      <c r="C237" s="42"/>
      <c r="D237" s="42"/>
      <c r="E237" s="42"/>
      <c r="F237" s="42"/>
      <c r="G237" s="42"/>
      <c r="H237" s="42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spans="1:22" ht="15.75" customHeight="1">
      <c r="A238" s="36"/>
      <c r="B238" s="36"/>
      <c r="C238" s="42"/>
      <c r="D238" s="42"/>
      <c r="E238" s="42"/>
      <c r="F238" s="42"/>
      <c r="G238" s="42"/>
      <c r="H238" s="42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spans="1:22" ht="15.75" customHeight="1">
      <c r="A239" s="36"/>
      <c r="B239" s="36"/>
      <c r="C239" s="42"/>
      <c r="D239" s="42"/>
      <c r="E239" s="42"/>
      <c r="F239" s="42"/>
      <c r="G239" s="42"/>
      <c r="H239" s="42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spans="1:22" ht="15.75" customHeight="1">
      <c r="A240" s="36"/>
      <c r="B240" s="36"/>
      <c r="C240" s="42"/>
      <c r="D240" s="42"/>
      <c r="E240" s="42"/>
      <c r="F240" s="42"/>
      <c r="G240" s="42"/>
      <c r="H240" s="42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spans="1:22" ht="15.75" customHeight="1">
      <c r="A241" s="36"/>
      <c r="B241" s="36"/>
      <c r="C241" s="42"/>
      <c r="D241" s="42"/>
      <c r="E241" s="42"/>
      <c r="F241" s="42"/>
      <c r="G241" s="42"/>
      <c r="H241" s="42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spans="1:22" ht="15.75" customHeight="1">
      <c r="A242" s="36"/>
      <c r="B242" s="36"/>
      <c r="C242" s="42"/>
      <c r="D242" s="42"/>
      <c r="E242" s="42"/>
      <c r="F242" s="42"/>
      <c r="G242" s="42"/>
      <c r="H242" s="42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spans="1:22" ht="15.75" customHeight="1">
      <c r="A243" s="36"/>
      <c r="B243" s="36"/>
      <c r="C243" s="42"/>
      <c r="D243" s="42"/>
      <c r="E243" s="42"/>
      <c r="F243" s="42"/>
      <c r="G243" s="42"/>
      <c r="H243" s="42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spans="1:22" ht="15.75" customHeight="1">
      <c r="A244" s="36"/>
      <c r="B244" s="36"/>
      <c r="C244" s="42"/>
      <c r="D244" s="42"/>
      <c r="E244" s="42"/>
      <c r="F244" s="42"/>
      <c r="G244" s="42"/>
      <c r="H244" s="42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spans="1:22" ht="15.75" customHeight="1">
      <c r="A245" s="36"/>
      <c r="B245" s="36"/>
      <c r="C245" s="42"/>
      <c r="D245" s="42"/>
      <c r="E245" s="42"/>
      <c r="F245" s="42"/>
      <c r="G245" s="42"/>
      <c r="H245" s="42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spans="1:22" ht="15.75" customHeight="1">
      <c r="A246" s="36"/>
      <c r="B246" s="36"/>
      <c r="C246" s="42"/>
      <c r="D246" s="42"/>
      <c r="E246" s="42"/>
      <c r="F246" s="42"/>
      <c r="G246" s="42"/>
      <c r="H246" s="42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spans="1:22" ht="15.75" customHeight="1">
      <c r="A247" s="36"/>
      <c r="B247" s="36"/>
      <c r="C247" s="42"/>
      <c r="D247" s="42"/>
      <c r="E247" s="42"/>
      <c r="F247" s="42"/>
      <c r="G247" s="42"/>
      <c r="H247" s="42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spans="1:22" ht="15.75" customHeight="1">
      <c r="A248" s="36"/>
      <c r="B248" s="36"/>
      <c r="C248" s="42"/>
      <c r="D248" s="42"/>
      <c r="E248" s="42"/>
      <c r="F248" s="42"/>
      <c r="G248" s="42"/>
      <c r="H248" s="42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spans="1:22" ht="15.75" customHeight="1">
      <c r="A249" s="36"/>
      <c r="B249" s="36"/>
      <c r="C249" s="42"/>
      <c r="D249" s="42"/>
      <c r="E249" s="42"/>
      <c r="F249" s="42"/>
      <c r="G249" s="42"/>
      <c r="H249" s="42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spans="1:22" ht="15.75" customHeight="1">
      <c r="A250" s="36"/>
      <c r="B250" s="36"/>
      <c r="C250" s="42"/>
      <c r="D250" s="42"/>
      <c r="E250" s="42"/>
      <c r="F250" s="42"/>
      <c r="G250" s="42"/>
      <c r="H250" s="42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spans="1:22" ht="15.75" customHeight="1">
      <c r="A251" s="36"/>
      <c r="B251" s="36"/>
      <c r="C251" s="42"/>
      <c r="D251" s="42"/>
      <c r="E251" s="42"/>
      <c r="F251" s="42"/>
      <c r="G251" s="42"/>
      <c r="H251" s="42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spans="1:22" ht="15.75" customHeight="1">
      <c r="A252" s="36"/>
      <c r="B252" s="36"/>
      <c r="C252" s="42"/>
      <c r="D252" s="42"/>
      <c r="E252" s="42"/>
      <c r="F252" s="42"/>
      <c r="G252" s="42"/>
      <c r="H252" s="42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spans="1:22" ht="15.75" customHeight="1">
      <c r="A253" s="36"/>
      <c r="B253" s="36"/>
      <c r="C253" s="42"/>
      <c r="D253" s="42"/>
      <c r="E253" s="42"/>
      <c r="F253" s="42"/>
      <c r="G253" s="42"/>
      <c r="H253" s="42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spans="1:22" ht="15.75" customHeight="1">
      <c r="A254" s="36"/>
      <c r="B254" s="36"/>
      <c r="C254" s="42"/>
      <c r="D254" s="42"/>
      <c r="E254" s="42"/>
      <c r="F254" s="42"/>
      <c r="G254" s="42"/>
      <c r="H254" s="42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spans="1:22" ht="15.75" customHeight="1">
      <c r="A255" s="36"/>
      <c r="B255" s="36"/>
      <c r="C255" s="42"/>
      <c r="D255" s="42"/>
      <c r="E255" s="42"/>
      <c r="F255" s="42"/>
      <c r="G255" s="42"/>
      <c r="H255" s="42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spans="1:22" ht="15.75" customHeight="1">
      <c r="A256" s="36"/>
      <c r="B256" s="36"/>
      <c r="C256" s="42"/>
      <c r="D256" s="42"/>
      <c r="E256" s="42"/>
      <c r="F256" s="42"/>
      <c r="G256" s="42"/>
      <c r="H256" s="42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spans="1:22" ht="15.75" customHeight="1">
      <c r="A257" s="36"/>
      <c r="B257" s="36"/>
      <c r="C257" s="42"/>
      <c r="D257" s="42"/>
      <c r="E257" s="42"/>
      <c r="F257" s="42"/>
      <c r="G257" s="42"/>
      <c r="H257" s="42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spans="1:22" ht="15.75" customHeight="1">
      <c r="A258" s="36"/>
      <c r="B258" s="36"/>
      <c r="C258" s="42"/>
      <c r="D258" s="42"/>
      <c r="E258" s="42"/>
      <c r="F258" s="42"/>
      <c r="G258" s="42"/>
      <c r="H258" s="42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spans="1:22" ht="15.75" customHeight="1">
      <c r="A259" s="36"/>
      <c r="B259" s="36"/>
      <c r="C259" s="42"/>
      <c r="D259" s="42"/>
      <c r="E259" s="42"/>
      <c r="F259" s="42"/>
      <c r="G259" s="42"/>
      <c r="H259" s="42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spans="1:22" ht="15.75" customHeight="1">
      <c r="A260" s="36"/>
      <c r="B260" s="36"/>
      <c r="C260" s="42"/>
      <c r="D260" s="42"/>
      <c r="E260" s="42"/>
      <c r="F260" s="42"/>
      <c r="G260" s="42"/>
      <c r="H260" s="42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spans="1:22" ht="15.75" customHeight="1">
      <c r="A261" s="36"/>
      <c r="B261" s="36"/>
      <c r="C261" s="42"/>
      <c r="D261" s="42"/>
      <c r="E261" s="42"/>
      <c r="F261" s="42"/>
      <c r="G261" s="42"/>
      <c r="H261" s="42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spans="1:22" ht="15.75" customHeight="1">
      <c r="A262" s="36"/>
      <c r="B262" s="36"/>
      <c r="C262" s="42"/>
      <c r="D262" s="42"/>
      <c r="E262" s="42"/>
      <c r="F262" s="42"/>
      <c r="G262" s="42"/>
      <c r="H262" s="42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spans="1:22" ht="15.75" customHeight="1">
      <c r="A263" s="36"/>
      <c r="B263" s="36"/>
      <c r="C263" s="42"/>
      <c r="D263" s="42"/>
      <c r="E263" s="42"/>
      <c r="F263" s="42"/>
      <c r="G263" s="42"/>
      <c r="H263" s="42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spans="1:22" ht="15.75" customHeight="1">
      <c r="A264" s="36"/>
      <c r="B264" s="36"/>
      <c r="C264" s="42"/>
      <c r="D264" s="42"/>
      <c r="E264" s="42"/>
      <c r="F264" s="42"/>
      <c r="G264" s="42"/>
      <c r="H264" s="42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spans="1:22" ht="15.75" customHeight="1">
      <c r="A265" s="36"/>
      <c r="B265" s="36"/>
      <c r="C265" s="42"/>
      <c r="D265" s="42"/>
      <c r="E265" s="42"/>
      <c r="F265" s="42"/>
      <c r="G265" s="42"/>
      <c r="H265" s="42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spans="1:22" ht="15.75" customHeight="1">
      <c r="A266" s="36"/>
      <c r="B266" s="36"/>
      <c r="C266" s="42"/>
      <c r="D266" s="42"/>
      <c r="E266" s="42"/>
      <c r="F266" s="42"/>
      <c r="G266" s="42"/>
      <c r="H266" s="42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spans="1:22" ht="15.75" customHeight="1">
      <c r="A267" s="36"/>
      <c r="B267" s="36"/>
      <c r="C267" s="42"/>
      <c r="D267" s="42"/>
      <c r="E267" s="42"/>
      <c r="F267" s="42"/>
      <c r="G267" s="42"/>
      <c r="H267" s="42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spans="1:22" ht="15.75" customHeight="1">
      <c r="A268" s="36"/>
      <c r="B268" s="36"/>
      <c r="C268" s="42"/>
      <c r="D268" s="42"/>
      <c r="E268" s="42"/>
      <c r="F268" s="42"/>
      <c r="G268" s="42"/>
      <c r="H268" s="42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spans="1:22" ht="15.75" customHeight="1">
      <c r="A269" s="36"/>
      <c r="B269" s="36"/>
      <c r="C269" s="42"/>
      <c r="D269" s="42"/>
      <c r="E269" s="42"/>
      <c r="F269" s="42"/>
      <c r="G269" s="42"/>
      <c r="H269" s="42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spans="1:22" ht="15.75" customHeight="1">
      <c r="A270" s="36"/>
      <c r="B270" s="36"/>
      <c r="C270" s="42"/>
      <c r="D270" s="42"/>
      <c r="E270" s="42"/>
      <c r="F270" s="42"/>
      <c r="G270" s="42"/>
      <c r="H270" s="42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spans="1:22" ht="15.75" customHeight="1">
      <c r="A271" s="36"/>
      <c r="B271" s="36"/>
      <c r="C271" s="42"/>
      <c r="D271" s="42"/>
      <c r="E271" s="42"/>
      <c r="F271" s="42"/>
      <c r="G271" s="42"/>
      <c r="H271" s="42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spans="1:2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">
    <cfRule type="expression" dxfId="331" priority="1">
      <formula>COUNTIF($C$1:$C$1032, B2) &gt; 1</formula>
    </cfRule>
  </conditionalFormatting>
  <conditionalFormatting sqref="B2:B10">
    <cfRule type="expression" dxfId="330" priority="2">
      <formula>B2=#REF!</formula>
    </cfRule>
  </conditionalFormatting>
  <conditionalFormatting sqref="B2:B25 B27:B49">
    <cfRule type="expression" dxfId="329" priority="3">
      <formula>COUNTIF($B$2:$B$992, B2) &gt; 1</formula>
    </cfRule>
  </conditionalFormatting>
  <conditionalFormatting sqref="B2:B25">
    <cfRule type="expression" dxfId="328" priority="4">
      <formula>COUNTIF($C$1:$C$970, B2) &gt; 1</formula>
    </cfRule>
    <cfRule type="expression" dxfId="327" priority="5">
      <formula>COUNTIF($B$2:$B$951, B2) &gt; 1</formula>
    </cfRule>
    <cfRule type="expression" dxfId="326" priority="6">
      <formula>COUNTIF($C$1:$C$971, B2) &gt; 1</formula>
    </cfRule>
    <cfRule type="expression" dxfId="325" priority="7">
      <formula>COUNTIF($B$2:$B$952, B2) &gt; 1</formula>
    </cfRule>
    <cfRule type="expression" dxfId="324" priority="8">
      <formula>COUNTIF($C$1:$C$968, B2) &gt; 1</formula>
    </cfRule>
    <cfRule type="expression" dxfId="323" priority="9">
      <formula>COUNTIF($B$2:$B$949, B2) &gt; 1</formula>
    </cfRule>
    <cfRule type="expression" dxfId="322" priority="10">
      <formula>COUNTIF($B$2:$B$950, B2) &gt; 1</formula>
    </cfRule>
  </conditionalFormatting>
  <conditionalFormatting sqref="B2:B26">
    <cfRule type="expression" dxfId="321" priority="11">
      <formula>COUNTIF($C$1:$C$973, B2) &gt; 1</formula>
    </cfRule>
    <cfRule type="expression" dxfId="320" priority="12">
      <formula>COUNTIF($C$1:$C$969, B2) &gt; 1</formula>
    </cfRule>
  </conditionalFormatting>
  <conditionalFormatting sqref="B2:B27 B29:B55">
    <cfRule type="expression" dxfId="319" priority="13">
      <formula>COUNTIF($B$2:$B$998, B2) &gt; 1</formula>
    </cfRule>
    <cfRule type="expression" dxfId="318" priority="14">
      <formula>COUNTIF($B$2:$B$999, B2) &gt; 1</formula>
    </cfRule>
  </conditionalFormatting>
  <conditionalFormatting sqref="B2:B27">
    <cfRule type="expression" dxfId="317" priority="15">
      <formula>COUNTIF($C$1:$C$974, B2) &gt; 1</formula>
    </cfRule>
    <cfRule type="expression" dxfId="316" priority="16">
      <formula>COUNTIF($B$2:$B$955, B2) &gt; 1</formula>
    </cfRule>
    <cfRule type="expression" dxfId="315" priority="17">
      <formula>COUNTIF($B$2:$B$956, B2) &gt; 1</formula>
    </cfRule>
  </conditionalFormatting>
  <conditionalFormatting sqref="B2:B28 B30:B53">
    <cfRule type="expression" dxfId="314" priority="18">
      <formula>COUNTIF($C$1:$C$1014, B2) &gt; 1</formula>
    </cfRule>
  </conditionalFormatting>
  <conditionalFormatting sqref="B2:B28">
    <cfRule type="expression" dxfId="313" priority="19">
      <formula>COUNTIF($C$1:$C$978, B2) &gt; 1</formula>
    </cfRule>
    <cfRule type="expression" dxfId="312" priority="20">
      <formula>COUNTIF($C$1:$C$976, B2) &gt; 1</formula>
    </cfRule>
    <cfRule type="expression" dxfId="311" priority="21">
      <formula>COUNTIF($B$2:$B$957, B2) &gt; 1</formula>
    </cfRule>
    <cfRule type="expression" dxfId="310" priority="22">
      <formula>COUNTIF($C$1:$C$977, B2) &gt; 1</formula>
    </cfRule>
    <cfRule type="expression" dxfId="309" priority="23">
      <formula>COUNTIF($B$2:$B$958, B2) &gt; 1</formula>
    </cfRule>
  </conditionalFormatting>
  <conditionalFormatting sqref="B2:B31">
    <cfRule type="expression" dxfId="308" priority="24">
      <formula>COUNTIF($B$2:$B$963, B2) &gt; 1</formula>
    </cfRule>
    <cfRule type="expression" dxfId="307" priority="25">
      <formula>COUNTIF($C$1:$C$983, B2) &gt; 1</formula>
    </cfRule>
    <cfRule type="expression" dxfId="306" priority="26">
      <formula>COUNTIF($B$2:$B$964, B2) &gt; 1</formula>
    </cfRule>
    <cfRule type="expression" dxfId="305" priority="27">
      <formula>COUNTIF($C$1:$C$980, B2) &gt; 1</formula>
    </cfRule>
    <cfRule type="expression" dxfId="304" priority="28">
      <formula>COUNTIF($B$2:$B$961, B2) &gt; 1</formula>
    </cfRule>
    <cfRule type="expression" dxfId="303" priority="29">
      <formula>COUNTIF($C$1:$C$981, B2) &gt; 1</formula>
    </cfRule>
    <cfRule type="expression" dxfId="302" priority="30">
      <formula>COUNTIF($B$2:$B$962, B2) &gt; 1</formula>
    </cfRule>
    <cfRule type="expression" dxfId="301" priority="31">
      <formula>COUNTIF($C$1:$C$975, B2) &gt; 1</formula>
    </cfRule>
  </conditionalFormatting>
  <conditionalFormatting sqref="B2:B32">
    <cfRule type="expression" dxfId="300" priority="32">
      <formula>COUNTIF($C$1:$C$985, B2) &gt; 1</formula>
    </cfRule>
    <cfRule type="expression" dxfId="299" priority="33">
      <formula>COUNTIF($C$1:$C$982, B2) &gt; 1</formula>
    </cfRule>
  </conditionalFormatting>
  <conditionalFormatting sqref="B2:B33">
    <cfRule type="expression" dxfId="298" priority="34">
      <formula>COUNTIF($C$1:$C$986, B2) &gt; 1</formula>
    </cfRule>
  </conditionalFormatting>
  <conditionalFormatting sqref="B2:B35">
    <cfRule type="expression" dxfId="297" priority="35">
      <formula>COUNTIF($B$1:$B$981, B2) &gt; 1</formula>
    </cfRule>
    <cfRule type="expression" dxfId="296" priority="36">
      <formula>COUNTIF($B$2:$B$975, B2) &gt; 1</formula>
    </cfRule>
  </conditionalFormatting>
  <conditionalFormatting sqref="B2:B36">
    <cfRule type="expression" dxfId="295" priority="37">
      <formula>COUNTIF($B$1:$B$978, B2) &gt; 1</formula>
    </cfRule>
    <cfRule type="expression" dxfId="294" priority="38">
      <formula>COUNTIF($C$1:$C$988, B2) &gt; 1</formula>
    </cfRule>
    <cfRule type="expression" dxfId="293" priority="39">
      <formula>COUNTIF($B$2:$B$969, B2) &gt; 1</formula>
    </cfRule>
    <cfRule type="expression" dxfId="292" priority="40">
      <formula>COUNTIF($C$1:$C$989, B2) &gt; 1</formula>
    </cfRule>
    <cfRule type="expression" dxfId="291" priority="41">
      <formula>COUNTIF($B$2:$B$970, B2) &gt; 1</formula>
    </cfRule>
  </conditionalFormatting>
  <conditionalFormatting sqref="B2:B37">
    <cfRule type="expression" dxfId="290" priority="42">
      <formula>COUNTIF($B$1:$B$969, B2) &gt; 1</formula>
    </cfRule>
    <cfRule type="expression" dxfId="289" priority="43">
      <formula>COUNTIF($B$1:$B$973, B2) &gt; 1</formula>
    </cfRule>
    <cfRule type="expression" dxfId="288" priority="44">
      <formula>COUNTIF($B$1:$B$991, B2) &gt; 1</formula>
    </cfRule>
    <cfRule type="expression" dxfId="287" priority="45">
      <formula>COUNTIF($C$1:$C$990, B2) &gt; 1</formula>
    </cfRule>
    <cfRule type="expression" dxfId="286" priority="46">
      <formula>COUNTIF($B$2:$B$971, B2) &gt; 1</formula>
    </cfRule>
    <cfRule type="expression" dxfId="285" priority="47">
      <formula>COUNTIF($C$1:$C$991, B2) &gt; 1</formula>
    </cfRule>
    <cfRule type="expression" dxfId="284" priority="48">
      <formula>COUNTIF($B$2:$B$972, B2) &gt; 1</formula>
    </cfRule>
    <cfRule type="expression" dxfId="283" priority="49">
      <formula>COUNTIF($C$1:$C$997, B2) &gt; 1</formula>
    </cfRule>
    <cfRule type="expression" dxfId="282" priority="50">
      <formula>COUNTIF($B$2:$B$978, B2) &gt; 1</formula>
    </cfRule>
    <cfRule type="expression" dxfId="281" priority="51">
      <formula>COUNTIF($B$2:$B$979, B2) &gt; 1</formula>
    </cfRule>
    <cfRule type="expression" dxfId="280" priority="52">
      <formula>COUNTIF($B$2:$B$976, B2) &gt; 1</formula>
    </cfRule>
    <cfRule type="expression" dxfId="279" priority="53">
      <formula>COUNTIF($B$2:$B$977, B2) &gt; 1</formula>
    </cfRule>
  </conditionalFormatting>
  <conditionalFormatting sqref="B2:B38">
    <cfRule type="expression" dxfId="278" priority="54">
      <formula>COUNTIF($C$1:$C$992, B2) &gt; 1</formula>
    </cfRule>
    <cfRule type="expression" dxfId="277" priority="55">
      <formula>COUNTIF($C$1:$C$993, B2) &gt; 1</formula>
    </cfRule>
  </conditionalFormatting>
  <conditionalFormatting sqref="B2:B39">
    <cfRule type="expression" dxfId="276" priority="56">
      <formula>COUNTIF($C$1:$C$999, B2) &gt; 1</formula>
    </cfRule>
    <cfRule type="expression" dxfId="275" priority="57">
      <formula>COUNTIF($K$2:$K$76, B2) &gt; 1</formula>
    </cfRule>
    <cfRule type="expression" dxfId="274" priority="58">
      <formula>COUNTIF($B$2:$B$77, B2) &gt; 1</formula>
    </cfRule>
    <cfRule type="expression" dxfId="273" priority="59">
      <formula>COUNTIF($C$1:$C$998, B2) &gt; 1</formula>
    </cfRule>
  </conditionalFormatting>
  <conditionalFormatting sqref="B2:B40">
    <cfRule type="expression" dxfId="272" priority="60">
      <formula>COUNTIF($C$1:$C$994, B2) &gt; 1</formula>
    </cfRule>
    <cfRule type="expression" dxfId="271" priority="61">
      <formula>COUNTIF($B$2:$B$981, B2) &gt; 1</formula>
    </cfRule>
    <cfRule type="expression" dxfId="270" priority="62">
      <formula>COUNTIF($C$1:$C$1000, B2) &gt; 1</formula>
    </cfRule>
    <cfRule type="expression" dxfId="269" priority="63">
      <formula>COUNTIF($C$1:$C$995, B2) &gt; 1</formula>
    </cfRule>
    <cfRule type="expression" dxfId="268" priority="64">
      <formula>COUNTIF($C$1:$C$996, B2) &gt; 1</formula>
    </cfRule>
  </conditionalFormatting>
  <conditionalFormatting sqref="B2:B41">
    <cfRule type="expression" dxfId="267" priority="65">
      <formula>COUNTIF($C$1:$C$1001, B2) &gt; 1</formula>
    </cfRule>
    <cfRule type="expression" dxfId="266" priority="66">
      <formula>COUNTIF($B$2:$B$982, B2) &gt; 1</formula>
    </cfRule>
  </conditionalFormatting>
  <conditionalFormatting sqref="B2:B42">
    <cfRule type="expression" dxfId="265" priority="67">
      <formula>COUNTIF($C$1:$C$1002, B2) &gt; 1</formula>
    </cfRule>
    <cfRule type="expression" dxfId="264" priority="68">
      <formula>COUNTIF($B$2:$B$983, B2) &gt; 1</formula>
    </cfRule>
  </conditionalFormatting>
  <conditionalFormatting sqref="B2:B43">
    <cfRule type="expression" dxfId="263" priority="69">
      <formula>COUNTIF($C$1:$C$1005, B2) &gt; 1</formula>
    </cfRule>
    <cfRule type="expression" dxfId="262" priority="70">
      <formula>COUNTIF($C$1:$C$1003, B2) &gt; 1</formula>
    </cfRule>
    <cfRule type="expression" dxfId="261" priority="71">
      <formula>COUNTIF($B$2:$B$984, B2) &gt; 1</formula>
    </cfRule>
    <cfRule type="expression" dxfId="260" priority="72">
      <formula>COUNTIF($C$1:$C$1004, B2) &gt; 1</formula>
    </cfRule>
    <cfRule type="expression" dxfId="259" priority="73">
      <formula>COUNTIF($B$2:$B$985, B2) &gt; 1</formula>
    </cfRule>
  </conditionalFormatting>
  <conditionalFormatting sqref="B2:B44">
    <cfRule type="expression" dxfId="258" priority="74">
      <formula>COUNTIF($C$1:$C$1006, B2) &gt; 1</formula>
    </cfRule>
  </conditionalFormatting>
  <conditionalFormatting sqref="B2:B46">
    <cfRule type="expression" dxfId="257" priority="75">
      <formula>COUNTIF($B$1:$B$1001, B2) &gt; 1</formula>
    </cfRule>
    <cfRule type="expression" dxfId="256" priority="76">
      <formula>COUNTIF($C$1:$C$1007, B2) &gt; 1</formula>
    </cfRule>
    <cfRule type="expression" dxfId="255" priority="77">
      <formula>COUNTIF($B$2:$B$988, B2) &gt; 1</formula>
    </cfRule>
  </conditionalFormatting>
  <conditionalFormatting sqref="B2:B47">
    <cfRule type="expression" dxfId="254" priority="78">
      <formula>COUNTIF($B$1:$B$998, B2) &gt; 1</formula>
    </cfRule>
    <cfRule type="expression" dxfId="253" priority="79">
      <formula>COUNTIF($C$1:$C$1008, B2) &gt; 1</formula>
    </cfRule>
    <cfRule type="expression" dxfId="252" priority="80">
      <formula>COUNTIF($B$2:$B$989, B2) &gt; 1</formula>
    </cfRule>
  </conditionalFormatting>
  <conditionalFormatting sqref="B2:B48">
    <cfRule type="expression" dxfId="251" priority="81">
      <formula>COUNTIF($B$1:$B$989, B2) &gt; 1</formula>
    </cfRule>
    <cfRule type="expression" dxfId="250" priority="82">
      <formula>COUNTIF($C$1:$C$1009, B2) &gt; 1</formula>
    </cfRule>
    <cfRule type="expression" dxfId="249" priority="83">
      <formula>COUNTIF($B$2:$B$990, B2) &gt; 1</formula>
    </cfRule>
  </conditionalFormatting>
  <conditionalFormatting sqref="B2:B49">
    <cfRule type="expression" dxfId="248" priority="84">
      <formula>COUNTIF($B$1:$B$1011, B2) &gt; 1</formula>
    </cfRule>
    <cfRule type="expression" dxfId="247" priority="85">
      <formula>COUNTIF($C$1:$C$1010, B2) &gt; 1</formula>
    </cfRule>
    <cfRule type="expression" dxfId="246" priority="86">
      <formula>COUNTIF($B$2:$B$991, B2) &gt; 1</formula>
    </cfRule>
  </conditionalFormatting>
  <conditionalFormatting sqref="B2:B51">
    <cfRule type="expression" dxfId="245" priority="87">
      <formula>COUNTIF($B$1:$B$993, B2) &gt; 1</formula>
    </cfRule>
    <cfRule type="expression" dxfId="244" priority="88">
      <formula>COUNTIF($C$1:$C$1011, B2) &gt; 1</formula>
    </cfRule>
  </conditionalFormatting>
  <conditionalFormatting sqref="B2:B52">
    <cfRule type="expression" dxfId="243" priority="89">
      <formula>COUNTIF($C$1:$C$1012, B2) &gt; 1</formula>
    </cfRule>
    <cfRule type="expression" dxfId="242" priority="90">
      <formula>COUNTIF($C$1:$C$1013, B2) &gt; 1</formula>
    </cfRule>
  </conditionalFormatting>
  <conditionalFormatting sqref="B2:B53">
    <cfRule type="expression" dxfId="241" priority="91">
      <formula>COUNTIF($K$2:$K$96, B2) &gt; 1</formula>
    </cfRule>
    <cfRule type="expression" dxfId="240" priority="92">
      <formula>COUNTIF($B$2:$B$97, B2) &gt; 1</formula>
    </cfRule>
  </conditionalFormatting>
  <conditionalFormatting sqref="B2:B54">
    <cfRule type="expression" dxfId="239" priority="93">
      <formula>COUNTIF($B$1:$B$1005, B2) &gt; 1</formula>
    </cfRule>
    <cfRule type="expression" dxfId="238" priority="94">
      <formula>COUNTIF($B$1:$B$1008, B2) &gt; 1</formula>
    </cfRule>
    <cfRule type="expression" dxfId="237" priority="95">
      <formula>COUNTIF($C$1:$C$1015, B2) &gt; 1</formula>
    </cfRule>
    <cfRule type="expression" dxfId="236" priority="96">
      <formula>COUNTIF($B$2:$B$996, B2) &gt; 1</formula>
    </cfRule>
  </conditionalFormatting>
  <conditionalFormatting sqref="B2:B55">
    <cfRule type="expression" dxfId="235" priority="97">
      <formula>COUNTIF($B$1:$B$975, B2) &gt; 1</formula>
    </cfRule>
    <cfRule type="expression" dxfId="234" priority="98">
      <formula>COUNTIF($B$1:$B$996, B2) &gt; 1</formula>
    </cfRule>
    <cfRule type="expression" dxfId="233" priority="99">
      <formula>COUNTIF($B$1:$B$1000, B2) &gt; 1</formula>
    </cfRule>
    <cfRule type="expression" dxfId="232" priority="100">
      <formula>COUNTIF($C$1:$C$1019, B2) &gt; 1</formula>
    </cfRule>
    <cfRule type="expression" dxfId="231" priority="101">
      <formula>COUNTIF($B$1:$B$1018, B2) &gt; 1</formula>
    </cfRule>
    <cfRule type="expression" dxfId="230" priority="102">
      <formula>COUNTIF($C$1:$C$1017, B2) &gt; 1</formula>
    </cfRule>
    <cfRule type="expression" dxfId="229" priority="103">
      <formula>COUNTIF($C$1:$C$1018, B2) &gt; 1</formula>
    </cfRule>
  </conditionalFormatting>
  <conditionalFormatting sqref="B2:B56">
    <cfRule type="expression" dxfId="228" priority="104">
      <formula>COUNTIF($C$1:$C$1020, B2) &gt; 1</formula>
    </cfRule>
  </conditionalFormatting>
  <conditionalFormatting sqref="B7 B55">
    <cfRule type="expression" dxfId="227" priority="105">
      <formula>COUNTIF($C$1:$C$1021, B7) &gt; 1</formula>
    </cfRule>
  </conditionalFormatting>
  <conditionalFormatting sqref="B14">
    <cfRule type="expression" dxfId="226" priority="106">
      <formula>COUNTIF($C$1:$C$984, B14) &gt; 1</formula>
    </cfRule>
  </conditionalFormatting>
  <conditionalFormatting sqref="B18">
    <cfRule type="expression" dxfId="225" priority="107">
      <formula>COUNTIF($C$1:$C$1016, B18) &gt; 1</formula>
    </cfRule>
  </conditionalFormatting>
  <conditionalFormatting sqref="B19 B55">
    <cfRule type="expression" dxfId="224" priority="108">
      <formula>COUNTIF($C$1:$C$1022, B19) &gt; 1</formula>
    </cfRule>
  </conditionalFormatting>
  <conditionalFormatting sqref="B21">
    <cfRule type="expression" dxfId="223" priority="109">
      <formula>COUNTIF($C$1:$C$1029, B21) &gt; 1</formula>
    </cfRule>
  </conditionalFormatting>
  <conditionalFormatting sqref="B55">
    <cfRule type="expression" dxfId="222" priority="110">
      <formula>COUNTIF($C$1:$C$1026, B55) &gt; 1</formula>
    </cfRule>
    <cfRule type="expression" dxfId="221" priority="111">
      <formula>COUNTIF($K$2:$K$103, B55) &gt; 1</formula>
    </cfRule>
    <cfRule type="expression" dxfId="220" priority="112">
      <formula>COUNTIF($C$1:$C$1025, B55) &gt; 1</formula>
    </cfRule>
    <cfRule type="expression" dxfId="219" priority="113">
      <formula>COUNTIF($B$2:$B$104, B55) &gt; 1</formula>
    </cfRule>
  </conditionalFormatting>
  <conditionalFormatting sqref="C2:G1000 H32">
    <cfRule type="expression" dxfId="218" priority="114">
      <formula>C2&gt;0</formula>
    </cfRule>
  </conditionalFormatting>
  <dataValidations count="2">
    <dataValidation type="list" allowBlank="1" showErrorMessage="1" sqref="A64:A79" xr:uid="{00000000-0002-0000-0B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63" xr:uid="{00000000-0002-0000-0B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16.44140625" customWidth="1"/>
    <col min="4" max="4" width="32.109375" customWidth="1"/>
    <col min="5" max="5" width="17.44140625" customWidth="1"/>
    <col min="6" max="8" width="15.6640625" customWidth="1"/>
    <col min="9" max="10" width="11" customWidth="1"/>
    <col min="11" max="11" width="25.109375" customWidth="1"/>
    <col min="12" max="12" width="25.88671875" customWidth="1"/>
    <col min="13" max="13" width="23.5546875" customWidth="1"/>
    <col min="14" max="14" width="9.44140625" customWidth="1"/>
    <col min="15" max="16" width="26.6640625" customWidth="1"/>
    <col min="17" max="17" width="23.88671875" customWidth="1"/>
    <col min="18" max="18" width="17.88671875" customWidth="1"/>
    <col min="19" max="19" width="11" customWidth="1"/>
    <col min="20" max="21" width="21.44140625" customWidth="1"/>
    <col min="22" max="24" width="11" customWidth="1"/>
  </cols>
  <sheetData>
    <row r="1" spans="1:32" ht="15.75" customHeight="1">
      <c r="A1" s="5" t="s">
        <v>0</v>
      </c>
      <c r="B1" s="5" t="s">
        <v>162</v>
      </c>
      <c r="C1" s="5" t="s">
        <v>463</v>
      </c>
      <c r="D1" s="5" t="s">
        <v>177</v>
      </c>
      <c r="E1" s="5" t="s">
        <v>464</v>
      </c>
      <c r="F1" s="102" t="s">
        <v>179</v>
      </c>
      <c r="G1" s="63" t="s">
        <v>837</v>
      </c>
      <c r="H1" s="116" t="s">
        <v>838</v>
      </c>
      <c r="I1" s="103"/>
      <c r="J1" s="103"/>
      <c r="K1" s="57" t="s">
        <v>0</v>
      </c>
      <c r="L1" s="57" t="s">
        <v>162</v>
      </c>
      <c r="M1" s="78" t="s">
        <v>469</v>
      </c>
      <c r="N1" s="143" t="s">
        <v>136</v>
      </c>
      <c r="O1" s="143" t="s">
        <v>839</v>
      </c>
      <c r="P1" s="143" t="s">
        <v>840</v>
      </c>
      <c r="Q1" s="143" t="s">
        <v>46</v>
      </c>
      <c r="R1" s="103"/>
      <c r="S1" s="103"/>
      <c r="T1" s="103"/>
      <c r="U1" s="103"/>
      <c r="V1" s="103"/>
      <c r="W1" s="103"/>
      <c r="X1" s="103"/>
      <c r="Y1" s="107"/>
      <c r="Z1" s="107"/>
      <c r="AA1" s="107"/>
      <c r="AB1" s="107"/>
      <c r="AC1" s="107"/>
      <c r="AD1" s="107"/>
      <c r="AE1" s="107"/>
      <c r="AF1" s="107"/>
    </row>
    <row r="2" spans="1:32" ht="15.75" customHeight="1">
      <c r="A2" s="35"/>
      <c r="B2" s="36"/>
      <c r="C2" s="118"/>
      <c r="D2" s="109"/>
      <c r="E2" s="75"/>
      <c r="F2" s="110"/>
      <c r="G2" s="144"/>
      <c r="H2" s="145"/>
      <c r="I2" s="75"/>
      <c r="J2" s="75"/>
      <c r="K2" s="35"/>
      <c r="L2" s="36"/>
      <c r="M2" s="111"/>
      <c r="N2" s="111"/>
      <c r="O2" s="111"/>
      <c r="P2" s="111"/>
      <c r="Q2" s="129"/>
      <c r="R2" s="129"/>
      <c r="S2" s="75"/>
      <c r="T2" s="112"/>
      <c r="U2" s="112"/>
      <c r="V2" s="75"/>
      <c r="W2" s="75"/>
      <c r="X2" s="75"/>
      <c r="Y2" s="7"/>
      <c r="Z2" s="7"/>
      <c r="AA2" s="7"/>
      <c r="AB2" s="7"/>
      <c r="AC2" s="7"/>
      <c r="AD2" s="7"/>
      <c r="AE2" s="7"/>
      <c r="AF2" s="7"/>
    </row>
    <row r="3" spans="1:32" ht="15.75" customHeight="1">
      <c r="A3" s="35"/>
      <c r="B3" s="36"/>
      <c r="C3" s="118"/>
      <c r="D3" s="109"/>
      <c r="E3" s="75"/>
      <c r="F3" s="110"/>
      <c r="G3" s="144"/>
      <c r="H3" s="145"/>
      <c r="I3" s="75"/>
      <c r="J3" s="75"/>
      <c r="K3" s="35"/>
      <c r="L3" s="36"/>
      <c r="M3" s="111"/>
      <c r="N3" s="111"/>
      <c r="O3" s="111"/>
      <c r="P3" s="111"/>
      <c r="Q3" s="129"/>
      <c r="R3" s="129"/>
      <c r="S3" s="75"/>
      <c r="T3" s="112"/>
      <c r="U3" s="112"/>
      <c r="V3" s="75"/>
      <c r="W3" s="75"/>
      <c r="X3" s="75"/>
      <c r="Y3" s="7"/>
      <c r="Z3" s="7"/>
      <c r="AA3" s="7"/>
      <c r="AB3" s="7"/>
      <c r="AC3" s="7"/>
      <c r="AD3" s="7"/>
      <c r="AE3" s="7"/>
      <c r="AF3" s="7"/>
    </row>
    <row r="4" spans="1:32" ht="15.75" customHeight="1">
      <c r="A4" s="35"/>
      <c r="B4" s="36"/>
      <c r="C4" s="135"/>
      <c r="D4" s="44"/>
      <c r="E4" s="35"/>
      <c r="F4" s="110"/>
      <c r="G4" s="144"/>
      <c r="H4" s="145"/>
      <c r="I4" s="75"/>
      <c r="J4" s="75"/>
      <c r="K4" s="35"/>
      <c r="L4" s="44"/>
      <c r="M4" s="111"/>
      <c r="N4" s="111"/>
      <c r="O4" s="111"/>
      <c r="P4" s="111"/>
      <c r="Q4" s="129"/>
      <c r="R4" s="129"/>
      <c r="S4" s="75"/>
      <c r="T4" s="112"/>
      <c r="U4" s="112"/>
      <c r="V4" s="75"/>
      <c r="W4" s="75"/>
      <c r="X4" s="75"/>
      <c r="Y4" s="7"/>
      <c r="Z4" s="7"/>
      <c r="AA4" s="7"/>
      <c r="AB4" s="7"/>
      <c r="AC4" s="7"/>
      <c r="AD4" s="7"/>
      <c r="AE4" s="7"/>
      <c r="AF4" s="7"/>
    </row>
    <row r="5" spans="1:32" ht="15.75" customHeight="1">
      <c r="A5" s="35"/>
      <c r="B5" s="36"/>
      <c r="C5" s="135"/>
      <c r="D5" s="44"/>
      <c r="E5" s="35"/>
      <c r="F5" s="110"/>
      <c r="G5" s="144"/>
      <c r="H5" s="145"/>
      <c r="I5" s="75"/>
      <c r="J5" s="75"/>
      <c r="K5" s="35"/>
      <c r="L5" s="36"/>
      <c r="M5" s="111"/>
      <c r="N5" s="111"/>
      <c r="O5" s="111"/>
      <c r="P5" s="111"/>
      <c r="Q5" s="129"/>
      <c r="R5" s="129"/>
      <c r="S5" s="75"/>
      <c r="T5" s="112"/>
      <c r="U5" s="112"/>
      <c r="V5" s="75"/>
      <c r="W5" s="75"/>
      <c r="X5" s="75"/>
      <c r="Y5" s="7"/>
      <c r="Z5" s="7"/>
      <c r="AA5" s="7"/>
      <c r="AB5" s="7"/>
      <c r="AC5" s="7"/>
      <c r="AD5" s="7"/>
      <c r="AE5" s="7"/>
      <c r="AF5" s="7"/>
    </row>
    <row r="6" spans="1:32" ht="15.75" customHeight="1">
      <c r="A6" s="35"/>
      <c r="B6" s="7"/>
      <c r="C6" s="135"/>
      <c r="D6" s="44"/>
      <c r="E6" s="35"/>
      <c r="F6" s="110"/>
      <c r="G6" s="144"/>
      <c r="H6" s="145"/>
      <c r="I6" s="75"/>
      <c r="J6" s="75"/>
      <c r="K6" s="35"/>
      <c r="L6" s="36"/>
      <c r="M6" s="111"/>
      <c r="N6" s="111"/>
      <c r="O6" s="111"/>
      <c r="P6" s="111"/>
      <c r="Q6" s="129"/>
      <c r="R6" s="129"/>
      <c r="S6" s="75"/>
      <c r="T6" s="112"/>
      <c r="U6" s="112"/>
      <c r="V6" s="75"/>
      <c r="W6" s="75"/>
      <c r="X6" s="75"/>
      <c r="Y6" s="7"/>
      <c r="Z6" s="7"/>
      <c r="AA6" s="7"/>
      <c r="AB6" s="7"/>
      <c r="AC6" s="7"/>
      <c r="AD6" s="7"/>
      <c r="AE6" s="7"/>
      <c r="AF6" s="7"/>
    </row>
    <row r="7" spans="1:32" ht="15.75" customHeight="1">
      <c r="A7" s="35"/>
      <c r="B7" s="7"/>
      <c r="C7" s="135"/>
      <c r="D7" s="44"/>
      <c r="E7" s="35"/>
      <c r="F7" s="110"/>
      <c r="G7" s="144"/>
      <c r="H7" s="145"/>
      <c r="I7" s="75"/>
      <c r="J7" s="75"/>
      <c r="K7" s="35"/>
      <c r="L7" s="36"/>
      <c r="M7" s="111"/>
      <c r="N7" s="111"/>
      <c r="O7" s="111"/>
      <c r="P7" s="111"/>
      <c r="Q7" s="129"/>
      <c r="R7" s="129"/>
      <c r="S7" s="75"/>
      <c r="T7" s="112"/>
      <c r="U7" s="112"/>
      <c r="V7" s="75"/>
      <c r="W7" s="75"/>
      <c r="X7" s="75"/>
      <c r="Y7" s="7"/>
      <c r="Z7" s="7"/>
      <c r="AA7" s="7"/>
      <c r="AB7" s="7"/>
      <c r="AC7" s="7"/>
      <c r="AD7" s="7"/>
      <c r="AE7" s="7"/>
      <c r="AF7" s="7"/>
    </row>
    <row r="8" spans="1:32" ht="15.75" customHeight="1">
      <c r="A8" s="35"/>
      <c r="B8" s="7"/>
      <c r="C8" s="135"/>
      <c r="D8" s="44"/>
      <c r="E8" s="35"/>
      <c r="F8" s="110"/>
      <c r="G8" s="144"/>
      <c r="H8" s="145"/>
      <c r="I8" s="75"/>
      <c r="J8" s="75"/>
      <c r="K8" s="35"/>
      <c r="L8" s="36"/>
      <c r="M8" s="111"/>
      <c r="N8" s="111"/>
      <c r="O8" s="111"/>
      <c r="P8" s="111"/>
      <c r="Q8" s="129"/>
      <c r="R8" s="129"/>
      <c r="S8" s="75"/>
      <c r="T8" s="112"/>
      <c r="U8" s="112"/>
      <c r="V8" s="75"/>
      <c r="W8" s="75"/>
      <c r="X8" s="75"/>
      <c r="Y8" s="7"/>
      <c r="Z8" s="7"/>
      <c r="AA8" s="7"/>
      <c r="AB8" s="7"/>
      <c r="AC8" s="7"/>
      <c r="AD8" s="7"/>
      <c r="AE8" s="7"/>
      <c r="AF8" s="7"/>
    </row>
    <row r="9" spans="1:32" ht="15.75" customHeight="1">
      <c r="A9" s="35"/>
      <c r="B9" s="7"/>
      <c r="C9" s="135"/>
      <c r="D9" s="44"/>
      <c r="E9" s="35"/>
      <c r="F9" s="110"/>
      <c r="G9" s="144"/>
      <c r="H9" s="145"/>
      <c r="I9" s="75"/>
      <c r="J9" s="75"/>
      <c r="K9" s="35"/>
      <c r="L9" s="36"/>
      <c r="M9" s="111"/>
      <c r="N9" s="111"/>
      <c r="O9" s="111"/>
      <c r="P9" s="111"/>
      <c r="Q9" s="129"/>
      <c r="R9" s="129"/>
      <c r="S9" s="75"/>
      <c r="T9" s="112"/>
      <c r="U9" s="112"/>
      <c r="V9" s="75"/>
      <c r="W9" s="75"/>
      <c r="X9" s="75"/>
      <c r="Y9" s="7"/>
      <c r="Z9" s="7"/>
      <c r="AA9" s="7"/>
      <c r="AB9" s="7"/>
      <c r="AC9" s="7"/>
      <c r="AD9" s="7"/>
      <c r="AE9" s="7"/>
      <c r="AF9" s="7"/>
    </row>
    <row r="10" spans="1:32" ht="15.75" customHeight="1">
      <c r="A10" s="35"/>
      <c r="B10" s="7"/>
      <c r="C10" s="135"/>
      <c r="D10" s="44"/>
      <c r="E10" s="35"/>
      <c r="F10" s="110"/>
      <c r="G10" s="144"/>
      <c r="H10" s="145"/>
      <c r="I10" s="75"/>
      <c r="J10" s="75"/>
      <c r="K10" s="35"/>
      <c r="L10" s="36"/>
      <c r="M10" s="111"/>
      <c r="N10" s="111"/>
      <c r="O10" s="111"/>
      <c r="P10" s="111"/>
      <c r="Q10" s="129"/>
      <c r="R10" s="129"/>
      <c r="S10" s="75"/>
      <c r="T10" s="112"/>
      <c r="U10" s="112"/>
      <c r="V10" s="75"/>
      <c r="W10" s="75"/>
      <c r="X10" s="75"/>
      <c r="Y10" s="7"/>
      <c r="Z10" s="7"/>
      <c r="AA10" s="7"/>
      <c r="AB10" s="7"/>
      <c r="AC10" s="7"/>
      <c r="AD10" s="7"/>
      <c r="AE10" s="7"/>
      <c r="AF10" s="7"/>
    </row>
    <row r="11" spans="1:32" ht="15.75" customHeight="1">
      <c r="A11" s="35"/>
      <c r="B11" s="7"/>
      <c r="C11" s="135"/>
      <c r="D11" s="44"/>
      <c r="E11" s="35"/>
      <c r="F11" s="110"/>
      <c r="G11" s="144"/>
      <c r="H11" s="145"/>
      <c r="I11" s="75"/>
      <c r="J11" s="75"/>
      <c r="K11" s="35"/>
      <c r="L11" s="36"/>
      <c r="M11" s="111"/>
      <c r="N11" s="111"/>
      <c r="O11" s="111"/>
      <c r="P11" s="111"/>
      <c r="Q11" s="129"/>
      <c r="R11" s="129"/>
      <c r="S11" s="75"/>
      <c r="T11" s="112"/>
      <c r="U11" s="112"/>
      <c r="V11" s="75"/>
      <c r="W11" s="75"/>
      <c r="X11" s="75"/>
      <c r="Y11" s="7"/>
      <c r="Z11" s="7"/>
      <c r="AA11" s="7"/>
      <c r="AB11" s="7"/>
      <c r="AC11" s="7"/>
      <c r="AD11" s="7"/>
      <c r="AE11" s="7"/>
      <c r="AF11" s="7"/>
    </row>
    <row r="12" spans="1:32" ht="15.75" customHeight="1">
      <c r="A12" s="35"/>
      <c r="B12" s="7"/>
      <c r="C12" s="142"/>
      <c r="D12" s="44"/>
      <c r="E12" s="35"/>
      <c r="F12" s="110"/>
      <c r="G12" s="144"/>
      <c r="H12" s="145"/>
      <c r="I12" s="75"/>
      <c r="J12" s="75"/>
      <c r="K12" s="35"/>
      <c r="L12" s="36"/>
      <c r="M12" s="111"/>
      <c r="N12" s="111"/>
      <c r="O12" s="111"/>
      <c r="P12" s="111"/>
      <c r="Q12" s="129"/>
      <c r="R12" s="129"/>
      <c r="S12" s="75"/>
      <c r="T12" s="111"/>
      <c r="U12" s="111"/>
      <c r="V12" s="75"/>
      <c r="W12" s="75"/>
      <c r="X12" s="75"/>
      <c r="Y12" s="7"/>
      <c r="Z12" s="7"/>
      <c r="AA12" s="7"/>
      <c r="AB12" s="7"/>
      <c r="AC12" s="7"/>
      <c r="AD12" s="7"/>
      <c r="AE12" s="7"/>
      <c r="AF12" s="7"/>
    </row>
    <row r="13" spans="1:32" ht="15.75" customHeight="1">
      <c r="A13" s="10"/>
      <c r="B13" s="7"/>
      <c r="C13" s="142"/>
      <c r="D13" s="44"/>
      <c r="E13" s="35"/>
      <c r="F13" s="110"/>
      <c r="G13" s="144"/>
      <c r="H13" s="145"/>
      <c r="I13" s="75"/>
      <c r="J13" s="75"/>
      <c r="K13" s="35"/>
      <c r="L13" s="44"/>
      <c r="M13" s="111"/>
      <c r="N13" s="111"/>
      <c r="O13" s="111"/>
      <c r="P13" s="111"/>
      <c r="Q13" s="129"/>
      <c r="R13" s="129"/>
      <c r="S13" s="75"/>
      <c r="T13" s="112"/>
      <c r="U13" s="112"/>
      <c r="V13" s="75"/>
      <c r="W13" s="75"/>
      <c r="X13" s="75"/>
      <c r="Y13" s="7"/>
      <c r="Z13" s="7"/>
      <c r="AA13" s="7"/>
      <c r="AB13" s="7"/>
      <c r="AC13" s="7"/>
      <c r="AD13" s="7"/>
      <c r="AE13" s="7"/>
      <c r="AF13" s="7"/>
    </row>
    <row r="14" spans="1:32" ht="15.75" customHeight="1">
      <c r="A14" s="10"/>
      <c r="B14" s="7"/>
      <c r="C14" s="135"/>
      <c r="D14" s="44"/>
      <c r="E14" s="35"/>
      <c r="F14" s="110"/>
      <c r="G14" s="144"/>
      <c r="H14" s="145"/>
      <c r="I14" s="34"/>
      <c r="J14" s="34"/>
      <c r="K14" s="35"/>
      <c r="L14" s="44"/>
      <c r="M14" s="111"/>
      <c r="N14" s="111"/>
      <c r="O14" s="111"/>
      <c r="P14" s="111"/>
      <c r="Q14" s="65"/>
      <c r="R14" s="65"/>
      <c r="S14" s="34"/>
      <c r="T14" s="141"/>
      <c r="U14" s="141"/>
      <c r="V14" s="34"/>
      <c r="W14" s="34"/>
      <c r="X14" s="34"/>
      <c r="Y14" s="7"/>
      <c r="Z14" s="7"/>
      <c r="AA14" s="7"/>
      <c r="AB14" s="7"/>
      <c r="AC14" s="7"/>
      <c r="AD14" s="7"/>
      <c r="AE14" s="7"/>
      <c r="AF14" s="7"/>
    </row>
    <row r="15" spans="1:32" ht="15.75" customHeight="1">
      <c r="A15" s="10"/>
      <c r="B15" s="7"/>
      <c r="C15" s="135"/>
      <c r="D15" s="44"/>
      <c r="E15" s="35"/>
      <c r="F15" s="110"/>
      <c r="G15" s="144"/>
      <c r="H15" s="145"/>
      <c r="I15" s="34"/>
      <c r="J15" s="34"/>
      <c r="K15" s="35"/>
      <c r="L15" s="44"/>
      <c r="M15" s="111"/>
      <c r="N15" s="111"/>
      <c r="O15" s="111"/>
      <c r="P15" s="111"/>
      <c r="Q15" s="65"/>
      <c r="R15" s="65"/>
      <c r="S15" s="34"/>
      <c r="T15" s="141"/>
      <c r="U15" s="141"/>
      <c r="V15" s="34"/>
      <c r="W15" s="34"/>
      <c r="X15" s="34"/>
      <c r="Y15" s="7"/>
      <c r="Z15" s="7"/>
      <c r="AA15" s="7"/>
      <c r="AB15" s="7"/>
      <c r="AC15" s="7"/>
      <c r="AD15" s="7"/>
      <c r="AE15" s="7"/>
      <c r="AF15" s="7"/>
    </row>
    <row r="16" spans="1:32" ht="15.75" customHeight="1">
      <c r="A16" s="10"/>
      <c r="B16" s="7"/>
      <c r="C16" s="135"/>
      <c r="D16" s="44"/>
      <c r="E16" s="35"/>
      <c r="F16" s="110"/>
      <c r="G16" s="144"/>
      <c r="H16" s="145"/>
      <c r="I16" s="34"/>
      <c r="J16" s="34"/>
      <c r="K16" s="35"/>
      <c r="L16" s="44"/>
      <c r="M16" s="111"/>
      <c r="N16" s="111"/>
      <c r="O16" s="111"/>
      <c r="P16" s="111"/>
      <c r="Q16" s="65"/>
      <c r="R16" s="65"/>
      <c r="S16" s="34"/>
      <c r="T16" s="141"/>
      <c r="U16" s="141"/>
      <c r="V16" s="34"/>
      <c r="W16" s="34"/>
      <c r="X16" s="34"/>
      <c r="Y16" s="7"/>
      <c r="Z16" s="7"/>
      <c r="AA16" s="7"/>
      <c r="AB16" s="7"/>
      <c r="AC16" s="7"/>
      <c r="AD16" s="7"/>
      <c r="AE16" s="7"/>
      <c r="AF16" s="7"/>
    </row>
    <row r="17" spans="1:32" ht="15.75" customHeight="1">
      <c r="A17" s="10"/>
      <c r="B17" s="7"/>
      <c r="C17" s="142"/>
      <c r="D17" s="44"/>
      <c r="E17" s="35"/>
      <c r="F17" s="110"/>
      <c r="G17" s="144"/>
      <c r="H17" s="145"/>
      <c r="I17" s="34"/>
      <c r="J17" s="34"/>
      <c r="K17" s="35"/>
      <c r="L17" s="44"/>
      <c r="M17" s="111"/>
      <c r="N17" s="111"/>
      <c r="O17" s="111"/>
      <c r="P17" s="111"/>
      <c r="Q17" s="65"/>
      <c r="R17" s="65"/>
      <c r="S17" s="34"/>
      <c r="T17" s="141"/>
      <c r="U17" s="141"/>
      <c r="V17" s="34"/>
      <c r="W17" s="34"/>
      <c r="X17" s="34"/>
      <c r="Y17" s="7"/>
      <c r="Z17" s="7"/>
      <c r="AA17" s="7"/>
      <c r="AB17" s="7"/>
      <c r="AC17" s="7"/>
      <c r="AD17" s="7"/>
      <c r="AE17" s="7"/>
      <c r="AF17" s="7"/>
    </row>
    <row r="18" spans="1:32" ht="15.75" customHeight="1">
      <c r="A18" s="10"/>
      <c r="B18" s="7"/>
      <c r="C18" s="142"/>
      <c r="D18" s="44"/>
      <c r="E18" s="35"/>
      <c r="F18" s="110"/>
      <c r="G18" s="144"/>
      <c r="H18" s="145"/>
      <c r="I18" s="34"/>
      <c r="J18" s="34"/>
      <c r="K18" s="35"/>
      <c r="L18" s="36"/>
      <c r="M18" s="111"/>
      <c r="N18" s="111"/>
      <c r="O18" s="111"/>
      <c r="P18" s="111"/>
      <c r="Q18" s="65"/>
      <c r="R18" s="65"/>
      <c r="S18" s="34"/>
      <c r="T18" s="141"/>
      <c r="U18" s="141"/>
      <c r="V18" s="34"/>
      <c r="W18" s="34"/>
      <c r="X18" s="34"/>
      <c r="Y18" s="7"/>
      <c r="Z18" s="7"/>
      <c r="AA18" s="7"/>
      <c r="AB18" s="7"/>
      <c r="AC18" s="7"/>
      <c r="AD18" s="7"/>
      <c r="AE18" s="7"/>
      <c r="AF18" s="7"/>
    </row>
    <row r="19" spans="1:32" ht="15.75" customHeight="1">
      <c r="A19" s="10"/>
      <c r="B19" s="7"/>
      <c r="C19" s="142"/>
      <c r="D19" s="44"/>
      <c r="E19" s="35"/>
      <c r="F19" s="110"/>
      <c r="G19" s="144"/>
      <c r="H19" s="145"/>
      <c r="I19" s="34"/>
      <c r="J19" s="34"/>
      <c r="K19" s="35"/>
      <c r="L19" s="36"/>
      <c r="M19" s="111"/>
      <c r="N19" s="111"/>
      <c r="O19" s="111"/>
      <c r="P19" s="111"/>
      <c r="Q19" s="65"/>
      <c r="R19" s="65"/>
      <c r="S19" s="34"/>
      <c r="T19" s="141"/>
      <c r="U19" s="141"/>
      <c r="V19" s="34"/>
      <c r="W19" s="34"/>
      <c r="X19" s="34"/>
      <c r="Y19" s="7"/>
      <c r="Z19" s="7"/>
      <c r="AA19" s="7"/>
      <c r="AB19" s="7"/>
      <c r="AC19" s="7"/>
      <c r="AD19" s="7"/>
      <c r="AE19" s="7"/>
      <c r="AF19" s="7"/>
    </row>
    <row r="20" spans="1:32" ht="15.75" customHeight="1">
      <c r="A20" s="10"/>
      <c r="B20" s="7"/>
      <c r="C20" s="142"/>
      <c r="D20" s="44"/>
      <c r="E20" s="35"/>
      <c r="F20" s="110"/>
      <c r="G20" s="144"/>
      <c r="H20" s="145"/>
      <c r="I20" s="34"/>
      <c r="J20" s="34"/>
      <c r="K20" s="35"/>
      <c r="L20" s="36"/>
      <c r="M20" s="111"/>
      <c r="N20" s="111"/>
      <c r="O20" s="111"/>
      <c r="P20" s="111"/>
      <c r="Q20" s="65"/>
      <c r="R20" s="65"/>
      <c r="S20" s="34"/>
      <c r="T20" s="141"/>
      <c r="U20" s="141"/>
      <c r="V20" s="34"/>
      <c r="W20" s="34"/>
      <c r="X20" s="34"/>
      <c r="Y20" s="7"/>
      <c r="Z20" s="7"/>
      <c r="AA20" s="7"/>
      <c r="AB20" s="7"/>
      <c r="AC20" s="7"/>
      <c r="AD20" s="7"/>
      <c r="AE20" s="7"/>
      <c r="AF20" s="7"/>
    </row>
    <row r="21" spans="1:32" ht="15.75" customHeight="1">
      <c r="A21" s="10"/>
      <c r="B21" s="7"/>
      <c r="C21" s="135"/>
      <c r="D21" s="44"/>
      <c r="E21" s="35"/>
      <c r="F21" s="110"/>
      <c r="G21" s="144"/>
      <c r="H21" s="145"/>
      <c r="I21" s="75"/>
      <c r="J21" s="75"/>
      <c r="K21" s="35"/>
      <c r="L21" s="36"/>
      <c r="M21" s="111"/>
      <c r="N21" s="111"/>
      <c r="O21" s="111"/>
      <c r="P21" s="111"/>
      <c r="Q21" s="129"/>
      <c r="R21" s="129"/>
      <c r="S21" s="75"/>
      <c r="T21" s="112"/>
      <c r="U21" s="112"/>
      <c r="V21" s="75"/>
      <c r="W21" s="75"/>
      <c r="X21" s="75"/>
      <c r="Y21" s="7"/>
      <c r="Z21" s="7"/>
      <c r="AA21" s="7"/>
      <c r="AB21" s="7"/>
      <c r="AC21" s="7"/>
      <c r="AD21" s="7"/>
      <c r="AE21" s="7"/>
      <c r="AF21" s="7"/>
    </row>
    <row r="22" spans="1:32" ht="15.75" customHeight="1">
      <c r="A22" s="10"/>
      <c r="B22" s="7"/>
      <c r="C22" s="135"/>
      <c r="D22" s="44"/>
      <c r="E22" s="35"/>
      <c r="F22" s="110"/>
      <c r="G22" s="144"/>
      <c r="H22" s="145"/>
      <c r="I22" s="75"/>
      <c r="J22" s="75"/>
      <c r="K22" s="35"/>
      <c r="L22" s="36"/>
      <c r="M22" s="111"/>
      <c r="N22" s="111"/>
      <c r="O22" s="111"/>
      <c r="P22" s="111"/>
      <c r="Q22" s="129"/>
      <c r="R22" s="129"/>
      <c r="S22" s="75"/>
      <c r="T22" s="112"/>
      <c r="U22" s="112"/>
      <c r="V22" s="75"/>
      <c r="W22" s="75"/>
      <c r="X22" s="75"/>
      <c r="Y22" s="7"/>
      <c r="Z22" s="7"/>
      <c r="AA22" s="7"/>
      <c r="AB22" s="7"/>
      <c r="AC22" s="7"/>
      <c r="AD22" s="7"/>
      <c r="AE22" s="7"/>
      <c r="AF22" s="7"/>
    </row>
    <row r="23" spans="1:32" ht="15.75" customHeight="1">
      <c r="A23" s="10"/>
      <c r="B23" s="7"/>
      <c r="C23" s="135"/>
      <c r="D23" s="44"/>
      <c r="E23" s="35"/>
      <c r="F23" s="110"/>
      <c r="G23" s="144"/>
      <c r="H23" s="145"/>
      <c r="I23" s="75"/>
      <c r="J23" s="75"/>
      <c r="K23" s="35"/>
      <c r="L23" s="36"/>
      <c r="M23" s="111"/>
      <c r="N23" s="111"/>
      <c r="O23" s="111"/>
      <c r="P23" s="111"/>
      <c r="Q23" s="129"/>
      <c r="R23" s="129"/>
      <c r="S23" s="75"/>
      <c r="T23" s="112"/>
      <c r="U23" s="112"/>
      <c r="V23" s="75"/>
      <c r="W23" s="75"/>
      <c r="X23" s="75"/>
      <c r="Y23" s="7"/>
      <c r="Z23" s="7"/>
      <c r="AA23" s="7"/>
      <c r="AB23" s="7"/>
      <c r="AC23" s="7"/>
      <c r="AD23" s="7"/>
      <c r="AE23" s="7"/>
      <c r="AF23" s="7"/>
    </row>
    <row r="24" spans="1:32" ht="15.75" customHeight="1">
      <c r="A24" s="10"/>
      <c r="B24" s="7"/>
      <c r="C24" s="135"/>
      <c r="D24" s="44"/>
      <c r="E24" s="35"/>
      <c r="F24" s="110"/>
      <c r="G24" s="144"/>
      <c r="H24" s="145"/>
      <c r="I24" s="75"/>
      <c r="J24" s="75"/>
      <c r="K24" s="35"/>
      <c r="L24" s="36"/>
      <c r="M24" s="111"/>
      <c r="N24" s="111"/>
      <c r="O24" s="111"/>
      <c r="P24" s="111"/>
      <c r="Q24" s="129"/>
      <c r="R24" s="129"/>
      <c r="S24" s="75"/>
      <c r="T24" s="112"/>
      <c r="U24" s="112"/>
      <c r="V24" s="75"/>
      <c r="W24" s="75"/>
      <c r="X24" s="75"/>
      <c r="Y24" s="7"/>
      <c r="Z24" s="7"/>
      <c r="AA24" s="7"/>
      <c r="AB24" s="7"/>
      <c r="AC24" s="7"/>
      <c r="AD24" s="7"/>
      <c r="AE24" s="7"/>
      <c r="AF24" s="7"/>
    </row>
    <row r="25" spans="1:32" ht="15.75" customHeight="1">
      <c r="A25" s="10"/>
      <c r="B25" s="7"/>
      <c r="C25" s="135"/>
      <c r="D25" s="44"/>
      <c r="E25" s="35"/>
      <c r="F25" s="110"/>
      <c r="G25" s="144"/>
      <c r="H25" s="145"/>
      <c r="I25" s="75"/>
      <c r="J25" s="75"/>
      <c r="K25" s="35"/>
      <c r="L25" s="36"/>
      <c r="M25" s="111"/>
      <c r="N25" s="111"/>
      <c r="O25" s="111"/>
      <c r="P25" s="111"/>
      <c r="Q25" s="129"/>
      <c r="R25" s="129"/>
      <c r="S25" s="75"/>
      <c r="T25" s="112"/>
      <c r="U25" s="112"/>
      <c r="V25" s="75"/>
      <c r="W25" s="75"/>
      <c r="X25" s="75"/>
      <c r="Y25" s="7"/>
      <c r="Z25" s="7"/>
      <c r="AA25" s="7"/>
      <c r="AB25" s="7"/>
      <c r="AC25" s="7"/>
      <c r="AD25" s="7"/>
      <c r="AE25" s="7"/>
      <c r="AF25" s="7"/>
    </row>
    <row r="26" spans="1:32" ht="15.75" customHeight="1">
      <c r="A26" s="10"/>
      <c r="B26" s="7"/>
      <c r="C26" s="135"/>
      <c r="D26" s="44"/>
      <c r="E26" s="35"/>
      <c r="F26" s="110"/>
      <c r="G26" s="144"/>
      <c r="H26" s="145"/>
      <c r="I26" s="75"/>
      <c r="J26" s="75"/>
      <c r="K26" s="35"/>
      <c r="L26" s="36"/>
      <c r="M26" s="111"/>
      <c r="N26" s="111"/>
      <c r="O26" s="111"/>
      <c r="P26" s="111"/>
      <c r="Q26" s="129"/>
      <c r="R26" s="129"/>
      <c r="S26" s="75"/>
      <c r="T26" s="112"/>
      <c r="U26" s="112"/>
      <c r="V26" s="75"/>
      <c r="W26" s="75"/>
      <c r="X26" s="75"/>
      <c r="Y26" s="7"/>
      <c r="Z26" s="7"/>
      <c r="AA26" s="7"/>
      <c r="AB26" s="7"/>
      <c r="AC26" s="7"/>
      <c r="AD26" s="7"/>
      <c r="AE26" s="7"/>
      <c r="AF26" s="7"/>
    </row>
    <row r="27" spans="1:32" ht="15.75" customHeight="1">
      <c r="A27" s="10"/>
      <c r="B27" s="7"/>
      <c r="C27" s="135"/>
      <c r="D27" s="44"/>
      <c r="E27" s="35"/>
      <c r="F27" s="110"/>
      <c r="G27" s="144"/>
      <c r="H27" s="145"/>
      <c r="I27" s="75"/>
      <c r="J27" s="75"/>
      <c r="K27" s="35"/>
      <c r="L27" s="36"/>
      <c r="M27" s="111"/>
      <c r="N27" s="111"/>
      <c r="O27" s="111"/>
      <c r="P27" s="111"/>
      <c r="Q27" s="129"/>
      <c r="R27" s="129"/>
      <c r="S27" s="75"/>
      <c r="T27" s="112"/>
      <c r="U27" s="112"/>
      <c r="V27" s="75"/>
      <c r="W27" s="75"/>
      <c r="X27" s="75"/>
      <c r="Y27" s="7"/>
      <c r="Z27" s="7"/>
      <c r="AA27" s="7"/>
      <c r="AB27" s="7"/>
      <c r="AC27" s="7"/>
      <c r="AD27" s="7"/>
      <c r="AE27" s="7"/>
      <c r="AF27" s="7"/>
    </row>
    <row r="28" spans="1:32" ht="15.75" customHeight="1">
      <c r="A28" s="10"/>
      <c r="B28" s="7"/>
      <c r="C28" s="135"/>
      <c r="D28" s="44"/>
      <c r="E28" s="35"/>
      <c r="F28" s="110"/>
      <c r="G28" s="144"/>
      <c r="H28" s="145"/>
      <c r="I28" s="75"/>
      <c r="J28" s="75"/>
      <c r="K28" s="35"/>
      <c r="L28" s="36"/>
      <c r="M28" s="111"/>
      <c r="N28" s="111"/>
      <c r="O28" s="111"/>
      <c r="P28" s="111"/>
      <c r="Q28" s="129"/>
      <c r="R28" s="129"/>
      <c r="S28" s="75"/>
      <c r="T28" s="112"/>
      <c r="U28" s="112"/>
      <c r="V28" s="75"/>
      <c r="W28" s="75"/>
      <c r="X28" s="75"/>
      <c r="Y28" s="7"/>
      <c r="Z28" s="7"/>
      <c r="AA28" s="7"/>
      <c r="AB28" s="7"/>
      <c r="AC28" s="7"/>
      <c r="AD28" s="7"/>
      <c r="AE28" s="7"/>
      <c r="AF28" s="7"/>
    </row>
    <row r="29" spans="1:32" ht="15.75" customHeight="1">
      <c r="A29" s="10"/>
      <c r="B29" s="7"/>
      <c r="C29" s="135"/>
      <c r="D29" s="44"/>
      <c r="E29" s="35"/>
      <c r="F29" s="110"/>
      <c r="G29" s="144"/>
      <c r="H29" s="145"/>
      <c r="I29" s="75"/>
      <c r="J29" s="75"/>
      <c r="K29" s="35"/>
      <c r="L29" s="36"/>
      <c r="M29" s="111"/>
      <c r="N29" s="111"/>
      <c r="O29" s="111"/>
      <c r="P29" s="111"/>
      <c r="Q29" s="129"/>
      <c r="R29" s="129"/>
      <c r="S29" s="75"/>
      <c r="T29" s="112"/>
      <c r="U29" s="112"/>
      <c r="V29" s="75"/>
      <c r="W29" s="75"/>
      <c r="X29" s="75"/>
      <c r="Y29" s="7"/>
      <c r="Z29" s="7"/>
      <c r="AA29" s="7"/>
      <c r="AB29" s="7"/>
      <c r="AC29" s="7"/>
      <c r="AD29" s="7"/>
      <c r="AE29" s="7"/>
      <c r="AF29" s="7"/>
    </row>
    <row r="30" spans="1:32" ht="15.75" customHeight="1">
      <c r="A30" s="10"/>
      <c r="B30" s="7"/>
      <c r="C30" s="135"/>
      <c r="D30" s="44"/>
      <c r="E30" s="35"/>
      <c r="F30" s="110"/>
      <c r="G30" s="144"/>
      <c r="H30" s="145"/>
      <c r="I30" s="75"/>
      <c r="J30" s="75"/>
      <c r="K30" s="35"/>
      <c r="L30" s="36"/>
      <c r="M30" s="111"/>
      <c r="N30" s="111"/>
      <c r="O30" s="111"/>
      <c r="P30" s="111"/>
      <c r="Q30" s="129"/>
      <c r="R30" s="129"/>
      <c r="S30" s="75"/>
      <c r="T30" s="112"/>
      <c r="U30" s="112"/>
      <c r="V30" s="75"/>
      <c r="W30" s="75"/>
      <c r="X30" s="75"/>
      <c r="Y30" s="7"/>
      <c r="Z30" s="7"/>
      <c r="AA30" s="7"/>
      <c r="AB30" s="7"/>
      <c r="AC30" s="7"/>
      <c r="AD30" s="7"/>
      <c r="AE30" s="7"/>
      <c r="AF30" s="7"/>
    </row>
    <row r="31" spans="1:32" ht="15.75" customHeight="1">
      <c r="A31" s="10"/>
      <c r="B31" s="7"/>
      <c r="C31" s="135"/>
      <c r="D31" s="44"/>
      <c r="E31" s="35"/>
      <c r="F31" s="110"/>
      <c r="G31" s="144"/>
      <c r="H31" s="145"/>
      <c r="I31" s="7"/>
      <c r="J31" s="7"/>
      <c r="K31" s="35"/>
      <c r="L31" s="36"/>
      <c r="M31" s="111"/>
      <c r="N31" s="111"/>
      <c r="O31" s="111"/>
      <c r="P31" s="111"/>
      <c r="Q31" s="129"/>
      <c r="R31" s="129"/>
      <c r="S31" s="7"/>
      <c r="T31" s="112"/>
      <c r="U31" s="112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 customHeight="1">
      <c r="A32" s="10"/>
      <c r="B32" s="7"/>
      <c r="C32" s="135"/>
      <c r="D32" s="44"/>
      <c r="E32" s="35"/>
      <c r="F32" s="110"/>
      <c r="G32" s="144"/>
      <c r="H32" s="145"/>
      <c r="I32" s="7"/>
      <c r="J32" s="7"/>
      <c r="K32" s="35"/>
      <c r="L32" s="36"/>
      <c r="M32" s="111"/>
      <c r="N32" s="111"/>
      <c r="O32" s="111"/>
      <c r="P32" s="111"/>
      <c r="Q32" s="129"/>
      <c r="R32" s="129"/>
      <c r="S32" s="7"/>
      <c r="T32" s="112"/>
      <c r="U32" s="112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 customHeight="1">
      <c r="A33" s="10"/>
      <c r="B33" s="7"/>
      <c r="C33" s="135"/>
      <c r="D33" s="44"/>
      <c r="E33" s="35"/>
      <c r="F33" s="110"/>
      <c r="G33" s="144"/>
      <c r="H33" s="145"/>
      <c r="I33" s="7"/>
      <c r="J33" s="7"/>
      <c r="K33" s="35"/>
      <c r="L33" s="36"/>
      <c r="M33" s="111"/>
      <c r="N33" s="111"/>
      <c r="O33" s="111"/>
      <c r="P33" s="111"/>
      <c r="Q33" s="129"/>
      <c r="R33" s="129"/>
      <c r="S33" s="7"/>
      <c r="T33" s="113"/>
      <c r="U33" s="112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 customHeight="1">
      <c r="A34" s="10"/>
      <c r="B34" s="7"/>
      <c r="C34" s="135"/>
      <c r="D34" s="44"/>
      <c r="E34" s="35"/>
      <c r="F34" s="110"/>
      <c r="G34" s="144"/>
      <c r="H34" s="145"/>
      <c r="I34" s="7"/>
      <c r="J34" s="7"/>
      <c r="K34" s="35"/>
      <c r="L34" s="36"/>
      <c r="M34" s="111"/>
      <c r="N34" s="111"/>
      <c r="O34" s="111"/>
      <c r="P34" s="111"/>
      <c r="Q34" s="37"/>
      <c r="R34" s="37"/>
      <c r="S34" s="7"/>
      <c r="T34" s="113"/>
      <c r="U34" s="112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customHeight="1">
      <c r="A35" s="10"/>
      <c r="B35" s="7"/>
      <c r="C35" s="135"/>
      <c r="D35" s="44"/>
      <c r="E35" s="35"/>
      <c r="F35" s="110"/>
      <c r="G35" s="144"/>
      <c r="H35" s="145"/>
      <c r="I35" s="7"/>
      <c r="J35" s="7"/>
      <c r="K35" s="35"/>
      <c r="L35" s="36"/>
      <c r="M35" s="111"/>
      <c r="N35" s="111"/>
      <c r="O35" s="111"/>
      <c r="P35" s="111"/>
      <c r="Q35" s="37"/>
      <c r="R35" s="37"/>
      <c r="S35" s="7"/>
      <c r="T35" s="113"/>
      <c r="U35" s="112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 customHeight="1">
      <c r="A36" s="10"/>
      <c r="B36" s="7"/>
      <c r="C36" s="135"/>
      <c r="D36" s="44"/>
      <c r="E36" s="35"/>
      <c r="F36" s="110"/>
      <c r="G36" s="144"/>
      <c r="H36" s="145"/>
      <c r="I36" s="7"/>
      <c r="J36" s="7"/>
      <c r="K36" s="35"/>
      <c r="L36" s="36"/>
      <c r="M36" s="111"/>
      <c r="N36" s="111"/>
      <c r="O36" s="111"/>
      <c r="P36" s="111"/>
      <c r="Q36" s="129"/>
      <c r="R36" s="129"/>
      <c r="S36" s="7"/>
      <c r="T36" s="113"/>
      <c r="U36" s="112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 customHeight="1">
      <c r="A37" s="10"/>
      <c r="B37" s="7"/>
      <c r="C37" s="135"/>
      <c r="D37" s="44"/>
      <c r="E37" s="35"/>
      <c r="F37" s="110"/>
      <c r="G37" s="144"/>
      <c r="H37" s="145"/>
      <c r="I37" s="7"/>
      <c r="J37" s="7"/>
      <c r="K37" s="35"/>
      <c r="L37" s="36"/>
      <c r="M37" s="111"/>
      <c r="N37" s="111"/>
      <c r="O37" s="111"/>
      <c r="P37" s="111"/>
      <c r="Q37" s="37"/>
      <c r="R37" s="37"/>
      <c r="S37" s="7"/>
      <c r="T37" s="113"/>
      <c r="U37" s="113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 customHeight="1">
      <c r="A38" s="10"/>
      <c r="B38" s="7"/>
      <c r="C38" s="135"/>
      <c r="D38" s="44"/>
      <c r="E38" s="35"/>
      <c r="F38" s="110"/>
      <c r="G38" s="144"/>
      <c r="H38" s="145"/>
      <c r="I38" s="7"/>
      <c r="J38" s="7"/>
      <c r="K38" s="35"/>
      <c r="L38" s="36"/>
      <c r="M38" s="111"/>
      <c r="N38" s="111"/>
      <c r="O38" s="111"/>
      <c r="P38" s="111"/>
      <c r="Q38" s="37"/>
      <c r="R38" s="37"/>
      <c r="S38" s="7"/>
      <c r="T38" s="113"/>
      <c r="U38" s="113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customHeight="1">
      <c r="A39" s="10"/>
      <c r="B39" s="7"/>
      <c r="C39" s="135"/>
      <c r="D39" s="44"/>
      <c r="E39" s="35"/>
      <c r="F39" s="110"/>
      <c r="G39" s="144"/>
      <c r="H39" s="145"/>
      <c r="I39" s="7"/>
      <c r="J39" s="7"/>
      <c r="K39" s="35"/>
      <c r="L39" s="36"/>
      <c r="M39" s="111"/>
      <c r="N39" s="111"/>
      <c r="O39" s="111"/>
      <c r="P39" s="111"/>
      <c r="Q39" s="37"/>
      <c r="R39" s="37"/>
      <c r="S39" s="7"/>
      <c r="T39" s="113"/>
      <c r="U39" s="113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 customHeight="1">
      <c r="A40" s="10"/>
      <c r="B40" s="7"/>
      <c r="C40" s="135"/>
      <c r="D40" s="44"/>
      <c r="E40" s="35"/>
      <c r="F40" s="110"/>
      <c r="G40" s="144"/>
      <c r="H40" s="145"/>
      <c r="I40" s="7"/>
      <c r="J40" s="7"/>
      <c r="K40" s="35"/>
      <c r="L40" s="36"/>
      <c r="M40" s="111"/>
      <c r="N40" s="111"/>
      <c r="O40" s="111"/>
      <c r="P40" s="111"/>
      <c r="Q40" s="37"/>
      <c r="R40" s="37"/>
      <c r="S40" s="7"/>
      <c r="T40" s="113"/>
      <c r="U40" s="113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 customHeight="1">
      <c r="A41" s="10"/>
      <c r="B41" s="7"/>
      <c r="C41" s="135"/>
      <c r="D41" s="44"/>
      <c r="E41" s="35"/>
      <c r="F41" s="110"/>
      <c r="G41" s="144"/>
      <c r="H41" s="145"/>
      <c r="I41" s="7"/>
      <c r="J41" s="7"/>
      <c r="K41" s="35"/>
      <c r="L41" s="36"/>
      <c r="M41" s="111"/>
      <c r="N41" s="111"/>
      <c r="O41" s="111"/>
      <c r="P41" s="111"/>
      <c r="Q41" s="37"/>
      <c r="R41" s="37"/>
      <c r="S41" s="7"/>
      <c r="T41" s="113"/>
      <c r="U41" s="113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customHeight="1">
      <c r="A42" s="10"/>
      <c r="B42" s="7"/>
      <c r="C42" s="135"/>
      <c r="D42" s="44"/>
      <c r="E42" s="35"/>
      <c r="F42" s="110"/>
      <c r="G42" s="144"/>
      <c r="H42" s="145"/>
      <c r="I42" s="7"/>
      <c r="J42" s="7"/>
      <c r="K42" s="35"/>
      <c r="L42" s="36"/>
      <c r="M42" s="111"/>
      <c r="N42" s="111"/>
      <c r="O42" s="111"/>
      <c r="P42" s="111"/>
      <c r="Q42" s="37"/>
      <c r="R42" s="37"/>
      <c r="S42" s="7"/>
      <c r="T42" s="113"/>
      <c r="U42" s="113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 customHeight="1">
      <c r="A43" s="10"/>
      <c r="B43" s="7"/>
      <c r="C43" s="135"/>
      <c r="D43" s="44"/>
      <c r="E43" s="35"/>
      <c r="F43" s="110"/>
      <c r="G43" s="144"/>
      <c r="H43" s="145"/>
      <c r="I43" s="7"/>
      <c r="J43" s="7"/>
      <c r="K43" s="35"/>
      <c r="L43" s="36"/>
      <c r="M43" s="111"/>
      <c r="N43" s="111"/>
      <c r="O43" s="111"/>
      <c r="P43" s="111"/>
      <c r="Q43" s="37"/>
      <c r="R43" s="37"/>
      <c r="S43" s="7"/>
      <c r="T43" s="113"/>
      <c r="U43" s="113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 customHeight="1">
      <c r="A44" s="10"/>
      <c r="B44" s="7"/>
      <c r="C44" s="135"/>
      <c r="D44" s="44"/>
      <c r="E44" s="35"/>
      <c r="F44" s="110"/>
      <c r="G44" s="144"/>
      <c r="H44" s="145"/>
      <c r="I44" s="7"/>
      <c r="J44" s="7"/>
      <c r="K44" s="35"/>
      <c r="L44" s="36"/>
      <c r="M44" s="111"/>
      <c r="N44" s="111"/>
      <c r="O44" s="111"/>
      <c r="P44" s="111"/>
      <c r="Q44" s="37"/>
      <c r="R44" s="37"/>
      <c r="S44" s="7"/>
      <c r="T44" s="113"/>
      <c r="U44" s="113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 customHeight="1">
      <c r="A45" s="10"/>
      <c r="B45" s="7"/>
      <c r="C45" s="135"/>
      <c r="D45" s="44"/>
      <c r="E45" s="35"/>
      <c r="F45" s="110"/>
      <c r="G45" s="144"/>
      <c r="H45" s="145"/>
      <c r="I45" s="7"/>
      <c r="J45" s="7"/>
      <c r="K45" s="35"/>
      <c r="L45" s="36"/>
      <c r="M45" s="111"/>
      <c r="N45" s="111"/>
      <c r="O45" s="111"/>
      <c r="P45" s="111"/>
      <c r="Q45" s="37"/>
      <c r="R45" s="37"/>
      <c r="S45" s="7"/>
      <c r="T45" s="113"/>
      <c r="U45" s="113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customHeight="1">
      <c r="A46" s="10"/>
      <c r="B46" s="7"/>
      <c r="C46" s="135"/>
      <c r="D46" s="44"/>
      <c r="E46" s="35"/>
      <c r="F46" s="110"/>
      <c r="G46" s="144"/>
      <c r="H46" s="145"/>
      <c r="I46" s="7"/>
      <c r="J46" s="7"/>
      <c r="K46" s="35"/>
      <c r="L46" s="36"/>
      <c r="M46" s="111"/>
      <c r="N46" s="111"/>
      <c r="O46" s="111"/>
      <c r="P46" s="111"/>
      <c r="Q46" s="37"/>
      <c r="R46" s="37"/>
      <c r="S46" s="7"/>
      <c r="T46" s="113"/>
      <c r="U46" s="113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 customHeight="1">
      <c r="A47" s="10"/>
      <c r="B47" s="7"/>
      <c r="C47" s="135"/>
      <c r="D47" s="44"/>
      <c r="E47" s="35"/>
      <c r="F47" s="110"/>
      <c r="G47" s="144"/>
      <c r="H47" s="145"/>
      <c r="I47" s="7"/>
      <c r="J47" s="7"/>
      <c r="K47" s="35"/>
      <c r="L47" s="36"/>
      <c r="M47" s="111"/>
      <c r="N47" s="111"/>
      <c r="O47" s="111"/>
      <c r="P47" s="111"/>
      <c r="Q47" s="37"/>
      <c r="R47" s="37"/>
      <c r="S47" s="7"/>
      <c r="T47" s="113"/>
      <c r="U47" s="113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 customHeight="1">
      <c r="A48" s="10"/>
      <c r="B48" s="7"/>
      <c r="C48" s="135"/>
      <c r="D48" s="44"/>
      <c r="E48" s="35"/>
      <c r="F48" s="110"/>
      <c r="G48" s="144"/>
      <c r="H48" s="145"/>
      <c r="I48" s="7"/>
      <c r="J48" s="7"/>
      <c r="K48" s="35"/>
      <c r="L48" s="36"/>
      <c r="M48" s="111"/>
      <c r="N48" s="111"/>
      <c r="O48" s="111"/>
      <c r="P48" s="111"/>
      <c r="Q48" s="37"/>
      <c r="R48" s="37"/>
      <c r="S48" s="7"/>
      <c r="T48" s="113"/>
      <c r="U48" s="113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customHeight="1">
      <c r="A49" s="10"/>
      <c r="B49" s="7"/>
      <c r="C49" s="135"/>
      <c r="D49" s="44"/>
      <c r="E49" s="35"/>
      <c r="F49" s="110"/>
      <c r="G49" s="144"/>
      <c r="H49" s="145"/>
      <c r="I49" s="7"/>
      <c r="J49" s="7"/>
      <c r="K49" s="35"/>
      <c r="L49" s="36"/>
      <c r="M49" s="111"/>
      <c r="N49" s="111"/>
      <c r="O49" s="111"/>
      <c r="P49" s="111"/>
      <c r="Q49" s="37"/>
      <c r="R49" s="37"/>
      <c r="S49" s="7"/>
      <c r="T49" s="113"/>
      <c r="U49" s="113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 customHeight="1">
      <c r="A50" s="10"/>
      <c r="B50" s="7"/>
      <c r="C50" s="135"/>
      <c r="D50" s="44"/>
      <c r="E50" s="35"/>
      <c r="F50" s="110"/>
      <c r="G50" s="144"/>
      <c r="H50" s="145"/>
      <c r="I50" s="7"/>
      <c r="J50" s="7"/>
      <c r="K50" s="35"/>
      <c r="L50" s="36"/>
      <c r="M50" s="111"/>
      <c r="N50" s="111"/>
      <c r="O50" s="111"/>
      <c r="P50" s="111"/>
      <c r="Q50" s="37"/>
      <c r="R50" s="37"/>
      <c r="S50" s="7"/>
      <c r="T50" s="113"/>
      <c r="U50" s="113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 customHeight="1">
      <c r="A51" s="10"/>
      <c r="B51" s="7"/>
      <c r="C51" s="135"/>
      <c r="D51" s="44"/>
      <c r="E51" s="35"/>
      <c r="F51" s="110"/>
      <c r="G51" s="144"/>
      <c r="H51" s="145"/>
      <c r="I51" s="7"/>
      <c r="J51" s="7"/>
      <c r="K51" s="35"/>
      <c r="L51" s="36"/>
      <c r="M51" s="111"/>
      <c r="N51" s="111"/>
      <c r="O51" s="111"/>
      <c r="P51" s="111"/>
      <c r="Q51" s="37"/>
      <c r="R51" s="37"/>
      <c r="S51" s="7"/>
      <c r="T51" s="113"/>
      <c r="U51" s="113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 customHeight="1">
      <c r="A52" s="10"/>
      <c r="B52" s="7"/>
      <c r="C52" s="135"/>
      <c r="D52" s="44"/>
      <c r="E52" s="35"/>
      <c r="F52" s="110"/>
      <c r="G52" s="144"/>
      <c r="H52" s="145"/>
      <c r="I52" s="7"/>
      <c r="J52" s="7"/>
      <c r="K52" s="35"/>
      <c r="L52" s="36"/>
      <c r="M52" s="111"/>
      <c r="N52" s="111"/>
      <c r="O52" s="111"/>
      <c r="P52" s="111"/>
      <c r="Q52" s="37"/>
      <c r="R52" s="37"/>
      <c r="S52" s="7"/>
      <c r="T52" s="113"/>
      <c r="U52" s="113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 customHeight="1">
      <c r="A53" s="10"/>
      <c r="B53" s="7"/>
      <c r="C53" s="135"/>
      <c r="D53" s="44"/>
      <c r="E53" s="35"/>
      <c r="F53" s="110"/>
      <c r="G53" s="144"/>
      <c r="H53" s="145"/>
      <c r="I53" s="7"/>
      <c r="J53" s="7"/>
      <c r="K53" s="35"/>
      <c r="L53" s="36"/>
      <c r="M53" s="111"/>
      <c r="N53" s="111"/>
      <c r="O53" s="111"/>
      <c r="P53" s="111"/>
      <c r="Q53" s="37"/>
      <c r="R53" s="37"/>
      <c r="S53" s="7"/>
      <c r="T53" s="113"/>
      <c r="U53" s="113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 customHeight="1">
      <c r="A54" s="10"/>
      <c r="B54" s="7"/>
      <c r="C54" s="135"/>
      <c r="D54" s="44"/>
      <c r="E54" s="35"/>
      <c r="F54" s="110"/>
      <c r="G54" s="144"/>
      <c r="H54" s="145"/>
      <c r="I54" s="7"/>
      <c r="J54" s="7"/>
      <c r="K54" s="35"/>
      <c r="L54" s="44"/>
      <c r="M54" s="111"/>
      <c r="N54" s="111"/>
      <c r="O54" s="111"/>
      <c r="P54" s="111"/>
      <c r="Q54" s="37"/>
      <c r="R54" s="37"/>
      <c r="S54" s="7"/>
      <c r="T54" s="113"/>
      <c r="U54" s="113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 customHeight="1">
      <c r="A55" s="10"/>
      <c r="B55" s="7"/>
      <c r="C55" s="135"/>
      <c r="D55" s="44"/>
      <c r="E55" s="35"/>
      <c r="F55" s="110"/>
      <c r="G55" s="144"/>
      <c r="H55" s="145"/>
      <c r="I55" s="7"/>
      <c r="J55" s="7"/>
      <c r="K55" s="35"/>
      <c r="L55" s="44"/>
      <c r="M55" s="111"/>
      <c r="N55" s="111"/>
      <c r="O55" s="111"/>
      <c r="P55" s="111"/>
      <c r="Q55" s="37"/>
      <c r="R55" s="37"/>
      <c r="S55" s="7"/>
      <c r="T55" s="113"/>
      <c r="U55" s="113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 customHeight="1">
      <c r="A56" s="10"/>
      <c r="B56" s="7"/>
      <c r="C56" s="135"/>
      <c r="D56" s="44"/>
      <c r="E56" s="35"/>
      <c r="F56" s="110"/>
      <c r="G56" s="144"/>
      <c r="H56" s="145"/>
      <c r="I56" s="7"/>
      <c r="J56" s="7"/>
      <c r="K56" s="35"/>
      <c r="L56" s="36"/>
      <c r="M56" s="111"/>
      <c r="N56" s="111"/>
      <c r="O56" s="111"/>
      <c r="P56" s="11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 customHeight="1">
      <c r="A57" s="10"/>
      <c r="B57" s="7"/>
      <c r="C57" s="135"/>
      <c r="D57" s="44"/>
      <c r="E57" s="35"/>
      <c r="F57" s="110"/>
      <c r="G57" s="144"/>
      <c r="H57" s="145"/>
      <c r="I57" s="7"/>
      <c r="J57" s="7"/>
      <c r="K57" s="35"/>
      <c r="L57" s="44"/>
      <c r="M57" s="111"/>
      <c r="N57" s="111"/>
      <c r="O57" s="111"/>
      <c r="P57" s="11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 customHeight="1">
      <c r="A58" s="10"/>
      <c r="B58" s="7"/>
      <c r="C58" s="135"/>
      <c r="D58" s="44"/>
      <c r="E58" s="35"/>
      <c r="F58" s="110"/>
      <c r="G58" s="144"/>
      <c r="H58" s="145"/>
      <c r="I58" s="7"/>
      <c r="J58" s="7"/>
      <c r="K58" s="35"/>
      <c r="L58" s="36"/>
      <c r="M58" s="111"/>
      <c r="N58" s="111"/>
      <c r="O58" s="111"/>
      <c r="P58" s="11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 customHeight="1">
      <c r="A59" s="10"/>
      <c r="B59" s="7"/>
      <c r="C59" s="135"/>
      <c r="D59" s="44"/>
      <c r="E59" s="35"/>
      <c r="F59" s="110"/>
      <c r="G59" s="144"/>
      <c r="H59" s="145"/>
      <c r="I59" s="7"/>
      <c r="J59" s="7"/>
      <c r="K59" s="35"/>
      <c r="L59" s="36"/>
      <c r="M59" s="111"/>
      <c r="N59" s="111"/>
      <c r="O59" s="111"/>
      <c r="P59" s="11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 customHeight="1">
      <c r="A60" s="10"/>
      <c r="B60" s="7"/>
      <c r="C60" s="135"/>
      <c r="D60" s="44"/>
      <c r="E60" s="35"/>
      <c r="F60" s="110"/>
      <c r="G60" s="144"/>
      <c r="H60" s="145"/>
      <c r="I60" s="7"/>
      <c r="J60" s="7"/>
      <c r="K60" s="35"/>
      <c r="L60" s="36"/>
      <c r="M60" s="111"/>
      <c r="N60" s="111"/>
      <c r="O60" s="111"/>
      <c r="P60" s="11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 customHeight="1">
      <c r="A61" s="10"/>
      <c r="B61" s="7"/>
      <c r="C61" s="135"/>
      <c r="D61" s="44"/>
      <c r="E61" s="35"/>
      <c r="F61" s="110"/>
      <c r="G61" s="144"/>
      <c r="H61" s="145"/>
      <c r="I61" s="7"/>
      <c r="J61" s="7"/>
      <c r="K61" s="35"/>
      <c r="L61" s="36"/>
      <c r="M61" s="111"/>
      <c r="N61" s="111"/>
      <c r="O61" s="111"/>
      <c r="P61" s="11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 customHeight="1">
      <c r="A62" s="10"/>
      <c r="B62" s="7"/>
      <c r="C62" s="135"/>
      <c r="D62" s="44"/>
      <c r="E62" s="35"/>
      <c r="F62" s="110"/>
      <c r="G62" s="144"/>
      <c r="H62" s="145"/>
      <c r="I62" s="7"/>
      <c r="J62" s="7"/>
      <c r="K62" s="35"/>
      <c r="L62" s="36"/>
      <c r="M62" s="111"/>
      <c r="N62" s="111"/>
      <c r="O62" s="111"/>
      <c r="P62" s="11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 customHeight="1">
      <c r="A63" s="10"/>
      <c r="B63" s="7"/>
      <c r="C63" s="135"/>
      <c r="D63" s="44"/>
      <c r="E63" s="35"/>
      <c r="F63" s="110"/>
      <c r="G63" s="144"/>
      <c r="H63" s="145"/>
      <c r="I63" s="7"/>
      <c r="J63" s="7"/>
      <c r="K63" s="35"/>
      <c r="L63" s="36"/>
      <c r="M63" s="111"/>
      <c r="N63" s="111"/>
      <c r="O63" s="111"/>
      <c r="P63" s="11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 customHeight="1">
      <c r="A64" s="10"/>
      <c r="B64" s="7"/>
      <c r="C64" s="135"/>
      <c r="D64" s="44"/>
      <c r="E64" s="35"/>
      <c r="F64" s="110"/>
      <c r="G64" s="144"/>
      <c r="H64" s="145"/>
      <c r="I64" s="7"/>
      <c r="J64" s="7"/>
      <c r="K64" s="35"/>
      <c r="L64" s="44"/>
      <c r="M64" s="111"/>
      <c r="N64" s="111"/>
      <c r="O64" s="111"/>
      <c r="P64" s="11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 customHeight="1">
      <c r="A65" s="10"/>
      <c r="B65" s="7"/>
      <c r="C65" s="135"/>
      <c r="D65" s="44"/>
      <c r="E65" s="35"/>
      <c r="F65" s="110"/>
      <c r="G65" s="144"/>
      <c r="H65" s="145"/>
      <c r="I65" s="7"/>
      <c r="J65" s="7"/>
      <c r="K65" s="35"/>
      <c r="L65" s="44"/>
      <c r="M65" s="111"/>
      <c r="N65" s="111"/>
      <c r="O65" s="111"/>
      <c r="P65" s="11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 customHeight="1">
      <c r="A66" s="10"/>
      <c r="B66" s="7"/>
      <c r="C66" s="135"/>
      <c r="D66" s="44"/>
      <c r="E66" s="35"/>
      <c r="F66" s="110"/>
      <c r="G66" s="144"/>
      <c r="H66" s="145"/>
      <c r="I66" s="7"/>
      <c r="J66" s="7"/>
      <c r="K66" s="35"/>
      <c r="L66" s="36"/>
      <c r="M66" s="111"/>
      <c r="N66" s="111"/>
      <c r="O66" s="111"/>
      <c r="P66" s="11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 customHeight="1">
      <c r="A67" s="10"/>
      <c r="B67" s="7"/>
      <c r="C67" s="135"/>
      <c r="D67" s="44"/>
      <c r="E67" s="35"/>
      <c r="F67" s="110"/>
      <c r="G67" s="144"/>
      <c r="H67" s="145"/>
      <c r="I67" s="7"/>
      <c r="J67" s="7"/>
      <c r="K67" s="35"/>
      <c r="L67" s="36"/>
      <c r="M67" s="111"/>
      <c r="N67" s="111"/>
      <c r="O67" s="111"/>
      <c r="P67" s="11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 customHeight="1">
      <c r="A68" s="10"/>
      <c r="B68" s="7"/>
      <c r="C68" s="135"/>
      <c r="D68" s="44"/>
      <c r="E68" s="35"/>
      <c r="F68" s="110"/>
      <c r="G68" s="144"/>
      <c r="H68" s="145"/>
      <c r="I68" s="7"/>
      <c r="J68" s="7"/>
      <c r="K68" s="35"/>
      <c r="L68" s="36"/>
      <c r="M68" s="111"/>
      <c r="N68" s="111"/>
      <c r="O68" s="111"/>
      <c r="P68" s="11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 customHeight="1">
      <c r="A69" s="10"/>
      <c r="B69" s="7"/>
      <c r="C69" s="135"/>
      <c r="D69" s="44"/>
      <c r="E69" s="35"/>
      <c r="F69" s="110"/>
      <c r="G69" s="144"/>
      <c r="H69" s="145"/>
      <c r="I69" s="7"/>
      <c r="J69" s="7"/>
      <c r="K69" s="35"/>
      <c r="L69" s="36"/>
      <c r="M69" s="111"/>
      <c r="N69" s="111"/>
      <c r="O69" s="111"/>
      <c r="P69" s="11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 customHeight="1">
      <c r="A70" s="10"/>
      <c r="B70" s="7"/>
      <c r="C70" s="135"/>
      <c r="D70" s="44"/>
      <c r="E70" s="35"/>
      <c r="F70" s="110"/>
      <c r="G70" s="144"/>
      <c r="H70" s="145"/>
      <c r="I70" s="7"/>
      <c r="J70" s="7"/>
      <c r="K70" s="35"/>
      <c r="L70" s="36"/>
      <c r="M70" s="111"/>
      <c r="N70" s="111"/>
      <c r="O70" s="111"/>
      <c r="P70" s="11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 customHeight="1">
      <c r="A71" s="10"/>
      <c r="B71" s="7"/>
      <c r="C71" s="135"/>
      <c r="D71" s="44"/>
      <c r="E71" s="35"/>
      <c r="F71" s="110"/>
      <c r="G71" s="144"/>
      <c r="H71" s="145"/>
      <c r="I71" s="7"/>
      <c r="J71" s="7"/>
      <c r="K71" s="35"/>
      <c r="L71" s="36"/>
      <c r="M71" s="111"/>
      <c r="N71" s="111"/>
      <c r="O71" s="111"/>
      <c r="P71" s="11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 customHeight="1">
      <c r="A72" s="10"/>
      <c r="B72" s="7"/>
      <c r="C72" s="135"/>
      <c r="D72" s="44"/>
      <c r="E72" s="35"/>
      <c r="F72" s="110"/>
      <c r="G72" s="144"/>
      <c r="H72" s="145"/>
      <c r="I72" s="7"/>
      <c r="J72" s="7"/>
      <c r="K72" s="35"/>
      <c r="L72" s="36"/>
      <c r="M72" s="111"/>
      <c r="N72" s="111"/>
      <c r="O72" s="111"/>
      <c r="P72" s="11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 customHeight="1">
      <c r="A73" s="10"/>
      <c r="B73" s="7"/>
      <c r="C73" s="135"/>
      <c r="D73" s="44"/>
      <c r="E73" s="35"/>
      <c r="F73" s="110"/>
      <c r="G73" s="144"/>
      <c r="H73" s="145"/>
      <c r="I73" s="7"/>
      <c r="J73" s="7"/>
      <c r="K73" s="7"/>
      <c r="L73" s="7"/>
      <c r="M73" s="119"/>
      <c r="N73" s="119"/>
      <c r="O73" s="119"/>
      <c r="P73" s="11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 customHeight="1">
      <c r="A74" s="10"/>
      <c r="B74" s="7"/>
      <c r="C74" s="135"/>
      <c r="D74" s="44"/>
      <c r="E74" s="35"/>
      <c r="F74" s="110"/>
      <c r="G74" s="144"/>
      <c r="H74" s="145"/>
      <c r="I74" s="7"/>
      <c r="J74" s="7"/>
      <c r="K74" s="7"/>
      <c r="L74" s="7"/>
      <c r="M74" s="119"/>
      <c r="N74" s="119"/>
      <c r="O74" s="119"/>
      <c r="P74" s="11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 customHeight="1">
      <c r="A75" s="10"/>
      <c r="B75" s="7"/>
      <c r="C75" s="135"/>
      <c r="D75" s="44"/>
      <c r="E75" s="35"/>
      <c r="F75" s="110"/>
      <c r="G75" s="144"/>
      <c r="H75" s="145"/>
      <c r="I75" s="7"/>
      <c r="J75" s="7"/>
      <c r="K75" s="7"/>
      <c r="L75" s="7"/>
      <c r="M75" s="119"/>
      <c r="N75" s="119"/>
      <c r="O75" s="119"/>
      <c r="P75" s="11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 customHeight="1">
      <c r="A76" s="10"/>
      <c r="B76" s="7"/>
      <c r="C76" s="135"/>
      <c r="D76" s="44"/>
      <c r="E76" s="35"/>
      <c r="F76" s="110"/>
      <c r="G76" s="144"/>
      <c r="H76" s="145"/>
      <c r="I76" s="7"/>
      <c r="J76" s="7"/>
      <c r="K76" s="7"/>
      <c r="L76" s="7"/>
      <c r="M76" s="119"/>
      <c r="N76" s="119"/>
      <c r="O76" s="119"/>
      <c r="P76" s="11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 customHeight="1">
      <c r="A77" s="10"/>
      <c r="B77" s="7"/>
      <c r="C77" s="135"/>
      <c r="D77" s="44"/>
      <c r="E77" s="35"/>
      <c r="F77" s="110"/>
      <c r="G77" s="144"/>
      <c r="H77" s="145"/>
      <c r="I77" s="7"/>
      <c r="J77" s="7"/>
      <c r="K77" s="7"/>
      <c r="L77" s="7"/>
      <c r="M77" s="119"/>
      <c r="N77" s="119"/>
      <c r="O77" s="119"/>
      <c r="P77" s="11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 customHeight="1">
      <c r="A78" s="10"/>
      <c r="B78" s="7"/>
      <c r="C78" s="135"/>
      <c r="D78" s="44"/>
      <c r="E78" s="35"/>
      <c r="F78" s="110"/>
      <c r="G78" s="144"/>
      <c r="H78" s="145"/>
      <c r="I78" s="7"/>
      <c r="J78" s="7"/>
      <c r="K78" s="7"/>
      <c r="L78" s="7"/>
      <c r="M78" s="119"/>
      <c r="N78" s="119"/>
      <c r="O78" s="119"/>
      <c r="P78" s="11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 customHeight="1">
      <c r="A79" s="10"/>
      <c r="B79" s="7"/>
      <c r="C79" s="135"/>
      <c r="D79" s="44"/>
      <c r="E79" s="35"/>
      <c r="F79" s="110"/>
      <c r="G79" s="144"/>
      <c r="H79" s="145"/>
      <c r="I79" s="7"/>
      <c r="J79" s="7"/>
      <c r="K79" s="7"/>
      <c r="L79" s="7"/>
      <c r="M79" s="119"/>
      <c r="N79" s="119"/>
      <c r="O79" s="119"/>
      <c r="P79" s="11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 customHeight="1">
      <c r="A80" s="10"/>
      <c r="B80" s="7"/>
      <c r="C80" s="135"/>
      <c r="D80" s="44"/>
      <c r="E80" s="35"/>
      <c r="F80" s="110"/>
      <c r="G80" s="144"/>
      <c r="H80" s="145"/>
      <c r="I80" s="7"/>
      <c r="J80" s="7"/>
      <c r="K80" s="7"/>
      <c r="L80" s="7"/>
      <c r="M80" s="119"/>
      <c r="N80" s="119"/>
      <c r="O80" s="119"/>
      <c r="P80" s="11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 customHeight="1">
      <c r="A81" s="10"/>
      <c r="B81" s="7"/>
      <c r="C81" s="135"/>
      <c r="D81" s="44"/>
      <c r="E81" s="35"/>
      <c r="F81" s="110"/>
      <c r="G81" s="144"/>
      <c r="H81" s="145"/>
      <c r="I81" s="7"/>
      <c r="J81" s="7"/>
      <c r="K81" s="7"/>
      <c r="L81" s="7"/>
      <c r="M81" s="119"/>
      <c r="N81" s="119"/>
      <c r="O81" s="119"/>
      <c r="P81" s="11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 customHeight="1">
      <c r="A82" s="10"/>
      <c r="B82" s="7"/>
      <c r="C82" s="135"/>
      <c r="D82" s="44"/>
      <c r="E82" s="35"/>
      <c r="F82" s="110"/>
      <c r="G82" s="144"/>
      <c r="H82" s="145"/>
      <c r="I82" s="7"/>
      <c r="J82" s="7"/>
      <c r="K82" s="7"/>
      <c r="L82" s="7"/>
      <c r="M82" s="119"/>
      <c r="N82" s="119"/>
      <c r="O82" s="119"/>
      <c r="P82" s="11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 customHeight="1">
      <c r="A83" s="10"/>
      <c r="B83" s="7"/>
      <c r="C83" s="135"/>
      <c r="D83" s="44"/>
      <c r="E83" s="35"/>
      <c r="F83" s="110"/>
      <c r="G83" s="144"/>
      <c r="H83" s="145"/>
      <c r="I83" s="7"/>
      <c r="J83" s="7"/>
      <c r="K83" s="7"/>
      <c r="L83" s="7"/>
      <c r="M83" s="119"/>
      <c r="N83" s="119"/>
      <c r="O83" s="119"/>
      <c r="P83" s="11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 customHeight="1">
      <c r="A84" s="10"/>
      <c r="B84" s="7"/>
      <c r="C84" s="135"/>
      <c r="D84" s="44"/>
      <c r="E84" s="35"/>
      <c r="F84" s="110"/>
      <c r="G84" s="144"/>
      <c r="H84" s="145"/>
      <c r="I84" s="7"/>
      <c r="J84" s="7"/>
      <c r="K84" s="7"/>
      <c r="L84" s="7"/>
      <c r="M84" s="119"/>
      <c r="N84" s="119"/>
      <c r="O84" s="119"/>
      <c r="P84" s="11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 customHeight="1">
      <c r="A85" s="10"/>
      <c r="B85" s="7"/>
      <c r="C85" s="135"/>
      <c r="D85" s="44"/>
      <c r="E85" s="35"/>
      <c r="F85" s="110"/>
      <c r="G85" s="144"/>
      <c r="H85" s="145"/>
      <c r="I85" s="7"/>
      <c r="J85" s="7"/>
      <c r="K85" s="7"/>
      <c r="L85" s="7"/>
      <c r="M85" s="119"/>
      <c r="N85" s="119"/>
      <c r="O85" s="119"/>
      <c r="P85" s="11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 customHeight="1">
      <c r="A86" s="10"/>
      <c r="B86" s="7"/>
      <c r="C86" s="135"/>
      <c r="D86" s="44"/>
      <c r="E86" s="35"/>
      <c r="F86" s="110"/>
      <c r="G86" s="144"/>
      <c r="H86" s="145"/>
      <c r="I86" s="7"/>
      <c r="J86" s="7"/>
      <c r="K86" s="7"/>
      <c r="L86" s="7"/>
      <c r="M86" s="119"/>
      <c r="N86" s="119"/>
      <c r="O86" s="119"/>
      <c r="P86" s="11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 customHeight="1">
      <c r="A87" s="10"/>
      <c r="B87" s="7"/>
      <c r="C87" s="135"/>
      <c r="D87" s="44"/>
      <c r="E87" s="35"/>
      <c r="F87" s="110"/>
      <c r="G87" s="144"/>
      <c r="H87" s="145"/>
      <c r="I87" s="7"/>
      <c r="J87" s="7"/>
      <c r="K87" s="7"/>
      <c r="L87" s="7"/>
      <c r="M87" s="119"/>
      <c r="N87" s="119"/>
      <c r="O87" s="119"/>
      <c r="P87" s="11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 customHeight="1">
      <c r="A88" s="10"/>
      <c r="B88" s="7"/>
      <c r="C88" s="135"/>
      <c r="D88" s="44"/>
      <c r="E88" s="35"/>
      <c r="F88" s="110"/>
      <c r="G88" s="144"/>
      <c r="H88" s="145"/>
      <c r="I88" s="7"/>
      <c r="J88" s="7"/>
      <c r="K88" s="7"/>
      <c r="L88" s="7"/>
      <c r="M88" s="119"/>
      <c r="N88" s="119"/>
      <c r="O88" s="119"/>
      <c r="P88" s="11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 customHeight="1">
      <c r="A89" s="10"/>
      <c r="B89" s="7"/>
      <c r="C89" s="135"/>
      <c r="D89" s="44"/>
      <c r="E89" s="35"/>
      <c r="F89" s="110"/>
      <c r="G89" s="144"/>
      <c r="H89" s="145"/>
      <c r="I89" s="7"/>
      <c r="J89" s="7"/>
      <c r="K89" s="7"/>
      <c r="L89" s="7"/>
      <c r="M89" s="119"/>
      <c r="N89" s="119"/>
      <c r="O89" s="119"/>
      <c r="P89" s="11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 customHeight="1">
      <c r="A90" s="10"/>
      <c r="B90" s="7"/>
      <c r="C90" s="135"/>
      <c r="D90" s="44"/>
      <c r="E90" s="35"/>
      <c r="F90" s="110"/>
      <c r="G90" s="144"/>
      <c r="H90" s="145"/>
      <c r="I90" s="7"/>
      <c r="J90" s="7"/>
      <c r="K90" s="7"/>
      <c r="L90" s="7"/>
      <c r="M90" s="119"/>
      <c r="N90" s="119"/>
      <c r="O90" s="119"/>
      <c r="P90" s="11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 customHeight="1">
      <c r="A91" s="10"/>
      <c r="B91" s="7"/>
      <c r="C91" s="135"/>
      <c r="D91" s="44"/>
      <c r="E91" s="35"/>
      <c r="F91" s="110"/>
      <c r="G91" s="144"/>
      <c r="H91" s="145"/>
      <c r="I91" s="7"/>
      <c r="J91" s="7"/>
      <c r="K91" s="7"/>
      <c r="L91" s="7"/>
      <c r="M91" s="119"/>
      <c r="N91" s="119"/>
      <c r="O91" s="119"/>
      <c r="P91" s="11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 customHeight="1">
      <c r="A92" s="10"/>
      <c r="B92" s="7"/>
      <c r="C92" s="135"/>
      <c r="D92" s="44"/>
      <c r="E92" s="35"/>
      <c r="F92" s="110"/>
      <c r="G92" s="144"/>
      <c r="H92" s="145"/>
      <c r="I92" s="7"/>
      <c r="J92" s="7"/>
      <c r="K92" s="7"/>
      <c r="L92" s="7"/>
      <c r="M92" s="119"/>
      <c r="N92" s="119"/>
      <c r="O92" s="119"/>
      <c r="P92" s="11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 customHeight="1">
      <c r="A93" s="10"/>
      <c r="B93" s="7"/>
      <c r="C93" s="135"/>
      <c r="D93" s="44"/>
      <c r="E93" s="35"/>
      <c r="F93" s="110"/>
      <c r="G93" s="144"/>
      <c r="H93" s="145"/>
      <c r="I93" s="7"/>
      <c r="J93" s="7"/>
      <c r="K93" s="7"/>
      <c r="L93" s="7"/>
      <c r="M93" s="119"/>
      <c r="N93" s="119"/>
      <c r="O93" s="119"/>
      <c r="P93" s="11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 customHeight="1">
      <c r="A94" s="10"/>
      <c r="B94" s="7"/>
      <c r="C94" s="135"/>
      <c r="D94" s="44"/>
      <c r="E94" s="35"/>
      <c r="F94" s="110"/>
      <c r="G94" s="144"/>
      <c r="H94" s="145"/>
      <c r="I94" s="7"/>
      <c r="J94" s="7"/>
      <c r="K94" s="7"/>
      <c r="L94" s="7"/>
      <c r="M94" s="119"/>
      <c r="N94" s="119"/>
      <c r="O94" s="119"/>
      <c r="P94" s="11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 customHeight="1">
      <c r="A95" s="10"/>
      <c r="B95" s="7"/>
      <c r="C95" s="135"/>
      <c r="D95" s="44"/>
      <c r="E95" s="35"/>
      <c r="F95" s="110"/>
      <c r="G95" s="144"/>
      <c r="H95" s="145"/>
      <c r="I95" s="7"/>
      <c r="J95" s="7"/>
      <c r="K95" s="7"/>
      <c r="L95" s="7"/>
      <c r="M95" s="119"/>
      <c r="N95" s="119"/>
      <c r="O95" s="119"/>
      <c r="P95" s="11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 customHeight="1">
      <c r="A96" s="10"/>
      <c r="B96" s="7"/>
      <c r="C96" s="135"/>
      <c r="D96" s="44"/>
      <c r="E96" s="35"/>
      <c r="F96" s="110"/>
      <c r="G96" s="144"/>
      <c r="H96" s="145"/>
      <c r="I96" s="7"/>
      <c r="J96" s="7"/>
      <c r="K96" s="7"/>
      <c r="L96" s="7"/>
      <c r="M96" s="119"/>
      <c r="N96" s="119"/>
      <c r="O96" s="119"/>
      <c r="P96" s="11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 customHeight="1">
      <c r="A97" s="10"/>
      <c r="B97" s="7"/>
      <c r="C97" s="135"/>
      <c r="D97" s="44"/>
      <c r="E97" s="35"/>
      <c r="F97" s="110"/>
      <c r="G97" s="144"/>
      <c r="H97" s="145"/>
      <c r="I97" s="7"/>
      <c r="J97" s="7"/>
      <c r="K97" s="7"/>
      <c r="L97" s="7"/>
      <c r="M97" s="119"/>
      <c r="N97" s="119"/>
      <c r="O97" s="119"/>
      <c r="P97" s="11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 customHeight="1">
      <c r="A98" s="10"/>
      <c r="B98" s="7"/>
      <c r="C98" s="135"/>
      <c r="D98" s="44"/>
      <c r="E98" s="35"/>
      <c r="F98" s="110"/>
      <c r="G98" s="144"/>
      <c r="H98" s="145"/>
      <c r="I98" s="7"/>
      <c r="J98" s="7"/>
      <c r="K98" s="7"/>
      <c r="L98" s="7"/>
      <c r="M98" s="119"/>
      <c r="N98" s="119"/>
      <c r="O98" s="119"/>
      <c r="P98" s="11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 customHeight="1">
      <c r="A99" s="10"/>
      <c r="B99" s="7"/>
      <c r="C99" s="135"/>
      <c r="D99" s="44"/>
      <c r="E99" s="35"/>
      <c r="F99" s="110"/>
      <c r="G99" s="144"/>
      <c r="H99" s="145"/>
      <c r="I99" s="7"/>
      <c r="J99" s="7"/>
      <c r="K99" s="7"/>
      <c r="L99" s="7"/>
      <c r="M99" s="119"/>
      <c r="N99" s="119"/>
      <c r="O99" s="119"/>
      <c r="P99" s="11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 customHeight="1">
      <c r="A100" s="10"/>
      <c r="B100" s="7"/>
      <c r="C100" s="135"/>
      <c r="D100" s="44"/>
      <c r="E100" s="35"/>
      <c r="F100" s="110"/>
      <c r="G100" s="144"/>
      <c r="H100" s="145"/>
      <c r="I100" s="7"/>
      <c r="J100" s="7"/>
      <c r="K100" s="7"/>
      <c r="L100" s="7"/>
      <c r="M100" s="119"/>
      <c r="N100" s="119"/>
      <c r="O100" s="119"/>
      <c r="P100" s="11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 customHeight="1">
      <c r="A101" s="10"/>
      <c r="B101" s="7"/>
      <c r="C101" s="135"/>
      <c r="D101" s="44"/>
      <c r="E101" s="35"/>
      <c r="F101" s="110"/>
      <c r="G101" s="144"/>
      <c r="H101" s="145"/>
      <c r="I101" s="7"/>
      <c r="J101" s="7"/>
      <c r="K101" s="7"/>
      <c r="L101" s="7"/>
      <c r="M101" s="119"/>
      <c r="N101" s="119"/>
      <c r="O101" s="119"/>
      <c r="P101" s="11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 customHeight="1">
      <c r="A102" s="10"/>
      <c r="B102" s="7"/>
      <c r="C102" s="135"/>
      <c r="D102" s="44"/>
      <c r="E102" s="35"/>
      <c r="F102" s="110"/>
      <c r="G102" s="144"/>
      <c r="H102" s="145"/>
      <c r="I102" s="7"/>
      <c r="J102" s="7"/>
      <c r="K102" s="7"/>
      <c r="L102" s="7"/>
      <c r="M102" s="119"/>
      <c r="N102" s="119"/>
      <c r="O102" s="119"/>
      <c r="P102" s="11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 customHeight="1">
      <c r="A103" s="10"/>
      <c r="B103" s="7"/>
      <c r="C103" s="135"/>
      <c r="D103" s="44"/>
      <c r="E103" s="35"/>
      <c r="F103" s="110"/>
      <c r="G103" s="144"/>
      <c r="H103" s="145"/>
      <c r="I103" s="7"/>
      <c r="J103" s="7"/>
      <c r="K103" s="7"/>
      <c r="L103" s="7"/>
      <c r="M103" s="119"/>
      <c r="N103" s="119"/>
      <c r="O103" s="119"/>
      <c r="P103" s="11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 customHeight="1">
      <c r="A104" s="10"/>
      <c r="B104" s="7"/>
      <c r="C104" s="135"/>
      <c r="D104" s="44"/>
      <c r="E104" s="35"/>
      <c r="F104" s="110"/>
      <c r="G104" s="144"/>
      <c r="H104" s="145"/>
      <c r="I104" s="7"/>
      <c r="J104" s="7"/>
      <c r="K104" s="7"/>
      <c r="L104" s="7"/>
      <c r="M104" s="119"/>
      <c r="N104" s="119"/>
      <c r="O104" s="119"/>
      <c r="P104" s="11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 customHeight="1">
      <c r="A105" s="10"/>
      <c r="B105" s="7"/>
      <c r="C105" s="135"/>
      <c r="D105" s="44"/>
      <c r="E105" s="35"/>
      <c r="F105" s="110"/>
      <c r="G105" s="144"/>
      <c r="H105" s="145"/>
      <c r="I105" s="7"/>
      <c r="J105" s="7"/>
      <c r="K105" s="7"/>
      <c r="L105" s="7"/>
      <c r="M105" s="119"/>
      <c r="N105" s="119"/>
      <c r="O105" s="119"/>
      <c r="P105" s="11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 customHeight="1">
      <c r="A106" s="10"/>
      <c r="B106" s="7"/>
      <c r="C106" s="135"/>
      <c r="D106" s="44"/>
      <c r="E106" s="35"/>
      <c r="F106" s="110"/>
      <c r="G106" s="146"/>
      <c r="H106" s="147"/>
      <c r="I106" s="7"/>
      <c r="J106" s="7"/>
      <c r="K106" s="7"/>
      <c r="L106" s="7"/>
      <c r="M106" s="119"/>
      <c r="N106" s="119"/>
      <c r="O106" s="119"/>
      <c r="P106" s="11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 customHeight="1">
      <c r="A107" s="10"/>
      <c r="B107" s="7"/>
      <c r="C107" s="135"/>
      <c r="D107" s="44"/>
      <c r="E107" s="35"/>
      <c r="F107" s="110"/>
      <c r="G107" s="146"/>
      <c r="H107" s="147"/>
      <c r="I107" s="7"/>
      <c r="J107" s="7"/>
      <c r="K107" s="7"/>
      <c r="L107" s="7"/>
      <c r="M107" s="119"/>
      <c r="N107" s="119"/>
      <c r="O107" s="119"/>
      <c r="P107" s="11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 customHeight="1">
      <c r="A108" s="10"/>
      <c r="B108" s="7"/>
      <c r="C108" s="135"/>
      <c r="D108" s="44"/>
      <c r="E108" s="35"/>
      <c r="F108" s="110"/>
      <c r="G108" s="146"/>
      <c r="H108" s="147"/>
      <c r="I108" s="7"/>
      <c r="J108" s="7"/>
      <c r="K108" s="7"/>
      <c r="L108" s="7"/>
      <c r="M108" s="119"/>
      <c r="N108" s="119"/>
      <c r="O108" s="119"/>
      <c r="P108" s="11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 customHeight="1">
      <c r="A109" s="10"/>
      <c r="B109" s="7"/>
      <c r="C109" s="135"/>
      <c r="D109" s="44"/>
      <c r="E109" s="35"/>
      <c r="F109" s="110"/>
      <c r="G109" s="146"/>
      <c r="H109" s="147"/>
      <c r="I109" s="7"/>
      <c r="J109" s="7"/>
      <c r="K109" s="7"/>
      <c r="L109" s="7"/>
      <c r="M109" s="119"/>
      <c r="N109" s="119"/>
      <c r="O109" s="119"/>
      <c r="P109" s="11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 customHeight="1">
      <c r="A110" s="10"/>
      <c r="B110" s="7"/>
      <c r="C110" s="135"/>
      <c r="D110" s="7"/>
      <c r="E110" s="10"/>
      <c r="F110" s="110"/>
      <c r="G110" s="146"/>
      <c r="H110" s="147"/>
      <c r="I110" s="7"/>
      <c r="J110" s="7"/>
      <c r="K110" s="7"/>
      <c r="L110" s="7"/>
      <c r="M110" s="119"/>
      <c r="N110" s="119"/>
      <c r="O110" s="119"/>
      <c r="P110" s="11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 customHeight="1">
      <c r="A111" s="10"/>
      <c r="B111" s="7"/>
      <c r="C111" s="135"/>
      <c r="D111" s="7"/>
      <c r="E111" s="10"/>
      <c r="F111" s="110"/>
      <c r="G111" s="146"/>
      <c r="H111" s="147"/>
      <c r="I111" s="7"/>
      <c r="J111" s="7"/>
      <c r="K111" s="7"/>
      <c r="L111" s="7"/>
      <c r="M111" s="119"/>
      <c r="N111" s="119"/>
      <c r="O111" s="119"/>
      <c r="P111" s="11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 customHeight="1">
      <c r="A112" s="10"/>
      <c r="B112" s="7"/>
      <c r="C112" s="135"/>
      <c r="D112" s="7"/>
      <c r="E112" s="10"/>
      <c r="F112" s="110"/>
      <c r="G112" s="146"/>
      <c r="H112" s="147"/>
      <c r="I112" s="7"/>
      <c r="J112" s="7"/>
      <c r="K112" s="7"/>
      <c r="L112" s="7"/>
      <c r="M112" s="119"/>
      <c r="N112" s="119"/>
      <c r="O112" s="119"/>
      <c r="P112" s="11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 customHeight="1">
      <c r="A113" s="10"/>
      <c r="B113" s="7"/>
      <c r="C113" s="135"/>
      <c r="D113" s="7"/>
      <c r="E113" s="10"/>
      <c r="F113" s="110"/>
      <c r="G113" s="146"/>
      <c r="H113" s="147"/>
      <c r="I113" s="7"/>
      <c r="J113" s="7"/>
      <c r="K113" s="7"/>
      <c r="L113" s="7"/>
      <c r="M113" s="119"/>
      <c r="N113" s="119"/>
      <c r="O113" s="119"/>
      <c r="P113" s="11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 customHeight="1">
      <c r="A114" s="10"/>
      <c r="B114" s="7"/>
      <c r="C114" s="135"/>
      <c r="D114" s="7"/>
      <c r="E114" s="10"/>
      <c r="F114" s="110"/>
      <c r="G114" s="146"/>
      <c r="H114" s="147"/>
      <c r="I114" s="7"/>
      <c r="J114" s="7"/>
      <c r="K114" s="7"/>
      <c r="L114" s="7"/>
      <c r="M114" s="119"/>
      <c r="N114" s="119"/>
      <c r="O114" s="119"/>
      <c r="P114" s="11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 customHeight="1">
      <c r="A115" s="10"/>
      <c r="B115" s="7"/>
      <c r="C115" s="135"/>
      <c r="D115" s="7"/>
      <c r="E115" s="10"/>
      <c r="F115" s="110"/>
      <c r="G115" s="146"/>
      <c r="H115" s="147"/>
      <c r="I115" s="7"/>
      <c r="J115" s="7"/>
      <c r="K115" s="7"/>
      <c r="L115" s="7"/>
      <c r="M115" s="119"/>
      <c r="N115" s="119"/>
      <c r="O115" s="119"/>
      <c r="P115" s="11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 customHeight="1">
      <c r="A116" s="10"/>
      <c r="B116" s="7"/>
      <c r="C116" s="135"/>
      <c r="D116" s="7"/>
      <c r="E116" s="10"/>
      <c r="F116" s="110"/>
      <c r="G116" s="146"/>
      <c r="H116" s="147"/>
      <c r="I116" s="7"/>
      <c r="J116" s="7"/>
      <c r="K116" s="7"/>
      <c r="L116" s="7"/>
      <c r="M116" s="119"/>
      <c r="N116" s="119"/>
      <c r="O116" s="119"/>
      <c r="P116" s="11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 customHeight="1">
      <c r="A117" s="10"/>
      <c r="B117" s="7"/>
      <c r="C117" s="135"/>
      <c r="D117" s="7"/>
      <c r="E117" s="10"/>
      <c r="F117" s="110"/>
      <c r="G117" s="146"/>
      <c r="H117" s="147"/>
      <c r="I117" s="7"/>
      <c r="J117" s="7"/>
      <c r="K117" s="7"/>
      <c r="L117" s="7"/>
      <c r="M117" s="119"/>
      <c r="N117" s="119"/>
      <c r="O117" s="119"/>
      <c r="P117" s="11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 customHeight="1">
      <c r="A118" s="10"/>
      <c r="B118" s="7"/>
      <c r="C118" s="135"/>
      <c r="D118" s="7"/>
      <c r="E118" s="10"/>
      <c r="F118" s="110"/>
      <c r="G118" s="146"/>
      <c r="H118" s="147"/>
      <c r="I118" s="7"/>
      <c r="J118" s="7"/>
      <c r="K118" s="7"/>
      <c r="L118" s="7"/>
      <c r="M118" s="119"/>
      <c r="N118" s="119"/>
      <c r="O118" s="119"/>
      <c r="P118" s="11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 customHeight="1">
      <c r="A119" s="10"/>
      <c r="B119" s="7"/>
      <c r="C119" s="135"/>
      <c r="D119" s="7"/>
      <c r="E119" s="10"/>
      <c r="F119" s="110"/>
      <c r="G119" s="146"/>
      <c r="H119" s="147"/>
      <c r="I119" s="7"/>
      <c r="J119" s="7"/>
      <c r="K119" s="7"/>
      <c r="L119" s="7"/>
      <c r="M119" s="119"/>
      <c r="N119" s="119"/>
      <c r="O119" s="119"/>
      <c r="P119" s="11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 customHeight="1">
      <c r="A120" s="10"/>
      <c r="B120" s="7"/>
      <c r="C120" s="135"/>
      <c r="D120" s="7"/>
      <c r="E120" s="10"/>
      <c r="F120" s="110"/>
      <c r="G120" s="146"/>
      <c r="H120" s="147"/>
      <c r="I120" s="7"/>
      <c r="J120" s="7"/>
      <c r="K120" s="7"/>
      <c r="L120" s="7"/>
      <c r="M120" s="119"/>
      <c r="N120" s="119"/>
      <c r="O120" s="119"/>
      <c r="P120" s="11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 customHeight="1">
      <c r="A121" s="10"/>
      <c r="B121" s="7"/>
      <c r="C121" s="135"/>
      <c r="D121" s="7"/>
      <c r="E121" s="10"/>
      <c r="F121" s="110"/>
      <c r="G121" s="146"/>
      <c r="H121" s="147"/>
      <c r="I121" s="7"/>
      <c r="J121" s="7"/>
      <c r="K121" s="7"/>
      <c r="L121" s="7"/>
      <c r="M121" s="119"/>
      <c r="N121" s="119"/>
      <c r="O121" s="119"/>
      <c r="P121" s="11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 customHeight="1">
      <c r="A122" s="10"/>
      <c r="B122" s="7"/>
      <c r="C122" s="135"/>
      <c r="D122" s="7"/>
      <c r="E122" s="10"/>
      <c r="F122" s="110"/>
      <c r="G122" s="146"/>
      <c r="H122" s="147"/>
      <c r="I122" s="7"/>
      <c r="J122" s="7"/>
      <c r="K122" s="7"/>
      <c r="L122" s="7"/>
      <c r="M122" s="119"/>
      <c r="N122" s="119"/>
      <c r="O122" s="119"/>
      <c r="P122" s="11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 customHeight="1">
      <c r="A123" s="10"/>
      <c r="B123" s="7"/>
      <c r="C123" s="135"/>
      <c r="D123" s="7"/>
      <c r="E123" s="10"/>
      <c r="F123" s="110"/>
      <c r="G123" s="146"/>
      <c r="H123" s="147"/>
      <c r="I123" s="7"/>
      <c r="J123" s="7"/>
      <c r="K123" s="7"/>
      <c r="L123" s="7"/>
      <c r="M123" s="119"/>
      <c r="N123" s="119"/>
      <c r="O123" s="119"/>
      <c r="P123" s="11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 customHeight="1">
      <c r="A124" s="10"/>
      <c r="B124" s="7"/>
      <c r="C124" s="135"/>
      <c r="D124" s="7"/>
      <c r="E124" s="10"/>
      <c r="F124" s="110"/>
      <c r="G124" s="146"/>
      <c r="H124" s="147"/>
      <c r="I124" s="7"/>
      <c r="J124" s="7"/>
      <c r="K124" s="7"/>
      <c r="L124" s="7"/>
      <c r="M124" s="119"/>
      <c r="N124" s="119"/>
      <c r="O124" s="119"/>
      <c r="P124" s="11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 customHeight="1">
      <c r="A125" s="10"/>
      <c r="B125" s="7"/>
      <c r="C125" s="135"/>
      <c r="D125" s="7"/>
      <c r="E125" s="10"/>
      <c r="F125" s="110"/>
      <c r="G125" s="146"/>
      <c r="H125" s="147"/>
      <c r="I125" s="7"/>
      <c r="J125" s="7"/>
      <c r="K125" s="7"/>
      <c r="L125" s="7"/>
      <c r="M125" s="119"/>
      <c r="N125" s="119"/>
      <c r="O125" s="119"/>
      <c r="P125" s="11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 customHeight="1">
      <c r="A126" s="10"/>
      <c r="B126" s="7"/>
      <c r="C126" s="135"/>
      <c r="D126" s="7"/>
      <c r="E126" s="10"/>
      <c r="F126" s="110"/>
      <c r="G126" s="146"/>
      <c r="H126" s="147"/>
      <c r="I126" s="7"/>
      <c r="J126" s="7"/>
      <c r="K126" s="7"/>
      <c r="L126" s="7"/>
      <c r="M126" s="119"/>
      <c r="N126" s="119"/>
      <c r="O126" s="119"/>
      <c r="P126" s="11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 customHeight="1">
      <c r="A127" s="10"/>
      <c r="B127" s="7"/>
      <c r="C127" s="135"/>
      <c r="D127" s="7"/>
      <c r="E127" s="10"/>
      <c r="F127" s="110"/>
      <c r="G127" s="146"/>
      <c r="H127" s="147"/>
      <c r="I127" s="7"/>
      <c r="J127" s="7"/>
      <c r="K127" s="7"/>
      <c r="L127" s="7"/>
      <c r="M127" s="119"/>
      <c r="N127" s="119"/>
      <c r="O127" s="119"/>
      <c r="P127" s="11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 customHeight="1">
      <c r="A128" s="10"/>
      <c r="B128" s="7"/>
      <c r="C128" s="135"/>
      <c r="D128" s="7"/>
      <c r="E128" s="10"/>
      <c r="F128" s="110"/>
      <c r="G128" s="146"/>
      <c r="H128" s="147"/>
      <c r="I128" s="7"/>
      <c r="J128" s="7"/>
      <c r="K128" s="7"/>
      <c r="L128" s="7"/>
      <c r="M128" s="119"/>
      <c r="N128" s="119"/>
      <c r="O128" s="119"/>
      <c r="P128" s="11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 customHeight="1">
      <c r="A129" s="10"/>
      <c r="B129" s="7"/>
      <c r="C129" s="135"/>
      <c r="D129" s="7"/>
      <c r="E129" s="10"/>
      <c r="F129" s="110"/>
      <c r="G129" s="146"/>
      <c r="H129" s="147"/>
      <c r="I129" s="7"/>
      <c r="J129" s="7"/>
      <c r="K129" s="7"/>
      <c r="L129" s="7"/>
      <c r="M129" s="119"/>
      <c r="N129" s="119"/>
      <c r="O129" s="119"/>
      <c r="P129" s="11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 customHeight="1">
      <c r="A130" s="10"/>
      <c r="B130" s="7"/>
      <c r="C130" s="135"/>
      <c r="D130" s="7"/>
      <c r="E130" s="10"/>
      <c r="F130" s="110"/>
      <c r="G130" s="146"/>
      <c r="H130" s="147"/>
      <c r="I130" s="7"/>
      <c r="J130" s="7"/>
      <c r="K130" s="7"/>
      <c r="L130" s="7"/>
      <c r="M130" s="119"/>
      <c r="N130" s="119"/>
      <c r="O130" s="119"/>
      <c r="P130" s="11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 customHeight="1">
      <c r="A131" s="10"/>
      <c r="B131" s="7"/>
      <c r="C131" s="135"/>
      <c r="D131" s="7"/>
      <c r="E131" s="10"/>
      <c r="F131" s="110"/>
      <c r="G131" s="146"/>
      <c r="H131" s="147"/>
      <c r="I131" s="7"/>
      <c r="J131" s="7"/>
      <c r="K131" s="7"/>
      <c r="L131" s="7"/>
      <c r="M131" s="119"/>
      <c r="N131" s="119"/>
      <c r="O131" s="119"/>
      <c r="P131" s="11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 customHeight="1">
      <c r="A132" s="10"/>
      <c r="B132" s="7"/>
      <c r="C132" s="135"/>
      <c r="D132" s="7"/>
      <c r="E132" s="10"/>
      <c r="F132" s="110"/>
      <c r="G132" s="146"/>
      <c r="H132" s="147"/>
      <c r="I132" s="7"/>
      <c r="J132" s="7"/>
      <c r="K132" s="7"/>
      <c r="L132" s="7"/>
      <c r="M132" s="119"/>
      <c r="N132" s="119"/>
      <c r="O132" s="119"/>
      <c r="P132" s="11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 customHeight="1">
      <c r="A133" s="10"/>
      <c r="B133" s="7"/>
      <c r="C133" s="135"/>
      <c r="D133" s="7"/>
      <c r="E133" s="10"/>
      <c r="F133" s="110"/>
      <c r="G133" s="146"/>
      <c r="H133" s="147"/>
      <c r="I133" s="7"/>
      <c r="J133" s="7"/>
      <c r="K133" s="7"/>
      <c r="L133" s="7"/>
      <c r="M133" s="119"/>
      <c r="N133" s="119"/>
      <c r="O133" s="119"/>
      <c r="P133" s="11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 customHeight="1">
      <c r="A134" s="10"/>
      <c r="B134" s="7"/>
      <c r="C134" s="135"/>
      <c r="D134" s="7"/>
      <c r="E134" s="10"/>
      <c r="F134" s="110"/>
      <c r="G134" s="146"/>
      <c r="H134" s="147"/>
      <c r="I134" s="7"/>
      <c r="J134" s="7"/>
      <c r="K134" s="7"/>
      <c r="L134" s="7"/>
      <c r="M134" s="119"/>
      <c r="N134" s="119"/>
      <c r="O134" s="119"/>
      <c r="P134" s="11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 customHeight="1">
      <c r="A135" s="10"/>
      <c r="B135" s="7"/>
      <c r="C135" s="135"/>
      <c r="D135" s="7"/>
      <c r="E135" s="10"/>
      <c r="F135" s="110"/>
      <c r="G135" s="146"/>
      <c r="H135" s="147"/>
      <c r="I135" s="7"/>
      <c r="J135" s="7"/>
      <c r="K135" s="7"/>
      <c r="L135" s="7"/>
      <c r="M135" s="119"/>
      <c r="N135" s="119"/>
      <c r="O135" s="119"/>
      <c r="P135" s="11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 customHeight="1">
      <c r="A136" s="10"/>
      <c r="B136" s="7"/>
      <c r="C136" s="135"/>
      <c r="D136" s="7"/>
      <c r="E136" s="10"/>
      <c r="F136" s="110"/>
      <c r="G136" s="146"/>
      <c r="H136" s="147"/>
      <c r="I136" s="7"/>
      <c r="J136" s="7"/>
      <c r="K136" s="7"/>
      <c r="L136" s="7"/>
      <c r="M136" s="119"/>
      <c r="N136" s="119"/>
      <c r="O136" s="119"/>
      <c r="P136" s="11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 customHeight="1">
      <c r="A137" s="10"/>
      <c r="B137" s="7"/>
      <c r="C137" s="135"/>
      <c r="D137" s="7"/>
      <c r="E137" s="10"/>
      <c r="F137" s="110"/>
      <c r="G137" s="146"/>
      <c r="H137" s="147"/>
      <c r="I137" s="7"/>
      <c r="J137" s="7"/>
      <c r="K137" s="7"/>
      <c r="L137" s="7"/>
      <c r="M137" s="119"/>
      <c r="N137" s="119"/>
      <c r="O137" s="119"/>
      <c r="P137" s="11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 customHeight="1">
      <c r="A138" s="10"/>
      <c r="B138" s="7"/>
      <c r="C138" s="135"/>
      <c r="D138" s="7"/>
      <c r="E138" s="10"/>
      <c r="F138" s="110"/>
      <c r="G138" s="146"/>
      <c r="H138" s="147"/>
      <c r="I138" s="7"/>
      <c r="J138" s="7"/>
      <c r="K138" s="7"/>
      <c r="L138" s="7"/>
      <c r="M138" s="119"/>
      <c r="N138" s="119"/>
      <c r="O138" s="119"/>
      <c r="P138" s="11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 customHeight="1">
      <c r="A139" s="10"/>
      <c r="B139" s="7"/>
      <c r="C139" s="135"/>
      <c r="D139" s="7"/>
      <c r="E139" s="10"/>
      <c r="F139" s="110"/>
      <c r="G139" s="146"/>
      <c r="H139" s="147"/>
      <c r="I139" s="7"/>
      <c r="J139" s="7"/>
      <c r="K139" s="7"/>
      <c r="L139" s="7"/>
      <c r="M139" s="119"/>
      <c r="N139" s="119"/>
      <c r="O139" s="119"/>
      <c r="P139" s="11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 customHeight="1">
      <c r="A140" s="10"/>
      <c r="B140" s="7"/>
      <c r="C140" s="135"/>
      <c r="D140" s="7"/>
      <c r="E140" s="10"/>
      <c r="F140" s="110"/>
      <c r="G140" s="146"/>
      <c r="H140" s="147"/>
      <c r="I140" s="7"/>
      <c r="J140" s="7"/>
      <c r="K140" s="7"/>
      <c r="L140" s="7"/>
      <c r="M140" s="119"/>
      <c r="N140" s="119"/>
      <c r="O140" s="119"/>
      <c r="P140" s="11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 customHeight="1">
      <c r="A141" s="10"/>
      <c r="B141" s="7"/>
      <c r="C141" s="135"/>
      <c r="D141" s="7"/>
      <c r="E141" s="10"/>
      <c r="F141" s="110"/>
      <c r="G141" s="146"/>
      <c r="H141" s="147"/>
      <c r="I141" s="7"/>
      <c r="J141" s="7"/>
      <c r="K141" s="7"/>
      <c r="L141" s="7"/>
      <c r="M141" s="119"/>
      <c r="N141" s="119"/>
      <c r="O141" s="119"/>
      <c r="P141" s="11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 customHeight="1">
      <c r="A142" s="10"/>
      <c r="B142" s="7"/>
      <c r="C142" s="135"/>
      <c r="D142" s="7"/>
      <c r="E142" s="10"/>
      <c r="F142" s="110"/>
      <c r="G142" s="146"/>
      <c r="H142" s="147"/>
      <c r="I142" s="7"/>
      <c r="J142" s="7"/>
      <c r="K142" s="7"/>
      <c r="L142" s="7"/>
      <c r="M142" s="119"/>
      <c r="N142" s="119"/>
      <c r="O142" s="119"/>
      <c r="P142" s="11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 customHeight="1">
      <c r="A143" s="10"/>
      <c r="B143" s="7"/>
      <c r="C143" s="135"/>
      <c r="D143" s="7"/>
      <c r="E143" s="10"/>
      <c r="F143" s="110"/>
      <c r="G143" s="146"/>
      <c r="H143" s="147"/>
      <c r="I143" s="7"/>
      <c r="J143" s="7"/>
      <c r="K143" s="7"/>
      <c r="L143" s="7"/>
      <c r="M143" s="119"/>
      <c r="N143" s="119"/>
      <c r="O143" s="119"/>
      <c r="P143" s="11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 customHeight="1">
      <c r="A144" s="10"/>
      <c r="B144" s="7"/>
      <c r="C144" s="135"/>
      <c r="D144" s="7"/>
      <c r="E144" s="10"/>
      <c r="F144" s="110"/>
      <c r="G144" s="146"/>
      <c r="H144" s="147"/>
      <c r="I144" s="7"/>
      <c r="J144" s="7"/>
      <c r="K144" s="7"/>
      <c r="L144" s="7"/>
      <c r="M144" s="119"/>
      <c r="N144" s="119"/>
      <c r="O144" s="119"/>
      <c r="P144" s="11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 customHeight="1">
      <c r="A145" s="10"/>
      <c r="B145" s="7"/>
      <c r="C145" s="135"/>
      <c r="D145" s="7"/>
      <c r="E145" s="10"/>
      <c r="F145" s="110"/>
      <c r="G145" s="146"/>
      <c r="H145" s="147"/>
      <c r="I145" s="7"/>
      <c r="J145" s="7"/>
      <c r="K145" s="7"/>
      <c r="L145" s="7"/>
      <c r="M145" s="119"/>
      <c r="N145" s="119"/>
      <c r="O145" s="119"/>
      <c r="P145" s="11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 customHeight="1">
      <c r="A146" s="10"/>
      <c r="B146" s="7"/>
      <c r="C146" s="135"/>
      <c r="D146" s="7"/>
      <c r="E146" s="10"/>
      <c r="F146" s="110"/>
      <c r="G146" s="146"/>
      <c r="H146" s="147"/>
      <c r="I146" s="7"/>
      <c r="J146" s="7"/>
      <c r="K146" s="7"/>
      <c r="L146" s="7"/>
      <c r="M146" s="119"/>
      <c r="N146" s="119"/>
      <c r="O146" s="119"/>
      <c r="P146" s="11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 customHeight="1">
      <c r="A147" s="10"/>
      <c r="B147" s="7"/>
      <c r="C147" s="135"/>
      <c r="D147" s="7"/>
      <c r="E147" s="10"/>
      <c r="F147" s="110"/>
      <c r="G147" s="146"/>
      <c r="H147" s="147"/>
      <c r="I147" s="7"/>
      <c r="J147" s="7"/>
      <c r="K147" s="7"/>
      <c r="L147" s="7"/>
      <c r="M147" s="119"/>
      <c r="N147" s="119"/>
      <c r="O147" s="119"/>
      <c r="P147" s="11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 customHeight="1">
      <c r="A148" s="10"/>
      <c r="B148" s="7"/>
      <c r="C148" s="135"/>
      <c r="D148" s="7"/>
      <c r="E148" s="10"/>
      <c r="F148" s="110"/>
      <c r="G148" s="146"/>
      <c r="H148" s="147"/>
      <c r="I148" s="7"/>
      <c r="J148" s="7"/>
      <c r="K148" s="7"/>
      <c r="L148" s="7"/>
      <c r="M148" s="119"/>
      <c r="N148" s="119"/>
      <c r="O148" s="119"/>
      <c r="P148" s="11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 customHeight="1">
      <c r="A149" s="10"/>
      <c r="B149" s="7"/>
      <c r="C149" s="135"/>
      <c r="D149" s="7"/>
      <c r="E149" s="10"/>
      <c r="F149" s="110"/>
      <c r="G149" s="146"/>
      <c r="H149" s="147"/>
      <c r="I149" s="7"/>
      <c r="J149" s="7"/>
      <c r="K149" s="7"/>
      <c r="L149" s="7"/>
      <c r="M149" s="119"/>
      <c r="N149" s="119"/>
      <c r="O149" s="119"/>
      <c r="P149" s="11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 customHeight="1">
      <c r="A150" s="10"/>
      <c r="B150" s="7"/>
      <c r="C150" s="135"/>
      <c r="D150" s="7"/>
      <c r="E150" s="10"/>
      <c r="F150" s="110"/>
      <c r="G150" s="146"/>
      <c r="H150" s="147"/>
      <c r="I150" s="7"/>
      <c r="J150" s="7"/>
      <c r="K150" s="7"/>
      <c r="L150" s="7"/>
      <c r="M150" s="119"/>
      <c r="N150" s="119"/>
      <c r="O150" s="119"/>
      <c r="P150" s="11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 customHeight="1">
      <c r="A151" s="10"/>
      <c r="B151" s="7"/>
      <c r="C151" s="135"/>
      <c r="D151" s="7"/>
      <c r="E151" s="10"/>
      <c r="F151" s="110"/>
      <c r="G151" s="146"/>
      <c r="H151" s="147"/>
      <c r="I151" s="7"/>
      <c r="J151" s="7"/>
      <c r="K151" s="7"/>
      <c r="L151" s="7"/>
      <c r="M151" s="119"/>
      <c r="N151" s="119"/>
      <c r="O151" s="119"/>
      <c r="P151" s="11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 customHeight="1">
      <c r="A152" s="10"/>
      <c r="B152" s="7"/>
      <c r="C152" s="135"/>
      <c r="D152" s="7"/>
      <c r="E152" s="10"/>
      <c r="F152" s="110"/>
      <c r="G152" s="146"/>
      <c r="H152" s="147"/>
      <c r="I152" s="7"/>
      <c r="J152" s="7"/>
      <c r="K152" s="7"/>
      <c r="L152" s="7"/>
      <c r="M152" s="119"/>
      <c r="N152" s="119"/>
      <c r="O152" s="119"/>
      <c r="P152" s="11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 customHeight="1">
      <c r="A153" s="10"/>
      <c r="B153" s="7"/>
      <c r="C153" s="135"/>
      <c r="D153" s="7"/>
      <c r="E153" s="10"/>
      <c r="F153" s="110"/>
      <c r="G153" s="146"/>
      <c r="H153" s="147"/>
      <c r="I153" s="7"/>
      <c r="J153" s="7"/>
      <c r="K153" s="7"/>
      <c r="L153" s="7"/>
      <c r="M153" s="119"/>
      <c r="N153" s="119"/>
      <c r="O153" s="119"/>
      <c r="P153" s="11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 customHeight="1">
      <c r="A154" s="10"/>
      <c r="B154" s="7"/>
      <c r="C154" s="135"/>
      <c r="D154" s="7"/>
      <c r="E154" s="10"/>
      <c r="F154" s="110"/>
      <c r="G154" s="146"/>
      <c r="H154" s="147"/>
      <c r="I154" s="7"/>
      <c r="J154" s="7"/>
      <c r="K154" s="7"/>
      <c r="L154" s="7"/>
      <c r="M154" s="119"/>
      <c r="N154" s="119"/>
      <c r="O154" s="119"/>
      <c r="P154" s="11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 customHeight="1">
      <c r="A155" s="10"/>
      <c r="B155" s="7"/>
      <c r="C155" s="135"/>
      <c r="D155" s="7"/>
      <c r="E155" s="10"/>
      <c r="F155" s="110"/>
      <c r="G155" s="146"/>
      <c r="H155" s="147"/>
      <c r="I155" s="7"/>
      <c r="J155" s="7"/>
      <c r="K155" s="7"/>
      <c r="L155" s="7"/>
      <c r="M155" s="119"/>
      <c r="N155" s="119"/>
      <c r="O155" s="119"/>
      <c r="P155" s="11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 customHeight="1">
      <c r="A156" s="10"/>
      <c r="B156" s="7"/>
      <c r="C156" s="135"/>
      <c r="D156" s="7"/>
      <c r="E156" s="10"/>
      <c r="F156" s="110"/>
      <c r="G156" s="146"/>
      <c r="H156" s="147"/>
      <c r="I156" s="7"/>
      <c r="J156" s="7"/>
      <c r="K156" s="7"/>
      <c r="L156" s="7"/>
      <c r="M156" s="119"/>
      <c r="N156" s="119"/>
      <c r="O156" s="119"/>
      <c r="P156" s="11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 customHeight="1">
      <c r="A157" s="10"/>
      <c r="B157" s="7"/>
      <c r="C157" s="135"/>
      <c r="D157" s="7"/>
      <c r="E157" s="10"/>
      <c r="F157" s="110"/>
      <c r="G157" s="146"/>
      <c r="H157" s="147"/>
      <c r="I157" s="7"/>
      <c r="J157" s="7"/>
      <c r="K157" s="7"/>
      <c r="L157" s="7"/>
      <c r="M157" s="119"/>
      <c r="N157" s="119"/>
      <c r="O157" s="119"/>
      <c r="P157" s="11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 customHeight="1">
      <c r="A158" s="10"/>
      <c r="B158" s="7"/>
      <c r="C158" s="135"/>
      <c r="D158" s="7"/>
      <c r="E158" s="10"/>
      <c r="F158" s="110"/>
      <c r="G158" s="146"/>
      <c r="H158" s="147"/>
      <c r="I158" s="7"/>
      <c r="J158" s="7"/>
      <c r="K158" s="7"/>
      <c r="L158" s="7"/>
      <c r="M158" s="119"/>
      <c r="N158" s="119"/>
      <c r="O158" s="119"/>
      <c r="P158" s="11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 customHeight="1">
      <c r="A159" s="10"/>
      <c r="B159" s="7"/>
      <c r="C159" s="135"/>
      <c r="D159" s="7"/>
      <c r="E159" s="10"/>
      <c r="F159" s="110"/>
      <c r="G159" s="146"/>
      <c r="H159" s="147"/>
      <c r="I159" s="7"/>
      <c r="J159" s="7"/>
      <c r="K159" s="7"/>
      <c r="L159" s="7"/>
      <c r="M159" s="119"/>
      <c r="N159" s="119"/>
      <c r="O159" s="119"/>
      <c r="P159" s="11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 customHeight="1">
      <c r="A160" s="10"/>
      <c r="B160" s="7"/>
      <c r="C160" s="135"/>
      <c r="D160" s="7"/>
      <c r="E160" s="10"/>
      <c r="F160" s="110"/>
      <c r="G160" s="146"/>
      <c r="H160" s="147"/>
      <c r="I160" s="7"/>
      <c r="J160" s="7"/>
      <c r="K160" s="7"/>
      <c r="L160" s="7"/>
      <c r="M160" s="119"/>
      <c r="N160" s="119"/>
      <c r="O160" s="119"/>
      <c r="P160" s="11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 customHeight="1">
      <c r="A161" s="10"/>
      <c r="B161" s="7"/>
      <c r="C161" s="135"/>
      <c r="D161" s="7"/>
      <c r="E161" s="10"/>
      <c r="F161" s="110"/>
      <c r="G161" s="146"/>
      <c r="H161" s="147"/>
      <c r="I161" s="7"/>
      <c r="J161" s="7"/>
      <c r="K161" s="7"/>
      <c r="L161" s="7"/>
      <c r="M161" s="119"/>
      <c r="N161" s="119"/>
      <c r="O161" s="119"/>
      <c r="P161" s="11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 customHeight="1">
      <c r="A162" s="10"/>
      <c r="B162" s="7"/>
      <c r="C162" s="135"/>
      <c r="D162" s="7"/>
      <c r="E162" s="10"/>
      <c r="F162" s="110"/>
      <c r="G162" s="146"/>
      <c r="H162" s="147"/>
      <c r="I162" s="7"/>
      <c r="J162" s="7"/>
      <c r="K162" s="7"/>
      <c r="L162" s="7"/>
      <c r="M162" s="119"/>
      <c r="N162" s="119"/>
      <c r="O162" s="119"/>
      <c r="P162" s="11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 customHeight="1">
      <c r="A163" s="10"/>
      <c r="B163" s="7"/>
      <c r="C163" s="135"/>
      <c r="D163" s="7"/>
      <c r="E163" s="10"/>
      <c r="F163" s="110"/>
      <c r="G163" s="146"/>
      <c r="H163" s="147"/>
      <c r="I163" s="7"/>
      <c r="J163" s="7"/>
      <c r="K163" s="7"/>
      <c r="L163" s="7"/>
      <c r="M163" s="119"/>
      <c r="N163" s="119"/>
      <c r="O163" s="119"/>
      <c r="P163" s="11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 customHeight="1">
      <c r="A164" s="10"/>
      <c r="B164" s="7"/>
      <c r="C164" s="135"/>
      <c r="D164" s="7"/>
      <c r="E164" s="10"/>
      <c r="F164" s="110"/>
      <c r="G164" s="146"/>
      <c r="H164" s="147"/>
      <c r="I164" s="7"/>
      <c r="J164" s="7"/>
      <c r="K164" s="7"/>
      <c r="L164" s="7"/>
      <c r="M164" s="119"/>
      <c r="N164" s="119"/>
      <c r="O164" s="119"/>
      <c r="P164" s="11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 customHeight="1">
      <c r="A165" s="10"/>
      <c r="B165" s="7"/>
      <c r="C165" s="135"/>
      <c r="D165" s="7"/>
      <c r="E165" s="10"/>
      <c r="F165" s="110"/>
      <c r="G165" s="146"/>
      <c r="H165" s="147"/>
      <c r="I165" s="7"/>
      <c r="J165" s="7"/>
      <c r="K165" s="7"/>
      <c r="L165" s="7"/>
      <c r="M165" s="119"/>
      <c r="N165" s="119"/>
      <c r="O165" s="119"/>
      <c r="P165" s="11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 customHeight="1">
      <c r="A166" s="10"/>
      <c r="B166" s="7"/>
      <c r="C166" s="135"/>
      <c r="D166" s="7"/>
      <c r="E166" s="10"/>
      <c r="F166" s="110"/>
      <c r="G166" s="146"/>
      <c r="H166" s="147"/>
      <c r="I166" s="7"/>
      <c r="J166" s="7"/>
      <c r="K166" s="7"/>
      <c r="L166" s="7"/>
      <c r="M166" s="119"/>
      <c r="N166" s="119"/>
      <c r="O166" s="119"/>
      <c r="P166" s="11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 customHeight="1">
      <c r="A167" s="10"/>
      <c r="B167" s="7"/>
      <c r="C167" s="135"/>
      <c r="D167" s="7"/>
      <c r="E167" s="10"/>
      <c r="F167" s="110"/>
      <c r="G167" s="146"/>
      <c r="H167" s="147"/>
      <c r="I167" s="7"/>
      <c r="J167" s="7"/>
      <c r="K167" s="7"/>
      <c r="L167" s="7"/>
      <c r="M167" s="119"/>
      <c r="N167" s="119"/>
      <c r="O167" s="119"/>
      <c r="P167" s="11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 customHeight="1">
      <c r="A168" s="10"/>
      <c r="B168" s="7"/>
      <c r="C168" s="135"/>
      <c r="D168" s="7"/>
      <c r="E168" s="10"/>
      <c r="F168" s="110"/>
      <c r="G168" s="146"/>
      <c r="H168" s="147"/>
      <c r="I168" s="7"/>
      <c r="J168" s="7"/>
      <c r="K168" s="7"/>
      <c r="L168" s="7"/>
      <c r="M168" s="119"/>
      <c r="N168" s="119"/>
      <c r="O168" s="119"/>
      <c r="P168" s="11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 customHeight="1">
      <c r="A169" s="10"/>
      <c r="B169" s="7"/>
      <c r="C169" s="135"/>
      <c r="D169" s="7"/>
      <c r="E169" s="10"/>
      <c r="F169" s="110"/>
      <c r="G169" s="146"/>
      <c r="H169" s="147"/>
      <c r="I169" s="7"/>
      <c r="J169" s="7"/>
      <c r="K169" s="7"/>
      <c r="L169" s="7"/>
      <c r="M169" s="119"/>
      <c r="N169" s="119"/>
      <c r="O169" s="119"/>
      <c r="P169" s="11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 customHeight="1">
      <c r="A170" s="10"/>
      <c r="B170" s="7"/>
      <c r="C170" s="135"/>
      <c r="D170" s="7"/>
      <c r="E170" s="10"/>
      <c r="F170" s="110"/>
      <c r="G170" s="146"/>
      <c r="H170" s="147"/>
      <c r="I170" s="7"/>
      <c r="J170" s="7"/>
      <c r="K170" s="7"/>
      <c r="L170" s="7"/>
      <c r="M170" s="119"/>
      <c r="N170" s="119"/>
      <c r="O170" s="119"/>
      <c r="P170" s="11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 customHeight="1">
      <c r="A171" s="10"/>
      <c r="B171" s="7"/>
      <c r="C171" s="135"/>
      <c r="D171" s="7"/>
      <c r="E171" s="10"/>
      <c r="F171" s="110"/>
      <c r="G171" s="146"/>
      <c r="H171" s="147"/>
      <c r="I171" s="7"/>
      <c r="J171" s="7"/>
      <c r="K171" s="7"/>
      <c r="L171" s="7"/>
      <c r="M171" s="119"/>
      <c r="N171" s="119"/>
      <c r="O171" s="119"/>
      <c r="P171" s="11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 customHeight="1">
      <c r="A172" s="10"/>
      <c r="B172" s="7"/>
      <c r="C172" s="135"/>
      <c r="D172" s="7"/>
      <c r="E172" s="10"/>
      <c r="F172" s="110"/>
      <c r="G172" s="146"/>
      <c r="H172" s="147"/>
      <c r="I172" s="7"/>
      <c r="J172" s="7"/>
      <c r="K172" s="7"/>
      <c r="L172" s="7"/>
      <c r="M172" s="119"/>
      <c r="N172" s="119"/>
      <c r="O172" s="119"/>
      <c r="P172" s="11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 customHeight="1">
      <c r="A173" s="10"/>
      <c r="B173" s="7"/>
      <c r="C173" s="135"/>
      <c r="D173" s="7"/>
      <c r="E173" s="10"/>
      <c r="F173" s="110"/>
      <c r="G173" s="146"/>
      <c r="H173" s="147"/>
      <c r="I173" s="7"/>
      <c r="J173" s="7"/>
      <c r="K173" s="7"/>
      <c r="L173" s="7"/>
      <c r="M173" s="119"/>
      <c r="N173" s="119"/>
      <c r="O173" s="119"/>
      <c r="P173" s="11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 customHeight="1">
      <c r="A174" s="10"/>
      <c r="B174" s="7"/>
      <c r="C174" s="135"/>
      <c r="D174" s="7"/>
      <c r="E174" s="10"/>
      <c r="F174" s="110"/>
      <c r="G174" s="146"/>
      <c r="H174" s="147"/>
      <c r="I174" s="7"/>
      <c r="J174" s="7"/>
      <c r="K174" s="7"/>
      <c r="L174" s="7"/>
      <c r="M174" s="119"/>
      <c r="N174" s="119"/>
      <c r="O174" s="119"/>
      <c r="P174" s="11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 customHeight="1">
      <c r="A175" s="10"/>
      <c r="B175" s="7"/>
      <c r="C175" s="135"/>
      <c r="D175" s="7"/>
      <c r="E175" s="10"/>
      <c r="F175" s="110"/>
      <c r="G175" s="146"/>
      <c r="H175" s="14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 customHeight="1">
      <c r="A176" s="10"/>
      <c r="B176" s="7"/>
      <c r="C176" s="135"/>
      <c r="D176" s="7"/>
      <c r="E176" s="10"/>
      <c r="F176" s="110"/>
      <c r="G176" s="146"/>
      <c r="H176" s="14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 customHeight="1">
      <c r="A177" s="10"/>
      <c r="B177" s="7"/>
      <c r="C177" s="135"/>
      <c r="D177" s="7"/>
      <c r="E177" s="10"/>
      <c r="F177" s="110"/>
      <c r="G177" s="146"/>
      <c r="H177" s="14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 customHeight="1">
      <c r="A178" s="10"/>
      <c r="B178" s="7"/>
      <c r="C178" s="135"/>
      <c r="D178" s="7"/>
      <c r="E178" s="10"/>
      <c r="F178" s="110"/>
      <c r="G178" s="146"/>
      <c r="H178" s="14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 customHeight="1">
      <c r="A179" s="10"/>
      <c r="B179" s="7"/>
      <c r="C179" s="135"/>
      <c r="D179" s="7"/>
      <c r="E179" s="10"/>
      <c r="F179" s="110"/>
      <c r="G179" s="146"/>
      <c r="H179" s="14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 customHeight="1">
      <c r="A180" s="10"/>
      <c r="B180" s="7"/>
      <c r="C180" s="135"/>
      <c r="D180" s="7"/>
      <c r="E180" s="10"/>
      <c r="F180" s="110"/>
      <c r="G180" s="146"/>
      <c r="H180" s="14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 customHeight="1">
      <c r="A181" s="10"/>
      <c r="B181" s="7"/>
      <c r="C181" s="135"/>
      <c r="D181" s="7"/>
      <c r="E181" s="10"/>
      <c r="F181" s="110"/>
      <c r="G181" s="146"/>
      <c r="H181" s="14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 customHeight="1">
      <c r="A182" s="10"/>
      <c r="B182" s="7"/>
      <c r="C182" s="135"/>
      <c r="D182" s="7"/>
      <c r="E182" s="10"/>
      <c r="F182" s="110"/>
      <c r="G182" s="146"/>
      <c r="H182" s="14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 customHeight="1">
      <c r="A183" s="10"/>
      <c r="B183" s="7"/>
      <c r="C183" s="135"/>
      <c r="D183" s="7"/>
      <c r="E183" s="10"/>
      <c r="F183" s="110"/>
      <c r="G183" s="146"/>
      <c r="H183" s="14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 customHeight="1">
      <c r="A184" s="10"/>
      <c r="B184" s="7"/>
      <c r="C184" s="135"/>
      <c r="D184" s="7"/>
      <c r="E184" s="10"/>
      <c r="F184" s="110"/>
      <c r="G184" s="146"/>
      <c r="H184" s="14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 customHeight="1">
      <c r="A185" s="10"/>
      <c r="B185" s="7"/>
      <c r="C185" s="135"/>
      <c r="D185" s="7"/>
      <c r="E185" s="10"/>
      <c r="F185" s="110"/>
      <c r="G185" s="146"/>
      <c r="H185" s="14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 customHeight="1">
      <c r="A186" s="10"/>
      <c r="B186" s="7"/>
      <c r="C186" s="135"/>
      <c r="D186" s="7"/>
      <c r="E186" s="10"/>
      <c r="F186" s="110"/>
      <c r="G186" s="146"/>
      <c r="H186" s="14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 customHeight="1">
      <c r="A187" s="10"/>
      <c r="B187" s="7"/>
      <c r="C187" s="135"/>
      <c r="D187" s="7"/>
      <c r="E187" s="10"/>
      <c r="F187" s="110"/>
      <c r="G187" s="146"/>
      <c r="H187" s="14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 customHeight="1">
      <c r="A188" s="10"/>
      <c r="B188" s="7"/>
      <c r="C188" s="135"/>
      <c r="D188" s="7"/>
      <c r="E188" s="10"/>
      <c r="F188" s="110"/>
      <c r="G188" s="146"/>
      <c r="H188" s="14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 customHeight="1">
      <c r="A189" s="10"/>
      <c r="B189" s="7"/>
      <c r="C189" s="135"/>
      <c r="D189" s="7"/>
      <c r="E189" s="10"/>
      <c r="F189" s="110"/>
      <c r="G189" s="146"/>
      <c r="H189" s="14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 customHeight="1">
      <c r="A190" s="10"/>
      <c r="B190" s="7"/>
      <c r="C190" s="135"/>
      <c r="D190" s="7"/>
      <c r="E190" s="10"/>
      <c r="F190" s="110"/>
      <c r="G190" s="146"/>
      <c r="H190" s="14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 customHeight="1">
      <c r="A191" s="10"/>
      <c r="B191" s="7"/>
      <c r="C191" s="135"/>
      <c r="D191" s="7"/>
      <c r="E191" s="10"/>
      <c r="F191" s="110"/>
      <c r="G191" s="146"/>
      <c r="H191" s="14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 customHeight="1">
      <c r="A192" s="10"/>
      <c r="B192" s="7"/>
      <c r="C192" s="135"/>
      <c r="D192" s="7"/>
      <c r="E192" s="10"/>
      <c r="F192" s="110"/>
      <c r="G192" s="146"/>
      <c r="H192" s="14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 customHeight="1">
      <c r="A193" s="10"/>
      <c r="B193" s="7"/>
      <c r="C193" s="135"/>
      <c r="D193" s="7"/>
      <c r="E193" s="10"/>
      <c r="F193" s="110"/>
      <c r="G193" s="146"/>
      <c r="H193" s="14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 customHeight="1">
      <c r="A194" s="10"/>
      <c r="B194" s="7"/>
      <c r="C194" s="135"/>
      <c r="D194" s="7"/>
      <c r="E194" s="10"/>
      <c r="F194" s="110"/>
      <c r="G194" s="146"/>
      <c r="H194" s="14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 customHeight="1">
      <c r="A195" s="10"/>
      <c r="B195" s="7"/>
      <c r="C195" s="135"/>
      <c r="D195" s="7"/>
      <c r="E195" s="10"/>
      <c r="F195" s="110"/>
      <c r="G195" s="146"/>
      <c r="H195" s="14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 customHeight="1">
      <c r="A196" s="10"/>
      <c r="B196" s="7"/>
      <c r="C196" s="135"/>
      <c r="D196" s="7"/>
      <c r="E196" s="10"/>
      <c r="F196" s="110"/>
      <c r="G196" s="146"/>
      <c r="H196" s="14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 customHeight="1">
      <c r="A197" s="10"/>
      <c r="B197" s="7"/>
      <c r="C197" s="135"/>
      <c r="D197" s="7"/>
      <c r="E197" s="10"/>
      <c r="F197" s="110"/>
      <c r="G197" s="146"/>
      <c r="H197" s="14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 customHeight="1">
      <c r="A198" s="10"/>
      <c r="B198" s="7"/>
      <c r="C198" s="135"/>
      <c r="D198" s="7"/>
      <c r="E198" s="10"/>
      <c r="F198" s="110"/>
      <c r="G198" s="146"/>
      <c r="H198" s="14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 customHeight="1">
      <c r="A199" s="10"/>
      <c r="B199" s="7"/>
      <c r="C199" s="135"/>
      <c r="D199" s="7"/>
      <c r="E199" s="10"/>
      <c r="F199" s="110"/>
      <c r="G199" s="146"/>
      <c r="H199" s="14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 customHeight="1">
      <c r="A200" s="10"/>
      <c r="B200" s="7"/>
      <c r="C200" s="135"/>
      <c r="D200" s="7"/>
      <c r="E200" s="10"/>
      <c r="F200" s="110"/>
      <c r="G200" s="146"/>
      <c r="H200" s="14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 customHeight="1">
      <c r="A201" s="10"/>
      <c r="B201" s="7"/>
      <c r="C201" s="135"/>
      <c r="D201" s="7"/>
      <c r="E201" s="10"/>
      <c r="F201" s="110"/>
      <c r="G201" s="146"/>
      <c r="H201" s="14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 customHeight="1">
      <c r="A202" s="10"/>
      <c r="B202" s="7"/>
      <c r="C202" s="135"/>
      <c r="D202" s="7"/>
      <c r="E202" s="10"/>
      <c r="F202" s="110"/>
      <c r="G202" s="146"/>
      <c r="H202" s="14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 customHeight="1">
      <c r="A203" s="10"/>
      <c r="B203" s="7"/>
      <c r="C203" s="135"/>
      <c r="D203" s="7"/>
      <c r="E203" s="10"/>
      <c r="F203" s="110"/>
      <c r="G203" s="146"/>
      <c r="H203" s="14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 customHeight="1">
      <c r="A204" s="10"/>
      <c r="B204" s="7"/>
      <c r="C204" s="135"/>
      <c r="D204" s="7"/>
      <c r="E204" s="10"/>
      <c r="F204" s="110"/>
      <c r="G204" s="146"/>
      <c r="H204" s="14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 customHeight="1">
      <c r="A205" s="10"/>
      <c r="B205" s="7"/>
      <c r="C205" s="135"/>
      <c r="D205" s="7"/>
      <c r="E205" s="10"/>
      <c r="F205" s="110"/>
      <c r="G205" s="146"/>
      <c r="H205" s="14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 customHeight="1">
      <c r="A206" s="10"/>
      <c r="B206" s="7"/>
      <c r="C206" s="135"/>
      <c r="D206" s="7"/>
      <c r="E206" s="10"/>
      <c r="F206" s="110"/>
      <c r="G206" s="146"/>
      <c r="H206" s="14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 customHeight="1">
      <c r="A207" s="10"/>
      <c r="B207" s="7"/>
      <c r="C207" s="135"/>
      <c r="D207" s="7"/>
      <c r="E207" s="10"/>
      <c r="F207" s="110"/>
      <c r="G207" s="146"/>
      <c r="H207" s="14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 customHeight="1">
      <c r="A208" s="10"/>
      <c r="B208" s="7"/>
      <c r="C208" s="10"/>
      <c r="D208" s="7"/>
      <c r="E208" s="10"/>
      <c r="F208" s="110"/>
      <c r="G208" s="146"/>
      <c r="H208" s="14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 customHeight="1">
      <c r="A209" s="10"/>
      <c r="B209" s="7"/>
      <c r="C209" s="10"/>
      <c r="D209" s="7"/>
      <c r="E209" s="10"/>
      <c r="F209" s="110"/>
      <c r="G209" s="146"/>
      <c r="H209" s="14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 customHeight="1">
      <c r="A210" s="10"/>
      <c r="B210" s="7"/>
      <c r="C210" s="10"/>
      <c r="D210" s="7"/>
      <c r="E210" s="10"/>
      <c r="F210" s="110"/>
      <c r="G210" s="146"/>
      <c r="H210" s="14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 customHeight="1">
      <c r="A211" s="10"/>
      <c r="B211" s="7"/>
      <c r="C211" s="10"/>
      <c r="D211" s="7"/>
      <c r="E211" s="10"/>
      <c r="F211" s="110"/>
      <c r="G211" s="146"/>
      <c r="H211" s="14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 customHeight="1">
      <c r="A212" s="10"/>
      <c r="B212" s="7"/>
      <c r="C212" s="10"/>
      <c r="D212" s="7"/>
      <c r="E212" s="10"/>
      <c r="F212" s="110"/>
      <c r="G212" s="146"/>
      <c r="H212" s="14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 customHeight="1">
      <c r="A213" s="10"/>
      <c r="B213" s="7"/>
      <c r="C213" s="10"/>
      <c r="D213" s="7"/>
      <c r="E213" s="10"/>
      <c r="F213" s="110"/>
      <c r="G213" s="146"/>
      <c r="H213" s="14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 customHeight="1">
      <c r="A214" s="10"/>
      <c r="B214" s="7"/>
      <c r="C214" s="10"/>
      <c r="D214" s="7"/>
      <c r="E214" s="10"/>
      <c r="F214" s="110"/>
      <c r="G214" s="146"/>
      <c r="H214" s="14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 customHeight="1">
      <c r="A215" s="10"/>
      <c r="B215" s="7"/>
      <c r="C215" s="10"/>
      <c r="D215" s="7"/>
      <c r="E215" s="10"/>
      <c r="F215" s="110"/>
      <c r="G215" s="146"/>
      <c r="H215" s="14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 customHeight="1">
      <c r="A216" s="10"/>
      <c r="B216" s="7"/>
      <c r="C216" s="10"/>
      <c r="D216" s="7"/>
      <c r="E216" s="10"/>
      <c r="F216" s="110"/>
      <c r="G216" s="146"/>
      <c r="H216" s="14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 customHeight="1">
      <c r="A217" s="10"/>
      <c r="B217" s="7"/>
      <c r="C217" s="10"/>
      <c r="D217" s="7"/>
      <c r="E217" s="10"/>
      <c r="F217" s="110"/>
      <c r="G217" s="146"/>
      <c r="H217" s="14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 customHeight="1">
      <c r="A218" s="10"/>
      <c r="B218" s="7"/>
      <c r="C218" s="10"/>
      <c r="D218" s="7"/>
      <c r="E218" s="10"/>
      <c r="F218" s="110"/>
      <c r="G218" s="146"/>
      <c r="H218" s="14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 customHeight="1">
      <c r="A219" s="10"/>
      <c r="B219" s="7"/>
      <c r="C219" s="10"/>
      <c r="D219" s="7"/>
      <c r="E219" s="10"/>
      <c r="F219" s="110"/>
      <c r="G219" s="146"/>
      <c r="H219" s="14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 customHeight="1">
      <c r="A220" s="10"/>
      <c r="B220" s="7"/>
      <c r="C220" s="10"/>
      <c r="D220" s="7"/>
      <c r="E220" s="10"/>
      <c r="F220" s="110"/>
      <c r="G220" s="146"/>
      <c r="H220" s="14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 customHeight="1">
      <c r="A221" s="56"/>
    </row>
    <row r="222" spans="1:32" ht="15.75" customHeight="1">
      <c r="A222" s="56"/>
    </row>
    <row r="223" spans="1:32" ht="15.75" customHeight="1">
      <c r="A223" s="56"/>
    </row>
    <row r="224" spans="1:32" ht="15.75" customHeight="1">
      <c r="A224" s="56"/>
    </row>
    <row r="225" spans="1:1" ht="15.75" customHeight="1">
      <c r="A225" s="56"/>
    </row>
    <row r="226" spans="1:1" ht="15.75" customHeight="1">
      <c r="A226" s="56"/>
    </row>
    <row r="227" spans="1:1" ht="15.75" customHeight="1">
      <c r="A227" s="56"/>
    </row>
    <row r="228" spans="1:1" ht="15.75" customHeight="1">
      <c r="A228" s="56"/>
    </row>
    <row r="229" spans="1:1" ht="15.75" customHeight="1">
      <c r="A229" s="56"/>
    </row>
    <row r="230" spans="1:1" ht="15.75" customHeight="1">
      <c r="A230" s="56"/>
    </row>
    <row r="231" spans="1:1" ht="15.75" customHeight="1">
      <c r="A231" s="56"/>
    </row>
    <row r="232" spans="1:1" ht="15.75" customHeight="1">
      <c r="A232" s="56"/>
    </row>
    <row r="233" spans="1:1" ht="15.75" customHeight="1">
      <c r="A233" s="56"/>
    </row>
    <row r="234" spans="1:1" ht="15.75" customHeight="1">
      <c r="A234" s="56"/>
    </row>
    <row r="235" spans="1:1" ht="15.75" customHeight="1">
      <c r="A235" s="56"/>
    </row>
    <row r="236" spans="1:1" ht="15.75" customHeight="1">
      <c r="A236" s="56"/>
    </row>
    <row r="237" spans="1:1" ht="15.75" customHeight="1">
      <c r="A237" s="56"/>
    </row>
    <row r="238" spans="1:1" ht="15.75" customHeight="1">
      <c r="A238" s="56"/>
    </row>
    <row r="239" spans="1:1" ht="15.75" customHeight="1">
      <c r="A239" s="56"/>
    </row>
    <row r="240" spans="1:1" ht="15.75" customHeight="1">
      <c r="A240" s="56"/>
    </row>
    <row r="241" spans="1:1" ht="15.75" customHeight="1">
      <c r="A241" s="56"/>
    </row>
    <row r="242" spans="1:1" ht="15.75" customHeight="1">
      <c r="A242" s="56"/>
    </row>
    <row r="243" spans="1:1" ht="15.75" customHeight="1">
      <c r="A243" s="56"/>
    </row>
    <row r="244" spans="1:1" ht="15.75" customHeight="1">
      <c r="A244" s="56"/>
    </row>
    <row r="245" spans="1:1" ht="15.75" customHeight="1">
      <c r="A245" s="56"/>
    </row>
    <row r="246" spans="1:1" ht="15.75" customHeight="1">
      <c r="A246" s="56"/>
    </row>
    <row r="247" spans="1:1" ht="15.75" customHeight="1">
      <c r="A247" s="56"/>
    </row>
    <row r="248" spans="1:1" ht="15.75" customHeight="1">
      <c r="A248" s="56"/>
    </row>
    <row r="249" spans="1:1" ht="15.75" customHeight="1">
      <c r="A249" s="56"/>
    </row>
    <row r="250" spans="1:1" ht="15.75" customHeight="1">
      <c r="A250" s="56"/>
    </row>
    <row r="251" spans="1:1" ht="15.75" customHeight="1">
      <c r="A251" s="56"/>
    </row>
    <row r="252" spans="1:1" ht="15.75" customHeight="1">
      <c r="A252" s="56"/>
    </row>
    <row r="253" spans="1:1" ht="15.75" customHeight="1">
      <c r="A253" s="56"/>
    </row>
    <row r="254" spans="1:1" ht="15.75" customHeight="1">
      <c r="A254" s="56"/>
    </row>
    <row r="255" spans="1:1" ht="15.75" customHeight="1">
      <c r="A255" s="56"/>
    </row>
    <row r="256" spans="1:1" ht="15.75" customHeight="1">
      <c r="A256" s="56"/>
    </row>
    <row r="257" spans="1:1" ht="15.75" customHeight="1">
      <c r="A257" s="56"/>
    </row>
    <row r="258" spans="1:1" ht="15.75" customHeight="1">
      <c r="A258" s="56"/>
    </row>
    <row r="259" spans="1:1" ht="15.75" customHeight="1">
      <c r="A259" s="56"/>
    </row>
    <row r="260" spans="1:1" ht="15.75" customHeight="1">
      <c r="A260" s="56"/>
    </row>
    <row r="261" spans="1:1" ht="15.75" customHeight="1">
      <c r="A261" s="56"/>
    </row>
    <row r="262" spans="1:1" ht="15.75" customHeight="1">
      <c r="A262" s="56"/>
    </row>
    <row r="263" spans="1:1" ht="15.75" customHeight="1">
      <c r="A263" s="56"/>
    </row>
    <row r="264" spans="1:1" ht="15.75" customHeight="1">
      <c r="A264" s="56"/>
    </row>
    <row r="265" spans="1:1" ht="15.75" customHeight="1">
      <c r="A265" s="56"/>
    </row>
    <row r="266" spans="1:1" ht="15.75" customHeight="1">
      <c r="A266" s="56"/>
    </row>
    <row r="267" spans="1:1" ht="15.75" customHeight="1">
      <c r="A267" s="56"/>
    </row>
    <row r="268" spans="1:1" ht="15.75" customHeight="1">
      <c r="A268" s="56"/>
    </row>
    <row r="269" spans="1:1" ht="15.75" customHeight="1">
      <c r="A269" s="56"/>
    </row>
    <row r="270" spans="1:1" ht="15.75" customHeight="1">
      <c r="A270" s="56"/>
    </row>
    <row r="271" spans="1:1" ht="15.75" customHeight="1">
      <c r="A271" s="56"/>
    </row>
    <row r="272" spans="1:1" ht="15.75" customHeight="1">
      <c r="A272" s="56"/>
    </row>
    <row r="273" spans="1:1" ht="15.75" customHeight="1">
      <c r="A273" s="56"/>
    </row>
    <row r="274" spans="1:1" ht="15.75" customHeight="1">
      <c r="A274" s="56"/>
    </row>
    <row r="275" spans="1:1" ht="15.75" customHeight="1">
      <c r="A275" s="56"/>
    </row>
    <row r="276" spans="1:1" ht="15.75" customHeight="1">
      <c r="A276" s="56"/>
    </row>
    <row r="277" spans="1:1" ht="15.75" customHeight="1">
      <c r="A277" s="56"/>
    </row>
    <row r="278" spans="1:1" ht="15.75" customHeight="1">
      <c r="A278" s="56"/>
    </row>
    <row r="279" spans="1:1" ht="15.75" customHeight="1">
      <c r="A279" s="56"/>
    </row>
    <row r="280" spans="1:1" ht="15.75" customHeight="1">
      <c r="A280" s="56"/>
    </row>
    <row r="281" spans="1:1" ht="15.75" customHeight="1">
      <c r="A281" s="56"/>
    </row>
    <row r="282" spans="1:1" ht="15.75" customHeight="1">
      <c r="A282" s="56"/>
    </row>
    <row r="283" spans="1:1" ht="15.75" customHeight="1">
      <c r="A283" s="56"/>
    </row>
    <row r="284" spans="1:1" ht="15.75" customHeight="1">
      <c r="A284" s="56"/>
    </row>
    <row r="285" spans="1:1" ht="15.75" customHeight="1">
      <c r="A285" s="56"/>
    </row>
    <row r="286" spans="1:1" ht="15.75" customHeight="1">
      <c r="A286" s="56"/>
    </row>
    <row r="287" spans="1:1" ht="15.75" customHeight="1">
      <c r="A287" s="56"/>
    </row>
    <row r="288" spans="1:1" ht="15.75" customHeight="1">
      <c r="A288" s="56"/>
    </row>
    <row r="289" spans="1:1" ht="15.75" customHeight="1">
      <c r="A289" s="56"/>
    </row>
    <row r="290" spans="1:1" ht="15.75" customHeight="1">
      <c r="A290" s="56"/>
    </row>
    <row r="291" spans="1:1" ht="15.75" customHeight="1">
      <c r="A291" s="56"/>
    </row>
    <row r="292" spans="1:1" ht="15.75" customHeight="1">
      <c r="A292" s="56"/>
    </row>
    <row r="293" spans="1:1" ht="15.75" customHeight="1">
      <c r="A293" s="56"/>
    </row>
    <row r="294" spans="1:1" ht="15.75" customHeight="1">
      <c r="A294" s="56"/>
    </row>
    <row r="295" spans="1:1" ht="15.75" customHeight="1">
      <c r="A295" s="56"/>
    </row>
    <row r="296" spans="1:1" ht="15.75" customHeight="1">
      <c r="A296" s="56"/>
    </row>
    <row r="297" spans="1:1" ht="15.75" customHeight="1">
      <c r="A297" s="56"/>
    </row>
    <row r="298" spans="1:1" ht="15.75" customHeight="1">
      <c r="A298" s="56"/>
    </row>
    <row r="299" spans="1:1" ht="15.75" customHeight="1">
      <c r="A299" s="56"/>
    </row>
    <row r="300" spans="1:1" ht="15.75" customHeight="1">
      <c r="A300" s="56"/>
    </row>
    <row r="301" spans="1:1" ht="15.75" customHeight="1">
      <c r="A301" s="56"/>
    </row>
    <row r="302" spans="1:1" ht="15.75" customHeight="1">
      <c r="A302" s="56"/>
    </row>
    <row r="303" spans="1:1" ht="15.75" customHeight="1">
      <c r="A303" s="56"/>
    </row>
    <row r="304" spans="1:1" ht="15.75" customHeight="1">
      <c r="A304" s="56"/>
    </row>
    <row r="305" spans="1:1" ht="15.75" customHeight="1">
      <c r="A305" s="56"/>
    </row>
    <row r="306" spans="1:1" ht="15.75" customHeight="1">
      <c r="A306" s="56"/>
    </row>
    <row r="307" spans="1:1" ht="15.75" customHeight="1">
      <c r="A307" s="56"/>
    </row>
    <row r="308" spans="1:1" ht="15.75" customHeight="1">
      <c r="A308" s="56"/>
    </row>
    <row r="309" spans="1:1" ht="15.75" customHeight="1">
      <c r="A309" s="56"/>
    </row>
    <row r="310" spans="1:1" ht="15.75" customHeight="1">
      <c r="A310" s="56"/>
    </row>
    <row r="311" spans="1:1" ht="15.75" customHeight="1">
      <c r="A311" s="56"/>
    </row>
    <row r="312" spans="1:1" ht="15.75" customHeight="1">
      <c r="A312" s="56"/>
    </row>
    <row r="313" spans="1:1" ht="15.75" customHeight="1">
      <c r="A313" s="56"/>
    </row>
    <row r="314" spans="1:1" ht="15.75" customHeight="1">
      <c r="A314" s="56"/>
    </row>
    <row r="315" spans="1:1" ht="15.75" customHeight="1">
      <c r="A315" s="56"/>
    </row>
    <row r="316" spans="1:1" ht="15.75" customHeight="1">
      <c r="A316" s="56"/>
    </row>
    <row r="317" spans="1:1" ht="15.75" customHeight="1">
      <c r="A317" s="56"/>
    </row>
    <row r="318" spans="1:1" ht="15.75" customHeight="1">
      <c r="A318" s="56"/>
    </row>
    <row r="319" spans="1:1" ht="15.75" customHeight="1">
      <c r="A319" s="56"/>
    </row>
    <row r="320" spans="1:1" ht="15.75" customHeight="1">
      <c r="A320" s="56"/>
    </row>
    <row r="321" spans="1:1" ht="15.75" customHeight="1">
      <c r="A321" s="56"/>
    </row>
    <row r="322" spans="1:1" ht="15.75" customHeight="1">
      <c r="A322" s="56"/>
    </row>
    <row r="323" spans="1:1" ht="15.75" customHeight="1">
      <c r="A323" s="56"/>
    </row>
    <row r="324" spans="1:1" ht="15.75" customHeight="1">
      <c r="A324" s="56"/>
    </row>
    <row r="325" spans="1:1" ht="15.75" customHeight="1">
      <c r="A325" s="56"/>
    </row>
    <row r="326" spans="1:1" ht="15.75" customHeight="1">
      <c r="A326" s="56"/>
    </row>
    <row r="327" spans="1:1" ht="15.75" customHeight="1">
      <c r="A327" s="56"/>
    </row>
    <row r="328" spans="1:1" ht="15.75" customHeight="1">
      <c r="A328" s="56"/>
    </row>
    <row r="329" spans="1:1" ht="15.75" customHeight="1">
      <c r="A329" s="56"/>
    </row>
    <row r="330" spans="1:1" ht="15.75" customHeight="1">
      <c r="A330" s="56"/>
    </row>
    <row r="331" spans="1:1" ht="15.75" customHeight="1">
      <c r="A331" s="56"/>
    </row>
    <row r="332" spans="1:1" ht="15.75" customHeight="1">
      <c r="A332" s="56"/>
    </row>
    <row r="333" spans="1:1" ht="15.75" customHeight="1">
      <c r="A333" s="56"/>
    </row>
    <row r="334" spans="1:1" ht="15.75" customHeight="1">
      <c r="A334" s="56"/>
    </row>
    <row r="335" spans="1:1" ht="15.75" customHeight="1">
      <c r="A335" s="56"/>
    </row>
    <row r="336" spans="1:1" ht="15.75" customHeight="1">
      <c r="A336" s="56"/>
    </row>
    <row r="337" spans="1:1" ht="15.75" customHeight="1">
      <c r="A337" s="56"/>
    </row>
    <row r="338" spans="1:1" ht="15.75" customHeight="1">
      <c r="A338" s="56"/>
    </row>
    <row r="339" spans="1:1" ht="15.75" customHeight="1">
      <c r="A339" s="56"/>
    </row>
    <row r="340" spans="1:1" ht="15.75" customHeight="1">
      <c r="A340" s="56"/>
    </row>
    <row r="341" spans="1:1" ht="15.75" customHeight="1">
      <c r="A341" s="56"/>
    </row>
    <row r="342" spans="1:1" ht="15.75" customHeight="1">
      <c r="A342" s="56"/>
    </row>
    <row r="343" spans="1:1" ht="15.75" customHeight="1">
      <c r="A343" s="56"/>
    </row>
    <row r="344" spans="1:1" ht="15.75" customHeight="1">
      <c r="A344" s="56"/>
    </row>
    <row r="345" spans="1:1" ht="15.75" customHeight="1">
      <c r="A345" s="56"/>
    </row>
    <row r="346" spans="1:1" ht="15.75" customHeight="1">
      <c r="A346" s="56"/>
    </row>
    <row r="347" spans="1:1" ht="15.75" customHeight="1">
      <c r="A347" s="56"/>
    </row>
    <row r="348" spans="1:1" ht="15.75" customHeight="1">
      <c r="A348" s="56"/>
    </row>
    <row r="349" spans="1:1" ht="15.75" customHeight="1">
      <c r="A349" s="56"/>
    </row>
    <row r="350" spans="1:1" ht="15.75" customHeight="1">
      <c r="A350" s="56"/>
    </row>
    <row r="351" spans="1:1" ht="15.75" customHeight="1">
      <c r="A351" s="56"/>
    </row>
    <row r="352" spans="1:1" ht="15.75" customHeight="1">
      <c r="A352" s="56"/>
    </row>
    <row r="353" spans="1:1" ht="15.75" customHeight="1">
      <c r="A353" s="56"/>
    </row>
    <row r="354" spans="1:1" ht="15.75" customHeight="1">
      <c r="A354" s="56"/>
    </row>
    <row r="355" spans="1:1" ht="15.75" customHeight="1">
      <c r="A355" s="56"/>
    </row>
    <row r="356" spans="1:1" ht="15.75" customHeight="1">
      <c r="A356" s="56"/>
    </row>
    <row r="357" spans="1:1" ht="15.75" customHeight="1">
      <c r="A357" s="56"/>
    </row>
    <row r="358" spans="1:1" ht="15.75" customHeight="1">
      <c r="A358" s="56"/>
    </row>
    <row r="359" spans="1:1" ht="15.75" customHeight="1">
      <c r="A359" s="56"/>
    </row>
    <row r="360" spans="1:1" ht="15.75" customHeight="1">
      <c r="A360" s="56"/>
    </row>
    <row r="361" spans="1:1" ht="15.75" customHeight="1">
      <c r="A361" s="56"/>
    </row>
    <row r="362" spans="1:1" ht="15.75" customHeight="1">
      <c r="A362" s="56"/>
    </row>
    <row r="363" spans="1:1" ht="15.75" customHeight="1">
      <c r="A363" s="56"/>
    </row>
    <row r="364" spans="1:1" ht="15.75" customHeight="1">
      <c r="A364" s="56"/>
    </row>
    <row r="365" spans="1:1" ht="15.75" customHeight="1">
      <c r="A365" s="56"/>
    </row>
    <row r="366" spans="1:1" ht="15.75" customHeight="1">
      <c r="A366" s="56"/>
    </row>
    <row r="367" spans="1:1" ht="15.75" customHeight="1">
      <c r="A367" s="56"/>
    </row>
    <row r="368" spans="1:1" ht="15.75" customHeight="1">
      <c r="A368" s="56"/>
    </row>
    <row r="369" spans="1:1" ht="15.75" customHeight="1">
      <c r="A369" s="56"/>
    </row>
    <row r="370" spans="1:1" ht="15.75" customHeight="1">
      <c r="A370" s="56"/>
    </row>
    <row r="371" spans="1:1" ht="15.75" customHeight="1">
      <c r="A371" s="56"/>
    </row>
    <row r="372" spans="1:1" ht="15.75" customHeight="1">
      <c r="A372" s="56"/>
    </row>
    <row r="373" spans="1:1" ht="15.75" customHeight="1">
      <c r="A373" s="56"/>
    </row>
    <row r="374" spans="1:1" ht="15.75" customHeight="1">
      <c r="A374" s="56"/>
    </row>
    <row r="375" spans="1:1" ht="15.75" customHeight="1">
      <c r="A375" s="56"/>
    </row>
    <row r="376" spans="1:1" ht="15.75" customHeight="1">
      <c r="A376" s="56"/>
    </row>
    <row r="377" spans="1:1" ht="15.75" customHeight="1">
      <c r="A377" s="56"/>
    </row>
    <row r="378" spans="1:1" ht="15.75" customHeight="1">
      <c r="A378" s="56"/>
    </row>
    <row r="379" spans="1:1" ht="15.75" customHeight="1">
      <c r="A379" s="56"/>
    </row>
    <row r="380" spans="1:1" ht="15.75" customHeight="1">
      <c r="A380" s="56"/>
    </row>
    <row r="381" spans="1:1" ht="15.75" customHeight="1">
      <c r="A381" s="56"/>
    </row>
    <row r="382" spans="1:1" ht="15.75" customHeight="1">
      <c r="A382" s="56"/>
    </row>
    <row r="383" spans="1:1" ht="15.75" customHeight="1">
      <c r="A383" s="56"/>
    </row>
    <row r="384" spans="1:1" ht="15.75" customHeight="1">
      <c r="A384" s="56"/>
    </row>
    <row r="385" spans="1:1" ht="15.75" customHeight="1">
      <c r="A385" s="56"/>
    </row>
    <row r="386" spans="1:1" ht="15.75" customHeight="1">
      <c r="A386" s="56"/>
    </row>
    <row r="387" spans="1:1" ht="15.75" customHeight="1">
      <c r="A387" s="56"/>
    </row>
    <row r="388" spans="1:1" ht="15.75" customHeight="1">
      <c r="A388" s="56"/>
    </row>
    <row r="389" spans="1:1" ht="15.75" customHeight="1">
      <c r="A389" s="56"/>
    </row>
    <row r="390" spans="1:1" ht="15.75" customHeight="1">
      <c r="A390" s="56"/>
    </row>
    <row r="391" spans="1:1" ht="15.75" customHeight="1">
      <c r="A391" s="56"/>
    </row>
    <row r="392" spans="1:1" ht="15.75" customHeight="1">
      <c r="A392" s="56"/>
    </row>
    <row r="393" spans="1:1" ht="15.75" customHeight="1">
      <c r="A393" s="56"/>
    </row>
    <row r="394" spans="1:1" ht="15.75" customHeight="1">
      <c r="A394" s="56"/>
    </row>
    <row r="395" spans="1:1" ht="15.75" customHeight="1">
      <c r="A395" s="56"/>
    </row>
    <row r="396" spans="1:1" ht="15.75" customHeight="1">
      <c r="A396" s="56"/>
    </row>
    <row r="397" spans="1:1" ht="15.75" customHeight="1">
      <c r="A397" s="56"/>
    </row>
    <row r="398" spans="1:1" ht="15.75" customHeight="1">
      <c r="A398" s="56"/>
    </row>
    <row r="399" spans="1:1" ht="15.75" customHeight="1">
      <c r="A399" s="56"/>
    </row>
    <row r="400" spans="1:1" ht="15.75" customHeight="1">
      <c r="A400" s="56"/>
    </row>
    <row r="401" spans="1:1" ht="15.75" customHeight="1">
      <c r="A401" s="56"/>
    </row>
    <row r="402" spans="1:1" ht="15.75" customHeight="1">
      <c r="A402" s="56"/>
    </row>
    <row r="403" spans="1:1" ht="15.75" customHeight="1">
      <c r="A403" s="56"/>
    </row>
    <row r="404" spans="1:1" ht="15.75" customHeight="1">
      <c r="A404" s="56"/>
    </row>
    <row r="405" spans="1:1" ht="15.75" customHeight="1">
      <c r="A405" s="56"/>
    </row>
    <row r="406" spans="1:1" ht="15.75" customHeight="1">
      <c r="A406" s="56"/>
    </row>
    <row r="407" spans="1:1" ht="15.75" customHeight="1">
      <c r="A407" s="56"/>
    </row>
    <row r="408" spans="1:1" ht="15.75" customHeight="1">
      <c r="A408" s="56"/>
    </row>
    <row r="409" spans="1:1" ht="15.75" customHeight="1">
      <c r="A409" s="56"/>
    </row>
    <row r="410" spans="1:1" ht="15.75" customHeight="1">
      <c r="A410" s="56"/>
    </row>
    <row r="411" spans="1:1" ht="15.75" customHeight="1">
      <c r="A411" s="56"/>
    </row>
    <row r="412" spans="1:1" ht="15.75" customHeight="1">
      <c r="A412" s="56"/>
    </row>
    <row r="413" spans="1:1" ht="15.75" customHeight="1">
      <c r="A413" s="56"/>
    </row>
    <row r="414" spans="1:1" ht="15.75" customHeight="1">
      <c r="A414" s="56"/>
    </row>
    <row r="415" spans="1:1" ht="15.75" customHeight="1">
      <c r="A415" s="56"/>
    </row>
    <row r="416" spans="1:1" ht="15.75" customHeight="1">
      <c r="A416" s="56"/>
    </row>
    <row r="417" spans="1:1" ht="15.75" customHeight="1">
      <c r="A417" s="56"/>
    </row>
    <row r="418" spans="1:1" ht="15.75" customHeight="1">
      <c r="A418" s="56"/>
    </row>
    <row r="419" spans="1:1" ht="15.75" customHeight="1">
      <c r="A419" s="56"/>
    </row>
    <row r="420" spans="1:1" ht="15.75" customHeight="1">
      <c r="A420" s="56"/>
    </row>
    <row r="421" spans="1:1" ht="15.75" customHeight="1">
      <c r="A421" s="56"/>
    </row>
    <row r="422" spans="1:1" ht="15.75" customHeight="1">
      <c r="A422" s="56"/>
    </row>
    <row r="423" spans="1:1" ht="15.75" customHeight="1">
      <c r="A423" s="56"/>
    </row>
    <row r="424" spans="1:1" ht="15.75" customHeight="1">
      <c r="A424" s="56"/>
    </row>
    <row r="425" spans="1:1" ht="15.75" customHeight="1">
      <c r="A425" s="56"/>
    </row>
    <row r="426" spans="1:1" ht="15.75" customHeight="1">
      <c r="A426" s="56"/>
    </row>
    <row r="427" spans="1:1" ht="15.75" customHeight="1">
      <c r="A427" s="56"/>
    </row>
    <row r="428" spans="1:1" ht="15.75" customHeight="1">
      <c r="A428" s="56"/>
    </row>
    <row r="429" spans="1:1" ht="15.75" customHeight="1">
      <c r="A429" s="56"/>
    </row>
    <row r="430" spans="1:1" ht="15.75" customHeight="1">
      <c r="A430" s="56"/>
    </row>
    <row r="431" spans="1:1" ht="15.75" customHeight="1">
      <c r="A431" s="56"/>
    </row>
    <row r="432" spans="1:1" ht="15.75" customHeight="1">
      <c r="A432" s="56"/>
    </row>
    <row r="433" spans="1:1" ht="15.75" customHeight="1">
      <c r="A433" s="56"/>
    </row>
    <row r="434" spans="1:1" ht="15.75" customHeight="1">
      <c r="A434" s="56"/>
    </row>
    <row r="435" spans="1:1" ht="15.75" customHeight="1">
      <c r="A435" s="56"/>
    </row>
    <row r="436" spans="1:1" ht="15.75" customHeight="1">
      <c r="A436" s="56"/>
    </row>
    <row r="437" spans="1:1" ht="15.75" customHeight="1">
      <c r="A437" s="56"/>
    </row>
    <row r="438" spans="1:1" ht="15.75" customHeight="1">
      <c r="A438" s="56"/>
    </row>
    <row r="439" spans="1:1" ht="15.75" customHeight="1">
      <c r="A439" s="56"/>
    </row>
    <row r="440" spans="1:1" ht="15.75" customHeight="1">
      <c r="A440" s="56"/>
    </row>
    <row r="441" spans="1:1" ht="15.75" customHeight="1">
      <c r="A441" s="56"/>
    </row>
    <row r="442" spans="1:1" ht="15.75" customHeight="1">
      <c r="A442" s="56"/>
    </row>
    <row r="443" spans="1:1" ht="15.75" customHeight="1">
      <c r="A443" s="56"/>
    </row>
    <row r="444" spans="1:1" ht="15.75" customHeight="1">
      <c r="A444" s="56"/>
    </row>
    <row r="445" spans="1:1" ht="15.75" customHeight="1">
      <c r="A445" s="56"/>
    </row>
    <row r="446" spans="1:1" ht="15.75" customHeight="1">
      <c r="A446" s="56"/>
    </row>
    <row r="447" spans="1:1" ht="15.75" customHeight="1">
      <c r="A447" s="56"/>
    </row>
    <row r="448" spans="1:1" ht="15.75" customHeight="1">
      <c r="A448" s="56"/>
    </row>
    <row r="449" spans="1:1" ht="15.75" customHeight="1">
      <c r="A449" s="56"/>
    </row>
    <row r="450" spans="1:1" ht="15.75" customHeight="1">
      <c r="A450" s="56"/>
    </row>
    <row r="451" spans="1:1" ht="15.75" customHeight="1">
      <c r="A451" s="56"/>
    </row>
    <row r="452" spans="1:1" ht="15.75" customHeight="1">
      <c r="A452" s="56"/>
    </row>
    <row r="453" spans="1:1" ht="15.75" customHeight="1">
      <c r="A453" s="56"/>
    </row>
    <row r="454" spans="1:1" ht="15.75" customHeight="1">
      <c r="A454" s="56"/>
    </row>
    <row r="455" spans="1:1" ht="15.75" customHeight="1">
      <c r="A455" s="56"/>
    </row>
    <row r="456" spans="1:1" ht="15.75" customHeight="1">
      <c r="A456" s="56"/>
    </row>
    <row r="457" spans="1:1" ht="15.75" customHeight="1">
      <c r="A457" s="56"/>
    </row>
    <row r="458" spans="1:1" ht="15.75" customHeight="1">
      <c r="A458" s="56"/>
    </row>
    <row r="459" spans="1:1" ht="15.75" customHeight="1">
      <c r="A459" s="56"/>
    </row>
    <row r="460" spans="1:1" ht="15.75" customHeight="1">
      <c r="A460" s="56"/>
    </row>
    <row r="461" spans="1:1" ht="15.75" customHeight="1">
      <c r="A461" s="56"/>
    </row>
    <row r="462" spans="1:1" ht="15.75" customHeight="1">
      <c r="A462" s="56"/>
    </row>
    <row r="463" spans="1:1" ht="15.75" customHeight="1">
      <c r="A463" s="56"/>
    </row>
    <row r="464" spans="1:1" ht="15.75" customHeight="1">
      <c r="A464" s="56"/>
    </row>
    <row r="465" spans="1:1" ht="15.75" customHeight="1">
      <c r="A465" s="56"/>
    </row>
    <row r="466" spans="1:1" ht="15.75" customHeight="1">
      <c r="A466" s="56"/>
    </row>
    <row r="467" spans="1:1" ht="15.75" customHeight="1">
      <c r="A467" s="56"/>
    </row>
    <row r="468" spans="1:1" ht="15.75" customHeight="1">
      <c r="A468" s="56"/>
    </row>
    <row r="469" spans="1:1" ht="15.75" customHeight="1">
      <c r="A469" s="56"/>
    </row>
    <row r="470" spans="1:1" ht="15.75" customHeight="1">
      <c r="A470" s="56"/>
    </row>
    <row r="471" spans="1:1" ht="15.75" customHeight="1">
      <c r="A471" s="56"/>
    </row>
    <row r="472" spans="1:1" ht="15.75" customHeight="1">
      <c r="A472" s="56"/>
    </row>
    <row r="473" spans="1:1" ht="15.75" customHeight="1">
      <c r="A473" s="56"/>
    </row>
    <row r="474" spans="1:1" ht="15.75" customHeight="1">
      <c r="A474" s="56"/>
    </row>
    <row r="475" spans="1:1" ht="15.75" customHeight="1">
      <c r="A475" s="56"/>
    </row>
    <row r="476" spans="1:1" ht="15.75" customHeight="1">
      <c r="A476" s="56"/>
    </row>
    <row r="477" spans="1:1" ht="15.75" customHeight="1">
      <c r="A477" s="56"/>
    </row>
    <row r="478" spans="1:1" ht="15.75" customHeight="1">
      <c r="A478" s="56"/>
    </row>
    <row r="479" spans="1:1" ht="15.75" customHeight="1">
      <c r="A479" s="56"/>
    </row>
    <row r="480" spans="1:1" ht="15.75" customHeight="1">
      <c r="A480" s="56"/>
    </row>
    <row r="481" spans="1:1" ht="15.75" customHeight="1">
      <c r="A481" s="56"/>
    </row>
    <row r="482" spans="1:1" ht="15.75" customHeight="1">
      <c r="A482" s="56"/>
    </row>
    <row r="483" spans="1:1" ht="15.75" customHeight="1">
      <c r="A483" s="56"/>
    </row>
    <row r="484" spans="1:1" ht="15.75" customHeight="1">
      <c r="A484" s="56"/>
    </row>
    <row r="485" spans="1:1" ht="15.75" customHeight="1">
      <c r="A485" s="56"/>
    </row>
    <row r="486" spans="1:1" ht="15.75" customHeight="1">
      <c r="A486" s="56"/>
    </row>
    <row r="487" spans="1:1" ht="15.75" customHeight="1">
      <c r="A487" s="56"/>
    </row>
    <row r="488" spans="1:1" ht="15.75" customHeight="1">
      <c r="A488" s="56"/>
    </row>
    <row r="489" spans="1:1" ht="15.75" customHeight="1">
      <c r="A489" s="56"/>
    </row>
    <row r="490" spans="1:1" ht="15.75" customHeight="1">
      <c r="A490" s="56"/>
    </row>
    <row r="491" spans="1:1" ht="15.75" customHeight="1">
      <c r="A491" s="56"/>
    </row>
    <row r="492" spans="1:1" ht="15.75" customHeight="1">
      <c r="A492" s="56"/>
    </row>
    <row r="493" spans="1:1" ht="15.75" customHeight="1">
      <c r="A493" s="56"/>
    </row>
    <row r="494" spans="1:1" ht="15.75" customHeight="1">
      <c r="A494" s="56"/>
    </row>
    <row r="495" spans="1:1" ht="15.75" customHeight="1">
      <c r="A495" s="56"/>
    </row>
    <row r="496" spans="1:1" ht="15.75" customHeight="1">
      <c r="A496" s="56"/>
    </row>
    <row r="497" spans="1:1" ht="15.75" customHeight="1">
      <c r="A497" s="56"/>
    </row>
    <row r="498" spans="1:1" ht="15.75" customHeight="1">
      <c r="A498" s="56"/>
    </row>
    <row r="499" spans="1:1" ht="15.75" customHeight="1">
      <c r="A499" s="56"/>
    </row>
    <row r="500" spans="1:1" ht="15.75" customHeight="1">
      <c r="A500" s="56"/>
    </row>
    <row r="501" spans="1:1" ht="15.75" customHeight="1">
      <c r="A501" s="56"/>
    </row>
    <row r="502" spans="1:1" ht="15.75" customHeight="1">
      <c r="A502" s="56"/>
    </row>
    <row r="503" spans="1:1" ht="15.75" customHeight="1">
      <c r="A503" s="56"/>
    </row>
    <row r="504" spans="1:1" ht="15.75" customHeight="1">
      <c r="A504" s="56"/>
    </row>
    <row r="505" spans="1:1" ht="15.75" customHeight="1">
      <c r="A505" s="56"/>
    </row>
    <row r="506" spans="1:1" ht="15.75" customHeight="1">
      <c r="A506" s="56"/>
    </row>
    <row r="507" spans="1:1" ht="15.75" customHeight="1">
      <c r="A507" s="56"/>
    </row>
    <row r="508" spans="1:1" ht="15.75" customHeight="1">
      <c r="A508" s="56"/>
    </row>
    <row r="509" spans="1:1" ht="15.75" customHeight="1">
      <c r="A509" s="56"/>
    </row>
    <row r="510" spans="1:1" ht="15.75" customHeight="1">
      <c r="A510" s="56"/>
    </row>
    <row r="511" spans="1:1" ht="15.75" customHeight="1">
      <c r="A511" s="56"/>
    </row>
    <row r="512" spans="1:1" ht="15.75" customHeight="1">
      <c r="A512" s="56"/>
    </row>
    <row r="513" spans="1:1" ht="15.75" customHeight="1">
      <c r="A513" s="56"/>
    </row>
    <row r="514" spans="1:1" ht="15.75" customHeight="1">
      <c r="A514" s="56"/>
    </row>
    <row r="515" spans="1:1" ht="15.75" customHeight="1">
      <c r="A515" s="56"/>
    </row>
    <row r="516" spans="1:1" ht="15.75" customHeight="1">
      <c r="A516" s="56"/>
    </row>
    <row r="517" spans="1:1" ht="15.75" customHeight="1">
      <c r="A517" s="56"/>
    </row>
    <row r="518" spans="1:1" ht="15.75" customHeight="1">
      <c r="A518" s="56"/>
    </row>
    <row r="519" spans="1:1" ht="15.75" customHeight="1">
      <c r="A519" s="56"/>
    </row>
    <row r="520" spans="1:1" ht="15.75" customHeight="1">
      <c r="A520" s="56"/>
    </row>
    <row r="521" spans="1:1" ht="15.75" customHeight="1">
      <c r="A521" s="56"/>
    </row>
    <row r="522" spans="1:1" ht="15.75" customHeight="1">
      <c r="A522" s="56"/>
    </row>
    <row r="523" spans="1:1" ht="15.75" customHeight="1">
      <c r="A523" s="56"/>
    </row>
    <row r="524" spans="1:1" ht="15.75" customHeight="1">
      <c r="A524" s="56"/>
    </row>
    <row r="525" spans="1:1" ht="15.75" customHeight="1">
      <c r="A525" s="56"/>
    </row>
    <row r="526" spans="1:1" ht="15.75" customHeight="1">
      <c r="A526" s="56"/>
    </row>
    <row r="527" spans="1:1" ht="15.75" customHeight="1">
      <c r="A527" s="56"/>
    </row>
    <row r="528" spans="1:1" ht="15.75" customHeight="1">
      <c r="A528" s="56"/>
    </row>
    <row r="529" spans="1:1" ht="15.75" customHeight="1">
      <c r="A529" s="56"/>
    </row>
    <row r="530" spans="1:1" ht="15.75" customHeight="1">
      <c r="A530" s="56"/>
    </row>
    <row r="531" spans="1:1" ht="15.75" customHeight="1">
      <c r="A531" s="56"/>
    </row>
    <row r="532" spans="1:1" ht="15.75" customHeight="1">
      <c r="A532" s="56"/>
    </row>
    <row r="533" spans="1:1" ht="15.75" customHeight="1">
      <c r="A533" s="56"/>
    </row>
    <row r="534" spans="1:1" ht="15.75" customHeight="1">
      <c r="A534" s="56"/>
    </row>
    <row r="535" spans="1:1" ht="15.75" customHeight="1">
      <c r="A535" s="56"/>
    </row>
    <row r="536" spans="1:1" ht="15.75" customHeight="1">
      <c r="A536" s="56"/>
    </row>
    <row r="537" spans="1:1" ht="15.75" customHeight="1">
      <c r="A537" s="56"/>
    </row>
    <row r="538" spans="1:1" ht="15.75" customHeight="1">
      <c r="A538" s="56"/>
    </row>
    <row r="539" spans="1:1" ht="15.75" customHeight="1">
      <c r="A539" s="56"/>
    </row>
    <row r="540" spans="1:1" ht="15.75" customHeight="1">
      <c r="A540" s="56"/>
    </row>
    <row r="541" spans="1:1" ht="15.75" customHeight="1">
      <c r="A541" s="56"/>
    </row>
    <row r="542" spans="1:1" ht="15.75" customHeight="1">
      <c r="A542" s="56"/>
    </row>
    <row r="543" spans="1:1" ht="15.75" customHeight="1">
      <c r="A543" s="56"/>
    </row>
    <row r="544" spans="1:1" ht="15.75" customHeight="1">
      <c r="A544" s="56"/>
    </row>
    <row r="545" spans="1:1" ht="15.75" customHeight="1">
      <c r="A545" s="56"/>
    </row>
    <row r="546" spans="1:1" ht="15.75" customHeight="1">
      <c r="A546" s="56"/>
    </row>
    <row r="547" spans="1:1" ht="15.75" customHeight="1">
      <c r="A547" s="56"/>
    </row>
    <row r="548" spans="1:1" ht="15.75" customHeight="1">
      <c r="A548" s="56"/>
    </row>
    <row r="549" spans="1:1" ht="15.75" customHeight="1">
      <c r="A549" s="56"/>
    </row>
    <row r="550" spans="1:1" ht="15.75" customHeight="1">
      <c r="A550" s="56"/>
    </row>
    <row r="551" spans="1:1" ht="15.75" customHeight="1">
      <c r="A551" s="56"/>
    </row>
    <row r="552" spans="1:1" ht="15.75" customHeight="1">
      <c r="A552" s="56"/>
    </row>
    <row r="553" spans="1:1" ht="15.75" customHeight="1">
      <c r="A553" s="56"/>
    </row>
    <row r="554" spans="1:1" ht="15.75" customHeight="1">
      <c r="A554" s="56"/>
    </row>
    <row r="555" spans="1:1" ht="15.75" customHeight="1">
      <c r="A555" s="56"/>
    </row>
    <row r="556" spans="1:1" ht="15.75" customHeight="1">
      <c r="A556" s="56"/>
    </row>
    <row r="557" spans="1:1" ht="15.75" customHeight="1">
      <c r="A557" s="56"/>
    </row>
    <row r="558" spans="1:1" ht="15.75" customHeight="1">
      <c r="A558" s="56"/>
    </row>
    <row r="559" spans="1:1" ht="15.75" customHeight="1">
      <c r="A559" s="56"/>
    </row>
    <row r="560" spans="1:1" ht="15.75" customHeight="1">
      <c r="A560" s="56"/>
    </row>
    <row r="561" spans="1:1" ht="15.75" customHeight="1">
      <c r="A561" s="56"/>
    </row>
    <row r="562" spans="1:1" ht="15.75" customHeight="1">
      <c r="A562" s="56"/>
    </row>
    <row r="563" spans="1:1" ht="15.75" customHeight="1">
      <c r="A563" s="56"/>
    </row>
    <row r="564" spans="1:1" ht="15.75" customHeight="1">
      <c r="A564" s="56"/>
    </row>
    <row r="565" spans="1:1" ht="15.75" customHeight="1">
      <c r="A565" s="56"/>
    </row>
    <row r="566" spans="1:1" ht="15.75" customHeight="1">
      <c r="A566" s="56"/>
    </row>
    <row r="567" spans="1:1" ht="15.75" customHeight="1">
      <c r="A567" s="56"/>
    </row>
    <row r="568" spans="1:1" ht="15.75" customHeight="1">
      <c r="A568" s="56"/>
    </row>
    <row r="569" spans="1:1" ht="15.75" customHeight="1">
      <c r="A569" s="56"/>
    </row>
    <row r="570" spans="1:1" ht="15.75" customHeight="1">
      <c r="A570" s="56"/>
    </row>
    <row r="571" spans="1:1" ht="15.75" customHeight="1">
      <c r="A571" s="56"/>
    </row>
    <row r="572" spans="1:1" ht="15.75" customHeight="1">
      <c r="A572" s="56"/>
    </row>
    <row r="573" spans="1:1" ht="15.75" customHeight="1">
      <c r="A573" s="56"/>
    </row>
    <row r="574" spans="1:1" ht="15.75" customHeight="1">
      <c r="A574" s="56"/>
    </row>
    <row r="575" spans="1:1" ht="15.75" customHeight="1">
      <c r="A575" s="56"/>
    </row>
    <row r="576" spans="1:1" ht="15.75" customHeight="1">
      <c r="A576" s="56"/>
    </row>
    <row r="577" spans="1:1" ht="15.75" customHeight="1">
      <c r="A577" s="56"/>
    </row>
    <row r="578" spans="1:1" ht="15.75" customHeight="1">
      <c r="A578" s="56"/>
    </row>
    <row r="579" spans="1:1" ht="15.75" customHeight="1">
      <c r="A579" s="56"/>
    </row>
    <row r="580" spans="1:1" ht="15.75" customHeight="1">
      <c r="A580" s="56"/>
    </row>
    <row r="581" spans="1:1" ht="15.75" customHeight="1">
      <c r="A581" s="56"/>
    </row>
    <row r="582" spans="1:1" ht="15.75" customHeight="1">
      <c r="A582" s="56"/>
    </row>
    <row r="583" spans="1:1" ht="15.75" customHeight="1">
      <c r="A583" s="56"/>
    </row>
    <row r="584" spans="1:1" ht="15.75" customHeight="1">
      <c r="A584" s="56"/>
    </row>
    <row r="585" spans="1:1" ht="15.75" customHeight="1">
      <c r="A585" s="56"/>
    </row>
    <row r="586" spans="1:1" ht="15.75" customHeight="1">
      <c r="A586" s="56"/>
    </row>
    <row r="587" spans="1:1" ht="15.75" customHeight="1">
      <c r="A587" s="56"/>
    </row>
    <row r="588" spans="1:1" ht="15.75" customHeight="1">
      <c r="A588" s="56"/>
    </row>
    <row r="589" spans="1:1" ht="15.75" customHeight="1">
      <c r="A589" s="56"/>
    </row>
    <row r="590" spans="1:1" ht="15.75" customHeight="1">
      <c r="A590" s="56"/>
    </row>
    <row r="591" spans="1:1" ht="15.75" customHeight="1">
      <c r="A591" s="56"/>
    </row>
    <row r="592" spans="1:1" ht="15.75" customHeight="1">
      <c r="A592" s="56"/>
    </row>
    <row r="593" spans="1:1" ht="15.75" customHeight="1">
      <c r="A593" s="56"/>
    </row>
    <row r="594" spans="1:1" ht="15.75" customHeight="1">
      <c r="A594" s="56"/>
    </row>
    <row r="595" spans="1:1" ht="15.75" customHeight="1">
      <c r="A595" s="56"/>
    </row>
    <row r="596" spans="1:1" ht="15.75" customHeight="1">
      <c r="A596" s="56"/>
    </row>
    <row r="597" spans="1:1" ht="15.75" customHeight="1">
      <c r="A597" s="56"/>
    </row>
    <row r="598" spans="1:1" ht="15.75" customHeight="1">
      <c r="A598" s="56"/>
    </row>
    <row r="599" spans="1:1" ht="15.75" customHeight="1">
      <c r="A599" s="56"/>
    </row>
    <row r="600" spans="1:1" ht="15.75" customHeight="1">
      <c r="A600" s="56"/>
    </row>
    <row r="601" spans="1:1" ht="15.75" customHeight="1">
      <c r="A601" s="56"/>
    </row>
    <row r="602" spans="1:1" ht="15.75" customHeight="1">
      <c r="A602" s="56"/>
    </row>
    <row r="603" spans="1:1" ht="15.75" customHeight="1">
      <c r="A603" s="56"/>
    </row>
    <row r="604" spans="1:1" ht="15.75" customHeight="1">
      <c r="A604" s="56"/>
    </row>
    <row r="605" spans="1:1" ht="15.75" customHeight="1">
      <c r="A605" s="56"/>
    </row>
    <row r="606" spans="1:1" ht="15.75" customHeight="1">
      <c r="A606" s="56"/>
    </row>
    <row r="607" spans="1:1" ht="15.75" customHeight="1">
      <c r="A607" s="56"/>
    </row>
    <row r="608" spans="1:1" ht="15.75" customHeight="1">
      <c r="A608" s="56"/>
    </row>
    <row r="609" spans="1:1" ht="15.75" customHeight="1">
      <c r="A609" s="56"/>
    </row>
    <row r="610" spans="1:1" ht="15.75" customHeight="1">
      <c r="A610" s="56"/>
    </row>
    <row r="611" spans="1:1" ht="15.75" customHeight="1">
      <c r="A611" s="56"/>
    </row>
    <row r="612" spans="1:1" ht="15.75" customHeight="1">
      <c r="A612" s="56"/>
    </row>
    <row r="613" spans="1:1" ht="15.75" customHeight="1">
      <c r="A613" s="56"/>
    </row>
    <row r="614" spans="1:1" ht="15.75" customHeight="1">
      <c r="A614" s="56"/>
    </row>
    <row r="615" spans="1:1" ht="15.75" customHeight="1">
      <c r="A615" s="56"/>
    </row>
    <row r="616" spans="1:1" ht="15.75" customHeight="1">
      <c r="A616" s="56"/>
    </row>
    <row r="617" spans="1:1" ht="15.75" customHeight="1">
      <c r="A617" s="56"/>
    </row>
    <row r="618" spans="1:1" ht="15.75" customHeight="1">
      <c r="A618" s="56"/>
    </row>
    <row r="619" spans="1:1" ht="15.75" customHeight="1">
      <c r="A619" s="56"/>
    </row>
    <row r="620" spans="1:1" ht="15.75" customHeight="1">
      <c r="A620" s="56"/>
    </row>
    <row r="621" spans="1:1" ht="15.75" customHeight="1">
      <c r="A621" s="56"/>
    </row>
    <row r="622" spans="1:1" ht="15.75" customHeight="1">
      <c r="A622" s="56"/>
    </row>
    <row r="623" spans="1:1" ht="15.75" customHeight="1">
      <c r="A623" s="56"/>
    </row>
    <row r="624" spans="1:1" ht="15.75" customHeight="1">
      <c r="A624" s="56"/>
    </row>
    <row r="625" spans="1:1" ht="15.75" customHeight="1">
      <c r="A625" s="56"/>
    </row>
    <row r="626" spans="1:1" ht="15.75" customHeight="1">
      <c r="A626" s="56"/>
    </row>
    <row r="627" spans="1:1" ht="15.75" customHeight="1">
      <c r="A627" s="56"/>
    </row>
    <row r="628" spans="1:1" ht="15.75" customHeight="1">
      <c r="A628" s="56"/>
    </row>
    <row r="629" spans="1:1" ht="15.75" customHeight="1">
      <c r="A629" s="56"/>
    </row>
    <row r="630" spans="1:1" ht="15.75" customHeight="1">
      <c r="A630" s="56"/>
    </row>
    <row r="631" spans="1:1" ht="15.75" customHeight="1">
      <c r="A631" s="56"/>
    </row>
    <row r="632" spans="1:1" ht="15.75" customHeight="1">
      <c r="A632" s="56"/>
    </row>
    <row r="633" spans="1:1" ht="15.75" customHeight="1">
      <c r="A633" s="56"/>
    </row>
    <row r="634" spans="1:1" ht="15.75" customHeight="1">
      <c r="A634" s="56"/>
    </row>
    <row r="635" spans="1:1" ht="15.75" customHeight="1">
      <c r="A635" s="56"/>
    </row>
    <row r="636" spans="1:1" ht="15.75" customHeight="1">
      <c r="A636" s="56"/>
    </row>
    <row r="637" spans="1:1" ht="15.75" customHeight="1">
      <c r="A637" s="56"/>
    </row>
    <row r="638" spans="1:1" ht="15.75" customHeight="1">
      <c r="A638" s="56"/>
    </row>
    <row r="639" spans="1:1" ht="15.75" customHeight="1">
      <c r="A639" s="56"/>
    </row>
    <row r="640" spans="1:1" ht="15.75" customHeight="1">
      <c r="A640" s="56"/>
    </row>
    <row r="641" spans="1:1" ht="15.75" customHeight="1">
      <c r="A641" s="56"/>
    </row>
    <row r="642" spans="1:1" ht="15.75" customHeight="1">
      <c r="A642" s="56"/>
    </row>
    <row r="643" spans="1:1" ht="15.75" customHeight="1">
      <c r="A643" s="56"/>
    </row>
    <row r="644" spans="1:1" ht="15.75" customHeight="1">
      <c r="A644" s="56"/>
    </row>
    <row r="645" spans="1:1" ht="15.75" customHeight="1">
      <c r="A645" s="56"/>
    </row>
    <row r="646" spans="1:1" ht="15.75" customHeight="1">
      <c r="A646" s="56"/>
    </row>
    <row r="647" spans="1:1" ht="15.75" customHeight="1">
      <c r="A647" s="56"/>
    </row>
    <row r="648" spans="1:1" ht="15.75" customHeight="1">
      <c r="A648" s="56"/>
    </row>
    <row r="649" spans="1:1" ht="15.75" customHeight="1">
      <c r="A649" s="56"/>
    </row>
    <row r="650" spans="1:1" ht="15.75" customHeight="1">
      <c r="A650" s="56"/>
    </row>
    <row r="651" spans="1:1" ht="15.75" customHeight="1">
      <c r="A651" s="56"/>
    </row>
    <row r="652" spans="1:1" ht="15.75" customHeight="1">
      <c r="A652" s="56"/>
    </row>
    <row r="653" spans="1:1" ht="15.75" customHeight="1">
      <c r="A653" s="56"/>
    </row>
    <row r="654" spans="1:1" ht="15.75" customHeight="1">
      <c r="A654" s="56"/>
    </row>
    <row r="655" spans="1:1" ht="15.75" customHeight="1">
      <c r="A655" s="56"/>
    </row>
    <row r="656" spans="1:1" ht="15.75" customHeight="1">
      <c r="A656" s="56"/>
    </row>
    <row r="657" spans="1:1" ht="15.75" customHeight="1">
      <c r="A657" s="56"/>
    </row>
    <row r="658" spans="1:1" ht="15.75" customHeight="1">
      <c r="A658" s="56"/>
    </row>
    <row r="659" spans="1:1" ht="15.75" customHeight="1">
      <c r="A659" s="56"/>
    </row>
    <row r="660" spans="1:1" ht="15.75" customHeight="1">
      <c r="A660" s="56"/>
    </row>
    <row r="661" spans="1:1" ht="15.75" customHeight="1">
      <c r="A661" s="56"/>
    </row>
    <row r="662" spans="1:1" ht="15.75" customHeight="1">
      <c r="A662" s="56"/>
    </row>
    <row r="663" spans="1:1" ht="15.75" customHeight="1">
      <c r="A663" s="56"/>
    </row>
    <row r="664" spans="1:1" ht="15.75" customHeight="1">
      <c r="A664" s="56"/>
    </row>
    <row r="665" spans="1:1" ht="15.75" customHeight="1">
      <c r="A665" s="56"/>
    </row>
    <row r="666" spans="1:1" ht="15.75" customHeight="1">
      <c r="A666" s="56"/>
    </row>
    <row r="667" spans="1:1" ht="15.75" customHeight="1">
      <c r="A667" s="56"/>
    </row>
    <row r="668" spans="1:1" ht="15.75" customHeight="1">
      <c r="A668" s="56"/>
    </row>
    <row r="669" spans="1:1" ht="15.75" customHeight="1">
      <c r="A669" s="56"/>
    </row>
    <row r="670" spans="1:1" ht="15.75" customHeight="1">
      <c r="A670" s="56"/>
    </row>
    <row r="671" spans="1:1" ht="15.75" customHeight="1">
      <c r="A671" s="56"/>
    </row>
    <row r="672" spans="1:1" ht="15.75" customHeight="1">
      <c r="A672" s="56"/>
    </row>
    <row r="673" spans="1:1" ht="15.75" customHeight="1">
      <c r="A673" s="56"/>
    </row>
    <row r="674" spans="1:1" ht="15.75" customHeight="1">
      <c r="A674" s="56"/>
    </row>
    <row r="675" spans="1:1" ht="15.75" customHeight="1">
      <c r="A675" s="56"/>
    </row>
    <row r="676" spans="1:1" ht="15.75" customHeight="1">
      <c r="A676" s="56"/>
    </row>
    <row r="677" spans="1:1" ht="15.75" customHeight="1">
      <c r="A677" s="56"/>
    </row>
    <row r="678" spans="1:1" ht="15.75" customHeight="1">
      <c r="A678" s="56"/>
    </row>
    <row r="679" spans="1:1" ht="15.75" customHeight="1">
      <c r="A679" s="56"/>
    </row>
    <row r="680" spans="1:1" ht="15.75" customHeight="1">
      <c r="A680" s="56"/>
    </row>
    <row r="681" spans="1:1" ht="15.75" customHeight="1">
      <c r="A681" s="56"/>
    </row>
    <row r="682" spans="1:1" ht="15.75" customHeight="1">
      <c r="A682" s="56"/>
    </row>
    <row r="683" spans="1:1" ht="15.75" customHeight="1">
      <c r="A683" s="56"/>
    </row>
    <row r="684" spans="1:1" ht="15.75" customHeight="1">
      <c r="A684" s="56"/>
    </row>
    <row r="685" spans="1:1" ht="15.75" customHeight="1">
      <c r="A685" s="56"/>
    </row>
    <row r="686" spans="1:1" ht="15.75" customHeight="1">
      <c r="A686" s="56"/>
    </row>
    <row r="687" spans="1:1" ht="15.75" customHeight="1">
      <c r="A687" s="56"/>
    </row>
    <row r="688" spans="1:1" ht="15.75" customHeight="1">
      <c r="A688" s="56"/>
    </row>
    <row r="689" spans="1:1" ht="15.75" customHeight="1">
      <c r="A689" s="56"/>
    </row>
    <row r="690" spans="1:1" ht="15.75" customHeight="1">
      <c r="A690" s="56"/>
    </row>
    <row r="691" spans="1:1" ht="15.75" customHeight="1">
      <c r="A691" s="56"/>
    </row>
    <row r="692" spans="1:1" ht="15.75" customHeight="1">
      <c r="A692" s="56"/>
    </row>
    <row r="693" spans="1:1" ht="15.75" customHeight="1">
      <c r="A693" s="56"/>
    </row>
    <row r="694" spans="1:1" ht="15.75" customHeight="1">
      <c r="A694" s="56"/>
    </row>
    <row r="695" spans="1:1" ht="15.75" customHeight="1">
      <c r="A695" s="56"/>
    </row>
    <row r="696" spans="1:1" ht="15.75" customHeight="1">
      <c r="A696" s="56"/>
    </row>
    <row r="697" spans="1:1" ht="15.75" customHeight="1">
      <c r="A697" s="56"/>
    </row>
    <row r="698" spans="1:1" ht="15.75" customHeight="1">
      <c r="A698" s="56"/>
    </row>
    <row r="699" spans="1:1" ht="15.75" customHeight="1">
      <c r="A699" s="56"/>
    </row>
    <row r="700" spans="1:1" ht="15.75" customHeight="1">
      <c r="A700" s="56"/>
    </row>
    <row r="701" spans="1:1" ht="15.75" customHeight="1">
      <c r="A701" s="56"/>
    </row>
    <row r="702" spans="1:1" ht="15.75" customHeight="1">
      <c r="A702" s="56"/>
    </row>
    <row r="703" spans="1:1" ht="15.75" customHeight="1">
      <c r="A703" s="56"/>
    </row>
    <row r="704" spans="1:1" ht="15.75" customHeight="1">
      <c r="A704" s="56"/>
    </row>
    <row r="705" spans="1:1" ht="15.75" customHeight="1">
      <c r="A705" s="56"/>
    </row>
    <row r="706" spans="1:1" ht="15.75" customHeight="1">
      <c r="A706" s="56"/>
    </row>
    <row r="707" spans="1:1" ht="15.75" customHeight="1">
      <c r="A707" s="56"/>
    </row>
    <row r="708" spans="1:1" ht="15.75" customHeight="1">
      <c r="A708" s="56"/>
    </row>
    <row r="709" spans="1:1" ht="15.75" customHeight="1">
      <c r="A709" s="56"/>
    </row>
    <row r="710" spans="1:1" ht="15.75" customHeight="1">
      <c r="A710" s="56"/>
    </row>
    <row r="711" spans="1:1" ht="15.75" customHeight="1">
      <c r="A711" s="56"/>
    </row>
    <row r="712" spans="1:1" ht="15.75" customHeight="1">
      <c r="A712" s="56"/>
    </row>
    <row r="713" spans="1:1" ht="15.75" customHeight="1">
      <c r="A713" s="56"/>
    </row>
    <row r="714" spans="1:1" ht="15.75" customHeight="1">
      <c r="A714" s="56"/>
    </row>
    <row r="715" spans="1:1" ht="15.75" customHeight="1">
      <c r="A715" s="56"/>
    </row>
    <row r="716" spans="1:1" ht="15.75" customHeight="1">
      <c r="A716" s="56"/>
    </row>
    <row r="717" spans="1:1" ht="15.75" customHeight="1">
      <c r="A717" s="56"/>
    </row>
    <row r="718" spans="1:1" ht="15.75" customHeight="1">
      <c r="A718" s="56"/>
    </row>
    <row r="719" spans="1:1" ht="15.75" customHeight="1">
      <c r="A719" s="56"/>
    </row>
    <row r="720" spans="1:1" ht="15.75" customHeight="1">
      <c r="A720" s="56"/>
    </row>
    <row r="721" spans="1:1" ht="15.75" customHeight="1">
      <c r="A721" s="56"/>
    </row>
    <row r="722" spans="1:1" ht="15.75" customHeight="1">
      <c r="A722" s="56"/>
    </row>
    <row r="723" spans="1:1" ht="15.75" customHeight="1">
      <c r="A723" s="56"/>
    </row>
    <row r="724" spans="1:1" ht="15.75" customHeight="1">
      <c r="A724" s="56"/>
    </row>
    <row r="725" spans="1:1" ht="15.75" customHeight="1">
      <c r="A725" s="56"/>
    </row>
    <row r="726" spans="1:1" ht="15.75" customHeight="1">
      <c r="A726" s="56"/>
    </row>
    <row r="727" spans="1:1" ht="15.75" customHeight="1">
      <c r="A727" s="56"/>
    </row>
    <row r="728" spans="1:1" ht="15.75" customHeight="1">
      <c r="A728" s="56"/>
    </row>
    <row r="729" spans="1:1" ht="15.75" customHeight="1">
      <c r="A729" s="56"/>
    </row>
    <row r="730" spans="1:1" ht="15.75" customHeight="1">
      <c r="A730" s="56"/>
    </row>
    <row r="731" spans="1:1" ht="15.75" customHeight="1">
      <c r="A731" s="56"/>
    </row>
    <row r="732" spans="1:1" ht="15.75" customHeight="1">
      <c r="A732" s="56"/>
    </row>
    <row r="733" spans="1:1" ht="15.75" customHeight="1">
      <c r="A733" s="56"/>
    </row>
    <row r="734" spans="1:1" ht="15.75" customHeight="1">
      <c r="A734" s="56"/>
    </row>
    <row r="735" spans="1:1" ht="15.75" customHeight="1">
      <c r="A735" s="56"/>
    </row>
    <row r="736" spans="1:1" ht="15.75" customHeight="1">
      <c r="A736" s="56"/>
    </row>
    <row r="737" spans="1:1" ht="15.75" customHeight="1">
      <c r="A737" s="56"/>
    </row>
    <row r="738" spans="1:1" ht="15.75" customHeight="1">
      <c r="A738" s="56"/>
    </row>
    <row r="739" spans="1:1" ht="15.75" customHeight="1">
      <c r="A739" s="56"/>
    </row>
    <row r="740" spans="1:1" ht="15.75" customHeight="1">
      <c r="A740" s="56"/>
    </row>
    <row r="741" spans="1:1" ht="15.75" customHeight="1">
      <c r="A741" s="56"/>
    </row>
    <row r="742" spans="1:1" ht="15.75" customHeight="1">
      <c r="A742" s="56"/>
    </row>
    <row r="743" spans="1:1" ht="15.75" customHeight="1">
      <c r="A743" s="56"/>
    </row>
    <row r="744" spans="1:1" ht="15.75" customHeight="1">
      <c r="A744" s="56"/>
    </row>
    <row r="745" spans="1:1" ht="15.75" customHeight="1">
      <c r="A745" s="56"/>
    </row>
    <row r="746" spans="1:1" ht="15.75" customHeight="1">
      <c r="A746" s="56"/>
    </row>
    <row r="747" spans="1:1" ht="15.75" customHeight="1">
      <c r="A747" s="56"/>
    </row>
    <row r="748" spans="1:1" ht="15.75" customHeight="1">
      <c r="A748" s="56"/>
    </row>
    <row r="749" spans="1:1" ht="15.75" customHeight="1">
      <c r="A749" s="56"/>
    </row>
    <row r="750" spans="1:1" ht="15.75" customHeight="1">
      <c r="A750" s="56"/>
    </row>
    <row r="751" spans="1:1" ht="15.75" customHeight="1">
      <c r="A751" s="56"/>
    </row>
    <row r="752" spans="1:1" ht="15.75" customHeight="1">
      <c r="A752" s="56"/>
    </row>
    <row r="753" spans="1:1" ht="15.75" customHeight="1">
      <c r="A753" s="56"/>
    </row>
    <row r="754" spans="1:1" ht="15.75" customHeight="1">
      <c r="A754" s="56"/>
    </row>
    <row r="755" spans="1:1" ht="15.75" customHeight="1">
      <c r="A755" s="56"/>
    </row>
    <row r="756" spans="1:1" ht="15.75" customHeight="1">
      <c r="A756" s="56"/>
    </row>
    <row r="757" spans="1:1" ht="15.75" customHeight="1">
      <c r="A757" s="56"/>
    </row>
    <row r="758" spans="1:1" ht="15.75" customHeight="1">
      <c r="A758" s="56"/>
    </row>
    <row r="759" spans="1:1" ht="15.75" customHeight="1">
      <c r="A759" s="56"/>
    </row>
    <row r="760" spans="1:1" ht="15.75" customHeight="1">
      <c r="A760" s="56"/>
    </row>
    <row r="761" spans="1:1" ht="15.75" customHeight="1">
      <c r="A761" s="56"/>
    </row>
    <row r="762" spans="1:1" ht="15.75" customHeight="1">
      <c r="A762" s="56"/>
    </row>
    <row r="763" spans="1:1" ht="15.75" customHeight="1">
      <c r="A763" s="56"/>
    </row>
    <row r="764" spans="1:1" ht="15.75" customHeight="1">
      <c r="A764" s="56"/>
    </row>
    <row r="765" spans="1:1" ht="15.75" customHeight="1">
      <c r="A765" s="56"/>
    </row>
    <row r="766" spans="1:1" ht="15.75" customHeight="1">
      <c r="A766" s="56"/>
    </row>
    <row r="767" spans="1:1" ht="15.75" customHeight="1">
      <c r="A767" s="56"/>
    </row>
    <row r="768" spans="1:1" ht="15.75" customHeight="1">
      <c r="A768" s="56"/>
    </row>
    <row r="769" spans="1:1" ht="15.75" customHeight="1">
      <c r="A769" s="56"/>
    </row>
    <row r="770" spans="1:1" ht="15.75" customHeight="1">
      <c r="A770" s="56"/>
    </row>
    <row r="771" spans="1:1" ht="15.75" customHeight="1">
      <c r="A771" s="56"/>
    </row>
    <row r="772" spans="1:1" ht="15.75" customHeight="1">
      <c r="A772" s="56"/>
    </row>
    <row r="773" spans="1:1" ht="15.75" customHeight="1">
      <c r="A773" s="56"/>
    </row>
    <row r="774" spans="1:1" ht="15.75" customHeight="1">
      <c r="A774" s="56"/>
    </row>
    <row r="775" spans="1:1" ht="15.75" customHeight="1">
      <c r="A775" s="56"/>
    </row>
    <row r="776" spans="1:1" ht="15.75" customHeight="1">
      <c r="A776" s="56"/>
    </row>
    <row r="777" spans="1:1" ht="15.75" customHeight="1">
      <c r="A777" s="56"/>
    </row>
    <row r="778" spans="1:1" ht="15.75" customHeight="1">
      <c r="A778" s="56"/>
    </row>
    <row r="779" spans="1:1" ht="15.75" customHeight="1">
      <c r="A779" s="56"/>
    </row>
    <row r="780" spans="1:1" ht="15.75" customHeight="1">
      <c r="A780" s="56"/>
    </row>
    <row r="781" spans="1:1" ht="15.75" customHeight="1">
      <c r="A781" s="56"/>
    </row>
    <row r="782" spans="1:1" ht="15.75" customHeight="1">
      <c r="A782" s="56"/>
    </row>
    <row r="783" spans="1:1" ht="15.75" customHeight="1">
      <c r="A783" s="56"/>
    </row>
    <row r="784" spans="1:1" ht="15.75" customHeight="1">
      <c r="A784" s="56"/>
    </row>
    <row r="785" spans="1:1" ht="15.75" customHeight="1">
      <c r="A785" s="56"/>
    </row>
    <row r="786" spans="1:1" ht="15.75" customHeight="1">
      <c r="A786" s="56"/>
    </row>
    <row r="787" spans="1:1" ht="15.75" customHeight="1">
      <c r="A787" s="56"/>
    </row>
    <row r="788" spans="1:1" ht="15.75" customHeight="1">
      <c r="A788" s="56"/>
    </row>
    <row r="789" spans="1:1" ht="15.75" customHeight="1">
      <c r="A789" s="56"/>
    </row>
    <row r="790" spans="1:1" ht="15.75" customHeight="1">
      <c r="A790" s="56"/>
    </row>
    <row r="791" spans="1:1" ht="15.75" customHeight="1">
      <c r="A791" s="56"/>
    </row>
    <row r="792" spans="1:1" ht="15.75" customHeight="1">
      <c r="A792" s="56"/>
    </row>
    <row r="793" spans="1:1" ht="15.75" customHeight="1">
      <c r="A793" s="56"/>
    </row>
    <row r="794" spans="1:1" ht="15.75" customHeight="1">
      <c r="A794" s="56"/>
    </row>
    <row r="795" spans="1:1" ht="15.75" customHeight="1">
      <c r="A795" s="56"/>
    </row>
    <row r="796" spans="1:1" ht="15.75" customHeight="1">
      <c r="A796" s="56"/>
    </row>
    <row r="797" spans="1:1" ht="15.75" customHeight="1">
      <c r="A797" s="56"/>
    </row>
    <row r="798" spans="1:1" ht="15.75" customHeight="1">
      <c r="A798" s="56"/>
    </row>
    <row r="799" spans="1:1" ht="15.75" customHeight="1">
      <c r="A799" s="56"/>
    </row>
    <row r="800" spans="1:1" ht="15.75" customHeight="1">
      <c r="A800" s="56"/>
    </row>
    <row r="801" spans="1:1" ht="15.75" customHeight="1">
      <c r="A801" s="56"/>
    </row>
    <row r="802" spans="1:1" ht="15.75" customHeight="1">
      <c r="A802" s="56"/>
    </row>
    <row r="803" spans="1:1" ht="15.75" customHeight="1">
      <c r="A803" s="56"/>
    </row>
    <row r="804" spans="1:1" ht="15.75" customHeight="1">
      <c r="A804" s="56"/>
    </row>
    <row r="805" spans="1:1" ht="15.75" customHeight="1">
      <c r="A805" s="56"/>
    </row>
    <row r="806" spans="1:1" ht="15.75" customHeight="1">
      <c r="A806" s="56"/>
    </row>
    <row r="807" spans="1:1" ht="15.75" customHeight="1">
      <c r="A807" s="56"/>
    </row>
    <row r="808" spans="1:1" ht="15.75" customHeight="1">
      <c r="A808" s="56"/>
    </row>
    <row r="809" spans="1:1" ht="15.75" customHeight="1">
      <c r="A809" s="56"/>
    </row>
    <row r="810" spans="1:1" ht="15.75" customHeight="1">
      <c r="A810" s="56"/>
    </row>
    <row r="811" spans="1:1" ht="15.75" customHeight="1">
      <c r="A811" s="56"/>
    </row>
    <row r="812" spans="1:1" ht="15.75" customHeight="1">
      <c r="A812" s="56"/>
    </row>
    <row r="813" spans="1:1" ht="15.75" customHeight="1">
      <c r="A813" s="56"/>
    </row>
    <row r="814" spans="1:1" ht="15.75" customHeight="1">
      <c r="A814" s="56"/>
    </row>
    <row r="815" spans="1:1" ht="15.75" customHeight="1">
      <c r="A815" s="56"/>
    </row>
    <row r="816" spans="1:1" ht="15.75" customHeight="1">
      <c r="A816" s="56"/>
    </row>
    <row r="817" spans="1:1" ht="15.75" customHeight="1">
      <c r="A817" s="56"/>
    </row>
    <row r="818" spans="1:1" ht="15.75" customHeight="1">
      <c r="A818" s="56"/>
    </row>
    <row r="819" spans="1:1" ht="15.75" customHeight="1">
      <c r="A819" s="56"/>
    </row>
    <row r="820" spans="1:1" ht="15.75" customHeight="1">
      <c r="A820" s="56"/>
    </row>
    <row r="821" spans="1:1" ht="15.75" customHeight="1">
      <c r="A821" s="56"/>
    </row>
    <row r="822" spans="1:1" ht="15.75" customHeight="1">
      <c r="A822" s="56"/>
    </row>
    <row r="823" spans="1:1" ht="15.75" customHeight="1">
      <c r="A823" s="56"/>
    </row>
    <row r="824" spans="1:1" ht="15.75" customHeight="1">
      <c r="A824" s="56"/>
    </row>
    <row r="825" spans="1:1" ht="15.75" customHeight="1">
      <c r="A825" s="56"/>
    </row>
    <row r="826" spans="1:1" ht="15.75" customHeight="1">
      <c r="A826" s="56"/>
    </row>
    <row r="827" spans="1:1" ht="15.75" customHeight="1">
      <c r="A827" s="56"/>
    </row>
    <row r="828" spans="1:1" ht="15.75" customHeight="1">
      <c r="A828" s="56"/>
    </row>
    <row r="829" spans="1:1" ht="15.75" customHeight="1">
      <c r="A829" s="56"/>
    </row>
    <row r="830" spans="1:1" ht="15.75" customHeight="1">
      <c r="A830" s="56"/>
    </row>
    <row r="831" spans="1:1" ht="15.75" customHeight="1">
      <c r="A831" s="56"/>
    </row>
    <row r="832" spans="1:1" ht="15.75" customHeight="1">
      <c r="A832" s="56"/>
    </row>
    <row r="833" spans="1:1" ht="15.75" customHeight="1">
      <c r="A833" s="56"/>
    </row>
    <row r="834" spans="1:1" ht="15.75" customHeight="1">
      <c r="A834" s="56"/>
    </row>
    <row r="835" spans="1:1" ht="15.75" customHeight="1">
      <c r="A835" s="56"/>
    </row>
    <row r="836" spans="1:1" ht="15.75" customHeight="1">
      <c r="A836" s="56"/>
    </row>
    <row r="837" spans="1:1" ht="15.75" customHeight="1">
      <c r="A837" s="56"/>
    </row>
    <row r="838" spans="1:1" ht="15.75" customHeight="1">
      <c r="A838" s="56"/>
    </row>
    <row r="839" spans="1:1" ht="15.75" customHeight="1">
      <c r="A839" s="56"/>
    </row>
    <row r="840" spans="1:1" ht="15.75" customHeight="1">
      <c r="A840" s="56"/>
    </row>
    <row r="841" spans="1:1" ht="15.75" customHeight="1">
      <c r="A841" s="56"/>
    </row>
    <row r="842" spans="1:1" ht="15.75" customHeight="1">
      <c r="A842" s="56"/>
    </row>
    <row r="843" spans="1:1" ht="15.75" customHeight="1">
      <c r="A843" s="56"/>
    </row>
    <row r="844" spans="1:1" ht="15.75" customHeight="1">
      <c r="A844" s="56"/>
    </row>
    <row r="845" spans="1:1" ht="15.75" customHeight="1">
      <c r="A845" s="56"/>
    </row>
    <row r="846" spans="1:1" ht="15.75" customHeight="1">
      <c r="A846" s="56"/>
    </row>
    <row r="847" spans="1:1" ht="15.75" customHeight="1">
      <c r="A847" s="56"/>
    </row>
    <row r="848" spans="1:1" ht="15.75" customHeight="1">
      <c r="A848" s="56"/>
    </row>
    <row r="849" spans="1:1" ht="15.75" customHeight="1">
      <c r="A849" s="56"/>
    </row>
    <row r="850" spans="1:1" ht="15.75" customHeight="1">
      <c r="A850" s="56"/>
    </row>
    <row r="851" spans="1:1" ht="15.75" customHeight="1">
      <c r="A851" s="56"/>
    </row>
    <row r="852" spans="1:1" ht="15.75" customHeight="1">
      <c r="A852" s="56"/>
    </row>
    <row r="853" spans="1:1" ht="15.75" customHeight="1">
      <c r="A853" s="56"/>
    </row>
    <row r="854" spans="1:1" ht="15.75" customHeight="1">
      <c r="A854" s="56"/>
    </row>
    <row r="855" spans="1:1" ht="15.75" customHeight="1">
      <c r="A855" s="56"/>
    </row>
    <row r="856" spans="1:1" ht="15.75" customHeight="1">
      <c r="A856" s="56"/>
    </row>
    <row r="857" spans="1:1" ht="15.75" customHeight="1">
      <c r="A857" s="56"/>
    </row>
    <row r="858" spans="1:1" ht="15.75" customHeight="1">
      <c r="A858" s="56"/>
    </row>
    <row r="859" spans="1:1" ht="15.75" customHeight="1">
      <c r="A859" s="56"/>
    </row>
    <row r="860" spans="1:1" ht="15.75" customHeight="1">
      <c r="A860" s="56"/>
    </row>
    <row r="861" spans="1:1" ht="15.75" customHeight="1">
      <c r="A861" s="56"/>
    </row>
    <row r="862" spans="1:1" ht="15.75" customHeight="1">
      <c r="A862" s="56"/>
    </row>
    <row r="863" spans="1:1" ht="15.75" customHeight="1">
      <c r="A863" s="56"/>
    </row>
    <row r="864" spans="1:1" ht="15.75" customHeight="1">
      <c r="A864" s="56"/>
    </row>
    <row r="865" spans="1:1" ht="15.75" customHeight="1">
      <c r="A865" s="56"/>
    </row>
    <row r="866" spans="1:1" ht="15.75" customHeight="1">
      <c r="A866" s="56"/>
    </row>
    <row r="867" spans="1:1" ht="15.75" customHeight="1">
      <c r="A867" s="56"/>
    </row>
    <row r="868" spans="1:1" ht="15.75" customHeight="1">
      <c r="A868" s="56"/>
    </row>
    <row r="869" spans="1:1" ht="15.75" customHeight="1">
      <c r="A869" s="56"/>
    </row>
    <row r="870" spans="1:1" ht="15.75" customHeight="1">
      <c r="A870" s="56"/>
    </row>
    <row r="871" spans="1:1" ht="15.75" customHeight="1">
      <c r="A871" s="56"/>
    </row>
    <row r="872" spans="1:1" ht="15.75" customHeight="1">
      <c r="A872" s="56"/>
    </row>
    <row r="873" spans="1:1" ht="15.75" customHeight="1">
      <c r="A873" s="56"/>
    </row>
    <row r="874" spans="1:1" ht="15.75" customHeight="1">
      <c r="A874" s="56"/>
    </row>
    <row r="875" spans="1:1" ht="15.75" customHeight="1">
      <c r="A875" s="56"/>
    </row>
    <row r="876" spans="1:1" ht="15.75" customHeight="1">
      <c r="A876" s="56"/>
    </row>
    <row r="877" spans="1:1" ht="15.75" customHeight="1">
      <c r="A877" s="56"/>
    </row>
    <row r="878" spans="1:1" ht="15.75" customHeight="1">
      <c r="A878" s="56"/>
    </row>
    <row r="879" spans="1:1" ht="15.75" customHeight="1">
      <c r="A879" s="56"/>
    </row>
    <row r="880" spans="1:1" ht="15.75" customHeight="1">
      <c r="A880" s="56"/>
    </row>
    <row r="881" spans="1:1" ht="15.75" customHeight="1">
      <c r="A881" s="56"/>
    </row>
    <row r="882" spans="1:1" ht="15.75" customHeight="1">
      <c r="A882" s="56"/>
    </row>
    <row r="883" spans="1:1" ht="15.75" customHeight="1">
      <c r="A883" s="56"/>
    </row>
    <row r="884" spans="1:1" ht="15.75" customHeight="1">
      <c r="A884" s="56"/>
    </row>
    <row r="885" spans="1:1" ht="15.75" customHeight="1">
      <c r="A885" s="56"/>
    </row>
    <row r="886" spans="1:1" ht="15.75" customHeight="1">
      <c r="A886" s="56"/>
    </row>
    <row r="887" spans="1:1" ht="15.75" customHeight="1">
      <c r="A887" s="56"/>
    </row>
    <row r="888" spans="1:1" ht="15.75" customHeight="1">
      <c r="A888" s="56"/>
    </row>
    <row r="889" spans="1:1" ht="15.75" customHeight="1">
      <c r="A889" s="56"/>
    </row>
    <row r="890" spans="1:1" ht="15.75" customHeight="1">
      <c r="A890" s="56"/>
    </row>
    <row r="891" spans="1:1" ht="15.75" customHeight="1">
      <c r="A891" s="56"/>
    </row>
    <row r="892" spans="1:1" ht="15.75" customHeight="1">
      <c r="A892" s="56"/>
    </row>
    <row r="893" spans="1:1" ht="15.75" customHeight="1">
      <c r="A893" s="56"/>
    </row>
    <row r="894" spans="1:1" ht="15.75" customHeight="1">
      <c r="A894" s="56"/>
    </row>
    <row r="895" spans="1:1" ht="15.75" customHeight="1">
      <c r="A895" s="56"/>
    </row>
    <row r="896" spans="1:1" ht="15.75" customHeight="1">
      <c r="A896" s="56"/>
    </row>
    <row r="897" spans="1:1" ht="15.75" customHeight="1">
      <c r="A897" s="56"/>
    </row>
    <row r="898" spans="1:1" ht="15.75" customHeight="1">
      <c r="A898" s="56"/>
    </row>
    <row r="899" spans="1:1" ht="15.75" customHeight="1">
      <c r="A899" s="56"/>
    </row>
    <row r="900" spans="1:1" ht="15.75" customHeight="1">
      <c r="A900" s="56"/>
    </row>
    <row r="901" spans="1:1" ht="15.75" customHeight="1">
      <c r="A901" s="56"/>
    </row>
    <row r="902" spans="1:1" ht="15.75" customHeight="1">
      <c r="A902" s="56"/>
    </row>
    <row r="903" spans="1:1" ht="15.75" customHeight="1">
      <c r="A903" s="56"/>
    </row>
    <row r="904" spans="1:1" ht="15.75" customHeight="1">
      <c r="A904" s="56"/>
    </row>
    <row r="905" spans="1:1" ht="15.75" customHeight="1">
      <c r="A905" s="56"/>
    </row>
    <row r="906" spans="1:1" ht="15.75" customHeight="1">
      <c r="A906" s="56"/>
    </row>
    <row r="907" spans="1:1" ht="15.75" customHeight="1">
      <c r="A907" s="56"/>
    </row>
    <row r="908" spans="1:1" ht="15.75" customHeight="1">
      <c r="A908" s="56"/>
    </row>
    <row r="909" spans="1:1" ht="15.75" customHeight="1">
      <c r="A909" s="56"/>
    </row>
    <row r="910" spans="1:1" ht="15.75" customHeight="1">
      <c r="A910" s="56"/>
    </row>
    <row r="911" spans="1:1" ht="15.75" customHeight="1">
      <c r="A911" s="56"/>
    </row>
    <row r="912" spans="1:1" ht="15.75" customHeight="1">
      <c r="A912" s="56"/>
    </row>
    <row r="913" spans="1:1" ht="15.75" customHeight="1">
      <c r="A913" s="56"/>
    </row>
    <row r="914" spans="1:1" ht="15.75" customHeight="1">
      <c r="A914" s="56"/>
    </row>
    <row r="915" spans="1:1" ht="15.75" customHeight="1">
      <c r="A915" s="56"/>
    </row>
    <row r="916" spans="1:1" ht="15.75" customHeight="1">
      <c r="A916" s="56"/>
    </row>
    <row r="917" spans="1:1" ht="15.75" customHeight="1">
      <c r="A917" s="56"/>
    </row>
    <row r="918" spans="1:1" ht="15.75" customHeight="1">
      <c r="A918" s="56"/>
    </row>
    <row r="919" spans="1:1" ht="15.75" customHeight="1">
      <c r="A919" s="56"/>
    </row>
    <row r="920" spans="1:1" ht="15.75" customHeight="1">
      <c r="A920" s="56"/>
    </row>
    <row r="921" spans="1:1" ht="15.75" customHeight="1">
      <c r="A921" s="56"/>
    </row>
    <row r="922" spans="1:1" ht="15.75" customHeight="1">
      <c r="A922" s="56"/>
    </row>
    <row r="923" spans="1:1" ht="15.75" customHeight="1">
      <c r="A923" s="56"/>
    </row>
    <row r="924" spans="1:1" ht="15.75" customHeight="1">
      <c r="A924" s="56"/>
    </row>
    <row r="925" spans="1:1" ht="15.75" customHeight="1">
      <c r="A925" s="56"/>
    </row>
    <row r="926" spans="1:1" ht="15.75" customHeight="1">
      <c r="A926" s="56"/>
    </row>
    <row r="927" spans="1:1" ht="15.75" customHeight="1">
      <c r="A927" s="56"/>
    </row>
    <row r="928" spans="1:1" ht="15.75" customHeight="1">
      <c r="A928" s="56"/>
    </row>
    <row r="929" spans="1:1" ht="15.75" customHeight="1">
      <c r="A929" s="56"/>
    </row>
    <row r="930" spans="1:1" ht="15.75" customHeight="1">
      <c r="A930" s="56"/>
    </row>
    <row r="931" spans="1:1" ht="15.75" customHeight="1">
      <c r="A931" s="56"/>
    </row>
    <row r="932" spans="1:1" ht="15.75" customHeight="1">
      <c r="A932" s="56"/>
    </row>
    <row r="933" spans="1:1" ht="15.75" customHeight="1">
      <c r="A933" s="56"/>
    </row>
    <row r="934" spans="1:1" ht="15.75" customHeight="1">
      <c r="A934" s="56"/>
    </row>
    <row r="935" spans="1:1" ht="15.75" customHeight="1">
      <c r="A935" s="56"/>
    </row>
    <row r="936" spans="1:1" ht="15.75" customHeight="1">
      <c r="A936" s="56"/>
    </row>
    <row r="937" spans="1:1" ht="15.75" customHeight="1">
      <c r="A937" s="56"/>
    </row>
    <row r="938" spans="1:1" ht="15.75" customHeight="1">
      <c r="A938" s="56"/>
    </row>
    <row r="939" spans="1:1" ht="15.75" customHeight="1">
      <c r="A939" s="56"/>
    </row>
    <row r="940" spans="1:1" ht="15.75" customHeight="1">
      <c r="A940" s="56"/>
    </row>
    <row r="941" spans="1:1" ht="15.75" customHeight="1">
      <c r="A941" s="56"/>
    </row>
    <row r="942" spans="1:1" ht="15.75" customHeight="1">
      <c r="A942" s="56"/>
    </row>
    <row r="943" spans="1:1" ht="15.75" customHeight="1">
      <c r="A943" s="56"/>
    </row>
    <row r="944" spans="1:1" ht="15.75" customHeight="1">
      <c r="A944" s="56"/>
    </row>
    <row r="945" spans="1:1" ht="15.75" customHeight="1">
      <c r="A945" s="56"/>
    </row>
    <row r="946" spans="1:1" ht="15.75" customHeight="1">
      <c r="A946" s="56"/>
    </row>
    <row r="947" spans="1:1" ht="15.75" customHeight="1">
      <c r="A947" s="56"/>
    </row>
    <row r="948" spans="1:1" ht="15.75" customHeight="1">
      <c r="A948" s="56"/>
    </row>
    <row r="949" spans="1:1" ht="15.75" customHeight="1">
      <c r="A949" s="56"/>
    </row>
    <row r="950" spans="1:1" ht="15.75" customHeight="1">
      <c r="A950" s="56"/>
    </row>
    <row r="951" spans="1:1" ht="15.75" customHeight="1">
      <c r="A951" s="56"/>
    </row>
    <row r="952" spans="1:1" ht="15.75" customHeight="1">
      <c r="A952" s="56"/>
    </row>
    <row r="953" spans="1:1" ht="15.75" customHeight="1">
      <c r="A953" s="56"/>
    </row>
    <row r="954" spans="1:1" ht="15.75" customHeight="1">
      <c r="A954" s="56"/>
    </row>
    <row r="955" spans="1:1" ht="15.75" customHeight="1">
      <c r="A955" s="56"/>
    </row>
    <row r="956" spans="1:1" ht="15.75" customHeight="1">
      <c r="A956" s="56"/>
    </row>
    <row r="957" spans="1:1" ht="15.75" customHeight="1">
      <c r="A957" s="56"/>
    </row>
    <row r="958" spans="1:1" ht="15.75" customHeight="1">
      <c r="A958" s="56"/>
    </row>
    <row r="959" spans="1:1" ht="15.75" customHeight="1">
      <c r="A959" s="56"/>
    </row>
    <row r="960" spans="1:1" ht="15.75" customHeight="1">
      <c r="A960" s="56"/>
    </row>
    <row r="961" spans="1:1" ht="15.75" customHeight="1">
      <c r="A961" s="56"/>
    </row>
    <row r="962" spans="1:1" ht="15.75" customHeight="1">
      <c r="A962" s="56"/>
    </row>
    <row r="963" spans="1:1" ht="15.75" customHeight="1">
      <c r="A963" s="56"/>
    </row>
    <row r="964" spans="1:1" ht="15.75" customHeight="1">
      <c r="A964" s="56"/>
    </row>
    <row r="965" spans="1:1" ht="15.75" customHeight="1">
      <c r="A965" s="56"/>
    </row>
    <row r="966" spans="1:1" ht="15.75" customHeight="1">
      <c r="A966" s="56"/>
    </row>
    <row r="967" spans="1:1" ht="15.75" customHeight="1">
      <c r="A967" s="56"/>
    </row>
    <row r="968" spans="1:1" ht="15.75" customHeight="1">
      <c r="A968" s="56"/>
    </row>
    <row r="969" spans="1:1" ht="15.75" customHeight="1">
      <c r="A969" s="56"/>
    </row>
    <row r="970" spans="1:1" ht="15.75" customHeight="1">
      <c r="A970" s="56"/>
    </row>
    <row r="971" spans="1:1" ht="15.75" customHeight="1">
      <c r="A971" s="56"/>
    </row>
    <row r="972" spans="1:1" ht="15.75" customHeight="1">
      <c r="A972" s="56"/>
    </row>
    <row r="973" spans="1:1" ht="15.75" customHeight="1">
      <c r="A973" s="56"/>
    </row>
    <row r="974" spans="1:1" ht="15.75" customHeight="1">
      <c r="A974" s="56"/>
    </row>
    <row r="975" spans="1:1" ht="15.75" customHeight="1">
      <c r="A975" s="56"/>
    </row>
    <row r="976" spans="1:1" ht="15.75" customHeight="1">
      <c r="A976" s="56"/>
    </row>
    <row r="977" spans="1:1" ht="15.75" customHeight="1">
      <c r="A977" s="56"/>
    </row>
    <row r="978" spans="1:1" ht="15.75" customHeight="1">
      <c r="A978" s="56"/>
    </row>
    <row r="979" spans="1:1" ht="15.75" customHeight="1">
      <c r="A979" s="56"/>
    </row>
    <row r="980" spans="1:1" ht="15.75" customHeight="1">
      <c r="A980" s="56"/>
    </row>
    <row r="981" spans="1:1" ht="15.75" customHeight="1">
      <c r="A981" s="56"/>
    </row>
    <row r="982" spans="1:1" ht="15.75" customHeight="1">
      <c r="A982" s="56"/>
    </row>
    <row r="983" spans="1:1" ht="15.75" customHeight="1">
      <c r="A983" s="56"/>
    </row>
    <row r="984" spans="1:1" ht="15.75" customHeight="1">
      <c r="A984" s="56"/>
    </row>
    <row r="985" spans="1:1" ht="15.75" customHeight="1">
      <c r="A985" s="56"/>
    </row>
    <row r="986" spans="1:1" ht="15.75" customHeight="1">
      <c r="A986" s="56"/>
    </row>
    <row r="987" spans="1:1" ht="15.75" customHeight="1">
      <c r="A987" s="56"/>
    </row>
    <row r="988" spans="1:1" ht="15.75" customHeight="1">
      <c r="A988" s="56"/>
    </row>
    <row r="989" spans="1:1" ht="15.75" customHeight="1">
      <c r="A989" s="56"/>
    </row>
    <row r="990" spans="1:1" ht="15.75" customHeight="1">
      <c r="A990" s="56"/>
    </row>
    <row r="991" spans="1:1" ht="15.75" customHeight="1">
      <c r="A991" s="56"/>
    </row>
    <row r="992" spans="1:1" ht="15.75" customHeight="1">
      <c r="A992" s="56"/>
    </row>
    <row r="993" spans="1:1" ht="15.75" customHeight="1">
      <c r="A993" s="56"/>
    </row>
    <row r="994" spans="1:1" ht="15.75" customHeight="1">
      <c r="A994" s="56"/>
    </row>
    <row r="995" spans="1:1" ht="15.75" customHeight="1">
      <c r="A995" s="56"/>
    </row>
    <row r="996" spans="1:1" ht="15.75" customHeight="1">
      <c r="A996" s="56"/>
    </row>
    <row r="997" spans="1:1" ht="15.75" customHeight="1">
      <c r="A997" s="56"/>
    </row>
    <row r="998" spans="1:1" ht="15.75" customHeight="1">
      <c r="A998" s="56"/>
    </row>
    <row r="999" spans="1:1" ht="15.75" customHeight="1">
      <c r="A999" s="56"/>
    </row>
    <row r="1000" spans="1:1" ht="15.75" customHeight="1">
      <c r="A1000" s="56"/>
    </row>
  </sheetData>
  <autoFilter ref="A1:H105" xr:uid="{00000000-0009-0000-0000-00000C000000}"/>
  <conditionalFormatting sqref="G2:H1000">
    <cfRule type="expression" dxfId="217" priority="1">
      <formula>G2 &gt; 0</formula>
    </cfRule>
  </conditionalFormatting>
  <conditionalFormatting sqref="L2:L32 L34:L53 L57">
    <cfRule type="expression" dxfId="216" priority="2">
      <formula>COUNTIF($C$1:$C$847, L2) &gt; 1</formula>
    </cfRule>
    <cfRule type="expression" dxfId="215" priority="3">
      <formula>COUNTIF($C$1:$C$862, L2) &gt; 1</formula>
    </cfRule>
  </conditionalFormatting>
  <conditionalFormatting sqref="L2:L33 L35:L54">
    <cfRule type="expression" dxfId="214" priority="4">
      <formula>COUNTIF($C$1:$C$861, L2) &gt; 1</formula>
    </cfRule>
  </conditionalFormatting>
  <conditionalFormatting sqref="L2:L33 L35:L62">
    <cfRule type="expression" dxfId="213" priority="5">
      <formula>COUNTIF($C$1:$C$853, L2) &gt; 1</formula>
    </cfRule>
  </conditionalFormatting>
  <conditionalFormatting sqref="L2:L34 L36:L58 L67:L72">
    <cfRule type="expression" dxfId="212" priority="6">
      <formula>COUNTIF($C$1:$C$877, L2) &gt; 1</formula>
    </cfRule>
  </conditionalFormatting>
  <conditionalFormatting sqref="L2:L40 L42:L68">
    <cfRule type="expression" dxfId="211" priority="7">
      <formula>COUNTIF($C$1:$C$859, L2) &gt; 1</formula>
    </cfRule>
  </conditionalFormatting>
  <conditionalFormatting sqref="L2:L41 L43:L58 L67:L72">
    <cfRule type="expression" dxfId="210" priority="8">
      <formula>COUNTIF($C$1:$C$883, L2) &gt; 1</formula>
    </cfRule>
    <cfRule type="expression" dxfId="209" priority="9">
      <formula>COUNTIF($C$1:$C$1029, L2) &gt; 1</formula>
    </cfRule>
  </conditionalFormatting>
  <conditionalFormatting sqref="L2:L41 L43:L66">
    <cfRule type="expression" dxfId="208" priority="10">
      <formula>COUNTIF($C$1:$C$1030, L2) &gt; 1</formula>
    </cfRule>
  </conditionalFormatting>
  <conditionalFormatting sqref="L2:L55">
    <cfRule type="expression" dxfId="207" priority="11">
      <formula>COUNTIF($C$1:$C$1009, L2) &gt; 1</formula>
    </cfRule>
  </conditionalFormatting>
  <conditionalFormatting sqref="L2:L57">
    <cfRule type="expression" dxfId="206" priority="12">
      <formula>COUNTIF($C$1:$C$1003, L2) &gt; 1</formula>
    </cfRule>
    <cfRule type="expression" dxfId="205" priority="13">
      <formula>COUNTIF($C$1:$C$1010, L2) &gt; 1</formula>
    </cfRule>
  </conditionalFormatting>
  <conditionalFormatting sqref="L2:L58 L67:L72">
    <cfRule type="expression" dxfId="204" priority="14">
      <formula>COUNTIF($C$1:$C$878, L2) &gt; 1</formula>
    </cfRule>
    <cfRule type="expression" dxfId="203" priority="15">
      <formula>COUNTIF($C$1:$C$879, L2) &gt; 1</formula>
    </cfRule>
    <cfRule type="expression" dxfId="202" priority="16">
      <formula>COUNTIF($C$1:$C$875, L2) &gt; 1</formula>
    </cfRule>
    <cfRule type="expression" dxfId="201" priority="17">
      <formula>COUNTIF($C$1:$C$876, L2) &gt; 1</formula>
    </cfRule>
    <cfRule type="expression" dxfId="200" priority="18">
      <formula>COUNTIF($C$1:$C$881, L2) &gt; 1</formula>
    </cfRule>
    <cfRule type="expression" dxfId="199" priority="19">
      <formula>COUNTIF($C$1:$C$880, L2) &gt; 1</formula>
    </cfRule>
    <cfRule type="expression" dxfId="198" priority="20">
      <formula>COUNTIF($C$1:$C$873, L2) &gt; 1</formula>
    </cfRule>
    <cfRule type="expression" dxfId="197" priority="21">
      <formula>COUNTIF($O$2:$O$105, L2) &gt; 1</formula>
    </cfRule>
    <cfRule type="expression" dxfId="196" priority="22">
      <formula>COUNTIF($K$2:$K$104, L2) &gt; 1</formula>
    </cfRule>
  </conditionalFormatting>
  <conditionalFormatting sqref="L2:L58">
    <cfRule type="expression" dxfId="195" priority="23">
      <formula>COUNTIF($C$1:$C$1004, L2) &gt; 1</formula>
    </cfRule>
    <cfRule type="expression" dxfId="194" priority="24">
      <formula>COUNTIF($C$1:$C$988, L2) &gt; 1</formula>
    </cfRule>
    <cfRule type="expression" dxfId="193" priority="25">
      <formula>COUNTIF($C$1:$C$849, L2) &gt; 1</formula>
    </cfRule>
    <cfRule type="expression" dxfId="192" priority="26">
      <formula>COUNTIF($C$1:$C$863, L2) &gt; 1</formula>
    </cfRule>
    <cfRule type="expression" dxfId="191" priority="27">
      <formula>COUNTIF($C$1:$C$864, L2) &gt; 1</formula>
    </cfRule>
    <cfRule type="expression" dxfId="190" priority="28">
      <formula>COUNTIF($C$1:$C$1011, L2) &gt; 1</formula>
    </cfRule>
    <cfRule type="expression" dxfId="189" priority="29">
      <formula>COUNTIF($C$1:$C$1021, L2) &gt; 1</formula>
    </cfRule>
  </conditionalFormatting>
  <conditionalFormatting sqref="L2:L59 L67:L72">
    <cfRule type="expression" dxfId="188" priority="30">
      <formula>COUNTIF($C$1:$C$1023, L2) &gt; 1</formula>
    </cfRule>
    <cfRule type="expression" dxfId="187" priority="31">
      <formula>COUNTIF($C$1:$C$1022, L2) &gt; 1</formula>
    </cfRule>
    <cfRule type="expression" dxfId="186" priority="32">
      <formula>COUNTIF($C$1:$C$1016, L2) &gt; 1</formula>
    </cfRule>
    <cfRule type="expression" dxfId="185" priority="33">
      <formula>COUNTIF($C$1:$C$1018, L2) &gt; 1</formula>
    </cfRule>
    <cfRule type="expression" dxfId="184" priority="34">
      <formula>COUNTIF($C$1:$C$1019, L2) &gt; 1</formula>
    </cfRule>
    <cfRule type="expression" dxfId="183" priority="35">
      <formula>COUNTIF($C$1:$C$1020, L2) &gt; 1</formula>
    </cfRule>
  </conditionalFormatting>
  <conditionalFormatting sqref="L2:L59">
    <cfRule type="expression" dxfId="182" priority="36">
      <formula>COUNTIF($C$1:$C$1005, L2) &gt; 1</formula>
    </cfRule>
    <cfRule type="expression" dxfId="181" priority="37">
      <formula>COUNTIF($I$2:$I$105, L2) &gt; 1</formula>
    </cfRule>
    <cfRule type="expression" dxfId="180" priority="38">
      <formula>COUNTIF($K$2:$K$103, L2) &gt; 1</formula>
    </cfRule>
    <cfRule type="expression" dxfId="179" priority="39">
      <formula>COUNTIF($O$2:$O$103, L2) &gt; 1</formula>
    </cfRule>
    <cfRule type="expression" dxfId="178" priority="40">
      <formula>COUNTIF($C$1:$C$1014, L2) &gt; 1</formula>
    </cfRule>
    <cfRule type="expression" dxfId="177" priority="41">
      <formula>COUNTIF($C$1:$C$1017, L2) &gt; 1</formula>
    </cfRule>
    <cfRule type="expression" dxfId="176" priority="42">
      <formula>COUNTIF($K$2:$K$102, L2) &gt; 1</formula>
    </cfRule>
  </conditionalFormatting>
  <conditionalFormatting sqref="L2:L60 L67:L72">
    <cfRule type="expression" dxfId="175" priority="43">
      <formula>COUNTIF($C$1:$C$870, L2) &gt; 1</formula>
    </cfRule>
    <cfRule type="expression" dxfId="174" priority="44">
      <formula>COUNTIF($C$1:$C$872, L2) &gt; 1</formula>
    </cfRule>
    <cfRule type="expression" dxfId="173" priority="45">
      <formula>COUNTIF($C$1:$C$874, L2) &gt; 1</formula>
    </cfRule>
    <cfRule type="expression" dxfId="172" priority="46">
      <formula>COUNTIF($C$1:$C$1031, L2) &gt; 1</formula>
    </cfRule>
    <cfRule type="expression" dxfId="171" priority="47">
      <formula>COUNTIF($C$1:$C$1024, L2) &gt; 1</formula>
    </cfRule>
    <cfRule type="expression" dxfId="170" priority="48">
      <formula>COUNTIF($C$1:$C$1026, L2) &gt; 1</formula>
    </cfRule>
  </conditionalFormatting>
  <conditionalFormatting sqref="L2:L60">
    <cfRule type="expression" dxfId="169" priority="49">
      <formula>COUNTIF($P$2:$P$105, L2) &gt; 1</formula>
    </cfRule>
    <cfRule type="expression" dxfId="168" priority="50">
      <formula>COUNTIF($C$1:$C$869, L2) &gt; 1</formula>
    </cfRule>
    <cfRule type="expression" dxfId="167" priority="51">
      <formula>COUNTIF($C$1:$C$866, L2) &gt; 1</formula>
    </cfRule>
    <cfRule type="expression" dxfId="166" priority="52">
      <formula>COUNTIF($C$1:$C$868, L2) &gt; 1</formula>
    </cfRule>
    <cfRule type="expression" dxfId="165" priority="53">
      <formula>COUNTIF($C$1:$C$867, L2) &gt; 1</formula>
    </cfRule>
    <cfRule type="expression" dxfId="164" priority="54">
      <formula>COUNTIF($C$1:$C$871, L2) &gt; 1</formula>
    </cfRule>
    <cfRule type="expression" dxfId="163" priority="55">
      <formula>COUNTIF($C$1:$C$865, L2) &gt; 1</formula>
    </cfRule>
  </conditionalFormatting>
  <conditionalFormatting sqref="L2:L61 L67:L72">
    <cfRule type="expression" dxfId="162" priority="56">
      <formula>COUNTIF($C$1:$C$1025, L2) &gt; 1</formula>
    </cfRule>
  </conditionalFormatting>
  <conditionalFormatting sqref="L2:L61">
    <cfRule type="expression" dxfId="161" priority="57">
      <formula>COUNTIF($C$1:$C$850, L2) &gt; 1</formula>
    </cfRule>
    <cfRule type="expression" dxfId="160" priority="58">
      <formula>COUNTIF($C$1:$C$1006, L2) &gt; 1</formula>
    </cfRule>
  </conditionalFormatting>
  <conditionalFormatting sqref="L2:L62">
    <cfRule type="expression" dxfId="159" priority="59">
      <formula>COUNTIF($C$1:$C$851, L2) &gt; 1</formula>
    </cfRule>
    <cfRule type="expression" dxfId="158" priority="60">
      <formula>COUNTIF($C$1:$C$1007, L2) &gt; 1</formula>
    </cfRule>
  </conditionalFormatting>
  <conditionalFormatting sqref="L2:L63 L67:L72">
    <cfRule type="expression" dxfId="157" priority="61">
      <formula>COUNTIF($C$1:$C$1027, L2) &gt; 1</formula>
    </cfRule>
  </conditionalFormatting>
  <conditionalFormatting sqref="L2:L63">
    <cfRule type="expression" dxfId="156" priority="62">
      <formula>COUNTIF($C$1:$C$1008, L2) &gt; 1</formula>
    </cfRule>
    <cfRule type="expression" dxfId="155" priority="63">
      <formula>COUNTIF($C$1:$C$852, L2) &gt; 1</formula>
    </cfRule>
  </conditionalFormatting>
  <conditionalFormatting sqref="L2:L64 L67:L72">
    <cfRule type="expression" dxfId="154" priority="64">
      <formula>COUNTIF($C$1:$C$1028, L2) &gt; 1</formula>
    </cfRule>
  </conditionalFormatting>
  <conditionalFormatting sqref="L2:L65">
    <cfRule type="expression" dxfId="153" priority="65">
      <formula>COUNTIF($C$1:$C$854, L2) &gt; 1</formula>
    </cfRule>
    <cfRule type="expression" dxfId="152" priority="66">
      <formula>COUNTIF($C$1:$C$856, L2) &gt; 1</formula>
    </cfRule>
  </conditionalFormatting>
  <conditionalFormatting sqref="L2:L66">
    <cfRule type="expression" dxfId="151" priority="67">
      <formula>COUNTIF($C$1:$C$855, L2) &gt; 1</formula>
    </cfRule>
    <cfRule type="expression" dxfId="150" priority="68">
      <formula>COUNTIF($C$1:$C$857, L2) &gt; 1</formula>
    </cfRule>
  </conditionalFormatting>
  <conditionalFormatting sqref="L2:L68">
    <cfRule type="expression" dxfId="149" priority="69">
      <formula>COUNTIF($C$1:$C$1013, L2) &gt; 1</formula>
    </cfRule>
  </conditionalFormatting>
  <conditionalFormatting sqref="L2:L69">
    <cfRule type="expression" dxfId="148" priority="70">
      <formula>COUNTIF($C$1:$C$997, L2) &gt; 1</formula>
    </cfRule>
    <cfRule type="expression" dxfId="147" priority="71">
      <formula>COUNTIF($C$1:$C$1033, L2) &gt; 1</formula>
    </cfRule>
  </conditionalFormatting>
  <conditionalFormatting sqref="L2:L70">
    <cfRule type="expression" dxfId="146" priority="72">
      <formula>COUNTIF($L$2:$L$105, L2) &gt; 1</formula>
    </cfRule>
    <cfRule type="expression" dxfId="145" priority="73">
      <formula>COUNTIF($C$1:$C$1015, L2) &gt; 1</formula>
    </cfRule>
  </conditionalFormatting>
  <conditionalFormatting sqref="L2:L72">
    <cfRule type="expression" dxfId="144" priority="74">
      <formula>COUNTIF($K$2:$K$105, L2) &gt; 1</formula>
    </cfRule>
  </conditionalFormatting>
  <conditionalFormatting sqref="L2:L90">
    <cfRule type="expression" dxfId="143" priority="75">
      <formula>COUNTIF($L$2:$L$90, L2) &gt; 1</formula>
    </cfRule>
  </conditionalFormatting>
  <conditionalFormatting sqref="L58">
    <cfRule type="expression" dxfId="142" priority="76">
      <formula>COUNTIF($B$1:$B$1020, L58) &gt; 1</formula>
    </cfRule>
    <cfRule type="expression" dxfId="141" priority="77">
      <formula>COUNTIF($B$2:$B$106, L58) &gt; 1</formula>
    </cfRule>
    <cfRule type="expression" dxfId="140" priority="78">
      <formula>COUNTIF($B$2:$B$1000, L58) &gt; 1</formula>
    </cfRule>
    <cfRule type="expression" dxfId="139" priority="79">
      <formula>COUNTIF($B$2:$B$1001, L58) &gt; 1</formula>
    </cfRule>
  </conditionalFormatting>
  <conditionalFormatting sqref="T2:U55 M2:P1000">
    <cfRule type="expression" dxfId="138" priority="80">
      <formula>M2&gt;0</formula>
    </cfRule>
  </conditionalFormatting>
  <dataValidations count="2">
    <dataValidation type="list" allowBlank="1" showErrorMessage="1" sqref="A13:A1000" xr:uid="{00000000-0002-0000-0C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12 K2:K72" xr:uid="{00000000-0002-0000-0C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0"/>
  <sheetViews>
    <sheetView workbookViewId="0"/>
  </sheetViews>
  <sheetFormatPr defaultColWidth="14.44140625" defaultRowHeight="15" customHeight="1"/>
  <cols>
    <col min="1" max="1" width="34.33203125" customWidth="1"/>
    <col min="2" max="2" width="18.44140625" customWidth="1"/>
    <col min="3" max="3" width="15.44140625" customWidth="1"/>
    <col min="4" max="4" width="11" customWidth="1"/>
    <col min="5" max="5" width="25.109375" customWidth="1"/>
    <col min="6" max="6" width="27" customWidth="1"/>
    <col min="7" max="7" width="16.33203125" customWidth="1"/>
    <col min="8" max="16" width="11" customWidth="1"/>
  </cols>
  <sheetData>
    <row r="1" spans="1:24" ht="29.25" customHeight="1">
      <c r="A1" s="5" t="s">
        <v>162</v>
      </c>
      <c r="B1" s="101" t="s">
        <v>841</v>
      </c>
      <c r="C1" s="159" t="s">
        <v>179</v>
      </c>
      <c r="D1" s="106"/>
      <c r="E1" s="57" t="s">
        <v>0</v>
      </c>
      <c r="F1" s="57" t="s">
        <v>162</v>
      </c>
      <c r="G1" s="104" t="s">
        <v>842</v>
      </c>
      <c r="H1" s="160"/>
      <c r="I1" s="59"/>
      <c r="J1" s="59"/>
      <c r="K1" s="59"/>
      <c r="L1" s="59"/>
      <c r="M1" s="59"/>
      <c r="N1" s="59"/>
      <c r="O1" s="59"/>
      <c r="P1" s="59"/>
      <c r="Q1" s="161"/>
      <c r="R1" s="161"/>
      <c r="S1" s="161"/>
      <c r="T1" s="161"/>
      <c r="U1" s="161"/>
      <c r="V1" s="161"/>
      <c r="W1" s="161"/>
      <c r="X1" s="161"/>
    </row>
    <row r="2" spans="1:24" ht="15.75" customHeight="1">
      <c r="A2" s="162"/>
      <c r="B2" s="163"/>
      <c r="C2" s="164"/>
      <c r="D2" s="67"/>
      <c r="E2" s="35"/>
      <c r="F2" s="36"/>
      <c r="G2" s="111"/>
      <c r="H2" s="111"/>
      <c r="I2" s="7"/>
      <c r="J2" s="74"/>
      <c r="K2" s="7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5.75" customHeight="1">
      <c r="A3" s="165"/>
      <c r="B3" s="163"/>
      <c r="C3" s="164"/>
      <c r="D3" s="67"/>
      <c r="E3" s="35"/>
      <c r="F3" s="36"/>
      <c r="G3" s="111"/>
      <c r="H3" s="111"/>
      <c r="I3" s="7"/>
      <c r="J3" s="74"/>
      <c r="K3" s="7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5.75" customHeight="1">
      <c r="A4" s="165"/>
      <c r="B4" s="163"/>
      <c r="C4" s="164"/>
      <c r="D4" s="67"/>
      <c r="E4" s="35"/>
      <c r="F4" s="36"/>
      <c r="G4" s="111"/>
      <c r="H4" s="111"/>
      <c r="I4" s="7"/>
      <c r="J4" s="74"/>
      <c r="K4" s="7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75" customHeight="1">
      <c r="A5" s="165"/>
      <c r="B5" s="163"/>
      <c r="C5" s="164"/>
      <c r="D5" s="67"/>
      <c r="E5" s="35"/>
      <c r="F5" s="36"/>
      <c r="G5" s="111"/>
      <c r="H5" s="111"/>
      <c r="I5" s="7"/>
      <c r="J5" s="74"/>
      <c r="K5" s="7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.75" customHeight="1">
      <c r="A6" s="165"/>
      <c r="B6" s="163"/>
      <c r="C6" s="164"/>
      <c r="D6" s="67"/>
      <c r="E6" s="35"/>
      <c r="F6" s="36"/>
      <c r="G6" s="111"/>
      <c r="H6" s="111"/>
      <c r="I6" s="7"/>
      <c r="J6" s="74"/>
      <c r="K6" s="7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.75" customHeight="1">
      <c r="A7" s="166"/>
      <c r="B7" s="163"/>
      <c r="C7" s="164"/>
      <c r="D7" s="67"/>
      <c r="E7" s="35"/>
      <c r="F7" s="36"/>
      <c r="G7" s="111"/>
      <c r="H7" s="111"/>
      <c r="I7" s="7"/>
      <c r="J7" s="74"/>
      <c r="K7" s="7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.75" customHeight="1">
      <c r="A8" s="165"/>
      <c r="B8" s="163"/>
      <c r="C8" s="164"/>
      <c r="D8" s="67"/>
      <c r="E8" s="35"/>
      <c r="F8" s="36"/>
      <c r="G8" s="111"/>
      <c r="H8" s="111"/>
      <c r="I8" s="7"/>
      <c r="J8" s="74"/>
      <c r="K8" s="7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>
      <c r="A9" s="165"/>
      <c r="B9" s="163"/>
      <c r="C9" s="164"/>
      <c r="D9" s="67"/>
      <c r="E9" s="35"/>
      <c r="F9" s="7"/>
      <c r="G9" s="111"/>
      <c r="H9" s="111"/>
      <c r="I9" s="7"/>
      <c r="J9" s="74"/>
      <c r="K9" s="7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75" customHeight="1">
      <c r="A10" s="165"/>
      <c r="B10" s="163"/>
      <c r="C10" s="164"/>
      <c r="D10" s="67"/>
      <c r="E10" s="35"/>
      <c r="F10" s="7"/>
      <c r="G10" s="111"/>
      <c r="H10" s="111"/>
      <c r="I10" s="7"/>
      <c r="J10" s="74"/>
      <c r="K10" s="7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75" customHeight="1">
      <c r="A11" s="165"/>
      <c r="B11" s="163"/>
      <c r="C11" s="164"/>
      <c r="D11" s="67"/>
      <c r="E11" s="35"/>
      <c r="F11" s="7"/>
      <c r="G11" s="111"/>
      <c r="H11" s="111"/>
      <c r="I11" s="7"/>
      <c r="J11" s="74"/>
      <c r="K11" s="7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75" customHeight="1">
      <c r="A12" s="166"/>
      <c r="B12" s="163"/>
      <c r="C12" s="164"/>
      <c r="D12" s="67"/>
      <c r="E12" s="35"/>
      <c r="F12" s="36"/>
      <c r="G12" s="111"/>
      <c r="H12" s="111"/>
      <c r="I12" s="75"/>
      <c r="J12" s="74"/>
      <c r="K12" s="75"/>
      <c r="L12" s="75"/>
      <c r="M12" s="75"/>
      <c r="N12" s="75"/>
      <c r="O12" s="75"/>
      <c r="P12" s="75"/>
      <c r="Q12" s="7"/>
      <c r="R12" s="7"/>
      <c r="S12" s="7"/>
      <c r="T12" s="7"/>
      <c r="U12" s="7"/>
      <c r="V12" s="7"/>
      <c r="W12" s="7"/>
      <c r="X12" s="7"/>
    </row>
    <row r="13" spans="1:24" ht="15.75" customHeight="1">
      <c r="A13" s="165"/>
      <c r="B13" s="163"/>
      <c r="C13" s="164"/>
      <c r="D13" s="67"/>
      <c r="E13" s="35"/>
      <c r="F13" s="36"/>
      <c r="G13" s="111"/>
      <c r="H13" s="111"/>
      <c r="I13" s="75"/>
      <c r="J13" s="74"/>
      <c r="K13" s="75"/>
      <c r="L13" s="75"/>
      <c r="M13" s="75"/>
      <c r="N13" s="75"/>
      <c r="O13" s="75"/>
      <c r="P13" s="75"/>
      <c r="Q13" s="7"/>
      <c r="R13" s="7"/>
      <c r="S13" s="7"/>
      <c r="T13" s="7"/>
      <c r="U13" s="7"/>
      <c r="V13" s="7"/>
      <c r="W13" s="7"/>
      <c r="X13" s="7"/>
    </row>
    <row r="14" spans="1:24" ht="15.75" customHeight="1">
      <c r="A14" s="165"/>
      <c r="B14" s="163"/>
      <c r="C14" s="164"/>
      <c r="D14" s="67"/>
      <c r="E14" s="35"/>
      <c r="F14" s="36"/>
      <c r="G14" s="111"/>
      <c r="H14" s="111"/>
      <c r="I14" s="75"/>
      <c r="J14" s="74"/>
      <c r="K14" s="75"/>
      <c r="L14" s="75"/>
      <c r="M14" s="75"/>
      <c r="N14" s="75"/>
      <c r="O14" s="75"/>
      <c r="P14" s="75"/>
      <c r="Q14" s="7"/>
      <c r="R14" s="7"/>
      <c r="S14" s="7"/>
      <c r="T14" s="7"/>
      <c r="U14" s="7"/>
      <c r="V14" s="7"/>
      <c r="W14" s="7"/>
      <c r="X14" s="7"/>
    </row>
    <row r="15" spans="1:24" ht="15.75" customHeight="1">
      <c r="A15" s="167"/>
      <c r="B15" s="163"/>
      <c r="C15" s="164"/>
      <c r="D15" s="67"/>
      <c r="E15" s="35"/>
      <c r="F15" s="36"/>
      <c r="G15" s="111"/>
      <c r="H15" s="111"/>
      <c r="I15" s="75"/>
      <c r="J15" s="74"/>
      <c r="K15" s="75"/>
      <c r="L15" s="75"/>
      <c r="M15" s="75"/>
      <c r="N15" s="75"/>
      <c r="O15" s="75"/>
      <c r="P15" s="75"/>
      <c r="Q15" s="7"/>
      <c r="R15" s="7"/>
      <c r="S15" s="7"/>
      <c r="T15" s="7"/>
      <c r="U15" s="7"/>
      <c r="V15" s="7"/>
      <c r="W15" s="7"/>
      <c r="X15" s="7"/>
    </row>
    <row r="16" spans="1:24" ht="15.75" customHeight="1">
      <c r="A16" s="168"/>
      <c r="B16" s="163"/>
      <c r="C16" s="164"/>
      <c r="D16" s="67"/>
      <c r="E16" s="35"/>
      <c r="F16" s="36"/>
      <c r="G16" s="111"/>
      <c r="H16" s="111"/>
      <c r="I16" s="75"/>
      <c r="J16" s="74"/>
      <c r="K16" s="75"/>
      <c r="L16" s="75"/>
      <c r="M16" s="75"/>
      <c r="N16" s="75"/>
      <c r="O16" s="75"/>
      <c r="P16" s="75"/>
      <c r="Q16" s="7"/>
      <c r="R16" s="7"/>
      <c r="S16" s="7"/>
      <c r="T16" s="7"/>
      <c r="U16" s="7"/>
      <c r="V16" s="7"/>
      <c r="W16" s="7"/>
      <c r="X16" s="7"/>
    </row>
    <row r="17" spans="1:24" ht="15.75" customHeight="1">
      <c r="A17" s="169"/>
      <c r="B17" s="163"/>
      <c r="C17" s="164"/>
      <c r="D17" s="67"/>
      <c r="E17" s="35"/>
      <c r="F17" s="36"/>
      <c r="G17" s="111"/>
      <c r="H17" s="111"/>
      <c r="I17" s="75"/>
      <c r="J17" s="74"/>
      <c r="K17" s="75"/>
      <c r="L17" s="75"/>
      <c r="M17" s="75"/>
      <c r="N17" s="75"/>
      <c r="O17" s="75"/>
      <c r="P17" s="75"/>
      <c r="Q17" s="7"/>
      <c r="R17" s="7"/>
      <c r="S17" s="7"/>
      <c r="T17" s="7"/>
      <c r="U17" s="7"/>
      <c r="V17" s="7"/>
      <c r="W17" s="7"/>
      <c r="X17" s="7"/>
    </row>
    <row r="18" spans="1:24" ht="15.75" customHeight="1">
      <c r="A18" s="165"/>
      <c r="B18" s="163"/>
      <c r="C18" s="164"/>
      <c r="D18" s="67"/>
      <c r="E18" s="35"/>
      <c r="F18" s="36"/>
      <c r="G18" s="111"/>
      <c r="H18" s="111"/>
      <c r="I18" s="75"/>
      <c r="J18" s="74"/>
      <c r="K18" s="75"/>
      <c r="L18" s="75"/>
      <c r="M18" s="75"/>
      <c r="N18" s="75"/>
      <c r="O18" s="75"/>
      <c r="P18" s="75"/>
      <c r="Q18" s="7"/>
      <c r="R18" s="7"/>
      <c r="S18" s="7"/>
      <c r="T18" s="7"/>
      <c r="U18" s="7"/>
      <c r="V18" s="7"/>
      <c r="W18" s="7"/>
      <c r="X18" s="7"/>
    </row>
    <row r="19" spans="1:24" ht="15.75" customHeight="1">
      <c r="A19" s="165"/>
      <c r="B19" s="163"/>
      <c r="C19" s="164"/>
      <c r="D19" s="67"/>
      <c r="E19" s="35"/>
      <c r="F19" s="36"/>
      <c r="G19" s="111"/>
      <c r="H19" s="111"/>
      <c r="I19" s="75"/>
      <c r="J19" s="74"/>
      <c r="K19" s="75"/>
      <c r="L19" s="75"/>
      <c r="M19" s="75"/>
      <c r="N19" s="75"/>
      <c r="O19" s="75"/>
      <c r="P19" s="75"/>
      <c r="Q19" s="7"/>
      <c r="R19" s="7"/>
      <c r="S19" s="7"/>
      <c r="T19" s="7"/>
      <c r="U19" s="7"/>
      <c r="V19" s="7"/>
      <c r="W19" s="7"/>
      <c r="X19" s="7"/>
    </row>
    <row r="20" spans="1:24" ht="15.75" customHeight="1">
      <c r="A20" s="165"/>
      <c r="B20" s="163"/>
      <c r="C20" s="164"/>
      <c r="D20" s="67"/>
      <c r="E20" s="35"/>
      <c r="F20" s="36"/>
      <c r="G20" s="111"/>
      <c r="H20" s="111"/>
      <c r="I20" s="75"/>
      <c r="J20" s="74"/>
      <c r="K20" s="75"/>
      <c r="L20" s="75"/>
      <c r="M20" s="75"/>
      <c r="N20" s="75"/>
      <c r="O20" s="75"/>
      <c r="P20" s="75"/>
      <c r="Q20" s="7"/>
      <c r="R20" s="7"/>
      <c r="S20" s="7"/>
      <c r="T20" s="7"/>
      <c r="U20" s="7"/>
      <c r="V20" s="7"/>
      <c r="W20" s="7"/>
      <c r="X20" s="7"/>
    </row>
    <row r="21" spans="1:24" ht="15.75" customHeight="1">
      <c r="A21" s="165"/>
      <c r="B21" s="163"/>
      <c r="C21" s="164"/>
      <c r="D21" s="67"/>
      <c r="E21" s="35"/>
      <c r="F21" s="44"/>
      <c r="G21" s="111"/>
      <c r="H21" s="111"/>
      <c r="I21" s="75"/>
      <c r="J21" s="74"/>
      <c r="K21" s="75"/>
      <c r="L21" s="75"/>
      <c r="M21" s="75"/>
      <c r="N21" s="75"/>
      <c r="O21" s="75"/>
      <c r="P21" s="75"/>
      <c r="Q21" s="7"/>
      <c r="R21" s="7"/>
      <c r="S21" s="7"/>
      <c r="T21" s="7"/>
      <c r="U21" s="7"/>
      <c r="V21" s="7"/>
      <c r="W21" s="7"/>
      <c r="X21" s="7"/>
    </row>
    <row r="22" spans="1:24" ht="15.75" customHeight="1">
      <c r="A22" s="170"/>
      <c r="B22" s="163"/>
      <c r="C22" s="164"/>
      <c r="D22" s="67"/>
      <c r="E22" s="10"/>
      <c r="F22" s="7"/>
      <c r="G22" s="111"/>
      <c r="H22" s="111"/>
      <c r="I22" s="7"/>
      <c r="J22" s="74"/>
      <c r="K22" s="75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>
      <c r="A23" s="170"/>
      <c r="B23" s="163"/>
      <c r="C23" s="164"/>
      <c r="D23" s="67"/>
      <c r="E23" s="10"/>
      <c r="F23" s="7"/>
      <c r="G23" s="111"/>
      <c r="H23" s="111"/>
      <c r="I23" s="7"/>
      <c r="J23" s="74"/>
      <c r="K23" s="7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>
      <c r="A24" s="170"/>
      <c r="B24" s="163"/>
      <c r="C24" s="164"/>
      <c r="D24" s="67"/>
      <c r="E24" s="10"/>
      <c r="F24" s="7"/>
      <c r="G24" s="111"/>
      <c r="H24" s="111"/>
      <c r="I24" s="7"/>
      <c r="J24" s="74"/>
      <c r="K24" s="7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75" customHeight="1">
      <c r="A25" s="170"/>
      <c r="B25" s="163"/>
      <c r="C25" s="164"/>
      <c r="D25" s="67"/>
      <c r="E25" s="10"/>
      <c r="F25" s="7"/>
      <c r="G25" s="111"/>
      <c r="H25" s="111"/>
      <c r="I25" s="7"/>
      <c r="J25" s="74"/>
      <c r="K25" s="7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>
      <c r="A26" s="165"/>
      <c r="B26" s="163"/>
      <c r="C26" s="164"/>
      <c r="D26" s="67"/>
      <c r="E26" s="10"/>
      <c r="F26" s="7"/>
      <c r="G26" s="111"/>
      <c r="H26" s="11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.75" customHeight="1">
      <c r="A27" s="166"/>
      <c r="B27" s="163"/>
      <c r="C27" s="164"/>
      <c r="D27" s="67"/>
      <c r="E27" s="35"/>
      <c r="F27" s="44"/>
      <c r="G27" s="111"/>
      <c r="H27" s="111"/>
      <c r="I27" s="75"/>
      <c r="J27" s="74"/>
      <c r="K27" s="75"/>
      <c r="L27" s="75"/>
      <c r="M27" s="75"/>
      <c r="N27" s="75"/>
      <c r="O27" s="75"/>
      <c r="P27" s="75"/>
      <c r="Q27" s="7"/>
      <c r="R27" s="7"/>
      <c r="S27" s="7"/>
      <c r="T27" s="7"/>
      <c r="U27" s="7"/>
      <c r="V27" s="7"/>
      <c r="W27" s="7"/>
      <c r="X27" s="7"/>
    </row>
    <row r="28" spans="1:24" ht="15.75" customHeight="1">
      <c r="A28" s="165"/>
      <c r="B28" s="163"/>
      <c r="C28" s="164"/>
      <c r="D28" s="67"/>
      <c r="E28" s="35"/>
      <c r="F28" s="44"/>
      <c r="G28" s="111"/>
      <c r="H28" s="111"/>
      <c r="I28" s="75"/>
      <c r="J28" s="74"/>
      <c r="K28" s="75"/>
      <c r="L28" s="75"/>
      <c r="M28" s="75"/>
      <c r="N28" s="75"/>
      <c r="O28" s="75"/>
      <c r="P28" s="75"/>
      <c r="Q28" s="7"/>
      <c r="R28" s="7"/>
      <c r="S28" s="7"/>
      <c r="T28" s="7"/>
      <c r="U28" s="7"/>
      <c r="V28" s="7"/>
      <c r="W28" s="7"/>
      <c r="X28" s="7"/>
    </row>
    <row r="29" spans="1:24" ht="15.75" customHeight="1">
      <c r="A29" s="165"/>
      <c r="B29" s="163"/>
      <c r="C29" s="164"/>
      <c r="D29" s="67"/>
      <c r="E29" s="35"/>
      <c r="F29" s="44"/>
      <c r="G29" s="111"/>
      <c r="H29" s="111"/>
      <c r="I29" s="75"/>
      <c r="J29" s="74"/>
      <c r="K29" s="75"/>
      <c r="L29" s="75"/>
      <c r="M29" s="75"/>
      <c r="N29" s="75"/>
      <c r="O29" s="75"/>
      <c r="P29" s="75"/>
      <c r="Q29" s="7"/>
      <c r="R29" s="7"/>
      <c r="S29" s="7"/>
      <c r="T29" s="7"/>
      <c r="U29" s="7"/>
      <c r="V29" s="7"/>
      <c r="W29" s="7"/>
      <c r="X29" s="7"/>
    </row>
    <row r="30" spans="1:24" ht="15.75" customHeight="1">
      <c r="A30" s="170"/>
      <c r="B30" s="163"/>
      <c r="C30" s="164"/>
      <c r="D30" s="67"/>
      <c r="E30" s="35"/>
      <c r="F30" s="44"/>
      <c r="G30" s="111"/>
      <c r="H30" s="111"/>
      <c r="I30" s="75"/>
      <c r="J30" s="74"/>
      <c r="K30" s="75"/>
      <c r="L30" s="75"/>
      <c r="M30" s="75"/>
      <c r="N30" s="75"/>
      <c r="O30" s="75"/>
      <c r="P30" s="75"/>
      <c r="Q30" s="7"/>
      <c r="R30" s="7"/>
      <c r="S30" s="7"/>
      <c r="T30" s="7"/>
      <c r="U30" s="7"/>
      <c r="V30" s="7"/>
      <c r="W30" s="7"/>
      <c r="X30" s="7"/>
    </row>
    <row r="31" spans="1:24" ht="15.75" customHeight="1">
      <c r="A31" s="165"/>
      <c r="B31" s="163"/>
      <c r="C31" s="164"/>
      <c r="D31" s="67"/>
      <c r="E31" s="35"/>
      <c r="F31" s="36"/>
      <c r="G31" s="111"/>
      <c r="H31" s="111"/>
      <c r="I31" s="75"/>
      <c r="J31" s="74"/>
      <c r="K31" s="75"/>
      <c r="L31" s="75"/>
      <c r="M31" s="75"/>
      <c r="N31" s="75"/>
      <c r="O31" s="75"/>
      <c r="P31" s="75"/>
      <c r="Q31" s="7"/>
      <c r="R31" s="7"/>
      <c r="S31" s="7"/>
      <c r="T31" s="7"/>
      <c r="U31" s="7"/>
      <c r="V31" s="7"/>
      <c r="W31" s="7"/>
      <c r="X31" s="7"/>
    </row>
    <row r="32" spans="1:24" ht="15.75" customHeight="1">
      <c r="A32" s="165"/>
      <c r="B32" s="163"/>
      <c r="C32" s="164"/>
      <c r="D32" s="67"/>
      <c r="E32" s="35"/>
      <c r="F32" s="36"/>
      <c r="G32" s="111"/>
      <c r="H32" s="111"/>
      <c r="I32" s="75"/>
      <c r="J32" s="74"/>
      <c r="K32" s="75"/>
      <c r="L32" s="75"/>
      <c r="M32" s="75"/>
      <c r="N32" s="75"/>
      <c r="O32" s="75"/>
      <c r="P32" s="75"/>
      <c r="Q32" s="7"/>
      <c r="R32" s="7"/>
      <c r="S32" s="7"/>
      <c r="T32" s="7"/>
      <c r="U32" s="7"/>
      <c r="V32" s="7"/>
      <c r="W32" s="7"/>
      <c r="X32" s="7"/>
    </row>
    <row r="33" spans="1:24" ht="15.75" customHeight="1">
      <c r="A33" s="171"/>
      <c r="B33" s="163"/>
      <c r="C33" s="164"/>
      <c r="D33" s="67"/>
      <c r="E33" s="35"/>
      <c r="F33" s="36"/>
      <c r="G33" s="111"/>
      <c r="H33" s="111"/>
      <c r="I33" s="75"/>
      <c r="J33" s="74"/>
      <c r="K33" s="75"/>
      <c r="L33" s="75"/>
      <c r="M33" s="75"/>
      <c r="N33" s="75"/>
      <c r="O33" s="75"/>
      <c r="P33" s="75"/>
      <c r="Q33" s="7"/>
      <c r="R33" s="7"/>
      <c r="S33" s="7"/>
      <c r="T33" s="7"/>
      <c r="U33" s="7"/>
      <c r="V33" s="7"/>
      <c r="W33" s="7"/>
      <c r="X33" s="7"/>
    </row>
    <row r="34" spans="1:24" ht="15.75" customHeight="1">
      <c r="A34" s="165"/>
      <c r="B34" s="163"/>
      <c r="C34" s="164"/>
      <c r="D34" s="67"/>
      <c r="E34" s="35"/>
      <c r="F34" s="84"/>
      <c r="G34" s="111"/>
      <c r="H34" s="111"/>
      <c r="I34" s="75"/>
      <c r="J34" s="74"/>
      <c r="K34" s="75"/>
      <c r="L34" s="75"/>
      <c r="M34" s="75"/>
      <c r="N34" s="75"/>
      <c r="O34" s="75"/>
      <c r="P34" s="75"/>
      <c r="Q34" s="7"/>
      <c r="R34" s="7"/>
      <c r="S34" s="7"/>
      <c r="T34" s="7"/>
      <c r="U34" s="7"/>
      <c r="V34" s="7"/>
      <c r="W34" s="7"/>
      <c r="X34" s="7"/>
    </row>
    <row r="35" spans="1:24" ht="15.75" customHeight="1">
      <c r="A35" s="165"/>
      <c r="B35" s="163"/>
      <c r="C35" s="164"/>
      <c r="D35" s="67"/>
      <c r="E35" s="35"/>
      <c r="F35" s="36"/>
      <c r="G35" s="111"/>
      <c r="H35" s="111"/>
      <c r="I35" s="75"/>
      <c r="J35" s="74"/>
      <c r="K35" s="75"/>
      <c r="L35" s="75"/>
      <c r="M35" s="75"/>
      <c r="N35" s="75"/>
      <c r="O35" s="75"/>
      <c r="P35" s="75"/>
      <c r="Q35" s="7"/>
      <c r="R35" s="7"/>
      <c r="S35" s="7"/>
      <c r="T35" s="7"/>
      <c r="U35" s="7"/>
      <c r="V35" s="7"/>
      <c r="W35" s="7"/>
      <c r="X35" s="7"/>
    </row>
    <row r="36" spans="1:24" ht="15.75" customHeight="1">
      <c r="A36" s="165"/>
      <c r="B36" s="163"/>
      <c r="C36" s="164"/>
      <c r="D36" s="67"/>
      <c r="E36" s="35"/>
      <c r="F36" s="36"/>
      <c r="G36" s="111"/>
      <c r="H36" s="111"/>
      <c r="I36" s="75"/>
      <c r="J36" s="74"/>
      <c r="K36" s="75"/>
      <c r="L36" s="75"/>
      <c r="M36" s="75"/>
      <c r="N36" s="75"/>
      <c r="O36" s="75"/>
      <c r="P36" s="75"/>
      <c r="Q36" s="7"/>
      <c r="R36" s="7"/>
      <c r="S36" s="7"/>
      <c r="T36" s="7"/>
      <c r="U36" s="7"/>
      <c r="V36" s="7"/>
      <c r="W36" s="7"/>
      <c r="X36" s="7"/>
    </row>
    <row r="37" spans="1:24" ht="15.75" customHeight="1">
      <c r="A37" s="167"/>
      <c r="B37" s="163"/>
      <c r="C37" s="164"/>
      <c r="D37" s="67"/>
      <c r="E37" s="35"/>
      <c r="F37" s="36"/>
      <c r="G37" s="111"/>
      <c r="H37" s="111"/>
      <c r="I37" s="75"/>
      <c r="J37" s="74"/>
      <c r="K37" s="75"/>
      <c r="L37" s="75"/>
      <c r="M37" s="75"/>
      <c r="N37" s="75"/>
      <c r="O37" s="75"/>
      <c r="P37" s="75"/>
      <c r="Q37" s="7"/>
      <c r="R37" s="7"/>
      <c r="S37" s="7"/>
      <c r="T37" s="7"/>
      <c r="U37" s="7"/>
      <c r="V37" s="7"/>
      <c r="W37" s="7"/>
      <c r="X37" s="7"/>
    </row>
    <row r="38" spans="1:24" ht="15.75" customHeight="1">
      <c r="A38" s="165"/>
      <c r="B38" s="163"/>
      <c r="C38" s="164"/>
      <c r="D38" s="67"/>
      <c r="E38" s="35"/>
      <c r="F38" s="36"/>
      <c r="G38" s="111"/>
      <c r="H38" s="111"/>
      <c r="I38" s="75"/>
      <c r="J38" s="74"/>
      <c r="K38" s="75"/>
      <c r="L38" s="75"/>
      <c r="M38" s="75"/>
      <c r="N38" s="75"/>
      <c r="O38" s="75"/>
      <c r="P38" s="75"/>
      <c r="Q38" s="7"/>
      <c r="R38" s="7"/>
      <c r="S38" s="7"/>
      <c r="T38" s="7"/>
      <c r="U38" s="7"/>
      <c r="V38" s="7"/>
      <c r="W38" s="7"/>
      <c r="X38" s="7"/>
    </row>
    <row r="39" spans="1:24" ht="15.75" customHeight="1">
      <c r="A39" s="165"/>
      <c r="B39" s="163"/>
      <c r="C39" s="164"/>
      <c r="D39" s="67"/>
      <c r="E39" s="35"/>
      <c r="F39" s="36"/>
      <c r="G39" s="111"/>
      <c r="H39" s="111"/>
      <c r="I39" s="75"/>
      <c r="J39" s="74"/>
      <c r="K39" s="75"/>
      <c r="L39" s="75"/>
      <c r="M39" s="75"/>
      <c r="N39" s="75"/>
      <c r="O39" s="75"/>
      <c r="P39" s="75"/>
      <c r="Q39" s="7"/>
      <c r="R39" s="7"/>
      <c r="S39" s="7"/>
      <c r="T39" s="7"/>
      <c r="U39" s="7"/>
      <c r="V39" s="7"/>
      <c r="W39" s="7"/>
      <c r="X39" s="7"/>
    </row>
    <row r="40" spans="1:24" ht="15.75" customHeight="1">
      <c r="A40" s="166"/>
      <c r="B40" s="163"/>
      <c r="C40" s="164"/>
      <c r="D40" s="67"/>
      <c r="E40" s="35"/>
      <c r="F40" s="172"/>
      <c r="G40" s="111"/>
      <c r="H40" s="111"/>
      <c r="I40" s="75"/>
      <c r="J40" s="74"/>
      <c r="K40" s="75"/>
      <c r="L40" s="75"/>
      <c r="M40" s="75"/>
      <c r="N40" s="75"/>
      <c r="O40" s="75"/>
      <c r="P40" s="75"/>
      <c r="Q40" s="7"/>
      <c r="R40" s="7"/>
      <c r="S40" s="7"/>
      <c r="T40" s="7"/>
      <c r="U40" s="7"/>
      <c r="V40" s="7"/>
      <c r="W40" s="7"/>
      <c r="X40" s="7"/>
    </row>
    <row r="41" spans="1:24" ht="15.75" customHeight="1">
      <c r="A41" s="165"/>
      <c r="B41" s="163"/>
      <c r="C41" s="164"/>
      <c r="D41" s="67"/>
      <c r="E41" s="35"/>
      <c r="F41" s="36"/>
      <c r="G41" s="111"/>
      <c r="H41" s="111"/>
      <c r="I41" s="75"/>
      <c r="J41" s="74"/>
      <c r="K41" s="75"/>
      <c r="L41" s="75"/>
      <c r="M41" s="75"/>
      <c r="N41" s="75"/>
      <c r="O41" s="75"/>
      <c r="P41" s="75"/>
      <c r="Q41" s="7"/>
      <c r="R41" s="7"/>
      <c r="S41" s="7"/>
      <c r="T41" s="7"/>
      <c r="U41" s="7"/>
      <c r="V41" s="7"/>
      <c r="W41" s="7"/>
      <c r="X41" s="7"/>
    </row>
    <row r="42" spans="1:24" ht="15.75" customHeight="1">
      <c r="A42" s="165"/>
      <c r="B42" s="163"/>
      <c r="C42" s="164"/>
      <c r="D42" s="67"/>
      <c r="E42" s="35"/>
      <c r="F42" s="36"/>
      <c r="G42" s="111"/>
      <c r="H42" s="111"/>
      <c r="I42" s="75"/>
      <c r="J42" s="74"/>
      <c r="K42" s="75"/>
      <c r="L42" s="75"/>
      <c r="M42" s="75"/>
      <c r="N42" s="75"/>
      <c r="O42" s="75"/>
      <c r="P42" s="75"/>
      <c r="Q42" s="7"/>
      <c r="R42" s="7"/>
      <c r="S42" s="7"/>
      <c r="T42" s="7"/>
      <c r="U42" s="7"/>
      <c r="V42" s="7"/>
      <c r="W42" s="7"/>
      <c r="X42" s="7"/>
    </row>
    <row r="43" spans="1:24" ht="15.75" customHeight="1">
      <c r="A43" s="165"/>
      <c r="B43" s="163"/>
      <c r="C43" s="164"/>
      <c r="D43" s="67"/>
      <c r="E43" s="35"/>
      <c r="F43" s="36"/>
      <c r="G43" s="111"/>
      <c r="H43" s="111"/>
      <c r="I43" s="75"/>
      <c r="J43" s="109"/>
      <c r="K43" s="75"/>
      <c r="L43" s="75"/>
      <c r="M43" s="75"/>
      <c r="N43" s="75"/>
      <c r="O43" s="75"/>
      <c r="P43" s="75"/>
      <c r="Q43" s="7"/>
      <c r="R43" s="7"/>
      <c r="S43" s="7"/>
      <c r="T43" s="7"/>
      <c r="U43" s="7"/>
      <c r="V43" s="7"/>
      <c r="W43" s="7"/>
      <c r="X43" s="7"/>
    </row>
    <row r="44" spans="1:24" ht="15.75" customHeight="1">
      <c r="A44" s="165"/>
      <c r="B44" s="163"/>
      <c r="C44" s="164"/>
      <c r="D44" s="67"/>
      <c r="E44" s="35"/>
      <c r="F44" s="36"/>
      <c r="G44" s="111"/>
      <c r="H44" s="111"/>
      <c r="I44" s="75"/>
      <c r="J44" s="109"/>
      <c r="K44" s="75"/>
      <c r="L44" s="75"/>
      <c r="M44" s="75"/>
      <c r="N44" s="75"/>
      <c r="O44" s="75"/>
      <c r="P44" s="75"/>
      <c r="Q44" s="7"/>
      <c r="R44" s="7"/>
      <c r="S44" s="7"/>
      <c r="T44" s="7"/>
      <c r="U44" s="7"/>
      <c r="V44" s="7"/>
      <c r="W44" s="7"/>
      <c r="X44" s="7"/>
    </row>
    <row r="45" spans="1:24" ht="15.75" customHeight="1">
      <c r="A45" s="165"/>
      <c r="B45" s="163"/>
      <c r="C45" s="164"/>
      <c r="D45" s="67"/>
      <c r="E45" s="35"/>
      <c r="F45" s="36"/>
      <c r="G45" s="111"/>
      <c r="H45" s="111"/>
      <c r="I45" s="75"/>
      <c r="J45" s="109"/>
      <c r="K45" s="75"/>
      <c r="L45" s="75"/>
      <c r="M45" s="75"/>
      <c r="N45" s="75"/>
      <c r="O45" s="75"/>
      <c r="P45" s="75"/>
      <c r="Q45" s="7"/>
      <c r="R45" s="7"/>
      <c r="S45" s="7"/>
      <c r="T45" s="7"/>
      <c r="U45" s="7"/>
      <c r="V45" s="7"/>
      <c r="W45" s="7"/>
      <c r="X45" s="7"/>
    </row>
    <row r="46" spans="1:24" ht="15.75" customHeight="1">
      <c r="A46" s="166"/>
      <c r="B46" s="163"/>
      <c r="C46" s="164"/>
      <c r="D46" s="67"/>
      <c r="E46" s="35"/>
      <c r="F46" s="36"/>
      <c r="G46" s="111"/>
      <c r="H46" s="111"/>
      <c r="I46" s="75"/>
      <c r="J46" s="109"/>
      <c r="K46" s="75"/>
      <c r="L46" s="75"/>
      <c r="M46" s="75"/>
      <c r="N46" s="75"/>
      <c r="O46" s="75"/>
      <c r="P46" s="75"/>
      <c r="Q46" s="7"/>
      <c r="R46" s="7"/>
      <c r="S46" s="7"/>
      <c r="T46" s="7"/>
      <c r="U46" s="7"/>
      <c r="V46" s="7"/>
      <c r="W46" s="7"/>
      <c r="X46" s="7"/>
    </row>
    <row r="47" spans="1:24" ht="15.75" customHeight="1">
      <c r="A47" s="165"/>
      <c r="B47" s="163"/>
      <c r="C47" s="164"/>
      <c r="D47" s="67"/>
      <c r="E47" s="35"/>
      <c r="F47" s="36"/>
      <c r="G47" s="111"/>
      <c r="H47" s="111"/>
      <c r="I47" s="75"/>
      <c r="J47" s="109"/>
      <c r="K47" s="75"/>
      <c r="L47" s="75"/>
      <c r="M47" s="75"/>
      <c r="N47" s="75"/>
      <c r="O47" s="75"/>
      <c r="P47" s="75"/>
      <c r="Q47" s="7"/>
      <c r="R47" s="7"/>
      <c r="S47" s="7"/>
      <c r="T47" s="7"/>
      <c r="U47" s="7"/>
      <c r="V47" s="7"/>
      <c r="W47" s="7"/>
      <c r="X47" s="7"/>
    </row>
    <row r="48" spans="1:24" ht="15.75" customHeight="1">
      <c r="A48" s="165"/>
      <c r="B48" s="163"/>
      <c r="C48" s="164"/>
      <c r="D48" s="67"/>
      <c r="E48" s="35"/>
      <c r="F48" s="36"/>
      <c r="G48" s="111"/>
      <c r="H48" s="111"/>
      <c r="I48" s="75"/>
      <c r="J48" s="109"/>
      <c r="K48" s="75"/>
      <c r="L48" s="75"/>
      <c r="M48" s="75"/>
      <c r="N48" s="75"/>
      <c r="O48" s="75"/>
      <c r="P48" s="75"/>
      <c r="Q48" s="7"/>
      <c r="R48" s="7"/>
      <c r="S48" s="7"/>
      <c r="T48" s="7"/>
      <c r="U48" s="7"/>
      <c r="V48" s="7"/>
      <c r="W48" s="7"/>
      <c r="X48" s="7"/>
    </row>
    <row r="49" spans="1:24" ht="15.75" customHeight="1">
      <c r="A49" s="165"/>
      <c r="B49" s="163"/>
      <c r="C49" s="164"/>
      <c r="D49" s="67"/>
      <c r="E49" s="35"/>
      <c r="F49" s="36"/>
      <c r="G49" s="111"/>
      <c r="H49" s="111"/>
      <c r="I49" s="75"/>
      <c r="J49" s="109"/>
      <c r="K49" s="75"/>
      <c r="L49" s="75"/>
      <c r="M49" s="75"/>
      <c r="N49" s="75"/>
      <c r="O49" s="75"/>
      <c r="P49" s="75"/>
      <c r="Q49" s="7"/>
      <c r="R49" s="7"/>
      <c r="S49" s="7"/>
      <c r="T49" s="7"/>
      <c r="U49" s="7"/>
      <c r="V49" s="7"/>
      <c r="W49" s="7"/>
      <c r="X49" s="7"/>
    </row>
    <row r="50" spans="1:24" ht="15.75" customHeight="1">
      <c r="A50" s="165"/>
      <c r="B50" s="163"/>
      <c r="C50" s="164"/>
      <c r="D50" s="67"/>
      <c r="E50" s="35"/>
      <c r="F50" s="36"/>
      <c r="G50" s="111"/>
      <c r="H50" s="111"/>
      <c r="I50" s="75"/>
      <c r="J50" s="109"/>
      <c r="K50" s="75"/>
      <c r="L50" s="75"/>
      <c r="M50" s="75"/>
      <c r="N50" s="75"/>
      <c r="O50" s="75"/>
      <c r="P50" s="75"/>
      <c r="Q50" s="7"/>
      <c r="R50" s="7"/>
      <c r="S50" s="7"/>
      <c r="T50" s="7"/>
      <c r="U50" s="7"/>
      <c r="V50" s="7"/>
      <c r="W50" s="7"/>
      <c r="X50" s="7"/>
    </row>
    <row r="51" spans="1:24" ht="15.75" customHeight="1">
      <c r="A51" s="166"/>
      <c r="B51" s="163"/>
      <c r="C51" s="164"/>
      <c r="D51" s="67"/>
      <c r="E51" s="35"/>
      <c r="F51" s="36"/>
      <c r="G51" s="111"/>
      <c r="H51" s="111"/>
      <c r="I51" s="75"/>
      <c r="J51" s="109"/>
      <c r="K51" s="75"/>
      <c r="L51" s="75"/>
      <c r="M51" s="75"/>
      <c r="N51" s="75"/>
      <c r="O51" s="75"/>
      <c r="P51" s="75"/>
      <c r="Q51" s="7"/>
      <c r="R51" s="7"/>
      <c r="S51" s="7"/>
      <c r="T51" s="7"/>
      <c r="U51" s="7"/>
      <c r="V51" s="7"/>
      <c r="W51" s="7"/>
      <c r="X51" s="7"/>
    </row>
    <row r="52" spans="1:24" ht="15.75" customHeight="1">
      <c r="A52" s="165"/>
      <c r="B52" s="163"/>
      <c r="C52" s="164"/>
      <c r="D52" s="67"/>
      <c r="E52" s="35"/>
      <c r="F52" s="36"/>
      <c r="G52" s="111"/>
      <c r="H52" s="111"/>
      <c r="I52" s="75"/>
      <c r="J52" s="109"/>
      <c r="K52" s="75"/>
      <c r="L52" s="75"/>
      <c r="M52" s="75"/>
      <c r="N52" s="75"/>
      <c r="O52" s="75"/>
      <c r="P52" s="75"/>
      <c r="Q52" s="7"/>
      <c r="R52" s="7"/>
      <c r="S52" s="7"/>
      <c r="T52" s="7"/>
      <c r="U52" s="7"/>
      <c r="V52" s="7"/>
      <c r="W52" s="7"/>
      <c r="X52" s="7"/>
    </row>
    <row r="53" spans="1:24" ht="15.75" customHeight="1">
      <c r="A53" s="165"/>
      <c r="B53" s="163"/>
      <c r="C53" s="164"/>
      <c r="D53" s="67"/>
      <c r="E53" s="35"/>
      <c r="F53" s="36"/>
      <c r="G53" s="111"/>
      <c r="H53" s="111"/>
      <c r="I53" s="7"/>
      <c r="J53" s="74"/>
      <c r="K53" s="7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>
      <c r="A54" s="165"/>
      <c r="B54" s="163"/>
      <c r="C54" s="164"/>
      <c r="D54" s="67"/>
      <c r="E54" s="35"/>
      <c r="F54" s="36"/>
      <c r="G54" s="111"/>
      <c r="H54" s="111"/>
      <c r="I54" s="7"/>
      <c r="J54" s="74"/>
      <c r="K54" s="7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5.75" customHeight="1">
      <c r="A55" s="166"/>
      <c r="B55" s="163"/>
      <c r="C55" s="164"/>
      <c r="D55" s="67"/>
      <c r="E55" s="35"/>
      <c r="F55" s="36"/>
      <c r="G55" s="111"/>
      <c r="H55" s="111"/>
      <c r="I55" s="7"/>
      <c r="J55" s="74"/>
      <c r="K55" s="7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customHeight="1">
      <c r="A56" s="165"/>
      <c r="B56" s="163"/>
      <c r="C56" s="164"/>
      <c r="D56" s="67"/>
      <c r="E56" s="35"/>
      <c r="F56" s="36"/>
      <c r="G56" s="111"/>
      <c r="H56" s="111"/>
      <c r="I56" s="7"/>
      <c r="J56" s="74"/>
      <c r="K56" s="7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>
      <c r="A57" s="165"/>
      <c r="B57" s="163"/>
      <c r="C57" s="164"/>
      <c r="D57" s="67"/>
      <c r="E57" s="35"/>
      <c r="F57" s="36"/>
      <c r="G57" s="111"/>
      <c r="H57" s="111"/>
      <c r="I57" s="7"/>
      <c r="J57" s="74"/>
      <c r="K57" s="7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customHeight="1">
      <c r="A58" s="165"/>
      <c r="B58" s="163"/>
      <c r="C58" s="164"/>
      <c r="D58" s="67"/>
      <c r="E58" s="35"/>
      <c r="F58" s="36"/>
      <c r="G58" s="111"/>
      <c r="H58" s="111"/>
      <c r="I58" s="7"/>
      <c r="J58" s="74"/>
      <c r="K58" s="7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>
      <c r="A59" s="165"/>
      <c r="B59" s="163"/>
      <c r="C59" s="164"/>
      <c r="D59" s="67"/>
      <c r="E59" s="35"/>
      <c r="F59" s="44"/>
      <c r="G59" s="111"/>
      <c r="H59" s="111"/>
      <c r="I59" s="7"/>
      <c r="J59" s="74"/>
      <c r="K59" s="7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>
      <c r="A60" s="165"/>
      <c r="B60" s="163"/>
      <c r="C60" s="164"/>
      <c r="D60" s="67"/>
      <c r="E60" s="35"/>
      <c r="F60" s="44"/>
      <c r="G60" s="111"/>
      <c r="H60" s="111"/>
      <c r="I60" s="7"/>
      <c r="J60" s="74"/>
      <c r="K60" s="7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>
      <c r="A61" s="165"/>
      <c r="B61" s="163"/>
      <c r="C61" s="164"/>
      <c r="D61" s="67"/>
      <c r="E61" s="35"/>
      <c r="F61" s="36"/>
      <c r="G61" s="111"/>
      <c r="H61" s="111"/>
      <c r="I61" s="7"/>
      <c r="J61" s="74"/>
      <c r="K61" s="7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>
      <c r="A62" s="165"/>
      <c r="B62" s="163"/>
      <c r="C62" s="164"/>
      <c r="D62" s="67"/>
      <c r="E62" s="35"/>
      <c r="F62" s="36"/>
      <c r="G62" s="111"/>
      <c r="H62" s="111"/>
      <c r="I62" s="7"/>
      <c r="J62" s="74"/>
      <c r="K62" s="7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customHeight="1">
      <c r="A63" s="10"/>
      <c r="B63" s="10"/>
      <c r="C63" s="185"/>
      <c r="D63" s="67"/>
      <c r="E63" s="7"/>
      <c r="F63" s="7"/>
      <c r="G63" s="119"/>
      <c r="H63" s="11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.75" customHeight="1">
      <c r="A64" s="10"/>
      <c r="B64" s="10"/>
      <c r="C64" s="185"/>
      <c r="D64" s="67"/>
      <c r="E64" s="7"/>
      <c r="F64" s="7"/>
      <c r="G64" s="119"/>
      <c r="H64" s="11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>
      <c r="A65" s="10"/>
      <c r="B65" s="10"/>
      <c r="C65" s="185"/>
      <c r="D65" s="67"/>
      <c r="E65" s="7"/>
      <c r="F65" s="7"/>
      <c r="G65" s="119"/>
      <c r="H65" s="11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5.75" customHeight="1">
      <c r="A66" s="10"/>
      <c r="B66" s="10"/>
      <c r="C66" s="185"/>
      <c r="D66" s="67"/>
      <c r="E66" s="7"/>
      <c r="F66" s="7"/>
      <c r="G66" s="119"/>
      <c r="H66" s="11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>
      <c r="A67" s="10"/>
      <c r="B67" s="10"/>
      <c r="C67" s="185"/>
      <c r="D67" s="67"/>
      <c r="E67" s="7"/>
      <c r="F67" s="7"/>
      <c r="G67" s="119"/>
      <c r="H67" s="11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>
      <c r="A68" s="10"/>
      <c r="B68" s="10"/>
      <c r="C68" s="185"/>
      <c r="D68" s="67"/>
      <c r="E68" s="7"/>
      <c r="F68" s="7"/>
      <c r="G68" s="119"/>
      <c r="H68" s="11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customHeight="1">
      <c r="A69" s="10"/>
      <c r="B69" s="10"/>
      <c r="C69" s="185"/>
      <c r="D69" s="67"/>
      <c r="E69" s="7"/>
      <c r="F69" s="7"/>
      <c r="G69" s="119"/>
      <c r="H69" s="11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>
      <c r="A70" s="10"/>
      <c r="B70" s="10"/>
      <c r="C70" s="185"/>
      <c r="D70" s="67"/>
      <c r="E70" s="7"/>
      <c r="F70" s="7"/>
      <c r="G70" s="119"/>
      <c r="H70" s="11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>
      <c r="A71" s="10"/>
      <c r="B71" s="10"/>
      <c r="C71" s="185"/>
      <c r="D71" s="67"/>
      <c r="E71" s="7"/>
      <c r="F71" s="7"/>
      <c r="G71" s="119"/>
      <c r="H71" s="11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>
      <c r="A72" s="10"/>
      <c r="B72" s="10"/>
      <c r="C72" s="185"/>
      <c r="D72" s="67"/>
      <c r="E72" s="7"/>
      <c r="F72" s="7"/>
      <c r="G72" s="119"/>
      <c r="H72" s="11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>
      <c r="A73" s="10"/>
      <c r="B73" s="10"/>
      <c r="C73" s="185"/>
      <c r="D73" s="67"/>
      <c r="E73" s="7"/>
      <c r="F73" s="7"/>
      <c r="G73" s="119"/>
      <c r="H73" s="11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>
      <c r="A74" s="10"/>
      <c r="B74" s="10"/>
      <c r="C74" s="185"/>
      <c r="D74" s="67"/>
      <c r="E74" s="7"/>
      <c r="F74" s="7"/>
      <c r="G74" s="119"/>
      <c r="H74" s="11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customHeight="1">
      <c r="A75" s="10"/>
      <c r="B75" s="10"/>
      <c r="C75" s="185"/>
      <c r="D75" s="67"/>
      <c r="E75" s="7"/>
      <c r="F75" s="7"/>
      <c r="G75" s="119"/>
      <c r="H75" s="11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>
      <c r="A76" s="10"/>
      <c r="B76" s="10"/>
      <c r="C76" s="185"/>
      <c r="D76" s="67"/>
      <c r="E76" s="7"/>
      <c r="F76" s="7"/>
      <c r="G76" s="119"/>
      <c r="H76" s="11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>
      <c r="A77" s="10"/>
      <c r="B77" s="10"/>
      <c r="C77" s="185"/>
      <c r="D77" s="67"/>
      <c r="E77" s="7"/>
      <c r="F77" s="7"/>
      <c r="G77" s="119"/>
      <c r="H77" s="11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>
      <c r="A78" s="10"/>
      <c r="B78" s="10"/>
      <c r="C78" s="185"/>
      <c r="D78" s="67"/>
      <c r="E78" s="7"/>
      <c r="F78" s="7"/>
      <c r="G78" s="119"/>
      <c r="H78" s="11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.75" customHeight="1">
      <c r="A79" s="10"/>
      <c r="B79" s="10"/>
      <c r="C79" s="185"/>
      <c r="D79" s="67"/>
      <c r="E79" s="7"/>
      <c r="F79" s="7"/>
      <c r="G79" s="119"/>
      <c r="H79" s="11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>
      <c r="A80" s="10"/>
      <c r="B80" s="10"/>
      <c r="C80" s="185"/>
      <c r="D80" s="67"/>
      <c r="E80" s="7"/>
      <c r="F80" s="7"/>
      <c r="G80" s="119"/>
      <c r="H80" s="11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>
      <c r="A81" s="10"/>
      <c r="B81" s="10"/>
      <c r="C81" s="185"/>
      <c r="D81" s="67"/>
      <c r="E81" s="7"/>
      <c r="F81" s="7"/>
      <c r="G81" s="119"/>
      <c r="H81" s="11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>
      <c r="A82" s="10"/>
      <c r="B82" s="10"/>
      <c r="C82" s="185"/>
      <c r="D82" s="67"/>
      <c r="E82" s="7"/>
      <c r="F82" s="7"/>
      <c r="G82" s="119"/>
      <c r="H82" s="11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>
      <c r="A83" s="10"/>
      <c r="B83" s="10"/>
      <c r="C83" s="185"/>
      <c r="D83" s="67"/>
      <c r="E83" s="7"/>
      <c r="F83" s="7"/>
      <c r="G83" s="119"/>
      <c r="H83" s="11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>
      <c r="A84" s="10"/>
      <c r="B84" s="10"/>
      <c r="C84" s="185"/>
      <c r="D84" s="67"/>
      <c r="E84" s="7"/>
      <c r="F84" s="7"/>
      <c r="G84" s="119"/>
      <c r="H84" s="11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5.75" customHeight="1">
      <c r="A85" s="10"/>
      <c r="B85" s="10"/>
      <c r="C85" s="185"/>
      <c r="D85" s="67"/>
      <c r="E85" s="7"/>
      <c r="F85" s="7"/>
      <c r="G85" s="119"/>
      <c r="H85" s="11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>
      <c r="A86" s="10"/>
      <c r="B86" s="10"/>
      <c r="C86" s="185"/>
      <c r="D86" s="67"/>
      <c r="E86" s="7"/>
      <c r="F86" s="7"/>
      <c r="G86" s="119"/>
      <c r="H86" s="11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>
      <c r="A87" s="10"/>
      <c r="B87" s="10"/>
      <c r="C87" s="185"/>
      <c r="D87" s="67"/>
      <c r="E87" s="7"/>
      <c r="F87" s="7"/>
      <c r="G87" s="119"/>
      <c r="H87" s="11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>
      <c r="A88" s="10"/>
      <c r="B88" s="10"/>
      <c r="C88" s="185"/>
      <c r="D88" s="67"/>
      <c r="E88" s="7"/>
      <c r="F88" s="7"/>
      <c r="G88" s="119"/>
      <c r="H88" s="11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>
      <c r="A89" s="10"/>
      <c r="B89" s="10"/>
      <c r="C89" s="185"/>
      <c r="D89" s="67"/>
      <c r="E89" s="7"/>
      <c r="F89" s="7"/>
      <c r="G89" s="119"/>
      <c r="H89" s="11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>
      <c r="A90" s="10"/>
      <c r="B90" s="10"/>
      <c r="C90" s="185"/>
      <c r="D90" s="67"/>
      <c r="E90" s="7"/>
      <c r="F90" s="7"/>
      <c r="G90" s="119"/>
      <c r="H90" s="11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>
      <c r="A91" s="10"/>
      <c r="B91" s="10"/>
      <c r="C91" s="185"/>
      <c r="D91" s="67"/>
      <c r="E91" s="7"/>
      <c r="F91" s="7"/>
      <c r="G91" s="119"/>
      <c r="H91" s="11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>
      <c r="A92" s="10"/>
      <c r="B92" s="10"/>
      <c r="C92" s="185"/>
      <c r="D92" s="67"/>
      <c r="E92" s="7"/>
      <c r="F92" s="7"/>
      <c r="G92" s="119"/>
      <c r="H92" s="11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>
      <c r="A93" s="10"/>
      <c r="B93" s="10"/>
      <c r="C93" s="185"/>
      <c r="D93" s="67"/>
      <c r="E93" s="7"/>
      <c r="F93" s="7"/>
      <c r="G93" s="119"/>
      <c r="H93" s="11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>
      <c r="A94" s="10"/>
      <c r="B94" s="10"/>
      <c r="C94" s="185"/>
      <c r="D94" s="67"/>
      <c r="E94" s="7"/>
      <c r="F94" s="7"/>
      <c r="G94" s="119"/>
      <c r="H94" s="11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5.75" customHeight="1">
      <c r="A95" s="10"/>
      <c r="B95" s="10"/>
      <c r="C95" s="185"/>
      <c r="D95" s="67"/>
      <c r="E95" s="7"/>
      <c r="F95" s="7"/>
      <c r="G95" s="119"/>
      <c r="H95" s="11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5.75" customHeight="1">
      <c r="A96" s="10"/>
      <c r="B96" s="10"/>
      <c r="C96" s="185"/>
      <c r="D96" s="67"/>
      <c r="E96" s="7"/>
      <c r="F96" s="7"/>
      <c r="G96" s="119"/>
      <c r="H96" s="11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.75" customHeight="1">
      <c r="A97" s="10"/>
      <c r="B97" s="10"/>
      <c r="C97" s="185"/>
      <c r="D97" s="67"/>
      <c r="E97" s="7"/>
      <c r="F97" s="7"/>
      <c r="G97" s="119"/>
      <c r="H97" s="11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5.75" customHeight="1">
      <c r="A98" s="10"/>
      <c r="B98" s="10"/>
      <c r="C98" s="185"/>
      <c r="D98" s="67"/>
      <c r="E98" s="7"/>
      <c r="F98" s="7"/>
      <c r="G98" s="119"/>
      <c r="H98" s="11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5.75" customHeight="1">
      <c r="A99" s="10"/>
      <c r="B99" s="10"/>
      <c r="C99" s="185"/>
      <c r="D99" s="67"/>
      <c r="E99" s="7"/>
      <c r="F99" s="7"/>
      <c r="G99" s="119"/>
      <c r="H99" s="11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.75" customHeight="1">
      <c r="A100" s="10"/>
      <c r="B100" s="10"/>
      <c r="C100" s="185"/>
      <c r="D100" s="67"/>
      <c r="E100" s="7"/>
      <c r="F100" s="7"/>
      <c r="G100" s="119"/>
      <c r="H100" s="11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>
      <c r="A101" s="10"/>
      <c r="B101" s="10"/>
      <c r="C101" s="186"/>
      <c r="D101" s="67"/>
      <c r="E101" s="7"/>
      <c r="F101" s="7"/>
      <c r="G101" s="119"/>
      <c r="H101" s="11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>
      <c r="A102" s="10"/>
      <c r="B102" s="10"/>
      <c r="C102" s="186"/>
      <c r="D102" s="67"/>
      <c r="E102" s="7"/>
      <c r="F102" s="7"/>
      <c r="G102" s="119"/>
      <c r="H102" s="11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>
      <c r="A103" s="10"/>
      <c r="B103" s="10"/>
      <c r="C103" s="186"/>
      <c r="D103" s="67"/>
      <c r="E103" s="7"/>
      <c r="F103" s="7"/>
      <c r="G103" s="119"/>
      <c r="H103" s="11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75" customHeight="1">
      <c r="A104" s="10"/>
      <c r="B104" s="10"/>
      <c r="C104" s="186"/>
      <c r="D104" s="67"/>
      <c r="E104" s="7"/>
      <c r="F104" s="7"/>
      <c r="G104" s="119"/>
      <c r="H104" s="11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>
      <c r="A105" s="10"/>
      <c r="B105" s="10"/>
      <c r="C105" s="186"/>
      <c r="D105" s="67"/>
      <c r="E105" s="7"/>
      <c r="F105" s="7"/>
      <c r="G105" s="119"/>
      <c r="H105" s="11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>
      <c r="A106" s="10"/>
      <c r="B106" s="10"/>
      <c r="C106" s="186"/>
      <c r="D106" s="67"/>
      <c r="E106" s="7"/>
      <c r="F106" s="7"/>
      <c r="G106" s="119"/>
      <c r="H106" s="11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>
      <c r="A107" s="10"/>
      <c r="B107" s="10"/>
      <c r="C107" s="186"/>
      <c r="D107" s="67"/>
      <c r="E107" s="7"/>
      <c r="F107" s="7"/>
      <c r="G107" s="119"/>
      <c r="H107" s="11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>
      <c r="A108" s="10"/>
      <c r="B108" s="10"/>
      <c r="C108" s="186"/>
      <c r="D108" s="67"/>
      <c r="E108" s="7"/>
      <c r="F108" s="7"/>
      <c r="G108" s="119"/>
      <c r="H108" s="11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>
      <c r="A109" s="10"/>
      <c r="B109" s="10"/>
      <c r="C109" s="186"/>
      <c r="D109" s="67"/>
      <c r="E109" s="7"/>
      <c r="F109" s="7"/>
      <c r="G109" s="119"/>
      <c r="H109" s="11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>
      <c r="A110" s="10"/>
      <c r="B110" s="10"/>
      <c r="C110" s="186"/>
      <c r="D110" s="7"/>
      <c r="E110" s="7"/>
      <c r="F110" s="7"/>
      <c r="G110" s="119"/>
      <c r="H110" s="11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>
      <c r="A111" s="10"/>
      <c r="B111" s="10"/>
      <c r="C111" s="186"/>
      <c r="D111" s="7"/>
      <c r="E111" s="7"/>
      <c r="F111" s="7"/>
      <c r="G111" s="119"/>
      <c r="H111" s="11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>
      <c r="A112" s="10"/>
      <c r="B112" s="10"/>
      <c r="C112" s="186"/>
      <c r="D112" s="7"/>
      <c r="E112" s="7"/>
      <c r="F112" s="7"/>
      <c r="G112" s="119"/>
      <c r="H112" s="11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75" customHeight="1">
      <c r="A113" s="10"/>
      <c r="B113" s="10"/>
      <c r="C113" s="186"/>
      <c r="D113" s="7"/>
      <c r="E113" s="7"/>
      <c r="F113" s="7"/>
      <c r="G113" s="119"/>
      <c r="H113" s="11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>
      <c r="A114" s="10"/>
      <c r="B114" s="10"/>
      <c r="C114" s="186"/>
      <c r="D114" s="7"/>
      <c r="E114" s="7"/>
      <c r="F114" s="7"/>
      <c r="G114" s="119"/>
      <c r="H114" s="11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>
      <c r="A115" s="10"/>
      <c r="B115" s="10"/>
      <c r="C115" s="186"/>
      <c r="D115" s="7"/>
      <c r="E115" s="7"/>
      <c r="F115" s="7"/>
      <c r="G115" s="119"/>
      <c r="H115" s="11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>
      <c r="A116" s="10"/>
      <c r="B116" s="10"/>
      <c r="C116" s="186"/>
      <c r="D116" s="7"/>
      <c r="E116" s="7"/>
      <c r="F116" s="7"/>
      <c r="G116" s="119"/>
      <c r="H116" s="11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>
      <c r="A117" s="10"/>
      <c r="B117" s="10"/>
      <c r="C117" s="186"/>
      <c r="D117" s="7"/>
      <c r="E117" s="7"/>
      <c r="F117" s="7"/>
      <c r="G117" s="119"/>
      <c r="H117" s="11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>
      <c r="A118" s="10"/>
      <c r="B118" s="10"/>
      <c r="C118" s="186"/>
      <c r="D118" s="7"/>
      <c r="E118" s="7"/>
      <c r="F118" s="7"/>
      <c r="G118" s="119"/>
      <c r="H118" s="11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>
      <c r="A119" s="10"/>
      <c r="B119" s="10"/>
      <c r="C119" s="186"/>
      <c r="D119" s="7"/>
      <c r="E119" s="7"/>
      <c r="F119" s="7"/>
      <c r="G119" s="119"/>
      <c r="H119" s="11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>
      <c r="A120" s="10"/>
      <c r="B120" s="10"/>
      <c r="C120" s="186"/>
      <c r="D120" s="7"/>
      <c r="E120" s="7"/>
      <c r="F120" s="7"/>
      <c r="G120" s="119"/>
      <c r="H120" s="11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>
      <c r="A121" s="10"/>
      <c r="B121" s="10"/>
      <c r="C121" s="186"/>
      <c r="D121" s="7"/>
      <c r="E121" s="7"/>
      <c r="F121" s="7"/>
      <c r="G121" s="119"/>
      <c r="H121" s="11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>
      <c r="A122" s="10"/>
      <c r="B122" s="10"/>
      <c r="C122" s="186"/>
      <c r="D122" s="7"/>
      <c r="E122" s="7"/>
      <c r="F122" s="7"/>
      <c r="G122" s="119"/>
      <c r="H122" s="11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>
      <c r="A123" s="10"/>
      <c r="B123" s="10"/>
      <c r="C123" s="186"/>
      <c r="D123" s="7"/>
      <c r="E123" s="7"/>
      <c r="F123" s="7"/>
      <c r="G123" s="119"/>
      <c r="H123" s="11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>
      <c r="A124" s="10"/>
      <c r="B124" s="10"/>
      <c r="C124" s="186"/>
      <c r="D124" s="7"/>
      <c r="E124" s="7"/>
      <c r="F124" s="7"/>
      <c r="G124" s="119"/>
      <c r="H124" s="11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>
      <c r="A125" s="10"/>
      <c r="B125" s="10"/>
      <c r="C125" s="186"/>
      <c r="D125" s="7"/>
      <c r="E125" s="7"/>
      <c r="F125" s="7"/>
      <c r="G125" s="119"/>
      <c r="H125" s="11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customHeight="1">
      <c r="A126" s="10"/>
      <c r="B126" s="10"/>
      <c r="C126" s="186"/>
      <c r="D126" s="7"/>
      <c r="E126" s="7"/>
      <c r="F126" s="7"/>
      <c r="G126" s="119"/>
      <c r="H126" s="11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>
      <c r="A127" s="10"/>
      <c r="B127" s="10"/>
      <c r="C127" s="186"/>
      <c r="D127" s="7"/>
      <c r="E127" s="7"/>
      <c r="F127" s="7"/>
      <c r="G127" s="119"/>
      <c r="H127" s="11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>
      <c r="A128" s="10"/>
      <c r="B128" s="10"/>
      <c r="C128" s="186"/>
      <c r="D128" s="7"/>
      <c r="E128" s="7"/>
      <c r="F128" s="7"/>
      <c r="G128" s="119"/>
      <c r="H128" s="11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>
      <c r="A129" s="10"/>
      <c r="B129" s="10"/>
      <c r="C129" s="186"/>
      <c r="D129" s="7"/>
      <c r="E129" s="7"/>
      <c r="F129" s="7"/>
      <c r="G129" s="119"/>
      <c r="H129" s="11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>
      <c r="A130" s="10"/>
      <c r="B130" s="10"/>
      <c r="C130" s="186"/>
      <c r="D130" s="7"/>
      <c r="E130" s="7"/>
      <c r="F130" s="7"/>
      <c r="G130" s="119"/>
      <c r="H130" s="11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75" customHeight="1">
      <c r="A131" s="10"/>
      <c r="B131" s="10"/>
      <c r="C131" s="186"/>
      <c r="D131" s="7"/>
      <c r="E131" s="7"/>
      <c r="F131" s="7"/>
      <c r="G131" s="119"/>
      <c r="H131" s="11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customHeight="1">
      <c r="A132" s="10"/>
      <c r="B132" s="10"/>
      <c r="C132" s="186"/>
      <c r="D132" s="7"/>
      <c r="E132" s="7"/>
      <c r="F132" s="7"/>
      <c r="G132" s="119"/>
      <c r="H132" s="11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>
      <c r="A133" s="10"/>
      <c r="B133" s="10"/>
      <c r="C133" s="186"/>
      <c r="D133" s="7"/>
      <c r="E133" s="7"/>
      <c r="F133" s="7"/>
      <c r="G133" s="119"/>
      <c r="H133" s="11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>
      <c r="A134" s="10"/>
      <c r="B134" s="10"/>
      <c r="C134" s="186"/>
      <c r="D134" s="7"/>
      <c r="E134" s="7"/>
      <c r="F134" s="7"/>
      <c r="G134" s="119"/>
      <c r="H134" s="11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>
      <c r="A135" s="10"/>
      <c r="B135" s="10"/>
      <c r="C135" s="186"/>
      <c r="D135" s="7"/>
      <c r="E135" s="7"/>
      <c r="F135" s="7"/>
      <c r="G135" s="119"/>
      <c r="H135" s="11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>
      <c r="A136" s="10"/>
      <c r="B136" s="10"/>
      <c r="C136" s="186"/>
      <c r="D136" s="7"/>
      <c r="E136" s="7"/>
      <c r="F136" s="7"/>
      <c r="G136" s="119"/>
      <c r="H136" s="11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75" customHeight="1">
      <c r="A137" s="10"/>
      <c r="B137" s="10"/>
      <c r="C137" s="186"/>
      <c r="D137" s="7"/>
      <c r="E137" s="7"/>
      <c r="F137" s="7"/>
      <c r="G137" s="119"/>
      <c r="H137" s="11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75" customHeight="1">
      <c r="A138" s="10"/>
      <c r="B138" s="10"/>
      <c r="C138" s="186"/>
      <c r="D138" s="7"/>
      <c r="E138" s="7"/>
      <c r="F138" s="7"/>
      <c r="G138" s="119"/>
      <c r="H138" s="11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>
      <c r="A139" s="10"/>
      <c r="B139" s="10"/>
      <c r="C139" s="186"/>
      <c r="D139" s="7"/>
      <c r="E139" s="7"/>
      <c r="F139" s="7"/>
      <c r="G139" s="119"/>
      <c r="H139" s="11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>
      <c r="A140" s="10"/>
      <c r="B140" s="10"/>
      <c r="C140" s="186"/>
      <c r="D140" s="7"/>
      <c r="E140" s="7"/>
      <c r="F140" s="7"/>
      <c r="G140" s="119"/>
      <c r="H140" s="11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customHeight="1">
      <c r="A141" s="10"/>
      <c r="B141" s="10"/>
      <c r="C141" s="186"/>
      <c r="D141" s="7"/>
      <c r="E141" s="7"/>
      <c r="F141" s="7"/>
      <c r="G141" s="119"/>
      <c r="H141" s="11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>
      <c r="A142" s="10"/>
      <c r="B142" s="10"/>
      <c r="C142" s="186"/>
      <c r="D142" s="7"/>
      <c r="E142" s="7"/>
      <c r="F142" s="7"/>
      <c r="G142" s="119"/>
      <c r="H142" s="11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75" customHeight="1">
      <c r="A143" s="10"/>
      <c r="B143" s="10"/>
      <c r="C143" s="186"/>
      <c r="D143" s="7"/>
      <c r="E143" s="7"/>
      <c r="F143" s="7"/>
      <c r="G143" s="119"/>
      <c r="H143" s="11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>
      <c r="A144" s="10"/>
      <c r="B144" s="10"/>
      <c r="C144" s="186"/>
      <c r="D144" s="7"/>
      <c r="E144" s="7"/>
      <c r="F144" s="7"/>
      <c r="G144" s="119"/>
      <c r="H144" s="11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>
      <c r="A145" s="10"/>
      <c r="B145" s="10"/>
      <c r="C145" s="186"/>
      <c r="D145" s="7"/>
      <c r="E145" s="7"/>
      <c r="F145" s="7"/>
      <c r="G145" s="119"/>
      <c r="H145" s="11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>
      <c r="A146" s="10"/>
      <c r="B146" s="10"/>
      <c r="C146" s="186"/>
      <c r="D146" s="7"/>
      <c r="E146" s="7"/>
      <c r="F146" s="7"/>
      <c r="G146" s="119"/>
      <c r="H146" s="11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>
      <c r="A147" s="10"/>
      <c r="B147" s="10"/>
      <c r="C147" s="186"/>
      <c r="D147" s="7"/>
      <c r="E147" s="7"/>
      <c r="F147" s="7"/>
      <c r="G147" s="119"/>
      <c r="H147" s="11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>
      <c r="A148" s="10"/>
      <c r="B148" s="10"/>
      <c r="C148" s="186"/>
      <c r="D148" s="7"/>
      <c r="E148" s="7"/>
      <c r="F148" s="7"/>
      <c r="G148" s="119"/>
      <c r="H148" s="11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>
      <c r="A149" s="10"/>
      <c r="B149" s="10"/>
      <c r="C149" s="186"/>
      <c r="D149" s="7"/>
      <c r="E149" s="7"/>
      <c r="F149" s="7"/>
      <c r="G149" s="119"/>
      <c r="H149" s="11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>
      <c r="A150" s="10"/>
      <c r="B150" s="10"/>
      <c r="C150" s="186"/>
      <c r="D150" s="7"/>
      <c r="E150" s="7"/>
      <c r="F150" s="7"/>
      <c r="G150" s="119"/>
      <c r="H150" s="11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>
      <c r="A151" s="10"/>
      <c r="B151" s="10"/>
      <c r="C151" s="186"/>
      <c r="D151" s="7"/>
      <c r="E151" s="7"/>
      <c r="F151" s="7"/>
      <c r="G151" s="119"/>
      <c r="H151" s="11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>
      <c r="A152" s="10"/>
      <c r="B152" s="10"/>
      <c r="C152" s="186"/>
      <c r="D152" s="7"/>
      <c r="E152" s="7"/>
      <c r="F152" s="7"/>
      <c r="G152" s="119"/>
      <c r="H152" s="11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>
      <c r="A153" s="10"/>
      <c r="B153" s="10"/>
      <c r="C153" s="186"/>
      <c r="D153" s="7"/>
      <c r="E153" s="7"/>
      <c r="F153" s="7"/>
      <c r="G153" s="119"/>
      <c r="H153" s="11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>
      <c r="A154" s="10"/>
      <c r="B154" s="10"/>
      <c r="C154" s="186"/>
      <c r="D154" s="7"/>
      <c r="E154" s="7"/>
      <c r="F154" s="7"/>
      <c r="G154" s="119"/>
      <c r="H154" s="11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>
      <c r="A155" s="10"/>
      <c r="B155" s="10"/>
      <c r="C155" s="186"/>
      <c r="D155" s="7"/>
      <c r="E155" s="7"/>
      <c r="F155" s="7"/>
      <c r="G155" s="119"/>
      <c r="H155" s="11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>
      <c r="A156" s="10"/>
      <c r="B156" s="10"/>
      <c r="C156" s="186"/>
      <c r="D156" s="7"/>
      <c r="E156" s="7"/>
      <c r="F156" s="7"/>
      <c r="G156" s="119"/>
      <c r="H156" s="11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>
      <c r="A157" s="10"/>
      <c r="B157" s="10"/>
      <c r="C157" s="186"/>
      <c r="D157" s="7"/>
      <c r="E157" s="7"/>
      <c r="F157" s="7"/>
      <c r="G157" s="119"/>
      <c r="H157" s="11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>
      <c r="A158" s="10"/>
      <c r="B158" s="10"/>
      <c r="C158" s="186"/>
      <c r="D158" s="7"/>
      <c r="E158" s="7"/>
      <c r="F158" s="7"/>
      <c r="G158" s="119"/>
      <c r="H158" s="11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>
      <c r="A159" s="10"/>
      <c r="B159" s="10"/>
      <c r="C159" s="186"/>
      <c r="D159" s="7"/>
      <c r="E159" s="7"/>
      <c r="F159" s="7"/>
      <c r="G159" s="119"/>
      <c r="H159" s="11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>
      <c r="A160" s="10"/>
      <c r="B160" s="10"/>
      <c r="C160" s="186"/>
      <c r="D160" s="7"/>
      <c r="E160" s="7"/>
      <c r="F160" s="7"/>
      <c r="G160" s="119"/>
      <c r="H160" s="11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>
      <c r="A161" s="10"/>
      <c r="B161" s="10"/>
      <c r="C161" s="186"/>
      <c r="D161" s="7"/>
      <c r="E161" s="7"/>
      <c r="F161" s="7"/>
      <c r="G161" s="119"/>
      <c r="H161" s="11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>
      <c r="A162" s="10"/>
      <c r="B162" s="10"/>
      <c r="C162" s="186"/>
      <c r="D162" s="7"/>
      <c r="E162" s="7"/>
      <c r="F162" s="7"/>
      <c r="G162" s="119"/>
      <c r="H162" s="11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>
      <c r="A163" s="10"/>
      <c r="B163" s="10"/>
      <c r="C163" s="186"/>
      <c r="D163" s="7"/>
      <c r="E163" s="7"/>
      <c r="F163" s="7"/>
      <c r="G163" s="119"/>
      <c r="H163" s="11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>
      <c r="A164" s="10"/>
      <c r="B164" s="10"/>
      <c r="C164" s="186"/>
      <c r="D164" s="7"/>
      <c r="E164" s="7"/>
      <c r="F164" s="7"/>
      <c r="G164" s="119"/>
      <c r="H164" s="11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>
      <c r="A165" s="10"/>
      <c r="B165" s="10"/>
      <c r="C165" s="186"/>
      <c r="D165" s="7"/>
      <c r="E165" s="7"/>
      <c r="F165" s="7"/>
      <c r="G165" s="119"/>
      <c r="H165" s="11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>
      <c r="A166" s="10"/>
      <c r="B166" s="10"/>
      <c r="C166" s="186"/>
      <c r="D166" s="7"/>
      <c r="E166" s="7"/>
      <c r="F166" s="7"/>
      <c r="G166" s="119"/>
      <c r="H166" s="11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>
      <c r="A167" s="10"/>
      <c r="B167" s="10"/>
      <c r="C167" s="186"/>
      <c r="D167" s="7"/>
      <c r="E167" s="7"/>
      <c r="F167" s="7"/>
      <c r="G167" s="119"/>
      <c r="H167" s="11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>
      <c r="A168" s="10"/>
      <c r="B168" s="10"/>
      <c r="C168" s="186"/>
      <c r="D168" s="7"/>
      <c r="E168" s="7"/>
      <c r="F168" s="7"/>
      <c r="G168" s="119"/>
      <c r="H168" s="11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>
      <c r="A169" s="10"/>
      <c r="B169" s="10"/>
      <c r="C169" s="186"/>
      <c r="D169" s="7"/>
      <c r="E169" s="7"/>
      <c r="F169" s="7"/>
      <c r="G169" s="119"/>
      <c r="H169" s="11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>
      <c r="A170" s="10"/>
      <c r="B170" s="10"/>
      <c r="C170" s="186"/>
      <c r="D170" s="7"/>
      <c r="E170" s="7"/>
      <c r="F170" s="7"/>
      <c r="G170" s="119"/>
      <c r="H170" s="11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>
      <c r="A171" s="10"/>
      <c r="B171" s="10"/>
      <c r="C171" s="186"/>
      <c r="D171" s="7"/>
      <c r="E171" s="7"/>
      <c r="F171" s="7"/>
      <c r="G171" s="119"/>
      <c r="H171" s="11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>
      <c r="A172" s="10"/>
      <c r="B172" s="10"/>
      <c r="C172" s="186"/>
      <c r="D172" s="7"/>
      <c r="E172" s="7"/>
      <c r="F172" s="7"/>
      <c r="G172" s="119"/>
      <c r="H172" s="11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>
      <c r="A173" s="10"/>
      <c r="B173" s="10"/>
      <c r="C173" s="186"/>
      <c r="D173" s="7"/>
      <c r="E173" s="7"/>
      <c r="F173" s="7"/>
      <c r="G173" s="119"/>
      <c r="H173" s="11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>
      <c r="A174" s="10"/>
      <c r="B174" s="10"/>
      <c r="C174" s="186"/>
      <c r="D174" s="7"/>
      <c r="E174" s="7"/>
      <c r="F174" s="7"/>
      <c r="G174" s="119"/>
      <c r="H174" s="11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>
      <c r="A175" s="10"/>
      <c r="B175" s="10"/>
      <c r="C175" s="186"/>
      <c r="D175" s="7"/>
      <c r="E175" s="7"/>
      <c r="F175" s="7"/>
      <c r="G175" s="119"/>
      <c r="H175" s="11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>
      <c r="A176" s="10"/>
      <c r="B176" s="10"/>
      <c r="C176" s="186"/>
      <c r="D176" s="7"/>
      <c r="E176" s="7"/>
      <c r="F176" s="7"/>
      <c r="G176" s="119"/>
      <c r="H176" s="11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>
      <c r="A177" s="10"/>
      <c r="B177" s="10"/>
      <c r="C177" s="186"/>
      <c r="D177" s="7"/>
      <c r="E177" s="7"/>
      <c r="F177" s="7"/>
      <c r="G177" s="119"/>
      <c r="H177" s="11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>
      <c r="A178" s="10"/>
      <c r="B178" s="10"/>
      <c r="C178" s="186"/>
      <c r="D178" s="7"/>
      <c r="E178" s="7"/>
      <c r="F178" s="7"/>
      <c r="G178" s="119"/>
      <c r="H178" s="11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>
      <c r="A179" s="10"/>
      <c r="B179" s="10"/>
      <c r="C179" s="186"/>
      <c r="D179" s="7"/>
      <c r="E179" s="7"/>
      <c r="F179" s="7"/>
      <c r="G179" s="119"/>
      <c r="H179" s="11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>
      <c r="A180" s="10"/>
      <c r="B180" s="10"/>
      <c r="C180" s="186"/>
      <c r="D180" s="7"/>
      <c r="E180" s="7"/>
      <c r="F180" s="7"/>
      <c r="G180" s="119"/>
      <c r="H180" s="11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>
      <c r="A181" s="10"/>
      <c r="B181" s="10"/>
      <c r="C181" s="186"/>
      <c r="D181" s="7"/>
      <c r="E181" s="7"/>
      <c r="F181" s="7"/>
      <c r="G181" s="119"/>
      <c r="H181" s="11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>
      <c r="A182" s="10"/>
      <c r="B182" s="10"/>
      <c r="C182" s="186"/>
      <c r="D182" s="7"/>
      <c r="E182" s="7"/>
      <c r="F182" s="7"/>
      <c r="G182" s="119"/>
      <c r="H182" s="11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>
      <c r="A183" s="10"/>
      <c r="B183" s="10"/>
      <c r="C183" s="186"/>
      <c r="D183" s="7"/>
      <c r="E183" s="7"/>
      <c r="F183" s="7"/>
      <c r="G183" s="119"/>
      <c r="H183" s="11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>
      <c r="A184" s="10"/>
      <c r="B184" s="10"/>
      <c r="C184" s="186"/>
      <c r="D184" s="7"/>
      <c r="E184" s="7"/>
      <c r="F184" s="7"/>
      <c r="G184" s="119"/>
      <c r="H184" s="11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>
      <c r="A185" s="10"/>
      <c r="B185" s="10"/>
      <c r="C185" s="186"/>
      <c r="D185" s="7"/>
      <c r="E185" s="7"/>
      <c r="F185" s="7"/>
      <c r="G185" s="119"/>
      <c r="H185" s="11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>
      <c r="A186" s="10"/>
      <c r="B186" s="10"/>
      <c r="C186" s="186"/>
      <c r="D186" s="7"/>
      <c r="E186" s="7"/>
      <c r="F186" s="7"/>
      <c r="G186" s="119"/>
      <c r="H186" s="11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>
      <c r="A187" s="10"/>
      <c r="B187" s="10"/>
      <c r="C187" s="186"/>
      <c r="D187" s="7"/>
      <c r="E187" s="7"/>
      <c r="F187" s="7"/>
      <c r="G187" s="119"/>
      <c r="H187" s="11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>
      <c r="A188" s="10"/>
      <c r="B188" s="10"/>
      <c r="C188" s="186"/>
      <c r="D188" s="7"/>
      <c r="E188" s="7"/>
      <c r="F188" s="7"/>
      <c r="G188" s="119"/>
      <c r="H188" s="11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>
      <c r="A189" s="10"/>
      <c r="B189" s="10"/>
      <c r="C189" s="186"/>
      <c r="D189" s="7"/>
      <c r="E189" s="7"/>
      <c r="F189" s="7"/>
      <c r="G189" s="119"/>
      <c r="H189" s="11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>
      <c r="A190" s="10"/>
      <c r="B190" s="10"/>
      <c r="C190" s="186"/>
      <c r="D190" s="7"/>
      <c r="E190" s="7"/>
      <c r="F190" s="7"/>
      <c r="G190" s="119"/>
      <c r="H190" s="11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>
      <c r="A191" s="10"/>
      <c r="B191" s="10"/>
      <c r="C191" s="186"/>
      <c r="D191" s="7"/>
      <c r="E191" s="7"/>
      <c r="F191" s="7"/>
      <c r="G191" s="119"/>
      <c r="H191" s="11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>
      <c r="A192" s="10"/>
      <c r="B192" s="10"/>
      <c r="C192" s="186"/>
      <c r="D192" s="7"/>
      <c r="E192" s="7"/>
      <c r="F192" s="7"/>
      <c r="G192" s="119"/>
      <c r="H192" s="11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>
      <c r="A193" s="10"/>
      <c r="B193" s="10"/>
      <c r="C193" s="186"/>
      <c r="D193" s="7"/>
      <c r="E193" s="7"/>
      <c r="F193" s="7"/>
      <c r="G193" s="119"/>
      <c r="H193" s="11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>
      <c r="A194" s="10"/>
      <c r="B194" s="10"/>
      <c r="C194" s="186"/>
      <c r="D194" s="7"/>
      <c r="E194" s="7"/>
      <c r="F194" s="7"/>
      <c r="G194" s="119"/>
      <c r="H194" s="11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>
      <c r="A195" s="10"/>
      <c r="B195" s="10"/>
      <c r="C195" s="186"/>
      <c r="D195" s="7"/>
      <c r="E195" s="7"/>
      <c r="F195" s="7"/>
      <c r="G195" s="119"/>
      <c r="H195" s="11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>
      <c r="A196" s="10"/>
      <c r="B196" s="10"/>
      <c r="C196" s="186"/>
      <c r="D196" s="7"/>
      <c r="E196" s="7"/>
      <c r="F196" s="7"/>
      <c r="G196" s="119"/>
      <c r="H196" s="11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>
      <c r="A197" s="10"/>
      <c r="B197" s="10"/>
      <c r="C197" s="186"/>
      <c r="D197" s="7"/>
      <c r="E197" s="7"/>
      <c r="F197" s="7"/>
      <c r="G197" s="119"/>
      <c r="H197" s="11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>
      <c r="A198" s="10"/>
      <c r="B198" s="10"/>
      <c r="C198" s="186"/>
      <c r="D198" s="7"/>
      <c r="E198" s="7"/>
      <c r="F198" s="7"/>
      <c r="G198" s="119"/>
      <c r="H198" s="11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>
      <c r="A199" s="10"/>
      <c r="B199" s="10"/>
      <c r="C199" s="186"/>
      <c r="D199" s="7"/>
      <c r="E199" s="7"/>
      <c r="F199" s="7"/>
      <c r="G199" s="119"/>
      <c r="H199" s="11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>
      <c r="A200" s="10"/>
      <c r="B200" s="10"/>
      <c r="C200" s="186"/>
      <c r="D200" s="7"/>
      <c r="E200" s="7"/>
      <c r="F200" s="7"/>
      <c r="G200" s="119"/>
      <c r="H200" s="11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>
      <c r="A201" s="10"/>
      <c r="B201" s="10"/>
      <c r="C201" s="186"/>
      <c r="D201" s="7"/>
      <c r="E201" s="7"/>
      <c r="F201" s="7"/>
      <c r="G201" s="119"/>
      <c r="H201" s="11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>
      <c r="A202" s="10"/>
      <c r="B202" s="10"/>
      <c r="C202" s="186"/>
      <c r="D202" s="7"/>
      <c r="E202" s="7"/>
      <c r="F202" s="7"/>
      <c r="G202" s="119"/>
      <c r="H202" s="11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>
      <c r="A203" s="10"/>
      <c r="B203" s="10"/>
      <c r="C203" s="186"/>
      <c r="D203" s="7"/>
      <c r="E203" s="7"/>
      <c r="F203" s="7"/>
      <c r="G203" s="119"/>
      <c r="H203" s="11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>
      <c r="A204" s="10"/>
      <c r="B204" s="10"/>
      <c r="C204" s="186"/>
      <c r="D204" s="7"/>
      <c r="E204" s="7"/>
      <c r="F204" s="7"/>
      <c r="G204" s="119"/>
      <c r="H204" s="11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>
      <c r="A205" s="10"/>
      <c r="B205" s="10"/>
      <c r="C205" s="186"/>
      <c r="D205" s="7"/>
      <c r="E205" s="7"/>
      <c r="F205" s="7"/>
      <c r="G205" s="119"/>
      <c r="H205" s="11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>
      <c r="A206" s="10"/>
      <c r="B206" s="10"/>
      <c r="C206" s="186"/>
      <c r="D206" s="7"/>
      <c r="E206" s="7"/>
      <c r="F206" s="7"/>
      <c r="G206" s="119"/>
      <c r="H206" s="11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>
      <c r="A207" s="10"/>
      <c r="B207" s="10"/>
      <c r="C207" s="186"/>
      <c r="D207" s="7"/>
      <c r="E207" s="7"/>
      <c r="F207" s="7"/>
      <c r="G207" s="119"/>
      <c r="H207" s="11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>
      <c r="A208" s="10"/>
      <c r="B208" s="10"/>
      <c r="C208" s="186"/>
      <c r="D208" s="7"/>
      <c r="E208" s="7"/>
      <c r="F208" s="7"/>
      <c r="G208" s="119"/>
      <c r="H208" s="11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>
      <c r="A209" s="10"/>
      <c r="B209" s="10"/>
      <c r="C209" s="186"/>
      <c r="D209" s="7"/>
      <c r="E209" s="7"/>
      <c r="F209" s="7"/>
      <c r="G209" s="119"/>
      <c r="H209" s="11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>
      <c r="A210" s="10"/>
      <c r="B210" s="10"/>
      <c r="C210" s="186"/>
      <c r="D210" s="7"/>
      <c r="E210" s="7"/>
      <c r="F210" s="7"/>
      <c r="G210" s="119"/>
      <c r="H210" s="11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>
      <c r="A211" s="10"/>
      <c r="B211" s="10"/>
      <c r="C211" s="186"/>
      <c r="D211" s="7"/>
      <c r="E211" s="7"/>
      <c r="F211" s="7"/>
      <c r="G211" s="119"/>
      <c r="H211" s="11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>
      <c r="A212" s="10"/>
      <c r="B212" s="10"/>
      <c r="C212" s="186"/>
      <c r="D212" s="7"/>
      <c r="E212" s="7"/>
      <c r="F212" s="7"/>
      <c r="G212" s="119"/>
      <c r="H212" s="11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>
      <c r="A213" s="10"/>
      <c r="B213" s="10"/>
      <c r="C213" s="186"/>
      <c r="D213" s="7"/>
      <c r="E213" s="7"/>
      <c r="F213" s="7"/>
      <c r="G213" s="119"/>
      <c r="H213" s="11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>
      <c r="A214" s="10"/>
      <c r="B214" s="10"/>
      <c r="C214" s="186"/>
      <c r="D214" s="7"/>
      <c r="E214" s="7"/>
      <c r="F214" s="7"/>
      <c r="G214" s="119"/>
      <c r="H214" s="11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>
      <c r="A215" s="10"/>
      <c r="B215" s="10"/>
      <c r="C215" s="186"/>
      <c r="D215" s="7"/>
      <c r="E215" s="7"/>
      <c r="F215" s="7"/>
      <c r="G215" s="119"/>
      <c r="H215" s="11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>
      <c r="A216" s="10"/>
      <c r="B216" s="10"/>
      <c r="C216" s="186"/>
      <c r="D216" s="7"/>
      <c r="E216" s="7"/>
      <c r="F216" s="7"/>
      <c r="G216" s="119"/>
      <c r="H216" s="11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>
      <c r="A217" s="10"/>
      <c r="B217" s="10"/>
      <c r="C217" s="186"/>
      <c r="D217" s="7"/>
      <c r="E217" s="7"/>
      <c r="F217" s="7"/>
      <c r="G217" s="119"/>
      <c r="H217" s="11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>
      <c r="A218" s="10"/>
      <c r="B218" s="10"/>
      <c r="C218" s="186"/>
      <c r="D218" s="7"/>
      <c r="E218" s="7"/>
      <c r="F218" s="7"/>
      <c r="G218" s="119"/>
      <c r="H218" s="11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>
      <c r="A219" s="10"/>
      <c r="B219" s="10"/>
      <c r="C219" s="186"/>
      <c r="D219" s="7"/>
      <c r="E219" s="7"/>
      <c r="F219" s="7"/>
      <c r="G219" s="119"/>
      <c r="H219" s="11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>
      <c r="A220" s="10"/>
      <c r="B220" s="10"/>
      <c r="C220" s="186"/>
      <c r="D220" s="7"/>
      <c r="E220" s="7"/>
      <c r="F220" s="7"/>
      <c r="G220" s="119"/>
      <c r="H220" s="11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X109" xr:uid="{00000000-0009-0000-0000-00000D000000}"/>
  <conditionalFormatting sqref="F2:F12">
    <cfRule type="expression" dxfId="137" priority="1">
      <formula>F2=#REF!</formula>
    </cfRule>
  </conditionalFormatting>
  <conditionalFormatting sqref="F2:F29">
    <cfRule type="expression" dxfId="136" priority="2">
      <formula>COUNTIF($C$1:$C$975, F2) &gt; 1</formula>
    </cfRule>
    <cfRule type="expression" dxfId="135" priority="3">
      <formula>COUNTIF($B$2:$B$956, F2) &gt; 1</formula>
    </cfRule>
    <cfRule type="expression" dxfId="134" priority="4">
      <formula>COUNTIF($C$1:$C$976, F2) &gt; 1</formula>
    </cfRule>
    <cfRule type="expression" dxfId="133" priority="5">
      <formula>COUNTIF($B$2:$B$957, F2) &gt; 1</formula>
    </cfRule>
    <cfRule type="expression" dxfId="132" priority="6">
      <formula>COUNTIF($C$1:$C$973, F2) &gt; 1</formula>
    </cfRule>
    <cfRule type="expression" dxfId="131" priority="7">
      <formula>COUNTIF($B$2:$B$954, F2) &gt; 1</formula>
    </cfRule>
    <cfRule type="expression" dxfId="130" priority="8">
      <formula>COUNTIF($B$2:$B$955, F2) &gt; 1</formula>
    </cfRule>
  </conditionalFormatting>
  <conditionalFormatting sqref="F2:F30">
    <cfRule type="expression" dxfId="129" priority="9">
      <formula>COUNTIF($C$1:$C$978, F2) &gt; 1</formula>
    </cfRule>
    <cfRule type="expression" dxfId="128" priority="10">
      <formula>COUNTIF($C$1:$C$974, F2) &gt; 1</formula>
    </cfRule>
  </conditionalFormatting>
  <conditionalFormatting sqref="F2:F31">
    <cfRule type="expression" dxfId="127" priority="11">
      <formula>COUNTIF($C$1:$C$979, F2) &gt; 1</formula>
    </cfRule>
    <cfRule type="expression" dxfId="126" priority="12">
      <formula>COUNTIF($B$2:$B$960, F2) &gt; 1</formula>
    </cfRule>
    <cfRule type="expression" dxfId="125" priority="13">
      <formula>COUNTIF($B$2:$B$961, F2) &gt; 1</formula>
    </cfRule>
  </conditionalFormatting>
  <conditionalFormatting sqref="F2:F32">
    <cfRule type="expression" dxfId="124" priority="14">
      <formula>COUNTIF($C$1:$C$983, F2) &gt; 1</formula>
    </cfRule>
    <cfRule type="expression" dxfId="123" priority="15">
      <formula>COUNTIF($C$1:$C$981, F2) &gt; 1</formula>
    </cfRule>
    <cfRule type="expression" dxfId="122" priority="16">
      <formula>COUNTIF($B$2:$B$962, F2) &gt; 1</formula>
    </cfRule>
    <cfRule type="expression" dxfId="121" priority="17">
      <formula>COUNTIF($C$1:$C$982, F2) &gt; 1</formula>
    </cfRule>
    <cfRule type="expression" dxfId="120" priority="18">
      <formula>COUNTIF($B$2:$B$963, F2) &gt; 1</formula>
    </cfRule>
  </conditionalFormatting>
  <conditionalFormatting sqref="F2:F35">
    <cfRule type="expression" dxfId="119" priority="19">
      <formula>COUNTIF($B$2:$B$968, F2) &gt; 1</formula>
    </cfRule>
    <cfRule type="expression" dxfId="118" priority="20">
      <formula>COUNTIF($C$1:$C$988, F2) &gt; 1</formula>
    </cfRule>
    <cfRule type="expression" dxfId="117" priority="21">
      <formula>COUNTIF($B$2:$B$969, F2) &gt; 1</formula>
    </cfRule>
    <cfRule type="expression" dxfId="116" priority="22">
      <formula>COUNTIF($C$1:$C$985, F2) &gt; 1</formula>
    </cfRule>
    <cfRule type="expression" dxfId="115" priority="23">
      <formula>COUNTIF($B$2:$B$966, F2) &gt; 1</formula>
    </cfRule>
    <cfRule type="expression" dxfId="114" priority="24">
      <formula>COUNTIF($C$1:$C$986, F2) &gt; 1</formula>
    </cfRule>
    <cfRule type="expression" dxfId="113" priority="25">
      <formula>COUNTIF($B$2:$B$967, F2) &gt; 1</formula>
    </cfRule>
    <cfRule type="expression" dxfId="112" priority="26">
      <formula>COUNTIF($C$1:$C$980, F2) &gt; 1</formula>
    </cfRule>
  </conditionalFormatting>
  <conditionalFormatting sqref="F2:F36">
    <cfRule type="expression" dxfId="111" priority="27">
      <formula>COUNTIF($C$1:$C$990, F2) &gt; 1</formula>
    </cfRule>
    <cfRule type="expression" dxfId="110" priority="28">
      <formula>COUNTIF($C$1:$C$987, F2) &gt; 1</formula>
    </cfRule>
    <cfRule type="expression" dxfId="109" priority="29">
      <formula>COUNTIF($B$2:$B$978, F2) &gt; 1</formula>
    </cfRule>
  </conditionalFormatting>
  <conditionalFormatting sqref="F2:F37">
    <cfRule type="expression" dxfId="108" priority="30">
      <formula>COUNTIF($C$1:$C$991, F2) &gt; 1</formula>
    </cfRule>
  </conditionalFormatting>
  <conditionalFormatting sqref="F2:F38">
    <cfRule type="expression" dxfId="107" priority="31">
      <formula>COUNTIF($B$1:$B$986, F2) &gt; 1</formula>
    </cfRule>
    <cfRule type="expression" dxfId="106" priority="32">
      <formula>COUNTIF($B$2:$B$980, F2) &gt; 1</formula>
    </cfRule>
  </conditionalFormatting>
  <conditionalFormatting sqref="F2:F40">
    <cfRule type="expression" dxfId="105" priority="33">
      <formula>COUNTIF($B$1:$B$983, F2) &gt; 1</formula>
    </cfRule>
    <cfRule type="expression" dxfId="104" priority="34">
      <formula>COUNTIF($C$1:$C$993, F2) &gt; 1</formula>
    </cfRule>
    <cfRule type="expression" dxfId="103" priority="35">
      <formula>COUNTIF($B$2:$B$974, F2) &gt; 1</formula>
    </cfRule>
    <cfRule type="expression" dxfId="102" priority="36">
      <formula>COUNTIF($C$1:$C$994, F2) &gt; 1</formula>
    </cfRule>
    <cfRule type="expression" dxfId="101" priority="37">
      <formula>COUNTIF($B$2:$B$975, F2) &gt; 1</formula>
    </cfRule>
  </conditionalFormatting>
  <conditionalFormatting sqref="F2:F41">
    <cfRule type="expression" dxfId="100" priority="38">
      <formula>COUNTIF($B$1:$B$974, F2) &gt; 1</formula>
    </cfRule>
    <cfRule type="expression" dxfId="99" priority="39">
      <formula>COUNTIF($B$1:$B$978, F2) &gt; 1</formula>
    </cfRule>
    <cfRule type="expression" dxfId="98" priority="40">
      <formula>COUNTIF($B$1:$B$996, F2) &gt; 1</formula>
    </cfRule>
    <cfRule type="expression" dxfId="97" priority="41">
      <formula>COUNTIF($C$1:$C$996, F2) &gt; 1</formula>
    </cfRule>
    <cfRule type="expression" dxfId="96" priority="42">
      <formula>COUNTIF($B$2:$B$977, F2) &gt; 1</formula>
    </cfRule>
    <cfRule type="expression" dxfId="95" priority="43">
      <formula>COUNTIF($C$1:$C$995, F2) &gt; 1</formula>
    </cfRule>
    <cfRule type="expression" dxfId="94" priority="44">
      <formula>COUNTIF($B$2:$B$976, F2) &gt; 1</formula>
    </cfRule>
    <cfRule type="expression" dxfId="93" priority="45">
      <formula>COUNTIF($B$2:$B$981, F2) &gt; 1</formula>
    </cfRule>
    <cfRule type="expression" dxfId="92" priority="46">
      <formula>COUNTIF($B$2:$B$984, F2) &gt; 1</formula>
    </cfRule>
    <cfRule type="expression" dxfId="91" priority="47">
      <formula>COUNTIF($B$2:$B$985, F2) &gt; 1</formula>
    </cfRule>
    <cfRule type="expression" dxfId="90" priority="48">
      <formula>COUNTIF($B$2:$B$982, F2) &gt; 1</formula>
    </cfRule>
    <cfRule type="expression" dxfId="89" priority="49">
      <formula>COUNTIF($B$2:$B$983, F2) &gt; 1</formula>
    </cfRule>
  </conditionalFormatting>
  <conditionalFormatting sqref="F2:F42">
    <cfRule type="expression" dxfId="88" priority="50">
      <formula>COUNTIF($C$1:$C$998, F2) &gt; 1</formula>
    </cfRule>
    <cfRule type="expression" dxfId="87" priority="51">
      <formula>COUNTIF($C$1:$C$997, F2) &gt; 1</formula>
    </cfRule>
  </conditionalFormatting>
  <conditionalFormatting sqref="F2:F43">
    <cfRule type="expression" dxfId="86" priority="52">
      <formula>COUNTIF($K$2:$K$81, F2) &gt; 1</formula>
    </cfRule>
    <cfRule type="expression" dxfId="85" priority="53">
      <formula>COUNTIF($B$2:$B$82, F2) &gt; 1</formula>
    </cfRule>
    <cfRule type="expression" dxfId="84" priority="54">
      <formula>COUNTIF($C$1:$C$1003, F2) &gt; 1</formula>
    </cfRule>
    <cfRule type="expression" dxfId="83" priority="55">
      <formula>COUNTIF($C$1:$C$1004, F2) &gt; 1</formula>
    </cfRule>
  </conditionalFormatting>
  <conditionalFormatting sqref="F2:F44">
    <cfRule type="expression" dxfId="82" priority="56">
      <formula>COUNTIF($B$2:$B$986, F2) &gt; 1</formula>
    </cfRule>
    <cfRule type="expression" dxfId="81" priority="57">
      <formula>COUNTIF($C$1:$C$1005, F2) &gt; 1</formula>
    </cfRule>
    <cfRule type="expression" dxfId="80" priority="58">
      <formula>COUNTIF($C$1:$C$999, F2) &gt; 1</formula>
    </cfRule>
    <cfRule type="expression" dxfId="79" priority="59">
      <formula>COUNTIF($C$1:$C$1000, F2) &gt; 1</formula>
    </cfRule>
    <cfRule type="expression" dxfId="78" priority="60">
      <formula>COUNTIF($C$1:$C$1001, F2) &gt; 1</formula>
    </cfRule>
    <cfRule type="expression" dxfId="77" priority="61">
      <formula>COUNTIF($C$1:$C$1002, F2) &gt; 1</formula>
    </cfRule>
  </conditionalFormatting>
  <conditionalFormatting sqref="F2:F45">
    <cfRule type="expression" dxfId="76" priority="62">
      <formula>COUNTIF($B$2:$B$987, F2) &gt; 1</formula>
    </cfRule>
    <cfRule type="expression" dxfId="75" priority="63">
      <formula>COUNTIF($C$1:$C$1006, F2) &gt; 1</formula>
    </cfRule>
  </conditionalFormatting>
  <conditionalFormatting sqref="F2:F46">
    <cfRule type="expression" dxfId="74" priority="64">
      <formula>COUNTIF($B$2:$B$988, F2) &gt; 1</formula>
    </cfRule>
    <cfRule type="expression" dxfId="73" priority="65">
      <formula>COUNTIF($C$1:$C$1007, F2) &gt; 1</formula>
    </cfRule>
  </conditionalFormatting>
  <conditionalFormatting sqref="F2:F47">
    <cfRule type="expression" dxfId="72" priority="66">
      <formula>COUNTIF($C$1:$C$1008, F2) &gt; 1</formula>
    </cfRule>
    <cfRule type="expression" dxfId="71" priority="67">
      <formula>COUNTIF($B$2:$B$989, F2) &gt; 1</formula>
    </cfRule>
    <cfRule type="expression" dxfId="70" priority="68">
      <formula>COUNTIF($C$1:$C$1009, F2) &gt; 1</formula>
    </cfRule>
    <cfRule type="expression" dxfId="69" priority="69">
      <formula>COUNTIF($B$2:$B$990, F2) &gt; 1</formula>
    </cfRule>
  </conditionalFormatting>
  <conditionalFormatting sqref="F2:F48">
    <cfRule type="expression" dxfId="68" priority="70">
      <formula>COUNTIF($C$1:$C$1010, F2) &gt; 1</formula>
    </cfRule>
    <cfRule type="expression" dxfId="67" priority="71">
      <formula>COUNTIF($B$2:$B$991, F2) &gt; 1</formula>
    </cfRule>
    <cfRule type="expression" dxfId="66" priority="72">
      <formula>COUNTIF($C$1:$C$1011, F2) &gt; 1</formula>
    </cfRule>
    <cfRule type="expression" dxfId="65" priority="73">
      <formula>COUNTIF($B$2:$B$992, F2) &gt; 1</formula>
    </cfRule>
  </conditionalFormatting>
  <conditionalFormatting sqref="F2:F50">
    <cfRule type="expression" dxfId="64" priority="74">
      <formula>COUNTIF($B$2:$B$993, F2) &gt; 1</formula>
    </cfRule>
    <cfRule type="expression" dxfId="63" priority="75">
      <formula>COUNTIF($B$1:$B$1007, F2) &gt; 1</formula>
    </cfRule>
    <cfRule type="expression" dxfId="62" priority="76">
      <formula>COUNTIF($C$1:$C$1012, F2) &gt; 1</formula>
    </cfRule>
  </conditionalFormatting>
  <conditionalFormatting sqref="F2:F51">
    <cfRule type="expression" dxfId="61" priority="77">
      <formula>COUNTIF($B$1:$B$1003, F2) &gt; 1</formula>
    </cfRule>
    <cfRule type="expression" dxfId="60" priority="78">
      <formula>COUNTIF($B$1:$B$1004, F2) &gt; 1</formula>
    </cfRule>
    <cfRule type="expression" dxfId="59" priority="79">
      <formula>COUNTIF($B$2:$B$994, F2) &gt; 1</formula>
    </cfRule>
    <cfRule type="expression" dxfId="58" priority="80">
      <formula>COUNTIF($C$1:$C$1013, F2) &gt; 1</formula>
    </cfRule>
  </conditionalFormatting>
  <conditionalFormatting sqref="F2:F52">
    <cfRule type="expression" dxfId="57" priority="81">
      <formula>COUNTIF($B$1:$B$994, F2) &gt; 1</formula>
    </cfRule>
    <cfRule type="expression" dxfId="56" priority="82">
      <formula>COUNTIF($B$1:$B$995, F2) &gt; 1</formula>
    </cfRule>
    <cfRule type="expression" dxfId="55" priority="83">
      <formula>COUNTIF($C$1:$C$1014, F2) &gt; 1</formula>
    </cfRule>
    <cfRule type="expression" dxfId="54" priority="84">
      <formula>COUNTIF($B$2:$B$995, F2) &gt; 1</formula>
    </cfRule>
  </conditionalFormatting>
  <conditionalFormatting sqref="F2:F53">
    <cfRule type="expression" dxfId="53" priority="85">
      <formula>COUNTIF($B$1:$B$1016, F2) &gt; 1</formula>
    </cfRule>
    <cfRule type="expression" dxfId="52" priority="86">
      <formula>COUNTIF($B$1:$B$1017, F2) &gt; 1</formula>
    </cfRule>
    <cfRule type="expression" dxfId="51" priority="87">
      <formula>COUNTIF($B$2:$B$997, F2) &gt; 1</formula>
    </cfRule>
    <cfRule type="expression" dxfId="50" priority="88">
      <formula>COUNTIF($B$2:$B$998, F2) &gt; 1</formula>
    </cfRule>
    <cfRule type="expression" dxfId="49" priority="89">
      <formula>COUNTIF($C$1:$C$1015, F2) &gt; 1</formula>
    </cfRule>
    <cfRule type="expression" dxfId="48" priority="90">
      <formula>COUNTIF($B$2:$B$996, F2) &gt; 1</formula>
    </cfRule>
  </conditionalFormatting>
  <conditionalFormatting sqref="F2:F54">
    <cfRule type="expression" dxfId="47" priority="91">
      <formula>COUNTIF($B$1:$B$998, F2) &gt; 1</formula>
    </cfRule>
    <cfRule type="expression" dxfId="46" priority="92">
      <formula>COUNTIF($B$1:$B$999, F2) &gt; 1</formula>
    </cfRule>
    <cfRule type="expression" dxfId="45" priority="93">
      <formula>COUNTIF($C$1:$C$1016, F2) &gt; 1</formula>
    </cfRule>
  </conditionalFormatting>
  <conditionalFormatting sqref="F2:F55">
    <cfRule type="expression" dxfId="44" priority="94">
      <formula>COUNTIF($C$1:$C$1018, F2) &gt; 1</formula>
    </cfRule>
    <cfRule type="expression" dxfId="43" priority="95">
      <formula>COUNTIF($C$1:$C$1017, F2) &gt; 1</formula>
    </cfRule>
  </conditionalFormatting>
  <conditionalFormatting sqref="F2:F56">
    <cfRule type="expression" dxfId="42" priority="96">
      <formula>COUNTIF($K$2:$K$101, F2) &gt; 1</formula>
    </cfRule>
    <cfRule type="expression" dxfId="41" priority="97">
      <formula>COUNTIF($B$2:$B$102, F2) &gt; 1</formula>
    </cfRule>
    <cfRule type="expression" dxfId="40" priority="98">
      <formula>COUNTIF($K$2:$K$102, F2) &gt; 1</formula>
    </cfRule>
    <cfRule type="expression" dxfId="39" priority="99">
      <formula>COUNTIF($B$2:$B$103, F2) &gt; 1</formula>
    </cfRule>
    <cfRule type="expression" dxfId="38" priority="100">
      <formula>COUNTIF($C$1:$C$1019, F2) &gt; 1</formula>
    </cfRule>
  </conditionalFormatting>
  <conditionalFormatting sqref="F2:F57">
    <cfRule type="expression" dxfId="37" priority="101">
      <formula>COUNTIF($B$1:$B$1010, F2) &gt; 1</formula>
    </cfRule>
    <cfRule type="expression" dxfId="36" priority="102">
      <formula>COUNTIF($B$1:$B$1013, F2) &gt; 1</formula>
    </cfRule>
    <cfRule type="expression" dxfId="35" priority="103">
      <formula>COUNTIF($B$1:$B$1014, F2) &gt; 1</formula>
    </cfRule>
    <cfRule type="expression" dxfId="34" priority="104">
      <formula>COUNTIF($C$1:$C$1020, F2) &gt; 1</formula>
    </cfRule>
  </conditionalFormatting>
  <conditionalFormatting sqref="F2:F58">
    <cfRule type="expression" dxfId="33" priority="105">
      <formula>COUNTIF($B$1:$B$1001, F2) &gt; 1</formula>
    </cfRule>
    <cfRule type="expression" dxfId="32" priority="106">
      <formula>COUNTIF($B$2:$B$1002, F2) &gt; 1</formula>
    </cfRule>
    <cfRule type="expression" dxfId="31" priority="107">
      <formula>COUNTIF($C$1:$C$1022, F2) &gt; 1</formula>
    </cfRule>
    <cfRule type="expression" dxfId="30" priority="108">
      <formula>COUNTIF($B$1:$B$1011, F2) &gt; 1</formula>
    </cfRule>
    <cfRule type="expression" dxfId="29" priority="109">
      <formula>COUNTIF($C$1:$C$1021, F2) &gt; 1</formula>
    </cfRule>
  </conditionalFormatting>
  <conditionalFormatting sqref="F2:F59">
    <cfRule type="expression" dxfId="28" priority="110">
      <formula>COUNTIF($B$1:$B$1023, F2) &gt; 1</formula>
    </cfRule>
    <cfRule type="expression" dxfId="27" priority="111">
      <formula>COUNTIF($B$1:$B$1002, F2) &gt; 1</formula>
    </cfRule>
  </conditionalFormatting>
  <conditionalFormatting sqref="F2:F60">
    <cfRule type="expression" dxfId="26" priority="112">
      <formula>COUNTIF($B$1:$B$980, F2) &gt; 1</formula>
    </cfRule>
    <cfRule type="expression" dxfId="25" priority="113">
      <formula>COUNTIF($B$1:$B$1005, F2) &gt; 1</formula>
    </cfRule>
    <cfRule type="expression" dxfId="24" priority="114">
      <formula>COUNTIF($C$1:$C$1023, F2) &gt; 1</formula>
    </cfRule>
    <cfRule type="expression" dxfId="23" priority="115">
      <formula>COUNTIF($B$2:$B$1004, F2) &gt; 1</formula>
    </cfRule>
    <cfRule type="expression" dxfId="22" priority="116">
      <formula>COUNTIF($B$1:$B$1024, F2) &gt; 1</formula>
    </cfRule>
  </conditionalFormatting>
  <conditionalFormatting sqref="F2:F61 A3:A4">
    <cfRule type="expression" dxfId="21" priority="117">
      <formula>COUNTIF($C$1:$C$1025, F2) &gt; 1</formula>
    </cfRule>
    <cfRule type="expression" dxfId="20" priority="118">
      <formula>COUNTIF($B$2:$B$1006, F2) &gt; 1</formula>
    </cfRule>
  </conditionalFormatting>
  <conditionalFormatting sqref="F2:F61">
    <cfRule type="expression" dxfId="19" priority="119">
      <formula>COUNTIF($B$1:$B$1006, F2) &gt; 1</formula>
    </cfRule>
    <cfRule type="expression" dxfId="18" priority="120">
      <formula>COUNTIF($C$1:$C$1024, F2) &gt; 1</formula>
    </cfRule>
    <cfRule type="expression" dxfId="17" priority="121">
      <formula>COUNTIF($B$2:$B$1005, F2) &gt; 1</formula>
    </cfRule>
  </conditionalFormatting>
  <conditionalFormatting sqref="F2:F62">
    <cfRule type="expression" dxfId="16" priority="122">
      <formula>COUNTIF($C$1:$C$1026, F2) &gt; 1</formula>
    </cfRule>
  </conditionalFormatting>
  <conditionalFormatting sqref="F7:F8 F18:F22 F50:F59">
    <cfRule type="expression" dxfId="15" priority="123">
      <formula>COUNTIF($C$1:$C$1027, F7) &gt; 1</formula>
    </cfRule>
  </conditionalFormatting>
  <conditionalFormatting sqref="F13">
    <cfRule type="expression" dxfId="14" priority="124">
      <formula>COUNTIF($C$1:$C$989, F13) &gt; 1</formula>
    </cfRule>
  </conditionalFormatting>
  <conditionalFormatting sqref="F50">
    <cfRule type="expression" dxfId="13" priority="125">
      <formula>COUNTIF($K$2:$K$108, F50) &gt; 1</formula>
    </cfRule>
    <cfRule type="expression" dxfId="12" priority="126">
      <formula>COUNTIF($C$1:$C$1030, F50) &gt; 1</formula>
    </cfRule>
    <cfRule type="expression" dxfId="11" priority="127">
      <formula>COUNTIF($B$2:$B$109, F50) &gt; 1</formula>
    </cfRule>
    <cfRule type="expression" dxfId="10" priority="128">
      <formula>COUNTIF($B$2:$B$1003, F50) &gt; 1</formula>
    </cfRule>
  </conditionalFormatting>
  <conditionalFormatting sqref="F50:F59">
    <cfRule type="expression" dxfId="9" priority="129">
      <formula>COUNTIF($C$1:$C$1031, F50) &gt; 1</formula>
    </cfRule>
  </conditionalFormatting>
  <conditionalFormatting sqref="F51">
    <cfRule type="expression" dxfId="8" priority="130">
      <formula>COUNTIF($C$1:$C$1028, F51) &gt; 1</formula>
    </cfRule>
    <cfRule type="expression" dxfId="7" priority="131">
      <formula>COUNTIF($C$1:$C$1032, F51) &gt; 1</formula>
    </cfRule>
    <cfRule type="expression" dxfId="6" priority="132">
      <formula>COUNTIF($K$2:$K$109, F51) &gt; 1</formula>
    </cfRule>
    <cfRule type="expression" dxfId="5" priority="133">
      <formula>COUNTIF($B$2:$B$110, F51) &gt; 1</formula>
    </cfRule>
  </conditionalFormatting>
  <conditionalFormatting sqref="G2:G1000 H50:H62">
    <cfRule type="expression" dxfId="4" priority="134">
      <formula>G2&gt;0</formula>
    </cfRule>
  </conditionalFormatting>
  <dataValidations count="2">
    <dataValidation type="list" allowBlank="1" showErrorMessage="1" sqref="E22:E26" xr:uid="{00000000-0002-0000-0D00-000000000000}">
      <formula1>"Hàng Bông,Đường Láng,Trương Định,24H,Minh Châu,Nguyễn Chí Thanh,Thống Nhất,Liên Tỉnh,Nguyễn Thị Thập,Nguyễn Văn Quá,Đỗ Quang Đẩu,Y2,Lê Bình"</formula1>
    </dataValidation>
    <dataValidation type="list" allowBlank="1" showErrorMessage="1" sqref="E2:E21 E27:E62" xr:uid="{00000000-0002-0000-0D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36.5546875" customWidth="1"/>
    <col min="2" max="2" width="35.6640625" customWidth="1"/>
    <col min="3" max="3" width="19.5546875" customWidth="1"/>
    <col min="4" max="4" width="23.109375" customWidth="1"/>
    <col min="5" max="5" width="20.109375" customWidth="1"/>
    <col min="6" max="6" width="11" customWidth="1"/>
    <col min="7" max="7" width="37.6640625" customWidth="1"/>
    <col min="8" max="12" width="11" customWidth="1"/>
  </cols>
  <sheetData>
    <row r="1" spans="1:20" ht="15.75" customHeight="1">
      <c r="A1" s="173" t="s">
        <v>162</v>
      </c>
      <c r="B1" s="173" t="s">
        <v>0</v>
      </c>
      <c r="C1" s="174" t="s">
        <v>843</v>
      </c>
      <c r="D1" s="175" t="s">
        <v>844</v>
      </c>
      <c r="E1" s="176"/>
      <c r="F1" s="177"/>
      <c r="G1" s="177"/>
      <c r="H1" s="177"/>
      <c r="I1" s="177"/>
      <c r="J1" s="177"/>
      <c r="K1" s="177"/>
      <c r="L1" s="177"/>
      <c r="M1" s="178"/>
      <c r="N1" s="178"/>
      <c r="O1" s="178"/>
      <c r="P1" s="178"/>
      <c r="Q1" s="178"/>
      <c r="R1" s="178"/>
      <c r="S1" s="178"/>
      <c r="T1" s="178"/>
    </row>
    <row r="2" spans="1:20" ht="15.75" customHeight="1">
      <c r="A2" s="179" t="s">
        <v>72</v>
      </c>
      <c r="B2" s="179" t="s">
        <v>15</v>
      </c>
      <c r="C2" s="180">
        <v>0</v>
      </c>
      <c r="D2" s="180">
        <v>0</v>
      </c>
      <c r="E2" s="181"/>
      <c r="F2" s="177"/>
      <c r="G2" s="177"/>
      <c r="H2" s="182"/>
      <c r="I2" s="177"/>
      <c r="J2" s="177"/>
      <c r="K2" s="177"/>
      <c r="L2" s="177"/>
      <c r="M2" s="178"/>
      <c r="N2" s="178"/>
      <c r="O2" s="178"/>
      <c r="P2" s="178"/>
      <c r="Q2" s="178"/>
      <c r="R2" s="178"/>
      <c r="S2" s="178"/>
      <c r="T2" s="178"/>
    </row>
    <row r="3" spans="1:20" ht="15.75" customHeight="1">
      <c r="A3" s="183" t="s">
        <v>74</v>
      </c>
      <c r="B3" s="183" t="s">
        <v>15</v>
      </c>
      <c r="C3" s="180">
        <v>0</v>
      </c>
      <c r="D3" s="180">
        <v>0</v>
      </c>
      <c r="E3" s="181"/>
      <c r="F3" s="177"/>
      <c r="G3" s="177"/>
      <c r="H3" s="177"/>
      <c r="I3" s="177"/>
      <c r="J3" s="177"/>
      <c r="K3" s="177"/>
      <c r="L3" s="177"/>
      <c r="M3" s="178"/>
      <c r="N3" s="178"/>
      <c r="O3" s="178"/>
      <c r="P3" s="178"/>
      <c r="Q3" s="178"/>
      <c r="R3" s="178"/>
      <c r="S3" s="178"/>
      <c r="T3" s="178"/>
    </row>
    <row r="4" spans="1:20" ht="15.75" customHeight="1">
      <c r="A4" s="183" t="s">
        <v>76</v>
      </c>
      <c r="B4" s="183" t="s">
        <v>15</v>
      </c>
      <c r="C4" s="180">
        <v>0</v>
      </c>
      <c r="D4" s="180">
        <v>0</v>
      </c>
      <c r="E4" s="181"/>
      <c r="F4" s="177"/>
      <c r="G4" s="184"/>
      <c r="H4" s="184"/>
      <c r="I4" s="184"/>
      <c r="J4" s="184"/>
      <c r="K4" s="184"/>
      <c r="L4" s="184"/>
      <c r="M4" s="178"/>
      <c r="N4" s="178"/>
      <c r="O4" s="178"/>
      <c r="P4" s="178"/>
      <c r="Q4" s="178"/>
      <c r="R4" s="178"/>
      <c r="S4" s="178"/>
      <c r="T4" s="178"/>
    </row>
    <row r="5" spans="1:20" ht="15.75" customHeight="1">
      <c r="A5" s="183" t="s">
        <v>78</v>
      </c>
      <c r="B5" s="183" t="s">
        <v>15</v>
      </c>
      <c r="C5" s="180">
        <v>0</v>
      </c>
      <c r="D5" s="180">
        <v>0</v>
      </c>
      <c r="E5" s="181"/>
      <c r="F5" s="177"/>
      <c r="G5" s="184"/>
      <c r="H5" s="184"/>
      <c r="I5" s="184"/>
      <c r="J5" s="184"/>
      <c r="K5" s="184"/>
      <c r="L5" s="184"/>
      <c r="M5" s="178"/>
      <c r="N5" s="178"/>
      <c r="O5" s="178"/>
      <c r="P5" s="178"/>
      <c r="Q5" s="178"/>
      <c r="R5" s="178"/>
      <c r="S5" s="178"/>
      <c r="T5" s="178"/>
    </row>
    <row r="6" spans="1:20" ht="15.75" customHeight="1">
      <c r="A6" s="183" t="s">
        <v>80</v>
      </c>
      <c r="B6" s="183" t="s">
        <v>15</v>
      </c>
      <c r="C6" s="180">
        <v>0</v>
      </c>
      <c r="D6" s="180">
        <v>0</v>
      </c>
      <c r="E6" s="181"/>
      <c r="F6" s="177"/>
      <c r="G6" s="184"/>
      <c r="H6" s="184"/>
      <c r="I6" s="184"/>
      <c r="J6" s="184"/>
      <c r="K6" s="184"/>
      <c r="L6" s="184"/>
      <c r="M6" s="178"/>
      <c r="N6" s="178"/>
      <c r="O6" s="178"/>
      <c r="P6" s="178"/>
      <c r="Q6" s="178"/>
      <c r="R6" s="178"/>
      <c r="S6" s="178"/>
      <c r="T6" s="178"/>
    </row>
    <row r="7" spans="1:20" ht="15.75" customHeight="1">
      <c r="A7" s="183" t="s">
        <v>82</v>
      </c>
      <c r="B7" s="183" t="s">
        <v>15</v>
      </c>
      <c r="C7" s="180">
        <v>0</v>
      </c>
      <c r="D7" s="180">
        <v>0</v>
      </c>
      <c r="E7" s="181"/>
      <c r="F7" s="177"/>
      <c r="G7" s="184"/>
      <c r="H7" s="184"/>
      <c r="I7" s="184"/>
      <c r="J7" s="184"/>
      <c r="K7" s="184"/>
      <c r="L7" s="184"/>
      <c r="M7" s="178"/>
      <c r="N7" s="178"/>
      <c r="O7" s="178"/>
      <c r="P7" s="178"/>
      <c r="Q7" s="178"/>
      <c r="R7" s="178"/>
      <c r="S7" s="178"/>
      <c r="T7" s="178"/>
    </row>
    <row r="8" spans="1:20" ht="15.75" customHeight="1">
      <c r="A8" s="183" t="s">
        <v>83</v>
      </c>
      <c r="B8" s="183" t="s">
        <v>15</v>
      </c>
      <c r="C8" s="180">
        <v>0</v>
      </c>
      <c r="D8" s="180">
        <v>0</v>
      </c>
      <c r="E8" s="181"/>
      <c r="F8" s="177"/>
      <c r="G8" s="184"/>
      <c r="H8" s="184"/>
      <c r="I8" s="184"/>
      <c r="J8" s="184"/>
      <c r="K8" s="184"/>
      <c r="L8" s="184"/>
      <c r="M8" s="178"/>
      <c r="N8" s="178"/>
      <c r="O8" s="178"/>
      <c r="P8" s="178"/>
      <c r="Q8" s="178"/>
      <c r="R8" s="178"/>
      <c r="S8" s="178"/>
      <c r="T8" s="178"/>
    </row>
    <row r="9" spans="1:20" ht="15.75" customHeight="1">
      <c r="A9" s="183" t="s">
        <v>84</v>
      </c>
      <c r="B9" s="183" t="s">
        <v>17</v>
      </c>
      <c r="C9" s="180">
        <v>0</v>
      </c>
      <c r="D9" s="180">
        <v>0</v>
      </c>
      <c r="E9" s="181"/>
      <c r="F9" s="177"/>
      <c r="G9" s="184"/>
      <c r="H9" s="184"/>
      <c r="I9" s="184"/>
      <c r="J9" s="184"/>
      <c r="K9" s="184"/>
      <c r="L9" s="184"/>
      <c r="M9" s="178"/>
      <c r="N9" s="178"/>
      <c r="O9" s="178"/>
      <c r="P9" s="178"/>
      <c r="Q9" s="178"/>
      <c r="R9" s="178"/>
      <c r="S9" s="178"/>
      <c r="T9" s="178"/>
    </row>
    <row r="10" spans="1:20" ht="15.75" customHeight="1">
      <c r="A10" s="183" t="s">
        <v>85</v>
      </c>
      <c r="B10" s="183" t="s">
        <v>17</v>
      </c>
      <c r="C10" s="180">
        <v>0</v>
      </c>
      <c r="D10" s="180">
        <v>0</v>
      </c>
      <c r="E10" s="181"/>
      <c r="F10" s="177"/>
      <c r="G10" s="184"/>
      <c r="H10" s="184"/>
      <c r="I10" s="184"/>
      <c r="J10" s="184"/>
      <c r="K10" s="184"/>
      <c r="L10" s="184"/>
      <c r="M10" s="178"/>
      <c r="N10" s="178"/>
      <c r="O10" s="178"/>
      <c r="P10" s="178"/>
      <c r="Q10" s="178"/>
      <c r="R10" s="178"/>
      <c r="S10" s="178"/>
      <c r="T10" s="178"/>
    </row>
    <row r="11" spans="1:20" ht="15.75" customHeight="1">
      <c r="A11" s="183" t="s">
        <v>86</v>
      </c>
      <c r="B11" s="183" t="s">
        <v>17</v>
      </c>
      <c r="C11" s="180">
        <v>0</v>
      </c>
      <c r="D11" s="180">
        <v>0</v>
      </c>
      <c r="E11" s="183"/>
      <c r="F11" s="177"/>
      <c r="G11" s="184"/>
      <c r="H11" s="184"/>
      <c r="I11" s="184"/>
      <c r="J11" s="184"/>
      <c r="K11" s="184"/>
      <c r="L11" s="184"/>
      <c r="M11" s="178"/>
      <c r="N11" s="178"/>
      <c r="O11" s="178"/>
      <c r="P11" s="178"/>
      <c r="Q11" s="178"/>
      <c r="R11" s="178"/>
      <c r="S11" s="178"/>
      <c r="T11" s="178"/>
    </row>
    <row r="12" spans="1:20" ht="15.75" customHeight="1">
      <c r="A12" s="183" t="s">
        <v>87</v>
      </c>
      <c r="B12" s="183" t="s">
        <v>17</v>
      </c>
      <c r="C12" s="180">
        <v>0</v>
      </c>
      <c r="D12" s="180">
        <v>0</v>
      </c>
      <c r="E12" s="183"/>
      <c r="F12" s="177"/>
      <c r="G12" s="184"/>
      <c r="H12" s="184"/>
      <c r="I12" s="184"/>
      <c r="J12" s="184"/>
      <c r="K12" s="184"/>
      <c r="L12" s="184"/>
      <c r="M12" s="178"/>
      <c r="N12" s="178"/>
      <c r="O12" s="178"/>
      <c r="P12" s="178"/>
      <c r="Q12" s="178"/>
      <c r="R12" s="178"/>
      <c r="S12" s="178"/>
      <c r="T12" s="178"/>
    </row>
    <row r="13" spans="1:20" ht="15.75" customHeight="1">
      <c r="A13" s="183" t="s">
        <v>88</v>
      </c>
      <c r="B13" s="183" t="s">
        <v>17</v>
      </c>
      <c r="C13" s="180">
        <v>0</v>
      </c>
      <c r="D13" s="180">
        <v>0</v>
      </c>
      <c r="E13" s="183"/>
      <c r="F13" s="177"/>
      <c r="G13" s="184"/>
      <c r="H13" s="184"/>
      <c r="I13" s="184"/>
      <c r="J13" s="184"/>
      <c r="K13" s="184"/>
      <c r="L13" s="184"/>
      <c r="M13" s="178"/>
      <c r="N13" s="178"/>
      <c r="O13" s="178"/>
      <c r="P13" s="178"/>
      <c r="Q13" s="178"/>
      <c r="R13" s="178"/>
      <c r="S13" s="178"/>
      <c r="T13" s="178"/>
    </row>
    <row r="14" spans="1:20" ht="15.75" customHeight="1">
      <c r="A14" s="183" t="s">
        <v>89</v>
      </c>
      <c r="B14" s="183" t="s">
        <v>17</v>
      </c>
      <c r="C14" s="180">
        <v>0</v>
      </c>
      <c r="D14" s="180">
        <v>0</v>
      </c>
      <c r="E14" s="183"/>
      <c r="F14" s="177"/>
      <c r="G14" s="184"/>
      <c r="H14" s="184"/>
      <c r="I14" s="184"/>
      <c r="J14" s="184"/>
      <c r="K14" s="184"/>
      <c r="L14" s="184"/>
      <c r="M14" s="178"/>
      <c r="N14" s="178"/>
      <c r="O14" s="178"/>
      <c r="P14" s="178"/>
      <c r="Q14" s="178"/>
      <c r="R14" s="178"/>
      <c r="S14" s="178"/>
      <c r="T14" s="178"/>
    </row>
    <row r="15" spans="1:20" ht="15.75" customHeight="1">
      <c r="A15" s="183" t="s">
        <v>90</v>
      </c>
      <c r="B15" s="183" t="s">
        <v>17</v>
      </c>
      <c r="C15" s="180">
        <v>0</v>
      </c>
      <c r="D15" s="180">
        <v>0</v>
      </c>
      <c r="E15" s="183"/>
      <c r="F15" s="177"/>
      <c r="G15" s="184"/>
      <c r="H15" s="184"/>
      <c r="I15" s="184"/>
      <c r="J15" s="184"/>
      <c r="K15" s="184"/>
      <c r="L15" s="184"/>
      <c r="M15" s="178"/>
      <c r="N15" s="178"/>
      <c r="O15" s="178"/>
      <c r="P15" s="178"/>
      <c r="Q15" s="178"/>
      <c r="R15" s="178"/>
      <c r="S15" s="178"/>
      <c r="T15" s="178"/>
    </row>
    <row r="16" spans="1:20" ht="15.75" customHeight="1">
      <c r="A16" s="183" t="s">
        <v>91</v>
      </c>
      <c r="B16" s="183" t="s">
        <v>18</v>
      </c>
      <c r="C16" s="180">
        <v>0</v>
      </c>
      <c r="D16" s="180">
        <v>0</v>
      </c>
      <c r="E16" s="183"/>
      <c r="F16" s="177"/>
      <c r="G16" s="184"/>
      <c r="H16" s="184"/>
      <c r="I16" s="184"/>
      <c r="J16" s="184"/>
      <c r="K16" s="184"/>
      <c r="L16" s="184"/>
      <c r="M16" s="178"/>
      <c r="N16" s="178"/>
      <c r="O16" s="178"/>
      <c r="P16" s="178"/>
      <c r="Q16" s="178"/>
      <c r="R16" s="178"/>
      <c r="S16" s="178"/>
      <c r="T16" s="178"/>
    </row>
    <row r="17" spans="1:20" ht="15.75" customHeight="1">
      <c r="A17" s="183" t="s">
        <v>78</v>
      </c>
      <c r="B17" s="183" t="s">
        <v>18</v>
      </c>
      <c r="C17" s="180">
        <v>0</v>
      </c>
      <c r="D17" s="180">
        <v>0</v>
      </c>
      <c r="E17" s="183"/>
      <c r="F17" s="177"/>
      <c r="G17" s="184"/>
      <c r="H17" s="184"/>
      <c r="I17" s="184"/>
      <c r="J17" s="184"/>
      <c r="K17" s="184"/>
      <c r="L17" s="184"/>
      <c r="M17" s="178"/>
      <c r="N17" s="178"/>
      <c r="O17" s="178"/>
      <c r="P17" s="178"/>
      <c r="Q17" s="178"/>
      <c r="R17" s="178"/>
      <c r="S17" s="178"/>
      <c r="T17" s="178"/>
    </row>
    <row r="18" spans="1:20" ht="15.75" customHeight="1">
      <c r="A18" s="183" t="s">
        <v>92</v>
      </c>
      <c r="B18" s="183" t="s">
        <v>18</v>
      </c>
      <c r="C18" s="180">
        <v>0</v>
      </c>
      <c r="D18" s="180">
        <v>0</v>
      </c>
      <c r="E18" s="183"/>
      <c r="F18" s="177"/>
      <c r="G18" s="184"/>
      <c r="H18" s="184"/>
      <c r="I18" s="184"/>
      <c r="J18" s="184"/>
      <c r="K18" s="184"/>
      <c r="L18" s="184"/>
      <c r="M18" s="178"/>
      <c r="N18" s="178"/>
      <c r="O18" s="178"/>
      <c r="P18" s="178"/>
      <c r="Q18" s="178"/>
      <c r="R18" s="178"/>
      <c r="S18" s="178"/>
      <c r="T18" s="178"/>
    </row>
    <row r="19" spans="1:20" ht="15.75" customHeight="1">
      <c r="A19" s="183" t="s">
        <v>93</v>
      </c>
      <c r="B19" s="183" t="s">
        <v>18</v>
      </c>
      <c r="C19" s="180">
        <v>0</v>
      </c>
      <c r="D19" s="180">
        <v>0</v>
      </c>
      <c r="E19" s="183"/>
      <c r="F19" s="177"/>
      <c r="G19" s="184"/>
      <c r="H19" s="184"/>
      <c r="I19" s="184"/>
      <c r="J19" s="184"/>
      <c r="K19" s="184"/>
      <c r="L19" s="184"/>
      <c r="M19" s="178"/>
      <c r="N19" s="178"/>
      <c r="O19" s="178"/>
      <c r="P19" s="178"/>
      <c r="Q19" s="178"/>
      <c r="R19" s="178"/>
      <c r="S19" s="178"/>
      <c r="T19" s="178"/>
    </row>
    <row r="20" spans="1:20" ht="15.75" customHeight="1">
      <c r="A20" s="183" t="s">
        <v>94</v>
      </c>
      <c r="B20" s="183" t="s">
        <v>18</v>
      </c>
      <c r="C20" s="180">
        <v>0</v>
      </c>
      <c r="D20" s="180">
        <v>0</v>
      </c>
      <c r="E20" s="183"/>
      <c r="F20" s="177"/>
      <c r="G20" s="184"/>
      <c r="H20" s="184"/>
      <c r="I20" s="184"/>
      <c r="J20" s="184"/>
      <c r="K20" s="184"/>
      <c r="L20" s="184"/>
      <c r="M20" s="178"/>
      <c r="N20" s="178"/>
      <c r="O20" s="178"/>
      <c r="P20" s="178"/>
      <c r="Q20" s="178"/>
      <c r="R20" s="178"/>
      <c r="S20" s="178"/>
      <c r="T20" s="178"/>
    </row>
    <row r="21" spans="1:20" ht="15.75" customHeight="1">
      <c r="A21" s="183" t="s">
        <v>85</v>
      </c>
      <c r="B21" s="183" t="s">
        <v>19</v>
      </c>
      <c r="C21" s="180">
        <v>0</v>
      </c>
      <c r="D21" s="180">
        <v>0</v>
      </c>
      <c r="E21" s="183"/>
      <c r="F21" s="177"/>
      <c r="G21" s="184"/>
      <c r="H21" s="184"/>
      <c r="I21" s="184"/>
      <c r="J21" s="184"/>
      <c r="K21" s="184"/>
      <c r="L21" s="184"/>
      <c r="M21" s="178"/>
      <c r="N21" s="178"/>
      <c r="O21" s="178"/>
      <c r="P21" s="178"/>
      <c r="Q21" s="178"/>
      <c r="R21" s="178"/>
      <c r="S21" s="178"/>
      <c r="T21" s="178"/>
    </row>
    <row r="22" spans="1:20" ht="15.75" customHeight="1">
      <c r="A22" s="183" t="s">
        <v>96</v>
      </c>
      <c r="B22" s="183" t="s">
        <v>19</v>
      </c>
      <c r="C22" s="180">
        <v>0</v>
      </c>
      <c r="D22" s="180">
        <v>0</v>
      </c>
      <c r="E22" s="183"/>
      <c r="F22" s="177"/>
      <c r="G22" s="184"/>
      <c r="H22" s="184"/>
      <c r="I22" s="184"/>
      <c r="J22" s="184"/>
      <c r="K22" s="184"/>
      <c r="L22" s="184"/>
      <c r="M22" s="178"/>
      <c r="N22" s="178"/>
      <c r="O22" s="178"/>
      <c r="P22" s="178"/>
      <c r="Q22" s="178"/>
      <c r="R22" s="178"/>
      <c r="S22" s="178"/>
      <c r="T22" s="178"/>
    </row>
    <row r="23" spans="1:20" ht="15.75" customHeight="1">
      <c r="A23" s="183" t="s">
        <v>97</v>
      </c>
      <c r="B23" s="183" t="s">
        <v>19</v>
      </c>
      <c r="C23" s="180">
        <v>0</v>
      </c>
      <c r="D23" s="180">
        <v>0</v>
      </c>
      <c r="E23" s="183"/>
      <c r="F23" s="177"/>
      <c r="G23" s="184"/>
      <c r="H23" s="184"/>
      <c r="I23" s="184"/>
      <c r="J23" s="184"/>
      <c r="K23" s="184"/>
      <c r="L23" s="184"/>
      <c r="M23" s="178"/>
      <c r="N23" s="178"/>
      <c r="O23" s="178"/>
      <c r="P23" s="178"/>
      <c r="Q23" s="178"/>
      <c r="R23" s="178"/>
      <c r="S23" s="178"/>
      <c r="T23" s="178"/>
    </row>
    <row r="24" spans="1:20" ht="15.75" customHeight="1">
      <c r="A24" s="183" t="s">
        <v>98</v>
      </c>
      <c r="B24" s="183" t="s">
        <v>19</v>
      </c>
      <c r="C24" s="180">
        <v>0</v>
      </c>
      <c r="D24" s="180">
        <v>0</v>
      </c>
      <c r="E24" s="183"/>
      <c r="F24" s="177"/>
      <c r="G24" s="184"/>
      <c r="H24" s="184"/>
      <c r="I24" s="184"/>
      <c r="J24" s="184"/>
      <c r="K24" s="184"/>
      <c r="L24" s="184"/>
      <c r="M24" s="178"/>
      <c r="N24" s="178"/>
      <c r="O24" s="178"/>
      <c r="P24" s="178"/>
      <c r="Q24" s="178"/>
      <c r="R24" s="178"/>
      <c r="S24" s="178"/>
      <c r="T24" s="178"/>
    </row>
    <row r="25" spans="1:20" ht="15.75" customHeight="1">
      <c r="A25" s="183" t="s">
        <v>88</v>
      </c>
      <c r="B25" s="183" t="s">
        <v>19</v>
      </c>
      <c r="C25" s="180">
        <v>0</v>
      </c>
      <c r="D25" s="180">
        <v>0</v>
      </c>
      <c r="E25" s="183"/>
      <c r="F25" s="177"/>
      <c r="G25" s="184"/>
      <c r="H25" s="184"/>
      <c r="I25" s="184"/>
      <c r="J25" s="184"/>
      <c r="K25" s="184"/>
      <c r="L25" s="184"/>
      <c r="M25" s="178"/>
      <c r="N25" s="178"/>
      <c r="O25" s="178"/>
      <c r="P25" s="178"/>
      <c r="Q25" s="178"/>
      <c r="R25" s="178"/>
      <c r="S25" s="178"/>
      <c r="T25" s="178"/>
    </row>
    <row r="26" spans="1:20" ht="15.75" customHeight="1">
      <c r="A26" s="183" t="s">
        <v>100</v>
      </c>
      <c r="B26" s="183" t="s">
        <v>19</v>
      </c>
      <c r="C26" s="180">
        <v>0</v>
      </c>
      <c r="D26" s="180">
        <v>0</v>
      </c>
      <c r="E26" s="183"/>
      <c r="F26" s="177"/>
      <c r="G26" s="184"/>
      <c r="H26" s="184"/>
      <c r="I26" s="184"/>
      <c r="J26" s="184"/>
      <c r="K26" s="184"/>
      <c r="L26" s="184"/>
      <c r="M26" s="178"/>
      <c r="N26" s="178"/>
      <c r="O26" s="178"/>
      <c r="P26" s="178"/>
      <c r="Q26" s="178"/>
      <c r="R26" s="178"/>
      <c r="S26" s="178"/>
      <c r="T26" s="178"/>
    </row>
    <row r="27" spans="1:20" ht="15.75" customHeight="1">
      <c r="A27" s="183" t="s">
        <v>92</v>
      </c>
      <c r="B27" s="183" t="s">
        <v>19</v>
      </c>
      <c r="C27" s="180">
        <v>0</v>
      </c>
      <c r="D27" s="180">
        <v>0</v>
      </c>
      <c r="E27" s="183"/>
      <c r="F27" s="177"/>
      <c r="G27" s="184"/>
      <c r="H27" s="184"/>
      <c r="I27" s="184"/>
      <c r="J27" s="184"/>
      <c r="K27" s="184"/>
      <c r="L27" s="184"/>
      <c r="M27" s="178"/>
      <c r="N27" s="178"/>
      <c r="O27" s="178"/>
      <c r="P27" s="178"/>
      <c r="Q27" s="178"/>
      <c r="R27" s="178"/>
      <c r="S27" s="178"/>
      <c r="T27" s="178"/>
    </row>
    <row r="28" spans="1:20" ht="15.75" customHeight="1">
      <c r="A28" s="183" t="s">
        <v>101</v>
      </c>
      <c r="B28" s="183" t="s">
        <v>19</v>
      </c>
      <c r="C28" s="180">
        <v>0</v>
      </c>
      <c r="D28" s="180">
        <v>0</v>
      </c>
      <c r="E28" s="183"/>
      <c r="F28" s="177"/>
      <c r="G28" s="184"/>
      <c r="H28" s="184"/>
      <c r="I28" s="184"/>
      <c r="J28" s="184"/>
      <c r="K28" s="184"/>
      <c r="L28" s="184"/>
      <c r="M28" s="178"/>
      <c r="N28" s="178"/>
      <c r="O28" s="178"/>
      <c r="P28" s="178"/>
      <c r="Q28" s="178"/>
      <c r="R28" s="178"/>
      <c r="S28" s="178"/>
      <c r="T28" s="178"/>
    </row>
    <row r="29" spans="1:20" ht="15.75" customHeight="1">
      <c r="A29" s="183" t="s">
        <v>103</v>
      </c>
      <c r="B29" s="183" t="s">
        <v>20</v>
      </c>
      <c r="C29" s="180">
        <v>0</v>
      </c>
      <c r="D29" s="180">
        <v>0</v>
      </c>
      <c r="E29" s="183"/>
      <c r="F29" s="177"/>
      <c r="G29" s="184"/>
      <c r="H29" s="184"/>
      <c r="I29" s="184"/>
      <c r="J29" s="184"/>
      <c r="K29" s="184"/>
      <c r="L29" s="184"/>
      <c r="M29" s="178"/>
      <c r="N29" s="178"/>
      <c r="O29" s="178"/>
      <c r="P29" s="178"/>
      <c r="Q29" s="178"/>
      <c r="R29" s="178"/>
      <c r="S29" s="178"/>
      <c r="T29" s="178"/>
    </row>
    <row r="30" spans="1:20" ht="15.75" customHeight="1">
      <c r="A30" s="183" t="s">
        <v>104</v>
      </c>
      <c r="B30" s="183" t="s">
        <v>20</v>
      </c>
      <c r="C30" s="180">
        <v>0</v>
      </c>
      <c r="D30" s="180">
        <v>0</v>
      </c>
      <c r="E30" s="183"/>
      <c r="F30" s="177"/>
      <c r="G30" s="184"/>
      <c r="H30" s="184"/>
      <c r="I30" s="184"/>
      <c r="J30" s="184"/>
      <c r="K30" s="184"/>
      <c r="L30" s="184"/>
      <c r="M30" s="178"/>
      <c r="N30" s="178"/>
      <c r="O30" s="178"/>
      <c r="P30" s="178"/>
      <c r="Q30" s="178"/>
      <c r="R30" s="178"/>
      <c r="S30" s="178"/>
      <c r="T30" s="178"/>
    </row>
    <row r="31" spans="1:20" ht="15.75" customHeight="1">
      <c r="A31" s="183" t="s">
        <v>105</v>
      </c>
      <c r="B31" s="183" t="s">
        <v>20</v>
      </c>
      <c r="C31" s="180">
        <v>0</v>
      </c>
      <c r="D31" s="180">
        <v>0</v>
      </c>
      <c r="E31" s="183"/>
      <c r="F31" s="177"/>
      <c r="G31" s="184"/>
      <c r="H31" s="184"/>
      <c r="I31" s="184"/>
      <c r="J31" s="184"/>
      <c r="K31" s="184"/>
      <c r="L31" s="184"/>
      <c r="M31" s="178"/>
      <c r="N31" s="178"/>
      <c r="O31" s="178"/>
      <c r="P31" s="178"/>
      <c r="Q31" s="178"/>
      <c r="R31" s="178"/>
      <c r="S31" s="178"/>
      <c r="T31" s="178"/>
    </row>
    <row r="32" spans="1:20" ht="15.75" customHeight="1">
      <c r="A32" s="183" t="s">
        <v>106</v>
      </c>
      <c r="B32" s="183" t="s">
        <v>20</v>
      </c>
      <c r="C32" s="180">
        <v>0</v>
      </c>
      <c r="D32" s="180">
        <v>0</v>
      </c>
      <c r="E32" s="183"/>
      <c r="F32" s="177"/>
      <c r="G32" s="184"/>
      <c r="H32" s="184"/>
      <c r="I32" s="184"/>
      <c r="J32" s="184"/>
      <c r="K32" s="184"/>
      <c r="L32" s="184"/>
      <c r="M32" s="178"/>
      <c r="N32" s="178"/>
      <c r="O32" s="178"/>
      <c r="P32" s="178"/>
      <c r="Q32" s="178"/>
      <c r="R32" s="178"/>
      <c r="S32" s="178"/>
      <c r="T32" s="178"/>
    </row>
    <row r="33" spans="1:20" ht="15.75" customHeight="1">
      <c r="A33" s="183" t="s">
        <v>107</v>
      </c>
      <c r="B33" s="183" t="s">
        <v>20</v>
      </c>
      <c r="C33" s="180">
        <v>0</v>
      </c>
      <c r="D33" s="180">
        <v>0</v>
      </c>
      <c r="E33" s="183"/>
      <c r="F33" s="177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</row>
    <row r="34" spans="1:20" ht="15.75" customHeight="1">
      <c r="A34" s="183" t="s">
        <v>108</v>
      </c>
      <c r="B34" s="183" t="s">
        <v>20</v>
      </c>
      <c r="C34" s="180">
        <v>0</v>
      </c>
      <c r="D34" s="180">
        <v>0</v>
      </c>
      <c r="E34" s="183"/>
      <c r="F34" s="177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</row>
    <row r="35" spans="1:20" ht="15.75" customHeight="1">
      <c r="A35" s="183" t="s">
        <v>109</v>
      </c>
      <c r="B35" s="183" t="s">
        <v>21</v>
      </c>
      <c r="C35" s="180">
        <v>0</v>
      </c>
      <c r="D35" s="180">
        <v>0</v>
      </c>
      <c r="E35" s="183"/>
      <c r="F35" s="177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</row>
    <row r="36" spans="1:20" ht="15.75" customHeight="1">
      <c r="A36" s="183" t="s">
        <v>110</v>
      </c>
      <c r="B36" s="183" t="s">
        <v>21</v>
      </c>
      <c r="C36" s="180">
        <v>0</v>
      </c>
      <c r="D36" s="180">
        <v>0</v>
      </c>
      <c r="E36" s="183"/>
      <c r="F36" s="177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</row>
    <row r="37" spans="1:20" ht="15.75" customHeight="1">
      <c r="A37" s="183" t="s">
        <v>111</v>
      </c>
      <c r="B37" s="183" t="s">
        <v>21</v>
      </c>
      <c r="C37" s="180">
        <v>0</v>
      </c>
      <c r="D37" s="180">
        <v>0</v>
      </c>
      <c r="E37" s="183"/>
      <c r="F37" s="177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</row>
    <row r="38" spans="1:20" ht="15.75" customHeight="1">
      <c r="A38" s="178" t="s">
        <v>112</v>
      </c>
      <c r="B38" s="183" t="s">
        <v>21</v>
      </c>
      <c r="C38" s="187">
        <v>0</v>
      </c>
      <c r="D38" s="188">
        <v>0</v>
      </c>
      <c r="E38" s="183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</row>
    <row r="39" spans="1:20" ht="15.75" customHeight="1">
      <c r="A39" s="178" t="s">
        <v>88</v>
      </c>
      <c r="B39" s="183" t="s">
        <v>21</v>
      </c>
      <c r="C39" s="187">
        <v>0</v>
      </c>
      <c r="D39" s="188">
        <v>0</v>
      </c>
      <c r="E39" s="183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</row>
    <row r="40" spans="1:20" ht="15.75" customHeight="1">
      <c r="A40" s="178" t="s">
        <v>113</v>
      </c>
      <c r="B40" s="183" t="s">
        <v>21</v>
      </c>
      <c r="C40" s="187">
        <v>0</v>
      </c>
      <c r="D40" s="188">
        <v>0</v>
      </c>
      <c r="E40" s="183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</row>
    <row r="41" spans="1:20" ht="15.75" customHeight="1">
      <c r="A41" s="178" t="s">
        <v>92</v>
      </c>
      <c r="B41" s="183" t="s">
        <v>21</v>
      </c>
      <c r="C41" s="187">
        <v>0</v>
      </c>
      <c r="D41" s="188">
        <v>0</v>
      </c>
      <c r="E41" s="183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</row>
    <row r="42" spans="1:20" ht="15.75" customHeight="1">
      <c r="A42" s="178" t="s">
        <v>114</v>
      </c>
      <c r="B42" s="183" t="s">
        <v>21</v>
      </c>
      <c r="C42" s="187">
        <v>0</v>
      </c>
      <c r="D42" s="188">
        <v>0</v>
      </c>
      <c r="E42" s="183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</row>
    <row r="43" spans="1:20" ht="15.75" customHeight="1">
      <c r="A43" s="178" t="s">
        <v>115</v>
      </c>
      <c r="B43" s="183" t="s">
        <v>21</v>
      </c>
      <c r="C43" s="187">
        <v>0</v>
      </c>
      <c r="D43" s="188">
        <v>0</v>
      </c>
      <c r="E43" s="183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</row>
    <row r="44" spans="1:20" ht="15.75" customHeight="1">
      <c r="A44" s="178" t="s">
        <v>116</v>
      </c>
      <c r="B44" s="183" t="s">
        <v>22</v>
      </c>
      <c r="C44" s="187">
        <v>0</v>
      </c>
      <c r="D44" s="188">
        <v>0</v>
      </c>
      <c r="E44" s="183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</row>
    <row r="45" spans="1:20" ht="15.75" customHeight="1">
      <c r="A45" s="178" t="s">
        <v>117</v>
      </c>
      <c r="B45" s="183" t="s">
        <v>22</v>
      </c>
      <c r="C45" s="187">
        <v>0</v>
      </c>
      <c r="D45" s="188">
        <v>0</v>
      </c>
      <c r="E45" s="183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</row>
    <row r="46" spans="1:20" ht="15.75" customHeight="1">
      <c r="A46" s="178" t="s">
        <v>118</v>
      </c>
      <c r="B46" s="183" t="s">
        <v>22</v>
      </c>
      <c r="C46" s="187">
        <v>0</v>
      </c>
      <c r="D46" s="188">
        <v>0</v>
      </c>
      <c r="E46" s="183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</row>
    <row r="47" spans="1:20" ht="15.75" customHeight="1">
      <c r="A47" s="178" t="s">
        <v>119</v>
      </c>
      <c r="B47" s="183" t="s">
        <v>22</v>
      </c>
      <c r="C47" s="187">
        <v>0</v>
      </c>
      <c r="D47" s="188">
        <v>0</v>
      </c>
      <c r="E47" s="183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</row>
    <row r="48" spans="1:20" ht="15.75" customHeight="1">
      <c r="A48" s="178" t="s">
        <v>109</v>
      </c>
      <c r="B48" s="183" t="s">
        <v>23</v>
      </c>
      <c r="C48" s="187">
        <v>0</v>
      </c>
      <c r="D48" s="188">
        <v>0</v>
      </c>
      <c r="E48" s="183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</row>
    <row r="49" spans="1:20" ht="15.75" customHeight="1">
      <c r="A49" s="178" t="s">
        <v>120</v>
      </c>
      <c r="B49" s="183" t="s">
        <v>23</v>
      </c>
      <c r="C49" s="187">
        <v>0</v>
      </c>
      <c r="D49" s="188">
        <v>0</v>
      </c>
      <c r="E49" s="183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</row>
    <row r="50" spans="1:20" ht="15.75" customHeight="1">
      <c r="A50" s="178" t="s">
        <v>121</v>
      </c>
      <c r="B50" s="183" t="s">
        <v>23</v>
      </c>
      <c r="C50" s="187">
        <v>0</v>
      </c>
      <c r="D50" s="188">
        <v>0</v>
      </c>
      <c r="E50" s="183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</row>
    <row r="51" spans="1:20" ht="15.75" customHeight="1">
      <c r="A51" s="178" t="s">
        <v>107</v>
      </c>
      <c r="B51" s="183" t="s">
        <v>23</v>
      </c>
      <c r="C51" s="187">
        <v>0</v>
      </c>
      <c r="D51" s="188">
        <v>0</v>
      </c>
      <c r="E51" s="183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</row>
    <row r="52" spans="1:20" ht="15.75" customHeight="1">
      <c r="A52" s="178" t="s">
        <v>92</v>
      </c>
      <c r="B52" s="183" t="s">
        <v>23</v>
      </c>
      <c r="C52" s="187">
        <v>0</v>
      </c>
      <c r="D52" s="188">
        <v>0</v>
      </c>
      <c r="E52" s="183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</row>
    <row r="53" spans="1:20" ht="15.75" customHeight="1">
      <c r="A53" s="178" t="s">
        <v>122</v>
      </c>
      <c r="B53" s="183" t="s">
        <v>23</v>
      </c>
      <c r="C53" s="187">
        <v>0</v>
      </c>
      <c r="D53" s="188">
        <v>0</v>
      </c>
      <c r="E53" s="183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</row>
    <row r="54" spans="1:20" ht="15.75" customHeight="1">
      <c r="A54" s="178" t="s">
        <v>72</v>
      </c>
      <c r="B54" s="183" t="s">
        <v>24</v>
      </c>
      <c r="C54" s="187">
        <v>0</v>
      </c>
      <c r="D54" s="188">
        <v>0</v>
      </c>
      <c r="E54" s="183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</row>
    <row r="55" spans="1:20" ht="15.75" customHeight="1">
      <c r="A55" s="178" t="s">
        <v>74</v>
      </c>
      <c r="B55" s="183" t="s">
        <v>24</v>
      </c>
      <c r="C55" s="187">
        <v>0</v>
      </c>
      <c r="D55" s="188">
        <v>0</v>
      </c>
      <c r="E55" s="183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</row>
    <row r="56" spans="1:20" ht="15.75" customHeight="1">
      <c r="A56" s="178" t="s">
        <v>123</v>
      </c>
      <c r="B56" s="183" t="s">
        <v>24</v>
      </c>
      <c r="C56" s="187">
        <v>0</v>
      </c>
      <c r="D56" s="188">
        <v>0</v>
      </c>
      <c r="E56" s="183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</row>
    <row r="57" spans="1:20" ht="15.75" customHeight="1">
      <c r="A57" s="178" t="s">
        <v>124</v>
      </c>
      <c r="B57" s="183" t="s">
        <v>24</v>
      </c>
      <c r="C57" s="187">
        <v>0</v>
      </c>
      <c r="D57" s="188">
        <v>0</v>
      </c>
      <c r="E57" s="183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</row>
    <row r="58" spans="1:20" ht="15.75" customHeight="1">
      <c r="A58" s="178" t="s">
        <v>88</v>
      </c>
      <c r="B58" s="183" t="s">
        <v>24</v>
      </c>
      <c r="C58" s="187">
        <v>0</v>
      </c>
      <c r="D58" s="188">
        <v>0</v>
      </c>
      <c r="E58" s="183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 spans="1:20" ht="15.75" customHeight="1">
      <c r="A59" s="178" t="s">
        <v>100</v>
      </c>
      <c r="B59" s="183" t="s">
        <v>24</v>
      </c>
      <c r="C59" s="187">
        <v>0</v>
      </c>
      <c r="D59" s="188">
        <v>0</v>
      </c>
      <c r="E59" s="183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</row>
    <row r="60" spans="1:20" ht="15.75" customHeight="1">
      <c r="A60" s="178" t="s">
        <v>82</v>
      </c>
      <c r="B60" s="183" t="s">
        <v>24</v>
      </c>
      <c r="C60" s="187">
        <v>0</v>
      </c>
      <c r="D60" s="188">
        <v>0</v>
      </c>
      <c r="E60" s="183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</row>
    <row r="61" spans="1:20" ht="15.75" customHeight="1">
      <c r="A61" s="178" t="s">
        <v>125</v>
      </c>
      <c r="B61" s="178" t="s">
        <v>24</v>
      </c>
      <c r="C61" s="189">
        <v>0</v>
      </c>
      <c r="D61" s="190">
        <v>0</v>
      </c>
      <c r="E61" s="183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</row>
    <row r="62" spans="1:20" ht="15.75" customHeight="1">
      <c r="A62" s="178" t="s">
        <v>126</v>
      </c>
      <c r="B62" s="178" t="s">
        <v>25</v>
      </c>
      <c r="C62" s="189">
        <v>0</v>
      </c>
      <c r="D62" s="190">
        <v>0</v>
      </c>
      <c r="E62" s="183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</row>
    <row r="63" spans="1:20" ht="15.75" customHeight="1">
      <c r="A63" s="178" t="s">
        <v>127</v>
      </c>
      <c r="B63" s="178" t="s">
        <v>25</v>
      </c>
      <c r="C63" s="189">
        <v>0</v>
      </c>
      <c r="D63" s="190">
        <v>0</v>
      </c>
      <c r="E63" s="183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</row>
    <row r="64" spans="1:20" ht="15.75" customHeight="1">
      <c r="A64" s="178" t="s">
        <v>128</v>
      </c>
      <c r="B64" s="178" t="s">
        <v>25</v>
      </c>
      <c r="C64" s="189">
        <v>0</v>
      </c>
      <c r="D64" s="190">
        <v>0</v>
      </c>
      <c r="E64" s="183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</row>
    <row r="65" spans="1:20" ht="15.75" customHeight="1">
      <c r="A65" s="178" t="s">
        <v>129</v>
      </c>
      <c r="B65" s="178" t="s">
        <v>25</v>
      </c>
      <c r="C65" s="189">
        <v>0</v>
      </c>
      <c r="D65" s="190">
        <v>0</v>
      </c>
      <c r="E65" s="183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</row>
    <row r="66" spans="1:20" ht="15.75" customHeight="1">
      <c r="A66" s="178" t="s">
        <v>130</v>
      </c>
      <c r="B66" s="178" t="s">
        <v>25</v>
      </c>
      <c r="C66" s="189">
        <v>0</v>
      </c>
      <c r="D66" s="190">
        <v>0</v>
      </c>
      <c r="E66" s="183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</row>
    <row r="67" spans="1:20" ht="15.75" customHeight="1">
      <c r="A67" s="178" t="s">
        <v>131</v>
      </c>
      <c r="B67" s="178" t="s">
        <v>26</v>
      </c>
      <c r="C67" s="189">
        <v>0</v>
      </c>
      <c r="D67" s="190">
        <v>0</v>
      </c>
      <c r="E67" s="183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</row>
    <row r="68" spans="1:20" ht="15.75" customHeight="1">
      <c r="A68" s="178" t="s">
        <v>132</v>
      </c>
      <c r="B68" s="178" t="s">
        <v>26</v>
      </c>
      <c r="C68" s="189">
        <v>0</v>
      </c>
      <c r="D68" s="190">
        <v>0</v>
      </c>
      <c r="E68" s="183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</row>
    <row r="69" spans="1:20" ht="15.75" customHeight="1">
      <c r="A69" s="178" t="s">
        <v>133</v>
      </c>
      <c r="B69" s="178" t="s">
        <v>26</v>
      </c>
      <c r="C69" s="189">
        <v>0</v>
      </c>
      <c r="D69" s="190">
        <v>0</v>
      </c>
      <c r="E69" s="183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</row>
    <row r="70" spans="1:20" ht="15.75" customHeight="1">
      <c r="A70" s="178" t="s">
        <v>134</v>
      </c>
      <c r="B70" s="178" t="s">
        <v>26</v>
      </c>
      <c r="C70" s="189">
        <v>0</v>
      </c>
      <c r="D70" s="190">
        <v>0</v>
      </c>
      <c r="E70" s="183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</row>
    <row r="71" spans="1:20" ht="15.75" customHeight="1">
      <c r="A71" s="178" t="s">
        <v>135</v>
      </c>
      <c r="B71" s="178" t="s">
        <v>26</v>
      </c>
      <c r="C71" s="189">
        <v>0</v>
      </c>
      <c r="D71" s="190">
        <v>0</v>
      </c>
      <c r="E71" s="183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</row>
    <row r="72" spans="1:20" ht="15.75" customHeight="1">
      <c r="A72" s="178"/>
      <c r="B72" s="178"/>
      <c r="C72" s="189"/>
      <c r="D72" s="190"/>
      <c r="E72" s="183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</row>
    <row r="73" spans="1:20" ht="15.75" customHeight="1">
      <c r="A73" s="178"/>
      <c r="B73" s="178"/>
      <c r="C73" s="189"/>
      <c r="D73" s="190"/>
      <c r="E73" s="183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</row>
    <row r="74" spans="1:20" ht="15.75" customHeight="1">
      <c r="A74" s="178"/>
      <c r="B74" s="178"/>
      <c r="C74" s="189"/>
      <c r="D74" s="190"/>
      <c r="E74" s="183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</row>
    <row r="75" spans="1:20" ht="15.75" customHeight="1">
      <c r="A75" s="178"/>
      <c r="B75" s="178"/>
      <c r="C75" s="189"/>
      <c r="D75" s="190"/>
      <c r="E75" s="183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</row>
    <row r="76" spans="1:20" ht="15.75" customHeight="1">
      <c r="A76" s="178"/>
      <c r="B76" s="178"/>
      <c r="C76" s="189"/>
      <c r="D76" s="190"/>
      <c r="E76" s="183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</row>
    <row r="77" spans="1:20" ht="15.75" customHeight="1">
      <c r="A77" s="178"/>
      <c r="B77" s="178"/>
      <c r="C77" s="189"/>
      <c r="D77" s="190"/>
      <c r="E77" s="183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</row>
    <row r="78" spans="1:20" ht="15.75" customHeight="1">
      <c r="A78" s="178"/>
      <c r="B78" s="178"/>
      <c r="C78" s="189"/>
      <c r="D78" s="190"/>
      <c r="E78" s="183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</row>
    <row r="79" spans="1:20" ht="15.75" customHeight="1">
      <c r="A79" s="178"/>
      <c r="B79" s="178"/>
      <c r="C79" s="189"/>
      <c r="D79" s="190"/>
      <c r="E79" s="183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</row>
    <row r="80" spans="1:20" ht="15.75" customHeight="1">
      <c r="A80" s="178"/>
      <c r="B80" s="178"/>
      <c r="C80" s="189"/>
      <c r="D80" s="190"/>
      <c r="E80" s="183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</row>
    <row r="81" spans="1:20" ht="15.75" customHeight="1">
      <c r="A81" s="178"/>
      <c r="B81" s="178"/>
      <c r="C81" s="189"/>
      <c r="D81" s="190"/>
      <c r="E81" s="183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</row>
    <row r="82" spans="1:20" ht="15.75" customHeight="1">
      <c r="A82" s="178"/>
      <c r="B82" s="178"/>
      <c r="C82" s="189"/>
      <c r="D82" s="190"/>
      <c r="E82" s="183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</row>
    <row r="83" spans="1:20" ht="15.75" customHeight="1">
      <c r="A83" s="178"/>
      <c r="B83" s="178"/>
      <c r="C83" s="189"/>
      <c r="D83" s="190"/>
      <c r="E83" s="183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</row>
    <row r="84" spans="1:20" ht="15.75" customHeight="1">
      <c r="A84" s="178"/>
      <c r="B84" s="178"/>
      <c r="C84" s="189"/>
      <c r="D84" s="190"/>
      <c r="E84" s="183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</row>
    <row r="85" spans="1:20" ht="15.75" customHeight="1">
      <c r="A85" s="178"/>
      <c r="B85" s="178"/>
      <c r="C85" s="189"/>
      <c r="D85" s="190"/>
      <c r="E85" s="183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</row>
    <row r="86" spans="1:20" ht="15.75" customHeight="1">
      <c r="A86" s="178"/>
      <c r="B86" s="178"/>
      <c r="C86" s="189"/>
      <c r="D86" s="190"/>
      <c r="E86" s="183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</row>
    <row r="87" spans="1:20" ht="15.75" customHeight="1">
      <c r="A87" s="178"/>
      <c r="B87" s="178"/>
      <c r="C87" s="189"/>
      <c r="D87" s="190"/>
      <c r="E87" s="183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</row>
    <row r="88" spans="1:20" ht="15.75" customHeight="1">
      <c r="A88" s="178"/>
      <c r="B88" s="178"/>
      <c r="C88" s="189"/>
      <c r="D88" s="190"/>
      <c r="E88" s="183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</row>
    <row r="89" spans="1:20" ht="15.75" customHeight="1">
      <c r="A89" s="178"/>
      <c r="B89" s="178"/>
      <c r="C89" s="189"/>
      <c r="D89" s="190"/>
      <c r="E89" s="183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 spans="1:20" ht="15.75" customHeight="1">
      <c r="A90" s="178"/>
      <c r="B90" s="178"/>
      <c r="C90" s="189"/>
      <c r="D90" s="190"/>
      <c r="E90" s="183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</row>
    <row r="91" spans="1:20" ht="15.75" customHeight="1">
      <c r="A91" s="178"/>
      <c r="B91" s="178"/>
      <c r="C91" s="189"/>
      <c r="D91" s="190"/>
      <c r="E91" s="183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</row>
    <row r="92" spans="1:20" ht="15.75" customHeight="1">
      <c r="A92" s="178"/>
      <c r="B92" s="178"/>
      <c r="C92" s="189"/>
      <c r="D92" s="190"/>
      <c r="E92" s="183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</row>
    <row r="93" spans="1:20" ht="15.75" customHeight="1">
      <c r="A93" s="178"/>
      <c r="B93" s="178"/>
      <c r="C93" s="189"/>
      <c r="D93" s="190"/>
      <c r="E93" s="183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</row>
    <row r="94" spans="1:20" ht="15.75" customHeight="1">
      <c r="A94" s="178"/>
      <c r="B94" s="178"/>
      <c r="C94" s="189"/>
      <c r="D94" s="190"/>
      <c r="E94" s="183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</row>
    <row r="95" spans="1:20" ht="15.75" customHeight="1">
      <c r="A95" s="178"/>
      <c r="B95" s="178"/>
      <c r="C95" s="189"/>
      <c r="D95" s="190"/>
      <c r="E95" s="183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</row>
    <row r="96" spans="1:20" ht="15.75" customHeight="1">
      <c r="A96" s="178"/>
      <c r="B96" s="178"/>
      <c r="C96" s="189"/>
      <c r="D96" s="190"/>
      <c r="E96" s="183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</row>
    <row r="97" spans="1:20" ht="15.75" customHeight="1">
      <c r="A97" s="178"/>
      <c r="B97" s="178"/>
      <c r="C97" s="189"/>
      <c r="D97" s="190"/>
      <c r="E97" s="183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</row>
    <row r="98" spans="1:20" ht="15.75" customHeight="1">
      <c r="A98" s="178"/>
      <c r="B98" s="178"/>
      <c r="C98" s="189"/>
      <c r="D98" s="190"/>
      <c r="E98" s="183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</row>
    <row r="99" spans="1:20" ht="15.75" customHeight="1">
      <c r="A99" s="178"/>
      <c r="B99" s="178"/>
      <c r="C99" s="189"/>
      <c r="D99" s="190"/>
      <c r="E99" s="183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</row>
    <row r="100" spans="1:20" ht="15.75" customHeight="1">
      <c r="A100" s="178"/>
      <c r="B100" s="178"/>
      <c r="C100" s="189"/>
      <c r="D100" s="190"/>
      <c r="E100" s="183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</row>
    <row r="101" spans="1:20" ht="15.75" customHeight="1">
      <c r="A101" s="178"/>
      <c r="B101" s="178"/>
      <c r="C101" s="189"/>
      <c r="D101" s="190"/>
      <c r="E101" s="183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</row>
    <row r="102" spans="1:20" ht="15.75" customHeight="1">
      <c r="A102" s="178"/>
      <c r="B102" s="178"/>
      <c r="C102" s="189"/>
      <c r="D102" s="190"/>
      <c r="E102" s="183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</row>
    <row r="103" spans="1:20" ht="15.75" customHeight="1">
      <c r="A103" s="178"/>
      <c r="B103" s="178"/>
      <c r="C103" s="189"/>
      <c r="D103" s="190"/>
      <c r="E103" s="183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</row>
    <row r="104" spans="1:20" ht="15.75" customHeight="1">
      <c r="A104" s="178"/>
      <c r="B104" s="178"/>
      <c r="C104" s="189"/>
      <c r="D104" s="190"/>
      <c r="E104" s="183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</row>
    <row r="105" spans="1:20" ht="15.75" customHeight="1">
      <c r="A105" s="178"/>
      <c r="B105" s="178"/>
      <c r="C105" s="189"/>
      <c r="D105" s="190"/>
      <c r="E105" s="183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</row>
    <row r="106" spans="1:20" ht="15.75" customHeight="1">
      <c r="A106" s="178"/>
      <c r="B106" s="178"/>
      <c r="C106" s="189"/>
      <c r="D106" s="190"/>
      <c r="E106" s="183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</row>
    <row r="107" spans="1:20" ht="15.75" customHeight="1">
      <c r="A107" s="178"/>
      <c r="B107" s="178"/>
      <c r="C107" s="189"/>
      <c r="D107" s="190"/>
      <c r="E107" s="183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</row>
    <row r="108" spans="1:20" ht="15.75" customHeight="1">
      <c r="A108" s="178"/>
      <c r="B108" s="178"/>
      <c r="C108" s="189"/>
      <c r="D108" s="190"/>
      <c r="E108" s="183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</row>
    <row r="109" spans="1:20" ht="15.75" customHeight="1">
      <c r="A109" s="178"/>
      <c r="B109" s="178"/>
      <c r="C109" s="189"/>
      <c r="D109" s="190"/>
      <c r="E109" s="183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</row>
    <row r="110" spans="1:20" ht="15.75" customHeight="1">
      <c r="A110" s="178"/>
      <c r="B110" s="178"/>
      <c r="C110" s="189"/>
      <c r="D110" s="190"/>
      <c r="E110" s="183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</row>
    <row r="111" spans="1:20" ht="15.75" customHeight="1">
      <c r="A111" s="178"/>
      <c r="B111" s="178"/>
      <c r="C111" s="189"/>
      <c r="D111" s="190"/>
      <c r="E111" s="183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</row>
    <row r="112" spans="1:20" ht="15.75" customHeight="1">
      <c r="A112" s="178"/>
      <c r="B112" s="178"/>
      <c r="C112" s="189"/>
      <c r="D112" s="190"/>
      <c r="E112" s="183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</row>
    <row r="113" spans="1:20" ht="15.75" customHeight="1">
      <c r="A113" s="178"/>
      <c r="B113" s="178"/>
      <c r="C113" s="189"/>
      <c r="D113" s="190"/>
      <c r="E113" s="183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</row>
    <row r="114" spans="1:20" ht="15.75" customHeight="1">
      <c r="A114" s="178"/>
      <c r="B114" s="178"/>
      <c r="C114" s="189"/>
      <c r="D114" s="190"/>
      <c r="E114" s="183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</row>
    <row r="115" spans="1:20" ht="15.75" customHeight="1">
      <c r="A115" s="178"/>
      <c r="B115" s="178"/>
      <c r="C115" s="189"/>
      <c r="D115" s="190"/>
      <c r="E115" s="183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</row>
    <row r="116" spans="1:20" ht="15.75" customHeight="1">
      <c r="A116" s="178"/>
      <c r="B116" s="178"/>
      <c r="C116" s="189"/>
      <c r="D116" s="190"/>
      <c r="E116" s="183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</row>
    <row r="117" spans="1:20" ht="15.75" customHeight="1">
      <c r="A117" s="178"/>
      <c r="B117" s="178"/>
      <c r="C117" s="189"/>
      <c r="D117" s="190"/>
      <c r="E117" s="183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</row>
    <row r="118" spans="1:20" ht="15.75" customHeight="1">
      <c r="A118" s="178"/>
      <c r="B118" s="178"/>
      <c r="C118" s="189"/>
      <c r="D118" s="190"/>
      <c r="E118" s="183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</row>
    <row r="119" spans="1:20" ht="15.75" customHeight="1">
      <c r="A119" s="178"/>
      <c r="B119" s="178"/>
      <c r="C119" s="189"/>
      <c r="D119" s="190"/>
      <c r="E119" s="183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</row>
    <row r="120" spans="1:20" ht="15.75" customHeight="1">
      <c r="A120" s="178"/>
      <c r="B120" s="178"/>
      <c r="C120" s="189"/>
      <c r="D120" s="190"/>
      <c r="E120" s="183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</row>
    <row r="121" spans="1:20" ht="15.75" customHeight="1">
      <c r="A121" s="178"/>
      <c r="B121" s="178"/>
      <c r="C121" s="189"/>
      <c r="D121" s="190"/>
      <c r="E121" s="183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</row>
    <row r="122" spans="1:20" ht="15.75" customHeight="1">
      <c r="A122" s="178"/>
      <c r="B122" s="178"/>
      <c r="C122" s="189"/>
      <c r="D122" s="190"/>
      <c r="E122" s="183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</row>
    <row r="123" spans="1:20" ht="15.75" customHeight="1">
      <c r="A123" s="178"/>
      <c r="B123" s="178"/>
      <c r="C123" s="189"/>
      <c r="D123" s="190"/>
      <c r="E123" s="183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</row>
    <row r="124" spans="1:20" ht="15.75" customHeight="1">
      <c r="A124" s="178"/>
      <c r="B124" s="178"/>
      <c r="C124" s="189"/>
      <c r="D124" s="190"/>
      <c r="E124" s="183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</row>
    <row r="125" spans="1:20" ht="15.75" customHeight="1">
      <c r="A125" s="178"/>
      <c r="B125" s="178"/>
      <c r="C125" s="189"/>
      <c r="D125" s="190"/>
      <c r="E125" s="183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</row>
    <row r="126" spans="1:20" ht="15.75" customHeight="1">
      <c r="A126" s="178"/>
      <c r="B126" s="178"/>
      <c r="C126" s="189"/>
      <c r="D126" s="190"/>
      <c r="E126" s="183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</row>
    <row r="127" spans="1:20" ht="15.75" customHeight="1">
      <c r="A127" s="178"/>
      <c r="B127" s="178"/>
      <c r="C127" s="189"/>
      <c r="D127" s="190"/>
      <c r="E127" s="183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</row>
    <row r="128" spans="1:20" ht="15.75" customHeight="1">
      <c r="A128" s="178"/>
      <c r="B128" s="178"/>
      <c r="C128" s="189"/>
      <c r="D128" s="190"/>
      <c r="E128" s="183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</row>
    <row r="129" spans="1:20" ht="15.75" customHeight="1">
      <c r="A129" s="178"/>
      <c r="B129" s="178"/>
      <c r="C129" s="189"/>
      <c r="D129" s="190"/>
      <c r="E129" s="183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</row>
    <row r="130" spans="1:20" ht="15.75" customHeight="1">
      <c r="A130" s="178"/>
      <c r="B130" s="178"/>
      <c r="C130" s="189"/>
      <c r="D130" s="190"/>
      <c r="E130" s="183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</row>
    <row r="131" spans="1:20" ht="15.75" customHeight="1">
      <c r="A131" s="178"/>
      <c r="B131" s="178"/>
      <c r="C131" s="189"/>
      <c r="D131" s="190"/>
      <c r="E131" s="183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</row>
    <row r="132" spans="1:20" ht="15.75" customHeight="1">
      <c r="A132" s="178"/>
      <c r="B132" s="178"/>
      <c r="C132" s="189"/>
      <c r="D132" s="190"/>
      <c r="E132" s="183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</row>
    <row r="133" spans="1:20" ht="15.75" customHeight="1">
      <c r="A133" s="178"/>
      <c r="B133" s="178"/>
      <c r="C133" s="189"/>
      <c r="D133" s="190"/>
      <c r="E133" s="183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</row>
    <row r="134" spans="1:20" ht="15.75" customHeight="1">
      <c r="A134" s="178"/>
      <c r="B134" s="178"/>
      <c r="C134" s="189"/>
      <c r="D134" s="190"/>
      <c r="E134" s="183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</row>
    <row r="135" spans="1:20" ht="15.75" customHeight="1">
      <c r="A135" s="178"/>
      <c r="B135" s="178"/>
      <c r="C135" s="189"/>
      <c r="D135" s="190"/>
      <c r="E135" s="183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</row>
    <row r="136" spans="1:20" ht="15.75" customHeight="1">
      <c r="A136" s="178"/>
      <c r="B136" s="178"/>
      <c r="C136" s="189"/>
      <c r="D136" s="190"/>
      <c r="E136" s="183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</row>
    <row r="137" spans="1:20" ht="15.75" customHeight="1">
      <c r="A137" s="178"/>
      <c r="B137" s="178"/>
      <c r="C137" s="189"/>
      <c r="D137" s="190"/>
      <c r="E137" s="183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</row>
    <row r="138" spans="1:20" ht="15.75" customHeight="1">
      <c r="A138" s="178"/>
      <c r="B138" s="178"/>
      <c r="C138" s="189"/>
      <c r="D138" s="190"/>
      <c r="E138" s="183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</row>
    <row r="139" spans="1:20" ht="15.75" customHeight="1">
      <c r="A139" s="178"/>
      <c r="B139" s="178"/>
      <c r="C139" s="189"/>
      <c r="D139" s="190"/>
      <c r="E139" s="183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</row>
    <row r="140" spans="1:20" ht="15.75" customHeight="1">
      <c r="A140" s="178"/>
      <c r="B140" s="178"/>
      <c r="C140" s="189"/>
      <c r="D140" s="190"/>
      <c r="E140" s="183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</row>
    <row r="141" spans="1:20" ht="15.75" customHeight="1">
      <c r="A141" s="178"/>
      <c r="B141" s="178"/>
      <c r="C141" s="189"/>
      <c r="D141" s="190"/>
      <c r="E141" s="183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</row>
    <row r="142" spans="1:20" ht="15.75" customHeight="1">
      <c r="A142" s="178"/>
      <c r="B142" s="178"/>
      <c r="C142" s="189"/>
      <c r="D142" s="190"/>
      <c r="E142" s="183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</row>
    <row r="143" spans="1:20" ht="15.75" customHeight="1">
      <c r="A143" s="178"/>
      <c r="B143" s="178"/>
      <c r="C143" s="189"/>
      <c r="D143" s="190"/>
      <c r="E143" s="183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</row>
    <row r="144" spans="1:20" ht="15.75" customHeight="1">
      <c r="A144" s="178"/>
      <c r="B144" s="178"/>
      <c r="C144" s="189"/>
      <c r="D144" s="190"/>
      <c r="E144" s="183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</row>
    <row r="145" spans="1:20" ht="15.75" customHeight="1">
      <c r="A145" s="178"/>
      <c r="B145" s="178"/>
      <c r="C145" s="189"/>
      <c r="D145" s="190"/>
      <c r="E145" s="183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</row>
    <row r="146" spans="1:20" ht="15.75" customHeight="1">
      <c r="A146" s="178"/>
      <c r="B146" s="178"/>
      <c r="C146" s="189"/>
      <c r="D146" s="190"/>
      <c r="E146" s="183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</row>
    <row r="147" spans="1:20" ht="15.75" customHeight="1">
      <c r="A147" s="178"/>
      <c r="B147" s="178"/>
      <c r="C147" s="189"/>
      <c r="D147" s="190"/>
      <c r="E147" s="183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</row>
    <row r="148" spans="1:20" ht="15.75" customHeight="1">
      <c r="A148" s="178"/>
      <c r="B148" s="178"/>
      <c r="C148" s="189"/>
      <c r="D148" s="190"/>
      <c r="E148" s="183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</row>
    <row r="149" spans="1:20" ht="15.75" customHeight="1">
      <c r="A149" s="178"/>
      <c r="B149" s="178"/>
      <c r="C149" s="189"/>
      <c r="D149" s="190"/>
      <c r="E149" s="183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</row>
    <row r="150" spans="1:20" ht="15.75" customHeight="1">
      <c r="A150" s="178"/>
      <c r="B150" s="178"/>
      <c r="C150" s="189"/>
      <c r="D150" s="190"/>
      <c r="E150" s="183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</row>
    <row r="151" spans="1:20" ht="15.75" customHeight="1">
      <c r="A151" s="178"/>
      <c r="B151" s="178"/>
      <c r="C151" s="189"/>
      <c r="D151" s="190"/>
      <c r="E151" s="183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</row>
    <row r="152" spans="1:20" ht="15.75" customHeight="1">
      <c r="A152" s="178"/>
      <c r="B152" s="178"/>
      <c r="C152" s="189"/>
      <c r="D152" s="190"/>
      <c r="E152" s="183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</row>
    <row r="153" spans="1:20" ht="15.75" customHeight="1">
      <c r="A153" s="178"/>
      <c r="B153" s="178"/>
      <c r="C153" s="189"/>
      <c r="D153" s="190"/>
      <c r="E153" s="183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</row>
    <row r="154" spans="1:20" ht="15.75" customHeight="1">
      <c r="A154" s="178"/>
      <c r="B154" s="178"/>
      <c r="C154" s="189"/>
      <c r="D154" s="190"/>
      <c r="E154" s="183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</row>
    <row r="155" spans="1:20" ht="15.75" customHeight="1">
      <c r="A155" s="178"/>
      <c r="B155" s="178"/>
      <c r="C155" s="189"/>
      <c r="D155" s="190"/>
      <c r="E155" s="183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</row>
    <row r="156" spans="1:20" ht="15.75" customHeight="1">
      <c r="A156" s="178"/>
      <c r="B156" s="178"/>
      <c r="C156" s="189"/>
      <c r="D156" s="190"/>
      <c r="E156" s="183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</row>
    <row r="157" spans="1:20" ht="15.75" customHeight="1">
      <c r="A157" s="178"/>
      <c r="B157" s="178"/>
      <c r="C157" s="189"/>
      <c r="D157" s="190"/>
      <c r="E157" s="183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</row>
    <row r="158" spans="1:20" ht="15.75" customHeight="1">
      <c r="A158" s="178"/>
      <c r="B158" s="178"/>
      <c r="C158" s="189"/>
      <c r="D158" s="190"/>
      <c r="E158" s="183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</row>
    <row r="159" spans="1:20" ht="15.75" customHeight="1">
      <c r="A159" s="178"/>
      <c r="B159" s="178"/>
      <c r="C159" s="189"/>
      <c r="D159" s="190"/>
      <c r="E159" s="183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</row>
    <row r="160" spans="1:20" ht="15.75" customHeight="1">
      <c r="A160" s="178"/>
      <c r="B160" s="178"/>
      <c r="C160" s="189"/>
      <c r="D160" s="190"/>
      <c r="E160" s="183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</row>
    <row r="161" spans="1:20" ht="15.75" customHeight="1">
      <c r="A161" s="178"/>
      <c r="B161" s="178"/>
      <c r="C161" s="189"/>
      <c r="D161" s="190"/>
      <c r="E161" s="183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</row>
    <row r="162" spans="1:20" ht="15.75" customHeight="1">
      <c r="A162" s="178"/>
      <c r="B162" s="178"/>
      <c r="C162" s="189"/>
      <c r="D162" s="190"/>
      <c r="E162" s="183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</row>
    <row r="163" spans="1:20" ht="15.75" customHeight="1">
      <c r="A163" s="178"/>
      <c r="B163" s="178"/>
      <c r="C163" s="189"/>
      <c r="D163" s="190"/>
      <c r="E163" s="183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</row>
    <row r="164" spans="1:20" ht="15.75" customHeight="1">
      <c r="A164" s="178"/>
      <c r="B164" s="178"/>
      <c r="C164" s="189"/>
      <c r="D164" s="190"/>
      <c r="E164" s="183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</row>
    <row r="165" spans="1:20" ht="15.75" customHeight="1">
      <c r="A165" s="178"/>
      <c r="B165" s="178"/>
      <c r="C165" s="189"/>
      <c r="D165" s="190"/>
      <c r="E165" s="183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</row>
    <row r="166" spans="1:20" ht="15.75" customHeight="1">
      <c r="A166" s="178"/>
      <c r="B166" s="178"/>
      <c r="C166" s="189"/>
      <c r="D166" s="190"/>
      <c r="E166" s="183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</row>
    <row r="167" spans="1:20" ht="15.75" customHeight="1">
      <c r="A167" s="178"/>
      <c r="B167" s="178"/>
      <c r="C167" s="189"/>
      <c r="D167" s="190"/>
      <c r="E167" s="183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</row>
    <row r="168" spans="1:20" ht="15.75" customHeight="1">
      <c r="A168" s="178"/>
      <c r="B168" s="178"/>
      <c r="C168" s="189"/>
      <c r="D168" s="190"/>
      <c r="E168" s="183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</row>
    <row r="169" spans="1:20" ht="15.75" customHeight="1">
      <c r="A169" s="178"/>
      <c r="B169" s="178"/>
      <c r="C169" s="189"/>
      <c r="D169" s="190"/>
      <c r="E169" s="183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</row>
    <row r="170" spans="1:20" ht="15.75" customHeight="1">
      <c r="A170" s="178"/>
      <c r="B170" s="178"/>
      <c r="C170" s="189"/>
      <c r="D170" s="190"/>
      <c r="E170" s="183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</row>
    <row r="171" spans="1:20" ht="15.75" customHeight="1">
      <c r="A171" s="178"/>
      <c r="B171" s="178"/>
      <c r="C171" s="189"/>
      <c r="D171" s="190"/>
      <c r="E171" s="183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</row>
    <row r="172" spans="1:20" ht="15.75" customHeight="1">
      <c r="A172" s="178"/>
      <c r="B172" s="178"/>
      <c r="C172" s="189"/>
      <c r="D172" s="190"/>
      <c r="E172" s="183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</row>
    <row r="173" spans="1:20" ht="15.75" customHeight="1">
      <c r="A173" s="178"/>
      <c r="B173" s="178"/>
      <c r="C173" s="189"/>
      <c r="D173" s="190"/>
      <c r="E173" s="183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</row>
    <row r="174" spans="1:20" ht="15.75" customHeight="1">
      <c r="A174" s="178"/>
      <c r="B174" s="178"/>
      <c r="C174" s="189"/>
      <c r="D174" s="190"/>
      <c r="E174" s="183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</row>
    <row r="175" spans="1:20" ht="15.75" customHeight="1">
      <c r="A175" s="178"/>
      <c r="B175" s="178"/>
      <c r="C175" s="189"/>
      <c r="D175" s="190"/>
      <c r="E175" s="183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</row>
    <row r="176" spans="1:20" ht="15.75" customHeight="1">
      <c r="A176" s="178"/>
      <c r="B176" s="178"/>
      <c r="C176" s="189"/>
      <c r="D176" s="190"/>
      <c r="E176" s="183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</row>
    <row r="177" spans="1:20" ht="15.75" customHeight="1">
      <c r="A177" s="178"/>
      <c r="B177" s="178"/>
      <c r="C177" s="189"/>
      <c r="D177" s="190"/>
      <c r="E177" s="183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</row>
    <row r="178" spans="1:20" ht="15.75" customHeight="1">
      <c r="A178" s="178"/>
      <c r="B178" s="178"/>
      <c r="C178" s="189"/>
      <c r="D178" s="190"/>
      <c r="E178" s="183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</row>
    <row r="179" spans="1:20" ht="15.75" customHeight="1">
      <c r="A179" s="178"/>
      <c r="B179" s="178"/>
      <c r="C179" s="189"/>
      <c r="D179" s="190"/>
      <c r="E179" s="183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</row>
    <row r="180" spans="1:20" ht="15.75" customHeight="1">
      <c r="A180" s="178"/>
      <c r="B180" s="178"/>
      <c r="C180" s="189"/>
      <c r="D180" s="190"/>
      <c r="E180" s="183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</row>
    <row r="181" spans="1:20" ht="15.75" customHeight="1">
      <c r="A181" s="178"/>
      <c r="B181" s="178"/>
      <c r="C181" s="189"/>
      <c r="D181" s="190"/>
      <c r="E181" s="183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</row>
    <row r="182" spans="1:20" ht="15.75" customHeight="1">
      <c r="A182" s="178"/>
      <c r="B182" s="178"/>
      <c r="C182" s="189"/>
      <c r="D182" s="190"/>
      <c r="E182" s="183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</row>
    <row r="183" spans="1:20" ht="15.75" customHeight="1">
      <c r="A183" s="178"/>
      <c r="B183" s="178"/>
      <c r="C183" s="189"/>
      <c r="D183" s="190"/>
      <c r="E183" s="183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</row>
    <row r="184" spans="1:20" ht="15.75" customHeight="1">
      <c r="A184" s="178"/>
      <c r="B184" s="178"/>
      <c r="C184" s="189"/>
      <c r="D184" s="190"/>
      <c r="E184" s="183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</row>
    <row r="185" spans="1:20" ht="15.75" customHeight="1">
      <c r="A185" s="178"/>
      <c r="B185" s="178"/>
      <c r="C185" s="189"/>
      <c r="D185" s="190"/>
      <c r="E185" s="183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</row>
    <row r="186" spans="1:20" ht="15.75" customHeight="1">
      <c r="A186" s="178"/>
      <c r="B186" s="178"/>
      <c r="C186" s="189"/>
      <c r="D186" s="190"/>
      <c r="E186" s="183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</row>
    <row r="187" spans="1:20" ht="15.75" customHeight="1">
      <c r="A187" s="178"/>
      <c r="B187" s="178"/>
      <c r="C187" s="189"/>
      <c r="D187" s="190"/>
      <c r="E187" s="183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</row>
    <row r="188" spans="1:20" ht="15.75" customHeight="1">
      <c r="A188" s="178"/>
      <c r="B188" s="178"/>
      <c r="C188" s="189"/>
      <c r="D188" s="190"/>
      <c r="E188" s="183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</row>
    <row r="189" spans="1:20" ht="15.75" customHeight="1">
      <c r="A189" s="178"/>
      <c r="B189" s="178"/>
      <c r="C189" s="189"/>
      <c r="D189" s="190"/>
      <c r="E189" s="183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</row>
    <row r="190" spans="1:20" ht="15.75" customHeight="1">
      <c r="A190" s="178"/>
      <c r="B190" s="178"/>
      <c r="C190" s="189"/>
      <c r="D190" s="190"/>
      <c r="E190" s="183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</row>
    <row r="191" spans="1:20" ht="15.75" customHeight="1">
      <c r="A191" s="178"/>
      <c r="B191" s="178"/>
      <c r="C191" s="189"/>
      <c r="D191" s="190"/>
      <c r="E191" s="183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</row>
    <row r="192" spans="1:20" ht="15.75" customHeight="1">
      <c r="A192" s="178"/>
      <c r="B192" s="178"/>
      <c r="C192" s="189"/>
      <c r="D192" s="190"/>
      <c r="E192" s="183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</row>
    <row r="193" spans="1:20" ht="15.75" customHeight="1">
      <c r="A193" s="178"/>
      <c r="B193" s="178"/>
      <c r="C193" s="189"/>
      <c r="D193" s="190"/>
      <c r="E193" s="183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</row>
    <row r="194" spans="1:20" ht="15.75" customHeight="1">
      <c r="A194" s="178"/>
      <c r="B194" s="178"/>
      <c r="C194" s="189"/>
      <c r="D194" s="190"/>
      <c r="E194" s="183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</row>
    <row r="195" spans="1:20" ht="15.75" customHeight="1">
      <c r="A195" s="178"/>
      <c r="B195" s="178"/>
      <c r="C195" s="189"/>
      <c r="D195" s="190"/>
      <c r="E195" s="183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</row>
    <row r="196" spans="1:20" ht="15.75" customHeight="1">
      <c r="A196" s="178"/>
      <c r="B196" s="178"/>
      <c r="C196" s="189"/>
      <c r="D196" s="190"/>
      <c r="E196" s="183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</row>
    <row r="197" spans="1:20" ht="15.75" customHeight="1">
      <c r="A197" s="178"/>
      <c r="B197" s="178"/>
      <c r="C197" s="189"/>
      <c r="D197" s="190"/>
      <c r="E197" s="183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</row>
    <row r="198" spans="1:20" ht="15.75" customHeight="1">
      <c r="A198" s="178"/>
      <c r="B198" s="178"/>
      <c r="C198" s="189"/>
      <c r="D198" s="190"/>
      <c r="E198" s="183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</row>
    <row r="199" spans="1:20" ht="15.75" customHeight="1">
      <c r="A199" s="178"/>
      <c r="B199" s="178"/>
      <c r="C199" s="189"/>
      <c r="D199" s="190"/>
      <c r="E199" s="183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</row>
    <row r="200" spans="1:20" ht="15.75" customHeight="1">
      <c r="A200" s="178"/>
      <c r="B200" s="178"/>
      <c r="C200" s="189"/>
      <c r="D200" s="190"/>
      <c r="E200" s="183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</row>
    <row r="201" spans="1:20" ht="15.75" customHeight="1">
      <c r="A201" s="178"/>
      <c r="B201" s="178"/>
      <c r="C201" s="189"/>
      <c r="D201" s="190"/>
      <c r="E201" s="183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</row>
    <row r="202" spans="1:20" ht="15.75" customHeight="1">
      <c r="A202" s="178"/>
      <c r="B202" s="178"/>
      <c r="C202" s="189"/>
      <c r="D202" s="190"/>
      <c r="E202" s="183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</row>
    <row r="203" spans="1:20" ht="15.75" customHeight="1">
      <c r="A203" s="178"/>
      <c r="B203" s="178"/>
      <c r="C203" s="189"/>
      <c r="D203" s="190"/>
      <c r="E203" s="183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</row>
    <row r="204" spans="1:20" ht="15.75" customHeight="1">
      <c r="A204" s="178"/>
      <c r="B204" s="178"/>
      <c r="C204" s="189"/>
      <c r="D204" s="190"/>
      <c r="E204" s="183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</row>
    <row r="205" spans="1:20" ht="15.75" customHeight="1">
      <c r="A205" s="178"/>
      <c r="B205" s="178"/>
      <c r="C205" s="189"/>
      <c r="D205" s="190"/>
      <c r="E205" s="183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</row>
    <row r="206" spans="1:20" ht="15.75" customHeight="1">
      <c r="A206" s="178"/>
      <c r="B206" s="178"/>
      <c r="C206" s="189"/>
      <c r="D206" s="190"/>
      <c r="E206" s="183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</row>
    <row r="207" spans="1:20" ht="15.75" customHeight="1">
      <c r="A207" s="178"/>
      <c r="B207" s="178"/>
      <c r="C207" s="189"/>
      <c r="D207" s="190"/>
      <c r="E207" s="183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</row>
    <row r="208" spans="1:20" ht="15.75" customHeight="1">
      <c r="A208" s="178"/>
      <c r="B208" s="178"/>
      <c r="C208" s="189"/>
      <c r="D208" s="190"/>
      <c r="E208" s="183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</row>
    <row r="209" spans="1:20" ht="15.75" customHeight="1">
      <c r="A209" s="178"/>
      <c r="B209" s="178"/>
      <c r="C209" s="189"/>
      <c r="D209" s="190"/>
      <c r="E209" s="183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</row>
    <row r="210" spans="1:20" ht="15.75" customHeight="1">
      <c r="A210" s="178"/>
      <c r="B210" s="178"/>
      <c r="C210" s="189"/>
      <c r="D210" s="190"/>
      <c r="E210" s="183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</row>
    <row r="211" spans="1:20" ht="15.75" customHeight="1">
      <c r="A211" s="178"/>
      <c r="B211" s="178"/>
      <c r="C211" s="189"/>
      <c r="D211" s="190"/>
      <c r="E211" s="183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</row>
    <row r="212" spans="1:20" ht="15.75" customHeight="1">
      <c r="A212" s="178"/>
      <c r="B212" s="178"/>
      <c r="C212" s="189"/>
      <c r="D212" s="190"/>
      <c r="E212" s="183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</row>
    <row r="213" spans="1:20" ht="15.75" customHeight="1">
      <c r="A213" s="178"/>
      <c r="B213" s="178"/>
      <c r="C213" s="189"/>
      <c r="D213" s="190"/>
      <c r="E213" s="183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</row>
    <row r="214" spans="1:20" ht="15.75" customHeight="1">
      <c r="A214" s="178"/>
      <c r="B214" s="178"/>
      <c r="C214" s="189"/>
      <c r="D214" s="190"/>
      <c r="E214" s="183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</row>
    <row r="215" spans="1:20" ht="15.75" customHeight="1">
      <c r="A215" s="178"/>
      <c r="B215" s="178"/>
      <c r="C215" s="189"/>
      <c r="D215" s="190"/>
      <c r="E215" s="183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</row>
    <row r="216" spans="1:20" ht="15.75" customHeight="1">
      <c r="A216" s="178"/>
      <c r="B216" s="178"/>
      <c r="C216" s="189"/>
      <c r="D216" s="190"/>
      <c r="E216" s="183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</row>
    <row r="217" spans="1:20" ht="15.75" customHeight="1">
      <c r="A217" s="178"/>
      <c r="B217" s="178"/>
      <c r="C217" s="189"/>
      <c r="D217" s="190"/>
      <c r="E217" s="183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</row>
    <row r="218" spans="1:20" ht="15.75" customHeight="1">
      <c r="A218" s="178"/>
      <c r="B218" s="178"/>
      <c r="C218" s="189"/>
      <c r="D218" s="190"/>
      <c r="E218" s="183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</row>
    <row r="219" spans="1:20" ht="15.75" customHeight="1">
      <c r="A219" s="178"/>
      <c r="B219" s="178"/>
      <c r="C219" s="189"/>
      <c r="D219" s="190"/>
      <c r="E219" s="183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</row>
    <row r="220" spans="1:20" ht="15.75" customHeight="1">
      <c r="A220" s="178"/>
      <c r="B220" s="178"/>
      <c r="C220" s="189"/>
      <c r="D220" s="190"/>
      <c r="E220" s="183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</row>
    <row r="221" spans="1:20" ht="15.75" customHeight="1">
      <c r="A221" s="178"/>
      <c r="B221" s="178"/>
      <c r="C221" s="189"/>
      <c r="D221" s="190"/>
      <c r="E221" s="183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</row>
    <row r="222" spans="1:20" ht="15.75" customHeight="1">
      <c r="A222" s="178"/>
      <c r="B222" s="178"/>
      <c r="C222" s="189"/>
      <c r="D222" s="190"/>
      <c r="E222" s="183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</row>
    <row r="223" spans="1:20" ht="15.75" customHeight="1">
      <c r="A223" s="178"/>
      <c r="B223" s="178"/>
      <c r="C223" s="189"/>
      <c r="D223" s="190"/>
      <c r="E223" s="183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</row>
    <row r="224" spans="1:20" ht="15.75" customHeight="1">
      <c r="A224" s="178"/>
      <c r="B224" s="178"/>
      <c r="C224" s="189"/>
      <c r="D224" s="190"/>
      <c r="E224" s="183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</row>
    <row r="225" spans="1:20" ht="15.75" customHeight="1">
      <c r="A225" s="178"/>
      <c r="B225" s="178"/>
      <c r="C225" s="189"/>
      <c r="D225" s="190"/>
      <c r="E225" s="183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</row>
    <row r="226" spans="1:20" ht="15.75" customHeight="1">
      <c r="A226" s="178"/>
      <c r="B226" s="178"/>
      <c r="C226" s="189"/>
      <c r="D226" s="190"/>
      <c r="E226" s="183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</row>
    <row r="227" spans="1:20" ht="15.75" customHeight="1">
      <c r="A227" s="178"/>
      <c r="B227" s="178"/>
      <c r="C227" s="189"/>
      <c r="D227" s="190"/>
      <c r="E227" s="183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</row>
    <row r="228" spans="1:20" ht="15.75" customHeight="1">
      <c r="A228" s="178"/>
      <c r="B228" s="178"/>
      <c r="C228" s="189"/>
      <c r="D228" s="190"/>
      <c r="E228" s="183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</row>
    <row r="229" spans="1:20" ht="15.75" customHeight="1">
      <c r="A229" s="178"/>
      <c r="B229" s="178"/>
      <c r="C229" s="189"/>
      <c r="D229" s="190"/>
      <c r="E229" s="183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</row>
    <row r="230" spans="1:20" ht="15.75" customHeight="1">
      <c r="A230" s="178"/>
      <c r="B230" s="178"/>
      <c r="C230" s="189"/>
      <c r="D230" s="190"/>
      <c r="E230" s="183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</row>
    <row r="231" spans="1:20" ht="15.75" customHeight="1">
      <c r="A231" s="178"/>
      <c r="B231" s="178"/>
      <c r="C231" s="189"/>
      <c r="D231" s="190"/>
      <c r="E231" s="183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</row>
    <row r="232" spans="1:20" ht="15.75" customHeight="1">
      <c r="A232" s="178"/>
      <c r="B232" s="178"/>
      <c r="C232" s="189"/>
      <c r="D232" s="190"/>
      <c r="E232" s="183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</row>
    <row r="233" spans="1:20" ht="15.75" customHeight="1">
      <c r="A233" s="178"/>
      <c r="B233" s="178"/>
      <c r="C233" s="178"/>
      <c r="D233" s="190"/>
      <c r="E233" s="183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</row>
    <row r="234" spans="1:20" ht="15.75" customHeight="1">
      <c r="A234" s="178"/>
      <c r="B234" s="178"/>
      <c r="C234" s="178"/>
      <c r="D234" s="190"/>
      <c r="E234" s="183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</row>
    <row r="235" spans="1:20" ht="15.75" customHeight="1">
      <c r="A235" s="178"/>
      <c r="B235" s="178"/>
      <c r="C235" s="178"/>
      <c r="D235" s="190"/>
      <c r="E235" s="183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</row>
    <row r="236" spans="1:20" ht="15.75" customHeight="1">
      <c r="A236" s="178"/>
      <c r="B236" s="178"/>
      <c r="C236" s="178"/>
      <c r="D236" s="190"/>
      <c r="E236" s="183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</row>
    <row r="237" spans="1:20" ht="15.75" customHeight="1">
      <c r="A237" s="178"/>
      <c r="B237" s="178"/>
      <c r="C237" s="178"/>
      <c r="D237" s="190"/>
      <c r="E237" s="183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</row>
    <row r="238" spans="1:20" ht="15.75" customHeight="1">
      <c r="A238" s="178"/>
      <c r="B238" s="178"/>
      <c r="C238" s="178"/>
      <c r="D238" s="190"/>
      <c r="E238" s="183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</row>
    <row r="239" spans="1:20" ht="15.75" customHeight="1">
      <c r="A239" s="178"/>
      <c r="B239" s="178"/>
      <c r="C239" s="178"/>
      <c r="D239" s="190"/>
      <c r="E239" s="183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</row>
    <row r="240" spans="1:20" ht="15.75" customHeight="1">
      <c r="A240" s="178"/>
      <c r="B240" s="178"/>
      <c r="C240" s="178"/>
      <c r="D240" s="190"/>
      <c r="E240" s="183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</row>
    <row r="241" spans="1:20" ht="15.75" customHeight="1">
      <c r="A241" s="178"/>
      <c r="B241" s="178"/>
      <c r="C241" s="178"/>
      <c r="D241" s="190"/>
      <c r="E241" s="183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</row>
    <row r="242" spans="1:20" ht="15.75" customHeight="1">
      <c r="A242" s="178"/>
      <c r="B242" s="178"/>
      <c r="C242" s="178"/>
      <c r="D242" s="190"/>
      <c r="E242" s="183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</row>
    <row r="243" spans="1:20" ht="15.75" customHeight="1">
      <c r="A243" s="178"/>
      <c r="B243" s="178"/>
      <c r="C243" s="178"/>
      <c r="D243" s="190"/>
      <c r="E243" s="183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</row>
    <row r="244" spans="1:20" ht="15.75" customHeight="1">
      <c r="A244" s="178"/>
      <c r="B244" s="178"/>
      <c r="C244" s="178"/>
      <c r="D244" s="190"/>
      <c r="E244" s="183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</row>
    <row r="245" spans="1:20" ht="15.75" customHeight="1">
      <c r="A245" s="178"/>
      <c r="B245" s="178"/>
      <c r="C245" s="178"/>
      <c r="D245" s="190"/>
      <c r="E245" s="183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</row>
    <row r="246" spans="1:20" ht="15.75" customHeight="1">
      <c r="A246" s="178"/>
      <c r="B246" s="178"/>
      <c r="C246" s="178"/>
      <c r="D246" s="190"/>
      <c r="E246" s="183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</row>
    <row r="247" spans="1:20" ht="15.75" customHeight="1">
      <c r="A247" s="178"/>
      <c r="B247" s="178"/>
      <c r="C247" s="178"/>
      <c r="D247" s="190"/>
      <c r="E247" s="183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</row>
    <row r="248" spans="1:20" ht="15.75" customHeight="1">
      <c r="A248" s="178"/>
      <c r="B248" s="178"/>
      <c r="C248" s="178"/>
      <c r="D248" s="190"/>
      <c r="E248" s="183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</row>
    <row r="249" spans="1:20" ht="15.75" customHeight="1">
      <c r="A249" s="178"/>
      <c r="B249" s="178"/>
      <c r="C249" s="178"/>
      <c r="D249" s="190"/>
      <c r="E249" s="183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</row>
    <row r="250" spans="1:20" ht="15.75" customHeight="1">
      <c r="A250" s="178"/>
      <c r="B250" s="178"/>
      <c r="C250" s="178"/>
      <c r="D250" s="190"/>
      <c r="E250" s="183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</row>
    <row r="251" spans="1:20" ht="15.75" customHeight="1">
      <c r="A251" s="178"/>
      <c r="B251" s="178"/>
      <c r="C251" s="178"/>
      <c r="D251" s="190"/>
      <c r="E251" s="183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</row>
    <row r="252" spans="1:20" ht="15.75" customHeight="1">
      <c r="A252" s="178"/>
      <c r="B252" s="178"/>
      <c r="C252" s="178"/>
      <c r="D252" s="190"/>
      <c r="E252" s="183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</row>
    <row r="253" spans="1:20" ht="15.75" customHeight="1">
      <c r="A253" s="178"/>
      <c r="B253" s="178"/>
      <c r="C253" s="178"/>
      <c r="D253" s="190"/>
      <c r="E253" s="183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</row>
    <row r="254" spans="1:20" ht="15.75" customHeight="1">
      <c r="A254" s="178"/>
      <c r="B254" s="178"/>
      <c r="C254" s="178"/>
      <c r="D254" s="190"/>
      <c r="E254" s="183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</row>
    <row r="255" spans="1:20" ht="15.75" customHeight="1">
      <c r="A255" s="178"/>
      <c r="B255" s="178"/>
      <c r="C255" s="178"/>
      <c r="D255" s="190"/>
      <c r="E255" s="183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</row>
    <row r="256" spans="1:20" ht="15.75" customHeight="1">
      <c r="A256" s="178"/>
      <c r="B256" s="178"/>
      <c r="C256" s="178"/>
      <c r="D256" s="190"/>
      <c r="E256" s="183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</row>
    <row r="257" spans="1:20" ht="15.75" customHeight="1">
      <c r="A257" s="178"/>
      <c r="B257" s="178"/>
      <c r="C257" s="178"/>
      <c r="D257" s="190"/>
      <c r="E257" s="183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</row>
    <row r="258" spans="1:20" ht="15.75" customHeight="1">
      <c r="A258" s="178"/>
      <c r="B258" s="178"/>
      <c r="C258" s="178"/>
      <c r="D258" s="190"/>
      <c r="E258" s="183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</row>
    <row r="259" spans="1:20" ht="15.75" customHeight="1">
      <c r="A259" s="178"/>
      <c r="B259" s="178"/>
      <c r="C259" s="178"/>
      <c r="D259" s="190"/>
      <c r="E259" s="183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</row>
    <row r="260" spans="1:20" ht="15.75" customHeight="1">
      <c r="A260" s="178"/>
      <c r="B260" s="178"/>
      <c r="C260" s="178"/>
      <c r="D260" s="190"/>
      <c r="E260" s="183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</row>
    <row r="261" spans="1:20" ht="15.75" customHeight="1">
      <c r="A261" s="178"/>
      <c r="B261" s="178"/>
      <c r="C261" s="178"/>
      <c r="D261" s="190"/>
      <c r="E261" s="183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</row>
    <row r="262" spans="1:20" ht="15.75" customHeight="1">
      <c r="A262" s="178"/>
      <c r="B262" s="178"/>
      <c r="C262" s="178"/>
      <c r="D262" s="190"/>
      <c r="E262" s="183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</row>
    <row r="263" spans="1:20" ht="15.75" customHeight="1">
      <c r="A263" s="178"/>
      <c r="B263" s="178"/>
      <c r="C263" s="178"/>
      <c r="D263" s="190"/>
      <c r="E263" s="183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</row>
    <row r="264" spans="1:20" ht="15.75" customHeight="1">
      <c r="A264" s="178"/>
      <c r="B264" s="178"/>
      <c r="C264" s="178"/>
      <c r="D264" s="190"/>
      <c r="E264" s="183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</row>
    <row r="265" spans="1:20" ht="15.75" customHeight="1">
      <c r="A265" s="178"/>
      <c r="B265" s="178"/>
      <c r="C265" s="178"/>
      <c r="D265" s="190"/>
      <c r="E265" s="183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</row>
    <row r="266" spans="1:20" ht="15.75" customHeight="1">
      <c r="A266" s="178"/>
      <c r="B266" s="178"/>
      <c r="C266" s="178"/>
      <c r="D266" s="190"/>
      <c r="E266" s="183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</row>
    <row r="267" spans="1:20" ht="15.75" customHeight="1">
      <c r="A267" s="178"/>
      <c r="B267" s="178"/>
      <c r="C267" s="178"/>
      <c r="D267" s="190"/>
      <c r="E267" s="183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</row>
    <row r="268" spans="1:20" ht="15.75" customHeight="1">
      <c r="A268" s="178"/>
      <c r="B268" s="178"/>
      <c r="C268" s="178"/>
      <c r="D268" s="190"/>
      <c r="E268" s="183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</row>
    <row r="269" spans="1:20" ht="15.75" customHeight="1">
      <c r="A269" s="178"/>
      <c r="B269" s="178"/>
      <c r="C269" s="178"/>
      <c r="D269" s="190"/>
      <c r="E269" s="183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</row>
    <row r="270" spans="1:20" ht="15.75" customHeight="1">
      <c r="A270" s="178"/>
      <c r="B270" s="178"/>
      <c r="C270" s="178"/>
      <c r="D270" s="190"/>
      <c r="E270" s="183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</row>
    <row r="271" spans="1:20" ht="15.75" customHeight="1">
      <c r="A271" s="178"/>
      <c r="B271" s="178"/>
      <c r="C271" s="178"/>
      <c r="D271" s="190"/>
      <c r="E271" s="183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</row>
    <row r="272" spans="1:2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000">
    <cfRule type="expression" dxfId="3" priority="1">
      <formula>D2&gt;0</formula>
    </cfRule>
  </conditionalFormatting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25.88671875" customWidth="1"/>
    <col min="3" max="3" width="22" customWidth="1"/>
    <col min="4" max="4" width="24.5546875" customWidth="1"/>
    <col min="5" max="5" width="20.5546875" customWidth="1"/>
    <col min="6" max="10" width="11" customWidth="1"/>
  </cols>
  <sheetData>
    <row r="1" spans="1:18" ht="33" customHeight="1">
      <c r="A1" s="57" t="s">
        <v>0</v>
      </c>
      <c r="B1" s="57" t="s">
        <v>162</v>
      </c>
      <c r="C1" s="57" t="s">
        <v>49</v>
      </c>
      <c r="D1" s="57" t="s">
        <v>50</v>
      </c>
      <c r="E1" s="191"/>
      <c r="F1" s="59"/>
      <c r="G1" s="59"/>
      <c r="H1" s="59"/>
      <c r="I1" s="59"/>
      <c r="J1" s="59"/>
      <c r="K1" s="7"/>
      <c r="L1" s="7"/>
      <c r="M1" s="7"/>
      <c r="N1" s="7"/>
      <c r="O1" s="7"/>
      <c r="P1" s="7"/>
      <c r="Q1" s="7"/>
      <c r="R1" s="7"/>
    </row>
    <row r="2" spans="1:18" ht="15.75" customHeight="1">
      <c r="A2" s="35"/>
      <c r="B2" s="36"/>
      <c r="C2" s="129"/>
      <c r="D2" s="129"/>
      <c r="E2" s="59"/>
      <c r="F2" s="59"/>
      <c r="G2" s="59"/>
      <c r="H2" s="59"/>
      <c r="I2" s="59"/>
      <c r="J2" s="59"/>
      <c r="K2" s="7"/>
      <c r="L2" s="7"/>
      <c r="M2" s="7"/>
      <c r="N2" s="7"/>
      <c r="O2" s="7"/>
      <c r="P2" s="7"/>
      <c r="Q2" s="7"/>
      <c r="R2" s="7"/>
    </row>
    <row r="3" spans="1:18" ht="15.75" customHeight="1">
      <c r="A3" s="35"/>
      <c r="B3" s="36"/>
      <c r="C3" s="129"/>
      <c r="D3" s="129"/>
      <c r="E3" s="59"/>
      <c r="F3" s="59"/>
      <c r="G3" s="59"/>
      <c r="H3" s="59"/>
      <c r="I3" s="59"/>
      <c r="J3" s="59"/>
      <c r="K3" s="7"/>
      <c r="L3" s="7"/>
      <c r="M3" s="7"/>
      <c r="N3" s="7"/>
      <c r="O3" s="7"/>
      <c r="P3" s="7"/>
      <c r="Q3" s="7"/>
      <c r="R3" s="7"/>
    </row>
    <row r="4" spans="1:18" ht="15.75" customHeight="1">
      <c r="A4" s="35"/>
      <c r="B4" s="36"/>
      <c r="C4" s="129"/>
      <c r="D4" s="129"/>
      <c r="E4" s="75"/>
      <c r="F4" s="75"/>
      <c r="G4" s="75"/>
      <c r="H4" s="75"/>
      <c r="I4" s="75"/>
      <c r="J4" s="75"/>
      <c r="K4" s="7"/>
      <c r="L4" s="7"/>
      <c r="M4" s="7"/>
      <c r="N4" s="7"/>
      <c r="O4" s="7"/>
      <c r="P4" s="7"/>
      <c r="Q4" s="7"/>
      <c r="R4" s="7"/>
    </row>
    <row r="5" spans="1:18" ht="15.75" customHeight="1">
      <c r="A5" s="35"/>
      <c r="B5" s="44"/>
      <c r="C5" s="129"/>
      <c r="D5" s="129"/>
      <c r="E5" s="75"/>
      <c r="F5" s="75"/>
      <c r="G5" s="75"/>
      <c r="H5" s="75"/>
      <c r="I5" s="75"/>
      <c r="J5" s="75"/>
      <c r="K5" s="7"/>
      <c r="L5" s="7"/>
      <c r="M5" s="7"/>
      <c r="N5" s="7"/>
      <c r="O5" s="7"/>
      <c r="P5" s="7"/>
      <c r="Q5" s="7"/>
      <c r="R5" s="7"/>
    </row>
    <row r="6" spans="1:18" ht="15.75" customHeight="1">
      <c r="A6" s="35"/>
      <c r="B6" s="36"/>
      <c r="C6" s="129"/>
      <c r="D6" s="129"/>
      <c r="E6" s="75"/>
      <c r="F6" s="75"/>
      <c r="G6" s="75"/>
      <c r="H6" s="75"/>
      <c r="I6" s="75"/>
      <c r="J6" s="75"/>
      <c r="K6" s="7"/>
      <c r="L6" s="7"/>
      <c r="M6" s="7"/>
      <c r="N6" s="7"/>
      <c r="O6" s="7"/>
      <c r="P6" s="7"/>
      <c r="Q6" s="7"/>
      <c r="R6" s="7"/>
    </row>
    <row r="7" spans="1:18" ht="15.75" customHeight="1">
      <c r="A7" s="35"/>
      <c r="B7" s="36"/>
      <c r="C7" s="129"/>
      <c r="D7" s="129"/>
      <c r="E7" s="75"/>
      <c r="F7" s="75"/>
      <c r="G7" s="75"/>
      <c r="H7" s="75"/>
      <c r="I7" s="75"/>
      <c r="J7" s="75"/>
      <c r="K7" s="7"/>
      <c r="L7" s="7"/>
      <c r="M7" s="7"/>
      <c r="N7" s="7"/>
      <c r="O7" s="7"/>
      <c r="P7" s="7"/>
      <c r="Q7" s="7"/>
      <c r="R7" s="7"/>
    </row>
    <row r="8" spans="1:18" ht="15.75" customHeight="1">
      <c r="A8" s="35"/>
      <c r="B8" s="36"/>
      <c r="C8" s="129"/>
      <c r="D8" s="129"/>
      <c r="E8" s="75"/>
      <c r="F8" s="75"/>
      <c r="G8" s="75"/>
      <c r="H8" s="75"/>
      <c r="I8" s="75"/>
      <c r="J8" s="75"/>
      <c r="K8" s="7"/>
      <c r="L8" s="7"/>
      <c r="M8" s="7"/>
      <c r="N8" s="7"/>
      <c r="O8" s="7"/>
      <c r="P8" s="7"/>
      <c r="Q8" s="7"/>
      <c r="R8" s="7"/>
    </row>
    <row r="9" spans="1:18" ht="15.75" customHeight="1">
      <c r="A9" s="35"/>
      <c r="B9" s="36"/>
      <c r="C9" s="129"/>
      <c r="D9" s="129"/>
      <c r="E9" s="75"/>
      <c r="F9" s="75"/>
      <c r="G9" s="75"/>
      <c r="H9" s="75"/>
      <c r="I9" s="75"/>
      <c r="J9" s="75"/>
      <c r="K9" s="7"/>
      <c r="L9" s="7"/>
      <c r="M9" s="7"/>
      <c r="N9" s="7"/>
      <c r="O9" s="7"/>
      <c r="P9" s="7"/>
      <c r="Q9" s="7"/>
      <c r="R9" s="7"/>
    </row>
    <row r="10" spans="1:18" ht="15.75" customHeight="1">
      <c r="A10" s="35"/>
      <c r="B10" s="36"/>
      <c r="C10" s="129"/>
      <c r="D10" s="129"/>
      <c r="E10" s="75"/>
      <c r="F10" s="75"/>
      <c r="G10" s="75"/>
      <c r="H10" s="75"/>
      <c r="I10" s="75"/>
      <c r="J10" s="75"/>
      <c r="K10" s="7"/>
      <c r="L10" s="7"/>
      <c r="M10" s="7"/>
      <c r="N10" s="7"/>
      <c r="O10" s="7"/>
      <c r="P10" s="7"/>
      <c r="Q10" s="7"/>
      <c r="R10" s="7"/>
    </row>
    <row r="11" spans="1:18" ht="15.75" customHeight="1">
      <c r="A11" s="35"/>
      <c r="B11" s="44"/>
      <c r="C11" s="129"/>
      <c r="D11" s="129"/>
      <c r="E11" s="75"/>
      <c r="F11" s="75"/>
      <c r="G11" s="75"/>
      <c r="H11" s="75"/>
      <c r="I11" s="75"/>
      <c r="J11" s="75"/>
      <c r="K11" s="7"/>
      <c r="L11" s="7"/>
      <c r="M11" s="7"/>
      <c r="N11" s="7"/>
      <c r="O11" s="7"/>
      <c r="P11" s="7"/>
      <c r="Q11" s="7"/>
      <c r="R11" s="7"/>
    </row>
    <row r="12" spans="1:18" ht="15.75" customHeight="1">
      <c r="A12" s="35"/>
      <c r="B12" s="44"/>
      <c r="C12" s="129"/>
      <c r="D12" s="129"/>
      <c r="E12" s="75"/>
      <c r="F12" s="75"/>
      <c r="G12" s="75"/>
      <c r="H12" s="75"/>
      <c r="I12" s="75"/>
      <c r="J12" s="75"/>
      <c r="K12" s="7"/>
      <c r="L12" s="7"/>
      <c r="M12" s="7"/>
      <c r="N12" s="7"/>
      <c r="O12" s="7"/>
      <c r="P12" s="7"/>
      <c r="Q12" s="7"/>
      <c r="R12" s="7"/>
    </row>
    <row r="13" spans="1:18" ht="15.75" customHeight="1">
      <c r="A13" s="35"/>
      <c r="B13" s="44"/>
      <c r="C13" s="129"/>
      <c r="D13" s="129"/>
      <c r="E13" s="75"/>
      <c r="F13" s="75"/>
      <c r="G13" s="75"/>
      <c r="H13" s="75"/>
      <c r="I13" s="75"/>
      <c r="J13" s="75"/>
      <c r="K13" s="7"/>
      <c r="L13" s="7"/>
      <c r="M13" s="7"/>
      <c r="N13" s="7"/>
      <c r="O13" s="7"/>
      <c r="P13" s="7"/>
      <c r="Q13" s="7"/>
      <c r="R13" s="7"/>
    </row>
    <row r="14" spans="1:18" ht="15.75" customHeight="1">
      <c r="A14" s="35"/>
      <c r="B14" s="44"/>
      <c r="C14" s="129"/>
      <c r="D14" s="129"/>
      <c r="E14" s="75"/>
      <c r="F14" s="75"/>
      <c r="G14" s="75"/>
      <c r="H14" s="75"/>
      <c r="I14" s="75"/>
      <c r="J14" s="75"/>
      <c r="K14" s="7"/>
      <c r="L14" s="7"/>
      <c r="M14" s="7"/>
      <c r="N14" s="7"/>
      <c r="O14" s="7"/>
      <c r="P14" s="7"/>
      <c r="Q14" s="7"/>
      <c r="R14" s="7"/>
    </row>
    <row r="15" spans="1:18" ht="15.75" customHeight="1">
      <c r="A15" s="35"/>
      <c r="B15" s="44"/>
      <c r="C15" s="129"/>
      <c r="D15" s="129"/>
      <c r="E15" s="75"/>
      <c r="F15" s="75"/>
      <c r="G15" s="75"/>
      <c r="H15" s="75"/>
      <c r="I15" s="75"/>
      <c r="J15" s="75"/>
      <c r="K15" s="7"/>
      <c r="L15" s="7"/>
      <c r="M15" s="7"/>
      <c r="N15" s="7"/>
      <c r="O15" s="7"/>
      <c r="P15" s="7"/>
      <c r="Q15" s="7"/>
      <c r="R15" s="7"/>
    </row>
    <row r="16" spans="1:18" ht="15.75" customHeight="1">
      <c r="A16" s="35"/>
      <c r="B16" s="44"/>
      <c r="C16" s="129"/>
      <c r="D16" s="129"/>
      <c r="E16" s="75"/>
      <c r="F16" s="75"/>
      <c r="G16" s="75"/>
      <c r="H16" s="75"/>
      <c r="I16" s="75"/>
      <c r="J16" s="75"/>
      <c r="K16" s="7"/>
      <c r="L16" s="7"/>
      <c r="M16" s="7"/>
      <c r="N16" s="7"/>
      <c r="O16" s="7"/>
      <c r="P16" s="7"/>
      <c r="Q16" s="7"/>
      <c r="R16" s="7"/>
    </row>
    <row r="17" spans="1:18" ht="15.75" customHeight="1">
      <c r="A17" s="35"/>
      <c r="B17" s="44"/>
      <c r="C17" s="129"/>
      <c r="D17" s="129"/>
      <c r="E17" s="75"/>
      <c r="F17" s="75"/>
      <c r="G17" s="75"/>
      <c r="H17" s="75"/>
      <c r="I17" s="75"/>
      <c r="J17" s="75"/>
      <c r="K17" s="7"/>
      <c r="L17" s="7"/>
      <c r="M17" s="7"/>
      <c r="N17" s="7"/>
      <c r="O17" s="7"/>
      <c r="P17" s="7"/>
      <c r="Q17" s="7"/>
      <c r="R17" s="7"/>
    </row>
    <row r="18" spans="1:18" ht="15.75" customHeight="1">
      <c r="A18" s="35"/>
      <c r="B18" s="44"/>
      <c r="C18" s="129"/>
      <c r="D18" s="129"/>
      <c r="E18" s="75"/>
      <c r="F18" s="75"/>
      <c r="G18" s="75"/>
      <c r="H18" s="75"/>
      <c r="I18" s="75"/>
      <c r="J18" s="75"/>
      <c r="K18" s="7"/>
      <c r="L18" s="7"/>
      <c r="M18" s="7"/>
      <c r="N18" s="7"/>
      <c r="O18" s="7"/>
      <c r="P18" s="7"/>
      <c r="Q18" s="7"/>
      <c r="R18" s="7"/>
    </row>
    <row r="19" spans="1:18" ht="15.75" customHeight="1">
      <c r="A19" s="35"/>
      <c r="B19" s="44"/>
      <c r="C19" s="129"/>
      <c r="D19" s="129"/>
      <c r="E19" s="75"/>
      <c r="F19" s="75"/>
      <c r="G19" s="75"/>
      <c r="H19" s="75"/>
      <c r="I19" s="75"/>
      <c r="J19" s="75"/>
      <c r="K19" s="7"/>
      <c r="L19" s="7"/>
      <c r="M19" s="7"/>
      <c r="N19" s="7"/>
      <c r="O19" s="7"/>
      <c r="P19" s="7"/>
      <c r="Q19" s="7"/>
      <c r="R19" s="7"/>
    </row>
    <row r="20" spans="1:18" ht="15.75" customHeight="1">
      <c r="A20" s="35"/>
      <c r="B20" s="36"/>
      <c r="C20" s="129"/>
      <c r="D20" s="129"/>
      <c r="E20" s="75"/>
      <c r="F20" s="75"/>
      <c r="G20" s="75"/>
      <c r="H20" s="75"/>
      <c r="I20" s="75"/>
      <c r="J20" s="75"/>
      <c r="K20" s="7"/>
      <c r="L20" s="7"/>
      <c r="M20" s="7"/>
      <c r="N20" s="7"/>
      <c r="O20" s="7"/>
      <c r="P20" s="7"/>
      <c r="Q20" s="7"/>
      <c r="R20" s="7"/>
    </row>
    <row r="21" spans="1:18" ht="15.75" customHeight="1">
      <c r="A21" s="35"/>
      <c r="B21" s="36"/>
      <c r="C21" s="129"/>
      <c r="D21" s="129"/>
      <c r="E21" s="75"/>
      <c r="F21" s="75"/>
      <c r="G21" s="75"/>
      <c r="H21" s="75"/>
      <c r="I21" s="75"/>
      <c r="J21" s="75"/>
      <c r="K21" s="7"/>
      <c r="L21" s="7"/>
      <c r="M21" s="7"/>
      <c r="N21" s="7"/>
      <c r="O21" s="7"/>
      <c r="P21" s="7"/>
      <c r="Q21" s="7"/>
      <c r="R21" s="7"/>
    </row>
    <row r="22" spans="1:18" ht="15.75" customHeight="1">
      <c r="A22" s="35"/>
      <c r="B22" s="36"/>
      <c r="C22" s="37"/>
      <c r="D22" s="37"/>
      <c r="E22" s="75"/>
      <c r="F22" s="75"/>
      <c r="G22" s="75"/>
      <c r="H22" s="75"/>
      <c r="I22" s="75"/>
      <c r="J22" s="75"/>
      <c r="K22" s="7"/>
      <c r="L22" s="7"/>
      <c r="M22" s="7"/>
      <c r="N22" s="7"/>
      <c r="O22" s="7"/>
      <c r="P22" s="7"/>
      <c r="Q22" s="7"/>
      <c r="R22" s="7"/>
    </row>
    <row r="23" spans="1:18" ht="15.75" customHeight="1">
      <c r="A23" s="35"/>
      <c r="B23" s="36"/>
      <c r="C23" s="129"/>
      <c r="D23" s="129"/>
      <c r="E23" s="75"/>
      <c r="F23" s="75"/>
      <c r="G23" s="75"/>
      <c r="H23" s="75"/>
      <c r="I23" s="75"/>
      <c r="J23" s="75"/>
      <c r="K23" s="7"/>
      <c r="L23" s="7"/>
      <c r="M23" s="7"/>
      <c r="N23" s="7"/>
      <c r="O23" s="7"/>
      <c r="P23" s="7"/>
      <c r="Q23" s="7"/>
      <c r="R23" s="7"/>
    </row>
    <row r="24" spans="1:18" ht="15.75" customHeight="1">
      <c r="A24" s="35"/>
      <c r="B24" s="36"/>
      <c r="C24" s="129"/>
      <c r="D24" s="129"/>
      <c r="E24" s="75"/>
      <c r="F24" s="75"/>
      <c r="G24" s="75"/>
      <c r="H24" s="75"/>
      <c r="I24" s="75"/>
      <c r="J24" s="75"/>
      <c r="K24" s="7"/>
      <c r="L24" s="7"/>
      <c r="M24" s="7"/>
      <c r="N24" s="7"/>
      <c r="O24" s="7"/>
      <c r="P24" s="7"/>
      <c r="Q24" s="7"/>
      <c r="R24" s="7"/>
    </row>
    <row r="25" spans="1:18" ht="15.75" customHeight="1">
      <c r="A25" s="35"/>
      <c r="B25" s="36"/>
      <c r="C25" s="129"/>
      <c r="D25" s="129"/>
      <c r="E25" s="75"/>
      <c r="F25" s="75"/>
      <c r="G25" s="75"/>
      <c r="H25" s="75"/>
      <c r="I25" s="75"/>
      <c r="J25" s="75"/>
      <c r="K25" s="7"/>
      <c r="L25" s="7"/>
      <c r="M25" s="7"/>
      <c r="N25" s="7"/>
      <c r="O25" s="7"/>
      <c r="P25" s="7"/>
      <c r="Q25" s="7"/>
      <c r="R25" s="7"/>
    </row>
    <row r="26" spans="1:18" ht="15.75" customHeight="1">
      <c r="A26" s="35"/>
      <c r="B26" s="36"/>
      <c r="C26" s="129"/>
      <c r="D26" s="129"/>
      <c r="E26" s="75"/>
      <c r="F26" s="75"/>
      <c r="G26" s="75"/>
      <c r="H26" s="75"/>
      <c r="I26" s="75"/>
      <c r="J26" s="75"/>
      <c r="K26" s="7"/>
      <c r="L26" s="7"/>
      <c r="M26" s="7"/>
      <c r="N26" s="7"/>
      <c r="O26" s="7"/>
      <c r="P26" s="7"/>
      <c r="Q26" s="7"/>
      <c r="R26" s="7"/>
    </row>
    <row r="27" spans="1:18" ht="15.75" customHeight="1">
      <c r="A27" s="35"/>
      <c r="B27" s="36"/>
      <c r="C27" s="129"/>
      <c r="D27" s="129"/>
      <c r="E27" s="75"/>
      <c r="F27" s="75"/>
      <c r="G27" s="75"/>
      <c r="H27" s="75"/>
      <c r="I27" s="75"/>
      <c r="J27" s="75"/>
      <c r="K27" s="7"/>
      <c r="L27" s="7"/>
      <c r="M27" s="7"/>
      <c r="N27" s="7"/>
      <c r="O27" s="7"/>
      <c r="P27" s="7"/>
      <c r="Q27" s="7"/>
      <c r="R27" s="7"/>
    </row>
    <row r="28" spans="1:18" ht="15.75" customHeight="1">
      <c r="A28" s="35"/>
      <c r="B28" s="36"/>
      <c r="C28" s="129"/>
      <c r="D28" s="129"/>
      <c r="E28" s="75"/>
      <c r="F28" s="75"/>
      <c r="G28" s="75"/>
      <c r="H28" s="75"/>
      <c r="I28" s="75"/>
      <c r="J28" s="75"/>
      <c r="K28" s="7"/>
      <c r="L28" s="7"/>
      <c r="M28" s="7"/>
      <c r="N28" s="7"/>
      <c r="O28" s="7"/>
      <c r="P28" s="7"/>
      <c r="Q28" s="7"/>
      <c r="R28" s="7"/>
    </row>
    <row r="29" spans="1:18" ht="15.75" customHeight="1">
      <c r="A29" s="35"/>
      <c r="B29" s="36"/>
      <c r="C29" s="129"/>
      <c r="D29" s="129"/>
      <c r="E29" s="75"/>
      <c r="F29" s="75"/>
      <c r="G29" s="75"/>
      <c r="H29" s="75"/>
      <c r="I29" s="75"/>
      <c r="J29" s="75"/>
      <c r="K29" s="7"/>
      <c r="L29" s="7"/>
      <c r="M29" s="7"/>
      <c r="N29" s="7"/>
      <c r="O29" s="7"/>
      <c r="P29" s="7"/>
      <c r="Q29" s="7"/>
      <c r="R29" s="7"/>
    </row>
    <row r="30" spans="1:18" ht="15.75" customHeight="1">
      <c r="A30" s="35"/>
      <c r="B30" s="36"/>
      <c r="C30" s="129"/>
      <c r="D30" s="129"/>
      <c r="E30" s="75"/>
      <c r="F30" s="75"/>
      <c r="G30" s="75"/>
      <c r="H30" s="75"/>
      <c r="I30" s="75"/>
      <c r="J30" s="75"/>
      <c r="K30" s="7"/>
      <c r="L30" s="7"/>
      <c r="M30" s="7"/>
      <c r="N30" s="7"/>
      <c r="O30" s="7"/>
      <c r="P30" s="7"/>
      <c r="Q30" s="7"/>
      <c r="R30" s="7"/>
    </row>
    <row r="31" spans="1:18" ht="15.75" customHeight="1">
      <c r="A31" s="35"/>
      <c r="B31" s="36"/>
      <c r="C31" s="37"/>
      <c r="D31" s="3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75" customHeight="1">
      <c r="A32" s="35"/>
      <c r="B32" s="36"/>
      <c r="C32" s="37"/>
      <c r="D32" s="3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75" customHeight="1">
      <c r="A33" s="35"/>
      <c r="B33" s="36"/>
      <c r="C33" s="37"/>
      <c r="D33" s="3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5.75" customHeight="1">
      <c r="A34" s="35"/>
      <c r="B34" s="36"/>
      <c r="C34" s="37"/>
      <c r="D34" s="3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.75" customHeight="1">
      <c r="A35" s="35"/>
      <c r="B35" s="36"/>
      <c r="C35" s="37"/>
      <c r="D35" s="3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5.75" customHeight="1">
      <c r="A36" s="35"/>
      <c r="B36" s="36"/>
      <c r="C36" s="37"/>
      <c r="D36" s="3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5.75" customHeight="1">
      <c r="A37" s="35"/>
      <c r="B37" s="36"/>
      <c r="C37" s="37"/>
      <c r="D37" s="3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5.75" customHeight="1">
      <c r="A38" s="35"/>
      <c r="B38" s="36"/>
      <c r="C38" s="37"/>
      <c r="D38" s="3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5.75" customHeight="1">
      <c r="A39" s="35"/>
      <c r="B39" s="36"/>
      <c r="C39" s="129"/>
      <c r="D39" s="3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5.75" customHeight="1">
      <c r="A40" s="35"/>
      <c r="B40" s="36"/>
      <c r="C40" s="37"/>
      <c r="D40" s="3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5.75" customHeight="1">
      <c r="A41" s="35"/>
      <c r="B41" s="36"/>
      <c r="C41" s="37"/>
      <c r="D41" s="3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.75" customHeight="1">
      <c r="A42" s="35"/>
      <c r="B42" s="36"/>
      <c r="C42" s="37"/>
      <c r="D42" s="3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5.75" customHeight="1">
      <c r="A43" s="35"/>
      <c r="B43" s="36"/>
      <c r="C43" s="37"/>
      <c r="D43" s="12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5.75" customHeight="1">
      <c r="A44" s="35"/>
      <c r="B44" s="36"/>
      <c r="C44" s="37"/>
      <c r="D44" s="3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5.75" customHeight="1">
      <c r="A45" s="35"/>
      <c r="B45" s="36"/>
      <c r="C45" s="37"/>
      <c r="D45" s="3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5.75" customHeight="1">
      <c r="A46" s="35"/>
      <c r="B46" s="36"/>
      <c r="C46" s="37"/>
      <c r="D46" s="12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5.75" customHeight="1">
      <c r="A47" s="35"/>
      <c r="B47" s="36"/>
      <c r="C47" s="37"/>
      <c r="D47" s="3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5.75" customHeight="1">
      <c r="A48" s="35"/>
      <c r="B48" s="36"/>
      <c r="C48" s="37"/>
      <c r="D48" s="3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5.75" customHeight="1">
      <c r="A49" s="192"/>
      <c r="B49" s="36"/>
      <c r="C49" s="37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5.75" customHeight="1">
      <c r="A50" s="35"/>
      <c r="B50" s="36"/>
      <c r="C50" s="37"/>
      <c r="D50" s="3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5.75" customHeight="1">
      <c r="A51" s="35"/>
      <c r="B51" s="36"/>
      <c r="C51" s="37"/>
      <c r="D51" s="3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5.75" customHeight="1">
      <c r="A52" s="35"/>
      <c r="B52" s="36"/>
      <c r="C52" s="37"/>
      <c r="D52" s="3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5.75" customHeight="1">
      <c r="A53" s="35"/>
      <c r="B53" s="36"/>
      <c r="C53" s="37"/>
      <c r="D53" s="3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5.75" customHeight="1">
      <c r="A54" s="10"/>
      <c r="B54" s="7"/>
      <c r="C54" s="37"/>
      <c r="D54" s="3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5.75" customHeight="1">
      <c r="A55" s="10"/>
      <c r="B55" s="7"/>
      <c r="C55" s="37"/>
      <c r="D55" s="3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5.75" customHeight="1">
      <c r="A56" s="10"/>
      <c r="B56" s="7"/>
      <c r="C56" s="37"/>
      <c r="D56" s="3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5.75" customHeight="1">
      <c r="A57" s="10"/>
      <c r="B57" s="7"/>
      <c r="C57" s="37"/>
      <c r="D57" s="3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75" customHeight="1">
      <c r="A58" s="10"/>
      <c r="B58" s="7"/>
      <c r="C58" s="37"/>
      <c r="D58" s="3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5.75" customHeight="1">
      <c r="A59" s="10"/>
      <c r="B59" s="7"/>
      <c r="C59" s="37"/>
      <c r="D59" s="3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5.75" customHeight="1">
      <c r="A60" s="10"/>
      <c r="B60" s="7"/>
      <c r="C60" s="37"/>
      <c r="D60" s="3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5.75" customHeight="1">
      <c r="A61" s="10"/>
      <c r="B61" s="7"/>
      <c r="C61" s="37"/>
      <c r="D61" s="3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5.75" customHeight="1">
      <c r="A62" s="10"/>
      <c r="B62" s="7"/>
      <c r="C62" s="37"/>
      <c r="D62" s="3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5.75" customHeight="1">
      <c r="A63" s="10"/>
      <c r="B63" s="7"/>
      <c r="C63" s="37"/>
      <c r="D63" s="3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75" customHeight="1">
      <c r="A64" s="10"/>
      <c r="B64" s="7"/>
      <c r="C64" s="37"/>
      <c r="D64" s="3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75" customHeight="1">
      <c r="A65" s="10"/>
      <c r="B65" s="7"/>
      <c r="C65" s="37"/>
      <c r="D65" s="3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75" customHeight="1">
      <c r="A66" s="10"/>
      <c r="B66" s="7"/>
      <c r="C66" s="37"/>
      <c r="D66" s="3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75" customHeight="1">
      <c r="A67" s="10"/>
      <c r="B67" s="7"/>
      <c r="C67" s="37"/>
      <c r="D67" s="3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75" customHeight="1">
      <c r="A68" s="10"/>
      <c r="B68" s="7"/>
      <c r="C68" s="37"/>
      <c r="D68" s="3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75" customHeight="1">
      <c r="A69" s="10"/>
      <c r="B69" s="7"/>
      <c r="C69" s="37"/>
      <c r="D69" s="3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75" customHeight="1">
      <c r="A70" s="10"/>
      <c r="B70" s="7"/>
      <c r="C70" s="37"/>
      <c r="D70" s="3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5.75" customHeight="1">
      <c r="A71" s="10"/>
      <c r="B71" s="7"/>
      <c r="C71" s="3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5.75" customHeight="1">
      <c r="A72" s="10"/>
      <c r="B72" s="7"/>
      <c r="C72" s="37"/>
      <c r="D72" s="3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75" customHeight="1">
      <c r="A73" s="10"/>
      <c r="B73" s="7"/>
      <c r="C73" s="37"/>
      <c r="D73" s="3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75" customHeight="1">
      <c r="A74" s="10"/>
      <c r="B74" s="7"/>
      <c r="C74" s="37"/>
      <c r="D74" s="3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75" customHeight="1">
      <c r="A75" s="10"/>
      <c r="B75" s="7"/>
      <c r="C75" s="37"/>
      <c r="D75" s="3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5.75" customHeight="1">
      <c r="A76" s="10"/>
      <c r="B76" s="7"/>
      <c r="C76" s="37"/>
      <c r="D76" s="3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5.75" customHeight="1">
      <c r="A77" s="10"/>
      <c r="B77" s="7"/>
      <c r="C77" s="37"/>
      <c r="D77" s="3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5.75" customHeight="1">
      <c r="A78" s="10"/>
      <c r="B78" s="7"/>
      <c r="C78" s="37"/>
      <c r="D78" s="3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5.75" customHeight="1">
      <c r="A79" s="7"/>
      <c r="B79" s="7"/>
      <c r="C79" s="37"/>
      <c r="D79" s="3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5.75" customHeight="1">
      <c r="A80" s="7"/>
      <c r="B80" s="7"/>
      <c r="C80" s="37"/>
      <c r="D80" s="3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75" customHeight="1">
      <c r="A81" s="7"/>
      <c r="B81" s="7"/>
      <c r="C81" s="37"/>
      <c r="D81" s="3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5.75" customHeight="1">
      <c r="A82" s="7"/>
      <c r="B82" s="7"/>
      <c r="C82" s="37"/>
      <c r="D82" s="3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5.75" customHeight="1">
      <c r="A83" s="7"/>
      <c r="B83" s="7"/>
      <c r="C83" s="37"/>
      <c r="D83" s="3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5.75" customHeight="1">
      <c r="A84" s="7"/>
      <c r="B84" s="7"/>
      <c r="C84" s="37"/>
      <c r="D84" s="3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75" customHeight="1">
      <c r="A85" s="7"/>
      <c r="B85" s="7"/>
      <c r="C85" s="37"/>
      <c r="D85" s="3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5.75" customHeight="1">
      <c r="A86" s="7"/>
      <c r="B86" s="7"/>
      <c r="C86" s="37"/>
      <c r="D86" s="3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5.75" customHeight="1">
      <c r="A87" s="7"/>
      <c r="B87" s="7"/>
      <c r="C87" s="37"/>
      <c r="D87" s="3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75" customHeight="1">
      <c r="A88" s="7"/>
      <c r="B88" s="7"/>
      <c r="C88" s="37"/>
      <c r="D88" s="3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5.75" customHeight="1">
      <c r="A89" s="7"/>
      <c r="B89" s="7"/>
      <c r="C89" s="37"/>
      <c r="D89" s="3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5.75" customHeight="1">
      <c r="A90" s="7"/>
      <c r="B90" s="7"/>
      <c r="C90" s="37"/>
      <c r="D90" s="3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5.75" customHeight="1">
      <c r="A91" s="7"/>
      <c r="B91" s="7"/>
      <c r="C91" s="37"/>
      <c r="D91" s="3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5.75" customHeight="1">
      <c r="A92" s="7"/>
      <c r="B92" s="7"/>
      <c r="C92" s="37"/>
      <c r="D92" s="3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5.75" customHeight="1">
      <c r="A93" s="7"/>
      <c r="B93" s="7"/>
      <c r="C93" s="37"/>
      <c r="D93" s="3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75" customHeight="1">
      <c r="A94" s="7"/>
      <c r="B94" s="7"/>
      <c r="C94" s="37"/>
      <c r="D94" s="3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5.75" customHeight="1">
      <c r="A95" s="7"/>
      <c r="B95" s="7"/>
      <c r="C95" s="37"/>
      <c r="D95" s="3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75" customHeight="1">
      <c r="A96" s="7"/>
      <c r="B96" s="7"/>
      <c r="C96" s="37"/>
      <c r="D96" s="3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5.75" customHeight="1">
      <c r="A97" s="7"/>
      <c r="B97" s="7"/>
      <c r="C97" s="37"/>
      <c r="D97" s="3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5.75" customHeight="1">
      <c r="A98" s="7"/>
      <c r="B98" s="7"/>
      <c r="C98" s="37"/>
      <c r="D98" s="3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5.75" customHeight="1">
      <c r="A99" s="7"/>
      <c r="B99" s="7"/>
      <c r="C99" s="37"/>
      <c r="D99" s="3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5.75" customHeight="1">
      <c r="A100" s="7"/>
      <c r="B100" s="7"/>
      <c r="C100" s="37"/>
      <c r="D100" s="3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5.75" customHeight="1">
      <c r="A101" s="7"/>
      <c r="B101" s="7"/>
      <c r="C101" s="37"/>
      <c r="D101" s="3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5.75" customHeight="1">
      <c r="A102" s="7"/>
      <c r="B102" s="7"/>
      <c r="C102" s="37"/>
      <c r="D102" s="3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5.75" customHeight="1">
      <c r="A103" s="7"/>
      <c r="B103" s="7"/>
      <c r="C103" s="37"/>
      <c r="D103" s="3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75" customHeight="1">
      <c r="A104" s="7"/>
      <c r="B104" s="7"/>
      <c r="C104" s="37"/>
      <c r="D104" s="3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75" customHeight="1">
      <c r="A105" s="7"/>
      <c r="B105" s="7"/>
      <c r="C105" s="37"/>
      <c r="D105" s="3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75" customHeight="1">
      <c r="A106" s="7"/>
      <c r="B106" s="7"/>
      <c r="C106" s="37"/>
      <c r="D106" s="3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75" customHeight="1">
      <c r="A107" s="7"/>
      <c r="B107" s="7"/>
      <c r="C107" s="37"/>
      <c r="D107" s="3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75" customHeight="1">
      <c r="A108" s="7"/>
      <c r="B108" s="7"/>
      <c r="C108" s="37"/>
      <c r="D108" s="3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75" customHeight="1">
      <c r="A109" s="7"/>
      <c r="B109" s="7"/>
      <c r="C109" s="37"/>
      <c r="D109" s="3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75" customHeight="1">
      <c r="A110" s="7"/>
      <c r="B110" s="7"/>
      <c r="C110" s="37"/>
      <c r="D110" s="3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75" customHeight="1">
      <c r="A111" s="7"/>
      <c r="B111" s="7"/>
      <c r="C111" s="37"/>
      <c r="D111" s="3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75" customHeight="1">
      <c r="A112" s="7"/>
      <c r="B112" s="7"/>
      <c r="C112" s="37"/>
      <c r="D112" s="3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5.75" customHeight="1">
      <c r="A113" s="7"/>
      <c r="B113" s="7"/>
      <c r="C113" s="37"/>
      <c r="D113" s="3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5.75" customHeight="1">
      <c r="A114" s="7"/>
      <c r="B114" s="7"/>
      <c r="C114" s="37"/>
      <c r="D114" s="3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5.75" customHeight="1">
      <c r="A115" s="7"/>
      <c r="B115" s="7"/>
      <c r="C115" s="37"/>
      <c r="D115" s="3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5.75" customHeight="1">
      <c r="A116" s="7"/>
      <c r="B116" s="7"/>
      <c r="C116" s="37"/>
      <c r="D116" s="3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5.75" customHeight="1">
      <c r="A117" s="7"/>
      <c r="B117" s="7"/>
      <c r="C117" s="37"/>
      <c r="D117" s="3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5.75" customHeight="1">
      <c r="A118" s="7"/>
      <c r="B118" s="7"/>
      <c r="C118" s="37"/>
      <c r="D118" s="3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5.75" customHeight="1">
      <c r="A119" s="7"/>
      <c r="B119" s="7"/>
      <c r="C119" s="37"/>
      <c r="D119" s="3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5.75" customHeight="1">
      <c r="A120" s="7"/>
      <c r="B120" s="7"/>
      <c r="C120" s="37"/>
      <c r="D120" s="3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5.75" customHeight="1">
      <c r="A121" s="7"/>
      <c r="B121" s="7"/>
      <c r="C121" s="37"/>
      <c r="D121" s="3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5.75" customHeight="1">
      <c r="A122" s="7"/>
      <c r="B122" s="7"/>
      <c r="C122" s="37"/>
      <c r="D122" s="3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5.75" customHeight="1">
      <c r="A123" s="7"/>
      <c r="B123" s="7"/>
      <c r="C123" s="37"/>
      <c r="D123" s="3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5.75" customHeight="1">
      <c r="A124" s="7"/>
      <c r="B124" s="7"/>
      <c r="C124" s="37"/>
      <c r="D124" s="3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5.75" customHeight="1">
      <c r="A125" s="7"/>
      <c r="B125" s="7"/>
      <c r="C125" s="37"/>
      <c r="D125" s="3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5.75" customHeight="1">
      <c r="A126" s="7"/>
      <c r="B126" s="7"/>
      <c r="C126" s="37"/>
      <c r="D126" s="3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5.75" customHeight="1">
      <c r="A127" s="7"/>
      <c r="B127" s="7"/>
      <c r="C127" s="37"/>
      <c r="D127" s="3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5.75" customHeight="1">
      <c r="A128" s="7"/>
      <c r="B128" s="7"/>
      <c r="C128" s="37"/>
      <c r="D128" s="3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5.75" customHeight="1">
      <c r="A129" s="7"/>
      <c r="B129" s="7"/>
      <c r="C129" s="37"/>
      <c r="D129" s="3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75" customHeight="1">
      <c r="A130" s="7"/>
      <c r="B130" s="7"/>
      <c r="C130" s="37"/>
      <c r="D130" s="3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75" customHeight="1">
      <c r="A131" s="7"/>
      <c r="B131" s="7"/>
      <c r="C131" s="37"/>
      <c r="D131" s="3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75" customHeight="1">
      <c r="A132" s="7"/>
      <c r="B132" s="7"/>
      <c r="C132" s="37"/>
      <c r="D132" s="3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75" customHeight="1">
      <c r="A133" s="7"/>
      <c r="B133" s="7"/>
      <c r="C133" s="37"/>
      <c r="D133" s="3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75" customHeight="1">
      <c r="A134" s="7"/>
      <c r="B134" s="7"/>
      <c r="C134" s="37"/>
      <c r="D134" s="3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75" customHeight="1">
      <c r="A135" s="7"/>
      <c r="B135" s="7"/>
      <c r="C135" s="37"/>
      <c r="D135" s="3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75" customHeight="1">
      <c r="A136" s="7"/>
      <c r="B136" s="7"/>
      <c r="C136" s="37"/>
      <c r="D136" s="3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75" customHeight="1">
      <c r="A137" s="7"/>
      <c r="B137" s="7"/>
      <c r="C137" s="37"/>
      <c r="D137" s="3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75" customHeight="1">
      <c r="A138" s="7"/>
      <c r="B138" s="7"/>
      <c r="C138" s="37"/>
      <c r="D138" s="3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75" customHeight="1">
      <c r="A139" s="7"/>
      <c r="B139" s="7"/>
      <c r="C139" s="37"/>
      <c r="D139" s="3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>
      <c r="A140" s="7"/>
      <c r="B140" s="7"/>
      <c r="C140" s="37"/>
      <c r="D140" s="3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>
      <c r="A141" s="7"/>
      <c r="B141" s="7"/>
      <c r="C141" s="37"/>
      <c r="D141" s="3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>
      <c r="A142" s="7"/>
      <c r="B142" s="7"/>
      <c r="C142" s="37"/>
      <c r="D142" s="3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>
      <c r="A143" s="7"/>
      <c r="B143" s="7"/>
      <c r="C143" s="37"/>
      <c r="D143" s="3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>
      <c r="A144" s="7"/>
      <c r="B144" s="7"/>
      <c r="C144" s="37"/>
      <c r="D144" s="3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75" customHeight="1">
      <c r="A145" s="7"/>
      <c r="B145" s="7"/>
      <c r="C145" s="37"/>
      <c r="D145" s="3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75" customHeight="1">
      <c r="A146" s="7"/>
      <c r="B146" s="7"/>
      <c r="C146" s="37"/>
      <c r="D146" s="3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75" customHeight="1">
      <c r="A147" s="7"/>
      <c r="B147" s="7"/>
      <c r="C147" s="37"/>
      <c r="D147" s="3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75" customHeight="1">
      <c r="A148" s="7"/>
      <c r="B148" s="7"/>
      <c r="C148" s="37"/>
      <c r="D148" s="3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75" customHeight="1">
      <c r="A149" s="7"/>
      <c r="B149" s="7"/>
      <c r="C149" s="37"/>
      <c r="D149" s="3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75" customHeight="1">
      <c r="A150" s="7"/>
      <c r="B150" s="7"/>
      <c r="C150" s="37"/>
      <c r="D150" s="3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75" customHeight="1">
      <c r="A151" s="7"/>
      <c r="B151" s="7"/>
      <c r="C151" s="37"/>
      <c r="D151" s="3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75" customHeight="1">
      <c r="A152" s="7"/>
      <c r="B152" s="7"/>
      <c r="C152" s="37"/>
      <c r="D152" s="3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75" customHeight="1">
      <c r="A153" s="7"/>
      <c r="B153" s="7"/>
      <c r="C153" s="37"/>
      <c r="D153" s="3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75" customHeight="1">
      <c r="A154" s="7"/>
      <c r="B154" s="7"/>
      <c r="C154" s="37"/>
      <c r="D154" s="3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75" customHeight="1">
      <c r="A155" s="7"/>
      <c r="B155" s="7"/>
      <c r="C155" s="37"/>
      <c r="D155" s="3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75" customHeight="1">
      <c r="A156" s="7"/>
      <c r="B156" s="7"/>
      <c r="C156" s="37"/>
      <c r="D156" s="3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75" customHeight="1">
      <c r="A157" s="7"/>
      <c r="B157" s="7"/>
      <c r="C157" s="37"/>
      <c r="D157" s="3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75" customHeight="1">
      <c r="A158" s="7"/>
      <c r="B158" s="7"/>
      <c r="C158" s="37"/>
      <c r="D158" s="3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75" customHeight="1">
      <c r="A159" s="7"/>
      <c r="B159" s="7"/>
      <c r="C159" s="37"/>
      <c r="D159" s="3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75" customHeight="1">
      <c r="A160" s="7"/>
      <c r="B160" s="7"/>
      <c r="C160" s="37"/>
      <c r="D160" s="3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75" customHeight="1">
      <c r="A161" s="7"/>
      <c r="B161" s="7"/>
      <c r="C161" s="37"/>
      <c r="D161" s="3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75" customHeight="1">
      <c r="A162" s="7"/>
      <c r="B162" s="7"/>
      <c r="C162" s="37"/>
      <c r="D162" s="3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75" customHeight="1">
      <c r="A163" s="7"/>
      <c r="B163" s="7"/>
      <c r="C163" s="37"/>
      <c r="D163" s="3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75" customHeight="1">
      <c r="A164" s="7"/>
      <c r="B164" s="7"/>
      <c r="C164" s="37"/>
      <c r="D164" s="3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75" customHeight="1">
      <c r="A165" s="7"/>
      <c r="B165" s="7"/>
      <c r="C165" s="37"/>
      <c r="D165" s="3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75" customHeight="1">
      <c r="A166" s="7"/>
      <c r="B166" s="7"/>
      <c r="C166" s="37"/>
      <c r="D166" s="3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75" customHeight="1">
      <c r="A167" s="7"/>
      <c r="B167" s="7"/>
      <c r="C167" s="37"/>
      <c r="D167" s="3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75" customHeight="1">
      <c r="A168" s="7"/>
      <c r="B168" s="7"/>
      <c r="C168" s="37"/>
      <c r="D168" s="3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75" customHeight="1">
      <c r="A169" s="7"/>
      <c r="B169" s="7"/>
      <c r="C169" s="37"/>
      <c r="D169" s="3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75" customHeight="1">
      <c r="A170" s="7"/>
      <c r="B170" s="7"/>
      <c r="C170" s="37"/>
      <c r="D170" s="3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75" customHeight="1">
      <c r="A171" s="7"/>
      <c r="B171" s="7"/>
      <c r="C171" s="37"/>
      <c r="D171" s="3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75" customHeight="1">
      <c r="A172" s="7"/>
      <c r="B172" s="7"/>
      <c r="C172" s="37"/>
      <c r="D172" s="3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75" customHeight="1">
      <c r="A173" s="7"/>
      <c r="B173" s="7"/>
      <c r="C173" s="37"/>
      <c r="D173" s="3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75" customHeight="1">
      <c r="A174" s="7"/>
      <c r="B174" s="7"/>
      <c r="C174" s="37"/>
      <c r="D174" s="3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75" customHeight="1">
      <c r="A175" s="7"/>
      <c r="B175" s="7"/>
      <c r="C175" s="37"/>
      <c r="D175" s="3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75" customHeight="1">
      <c r="A176" s="7"/>
      <c r="B176" s="7"/>
      <c r="C176" s="37"/>
      <c r="D176" s="3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75" customHeight="1">
      <c r="A177" s="7"/>
      <c r="B177" s="7"/>
      <c r="C177" s="37"/>
      <c r="D177" s="3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75" customHeight="1">
      <c r="A178" s="7"/>
      <c r="B178" s="7"/>
      <c r="C178" s="37"/>
      <c r="D178" s="3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75" customHeight="1">
      <c r="A179" s="7"/>
      <c r="B179" s="7"/>
      <c r="C179" s="37"/>
      <c r="D179" s="3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75" customHeight="1">
      <c r="A180" s="7"/>
      <c r="B180" s="7"/>
      <c r="C180" s="37"/>
      <c r="D180" s="3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75" customHeight="1">
      <c r="A181" s="7"/>
      <c r="B181" s="7"/>
      <c r="C181" s="37"/>
      <c r="D181" s="3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75" customHeight="1">
      <c r="A182" s="7"/>
      <c r="B182" s="7"/>
      <c r="C182" s="37"/>
      <c r="D182" s="3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75" customHeight="1">
      <c r="A183" s="7"/>
      <c r="B183" s="7"/>
      <c r="C183" s="37"/>
      <c r="D183" s="3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75" customHeight="1">
      <c r="A184" s="7"/>
      <c r="B184" s="7"/>
      <c r="C184" s="37"/>
      <c r="D184" s="3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75" customHeight="1">
      <c r="A185" s="7"/>
      <c r="B185" s="7"/>
      <c r="C185" s="37"/>
      <c r="D185" s="3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75" customHeight="1">
      <c r="A186" s="7"/>
      <c r="B186" s="7"/>
      <c r="C186" s="37"/>
      <c r="D186" s="3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75" customHeight="1">
      <c r="A187" s="7"/>
      <c r="B187" s="7"/>
      <c r="C187" s="37"/>
      <c r="D187" s="3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75" customHeight="1">
      <c r="A188" s="7"/>
      <c r="B188" s="7"/>
      <c r="C188" s="37"/>
      <c r="D188" s="3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75" customHeight="1">
      <c r="A189" s="7"/>
      <c r="B189" s="7"/>
      <c r="C189" s="37"/>
      <c r="D189" s="3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75" customHeight="1">
      <c r="A190" s="7"/>
      <c r="B190" s="7"/>
      <c r="C190" s="37"/>
      <c r="D190" s="3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75" customHeight="1">
      <c r="A191" s="7"/>
      <c r="B191" s="7"/>
      <c r="C191" s="37"/>
      <c r="D191" s="3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75" customHeight="1">
      <c r="A192" s="7"/>
      <c r="B192" s="7"/>
      <c r="C192" s="37"/>
      <c r="D192" s="3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75" customHeight="1">
      <c r="A193" s="7"/>
      <c r="B193" s="7"/>
      <c r="C193" s="37"/>
      <c r="D193" s="3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75" customHeight="1">
      <c r="A194" s="7"/>
      <c r="B194" s="7"/>
      <c r="C194" s="37"/>
      <c r="D194" s="3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75" customHeight="1">
      <c r="A195" s="7"/>
      <c r="B195" s="7"/>
      <c r="C195" s="37"/>
      <c r="D195" s="3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75" customHeight="1">
      <c r="A196" s="7"/>
      <c r="B196" s="7"/>
      <c r="C196" s="37"/>
      <c r="D196" s="3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75" customHeight="1">
      <c r="A197" s="7"/>
      <c r="B197" s="7"/>
      <c r="C197" s="37"/>
      <c r="D197" s="3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75" customHeight="1">
      <c r="A198" s="7"/>
      <c r="B198" s="7"/>
      <c r="C198" s="37"/>
      <c r="D198" s="3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75" customHeight="1">
      <c r="A199" s="7"/>
      <c r="B199" s="7"/>
      <c r="C199" s="37"/>
      <c r="D199" s="3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75" customHeight="1">
      <c r="A200" s="7"/>
      <c r="B200" s="7"/>
      <c r="C200" s="37"/>
      <c r="D200" s="3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75" customHeight="1">
      <c r="A201" s="7"/>
      <c r="B201" s="7"/>
      <c r="C201" s="37"/>
      <c r="D201" s="3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75" customHeight="1">
      <c r="A202" s="7"/>
      <c r="B202" s="7"/>
      <c r="C202" s="37"/>
      <c r="D202" s="3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75" customHeight="1">
      <c r="A203" s="7"/>
      <c r="B203" s="7"/>
      <c r="C203" s="37"/>
      <c r="D203" s="3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75" customHeight="1">
      <c r="A204" s="7"/>
      <c r="B204" s="7"/>
      <c r="C204" s="37"/>
      <c r="D204" s="3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75" customHeight="1">
      <c r="A205" s="7"/>
      <c r="B205" s="7"/>
      <c r="C205" s="37"/>
      <c r="D205" s="3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75" customHeight="1">
      <c r="A206" s="7"/>
      <c r="B206" s="7"/>
      <c r="C206" s="37"/>
      <c r="D206" s="3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75" customHeight="1">
      <c r="A207" s="7"/>
      <c r="B207" s="7"/>
      <c r="C207" s="37"/>
      <c r="D207" s="3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75" customHeight="1">
      <c r="A208" s="7"/>
      <c r="B208" s="7"/>
      <c r="C208" s="37"/>
      <c r="D208" s="3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75" customHeight="1">
      <c r="A209" s="7"/>
      <c r="B209" s="7"/>
      <c r="C209" s="37"/>
      <c r="D209" s="3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75" customHeight="1">
      <c r="A210" s="7"/>
      <c r="B210" s="7"/>
      <c r="C210" s="37"/>
      <c r="D210" s="3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75" customHeight="1">
      <c r="A211" s="7"/>
      <c r="B211" s="7"/>
      <c r="C211" s="37"/>
      <c r="D211" s="3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75" customHeight="1">
      <c r="A212" s="7"/>
      <c r="B212" s="7"/>
      <c r="C212" s="37"/>
      <c r="D212" s="3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75" customHeight="1">
      <c r="A213" s="7"/>
      <c r="B213" s="7"/>
      <c r="C213" s="37"/>
      <c r="D213" s="3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75" customHeight="1">
      <c r="A214" s="7"/>
      <c r="B214" s="7"/>
      <c r="C214" s="37"/>
      <c r="D214" s="3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75" customHeight="1">
      <c r="A215" s="7"/>
      <c r="B215" s="7"/>
      <c r="C215" s="37"/>
      <c r="D215" s="3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75" customHeight="1">
      <c r="A216" s="7"/>
      <c r="B216" s="7"/>
      <c r="C216" s="37"/>
      <c r="D216" s="3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75" customHeight="1">
      <c r="A217" s="7"/>
      <c r="B217" s="7"/>
      <c r="C217" s="37"/>
      <c r="D217" s="3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75" customHeight="1">
      <c r="A218" s="7"/>
      <c r="B218" s="7"/>
      <c r="C218" s="37"/>
      <c r="D218" s="3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75" customHeight="1">
      <c r="A219" s="7"/>
      <c r="B219" s="7"/>
      <c r="C219" s="37"/>
      <c r="D219" s="3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75" customHeight="1">
      <c r="A220" s="7"/>
      <c r="B220" s="7"/>
      <c r="C220" s="37"/>
      <c r="D220" s="3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75" customHeight="1"/>
    <row r="222" spans="1:18" ht="15.75" customHeight="1"/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53">
    <cfRule type="expression" dxfId="2" priority="1">
      <formula>COUNTIF($C$1:$C$1017, B2) &gt; 1</formula>
    </cfRule>
  </conditionalFormatting>
  <conditionalFormatting sqref="B2:B1000">
    <cfRule type="expression" dxfId="1" priority="2">
      <formula>COUNTIF($B$2:$B$998, B2) &gt; 1</formula>
    </cfRule>
  </conditionalFormatting>
  <conditionalFormatting sqref="C2:C1000">
    <cfRule type="expression" dxfId="0" priority="3">
      <formula>C2&gt;0</formula>
    </cfRule>
  </conditionalFormatting>
  <dataValidations count="2">
    <dataValidation type="list" allowBlank="1" showErrorMessage="1" sqref="A54:A78" xr:uid="{00000000-0002-0000-0F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53" xr:uid="{00000000-0002-0000-0F00-000001000000}">
      <formula1>"24H,Minh Châu,Nguyễn Chí Thanh,Thống Nhất,Liên Tỉnh,Nguyễn Thị Thập,Nguyễn Văn Quá,Đỗ Quang Đẩu,Hàng Bông,Đường Láng,Trương Định"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2026-09-01T16:25:29Z</dcterms:created>
  <dcterms:modified xsi:type="dcterms:W3CDTF">2026-09-05T09:06:37Z</dcterms:modified>
</cp:coreProperties>
</file>