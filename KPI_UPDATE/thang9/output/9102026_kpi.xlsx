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MEDIGO\KPI_UPDATE\thang9\output\"/>
    </mc:Choice>
  </mc:AlternateContent>
  <xr:revisionPtr revIDLastSave="0" documentId="13_ncr:1_{FFA2F597-59DF-4392-B737-FD7D1019BA44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data" sheetId="1" r:id="rId1"/>
    <sheet name="kpi dược sĩ" sheetId="2" r:id="rId2"/>
    <sheet name="kpi nhà thuốc" sheetId="3" r:id="rId3"/>
    <sheet name="Dự án T9" sheetId="4" r:id="rId4"/>
    <sheet name="Hot Bill H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3" l="1"/>
  <c r="D4" i="4"/>
  <c r="I3" i="2"/>
  <c r="E3" i="2"/>
  <c r="T11" i="3"/>
  <c r="L63" i="4"/>
  <c r="I63" i="4"/>
  <c r="J63" i="4" s="1"/>
  <c r="H63" i="4"/>
  <c r="D63" i="4"/>
  <c r="L62" i="4"/>
  <c r="I62" i="4"/>
  <c r="H62" i="4"/>
  <c r="J62" i="4" s="1"/>
  <c r="D62" i="4"/>
  <c r="L61" i="4"/>
  <c r="I61" i="4"/>
  <c r="H61" i="4"/>
  <c r="D61" i="4"/>
  <c r="L60" i="4"/>
  <c r="I60" i="4"/>
  <c r="J60" i="4" s="1"/>
  <c r="H60" i="4"/>
  <c r="D60" i="4"/>
  <c r="L59" i="4"/>
  <c r="K59" i="4"/>
  <c r="M59" i="4" s="1"/>
  <c r="J59" i="4"/>
  <c r="I59" i="4"/>
  <c r="H59" i="4"/>
  <c r="D59" i="4"/>
  <c r="L58" i="4"/>
  <c r="I58" i="4"/>
  <c r="H58" i="4"/>
  <c r="D58" i="4"/>
  <c r="L57" i="4"/>
  <c r="I57" i="4"/>
  <c r="H57" i="4"/>
  <c r="J57" i="4" s="1"/>
  <c r="D57" i="4"/>
  <c r="L56" i="4"/>
  <c r="I56" i="4"/>
  <c r="H56" i="4"/>
  <c r="J56" i="4" s="1"/>
  <c r="D56" i="4"/>
  <c r="L55" i="4"/>
  <c r="J55" i="4"/>
  <c r="I55" i="4"/>
  <c r="H55" i="4"/>
  <c r="D55" i="4"/>
  <c r="L54" i="4"/>
  <c r="M54" i="4" s="1"/>
  <c r="J54" i="4"/>
  <c r="K54" i="4" s="1"/>
  <c r="I54" i="4"/>
  <c r="H54" i="4"/>
  <c r="D54" i="4"/>
  <c r="L53" i="4"/>
  <c r="I53" i="4"/>
  <c r="H53" i="4"/>
  <c r="J53" i="4" s="1"/>
  <c r="D53" i="4"/>
  <c r="G53" i="2" s="1"/>
  <c r="L52" i="4"/>
  <c r="J52" i="4"/>
  <c r="I52" i="4"/>
  <c r="H52" i="4"/>
  <c r="D52" i="4"/>
  <c r="L51" i="4"/>
  <c r="I51" i="4"/>
  <c r="J51" i="4" s="1"/>
  <c r="H51" i="4"/>
  <c r="D51" i="4"/>
  <c r="G51" i="2" s="1"/>
  <c r="L50" i="4"/>
  <c r="I50" i="4"/>
  <c r="J50" i="4" s="1"/>
  <c r="H50" i="4"/>
  <c r="D50" i="4"/>
  <c r="L49" i="4"/>
  <c r="I49" i="4"/>
  <c r="H49" i="4"/>
  <c r="D49" i="4"/>
  <c r="L48" i="4"/>
  <c r="I48" i="4"/>
  <c r="H48" i="4"/>
  <c r="J48" i="4" s="1"/>
  <c r="D48" i="4"/>
  <c r="K48" i="4" s="1"/>
  <c r="M47" i="4"/>
  <c r="L47" i="4"/>
  <c r="K47" i="4"/>
  <c r="J47" i="4"/>
  <c r="I47" i="4"/>
  <c r="H47" i="4"/>
  <c r="D47" i="4"/>
  <c r="L46" i="4"/>
  <c r="I46" i="4"/>
  <c r="H46" i="4"/>
  <c r="D46" i="4"/>
  <c r="M45" i="4"/>
  <c r="L45" i="4"/>
  <c r="I45" i="4"/>
  <c r="H45" i="4"/>
  <c r="J45" i="4" s="1"/>
  <c r="K45" i="4" s="1"/>
  <c r="D45" i="4"/>
  <c r="L44" i="4"/>
  <c r="I44" i="4"/>
  <c r="H44" i="4"/>
  <c r="J44" i="4" s="1"/>
  <c r="D44" i="4"/>
  <c r="L43" i="4"/>
  <c r="J43" i="4"/>
  <c r="I43" i="4"/>
  <c r="H43" i="4"/>
  <c r="D43" i="4"/>
  <c r="L42" i="4"/>
  <c r="M42" i="4" s="1"/>
  <c r="J42" i="4"/>
  <c r="K42" i="4" s="1"/>
  <c r="I42" i="4"/>
  <c r="H42" i="4"/>
  <c r="D42" i="4"/>
  <c r="L41" i="4"/>
  <c r="I41" i="4"/>
  <c r="H41" i="4"/>
  <c r="J41" i="4" s="1"/>
  <c r="D41" i="4"/>
  <c r="G41" i="2" s="1"/>
  <c r="L40" i="4"/>
  <c r="J40" i="4"/>
  <c r="I40" i="4"/>
  <c r="H40" i="4"/>
  <c r="D40" i="4"/>
  <c r="L39" i="4"/>
  <c r="I39" i="4"/>
  <c r="J39" i="4" s="1"/>
  <c r="H39" i="4"/>
  <c r="D39" i="4"/>
  <c r="G39" i="2" s="1"/>
  <c r="L38" i="4"/>
  <c r="I38" i="4"/>
  <c r="J38" i="4" s="1"/>
  <c r="H38" i="4"/>
  <c r="D38" i="4"/>
  <c r="L37" i="4"/>
  <c r="K37" i="4"/>
  <c r="I37" i="4"/>
  <c r="H37" i="4"/>
  <c r="J37" i="4" s="1"/>
  <c r="D37" i="4"/>
  <c r="L36" i="4"/>
  <c r="I36" i="4"/>
  <c r="H36" i="4"/>
  <c r="J36" i="4" s="1"/>
  <c r="D36" i="4"/>
  <c r="G36" i="2" s="1"/>
  <c r="M35" i="4"/>
  <c r="L35" i="4"/>
  <c r="K35" i="4"/>
  <c r="J35" i="4"/>
  <c r="I35" i="4"/>
  <c r="H35" i="4"/>
  <c r="D35" i="4"/>
  <c r="L34" i="4"/>
  <c r="I34" i="4"/>
  <c r="H34" i="4"/>
  <c r="D34" i="4"/>
  <c r="L33" i="4"/>
  <c r="I33" i="4"/>
  <c r="H33" i="4"/>
  <c r="J33" i="4" s="1"/>
  <c r="K33" i="4" s="1"/>
  <c r="M33" i="4" s="1"/>
  <c r="D33" i="4"/>
  <c r="L32" i="4"/>
  <c r="I32" i="4"/>
  <c r="H32" i="4"/>
  <c r="J32" i="4" s="1"/>
  <c r="D32" i="4"/>
  <c r="L31" i="4"/>
  <c r="J31" i="4"/>
  <c r="I31" i="4"/>
  <c r="H31" i="4"/>
  <c r="D31" i="4"/>
  <c r="L30" i="4"/>
  <c r="J30" i="4"/>
  <c r="K30" i="4" s="1"/>
  <c r="I30" i="4"/>
  <c r="H30" i="4"/>
  <c r="D30" i="4"/>
  <c r="L29" i="4"/>
  <c r="I29" i="4"/>
  <c r="H29" i="4"/>
  <c r="J29" i="4" s="1"/>
  <c r="D29" i="4"/>
  <c r="L28" i="4"/>
  <c r="J28" i="4"/>
  <c r="I28" i="4"/>
  <c r="H28" i="4"/>
  <c r="D28" i="4"/>
  <c r="K28" i="4" s="1"/>
  <c r="L27" i="4"/>
  <c r="I27" i="4"/>
  <c r="J27" i="4" s="1"/>
  <c r="H27" i="4"/>
  <c r="D27" i="4"/>
  <c r="G27" i="2" s="1"/>
  <c r="L26" i="4"/>
  <c r="I26" i="4"/>
  <c r="J26" i="4" s="1"/>
  <c r="H26" i="4"/>
  <c r="D26" i="4"/>
  <c r="L25" i="4"/>
  <c r="I25" i="4"/>
  <c r="H25" i="4"/>
  <c r="J25" i="4" s="1"/>
  <c r="D25" i="4"/>
  <c r="L24" i="4"/>
  <c r="K24" i="4"/>
  <c r="I24" i="4"/>
  <c r="H24" i="4"/>
  <c r="J24" i="4" s="1"/>
  <c r="D24" i="4"/>
  <c r="M23" i="4"/>
  <c r="L23" i="4"/>
  <c r="K23" i="4"/>
  <c r="J23" i="4"/>
  <c r="I23" i="4"/>
  <c r="H23" i="4"/>
  <c r="D23" i="4"/>
  <c r="L22" i="4"/>
  <c r="I22" i="4"/>
  <c r="H22" i="4"/>
  <c r="D22" i="4"/>
  <c r="L21" i="4"/>
  <c r="I21" i="4"/>
  <c r="H21" i="4"/>
  <c r="J21" i="4" s="1"/>
  <c r="K21" i="4" s="1"/>
  <c r="D21" i="4"/>
  <c r="L20" i="4"/>
  <c r="I20" i="4"/>
  <c r="H20" i="4"/>
  <c r="J20" i="4" s="1"/>
  <c r="D20" i="4"/>
  <c r="L19" i="4"/>
  <c r="J19" i="4"/>
  <c r="I19" i="4"/>
  <c r="H19" i="4"/>
  <c r="D19" i="4"/>
  <c r="L18" i="4"/>
  <c r="M18" i="4" s="1"/>
  <c r="J18" i="4"/>
  <c r="K18" i="4" s="1"/>
  <c r="I18" i="4"/>
  <c r="H18" i="4"/>
  <c r="D18" i="4"/>
  <c r="L17" i="4"/>
  <c r="I17" i="4"/>
  <c r="H17" i="4"/>
  <c r="J17" i="4" s="1"/>
  <c r="D17" i="4"/>
  <c r="L16" i="4"/>
  <c r="J16" i="4"/>
  <c r="I16" i="4"/>
  <c r="H16" i="4"/>
  <c r="D16" i="4"/>
  <c r="K16" i="4" s="1"/>
  <c r="L15" i="4"/>
  <c r="I15" i="4"/>
  <c r="J15" i="4" s="1"/>
  <c r="H15" i="4"/>
  <c r="D15" i="4"/>
  <c r="L14" i="4"/>
  <c r="I14" i="4"/>
  <c r="J14" i="4" s="1"/>
  <c r="H14" i="4"/>
  <c r="D14" i="4"/>
  <c r="L13" i="4"/>
  <c r="I13" i="4"/>
  <c r="H13" i="4"/>
  <c r="J13" i="4" s="1"/>
  <c r="D13" i="4"/>
  <c r="L12" i="4"/>
  <c r="K12" i="4"/>
  <c r="I12" i="4"/>
  <c r="H12" i="4"/>
  <c r="J12" i="4" s="1"/>
  <c r="D12" i="4"/>
  <c r="L11" i="4"/>
  <c r="K11" i="4"/>
  <c r="M11" i="4" s="1"/>
  <c r="J11" i="4"/>
  <c r="I11" i="4"/>
  <c r="H11" i="4"/>
  <c r="D11" i="4"/>
  <c r="M10" i="4"/>
  <c r="L10" i="4"/>
  <c r="I10" i="4"/>
  <c r="H10" i="4"/>
  <c r="J10" i="4" s="1"/>
  <c r="K10" i="4" s="1"/>
  <c r="D10" i="4"/>
  <c r="L9" i="4"/>
  <c r="I9" i="4"/>
  <c r="H9" i="4"/>
  <c r="J9" i="4" s="1"/>
  <c r="K9" i="4" s="1"/>
  <c r="D9" i="4"/>
  <c r="L8" i="4"/>
  <c r="J8" i="4"/>
  <c r="I8" i="4"/>
  <c r="H8" i="4"/>
  <c r="D8" i="4"/>
  <c r="L7" i="4"/>
  <c r="J7" i="4"/>
  <c r="I7" i="4"/>
  <c r="H7" i="4"/>
  <c r="D7" i="4"/>
  <c r="L6" i="4"/>
  <c r="J6" i="4"/>
  <c r="K6" i="4" s="1"/>
  <c r="I6" i="4"/>
  <c r="H6" i="4"/>
  <c r="D6" i="4"/>
  <c r="L5" i="4"/>
  <c r="I5" i="4"/>
  <c r="H5" i="4"/>
  <c r="J5" i="4" s="1"/>
  <c r="D5" i="4"/>
  <c r="L4" i="4"/>
  <c r="J4" i="4"/>
  <c r="I4" i="4"/>
  <c r="H4" i="4"/>
  <c r="K4" i="4"/>
  <c r="L3" i="4"/>
  <c r="J3" i="4"/>
  <c r="I3" i="4"/>
  <c r="H3" i="4"/>
  <c r="D3" i="4"/>
  <c r="AB13" i="3"/>
  <c r="AA13" i="3"/>
  <c r="Y13" i="3"/>
  <c r="X13" i="3"/>
  <c r="S13" i="3"/>
  <c r="R13" i="3" s="1"/>
  <c r="O13" i="3"/>
  <c r="N13" i="3" s="1"/>
  <c r="J13" i="3"/>
  <c r="I13" i="3" s="1"/>
  <c r="AD12" i="3"/>
  <c r="AB12" i="3"/>
  <c r="AA12" i="3"/>
  <c r="AC12" i="3" s="1"/>
  <c r="Y12" i="3"/>
  <c r="AE12" i="3" s="1"/>
  <c r="D12" i="3" s="1"/>
  <c r="X12" i="3"/>
  <c r="S12" i="3"/>
  <c r="R12" i="3"/>
  <c r="O12" i="3"/>
  <c r="N12" i="3"/>
  <c r="J12" i="3"/>
  <c r="I12" i="3"/>
  <c r="AB11" i="3"/>
  <c r="AA11" i="3"/>
  <c r="Y11" i="3"/>
  <c r="X11" i="3"/>
  <c r="AD11" i="3" s="1"/>
  <c r="S11" i="3"/>
  <c r="R11" i="3" s="1"/>
  <c r="O11" i="3"/>
  <c r="N11" i="3"/>
  <c r="J11" i="3"/>
  <c r="I11" i="3" s="1"/>
  <c r="AE10" i="3"/>
  <c r="AD10" i="3"/>
  <c r="AF10" i="3" s="1"/>
  <c r="AB10" i="3"/>
  <c r="AA10" i="3"/>
  <c r="AC10" i="3" s="1"/>
  <c r="Z10" i="3"/>
  <c r="Y10" i="3"/>
  <c r="X10" i="3"/>
  <c r="S10" i="3"/>
  <c r="R10" i="3"/>
  <c r="O10" i="3"/>
  <c r="N10" i="3"/>
  <c r="J10" i="3"/>
  <c r="I10" i="3" s="1"/>
  <c r="D10" i="3"/>
  <c r="AE9" i="3"/>
  <c r="AC9" i="3"/>
  <c r="AB9" i="3"/>
  <c r="AA9" i="3"/>
  <c r="Y9" i="3"/>
  <c r="X9" i="3"/>
  <c r="S9" i="3"/>
  <c r="R9" i="3" s="1"/>
  <c r="O9" i="3"/>
  <c r="N9" i="3" s="1"/>
  <c r="J9" i="3"/>
  <c r="I9" i="3" s="1"/>
  <c r="E9" i="3"/>
  <c r="D9" i="3"/>
  <c r="AE8" i="3"/>
  <c r="AD8" i="3"/>
  <c r="AF8" i="3" s="1"/>
  <c r="AC8" i="3"/>
  <c r="AB8" i="3"/>
  <c r="AA8" i="3"/>
  <c r="Z8" i="3"/>
  <c r="Y8" i="3"/>
  <c r="X8" i="3"/>
  <c r="S8" i="3"/>
  <c r="R8" i="3" s="1"/>
  <c r="O8" i="3"/>
  <c r="N8" i="3" s="1"/>
  <c r="J8" i="3"/>
  <c r="I8" i="3"/>
  <c r="D8" i="3"/>
  <c r="AB7" i="3"/>
  <c r="AA7" i="3"/>
  <c r="Y7" i="3"/>
  <c r="X7" i="3"/>
  <c r="S7" i="3"/>
  <c r="R7" i="3" s="1"/>
  <c r="O7" i="3"/>
  <c r="N7" i="3" s="1"/>
  <c r="J7" i="3"/>
  <c r="I7" i="3"/>
  <c r="AD6" i="3"/>
  <c r="AB6" i="3"/>
  <c r="AA6" i="3"/>
  <c r="AC6" i="3" s="1"/>
  <c r="Y6" i="3"/>
  <c r="AE6" i="3" s="1"/>
  <c r="D6" i="3" s="1"/>
  <c r="X6" i="3"/>
  <c r="S6" i="3"/>
  <c r="R6" i="3"/>
  <c r="O6" i="3"/>
  <c r="N6" i="3"/>
  <c r="J6" i="3"/>
  <c r="I6" i="3"/>
  <c r="AB5" i="3"/>
  <c r="AA5" i="3"/>
  <c r="AC5" i="3" s="1"/>
  <c r="Y5" i="3"/>
  <c r="X5" i="3"/>
  <c r="S5" i="3"/>
  <c r="R5" i="3" s="1"/>
  <c r="O5" i="3"/>
  <c r="N5" i="3" s="1"/>
  <c r="J5" i="3"/>
  <c r="I5" i="3" s="1"/>
  <c r="AE4" i="3"/>
  <c r="AD4" i="3"/>
  <c r="AF4" i="3" s="1"/>
  <c r="AC4" i="3"/>
  <c r="AB4" i="3"/>
  <c r="AA4" i="3"/>
  <c r="Z4" i="3"/>
  <c r="Y4" i="3"/>
  <c r="X4" i="3"/>
  <c r="S4" i="3"/>
  <c r="R4" i="3"/>
  <c r="O4" i="3"/>
  <c r="N4" i="3"/>
  <c r="J4" i="3"/>
  <c r="I4" i="3" s="1"/>
  <c r="D4" i="3"/>
  <c r="AE3" i="3"/>
  <c r="AC3" i="3"/>
  <c r="AB3" i="3"/>
  <c r="AA3" i="3"/>
  <c r="Y3" i="3"/>
  <c r="X3" i="3"/>
  <c r="S3" i="3"/>
  <c r="R3" i="3" s="1"/>
  <c r="O3" i="3"/>
  <c r="N3" i="3" s="1"/>
  <c r="J3" i="3"/>
  <c r="I3" i="3" s="1"/>
  <c r="D3" i="3"/>
  <c r="AA54" i="2"/>
  <c r="Z54" i="2"/>
  <c r="X54" i="2"/>
  <c r="AD54" i="2" s="1"/>
  <c r="I54" i="2" s="1"/>
  <c r="W54" i="2"/>
  <c r="G54" i="2"/>
  <c r="AC53" i="2"/>
  <c r="AA53" i="2"/>
  <c r="Z53" i="2"/>
  <c r="AB53" i="2" s="1"/>
  <c r="X53" i="2"/>
  <c r="AD53" i="2" s="1"/>
  <c r="W53" i="2"/>
  <c r="AA52" i="2"/>
  <c r="Z52" i="2"/>
  <c r="AB52" i="2" s="1"/>
  <c r="X52" i="2"/>
  <c r="AD52" i="2" s="1"/>
  <c r="W52" i="2"/>
  <c r="F52" i="2"/>
  <c r="AD51" i="2"/>
  <c r="AA51" i="2"/>
  <c r="Z51" i="2"/>
  <c r="AC51" i="2" s="1"/>
  <c r="AE51" i="2" s="1"/>
  <c r="E51" i="2" s="1"/>
  <c r="Y51" i="2"/>
  <c r="X51" i="2"/>
  <c r="W51" i="2"/>
  <c r="AD50" i="2"/>
  <c r="AB50" i="2"/>
  <c r="AA50" i="2"/>
  <c r="Z50" i="2"/>
  <c r="X50" i="2"/>
  <c r="W50" i="2"/>
  <c r="G50" i="2"/>
  <c r="AD49" i="2"/>
  <c r="AC49" i="2"/>
  <c r="AB49" i="2"/>
  <c r="AA49" i="2"/>
  <c r="Z49" i="2"/>
  <c r="Y49" i="2"/>
  <c r="X49" i="2"/>
  <c r="W49" i="2"/>
  <c r="G49" i="2"/>
  <c r="AA48" i="2"/>
  <c r="Z48" i="2"/>
  <c r="AB48" i="2" s="1"/>
  <c r="X48" i="2"/>
  <c r="AD48" i="2" s="1"/>
  <c r="W48" i="2"/>
  <c r="G48" i="2"/>
  <c r="AC47" i="2"/>
  <c r="AE47" i="2" s="1"/>
  <c r="E47" i="2" s="1"/>
  <c r="AA47" i="2"/>
  <c r="Z47" i="2"/>
  <c r="AB47" i="2" s="1"/>
  <c r="Y47" i="2"/>
  <c r="X47" i="2"/>
  <c r="AD47" i="2" s="1"/>
  <c r="W47" i="2"/>
  <c r="G47" i="2"/>
  <c r="AA46" i="2"/>
  <c r="AB46" i="2" s="1"/>
  <c r="Z46" i="2"/>
  <c r="X46" i="2"/>
  <c r="AD46" i="2" s="1"/>
  <c r="W46" i="2"/>
  <c r="G46" i="2"/>
  <c r="AD45" i="2"/>
  <c r="AB45" i="2"/>
  <c r="AA45" i="2"/>
  <c r="Z45" i="2"/>
  <c r="AC45" i="2" s="1"/>
  <c r="AE45" i="2" s="1"/>
  <c r="E45" i="2" s="1"/>
  <c r="Y45" i="2"/>
  <c r="X45" i="2"/>
  <c r="W45" i="2"/>
  <c r="G45" i="2"/>
  <c r="AA44" i="2"/>
  <c r="AD44" i="2" s="1"/>
  <c r="Z44" i="2"/>
  <c r="X44" i="2"/>
  <c r="W44" i="2"/>
  <c r="G44" i="2"/>
  <c r="AD43" i="2"/>
  <c r="AC43" i="2"/>
  <c r="AE43" i="2" s="1"/>
  <c r="E43" i="2" s="1"/>
  <c r="AB43" i="2"/>
  <c r="AA43" i="2"/>
  <c r="Z43" i="2"/>
  <c r="Y43" i="2"/>
  <c r="X43" i="2"/>
  <c r="W43" i="2"/>
  <c r="G43" i="2"/>
  <c r="AA42" i="2"/>
  <c r="AB42" i="2" s="1"/>
  <c r="Z42" i="2"/>
  <c r="X42" i="2"/>
  <c r="AD42" i="2" s="1"/>
  <c r="W42" i="2"/>
  <c r="G42" i="2"/>
  <c r="AA41" i="2"/>
  <c r="Z41" i="2"/>
  <c r="AB41" i="2" s="1"/>
  <c r="X41" i="2"/>
  <c r="AD41" i="2" s="1"/>
  <c r="W41" i="2"/>
  <c r="AA40" i="2"/>
  <c r="Z40" i="2"/>
  <c r="AB40" i="2" s="1"/>
  <c r="X40" i="2"/>
  <c r="AD40" i="2" s="1"/>
  <c r="I40" i="2" s="1"/>
  <c r="W40" i="2"/>
  <c r="AD39" i="2"/>
  <c r="AA39" i="2"/>
  <c r="Z39" i="2"/>
  <c r="X39" i="2"/>
  <c r="Y39" i="2" s="1"/>
  <c r="W39" i="2"/>
  <c r="AD38" i="2"/>
  <c r="AA38" i="2"/>
  <c r="Z38" i="2"/>
  <c r="AB38" i="2" s="1"/>
  <c r="X38" i="2"/>
  <c r="W38" i="2"/>
  <c r="G38" i="2"/>
  <c r="AD37" i="2"/>
  <c r="AC37" i="2"/>
  <c r="AE37" i="2" s="1"/>
  <c r="AB37" i="2"/>
  <c r="AA37" i="2"/>
  <c r="Z37" i="2"/>
  <c r="Y37" i="2"/>
  <c r="X37" i="2"/>
  <c r="W37" i="2"/>
  <c r="G37" i="2"/>
  <c r="E37" i="2"/>
  <c r="AA36" i="2"/>
  <c r="AB36" i="2" s="1"/>
  <c r="Z36" i="2"/>
  <c r="X36" i="2"/>
  <c r="AD36" i="2" s="1"/>
  <c r="W36" i="2"/>
  <c r="AA35" i="2"/>
  <c r="Z35" i="2"/>
  <c r="AB35" i="2" s="1"/>
  <c r="X35" i="2"/>
  <c r="AD35" i="2" s="1"/>
  <c r="W35" i="2"/>
  <c r="U35" i="2"/>
  <c r="G35" i="2"/>
  <c r="AA34" i="2"/>
  <c r="AB34" i="2" s="1"/>
  <c r="Z34" i="2"/>
  <c r="X34" i="2"/>
  <c r="W34" i="2"/>
  <c r="G34" i="2"/>
  <c r="AC33" i="2"/>
  <c r="AA33" i="2"/>
  <c r="Z33" i="2"/>
  <c r="AB33" i="2" s="1"/>
  <c r="X33" i="2"/>
  <c r="AD33" i="2" s="1"/>
  <c r="W33" i="2"/>
  <c r="G33" i="2"/>
  <c r="AA32" i="2"/>
  <c r="AD32" i="2" s="1"/>
  <c r="Z32" i="2"/>
  <c r="AB32" i="2" s="1"/>
  <c r="X32" i="2"/>
  <c r="W32" i="2"/>
  <c r="G32" i="2"/>
  <c r="AD31" i="2"/>
  <c r="AC31" i="2"/>
  <c r="AE31" i="2" s="1"/>
  <c r="AB31" i="2"/>
  <c r="AA31" i="2"/>
  <c r="Z31" i="2"/>
  <c r="Y31" i="2"/>
  <c r="X31" i="2"/>
  <c r="W31" i="2"/>
  <c r="G31" i="2"/>
  <c r="E31" i="2"/>
  <c r="AA30" i="2"/>
  <c r="Z30" i="2"/>
  <c r="X30" i="2"/>
  <c r="W30" i="2"/>
  <c r="G30" i="2"/>
  <c r="AC29" i="2"/>
  <c r="AE29" i="2" s="1"/>
  <c r="AA29" i="2"/>
  <c r="Z29" i="2"/>
  <c r="AB29" i="2" s="1"/>
  <c r="Y29" i="2"/>
  <c r="X29" i="2"/>
  <c r="AD29" i="2" s="1"/>
  <c r="W29" i="2"/>
  <c r="G29" i="2"/>
  <c r="E29" i="2"/>
  <c r="AC28" i="2"/>
  <c r="AA28" i="2"/>
  <c r="Z28" i="2"/>
  <c r="AB28" i="2" s="1"/>
  <c r="X28" i="2"/>
  <c r="W28" i="2"/>
  <c r="Y28" i="2" s="1"/>
  <c r="G28" i="2"/>
  <c r="AC27" i="2"/>
  <c r="AA27" i="2"/>
  <c r="Z27" i="2"/>
  <c r="AB27" i="2" s="1"/>
  <c r="Y27" i="2"/>
  <c r="X27" i="2"/>
  <c r="AD27" i="2" s="1"/>
  <c r="W27" i="2"/>
  <c r="AA26" i="2"/>
  <c r="Z26" i="2"/>
  <c r="AC26" i="2" s="1"/>
  <c r="Y26" i="2"/>
  <c r="X26" i="2"/>
  <c r="AD26" i="2" s="1"/>
  <c r="W26" i="2"/>
  <c r="G26" i="2"/>
  <c r="AC25" i="2"/>
  <c r="AA25" i="2"/>
  <c r="AB25" i="2" s="1"/>
  <c r="Z25" i="2"/>
  <c r="X25" i="2"/>
  <c r="Y25" i="2" s="1"/>
  <c r="W25" i="2"/>
  <c r="G25" i="2"/>
  <c r="AD24" i="2"/>
  <c r="AC24" i="2"/>
  <c r="AE24" i="2" s="1"/>
  <c r="E24" i="2" s="1"/>
  <c r="AA24" i="2"/>
  <c r="Z24" i="2"/>
  <c r="AB24" i="2" s="1"/>
  <c r="X24" i="2"/>
  <c r="Y24" i="2" s="1"/>
  <c r="W24" i="2"/>
  <c r="G24" i="2"/>
  <c r="AE23" i="2"/>
  <c r="E23" i="2" s="1"/>
  <c r="AD23" i="2"/>
  <c r="I23" i="2" s="1"/>
  <c r="AB23" i="2"/>
  <c r="AA23" i="2"/>
  <c r="Z23" i="2"/>
  <c r="X23" i="2"/>
  <c r="W23" i="2"/>
  <c r="AC23" i="2" s="1"/>
  <c r="G23" i="2"/>
  <c r="F23" i="2"/>
  <c r="AD22" i="2"/>
  <c r="AB22" i="2"/>
  <c r="AA22" i="2"/>
  <c r="Z22" i="2"/>
  <c r="Y22" i="2"/>
  <c r="X22" i="2"/>
  <c r="W22" i="2"/>
  <c r="AC22" i="2" s="1"/>
  <c r="AE22" i="2" s="1"/>
  <c r="E22" i="2" s="1"/>
  <c r="G22" i="2"/>
  <c r="AA21" i="2"/>
  <c r="Z21" i="2"/>
  <c r="AB21" i="2" s="1"/>
  <c r="X21" i="2"/>
  <c r="AD21" i="2" s="1"/>
  <c r="I21" i="2" s="1"/>
  <c r="W21" i="2"/>
  <c r="G21" i="2"/>
  <c r="AA20" i="2"/>
  <c r="Z20" i="2"/>
  <c r="AC20" i="2" s="1"/>
  <c r="Y20" i="2"/>
  <c r="X20" i="2"/>
  <c r="AD20" i="2" s="1"/>
  <c r="W20" i="2"/>
  <c r="G20" i="2"/>
  <c r="AC19" i="2"/>
  <c r="AA19" i="2"/>
  <c r="AB19" i="2" s="1"/>
  <c r="Z19" i="2"/>
  <c r="X19" i="2"/>
  <c r="Y19" i="2" s="1"/>
  <c r="W19" i="2"/>
  <c r="G19" i="2"/>
  <c r="AC18" i="2"/>
  <c r="AE18" i="2" s="1"/>
  <c r="E18" i="2" s="1"/>
  <c r="AA18" i="2"/>
  <c r="Z18" i="2"/>
  <c r="AB18" i="2" s="1"/>
  <c r="X18" i="2"/>
  <c r="AD18" i="2" s="1"/>
  <c r="W18" i="2"/>
  <c r="Y18" i="2" s="1"/>
  <c r="G18" i="2"/>
  <c r="AE17" i="2"/>
  <c r="E17" i="2" s="1"/>
  <c r="AD17" i="2"/>
  <c r="I17" i="2" s="1"/>
  <c r="AA17" i="2"/>
  <c r="Z17" i="2"/>
  <c r="AB17" i="2" s="1"/>
  <c r="X17" i="2"/>
  <c r="W17" i="2"/>
  <c r="AC17" i="2" s="1"/>
  <c r="G17" i="2"/>
  <c r="F17" i="2"/>
  <c r="AD16" i="2"/>
  <c r="AB16" i="2"/>
  <c r="AA16" i="2"/>
  <c r="Z16" i="2"/>
  <c r="Y16" i="2"/>
  <c r="X16" i="2"/>
  <c r="W16" i="2"/>
  <c r="AC16" i="2" s="1"/>
  <c r="AE16" i="2" s="1"/>
  <c r="E16" i="2" s="1"/>
  <c r="G16" i="2"/>
  <c r="AA15" i="2"/>
  <c r="Z15" i="2"/>
  <c r="AB15" i="2" s="1"/>
  <c r="X15" i="2"/>
  <c r="AD15" i="2" s="1"/>
  <c r="I15" i="2" s="1"/>
  <c r="W15" i="2"/>
  <c r="G15" i="2"/>
  <c r="AA14" i="2"/>
  <c r="Z14" i="2"/>
  <c r="AC14" i="2" s="1"/>
  <c r="Y14" i="2"/>
  <c r="X14" i="2"/>
  <c r="AD14" i="2" s="1"/>
  <c r="W14" i="2"/>
  <c r="G14" i="2"/>
  <c r="AA13" i="2"/>
  <c r="AB13" i="2" s="1"/>
  <c r="Z13" i="2"/>
  <c r="AC13" i="2" s="1"/>
  <c r="X13" i="2"/>
  <c r="Y13" i="2" s="1"/>
  <c r="W13" i="2"/>
  <c r="U13" i="2"/>
  <c r="T13" i="2" s="1"/>
  <c r="Q13" i="2" s="1"/>
  <c r="H13" i="2" s="1"/>
  <c r="G13" i="2"/>
  <c r="AC12" i="2"/>
  <c r="AA12" i="2"/>
  <c r="Z12" i="2"/>
  <c r="AB12" i="2" s="1"/>
  <c r="X12" i="2"/>
  <c r="AD12" i="2" s="1"/>
  <c r="W12" i="2"/>
  <c r="Y12" i="2" s="1"/>
  <c r="G12" i="2"/>
  <c r="AE11" i="2"/>
  <c r="E11" i="2" s="1"/>
  <c r="AD11" i="2"/>
  <c r="I11" i="2" s="1"/>
  <c r="AA11" i="2"/>
  <c r="Z11" i="2"/>
  <c r="AB11" i="2" s="1"/>
  <c r="X11" i="2"/>
  <c r="W11" i="2"/>
  <c r="AC11" i="2" s="1"/>
  <c r="G11" i="2"/>
  <c r="F11" i="2"/>
  <c r="AD10" i="2"/>
  <c r="AB10" i="2"/>
  <c r="AA10" i="2"/>
  <c r="Z10" i="2"/>
  <c r="Y10" i="2"/>
  <c r="X10" i="2"/>
  <c r="W10" i="2"/>
  <c r="AC10" i="2" s="1"/>
  <c r="AE10" i="2" s="1"/>
  <c r="E10" i="2" s="1"/>
  <c r="U10" i="2"/>
  <c r="R10" i="2" s="1"/>
  <c r="O10" i="2" s="1"/>
  <c r="G10" i="2"/>
  <c r="AD9" i="2"/>
  <c r="I9" i="2" s="1"/>
  <c r="AA9" i="2"/>
  <c r="Z9" i="2"/>
  <c r="AB9" i="2" s="1"/>
  <c r="X9" i="2"/>
  <c r="W9" i="2"/>
  <c r="U9" i="2"/>
  <c r="T9" i="2" s="1"/>
  <c r="Q9" i="2" s="1"/>
  <c r="H9" i="2" s="1"/>
  <c r="G9" i="2"/>
  <c r="AA8" i="2"/>
  <c r="Z8" i="2"/>
  <c r="AC8" i="2" s="1"/>
  <c r="Y8" i="2"/>
  <c r="X8" i="2"/>
  <c r="AD8" i="2" s="1"/>
  <c r="W8" i="2"/>
  <c r="U8" i="2"/>
  <c r="T8" i="2" s="1"/>
  <c r="Q8" i="2" s="1"/>
  <c r="H8" i="2" s="1"/>
  <c r="G8" i="2"/>
  <c r="AA7" i="2"/>
  <c r="AB7" i="2" s="1"/>
  <c r="Z7" i="2"/>
  <c r="AC7" i="2" s="1"/>
  <c r="X7" i="2"/>
  <c r="Y7" i="2" s="1"/>
  <c r="W7" i="2"/>
  <c r="U7" i="2"/>
  <c r="T7" i="2" s="1"/>
  <c r="Q7" i="2" s="1"/>
  <c r="H7" i="2" s="1"/>
  <c r="G7" i="2"/>
  <c r="F7" i="2"/>
  <c r="AC6" i="2"/>
  <c r="AA6" i="2"/>
  <c r="Z6" i="2"/>
  <c r="AB6" i="2" s="1"/>
  <c r="X6" i="2"/>
  <c r="AD6" i="2" s="1"/>
  <c r="W6" i="2"/>
  <c r="Y6" i="2" s="1"/>
  <c r="G6" i="2"/>
  <c r="F6" i="2"/>
  <c r="AD5" i="2"/>
  <c r="I5" i="2" s="1"/>
  <c r="AB5" i="2"/>
  <c r="AA5" i="2"/>
  <c r="Z5" i="2"/>
  <c r="X5" i="2"/>
  <c r="W5" i="2"/>
  <c r="AC5" i="2" s="1"/>
  <c r="AE5" i="2" s="1"/>
  <c r="E5" i="2" s="1"/>
  <c r="U5" i="2"/>
  <c r="S5" i="2" s="1"/>
  <c r="P5" i="2" s="1"/>
  <c r="T5" i="2"/>
  <c r="Q5" i="2" s="1"/>
  <c r="H5" i="2" s="1"/>
  <c r="G5" i="2"/>
  <c r="F5" i="2"/>
  <c r="AD4" i="2"/>
  <c r="AB4" i="2"/>
  <c r="AA4" i="2"/>
  <c r="Z4" i="2"/>
  <c r="X4" i="2"/>
  <c r="W4" i="2"/>
  <c r="AC4" i="2" s="1"/>
  <c r="U4" i="2"/>
  <c r="T4" i="2" s="1"/>
  <c r="Q4" i="2" s="1"/>
  <c r="H4" i="2" s="1"/>
  <c r="I4" i="2"/>
  <c r="G4" i="2"/>
  <c r="F4" i="2"/>
  <c r="AD3" i="2"/>
  <c r="AA3" i="2"/>
  <c r="Z3" i="2"/>
  <c r="X3" i="2"/>
  <c r="W3" i="2"/>
  <c r="AC3" i="2" s="1"/>
  <c r="U3" i="2"/>
  <c r="R3" i="2" s="1"/>
  <c r="O3" i="2" s="1"/>
  <c r="G3" i="2"/>
  <c r="T9" i="3"/>
  <c r="T3" i="2" l="1"/>
  <c r="Q3" i="2" s="1"/>
  <c r="H3" i="2" s="1"/>
  <c r="T10" i="2"/>
  <c r="Q10" i="2" s="1"/>
  <c r="H10" i="2" s="1"/>
  <c r="S3" i="2"/>
  <c r="P3" i="2" s="1"/>
  <c r="J9" i="2"/>
  <c r="L9" i="2" s="1"/>
  <c r="J4" i="2"/>
  <c r="L4" i="2" s="1"/>
  <c r="S9" i="2"/>
  <c r="P9" i="2" s="1"/>
  <c r="J5" i="2"/>
  <c r="L5" i="2" s="1"/>
  <c r="R5" i="2"/>
  <c r="O5" i="2" s="1"/>
  <c r="S8" i="2"/>
  <c r="P8" i="2" s="1"/>
  <c r="AC21" i="2"/>
  <c r="AE21" i="2" s="1"/>
  <c r="E21" i="2" s="1"/>
  <c r="Y21" i="2"/>
  <c r="AC9" i="2"/>
  <c r="AE9" i="2" s="1"/>
  <c r="E9" i="2" s="1"/>
  <c r="Y9" i="2"/>
  <c r="AC15" i="2"/>
  <c r="AE15" i="2" s="1"/>
  <c r="E15" i="2" s="1"/>
  <c r="Y15" i="2"/>
  <c r="AD30" i="2"/>
  <c r="AB30" i="2"/>
  <c r="I48" i="2"/>
  <c r="AC39" i="2"/>
  <c r="AE39" i="2" s="1"/>
  <c r="E39" i="2" s="1"/>
  <c r="AB39" i="2"/>
  <c r="K51" i="4"/>
  <c r="M51" i="4" s="1"/>
  <c r="K56" i="4"/>
  <c r="M56" i="4" s="1"/>
  <c r="AE6" i="2"/>
  <c r="E6" i="2" s="1"/>
  <c r="I18" i="2"/>
  <c r="AE27" i="2"/>
  <c r="E27" i="2" s="1"/>
  <c r="I29" i="2"/>
  <c r="I36" i="2"/>
  <c r="F9" i="3"/>
  <c r="K20" i="4"/>
  <c r="M20" i="4" s="1"/>
  <c r="K38" i="4"/>
  <c r="M38" i="4" s="1"/>
  <c r="I6" i="2"/>
  <c r="K5" i="2"/>
  <c r="K57" i="4"/>
  <c r="M57" i="4" s="1"/>
  <c r="I44" i="2"/>
  <c r="AE3" i="2"/>
  <c r="J8" i="2"/>
  <c r="L8" i="2" s="1"/>
  <c r="M8" i="2" s="1"/>
  <c r="I8" i="2"/>
  <c r="I12" i="2"/>
  <c r="I20" i="2"/>
  <c r="I26" i="2"/>
  <c r="K15" i="4"/>
  <c r="M15" i="4" s="1"/>
  <c r="K44" i="4"/>
  <c r="M44" i="4" s="1"/>
  <c r="I33" i="2"/>
  <c r="K9" i="3"/>
  <c r="L9" i="3" s="1"/>
  <c r="P9" i="3"/>
  <c r="I32" i="2"/>
  <c r="I42" i="2"/>
  <c r="Y3" i="2"/>
  <c r="AE8" i="2"/>
  <c r="E8" i="2" s="1"/>
  <c r="I14" i="2"/>
  <c r="AE20" i="2"/>
  <c r="E20" i="2" s="1"/>
  <c r="AE26" i="2"/>
  <c r="E26" i="2" s="1"/>
  <c r="P11" i="3"/>
  <c r="K11" i="3"/>
  <c r="L11" i="3" s="1"/>
  <c r="M39" i="4"/>
  <c r="K39" i="4"/>
  <c r="AB3" i="2"/>
  <c r="R4" i="2"/>
  <c r="O4" i="2" s="1"/>
  <c r="S4" i="2"/>
  <c r="P4" i="2" s="1"/>
  <c r="AE12" i="2"/>
  <c r="E12" i="2" s="1"/>
  <c r="R35" i="2"/>
  <c r="O35" i="2" s="1"/>
  <c r="S35" i="2"/>
  <c r="P35" i="2" s="1"/>
  <c r="T35" i="2"/>
  <c r="Q35" i="2" s="1"/>
  <c r="H35" i="2" s="1"/>
  <c r="M63" i="4"/>
  <c r="K63" i="4"/>
  <c r="K32" i="4"/>
  <c r="M32" i="4" s="1"/>
  <c r="I27" i="2"/>
  <c r="K27" i="4"/>
  <c r="M27" i="4" s="1"/>
  <c r="AE4" i="2"/>
  <c r="E4" i="2" s="1"/>
  <c r="AE14" i="2"/>
  <c r="E14" i="2" s="1"/>
  <c r="M8" i="4"/>
  <c r="K8" i="4"/>
  <c r="S10" i="2"/>
  <c r="P10" i="2" s="1"/>
  <c r="U15" i="2"/>
  <c r="U21" i="2"/>
  <c r="F34" i="2"/>
  <c r="AC41" i="2"/>
  <c r="AE41" i="2" s="1"/>
  <c r="E41" i="2" s="1"/>
  <c r="Y42" i="2"/>
  <c r="AC42" i="2"/>
  <c r="AE42" i="2" s="1"/>
  <c r="E42" i="2" s="1"/>
  <c r="Y48" i="2"/>
  <c r="AC48" i="2"/>
  <c r="AE48" i="2" s="1"/>
  <c r="E48" i="2" s="1"/>
  <c r="AE5" i="3"/>
  <c r="D5" i="3" s="1"/>
  <c r="E5" i="3" s="1"/>
  <c r="K3" i="4"/>
  <c r="M3" i="4" s="1"/>
  <c r="J22" i="4"/>
  <c r="M24" i="4"/>
  <c r="K29" i="4"/>
  <c r="M29" i="4" s="1"/>
  <c r="M31" i="4"/>
  <c r="K31" i="4"/>
  <c r="I10" i="2"/>
  <c r="I16" i="2"/>
  <c r="U16" i="2"/>
  <c r="J16" i="2" s="1"/>
  <c r="L16" i="2" s="1"/>
  <c r="M16" i="2" s="1"/>
  <c r="I22" i="2"/>
  <c r="U22" i="2"/>
  <c r="J22" i="2" s="1"/>
  <c r="L22" i="2" s="1"/>
  <c r="U29" i="2"/>
  <c r="J29" i="2" s="1"/>
  <c r="L29" i="2" s="1"/>
  <c r="M29" i="2" s="1"/>
  <c r="F32" i="2"/>
  <c r="U40" i="2"/>
  <c r="J40" i="2" s="1"/>
  <c r="L40" i="2" s="1"/>
  <c r="M40" i="2" s="1"/>
  <c r="F42" i="2"/>
  <c r="F44" i="2"/>
  <c r="E6" i="3"/>
  <c r="Z7" i="3"/>
  <c r="AD7" i="3"/>
  <c r="E10" i="3"/>
  <c r="J34" i="4"/>
  <c r="K41" i="4"/>
  <c r="M41" i="4" s="1"/>
  <c r="K43" i="4"/>
  <c r="M43" i="4" s="1"/>
  <c r="F12" i="2"/>
  <c r="F18" i="2"/>
  <c r="F24" i="2"/>
  <c r="J35" i="2"/>
  <c r="L35" i="2" s="1"/>
  <c r="M35" i="2" s="1"/>
  <c r="AC40" i="2"/>
  <c r="AE40" i="2" s="1"/>
  <c r="E40" i="2" s="1"/>
  <c r="Y40" i="2"/>
  <c r="AB44" i="2"/>
  <c r="I47" i="2"/>
  <c r="U53" i="2"/>
  <c r="U54" i="2"/>
  <c r="T3" i="3"/>
  <c r="Z6" i="3"/>
  <c r="AE7" i="3"/>
  <c r="D7" i="3" s="1"/>
  <c r="E7" i="3" s="1"/>
  <c r="F7" i="3" s="1"/>
  <c r="AE11" i="3"/>
  <c r="D11" i="3" s="1"/>
  <c r="E11" i="3" s="1"/>
  <c r="F11" i="3" s="1"/>
  <c r="M13" i="4"/>
  <c r="K50" i="4"/>
  <c r="M50" i="4" s="1"/>
  <c r="AD7" i="2"/>
  <c r="AB8" i="2"/>
  <c r="U11" i="2"/>
  <c r="AD13" i="2"/>
  <c r="AB14" i="2"/>
  <c r="U17" i="2"/>
  <c r="AD19" i="2"/>
  <c r="AB20" i="2"/>
  <c r="U23" i="2"/>
  <c r="J23" i="2" s="1"/>
  <c r="L23" i="2" s="1"/>
  <c r="M23" i="2" s="1"/>
  <c r="AD25" i="2"/>
  <c r="AB26" i="2"/>
  <c r="U31" i="2"/>
  <c r="J31" i="2" s="1"/>
  <c r="L31" i="2" s="1"/>
  <c r="M31" i="2" s="1"/>
  <c r="Y35" i="2"/>
  <c r="I37" i="2"/>
  <c r="U43" i="2"/>
  <c r="J43" i="2" s="1"/>
  <c r="L43" i="2" s="1"/>
  <c r="M43" i="2" s="1"/>
  <c r="F48" i="2"/>
  <c r="K48" i="2" s="1"/>
  <c r="Y54" i="2"/>
  <c r="AC54" i="2"/>
  <c r="AE54" i="2" s="1"/>
  <c r="E54" i="2" s="1"/>
  <c r="AD3" i="3"/>
  <c r="AF3" i="3" s="1"/>
  <c r="Z3" i="3"/>
  <c r="AC7" i="3"/>
  <c r="AC11" i="3"/>
  <c r="M6" i="4"/>
  <c r="K36" i="4"/>
  <c r="M36" i="4" s="1"/>
  <c r="J46" i="4"/>
  <c r="M48" i="4"/>
  <c r="K53" i="4"/>
  <c r="M53" i="4" s="1"/>
  <c r="M55" i="4"/>
  <c r="K55" i="4"/>
  <c r="M62" i="4"/>
  <c r="K62" i="4"/>
  <c r="R7" i="2"/>
  <c r="O7" i="2" s="1"/>
  <c r="F13" i="2"/>
  <c r="R13" i="2"/>
  <c r="O13" i="2" s="1"/>
  <c r="F19" i="2"/>
  <c r="K19" i="2" s="1"/>
  <c r="F25" i="2"/>
  <c r="K25" i="2" s="1"/>
  <c r="I39" i="2"/>
  <c r="AC50" i="2"/>
  <c r="AE50" i="2" s="1"/>
  <c r="E50" i="2" s="1"/>
  <c r="Y50" i="2"/>
  <c r="J53" i="2"/>
  <c r="L53" i="2" s="1"/>
  <c r="E12" i="3"/>
  <c r="Z13" i="3"/>
  <c r="AD13" i="3"/>
  <c r="M4" i="4"/>
  <c r="K13" i="4"/>
  <c r="U6" i="2"/>
  <c r="S7" i="2"/>
  <c r="P7" i="2" s="1"/>
  <c r="U12" i="2"/>
  <c r="S13" i="2"/>
  <c r="P13" i="2" s="1"/>
  <c r="U18" i="2"/>
  <c r="I24" i="2"/>
  <c r="U24" i="2"/>
  <c r="J24" i="2" s="1"/>
  <c r="L24" i="2" s="1"/>
  <c r="M24" i="2" s="1"/>
  <c r="Y33" i="2"/>
  <c r="I35" i="2"/>
  <c r="U36" i="2"/>
  <c r="AC38" i="2"/>
  <c r="AE38" i="2" s="1"/>
  <c r="E38" i="2" s="1"/>
  <c r="Y38" i="2"/>
  <c r="F40" i="2"/>
  <c r="U41" i="2"/>
  <c r="AC52" i="2"/>
  <c r="AE52" i="2" s="1"/>
  <c r="E52" i="2" s="1"/>
  <c r="Y53" i="2"/>
  <c r="AB54" i="2"/>
  <c r="AF6" i="3"/>
  <c r="E8" i="3"/>
  <c r="Z12" i="3"/>
  <c r="AE13" i="3"/>
  <c r="D13" i="3" s="1"/>
  <c r="E13" i="3" s="1"/>
  <c r="J58" i="4"/>
  <c r="Y4" i="2"/>
  <c r="U50" i="2"/>
  <c r="U44" i="2"/>
  <c r="U38" i="2"/>
  <c r="J38" i="2" s="1"/>
  <c r="L38" i="2" s="1"/>
  <c r="U32" i="2"/>
  <c r="T10" i="3"/>
  <c r="T4" i="3"/>
  <c r="F51" i="2"/>
  <c r="F45" i="2"/>
  <c r="F39" i="2"/>
  <c r="F33" i="2"/>
  <c r="U49" i="2"/>
  <c r="T8" i="3"/>
  <c r="T1" i="3"/>
  <c r="F49" i="2"/>
  <c r="F43" i="2"/>
  <c r="K43" i="2" s="1"/>
  <c r="F37" i="2"/>
  <c r="F31" i="2"/>
  <c r="T13" i="3"/>
  <c r="T7" i="3"/>
  <c r="F54" i="2"/>
  <c r="U52" i="2"/>
  <c r="J52" i="2" s="1"/>
  <c r="L52" i="2" s="1"/>
  <c r="U46" i="2"/>
  <c r="T12" i="3"/>
  <c r="T6" i="3"/>
  <c r="F53" i="2"/>
  <c r="F47" i="2"/>
  <c r="F41" i="2"/>
  <c r="K41" i="2" s="1"/>
  <c r="F35" i="2"/>
  <c r="F29" i="2"/>
  <c r="U51" i="2"/>
  <c r="U45" i="2"/>
  <c r="J45" i="2" s="1"/>
  <c r="L45" i="2" s="1"/>
  <c r="M45" i="2" s="1"/>
  <c r="U39" i="2"/>
  <c r="J39" i="2" s="1"/>
  <c r="L39" i="2" s="1"/>
  <c r="U33" i="2"/>
  <c r="Y5" i="2"/>
  <c r="F8" i="2"/>
  <c r="R8" i="2"/>
  <c r="O8" i="2" s="1"/>
  <c r="Y11" i="2"/>
  <c r="F14" i="2"/>
  <c r="Y17" i="2"/>
  <c r="F20" i="2"/>
  <c r="Y23" i="2"/>
  <c r="F26" i="2"/>
  <c r="U28" i="2"/>
  <c r="AC35" i="2"/>
  <c r="AE35" i="2" s="1"/>
  <c r="E35" i="2" s="1"/>
  <c r="Y36" i="2"/>
  <c r="AC36" i="2"/>
  <c r="AE36" i="2" s="1"/>
  <c r="E36" i="2" s="1"/>
  <c r="AC46" i="2"/>
  <c r="AE46" i="2" s="1"/>
  <c r="E46" i="2" s="1"/>
  <c r="Y46" i="2"/>
  <c r="AE49" i="2"/>
  <c r="E49" i="2" s="1"/>
  <c r="I52" i="2"/>
  <c r="AD9" i="3"/>
  <c r="AF9" i="3" s="1"/>
  <c r="Z9" i="3"/>
  <c r="AC13" i="3"/>
  <c r="M16" i="4"/>
  <c r="K25" i="4"/>
  <c r="M25" i="4" s="1"/>
  <c r="M37" i="4"/>
  <c r="M60" i="4"/>
  <c r="U19" i="2"/>
  <c r="U25" i="2"/>
  <c r="F28" i="2"/>
  <c r="I31" i="2"/>
  <c r="I46" i="2"/>
  <c r="I49" i="2"/>
  <c r="K5" i="4"/>
  <c r="M5" i="4"/>
  <c r="K7" i="4"/>
  <c r="M7" i="4" s="1"/>
  <c r="M9" i="4"/>
  <c r="M30" i="4"/>
  <c r="K40" i="4"/>
  <c r="G40" i="2"/>
  <c r="K60" i="4"/>
  <c r="F3" i="2"/>
  <c r="F9" i="2"/>
  <c r="R9" i="2"/>
  <c r="O9" i="2" s="1"/>
  <c r="F15" i="2"/>
  <c r="F21" i="2"/>
  <c r="F27" i="2"/>
  <c r="AD28" i="2"/>
  <c r="AE28" i="2" s="1"/>
  <c r="E28" i="2" s="1"/>
  <c r="U30" i="2"/>
  <c r="U34" i="2"/>
  <c r="F36" i="2"/>
  <c r="F38" i="2"/>
  <c r="Y41" i="2"/>
  <c r="I43" i="2"/>
  <c r="U47" i="2"/>
  <c r="J47" i="2" s="1"/>
  <c r="L47" i="2" s="1"/>
  <c r="M47" i="2" s="1"/>
  <c r="AE53" i="2"/>
  <c r="E53" i="2" s="1"/>
  <c r="AF12" i="3"/>
  <c r="K14" i="4"/>
  <c r="M14" i="4" s="1"/>
  <c r="M28" i="4"/>
  <c r="J49" i="4"/>
  <c r="U14" i="2"/>
  <c r="U20" i="2"/>
  <c r="U26" i="2"/>
  <c r="J26" i="2" s="1"/>
  <c r="L26" i="2" s="1"/>
  <c r="M26" i="2" s="1"/>
  <c r="U27" i="2"/>
  <c r="Y30" i="2"/>
  <c r="AC30" i="2"/>
  <c r="AE30" i="2" s="1"/>
  <c r="E30" i="2" s="1"/>
  <c r="AE33" i="2"/>
  <c r="E33" i="2" s="1"/>
  <c r="AC34" i="2"/>
  <c r="Y34" i="2"/>
  <c r="I45" i="2"/>
  <c r="F50" i="2"/>
  <c r="I50" i="2"/>
  <c r="AB51" i="2"/>
  <c r="T5" i="3"/>
  <c r="M12" i="4"/>
  <c r="K17" i="4"/>
  <c r="M17" i="4"/>
  <c r="K19" i="4"/>
  <c r="M19" i="4" s="1"/>
  <c r="M21" i="4"/>
  <c r="K52" i="4"/>
  <c r="M52" i="4" s="1"/>
  <c r="G52" i="2"/>
  <c r="F10" i="2"/>
  <c r="F16" i="2"/>
  <c r="F22" i="2"/>
  <c r="F30" i="2"/>
  <c r="AC32" i="2"/>
  <c r="AE32" i="2" s="1"/>
  <c r="E32" i="2" s="1"/>
  <c r="Y32" i="2"/>
  <c r="AD34" i="2"/>
  <c r="U37" i="2"/>
  <c r="J37" i="2" s="1"/>
  <c r="L37" i="2" s="1"/>
  <c r="M37" i="2" s="1"/>
  <c r="I38" i="2"/>
  <c r="I41" i="2"/>
  <c r="U42" i="2"/>
  <c r="J42" i="2" s="1"/>
  <c r="L42" i="2" s="1"/>
  <c r="AC44" i="2"/>
  <c r="AE44" i="2" s="1"/>
  <c r="E44" i="2" s="1"/>
  <c r="Y44" i="2"/>
  <c r="F46" i="2"/>
  <c r="U48" i="2"/>
  <c r="I53" i="2"/>
  <c r="E4" i="3"/>
  <c r="AD5" i="3"/>
  <c r="AF5" i="3" s="1"/>
  <c r="K26" i="4"/>
  <c r="M26" i="4" s="1"/>
  <c r="M40" i="4"/>
  <c r="J61" i="4"/>
  <c r="I51" i="2"/>
  <c r="Y52" i="2"/>
  <c r="Z5" i="3"/>
  <c r="Z11" i="3"/>
  <c r="F4" i="3" l="1"/>
  <c r="J10" i="2" s="1"/>
  <c r="L10" i="2" s="1"/>
  <c r="M10" i="2" s="1"/>
  <c r="F3" i="3"/>
  <c r="M9" i="2"/>
  <c r="F13" i="3"/>
  <c r="J49" i="2" s="1"/>
  <c r="L49" i="2" s="1"/>
  <c r="J33" i="2"/>
  <c r="L33" i="2" s="1"/>
  <c r="M33" i="2" s="1"/>
  <c r="K9" i="2"/>
  <c r="N9" i="2" s="1"/>
  <c r="N43" i="2"/>
  <c r="K35" i="2"/>
  <c r="N35" i="2" s="1"/>
  <c r="M4" i="2"/>
  <c r="K8" i="2"/>
  <c r="N8" i="2" s="1"/>
  <c r="K4" i="2"/>
  <c r="N4" i="2" s="1"/>
  <c r="M5" i="2"/>
  <c r="N5" i="2" s="1"/>
  <c r="F12" i="3"/>
  <c r="J44" i="2" s="1"/>
  <c r="L44" i="2" s="1"/>
  <c r="M44" i="2" s="1"/>
  <c r="M52" i="2"/>
  <c r="T32" i="2"/>
  <c r="Q32" i="2" s="1"/>
  <c r="H32" i="2" s="1"/>
  <c r="S32" i="2"/>
  <c r="P32" i="2" s="1"/>
  <c r="R32" i="2"/>
  <c r="O32" i="2" s="1"/>
  <c r="T18" i="2"/>
  <c r="Q18" i="2" s="1"/>
  <c r="H18" i="2" s="1"/>
  <c r="S18" i="2"/>
  <c r="P18" i="2" s="1"/>
  <c r="R18" i="2"/>
  <c r="O18" i="2" s="1"/>
  <c r="K49" i="4"/>
  <c r="M49" i="4" s="1"/>
  <c r="T30" i="2"/>
  <c r="Q30" i="2" s="1"/>
  <c r="H30" i="2" s="1"/>
  <c r="S30" i="2"/>
  <c r="P30" i="2" s="1"/>
  <c r="R30" i="2"/>
  <c r="O30" i="2" s="1"/>
  <c r="T38" i="2"/>
  <c r="S38" i="2"/>
  <c r="P38" i="2" s="1"/>
  <c r="R38" i="2"/>
  <c r="O38" i="2" s="1"/>
  <c r="F6" i="3"/>
  <c r="J30" i="2"/>
  <c r="L30" i="2" s="1"/>
  <c r="M30" i="2" s="1"/>
  <c r="I30" i="2"/>
  <c r="M38" i="2"/>
  <c r="T17" i="2"/>
  <c r="S17" i="2"/>
  <c r="P17" i="2" s="1"/>
  <c r="R17" i="2"/>
  <c r="O17" i="2" s="1"/>
  <c r="K3" i="3"/>
  <c r="L3" i="3" s="1"/>
  <c r="P3" i="3"/>
  <c r="AF11" i="3"/>
  <c r="T42" i="2"/>
  <c r="Q42" i="2" s="1"/>
  <c r="H42" i="2" s="1"/>
  <c r="S42" i="2"/>
  <c r="P42" i="2" s="1"/>
  <c r="R42" i="2"/>
  <c r="O42" i="2" s="1"/>
  <c r="T20" i="2"/>
  <c r="Q20" i="2" s="1"/>
  <c r="H20" i="2" s="1"/>
  <c r="S20" i="2"/>
  <c r="P20" i="2" s="1"/>
  <c r="R20" i="2"/>
  <c r="O20" i="2" s="1"/>
  <c r="J25" i="2"/>
  <c r="L25" i="2" s="1"/>
  <c r="M25" i="2" s="1"/>
  <c r="N25" i="2" s="1"/>
  <c r="I25" i="2"/>
  <c r="AE25" i="2"/>
  <c r="E25" i="2" s="1"/>
  <c r="T14" i="2"/>
  <c r="Q14" i="2" s="1"/>
  <c r="H14" i="2" s="1"/>
  <c r="S14" i="2"/>
  <c r="P14" i="2" s="1"/>
  <c r="R14" i="2"/>
  <c r="O14" i="2" s="1"/>
  <c r="T34" i="2"/>
  <c r="Q34" i="2" s="1"/>
  <c r="H34" i="2" s="1"/>
  <c r="S34" i="2"/>
  <c r="P34" i="2" s="1"/>
  <c r="R34" i="2"/>
  <c r="O34" i="2" s="1"/>
  <c r="P6" i="3"/>
  <c r="K6" i="3"/>
  <c r="L6" i="3" s="1"/>
  <c r="K8" i="3"/>
  <c r="L8" i="3" s="1"/>
  <c r="P8" i="3"/>
  <c r="T6" i="2"/>
  <c r="S6" i="2"/>
  <c r="P6" i="2" s="1"/>
  <c r="R6" i="2"/>
  <c r="O6" i="2" s="1"/>
  <c r="T54" i="2"/>
  <c r="Q54" i="2" s="1"/>
  <c r="H54" i="2" s="1"/>
  <c r="R54" i="2"/>
  <c r="O54" i="2" s="1"/>
  <c r="S54" i="2"/>
  <c r="P54" i="2" s="1"/>
  <c r="T40" i="2"/>
  <c r="Q40" i="2" s="1"/>
  <c r="H40" i="2" s="1"/>
  <c r="S40" i="2"/>
  <c r="P40" i="2" s="1"/>
  <c r="R40" i="2"/>
  <c r="O40" i="2" s="1"/>
  <c r="J32" i="2"/>
  <c r="L32" i="2" s="1"/>
  <c r="M32" i="2" s="1"/>
  <c r="AE34" i="2"/>
  <c r="E34" i="2" s="1"/>
  <c r="P12" i="3"/>
  <c r="K12" i="3"/>
  <c r="L12" i="3" s="1"/>
  <c r="R49" i="2"/>
  <c r="O49" i="2" s="1"/>
  <c r="S49" i="2"/>
  <c r="P49" i="2" s="1"/>
  <c r="T49" i="2"/>
  <c r="Q49" i="2" s="1"/>
  <c r="H49" i="2" s="1"/>
  <c r="K58" i="4"/>
  <c r="M58" i="4" s="1"/>
  <c r="M42" i="2" s="1"/>
  <c r="I13" i="2"/>
  <c r="T53" i="2"/>
  <c r="Q53" i="2" s="1"/>
  <c r="H53" i="2" s="1"/>
  <c r="S53" i="2"/>
  <c r="P53" i="2" s="1"/>
  <c r="R53" i="2"/>
  <c r="O53" i="2" s="1"/>
  <c r="J6" i="2"/>
  <c r="L6" i="2" s="1"/>
  <c r="M6" i="2" s="1"/>
  <c r="K10" i="3"/>
  <c r="L10" i="3" s="1"/>
  <c r="P10" i="3"/>
  <c r="R43" i="2"/>
  <c r="O43" i="2" s="1"/>
  <c r="T43" i="2"/>
  <c r="Q43" i="2" s="1"/>
  <c r="H43" i="2" s="1"/>
  <c r="S43" i="2"/>
  <c r="P43" i="2" s="1"/>
  <c r="J11" i="2"/>
  <c r="L11" i="2" s="1"/>
  <c r="M11" i="2" s="1"/>
  <c r="T11" i="2"/>
  <c r="S11" i="2"/>
  <c r="P11" i="2" s="1"/>
  <c r="R11" i="2"/>
  <c r="O11" i="2" s="1"/>
  <c r="K22" i="4"/>
  <c r="M22" i="4" s="1"/>
  <c r="M22" i="2" s="1"/>
  <c r="R29" i="2"/>
  <c r="O29" i="2" s="1"/>
  <c r="S29" i="2"/>
  <c r="P29" i="2" s="1"/>
  <c r="T29" i="2"/>
  <c r="Q29" i="2" s="1"/>
  <c r="H29" i="2" s="1"/>
  <c r="J18" i="2"/>
  <c r="L18" i="2" s="1"/>
  <c r="M18" i="2" s="1"/>
  <c r="K46" i="4"/>
  <c r="M46" i="4" s="1"/>
  <c r="J7" i="2"/>
  <c r="L7" i="2" s="1"/>
  <c r="M7" i="2" s="1"/>
  <c r="I7" i="2"/>
  <c r="K7" i="2" s="1"/>
  <c r="R22" i="2"/>
  <c r="O22" i="2" s="1"/>
  <c r="S22" i="2"/>
  <c r="P22" i="2" s="1"/>
  <c r="T22" i="2"/>
  <c r="Q22" i="2" s="1"/>
  <c r="H22" i="2" s="1"/>
  <c r="P5" i="3"/>
  <c r="K5" i="3"/>
  <c r="L5" i="3" s="1"/>
  <c r="S33" i="2"/>
  <c r="P33" i="2" s="1"/>
  <c r="R33" i="2"/>
  <c r="O33" i="2" s="1"/>
  <c r="T33" i="2"/>
  <c r="Q33" i="2" s="1"/>
  <c r="H33" i="2" s="1"/>
  <c r="T52" i="2"/>
  <c r="Q52" i="2" s="1"/>
  <c r="H52" i="2" s="1"/>
  <c r="S52" i="2"/>
  <c r="P52" i="2" s="1"/>
  <c r="R52" i="2"/>
  <c r="O52" i="2" s="1"/>
  <c r="S39" i="2"/>
  <c r="P39" i="2" s="1"/>
  <c r="R39" i="2"/>
  <c r="O39" i="2" s="1"/>
  <c r="T39" i="2"/>
  <c r="Q39" i="2" s="1"/>
  <c r="H39" i="2" s="1"/>
  <c r="F8" i="3"/>
  <c r="J27" i="2" s="1"/>
  <c r="L27" i="2" s="1"/>
  <c r="M27" i="2" s="1"/>
  <c r="S27" i="2"/>
  <c r="P27" i="2" s="1"/>
  <c r="T27" i="2"/>
  <c r="Q27" i="2" s="1"/>
  <c r="H27" i="2" s="1"/>
  <c r="R27" i="2"/>
  <c r="O27" i="2" s="1"/>
  <c r="T28" i="2"/>
  <c r="Q28" i="2" s="1"/>
  <c r="H28" i="2" s="1"/>
  <c r="S28" i="2"/>
  <c r="P28" i="2" s="1"/>
  <c r="R28" i="2"/>
  <c r="O28" i="2" s="1"/>
  <c r="S45" i="2"/>
  <c r="P45" i="2" s="1"/>
  <c r="R45" i="2"/>
  <c r="O45" i="2" s="1"/>
  <c r="T45" i="2"/>
  <c r="Q45" i="2" s="1"/>
  <c r="H45" i="2" s="1"/>
  <c r="K7" i="3"/>
  <c r="L7" i="3" s="1"/>
  <c r="P7" i="3"/>
  <c r="AF13" i="3"/>
  <c r="J17" i="2"/>
  <c r="L17" i="2" s="1"/>
  <c r="M17" i="2" s="1"/>
  <c r="R31" i="2"/>
  <c r="O31" i="2" s="1"/>
  <c r="T31" i="2"/>
  <c r="Q31" i="2" s="1"/>
  <c r="H31" i="2" s="1"/>
  <c r="S31" i="2"/>
  <c r="P31" i="2" s="1"/>
  <c r="K34" i="4"/>
  <c r="M34" i="4" s="1"/>
  <c r="F5" i="3"/>
  <c r="J13" i="2" s="1"/>
  <c r="L13" i="2" s="1"/>
  <c r="M13" i="2" s="1"/>
  <c r="T21" i="2"/>
  <c r="Q21" i="2" s="1"/>
  <c r="H21" i="2" s="1"/>
  <c r="S21" i="2"/>
  <c r="P21" i="2" s="1"/>
  <c r="R21" i="2"/>
  <c r="O21" i="2" s="1"/>
  <c r="J21" i="2"/>
  <c r="L21" i="2" s="1"/>
  <c r="M21" i="2" s="1"/>
  <c r="AE13" i="2"/>
  <c r="E13" i="2" s="1"/>
  <c r="J28" i="2"/>
  <c r="L28" i="2" s="1"/>
  <c r="M28" i="2" s="1"/>
  <c r="I28" i="2"/>
  <c r="T25" i="2"/>
  <c r="Q25" i="2" s="1"/>
  <c r="H25" i="2" s="1"/>
  <c r="S25" i="2"/>
  <c r="P25" i="2" s="1"/>
  <c r="R25" i="2"/>
  <c r="O25" i="2" s="1"/>
  <c r="T44" i="2"/>
  <c r="Q44" i="2" s="1"/>
  <c r="H44" i="2" s="1"/>
  <c r="S44" i="2"/>
  <c r="P44" i="2" s="1"/>
  <c r="R44" i="2"/>
  <c r="O44" i="2" s="1"/>
  <c r="R41" i="2"/>
  <c r="O41" i="2" s="1"/>
  <c r="T41" i="2"/>
  <c r="Q41" i="2" s="1"/>
  <c r="H41" i="2" s="1"/>
  <c r="S41" i="2"/>
  <c r="P41" i="2" s="1"/>
  <c r="T12" i="2"/>
  <c r="Q12" i="2" s="1"/>
  <c r="H12" i="2" s="1"/>
  <c r="S12" i="2"/>
  <c r="P12" i="2" s="1"/>
  <c r="R12" i="2"/>
  <c r="O12" i="2" s="1"/>
  <c r="J19" i="2"/>
  <c r="L19" i="2" s="1"/>
  <c r="M19" i="2" s="1"/>
  <c r="N19" i="2" s="1"/>
  <c r="I19" i="2"/>
  <c r="AE19" i="2"/>
  <c r="E19" i="2" s="1"/>
  <c r="J12" i="2"/>
  <c r="L12" i="2" s="1"/>
  <c r="M12" i="2" s="1"/>
  <c r="W4" i="3"/>
  <c r="G4" i="3" s="1"/>
  <c r="K10" i="2" s="1"/>
  <c r="N10" i="2" s="1"/>
  <c r="R37" i="2"/>
  <c r="O37" i="2" s="1"/>
  <c r="T37" i="2"/>
  <c r="Q37" i="2" s="1"/>
  <c r="H37" i="2" s="1"/>
  <c r="S37" i="2"/>
  <c r="P37" i="2" s="1"/>
  <c r="T19" i="2"/>
  <c r="Q19" i="2" s="1"/>
  <c r="H19" i="2" s="1"/>
  <c r="S19" i="2"/>
  <c r="P19" i="2" s="1"/>
  <c r="R19" i="2"/>
  <c r="O19" i="2" s="1"/>
  <c r="T50" i="2"/>
  <c r="Q50" i="2" s="1"/>
  <c r="H50" i="2" s="1"/>
  <c r="S50" i="2"/>
  <c r="P50" i="2" s="1"/>
  <c r="R50" i="2"/>
  <c r="O50" i="2" s="1"/>
  <c r="J34" i="2"/>
  <c r="L34" i="2" s="1"/>
  <c r="I34" i="2"/>
  <c r="K34" i="2" s="1"/>
  <c r="T48" i="2"/>
  <c r="Q48" i="2" s="1"/>
  <c r="H48" i="2" s="1"/>
  <c r="S48" i="2"/>
  <c r="P48" i="2" s="1"/>
  <c r="R48" i="2"/>
  <c r="O48" i="2" s="1"/>
  <c r="U10" i="3"/>
  <c r="V10" i="3" s="1"/>
  <c r="U4" i="3"/>
  <c r="V4" i="3" s="1"/>
  <c r="U9" i="3"/>
  <c r="V9" i="3" s="1"/>
  <c r="U3" i="3"/>
  <c r="V3" i="3" s="1"/>
  <c r="W3" i="3" s="1"/>
  <c r="U12" i="3"/>
  <c r="V12" i="3" s="1"/>
  <c r="W12" i="3" s="1"/>
  <c r="G12" i="3" s="1"/>
  <c r="K44" i="2" s="1"/>
  <c r="U6" i="3"/>
  <c r="V6" i="3" s="1"/>
  <c r="U11" i="3"/>
  <c r="V11" i="3" s="1"/>
  <c r="W11" i="3" s="1"/>
  <c r="G11" i="3" s="1"/>
  <c r="K39" i="2" s="1"/>
  <c r="U5" i="3"/>
  <c r="V5" i="3" s="1"/>
  <c r="U13" i="3"/>
  <c r="V13" i="3" s="1"/>
  <c r="W13" i="3" s="1"/>
  <c r="G13" i="3" s="1"/>
  <c r="K49" i="2" s="1"/>
  <c r="U8" i="3"/>
  <c r="V8" i="3" s="1"/>
  <c r="U7" i="3"/>
  <c r="V7" i="3" s="1"/>
  <c r="W7" i="3" s="1"/>
  <c r="G7" i="3" s="1"/>
  <c r="K21" i="2" s="1"/>
  <c r="T46" i="2"/>
  <c r="Q46" i="2" s="1"/>
  <c r="H46" i="2" s="1"/>
  <c r="S46" i="2"/>
  <c r="P46" i="2" s="1"/>
  <c r="R46" i="2"/>
  <c r="O46" i="2" s="1"/>
  <c r="J46" i="2"/>
  <c r="L46" i="2" s="1"/>
  <c r="T36" i="2"/>
  <c r="Q36" i="2" s="1"/>
  <c r="H36" i="2" s="1"/>
  <c r="S36" i="2"/>
  <c r="P36" i="2" s="1"/>
  <c r="R36" i="2"/>
  <c r="O36" i="2" s="1"/>
  <c r="S47" i="2"/>
  <c r="P47" i="2" s="1"/>
  <c r="R47" i="2"/>
  <c r="O47" i="2" s="1"/>
  <c r="T47" i="2"/>
  <c r="Q47" i="2" s="1"/>
  <c r="H47" i="2" s="1"/>
  <c r="M61" i="4"/>
  <c r="M39" i="2" s="1"/>
  <c r="K61" i="4"/>
  <c r="T26" i="2"/>
  <c r="Q26" i="2" s="1"/>
  <c r="H26" i="2" s="1"/>
  <c r="S26" i="2"/>
  <c r="P26" i="2" s="1"/>
  <c r="R26" i="2"/>
  <c r="O26" i="2" s="1"/>
  <c r="J41" i="2"/>
  <c r="L41" i="2" s="1"/>
  <c r="M41" i="2" s="1"/>
  <c r="N41" i="2" s="1"/>
  <c r="S51" i="2"/>
  <c r="P51" i="2" s="1"/>
  <c r="R51" i="2"/>
  <c r="O51" i="2" s="1"/>
  <c r="T51" i="2"/>
  <c r="Q51" i="2" s="1"/>
  <c r="H51" i="2" s="1"/>
  <c r="K13" i="3"/>
  <c r="L13" i="3" s="1"/>
  <c r="P13" i="3"/>
  <c r="K4" i="3"/>
  <c r="L4" i="3" s="1"/>
  <c r="P4" i="3"/>
  <c r="T24" i="2"/>
  <c r="Q24" i="2" s="1"/>
  <c r="H24" i="2" s="1"/>
  <c r="S24" i="2"/>
  <c r="P24" i="2" s="1"/>
  <c r="R24" i="2"/>
  <c r="O24" i="2" s="1"/>
  <c r="F10" i="3"/>
  <c r="R16" i="2"/>
  <c r="O16" i="2" s="1"/>
  <c r="S16" i="2"/>
  <c r="P16" i="2" s="1"/>
  <c r="T16" i="2"/>
  <c r="Q16" i="2" s="1"/>
  <c r="H16" i="2" s="1"/>
  <c r="J54" i="2"/>
  <c r="L54" i="2" s="1"/>
  <c r="M54" i="2" s="1"/>
  <c r="T15" i="2"/>
  <c r="Q15" i="2" s="1"/>
  <c r="H15" i="2" s="1"/>
  <c r="S15" i="2"/>
  <c r="P15" i="2" s="1"/>
  <c r="R15" i="2"/>
  <c r="O15" i="2" s="1"/>
  <c r="J15" i="2"/>
  <c r="L15" i="2" s="1"/>
  <c r="M15" i="2" s="1"/>
  <c r="AF7" i="3"/>
  <c r="J51" i="2"/>
  <c r="L51" i="2" s="1"/>
  <c r="M51" i="2" s="1"/>
  <c r="J14" i="2"/>
  <c r="L14" i="2" s="1"/>
  <c r="M14" i="2" s="1"/>
  <c r="J20" i="2"/>
  <c r="L20" i="2" s="1"/>
  <c r="M20" i="2" s="1"/>
  <c r="W9" i="3"/>
  <c r="G9" i="3" s="1"/>
  <c r="K33" i="2" s="1"/>
  <c r="N33" i="2" s="1"/>
  <c r="AE7" i="2"/>
  <c r="E7" i="2" s="1"/>
  <c r="J48" i="2"/>
  <c r="L48" i="2" s="1"/>
  <c r="M48" i="2" s="1"/>
  <c r="N48" i="2" s="1"/>
  <c r="M53" i="2"/>
  <c r="T23" i="2"/>
  <c r="S23" i="2"/>
  <c r="P23" i="2" s="1"/>
  <c r="R23" i="2"/>
  <c r="O23" i="2" s="1"/>
  <c r="J50" i="2"/>
  <c r="L50" i="2" s="1"/>
  <c r="M50" i="2" s="1"/>
  <c r="K3" i="2" l="1"/>
  <c r="G3" i="3"/>
  <c r="J3" i="2"/>
  <c r="L3" i="2" s="1"/>
  <c r="M3" i="2" s="1"/>
  <c r="M49" i="2"/>
  <c r="N49" i="2" s="1"/>
  <c r="K30" i="2"/>
  <c r="N30" i="2" s="1"/>
  <c r="N44" i="2"/>
  <c r="W10" i="3"/>
  <c r="G10" i="3" s="1"/>
  <c r="K36" i="2" s="1"/>
  <c r="K40" i="2"/>
  <c r="N40" i="2" s="1"/>
  <c r="K28" i="2"/>
  <c r="N28" i="2" s="1"/>
  <c r="N39" i="2"/>
  <c r="J36" i="2"/>
  <c r="L36" i="2" s="1"/>
  <c r="M36" i="2" s="1"/>
  <c r="K45" i="2"/>
  <c r="N45" i="2" s="1"/>
  <c r="M46" i="2"/>
  <c r="Q38" i="2"/>
  <c r="H38" i="2" s="1"/>
  <c r="K38" i="2"/>
  <c r="N38" i="2" s="1"/>
  <c r="K31" i="2"/>
  <c r="N31" i="2" s="1"/>
  <c r="K29" i="2"/>
  <c r="N29" i="2" s="1"/>
  <c r="K16" i="2"/>
  <c r="N16" i="2" s="1"/>
  <c r="N7" i="2"/>
  <c r="Q11" i="2"/>
  <c r="H11" i="2" s="1"/>
  <c r="K11" i="2"/>
  <c r="N11" i="2" s="1"/>
  <c r="K26" i="2"/>
  <c r="N26" i="2" s="1"/>
  <c r="Q17" i="2"/>
  <c r="H17" i="2" s="1"/>
  <c r="K17" i="2"/>
  <c r="N17" i="2" s="1"/>
  <c r="K32" i="2"/>
  <c r="N32" i="2" s="1"/>
  <c r="K15" i="2"/>
  <c r="N15" i="2" s="1"/>
  <c r="W8" i="3"/>
  <c r="G8" i="3" s="1"/>
  <c r="K27" i="2" s="1"/>
  <c r="N27" i="2" s="1"/>
  <c r="K52" i="2"/>
  <c r="N52" i="2" s="1"/>
  <c r="K22" i="2"/>
  <c r="N22" i="2" s="1"/>
  <c r="K42" i="2"/>
  <c r="N42" i="2" s="1"/>
  <c r="K54" i="2"/>
  <c r="N54" i="2" s="1"/>
  <c r="W6" i="3"/>
  <c r="G6" i="3" s="1"/>
  <c r="K51" i="2"/>
  <c r="N51" i="2" s="1"/>
  <c r="N21" i="2"/>
  <c r="M34" i="2"/>
  <c r="N34" i="2" s="1"/>
  <c r="K24" i="2"/>
  <c r="N24" i="2" s="1"/>
  <c r="K50" i="2"/>
  <c r="N50" i="2" s="1"/>
  <c r="K18" i="2"/>
  <c r="N18" i="2" s="1"/>
  <c r="K14" i="2"/>
  <c r="N14" i="2" s="1"/>
  <c r="Q23" i="2"/>
  <c r="H23" i="2" s="1"/>
  <c r="K23" i="2"/>
  <c r="N23" i="2" s="1"/>
  <c r="N36" i="2"/>
  <c r="K47" i="2"/>
  <c r="N47" i="2" s="1"/>
  <c r="W5" i="3"/>
  <c r="G5" i="3" s="1"/>
  <c r="K13" i="2" s="1"/>
  <c r="N13" i="2" s="1"/>
  <c r="Q6" i="2"/>
  <c r="H6" i="2" s="1"/>
  <c r="K6" i="2"/>
  <c r="N6" i="2" s="1"/>
  <c r="K12" i="2"/>
  <c r="N12" i="2" s="1"/>
  <c r="K20" i="2"/>
  <c r="N20" i="2" s="1"/>
  <c r="K53" i="2"/>
  <c r="N53" i="2" s="1"/>
  <c r="K46" i="2"/>
  <c r="K37" i="2"/>
  <c r="N37" i="2" s="1"/>
  <c r="N3" i="2" l="1"/>
  <c r="N46" i="2"/>
</calcChain>
</file>

<file path=xl/sharedStrings.xml><?xml version="1.0" encoding="utf-8"?>
<sst xmlns="http://schemas.openxmlformats.org/spreadsheetml/2006/main" count="637" uniqueCount="173">
  <si>
    <t>Nhà thuốc</t>
  </si>
  <si>
    <t>Tên nhân viên</t>
  </si>
  <si>
    <t>Số giao dịch off</t>
  </si>
  <si>
    <t>Doanh thu off</t>
  </si>
  <si>
    <t>Số giao dịch onl</t>
  </si>
  <si>
    <t>Doanh thu onl</t>
  </si>
  <si>
    <t>Tổng giao dịch</t>
  </si>
  <si>
    <t>Doanh thu tổng</t>
  </si>
  <si>
    <t>Hàng Bông</t>
  </si>
  <si>
    <t>Nguyễn Mạnh Tuấn</t>
  </si>
  <si>
    <t>Vũ Thanh Hằng</t>
  </si>
  <si>
    <t>Đinh Thị Khánh Ly</t>
  </si>
  <si>
    <t>Đinh Thị Lan Anh</t>
  </si>
  <si>
    <t>Đỗ Thu Huệ</t>
  </si>
  <si>
    <t>Lê Bình</t>
  </si>
  <si>
    <t>Hoàng Lâm Gia Bảo</t>
  </si>
  <si>
    <t>Hồ Thị Minh Hòa</t>
  </si>
  <si>
    <t>Lê Thị Xuyến</t>
  </si>
  <si>
    <t>Ngô Thị Thanh Thắm</t>
  </si>
  <si>
    <t>Phạm Nguyễn Ngọc Quý</t>
  </si>
  <si>
    <t>Đinh Hoài Bảo</t>
  </si>
  <si>
    <t>Minh Châu</t>
  </si>
  <si>
    <t>Nguyễn Ngọc Thùy</t>
  </si>
  <si>
    <t>Phan Công Vũ Tài</t>
  </si>
  <si>
    <t>Thái Thùy Linh</t>
  </si>
  <si>
    <t>Đoàn Quốc Tâm</t>
  </si>
  <si>
    <t>Nam Hòa</t>
  </si>
  <si>
    <t>Bùi Thị Thanh Thủy</t>
  </si>
  <si>
    <t>Dương Thị Huỳnh Như</t>
  </si>
  <si>
    <t>Nguyễn Thị Huyền Trang</t>
  </si>
  <si>
    <t>Trần Thị Ánh Nguyệt</t>
  </si>
  <si>
    <t>Nguyễn Chí Thanh</t>
  </si>
  <si>
    <t>Lê Thị Quỳnh Trâm</t>
  </si>
  <si>
    <t>Lý Thục Mi</t>
  </si>
  <si>
    <t>Nguyễn Thị Hồng Hạnh</t>
  </si>
  <si>
    <t>Trần Hoàng Khánh</t>
  </si>
  <si>
    <t>Đỗ Thị Phương Thảo</t>
  </si>
  <si>
    <t>Nguyễn Thị Thập</t>
  </si>
  <si>
    <t>Cao Trọng Nhân</t>
  </si>
  <si>
    <t>Ngô Thị Ngọc Thủy</t>
  </si>
  <si>
    <t>Triệu Thị Ngọc Lý</t>
  </si>
  <si>
    <t>Trần Thành Đạt</t>
  </si>
  <si>
    <t>Nguyễn Văn Quá</t>
  </si>
  <si>
    <t>Hồ Ngọc Lý</t>
  </si>
  <si>
    <t>Nguyễn Thị Hương Giang</t>
  </si>
  <si>
    <t>Nguyễn Thị Thu Huyền</t>
  </si>
  <si>
    <t>Phạm Nguyễn Ngọc Quyền Trân</t>
  </si>
  <si>
    <t>Võ Ngọc Giàu Sang</t>
  </si>
  <si>
    <t>Rạch Bùng Binh</t>
  </si>
  <si>
    <t>Cù Thị Tường Vy</t>
  </si>
  <si>
    <t>Huỳnh Thị Huệ Hiền</t>
  </si>
  <si>
    <t>Nguyễn Thị Phúc Lộc</t>
  </si>
  <si>
    <t>Trường Sa</t>
  </si>
  <si>
    <t>Nguyễn Ngọc Anh Thư</t>
  </si>
  <si>
    <t>Nguyễn Trần Ngọc Phương</t>
  </si>
  <si>
    <t>Trần Thị Kim Khánh</t>
  </si>
  <si>
    <t>Trịnh Thị Phượng</t>
  </si>
  <si>
    <t>Đường Láng</t>
  </si>
  <si>
    <t>Hứa Thị Kim Thoa</t>
  </si>
  <si>
    <t>Lê Thị Soạn</t>
  </si>
  <si>
    <t>Medigo</t>
  </si>
  <si>
    <t>Nguyễn Thị Mai Duyên</t>
  </si>
  <si>
    <t>Nguyễn Thị Tâm</t>
  </si>
  <si>
    <t>Trần Ngọc Dung</t>
  </si>
  <si>
    <t>Đỗ Quang Đẩu</t>
  </si>
  <si>
    <t>Hoàng Thanh Thủy</t>
  </si>
  <si>
    <t>Lê Thị Huyền Trân</t>
  </si>
  <si>
    <t>Phạm Thị Nghĩa Hương</t>
  </si>
  <si>
    <t>Trần Thiên Phát</t>
  </si>
  <si>
    <t>Dữ liệu cập nhật đến ngày</t>
  </si>
  <si>
    <t xml:space="preserve">Mức hoành thành KPI </t>
  </si>
  <si>
    <t>Nhân viên</t>
  </si>
  <si>
    <t>Chức danh</t>
  </si>
  <si>
    <t>KPI trung bình bill</t>
  </si>
  <si>
    <t>Trung bình bill</t>
  </si>
  <si>
    <t>KPI doanh thu CK+Combo+NY3/ngày</t>
  </si>
  <si>
    <t>CK + Combo + NY3/ngày</t>
  </si>
  <si>
    <t>KPI Doanh thu/ngày (100%)</t>
  </si>
  <si>
    <t>Doanh thu thực/ngày</t>
  </si>
  <si>
    <t>% Hoàn thành KPI</t>
  </si>
  <si>
    <t>Thưởng KPI</t>
  </si>
  <si>
    <t>Hệ số * Dự án</t>
  </si>
  <si>
    <t>Thưởng Dự án</t>
  </si>
  <si>
    <t>Thưởng Dự án + KPI + HH</t>
  </si>
  <si>
    <t>KPIs Doanh thu/ngày</t>
  </si>
  <si>
    <t>KPIs Doanh thu/tháng</t>
  </si>
  <si>
    <t>Trung bình bill off</t>
  </si>
  <si>
    <t>Trung bình bill onl</t>
  </si>
  <si>
    <t>Trung bình Bill</t>
  </si>
  <si>
    <t>Q.CHT</t>
  </si>
  <si>
    <t>DSXC</t>
  </si>
  <si>
    <t>DSHV</t>
  </si>
  <si>
    <t>DSCD</t>
  </si>
  <si>
    <t>CHT</t>
  </si>
  <si>
    <t>DSCD (TV)</t>
  </si>
  <si>
    <t>DSXC (TV)</t>
  </si>
  <si>
    <t>Bùi Thị Bích Trâm</t>
  </si>
  <si>
    <t>Trần Thị Phương Thùy</t>
  </si>
  <si>
    <t>BC</t>
  </si>
  <si>
    <t>DSBC</t>
  </si>
  <si>
    <t>Cửa hàng trưởng</t>
  </si>
  <si>
    <t>KPI doanh thu (tháng)</t>
  </si>
  <si>
    <t>Doanh thu thực tế (tháng)</t>
  </si>
  <si>
    <t>Doanh thu thực tế (ngày)</t>
  </si>
  <si>
    <t>Tỷ lệ đạt KPIs</t>
  </si>
  <si>
    <t>Thưởng CHT</t>
  </si>
  <si>
    <t>KPIs mức 1</t>
  </si>
  <si>
    <t>KPIs hàng điểm mức 1</t>
  </si>
  <si>
    <t>KPIs mức 1/tháng</t>
  </si>
  <si>
    <t>KPIs mức 1/ngày</t>
  </si>
  <si>
    <t>KPIs mức 2</t>
  </si>
  <si>
    <t>KPIs hàng điểm mức 2</t>
  </si>
  <si>
    <t>KPIs mức 2/tháng</t>
  </si>
  <si>
    <t>KPIs mức 2/ngày</t>
  </si>
  <si>
    <t>KPIs mức 3</t>
  </si>
  <si>
    <t>KPIs hàng điểm mức 3</t>
  </si>
  <si>
    <t>KPIs mức 3/tháng</t>
  </si>
  <si>
    <t>KPIs mức 3/ngày</t>
  </si>
  <si>
    <t>Doanh thu hàng điểm</t>
  </si>
  <si>
    <t>Hàng điểm/ Doanh thu tổng</t>
  </si>
  <si>
    <t>Xét Đạt KPI</t>
  </si>
  <si>
    <t>Tbbill off</t>
  </si>
  <si>
    <t>Tbbill onl</t>
  </si>
  <si>
    <t>Vũ Ngọc Thanh Thảo</t>
  </si>
  <si>
    <t>NY3</t>
  </si>
  <si>
    <t>Chiết khấu</t>
  </si>
  <si>
    <t>Combo Liều</t>
  </si>
  <si>
    <t>Chiết khấu/ngày</t>
  </si>
  <si>
    <t>Combo Liều/ngày</t>
  </si>
  <si>
    <t>Thưởng dự án</t>
  </si>
  <si>
    <t>Thưởng thêm</t>
  </si>
  <si>
    <t>Thưởng dự án Hot Bill HN</t>
  </si>
  <si>
    <t>Total dự án</t>
  </si>
  <si>
    <t>Mã hóa đơn</t>
  </si>
  <si>
    <t>Thời gian</t>
  </si>
  <si>
    <t>Chi nhánh</t>
  </si>
  <si>
    <t>Tên Dược Sĩ</t>
  </si>
  <si>
    <t>Số lượng SP CK</t>
  </si>
  <si>
    <t>Doanh thu nhóm CK+CKHN</t>
  </si>
  <si>
    <t>Tiền Thưởng (VNĐ)</t>
  </si>
  <si>
    <t>Chi tiết sản phẩm</t>
  </si>
  <si>
    <t>HD1213442</t>
  </si>
  <si>
    <t>CK Advance white glutathion viên uống trắng sáng da lustrel laboratoires (h/60v) (SL: 1, TT: 1,080,000đ)</t>
  </si>
  <si>
    <t>HD1211432</t>
  </si>
  <si>
    <t>HD1211428</t>
  </si>
  <si>
    <t>CK Nutri hair zinc viên uống giúp chống rụng tóc bremedie (h/60v) (SL: 1, TT: 669,000đ) | CK Advance white glutathion viên uống trắng sáng da lustrel laboratoires (h/60v) (SL: 1, TT: 1,080,000đ)</t>
  </si>
  <si>
    <t>HD1211246</t>
  </si>
  <si>
    <t>CK Azinc Vitalite arkopharma (h60v) (SL: 1, TT: 419,000đ) | CK Maca #6 old truths nature's supplements (h/60v) (SL: 1, TT: 660,000đ)</t>
  </si>
  <si>
    <t>HD1209986</t>
  </si>
  <si>
    <t>CK Băng cá nhân vidugo band aid 2cmx7.2cm an phu (h/100m) (SL: 20, TT: 20,000đ) | CKHN Gel bôi nanobac silver (h/20ml) (SL: 1, TT: 100,000đ) | CK Cys-Control family Canneberge Arkopharma (h/20g) (SL: 1, TT: 899,000đ)</t>
  </si>
  <si>
    <t>HD1209678</t>
  </si>
  <si>
    <t>CKHN Orezul bù nước điện giải hương chanh leo yalla (h/20g) (SL: 1, TT: 120,000đ) | CK Probioboost confort gastrique fleurance nature (h/15v) (SL: 2, TT: 832,000đ) | CK Radis noir artichaut bio fleurance nature (h/30v) (SL: 1, TT: 416,000đ)</t>
  </si>
  <si>
    <t>HD1208690</t>
  </si>
  <si>
    <t>CK Probioboost confort gastrique fleurance nature (h/15v) (SL: 2, TT: 832,000đ) | CK Dermosoft decalact (h/20gr) (SL: 1, TT: 140,000đ) | CK All in one vitality viên uống chống oxy hóa sante + (h/60v) (SL: 1, TT: 669,000đ)</t>
  </si>
  <si>
    <t>HD1207430</t>
  </si>
  <si>
    <t>HD1207341</t>
  </si>
  <si>
    <t>CK Bọt vệ sinh ladycare classic (h/190ml) (SL: 1, TT: 179,000đ) | CK Advance white glutathion viên uống trắng sáng da lustrel laboratoires (h/60v) (SL: 1, TT: 1,080,000đ)</t>
  </si>
  <si>
    <t>HD1207081</t>
  </si>
  <si>
    <t>CK Băng cá nhân vidugo band aid 2cmx7.2cm an phu (h/100m) (SL: 3, TT: 3,000đ) | CKHN Orezul bù nước điện giải hương cam yalla (h/20g) (SL: 10, TT: 60,000đ) | CK Probioboost confort gastrique fleurance nature (h/15v) (SL: 2, TT: 832,000đ) | CK Dermosoft decalact (h/20gr) (SL: 1, TT: 140,000đ)</t>
  </si>
  <si>
    <t>HD1205845</t>
  </si>
  <si>
    <t>CK Maca #2 organic femina nature's supplements (h/60v) (SL: 2, TT: 1,320,000đ)</t>
  </si>
  <si>
    <t>HD1205742</t>
  </si>
  <si>
    <t>CKHN Orezul bù nước điện giải hương chanh leo yalla (h/20g) (SL: 1, TT: 120,000đ) | CK Xịt muối biển người lớn Blue salt tinh dầu bạc hà keo ong n-biotech (h/75ml) (SL: 1, TT: 55,000đ) | CK Probioboost confort gastrique fleurance nature (h/15v) (SL: 2, TT: 832,000đ)</t>
  </si>
  <si>
    <t>HD1205734</t>
  </si>
  <si>
    <t>CK Omega 3 viên uống bổ sung omega 3 arkopharma (h/60v) (SL: 3, TT: 1,131,000đ) | CK Ozzotin sleep expert livial (h/10v) (SL: 3, TT: 360,000đ)</t>
  </si>
  <si>
    <t>HD1204902</t>
  </si>
  <si>
    <t>CK Probioboost confort gastrique fleurance nature (h/15v) (SL: 1, TT: 416,000đ) | CKHN Mason Natural Daily Multiple Vitamins with Minerals (h/60v) (SL: 1, TT: 620,000đ)</t>
  </si>
  <si>
    <t>HD1204798</t>
  </si>
  <si>
    <t>CK Arkofluides Detoxifiant Hepatiqua Arkopharma(h/20o) (SL: 1, TT: 742,000đ) | CK Bách địa khang usvip (h/30v) (SL: 1, TT: 130,000đ) | CKHN Metazolin đức minh (h/15ml) (SL: 1, TT: 55,000đ) | CKHN Mepazym ecosun (h/100v) (SL: 3, TT: 75,000đ)</t>
  </si>
  <si>
    <t>HD1204709</t>
  </si>
  <si>
    <t>CK Probioboost confort gastrique fleurance nature (h/15v) (SL: 2, TT: 832,000đ) | CK Bọt vệ sinh ladycare extra aloe vera (h/190ml) (SL: 1, TT: 209,000đ)</t>
  </si>
  <si>
    <t>HD1203492</t>
  </si>
  <si>
    <t>CK Carti protect viên uống bổ sung giúp hỗ trợ cơ khớp sante + (h/60v) (SL: 1, TT: 598,000đ) | CK Probioboost confort gastrique fleurance nature (h/15v) (SL: 1, TT: 416,000đ)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</si>
</sst>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0.0%"/>
    <numFmt numFmtId="166" formatCode="yyyy\-mm\-dd\ h:mm:ss"/>
  </numFmts>
  <fonts count="7" x14ac:knownFonts="1">
    <font>
      <sz val="11"/>
      <color theme="1"/>
      <name val="Calibri"/>
      <family val="2"/>
      <scheme val="minor"/>
    </font>
    <font>
      <b/>
      <sz val="11"/>
      <color rgb="FF000000"/>
      <name val="Times New Roman"/>
    </font>
    <font>
      <sz val="11"/>
      <color rgb="FF000000"/>
      <name val="Times New Roman"/>
    </font>
    <font>
      <b/>
      <i/>
      <sz val="12"/>
      <color rgb="FF000000"/>
      <name val="Times New Roman"/>
    </font>
    <font>
      <b/>
      <sz val="12"/>
      <color rgb="FF000000"/>
      <name val="Times New Roman"/>
    </font>
    <font>
      <b/>
      <sz val="10"/>
      <color rgb="FF000000"/>
      <name val="Segoe UI"/>
    </font>
    <font>
      <sz val="10"/>
      <color rgb="FF000000"/>
      <name val="Arial"/>
    </font>
  </fonts>
  <fills count="1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F9CB9C"/>
        <bgColor rgb="FFF9CB9C"/>
      </patternFill>
    </fill>
    <fill>
      <patternFill patternType="solid">
        <fgColor rgb="FFE6B8AF"/>
        <bgColor rgb="FFE6B8AF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C9DAF8"/>
        <bgColor rgb="FFC9DAF8"/>
      </patternFill>
    </fill>
    <fill>
      <patternFill patternType="solid">
        <fgColor rgb="FFD5A6BD"/>
        <bgColor rgb="FFD5A6BD"/>
      </patternFill>
    </fill>
    <fill>
      <patternFill patternType="solid">
        <fgColor rgb="FFDD7E6B"/>
        <bgColor rgb="FFDD7E6B"/>
      </patternFill>
    </fill>
    <fill>
      <patternFill patternType="solid">
        <fgColor rgb="FFCFE2F3"/>
        <bgColor rgb="FFCFE2F3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2" borderId="0" xfId="0" applyFill="1"/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9" fontId="1" fillId="5" borderId="2" xfId="0" applyNumberFormat="1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/>
    </xf>
    <xf numFmtId="3" fontId="1" fillId="4" borderId="1" xfId="0" applyNumberFormat="1" applyFont="1" applyFill="1" applyBorder="1" applyAlignment="1">
      <alignment horizontal="right" vertical="center"/>
    </xf>
    <xf numFmtId="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1" fillId="7" borderId="2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" fillId="11" borderId="2" xfId="0" applyFont="1" applyFill="1" applyBorder="1" applyAlignment="1">
      <alignment horizontal="center" vertical="center" wrapText="1"/>
    </xf>
    <xf numFmtId="10" fontId="2" fillId="0" borderId="1" xfId="0" applyNumberFormat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right" vertical="center"/>
    </xf>
    <xf numFmtId="0" fontId="0" fillId="4" borderId="0" xfId="0" applyFill="1"/>
    <xf numFmtId="0" fontId="2" fillId="12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left" vertical="center"/>
    </xf>
    <xf numFmtId="3" fontId="1" fillId="12" borderId="1" xfId="0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166" fontId="4" fillId="2" borderId="0" xfId="0" applyNumberFormat="1" applyFont="1" applyFill="1"/>
    <xf numFmtId="0" fontId="6" fillId="0" borderId="1" xfId="0" applyFont="1" applyBorder="1" applyAlignment="1">
      <alignment horizontal="center" vertical="center"/>
    </xf>
    <xf numFmtId="166" fontId="6" fillId="0" borderId="1" xfId="0" applyNumberFormat="1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14" fontId="4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/>
    <xf numFmtId="0" fontId="3" fillId="0" borderId="0" xfId="0" applyFont="1" applyAlignment="1">
      <alignment horizontal="center" vertical="center"/>
    </xf>
    <xf numFmtId="0" fontId="0" fillId="0" borderId="0" xfId="0"/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60"/>
  <sheetViews>
    <sheetView workbookViewId="0">
      <selection activeCell="J1" sqref="J1"/>
    </sheetView>
  </sheetViews>
  <sheetFormatPr defaultRowHeight="14.4" x14ac:dyDescent="0.3"/>
  <cols>
    <col min="1" max="1" width="16.33203125" customWidth="1"/>
    <col min="2" max="2" width="23.88671875" customWidth="1"/>
    <col min="3" max="3" width="18.109375" customWidth="1"/>
    <col min="4" max="8" width="13" customWidth="1"/>
    <col min="9" max="9" width="11.77734375" customWidth="1"/>
    <col min="10" max="10" width="13.109375" customWidth="1"/>
    <col min="11" max="38" width="13" customWidth="1"/>
  </cols>
  <sheetData>
    <row r="1" spans="1:38" ht="27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2">
        <v>46275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15.75" customHeight="1" x14ac:dyDescent="0.3">
      <c r="A2" s="3" t="s">
        <v>8</v>
      </c>
      <c r="B2" s="3" t="s">
        <v>9</v>
      </c>
      <c r="C2" s="4">
        <v>253</v>
      </c>
      <c r="D2" s="5">
        <v>44005321</v>
      </c>
      <c r="E2" s="4">
        <v>139</v>
      </c>
      <c r="F2" s="5">
        <v>18588246</v>
      </c>
      <c r="G2" s="4">
        <v>392</v>
      </c>
      <c r="H2" s="5">
        <v>62593567</v>
      </c>
      <c r="I2" s="6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ht="15.75" customHeight="1" x14ac:dyDescent="0.3">
      <c r="A3" s="3" t="s">
        <v>8</v>
      </c>
      <c r="B3" s="3" t="s">
        <v>10</v>
      </c>
      <c r="C3" s="4">
        <v>205</v>
      </c>
      <c r="D3" s="5">
        <v>69518430</v>
      </c>
      <c r="E3" s="4">
        <v>47</v>
      </c>
      <c r="F3" s="5">
        <v>10051633</v>
      </c>
      <c r="G3" s="4">
        <v>252</v>
      </c>
      <c r="H3" s="5">
        <v>79570063</v>
      </c>
      <c r="I3" s="6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ht="15.75" customHeight="1" x14ac:dyDescent="0.3">
      <c r="A4" s="3" t="s">
        <v>8</v>
      </c>
      <c r="B4" s="3" t="s">
        <v>11</v>
      </c>
      <c r="C4" s="4">
        <v>287</v>
      </c>
      <c r="D4" s="5">
        <v>81207691</v>
      </c>
      <c r="E4" s="4">
        <v>66</v>
      </c>
      <c r="F4" s="5">
        <v>19890500</v>
      </c>
      <c r="G4" s="4">
        <v>353</v>
      </c>
      <c r="H4" s="5">
        <v>101098191</v>
      </c>
      <c r="I4" s="6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ht="15.75" customHeight="1" x14ac:dyDescent="0.3">
      <c r="A5" s="3" t="s">
        <v>8</v>
      </c>
      <c r="B5" s="3" t="s">
        <v>12</v>
      </c>
      <c r="C5" s="4">
        <v>180</v>
      </c>
      <c r="D5" s="5">
        <v>37379380</v>
      </c>
      <c r="E5" s="4">
        <v>34</v>
      </c>
      <c r="F5" s="5">
        <v>6845600</v>
      </c>
      <c r="G5" s="4">
        <v>214</v>
      </c>
      <c r="H5" s="5">
        <v>44224980</v>
      </c>
      <c r="I5" s="6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ht="15.75" customHeight="1" x14ac:dyDescent="0.3">
      <c r="A6" s="3" t="s">
        <v>8</v>
      </c>
      <c r="B6" s="3" t="s">
        <v>13</v>
      </c>
      <c r="C6" s="4">
        <v>64</v>
      </c>
      <c r="D6" s="5">
        <v>8535200</v>
      </c>
      <c r="E6" s="4">
        <v>28</v>
      </c>
      <c r="F6" s="5">
        <v>4803400</v>
      </c>
      <c r="G6" s="4">
        <v>92</v>
      </c>
      <c r="H6" s="5">
        <v>13338600</v>
      </c>
      <c r="I6" s="6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</row>
    <row r="7" spans="1:38" ht="15.75" customHeight="1" x14ac:dyDescent="0.3">
      <c r="A7" s="3" t="s">
        <v>14</v>
      </c>
      <c r="B7" s="3" t="s">
        <v>15</v>
      </c>
      <c r="C7" s="4">
        <v>86</v>
      </c>
      <c r="D7" s="5">
        <v>11634400</v>
      </c>
      <c r="E7" s="4">
        <v>62</v>
      </c>
      <c r="F7" s="5">
        <v>15452800</v>
      </c>
      <c r="G7" s="4">
        <v>148</v>
      </c>
      <c r="H7" s="5">
        <v>27087200</v>
      </c>
      <c r="I7" s="6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</row>
    <row r="8" spans="1:38" ht="15.75" customHeight="1" x14ac:dyDescent="0.3">
      <c r="A8" s="3" t="s">
        <v>14</v>
      </c>
      <c r="B8" s="3" t="s">
        <v>16</v>
      </c>
      <c r="C8" s="4">
        <v>97</v>
      </c>
      <c r="D8" s="5">
        <v>7905900</v>
      </c>
      <c r="E8" s="4">
        <v>49</v>
      </c>
      <c r="F8" s="5">
        <v>9217850</v>
      </c>
      <c r="G8" s="4">
        <v>146</v>
      </c>
      <c r="H8" s="5">
        <v>17123750</v>
      </c>
      <c r="I8" s="6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</row>
    <row r="9" spans="1:38" ht="15.75" customHeight="1" x14ac:dyDescent="0.3">
      <c r="A9" s="3" t="s">
        <v>14</v>
      </c>
      <c r="B9" s="3" t="s">
        <v>17</v>
      </c>
      <c r="C9" s="4">
        <v>119</v>
      </c>
      <c r="D9" s="5">
        <v>9274600</v>
      </c>
      <c r="E9" s="4">
        <v>47</v>
      </c>
      <c r="F9" s="5">
        <v>7668800</v>
      </c>
      <c r="G9" s="4">
        <v>166</v>
      </c>
      <c r="H9" s="5">
        <v>16943400</v>
      </c>
      <c r="I9" s="6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</row>
    <row r="10" spans="1:38" ht="15.75" customHeight="1" x14ac:dyDescent="0.3">
      <c r="A10" s="3" t="s">
        <v>14</v>
      </c>
      <c r="B10" s="3" t="s">
        <v>18</v>
      </c>
      <c r="C10" s="4">
        <v>7</v>
      </c>
      <c r="D10" s="5">
        <v>1087900</v>
      </c>
      <c r="E10" s="4">
        <v>3</v>
      </c>
      <c r="F10" s="5">
        <v>521000</v>
      </c>
      <c r="G10" s="4">
        <v>10</v>
      </c>
      <c r="H10" s="5">
        <v>1608900</v>
      </c>
      <c r="I10" s="6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</row>
    <row r="11" spans="1:38" ht="15.75" customHeight="1" x14ac:dyDescent="0.3">
      <c r="A11" s="3" t="s">
        <v>14</v>
      </c>
      <c r="B11" s="3" t="s">
        <v>19</v>
      </c>
      <c r="C11" s="4">
        <v>7</v>
      </c>
      <c r="D11" s="5">
        <v>324400</v>
      </c>
      <c r="E11" s="4"/>
      <c r="F11" s="5"/>
      <c r="G11" s="4">
        <v>7</v>
      </c>
      <c r="H11" s="5">
        <v>324400</v>
      </c>
      <c r="I11" s="6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</row>
    <row r="12" spans="1:38" ht="15.75" customHeight="1" x14ac:dyDescent="0.3">
      <c r="A12" s="3" t="s">
        <v>14</v>
      </c>
      <c r="B12" s="3" t="s">
        <v>20</v>
      </c>
      <c r="C12" s="4">
        <v>71</v>
      </c>
      <c r="D12" s="5">
        <v>5564400</v>
      </c>
      <c r="E12" s="4">
        <v>43</v>
      </c>
      <c r="F12" s="5">
        <v>5346600</v>
      </c>
      <c r="G12" s="4">
        <v>114</v>
      </c>
      <c r="H12" s="5">
        <v>10911000</v>
      </c>
      <c r="I12" s="6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</row>
    <row r="13" spans="1:38" ht="15.75" customHeight="1" x14ac:dyDescent="0.3">
      <c r="A13" s="3" t="s">
        <v>21</v>
      </c>
      <c r="B13" s="3" t="s">
        <v>22</v>
      </c>
      <c r="C13" s="4">
        <v>185</v>
      </c>
      <c r="D13" s="5">
        <v>13887900</v>
      </c>
      <c r="E13" s="4">
        <v>39</v>
      </c>
      <c r="F13" s="5">
        <v>5532350</v>
      </c>
      <c r="G13" s="4">
        <v>224</v>
      </c>
      <c r="H13" s="5">
        <v>19420250</v>
      </c>
      <c r="I13" s="6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</row>
    <row r="14" spans="1:38" ht="15.75" customHeight="1" x14ac:dyDescent="0.3">
      <c r="A14" s="3" t="s">
        <v>21</v>
      </c>
      <c r="B14" s="3" t="s">
        <v>23</v>
      </c>
      <c r="C14" s="4">
        <v>175</v>
      </c>
      <c r="D14" s="5">
        <v>14620500</v>
      </c>
      <c r="E14" s="4">
        <v>25</v>
      </c>
      <c r="F14" s="5">
        <v>3383300</v>
      </c>
      <c r="G14" s="4">
        <v>200</v>
      </c>
      <c r="H14" s="5">
        <v>18003800</v>
      </c>
      <c r="I14" s="6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</row>
    <row r="15" spans="1:38" ht="15.75" customHeight="1" x14ac:dyDescent="0.3">
      <c r="A15" s="3" t="s">
        <v>21</v>
      </c>
      <c r="B15" s="3" t="s">
        <v>24</v>
      </c>
      <c r="C15" s="4">
        <v>419</v>
      </c>
      <c r="D15" s="5">
        <v>28832400</v>
      </c>
      <c r="E15" s="4">
        <v>54</v>
      </c>
      <c r="F15" s="5">
        <v>6278500</v>
      </c>
      <c r="G15" s="4">
        <v>473</v>
      </c>
      <c r="H15" s="5">
        <v>35110900</v>
      </c>
      <c r="I15" s="6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</row>
    <row r="16" spans="1:38" ht="15.75" customHeight="1" x14ac:dyDescent="0.3">
      <c r="A16" s="3" t="s">
        <v>21</v>
      </c>
      <c r="B16" s="3" t="s">
        <v>25</v>
      </c>
      <c r="C16" s="4">
        <v>202</v>
      </c>
      <c r="D16" s="5">
        <v>15436450</v>
      </c>
      <c r="E16" s="4">
        <v>78</v>
      </c>
      <c r="F16" s="5">
        <v>23292200</v>
      </c>
      <c r="G16" s="4">
        <v>280</v>
      </c>
      <c r="H16" s="5">
        <v>38728650</v>
      </c>
      <c r="I16" s="6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</row>
    <row r="17" spans="1:38" ht="15.75" customHeight="1" x14ac:dyDescent="0.3">
      <c r="A17" s="3" t="s">
        <v>26</v>
      </c>
      <c r="B17" s="3" t="s">
        <v>27</v>
      </c>
      <c r="C17" s="4">
        <v>73</v>
      </c>
      <c r="D17" s="5">
        <v>5574000</v>
      </c>
      <c r="E17" s="4">
        <v>46</v>
      </c>
      <c r="F17" s="5">
        <v>40265400</v>
      </c>
      <c r="G17" s="4">
        <v>119</v>
      </c>
      <c r="H17" s="5">
        <v>45839400</v>
      </c>
      <c r="I17" s="6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</row>
    <row r="18" spans="1:38" ht="15.75" customHeight="1" x14ac:dyDescent="0.3">
      <c r="A18" s="3" t="s">
        <v>26</v>
      </c>
      <c r="B18" s="3" t="s">
        <v>28</v>
      </c>
      <c r="C18" s="4">
        <v>158</v>
      </c>
      <c r="D18" s="5">
        <v>14719600</v>
      </c>
      <c r="E18" s="4">
        <v>42</v>
      </c>
      <c r="F18" s="5">
        <v>5573900</v>
      </c>
      <c r="G18" s="4">
        <v>200</v>
      </c>
      <c r="H18" s="5">
        <v>20293500</v>
      </c>
      <c r="I18" s="6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</row>
    <row r="19" spans="1:38" ht="15.75" customHeight="1" x14ac:dyDescent="0.3">
      <c r="A19" s="3" t="s">
        <v>26</v>
      </c>
      <c r="B19" s="3" t="s">
        <v>29</v>
      </c>
      <c r="C19" s="4">
        <v>118</v>
      </c>
      <c r="D19" s="5">
        <v>7125900</v>
      </c>
      <c r="E19" s="4">
        <v>41</v>
      </c>
      <c r="F19" s="5">
        <v>9565800</v>
      </c>
      <c r="G19" s="4">
        <v>159</v>
      </c>
      <c r="H19" s="5">
        <v>16691700</v>
      </c>
      <c r="I19" s="6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</row>
    <row r="20" spans="1:38" ht="15.75" customHeight="1" x14ac:dyDescent="0.3">
      <c r="A20" s="3" t="s">
        <v>26</v>
      </c>
      <c r="B20" s="3" t="s">
        <v>23</v>
      </c>
      <c r="C20" s="4">
        <v>1</v>
      </c>
      <c r="D20" s="5">
        <v>36000</v>
      </c>
      <c r="E20" s="4"/>
      <c r="F20" s="5"/>
      <c r="G20" s="4">
        <v>1</v>
      </c>
      <c r="H20" s="5">
        <v>36000</v>
      </c>
      <c r="I20" s="6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</row>
    <row r="21" spans="1:38" ht="15.75" customHeight="1" x14ac:dyDescent="0.3">
      <c r="A21" s="3" t="s">
        <v>26</v>
      </c>
      <c r="B21" s="3" t="s">
        <v>30</v>
      </c>
      <c r="C21" s="4">
        <v>155</v>
      </c>
      <c r="D21" s="5">
        <v>11020900</v>
      </c>
      <c r="E21" s="4">
        <v>48</v>
      </c>
      <c r="F21" s="5">
        <v>7310700</v>
      </c>
      <c r="G21" s="4">
        <v>203</v>
      </c>
      <c r="H21" s="5">
        <v>18331600</v>
      </c>
      <c r="I21" s="6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</row>
    <row r="22" spans="1:38" ht="15.75" customHeight="1" x14ac:dyDescent="0.3">
      <c r="A22" s="3" t="s">
        <v>31</v>
      </c>
      <c r="B22" s="3" t="s">
        <v>32</v>
      </c>
      <c r="C22" s="4">
        <v>107</v>
      </c>
      <c r="D22" s="5">
        <v>9742400</v>
      </c>
      <c r="E22" s="4">
        <v>64</v>
      </c>
      <c r="F22" s="5">
        <v>12443800</v>
      </c>
      <c r="G22" s="4">
        <v>171</v>
      </c>
      <c r="H22" s="5">
        <v>22186200</v>
      </c>
      <c r="I22" s="6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</row>
    <row r="23" spans="1:38" ht="15.75" customHeight="1" x14ac:dyDescent="0.3">
      <c r="A23" s="3" t="s">
        <v>31</v>
      </c>
      <c r="B23" s="3" t="s">
        <v>33</v>
      </c>
      <c r="C23" s="4">
        <v>27</v>
      </c>
      <c r="D23" s="5">
        <v>2376900</v>
      </c>
      <c r="E23" s="4">
        <v>6</v>
      </c>
      <c r="F23" s="5">
        <v>2046000</v>
      </c>
      <c r="G23" s="4">
        <v>33</v>
      </c>
      <c r="H23" s="5">
        <v>4422900</v>
      </c>
      <c r="I23" s="6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</row>
    <row r="24" spans="1:38" ht="15.75" customHeight="1" x14ac:dyDescent="0.3">
      <c r="A24" s="3" t="s">
        <v>31</v>
      </c>
      <c r="B24" s="3" t="s">
        <v>34</v>
      </c>
      <c r="C24" s="4">
        <v>274</v>
      </c>
      <c r="D24" s="5">
        <v>20877200</v>
      </c>
      <c r="E24" s="4">
        <v>31</v>
      </c>
      <c r="F24" s="5">
        <v>4339800</v>
      </c>
      <c r="G24" s="4">
        <v>305</v>
      </c>
      <c r="H24" s="5">
        <v>25217000</v>
      </c>
      <c r="I24" s="6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</row>
    <row r="25" spans="1:38" ht="15.75" customHeight="1" x14ac:dyDescent="0.3">
      <c r="A25" s="3" t="s">
        <v>31</v>
      </c>
      <c r="B25" s="3" t="s">
        <v>35</v>
      </c>
      <c r="C25" s="4">
        <v>276</v>
      </c>
      <c r="D25" s="5">
        <v>20646600</v>
      </c>
      <c r="E25" s="4">
        <v>71</v>
      </c>
      <c r="F25" s="5">
        <v>10980300</v>
      </c>
      <c r="G25" s="4">
        <v>347</v>
      </c>
      <c r="H25" s="5">
        <v>31626900</v>
      </c>
      <c r="I25" s="6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</row>
    <row r="26" spans="1:38" ht="15.75" customHeight="1" x14ac:dyDescent="0.3">
      <c r="A26" s="3" t="s">
        <v>31</v>
      </c>
      <c r="B26" s="3" t="s">
        <v>36</v>
      </c>
      <c r="C26" s="4">
        <v>115</v>
      </c>
      <c r="D26" s="5">
        <v>8534200</v>
      </c>
      <c r="E26" s="4">
        <v>55</v>
      </c>
      <c r="F26" s="5">
        <v>16299500</v>
      </c>
      <c r="G26" s="4">
        <v>170</v>
      </c>
      <c r="H26" s="5">
        <v>24833700</v>
      </c>
      <c r="I26" s="6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</row>
    <row r="27" spans="1:38" ht="15.75" customHeight="1" x14ac:dyDescent="0.3">
      <c r="A27" s="3" t="s">
        <v>37</v>
      </c>
      <c r="B27" s="3" t="s">
        <v>38</v>
      </c>
      <c r="C27" s="4">
        <v>309</v>
      </c>
      <c r="D27" s="5">
        <v>21778500</v>
      </c>
      <c r="E27" s="4">
        <v>131</v>
      </c>
      <c r="F27" s="5">
        <v>27676720</v>
      </c>
      <c r="G27" s="4">
        <v>440</v>
      </c>
      <c r="H27" s="5">
        <v>49455220</v>
      </c>
      <c r="I27" s="6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</row>
    <row r="28" spans="1:38" ht="15.75" customHeight="1" x14ac:dyDescent="0.3">
      <c r="A28" s="3" t="s">
        <v>37</v>
      </c>
      <c r="B28" s="3" t="s">
        <v>39</v>
      </c>
      <c r="C28" s="4">
        <v>10</v>
      </c>
      <c r="D28" s="5">
        <v>444300</v>
      </c>
      <c r="E28" s="4">
        <v>11</v>
      </c>
      <c r="F28" s="5">
        <v>1183900</v>
      </c>
      <c r="G28" s="4">
        <v>21</v>
      </c>
      <c r="H28" s="5">
        <v>1628200</v>
      </c>
      <c r="I28" s="6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</row>
    <row r="29" spans="1:38" ht="15.75" customHeight="1" x14ac:dyDescent="0.3">
      <c r="A29" s="3" t="s">
        <v>37</v>
      </c>
      <c r="B29" s="3" t="s">
        <v>40</v>
      </c>
      <c r="C29" s="4">
        <v>197</v>
      </c>
      <c r="D29" s="5">
        <v>11996100</v>
      </c>
      <c r="E29" s="4">
        <v>142</v>
      </c>
      <c r="F29" s="5">
        <v>28962102</v>
      </c>
      <c r="G29" s="4">
        <v>339</v>
      </c>
      <c r="H29" s="5">
        <v>40958202</v>
      </c>
      <c r="I29" s="6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</row>
    <row r="30" spans="1:38" ht="15.75" customHeight="1" x14ac:dyDescent="0.3">
      <c r="A30" s="3" t="s">
        <v>37</v>
      </c>
      <c r="B30" s="3" t="s">
        <v>41</v>
      </c>
      <c r="C30" s="4">
        <v>229</v>
      </c>
      <c r="D30" s="5">
        <v>17795600</v>
      </c>
      <c r="E30" s="4">
        <v>87</v>
      </c>
      <c r="F30" s="5">
        <v>17598800</v>
      </c>
      <c r="G30" s="4">
        <v>316</v>
      </c>
      <c r="H30" s="5">
        <v>35394400</v>
      </c>
      <c r="I30" s="6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</row>
    <row r="31" spans="1:38" ht="15.75" customHeight="1" x14ac:dyDescent="0.3">
      <c r="A31" s="3" t="s">
        <v>42</v>
      </c>
      <c r="B31" s="3" t="s">
        <v>15</v>
      </c>
      <c r="C31" s="4">
        <v>33</v>
      </c>
      <c r="D31" s="5">
        <v>3408800</v>
      </c>
      <c r="E31" s="4">
        <v>10</v>
      </c>
      <c r="F31" s="5">
        <v>888500</v>
      </c>
      <c r="G31" s="4">
        <v>43</v>
      </c>
      <c r="H31" s="5">
        <v>4297300</v>
      </c>
      <c r="I31" s="6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</row>
    <row r="32" spans="1:38" ht="15.75" customHeight="1" x14ac:dyDescent="0.3">
      <c r="A32" s="3" t="s">
        <v>42</v>
      </c>
      <c r="B32" s="3" t="s">
        <v>43</v>
      </c>
      <c r="C32" s="4">
        <v>519</v>
      </c>
      <c r="D32" s="5">
        <v>34232000</v>
      </c>
      <c r="E32" s="4">
        <v>67</v>
      </c>
      <c r="F32" s="5">
        <v>6909450</v>
      </c>
      <c r="G32" s="4">
        <v>586</v>
      </c>
      <c r="H32" s="5">
        <v>41141450</v>
      </c>
      <c r="I32" s="6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</row>
    <row r="33" spans="1:38" ht="15.75" customHeight="1" x14ac:dyDescent="0.3">
      <c r="A33" s="3" t="s">
        <v>42</v>
      </c>
      <c r="B33" s="3" t="s">
        <v>44</v>
      </c>
      <c r="C33" s="4">
        <v>224</v>
      </c>
      <c r="D33" s="5">
        <v>15518100</v>
      </c>
      <c r="E33" s="4">
        <v>43</v>
      </c>
      <c r="F33" s="5">
        <v>9150900</v>
      </c>
      <c r="G33" s="4">
        <v>267</v>
      </c>
      <c r="H33" s="5">
        <v>24669000</v>
      </c>
      <c r="I33" s="6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</row>
    <row r="34" spans="1:38" ht="15.75" customHeight="1" x14ac:dyDescent="0.3">
      <c r="A34" s="3" t="s">
        <v>42</v>
      </c>
      <c r="B34" s="3" t="s">
        <v>45</v>
      </c>
      <c r="C34" s="4">
        <v>57</v>
      </c>
      <c r="D34" s="5">
        <v>2866100</v>
      </c>
      <c r="E34" s="4">
        <v>8</v>
      </c>
      <c r="F34" s="5">
        <v>833400</v>
      </c>
      <c r="G34" s="4">
        <v>65</v>
      </c>
      <c r="H34" s="5">
        <v>3699500</v>
      </c>
      <c r="I34" s="6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</row>
    <row r="35" spans="1:38" ht="15.75" customHeight="1" x14ac:dyDescent="0.3">
      <c r="A35" s="3" t="s">
        <v>42</v>
      </c>
      <c r="B35" s="3" t="s">
        <v>46</v>
      </c>
      <c r="C35" s="4">
        <v>33</v>
      </c>
      <c r="D35" s="5">
        <v>2370800</v>
      </c>
      <c r="E35" s="4">
        <v>3</v>
      </c>
      <c r="F35" s="5">
        <v>133700</v>
      </c>
      <c r="G35" s="4">
        <v>36</v>
      </c>
      <c r="H35" s="5">
        <v>2504500</v>
      </c>
      <c r="I35" s="6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</row>
    <row r="36" spans="1:38" ht="15.75" customHeight="1" x14ac:dyDescent="0.3">
      <c r="A36" s="3" t="s">
        <v>42</v>
      </c>
      <c r="B36" s="3" t="s">
        <v>47</v>
      </c>
      <c r="C36" s="4">
        <v>170</v>
      </c>
      <c r="D36" s="5">
        <v>16951600</v>
      </c>
      <c r="E36" s="4">
        <v>34</v>
      </c>
      <c r="F36" s="5">
        <v>16100200</v>
      </c>
      <c r="G36" s="4">
        <v>204</v>
      </c>
      <c r="H36" s="5">
        <v>33051800</v>
      </c>
      <c r="I36" s="6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</row>
    <row r="37" spans="1:38" ht="15.75" customHeight="1" x14ac:dyDescent="0.3">
      <c r="A37" s="3" t="s">
        <v>48</v>
      </c>
      <c r="B37" s="3" t="s">
        <v>49</v>
      </c>
      <c r="C37" s="4">
        <v>84</v>
      </c>
      <c r="D37" s="5">
        <v>7708000</v>
      </c>
      <c r="E37" s="4">
        <v>63</v>
      </c>
      <c r="F37" s="5">
        <v>12334900</v>
      </c>
      <c r="G37" s="4">
        <v>147</v>
      </c>
      <c r="H37" s="5">
        <v>20042900</v>
      </c>
      <c r="I37" s="6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</row>
    <row r="38" spans="1:38" ht="15.75" customHeight="1" x14ac:dyDescent="0.3">
      <c r="A38" s="3" t="s">
        <v>48</v>
      </c>
      <c r="B38" s="3" t="s">
        <v>50</v>
      </c>
      <c r="C38" s="4">
        <v>152</v>
      </c>
      <c r="D38" s="5">
        <v>11638400</v>
      </c>
      <c r="E38" s="4">
        <v>53</v>
      </c>
      <c r="F38" s="5">
        <v>8111200</v>
      </c>
      <c r="G38" s="4">
        <v>205</v>
      </c>
      <c r="H38" s="5">
        <v>19749600</v>
      </c>
      <c r="I38" s="6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</row>
    <row r="39" spans="1:38" ht="15.75" customHeight="1" x14ac:dyDescent="0.3">
      <c r="A39" s="3" t="s">
        <v>48</v>
      </c>
      <c r="B39" s="3" t="s">
        <v>51</v>
      </c>
      <c r="C39" s="4">
        <v>138</v>
      </c>
      <c r="D39" s="5">
        <v>9024500</v>
      </c>
      <c r="E39" s="4">
        <v>36</v>
      </c>
      <c r="F39" s="5">
        <v>3591500</v>
      </c>
      <c r="G39" s="4">
        <v>174</v>
      </c>
      <c r="H39" s="5">
        <v>12616000</v>
      </c>
      <c r="I39" s="6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</row>
    <row r="40" spans="1:38" ht="15.75" customHeight="1" x14ac:dyDescent="0.3">
      <c r="A40" s="3" t="s">
        <v>48</v>
      </c>
      <c r="B40" s="3" t="s">
        <v>39</v>
      </c>
      <c r="C40" s="4">
        <v>103</v>
      </c>
      <c r="D40" s="5">
        <v>9491000</v>
      </c>
      <c r="E40" s="4">
        <v>26</v>
      </c>
      <c r="F40" s="5">
        <v>5640400</v>
      </c>
      <c r="G40" s="4">
        <v>129</v>
      </c>
      <c r="H40" s="5">
        <v>15131400</v>
      </c>
      <c r="I40" s="6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</row>
    <row r="41" spans="1:38" ht="15.75" customHeight="1" x14ac:dyDescent="0.3">
      <c r="A41" s="3" t="s">
        <v>48</v>
      </c>
      <c r="B41" s="3" t="s">
        <v>46</v>
      </c>
      <c r="C41" s="4">
        <v>118</v>
      </c>
      <c r="D41" s="5">
        <v>11156900</v>
      </c>
      <c r="E41" s="4">
        <v>61</v>
      </c>
      <c r="F41" s="5">
        <v>12390800</v>
      </c>
      <c r="G41" s="4">
        <v>179</v>
      </c>
      <c r="H41" s="5">
        <v>23547700</v>
      </c>
      <c r="I41" s="6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</row>
    <row r="42" spans="1:38" ht="15.75" customHeight="1" x14ac:dyDescent="0.3">
      <c r="A42" s="3" t="s">
        <v>52</v>
      </c>
      <c r="B42" s="3" t="s">
        <v>15</v>
      </c>
      <c r="C42" s="4">
        <v>13</v>
      </c>
      <c r="D42" s="5">
        <v>745700</v>
      </c>
      <c r="E42" s="4">
        <v>11</v>
      </c>
      <c r="F42" s="5">
        <v>3020000</v>
      </c>
      <c r="G42" s="4">
        <v>24</v>
      </c>
      <c r="H42" s="5">
        <v>3765700</v>
      </c>
      <c r="I42" s="6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</row>
    <row r="43" spans="1:38" ht="15.75" customHeight="1" x14ac:dyDescent="0.3">
      <c r="A43" s="3" t="s">
        <v>52</v>
      </c>
      <c r="B43" s="3" t="s">
        <v>16</v>
      </c>
      <c r="C43" s="4">
        <v>46</v>
      </c>
      <c r="D43" s="5">
        <v>2932900</v>
      </c>
      <c r="E43" s="4">
        <v>13</v>
      </c>
      <c r="F43" s="5">
        <v>1766200</v>
      </c>
      <c r="G43" s="4">
        <v>59</v>
      </c>
      <c r="H43" s="5">
        <v>4699100</v>
      </c>
      <c r="I43" s="6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</row>
    <row r="44" spans="1:38" ht="15.75" customHeight="1" x14ac:dyDescent="0.3">
      <c r="A44" s="3" t="s">
        <v>52</v>
      </c>
      <c r="B44" s="3" t="s">
        <v>53</v>
      </c>
      <c r="C44" s="4">
        <v>121</v>
      </c>
      <c r="D44" s="5">
        <v>6675600</v>
      </c>
      <c r="E44" s="4">
        <v>87</v>
      </c>
      <c r="F44" s="5">
        <v>13929500</v>
      </c>
      <c r="G44" s="4">
        <v>208</v>
      </c>
      <c r="H44" s="5">
        <v>20605100</v>
      </c>
      <c r="I44" s="6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</row>
    <row r="45" spans="1:38" ht="15.75" customHeight="1" x14ac:dyDescent="0.3">
      <c r="A45" s="3" t="s">
        <v>52</v>
      </c>
      <c r="B45" s="3" t="s">
        <v>54</v>
      </c>
      <c r="C45" s="4">
        <v>110</v>
      </c>
      <c r="D45" s="5">
        <v>5766100</v>
      </c>
      <c r="E45" s="4">
        <v>58</v>
      </c>
      <c r="F45" s="5">
        <v>9034500</v>
      </c>
      <c r="G45" s="4">
        <v>168</v>
      </c>
      <c r="H45" s="5">
        <v>14800600</v>
      </c>
      <c r="I45" s="6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</row>
    <row r="46" spans="1:38" ht="15.75" customHeight="1" x14ac:dyDescent="0.3">
      <c r="A46" s="3" t="s">
        <v>52</v>
      </c>
      <c r="B46" s="3" t="s">
        <v>19</v>
      </c>
      <c r="C46" s="4">
        <v>161</v>
      </c>
      <c r="D46" s="5">
        <v>11715500</v>
      </c>
      <c r="E46" s="4">
        <v>71</v>
      </c>
      <c r="F46" s="5">
        <v>18394140</v>
      </c>
      <c r="G46" s="4">
        <v>232</v>
      </c>
      <c r="H46" s="5">
        <v>30109640</v>
      </c>
      <c r="I46" s="6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</row>
    <row r="47" spans="1:38" ht="15.75" customHeight="1" x14ac:dyDescent="0.3">
      <c r="A47" s="3" t="s">
        <v>52</v>
      </c>
      <c r="B47" s="3" t="s">
        <v>55</v>
      </c>
      <c r="C47" s="4">
        <v>118</v>
      </c>
      <c r="D47" s="5">
        <v>9708400</v>
      </c>
      <c r="E47" s="4">
        <v>64</v>
      </c>
      <c r="F47" s="5">
        <v>10161400</v>
      </c>
      <c r="G47" s="4">
        <v>182</v>
      </c>
      <c r="H47" s="5">
        <v>19869800</v>
      </c>
      <c r="I47" s="6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</row>
    <row r="48" spans="1:38" ht="15.75" customHeight="1" x14ac:dyDescent="0.3">
      <c r="A48" s="3" t="s">
        <v>52</v>
      </c>
      <c r="B48" s="3" t="s">
        <v>56</v>
      </c>
      <c r="C48" s="4">
        <v>236</v>
      </c>
      <c r="D48" s="5">
        <v>22440900</v>
      </c>
      <c r="E48" s="4">
        <v>86</v>
      </c>
      <c r="F48" s="5">
        <v>11965000</v>
      </c>
      <c r="G48" s="4">
        <v>322</v>
      </c>
      <c r="H48" s="5">
        <v>34405900</v>
      </c>
      <c r="I48" s="6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</row>
    <row r="49" spans="1:38" ht="15.75" customHeight="1" x14ac:dyDescent="0.3">
      <c r="A49" s="3" t="s">
        <v>57</v>
      </c>
      <c r="B49" s="3" t="s">
        <v>58</v>
      </c>
      <c r="C49" s="4">
        <v>39</v>
      </c>
      <c r="D49" s="5">
        <v>3916500</v>
      </c>
      <c r="E49" s="4">
        <v>17</v>
      </c>
      <c r="F49" s="5">
        <v>2135300</v>
      </c>
      <c r="G49" s="4">
        <v>56</v>
      </c>
      <c r="H49" s="5">
        <v>6051800</v>
      </c>
      <c r="I49" s="6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</row>
    <row r="50" spans="1:38" ht="15.75" customHeight="1" x14ac:dyDescent="0.3">
      <c r="A50" s="3" t="s">
        <v>57</v>
      </c>
      <c r="B50" s="3" t="s">
        <v>59</v>
      </c>
      <c r="C50" s="4">
        <v>349</v>
      </c>
      <c r="D50" s="5">
        <v>42297896</v>
      </c>
      <c r="E50" s="4">
        <v>180</v>
      </c>
      <c r="F50" s="5">
        <v>32587800</v>
      </c>
      <c r="G50" s="4">
        <v>529</v>
      </c>
      <c r="H50" s="5">
        <v>74885696</v>
      </c>
      <c r="I50" s="6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</row>
    <row r="51" spans="1:38" ht="15.75" customHeight="1" x14ac:dyDescent="0.3">
      <c r="A51" s="3" t="s">
        <v>57</v>
      </c>
      <c r="B51" s="3" t="s">
        <v>60</v>
      </c>
      <c r="C51" s="4"/>
      <c r="D51" s="5"/>
      <c r="E51" s="4">
        <v>2</v>
      </c>
      <c r="F51" s="5">
        <v>76000</v>
      </c>
      <c r="G51" s="4">
        <v>2</v>
      </c>
      <c r="H51" s="5">
        <v>76000</v>
      </c>
      <c r="I51" s="6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</row>
    <row r="52" spans="1:38" ht="15.75" customHeight="1" x14ac:dyDescent="0.3">
      <c r="A52" s="3" t="s">
        <v>57</v>
      </c>
      <c r="B52" s="3" t="s">
        <v>61</v>
      </c>
      <c r="C52" s="4">
        <v>329</v>
      </c>
      <c r="D52" s="5">
        <v>46024248</v>
      </c>
      <c r="E52" s="4">
        <v>202</v>
      </c>
      <c r="F52" s="5">
        <v>43058000</v>
      </c>
      <c r="G52" s="4">
        <v>531</v>
      </c>
      <c r="H52" s="5">
        <v>89082248</v>
      </c>
      <c r="I52" s="6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</row>
    <row r="53" spans="1:38" ht="15.75" customHeight="1" x14ac:dyDescent="0.3">
      <c r="A53" s="3" t="s">
        <v>57</v>
      </c>
      <c r="B53" s="3" t="s">
        <v>62</v>
      </c>
      <c r="C53" s="4">
        <v>105</v>
      </c>
      <c r="D53" s="5">
        <v>12257500</v>
      </c>
      <c r="E53" s="4">
        <v>149</v>
      </c>
      <c r="F53" s="5">
        <v>42853200</v>
      </c>
      <c r="G53" s="4">
        <v>254</v>
      </c>
      <c r="H53" s="5">
        <v>55110700</v>
      </c>
      <c r="I53" s="6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</row>
    <row r="54" spans="1:38" ht="15.75" customHeight="1" x14ac:dyDescent="0.3">
      <c r="A54" s="3" t="s">
        <v>57</v>
      </c>
      <c r="B54" s="3" t="s">
        <v>63</v>
      </c>
      <c r="C54" s="4">
        <v>72</v>
      </c>
      <c r="D54" s="5">
        <v>7029800</v>
      </c>
      <c r="E54" s="4">
        <v>105</v>
      </c>
      <c r="F54" s="5">
        <v>26080850</v>
      </c>
      <c r="G54" s="4">
        <v>177</v>
      </c>
      <c r="H54" s="5">
        <v>33110650</v>
      </c>
      <c r="I54" s="6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</row>
    <row r="55" spans="1:38" ht="15.75" customHeight="1" x14ac:dyDescent="0.3">
      <c r="A55" s="3" t="s">
        <v>64</v>
      </c>
      <c r="B55" s="3" t="s">
        <v>15</v>
      </c>
      <c r="C55" s="4">
        <v>3</v>
      </c>
      <c r="D55" s="5">
        <v>765500</v>
      </c>
      <c r="E55" s="4">
        <v>5</v>
      </c>
      <c r="F55" s="5">
        <v>870000</v>
      </c>
      <c r="G55" s="4">
        <v>8</v>
      </c>
      <c r="H55" s="5">
        <v>1635500</v>
      </c>
      <c r="I55" s="6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</row>
    <row r="56" spans="1:38" ht="15.75" customHeight="1" x14ac:dyDescent="0.3">
      <c r="A56" s="3" t="s">
        <v>64</v>
      </c>
      <c r="B56" s="3" t="s">
        <v>65</v>
      </c>
      <c r="C56" s="4">
        <v>155</v>
      </c>
      <c r="D56" s="5">
        <v>38890420</v>
      </c>
      <c r="E56" s="4">
        <v>67</v>
      </c>
      <c r="F56" s="5">
        <v>16244200</v>
      </c>
      <c r="G56" s="4">
        <v>222</v>
      </c>
      <c r="H56" s="5">
        <v>55134620</v>
      </c>
      <c r="I56" s="6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</row>
    <row r="57" spans="1:38" ht="15.75" customHeight="1" x14ac:dyDescent="0.3">
      <c r="A57" s="3" t="s">
        <v>64</v>
      </c>
      <c r="B57" s="3" t="s">
        <v>66</v>
      </c>
      <c r="C57" s="4">
        <v>212</v>
      </c>
      <c r="D57" s="5">
        <v>39740900</v>
      </c>
      <c r="E57" s="4">
        <v>77</v>
      </c>
      <c r="F57" s="5">
        <v>14954800</v>
      </c>
      <c r="G57" s="4">
        <v>289</v>
      </c>
      <c r="H57" s="5">
        <v>54695700</v>
      </c>
      <c r="I57" s="6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</row>
    <row r="58" spans="1:38" ht="15.75" customHeight="1" x14ac:dyDescent="0.3">
      <c r="A58" s="3" t="s">
        <v>64</v>
      </c>
      <c r="B58" s="3" t="s">
        <v>18</v>
      </c>
      <c r="C58" s="4">
        <v>105</v>
      </c>
      <c r="D58" s="5">
        <v>30391600</v>
      </c>
      <c r="E58" s="4">
        <v>54</v>
      </c>
      <c r="F58" s="5">
        <v>20825900</v>
      </c>
      <c r="G58" s="4">
        <v>159</v>
      </c>
      <c r="H58" s="5">
        <v>51217500</v>
      </c>
      <c r="I58" s="6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</row>
    <row r="59" spans="1:38" ht="15.75" customHeight="1" x14ac:dyDescent="0.3">
      <c r="A59" s="3" t="s">
        <v>64</v>
      </c>
      <c r="B59" s="3" t="s">
        <v>67</v>
      </c>
      <c r="C59" s="4">
        <v>135</v>
      </c>
      <c r="D59" s="5">
        <v>30834300</v>
      </c>
      <c r="E59" s="4">
        <v>44</v>
      </c>
      <c r="F59" s="5">
        <v>4871800</v>
      </c>
      <c r="G59" s="4">
        <v>179</v>
      </c>
      <c r="H59" s="5">
        <v>35706100</v>
      </c>
      <c r="I59" s="6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</row>
    <row r="60" spans="1:38" ht="15.75" customHeight="1" x14ac:dyDescent="0.3">
      <c r="A60" s="3" t="s">
        <v>64</v>
      </c>
      <c r="B60" s="3" t="s">
        <v>68</v>
      </c>
      <c r="C60" s="4">
        <v>116</v>
      </c>
      <c r="D60" s="5">
        <v>20710600</v>
      </c>
      <c r="E60" s="4">
        <v>58</v>
      </c>
      <c r="F60" s="5">
        <v>6010600</v>
      </c>
      <c r="G60" s="4">
        <v>174</v>
      </c>
      <c r="H60" s="5">
        <v>26721200</v>
      </c>
      <c r="I60" s="6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54"/>
  <sheetViews>
    <sheetView workbookViewId="0">
      <pane xSplit="3" ySplit="2" topLeftCell="D15" activePane="bottomRight" state="frozen"/>
      <selection pane="topRight"/>
      <selection pane="bottomLeft"/>
      <selection pane="bottomRight" activeCell="H22" sqref="H22"/>
    </sheetView>
  </sheetViews>
  <sheetFormatPr defaultRowHeight="14.4" x14ac:dyDescent="0.3"/>
  <cols>
    <col min="1" max="1" width="15.6640625" customWidth="1"/>
    <col min="2" max="2" width="25" customWidth="1"/>
    <col min="3" max="3" width="13.109375" customWidth="1"/>
    <col min="4" max="5" width="14.44140625" customWidth="1"/>
    <col min="6" max="6" width="25.44140625" customWidth="1"/>
    <col min="7" max="7" width="15" customWidth="1"/>
    <col min="8" max="8" width="19.77734375" customWidth="1"/>
    <col min="9" max="9" width="14.44140625" customWidth="1"/>
    <col min="10" max="10" width="11.77734375" customWidth="1"/>
    <col min="11" max="11" width="11.21875" customWidth="1"/>
    <col min="12" max="12" width="10.77734375" customWidth="1"/>
    <col min="13" max="13" width="11.21875" customWidth="1"/>
    <col min="14" max="14" width="15.109375" customWidth="1"/>
    <col min="15" max="15" width="10.77734375" customWidth="1"/>
    <col min="16" max="17" width="13" customWidth="1"/>
    <col min="18" max="18" width="10.77734375" customWidth="1"/>
    <col min="19" max="20" width="13" customWidth="1"/>
    <col min="21" max="22" width="15.6640625" customWidth="1"/>
    <col min="23" max="28" width="13" customWidth="1"/>
    <col min="29" max="29" width="12.6640625" customWidth="1"/>
    <col min="30" max="38" width="13" customWidth="1"/>
  </cols>
  <sheetData>
    <row r="1" spans="1:38" ht="19.5" customHeight="1" x14ac:dyDescent="0.3">
      <c r="A1" s="38" t="s">
        <v>69</v>
      </c>
      <c r="B1" s="39"/>
      <c r="C1" s="35">
        <v>46275</v>
      </c>
      <c r="O1" s="36" t="s">
        <v>70</v>
      </c>
      <c r="P1" s="37"/>
      <c r="Q1" s="37"/>
      <c r="R1" s="36" t="s">
        <v>70</v>
      </c>
      <c r="S1" s="37"/>
      <c r="T1" s="37"/>
    </row>
    <row r="2" spans="1:38" ht="30.75" customHeight="1" x14ac:dyDescent="0.3">
      <c r="A2" s="9" t="s">
        <v>0</v>
      </c>
      <c r="B2" s="9" t="s">
        <v>71</v>
      </c>
      <c r="C2" s="9" t="s">
        <v>72</v>
      </c>
      <c r="D2" s="10" t="s">
        <v>73</v>
      </c>
      <c r="E2" s="10" t="s">
        <v>74</v>
      </c>
      <c r="F2" s="10" t="s">
        <v>75</v>
      </c>
      <c r="G2" s="10" t="s">
        <v>76</v>
      </c>
      <c r="H2" s="10" t="s">
        <v>77</v>
      </c>
      <c r="I2" s="10" t="s">
        <v>78</v>
      </c>
      <c r="J2" s="11" t="s">
        <v>79</v>
      </c>
      <c r="K2" s="11" t="s">
        <v>80</v>
      </c>
      <c r="L2" s="11" t="s">
        <v>81</v>
      </c>
      <c r="M2" s="11" t="s">
        <v>82</v>
      </c>
      <c r="N2" s="11" t="s">
        <v>83</v>
      </c>
      <c r="O2" s="12">
        <v>0.8</v>
      </c>
      <c r="P2" s="12">
        <v>0.9</v>
      </c>
      <c r="Q2" s="12">
        <v>1</v>
      </c>
      <c r="R2" s="12">
        <v>0.8</v>
      </c>
      <c r="S2" s="12">
        <v>0.9</v>
      </c>
      <c r="T2" s="12">
        <v>1</v>
      </c>
      <c r="U2" s="13" t="s">
        <v>84</v>
      </c>
      <c r="V2" s="13" t="s">
        <v>85</v>
      </c>
      <c r="W2" s="9" t="s">
        <v>2</v>
      </c>
      <c r="X2" s="9" t="s">
        <v>3</v>
      </c>
      <c r="Y2" s="9" t="s">
        <v>86</v>
      </c>
      <c r="Z2" s="11" t="s">
        <v>4</v>
      </c>
      <c r="AA2" s="11" t="s">
        <v>5</v>
      </c>
      <c r="AB2" s="11" t="s">
        <v>87</v>
      </c>
      <c r="AC2" s="10" t="s">
        <v>6</v>
      </c>
      <c r="AD2" s="10" t="s">
        <v>7</v>
      </c>
      <c r="AE2" s="10" t="s">
        <v>88</v>
      </c>
      <c r="AF2" s="10"/>
      <c r="AG2" s="10"/>
      <c r="AH2" s="10"/>
      <c r="AI2" s="10"/>
      <c r="AJ2" s="10"/>
      <c r="AK2" s="10"/>
      <c r="AL2" s="10"/>
    </row>
    <row r="3" spans="1:38" ht="13.8" customHeight="1" x14ac:dyDescent="0.3">
      <c r="A3" s="3" t="s">
        <v>52</v>
      </c>
      <c r="B3" s="3" t="s">
        <v>54</v>
      </c>
      <c r="C3" s="6" t="s">
        <v>89</v>
      </c>
      <c r="D3" s="5">
        <v>150000</v>
      </c>
      <c r="E3" s="5">
        <f>AE3</f>
        <v>88098.809523809527</v>
      </c>
      <c r="F3" s="5">
        <f ca="1">IFERROR(ROUND(_xludf.LET(nt,$A3,nv,$B3,songay,DAY(EOMONTH($C$1,0)),doanhthungay,$I3,duan_nv,SUMIFS('Dự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>0</v>
      </c>
      <c r="G3" s="5">
        <f>IFERROR(SUMIF('Dự án T9'!$B:$B, $B3, 'Dự án T9'!$D:$D), 0)</f>
        <v>699788.4</v>
      </c>
      <c r="H3" s="5">
        <f t="shared" ref="H3:H34" si="0">Q3</f>
        <v>12800000</v>
      </c>
      <c r="I3" s="5">
        <f>(AD3/DAY($C$1))</f>
        <v>1480060</v>
      </c>
      <c r="J3" s="14">
        <f>_xlfn.XLOOKUP(B3, 'kpi nhà thuốc'!A:A, 'kpi nhà thuốc'!F:F, (AD3/DAY($C$1))/U3)</f>
        <v>0.20039974999999999</v>
      </c>
      <c r="K3" s="5">
        <f ca="1">_xlfn.XLOOKUP(B3, 'kpi nhà thuốc'!$A:$A, 'kpi nhà thuốc'!$G:$G, IF(AND(OR(C3="DSXC", C3="DSCD", C3="DSBC", C3="DSTV", C3="Q.CHT", C3="BC", C3="DSHV"), G3&gt;=F3), AD3 * _xlfn.IFS(AND(I3&gt;=T3, E3&gt;=D3), 0.015, I3&gt;=T3, 0.013, AND(I3&gt;=S3, E3&gt;=D3), 0.013, I3&gt;=S3, 0.011, AND(I3&gt;=R3, E3&gt;=D3), 0.012, I3&gt;=R3, 0.01, TRUE, 0), 0))</f>
        <v>0</v>
      </c>
      <c r="L3" s="6">
        <f t="shared" ref="L3:L34" si="1">IF(C3="DSTV","", IF(J3&lt;0.6, 0.8, 1))</f>
        <v>0.8</v>
      </c>
      <c r="M3" s="5">
        <f>IFERROR(SUMIF('Dự án T9'!$B:$B, $B3, 'Dự án T9'!$M:$M)*$L3, 0)</f>
        <v>0</v>
      </c>
      <c r="N3" s="15">
        <f t="shared" ref="N3:N34" ca="1" si="2">N(K3)+M3</f>
        <v>0</v>
      </c>
      <c r="O3" s="16">
        <f t="shared" ref="O3:O34" si="3">CEILING(R3, 100000)</f>
        <v>10300000</v>
      </c>
      <c r="P3" s="16">
        <f t="shared" ref="P3:P34" si="4">CEILING(S3, 100000)</f>
        <v>11600000</v>
      </c>
      <c r="Q3" s="16">
        <f t="shared" ref="Q3:Q34" si="5">CEILING(T3, 100000)</f>
        <v>12800000</v>
      </c>
      <c r="R3" s="16">
        <f t="shared" ref="R3:R34" si="6">U3*$R$2</f>
        <v>10240000</v>
      </c>
      <c r="S3" s="16">
        <f t="shared" ref="S3:S34" si="7">U3*$S$2</f>
        <v>11520000</v>
      </c>
      <c r="T3" s="16">
        <f t="shared" ref="T3:T34" si="8">U3*$T$2</f>
        <v>12800000</v>
      </c>
      <c r="U3" s="5">
        <f t="shared" ref="U3:U34" si="9">V3/DAY($C$1)</f>
        <v>12800000</v>
      </c>
      <c r="V3" s="5">
        <v>128000000</v>
      </c>
      <c r="W3" s="4">
        <f>IFERROR(SUMIFS(data!$C:$C, data!$A:$A, $A3, data!$B:$B, $B3), 0)</f>
        <v>110</v>
      </c>
      <c r="X3" s="5">
        <f>IFERROR(SUMIF(data!$B:$B, $B3, data!$D:$D), 0)</f>
        <v>5766100</v>
      </c>
      <c r="Y3" s="5">
        <f t="shared" ref="Y3:Y34" si="10">IF(W3&gt;0, X3/W3, 0)</f>
        <v>52419.090909090912</v>
      </c>
      <c r="Z3" s="4">
        <f>IFERROR(SUMIFS(data!$E:$E, data!$A:$A, $A3, data!$B:$B, $B3), 0)</f>
        <v>58</v>
      </c>
      <c r="AA3" s="5">
        <f>IFERROR(SUMIF(data!$B:$B, $B3, data!$F:$F), 0)</f>
        <v>9034500</v>
      </c>
      <c r="AB3" s="5">
        <f t="shared" ref="AB3:AB34" si="11">IF(Z3&gt;0, AA3/Z3, 0)</f>
        <v>155767.24137931035</v>
      </c>
      <c r="AC3" s="4">
        <f t="shared" ref="AC3:AC34" si="12">W3+Z3</f>
        <v>168</v>
      </c>
      <c r="AD3" s="5">
        <f t="shared" ref="AD3:AD34" si="13">X3+AA3</f>
        <v>14800600</v>
      </c>
      <c r="AE3" s="5">
        <f t="shared" ref="AE3:AE34" si="14">IF(AC3&gt;0, AD3/AC3, 0)</f>
        <v>88098.809523809527</v>
      </c>
      <c r="AF3" s="17"/>
      <c r="AG3" s="17"/>
      <c r="AH3" s="17"/>
      <c r="AI3" s="17"/>
      <c r="AJ3" s="17"/>
      <c r="AK3" s="17"/>
      <c r="AL3" s="17"/>
    </row>
    <row r="4" spans="1:38" ht="13.8" customHeight="1" x14ac:dyDescent="0.3">
      <c r="A4" s="3" t="s">
        <v>52</v>
      </c>
      <c r="B4" s="3" t="s">
        <v>19</v>
      </c>
      <c r="C4" s="6" t="s">
        <v>90</v>
      </c>
      <c r="D4" s="5">
        <v>130000</v>
      </c>
      <c r="E4" s="5">
        <f t="shared" ref="E4:E34" si="15">AE4</f>
        <v>131181.20689655171</v>
      </c>
      <c r="F4" s="5">
        <f ca="1">IFERROR(ROUND(_xludf.LET(nt,$A4,nv,$B4,songay,DAY(EOMONTH($C$1,0)),doanhthungay,$I4,duan_nv,SUMIFS('Dự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>0</v>
      </c>
      <c r="G4" s="5">
        <f>IFERROR(SUMIF('Dự án T9'!$B:$B, $B4, 'Dự án T9'!$D:$D), 0)</f>
        <v>1067866.5</v>
      </c>
      <c r="H4" s="5">
        <f t="shared" si="0"/>
        <v>12800000</v>
      </c>
      <c r="I4" s="5">
        <f t="shared" ref="I4:I34" si="16">(AD4/DAY($C$1))</f>
        <v>3043404</v>
      </c>
      <c r="J4" s="14">
        <f>_xlfn.XLOOKUP(B4, 'kpi nhà thuốc'!A:A, 'kpi nhà thuốc'!F:F, (AD4/DAY($C$1))/U4)</f>
        <v>0.2377659375</v>
      </c>
      <c r="K4" s="5">
        <f ca="1">_xlfn.XLOOKUP(B4, 'kpi nhà thuốc'!$A:$A, 'kpi nhà thuốc'!$G:$G, IF(AND(OR(C4="DSXC", C4="DSCD", C4="DSBC", C4="DSTV", C4="Q.CHT", C4="BC", C4="DSHV"), G4&gt;=F4), AD4 * _xlfn.IFS(AND(I4&gt;=T4, E4&gt;=D4), 0.015, I4&gt;=T4, 0.013, AND(I4&gt;=S4, E4&gt;=D4), 0.013, I4&gt;=S4, 0.011, AND(I4&gt;=R4, E4&gt;=D4), 0.012, I4&gt;=R4, 0.01, TRUE, 0), 0))</f>
        <v>0</v>
      </c>
      <c r="L4" s="6">
        <f t="shared" si="1"/>
        <v>0.8</v>
      </c>
      <c r="M4" s="5">
        <f>IFERROR(SUMIF('Dự án T9'!$B:$B, $B4, 'Dự án T9'!$M:$M)*$L4, 0)</f>
        <v>800000</v>
      </c>
      <c r="N4" s="15">
        <f t="shared" ca="1" si="2"/>
        <v>800000</v>
      </c>
      <c r="O4" s="16">
        <f t="shared" si="3"/>
        <v>10300000</v>
      </c>
      <c r="P4" s="16">
        <f t="shared" si="4"/>
        <v>11600000</v>
      </c>
      <c r="Q4" s="16">
        <f t="shared" si="5"/>
        <v>12800000</v>
      </c>
      <c r="R4" s="16">
        <f t="shared" si="6"/>
        <v>10240000</v>
      </c>
      <c r="S4" s="16">
        <f t="shared" si="7"/>
        <v>11520000</v>
      </c>
      <c r="T4" s="16">
        <f t="shared" si="8"/>
        <v>12800000</v>
      </c>
      <c r="U4" s="5">
        <f t="shared" si="9"/>
        <v>12800000</v>
      </c>
      <c r="V4" s="5">
        <v>128000000</v>
      </c>
      <c r="W4" s="4">
        <f>IFERROR(SUMIFS(data!$C:$C, data!$A:$A, $A4, data!$B:$B, $B4), 0)</f>
        <v>161</v>
      </c>
      <c r="X4" s="5">
        <f>IFERROR(SUMIF(data!$B:$B, $B4, data!$D:$D), 0)</f>
        <v>12039900</v>
      </c>
      <c r="Y4" s="5">
        <f t="shared" si="10"/>
        <v>74781.987577639753</v>
      </c>
      <c r="Z4" s="4">
        <f>IFERROR(SUMIFS(data!$E:$E, data!$A:$A, $A4, data!$B:$B, $B4), 0)</f>
        <v>71</v>
      </c>
      <c r="AA4" s="5">
        <f>IFERROR(SUMIF(data!$B:$B, $B4, data!$F:$F), 0)</f>
        <v>18394140</v>
      </c>
      <c r="AB4" s="5">
        <f t="shared" si="11"/>
        <v>259072.39436619717</v>
      </c>
      <c r="AC4" s="4">
        <f t="shared" si="12"/>
        <v>232</v>
      </c>
      <c r="AD4" s="5">
        <f t="shared" si="13"/>
        <v>30434040</v>
      </c>
      <c r="AE4" s="5">
        <f t="shared" si="14"/>
        <v>131181.20689655171</v>
      </c>
      <c r="AF4" s="17"/>
      <c r="AG4" s="17"/>
      <c r="AH4" s="17"/>
      <c r="AI4" s="17"/>
      <c r="AJ4" s="17"/>
      <c r="AK4" s="17"/>
      <c r="AL4" s="17"/>
    </row>
    <row r="5" spans="1:38" ht="13.8" customHeight="1" x14ac:dyDescent="0.3">
      <c r="A5" s="3" t="s">
        <v>52</v>
      </c>
      <c r="B5" s="3" t="s">
        <v>53</v>
      </c>
      <c r="C5" s="6" t="s">
        <v>91</v>
      </c>
      <c r="D5" s="5">
        <v>100000</v>
      </c>
      <c r="E5" s="5">
        <f t="shared" si="15"/>
        <v>99062.980769230766</v>
      </c>
      <c r="F5" s="5">
        <f ca="1">IFERROR(ROUND(_xludf.LET(nt,$A5,nv,$B5,songay,DAY(EOMONTH($C$1,0)),doanhthungay,$I5,duan_nv,SUMIFS('Dự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>0</v>
      </c>
      <c r="G5" s="5">
        <f>IFERROR(SUMIF('Dự án T9'!$B:$B, $B5, 'Dự án T9'!$D:$D), 0)</f>
        <v>819035.3</v>
      </c>
      <c r="H5" s="5">
        <f t="shared" si="0"/>
        <v>12800000</v>
      </c>
      <c r="I5" s="5">
        <f t="shared" si="16"/>
        <v>2060510</v>
      </c>
      <c r="J5" s="14">
        <f>_xlfn.XLOOKUP(B5, 'kpi nhà thuốc'!A:A, 'kpi nhà thuốc'!F:F, (AD5/DAY($C$1))/U5)</f>
        <v>0.16097734375</v>
      </c>
      <c r="K5" s="5">
        <f ca="1">_xlfn.XLOOKUP(B5, 'kpi nhà thuốc'!$A:$A, 'kpi nhà thuốc'!$G:$G, IF(AND(OR(C5="DSXC", C5="DSCD", C5="DSBC", C5="DSTV", C5="Q.CHT", C5="BC", C5="DSHV"), G5&gt;=F5), AD5 * _xlfn.IFS(AND(I5&gt;=T5, E5&gt;=D5), 0.015, I5&gt;=T5, 0.013, AND(I5&gt;=S5, E5&gt;=D5), 0.013, I5&gt;=S5, 0.011, AND(I5&gt;=R5, E5&gt;=D5), 0.012, I5&gt;=R5, 0.01, TRUE, 0), 0))</f>
        <v>0</v>
      </c>
      <c r="L5" s="6">
        <f t="shared" si="1"/>
        <v>0.8</v>
      </c>
      <c r="M5" s="5">
        <f>IFERROR(SUMIF('Dự án T9'!$B:$B, $B5, 'Dự án T9'!$M:$M)*$L5, 0)</f>
        <v>0</v>
      </c>
      <c r="N5" s="15">
        <f t="shared" ca="1" si="2"/>
        <v>0</v>
      </c>
      <c r="O5" s="16">
        <f t="shared" si="3"/>
        <v>10300000</v>
      </c>
      <c r="P5" s="16">
        <f t="shared" si="4"/>
        <v>11600000</v>
      </c>
      <c r="Q5" s="16">
        <f t="shared" si="5"/>
        <v>12800000</v>
      </c>
      <c r="R5" s="16">
        <f t="shared" si="6"/>
        <v>10240000</v>
      </c>
      <c r="S5" s="16">
        <f t="shared" si="7"/>
        <v>11520000</v>
      </c>
      <c r="T5" s="16">
        <f t="shared" si="8"/>
        <v>12800000</v>
      </c>
      <c r="U5" s="5">
        <f t="shared" si="9"/>
        <v>12800000</v>
      </c>
      <c r="V5" s="5">
        <v>128000000</v>
      </c>
      <c r="W5" s="4">
        <f>IFERROR(SUMIFS(data!$C:$C, data!$A:$A, $A5, data!$B:$B, $B5), 0)</f>
        <v>121</v>
      </c>
      <c r="X5" s="5">
        <f>IFERROR(SUMIF(data!$B:$B, $B5, data!$D:$D), 0)</f>
        <v>6675600</v>
      </c>
      <c r="Y5" s="5">
        <f t="shared" si="10"/>
        <v>55170.247933884297</v>
      </c>
      <c r="Z5" s="4">
        <f>IFERROR(SUMIFS(data!$E:$E, data!$A:$A, $A5, data!$B:$B, $B5), 0)</f>
        <v>87</v>
      </c>
      <c r="AA5" s="5">
        <f>IFERROR(SUMIF(data!$B:$B, $B5, data!$F:$F), 0)</f>
        <v>13929500</v>
      </c>
      <c r="AB5" s="5">
        <f t="shared" si="11"/>
        <v>160109.19540229885</v>
      </c>
      <c r="AC5" s="4">
        <f t="shared" si="12"/>
        <v>208</v>
      </c>
      <c r="AD5" s="5">
        <f t="shared" si="13"/>
        <v>20605100</v>
      </c>
      <c r="AE5" s="5">
        <f t="shared" si="14"/>
        <v>99062.980769230766</v>
      </c>
      <c r="AF5" s="17"/>
      <c r="AG5" s="17"/>
      <c r="AH5" s="17"/>
      <c r="AI5" s="17"/>
      <c r="AJ5" s="17"/>
      <c r="AK5" s="17"/>
      <c r="AL5" s="17"/>
    </row>
    <row r="6" spans="1:38" ht="13.8" customHeight="1" x14ac:dyDescent="0.3">
      <c r="A6" s="3" t="s">
        <v>52</v>
      </c>
      <c r="B6" s="3" t="s">
        <v>55</v>
      </c>
      <c r="C6" s="6" t="s">
        <v>92</v>
      </c>
      <c r="D6" s="5">
        <v>175000</v>
      </c>
      <c r="E6" s="5">
        <f t="shared" si="15"/>
        <v>109174.72527472528</v>
      </c>
      <c r="F6" s="5">
        <f ca="1">IFERROR(ROUND(_xludf.LET(nt,$A6,nv,$B6,songay,DAY(EOMONTH($C$1,0)),doanhthungay,$I6,duan_nv,SUMIFS('Dự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>0</v>
      </c>
      <c r="G6" s="5">
        <f>IFERROR(SUMIF('Dự án T9'!$B:$B, $B6, 'Dự án T9'!$D:$D), 0)</f>
        <v>1058477.8</v>
      </c>
      <c r="H6" s="5">
        <f t="shared" si="0"/>
        <v>12800000</v>
      </c>
      <c r="I6" s="5">
        <f t="shared" si="16"/>
        <v>1986980</v>
      </c>
      <c r="J6" s="14">
        <f>_xlfn.XLOOKUP(B6, 'kpi nhà thuốc'!A:A, 'kpi nhà thuốc'!F:F, (AD6/DAY($C$1))/U6)</f>
        <v>0.15523281250000001</v>
      </c>
      <c r="K6" s="5">
        <f ca="1">_xlfn.XLOOKUP(B6, 'kpi nhà thuốc'!$A:$A, 'kpi nhà thuốc'!$G:$G, IF(AND(OR(C6="DSXC", C6="DSCD", C6="DSBC", C6="DSTV", C6="Q.CHT", C6="BC", C6="DSHV"), G6&gt;=F6), AD6 * _xlfn.IFS(AND(I6&gt;=T6, E6&gt;=D6), 0.015, I6&gt;=T6, 0.013, AND(I6&gt;=S6, E6&gt;=D6), 0.013, I6&gt;=S6, 0.011, AND(I6&gt;=R6, E6&gt;=D6), 0.012, I6&gt;=R6, 0.01, TRUE, 0), 0))</f>
        <v>0</v>
      </c>
      <c r="L6" s="6">
        <f t="shared" si="1"/>
        <v>0.8</v>
      </c>
      <c r="M6" s="5">
        <f>IFERROR(SUMIF('Dự án T9'!$B:$B, $B6, 'Dự án T9'!$M:$M)*$L6, 0)</f>
        <v>400000</v>
      </c>
      <c r="N6" s="15">
        <f t="shared" ca="1" si="2"/>
        <v>400000</v>
      </c>
      <c r="O6" s="16">
        <f t="shared" si="3"/>
        <v>10300000</v>
      </c>
      <c r="P6" s="16">
        <f t="shared" si="4"/>
        <v>11600000</v>
      </c>
      <c r="Q6" s="16">
        <f t="shared" si="5"/>
        <v>12800000</v>
      </c>
      <c r="R6" s="16">
        <f t="shared" si="6"/>
        <v>10240000</v>
      </c>
      <c r="S6" s="16">
        <f t="shared" si="7"/>
        <v>11520000</v>
      </c>
      <c r="T6" s="16">
        <f t="shared" si="8"/>
        <v>12800000</v>
      </c>
      <c r="U6" s="5">
        <f t="shared" si="9"/>
        <v>12800000</v>
      </c>
      <c r="V6" s="5">
        <v>128000000</v>
      </c>
      <c r="W6" s="4">
        <f>IFERROR(SUMIFS(data!$C:$C, data!$A:$A, $A6, data!$B:$B, $B6), 0)</f>
        <v>118</v>
      </c>
      <c r="X6" s="5">
        <f>IFERROR(SUMIF(data!$B:$B, $B6, data!$D:$D), 0)</f>
        <v>9708400</v>
      </c>
      <c r="Y6" s="5">
        <f t="shared" si="10"/>
        <v>82274.576271186437</v>
      </c>
      <c r="Z6" s="4">
        <f>IFERROR(SUMIFS(data!$E:$E, data!$A:$A, $A6, data!$B:$B, $B6), 0)</f>
        <v>64</v>
      </c>
      <c r="AA6" s="5">
        <f>IFERROR(SUMIF(data!$B:$B, $B6, data!$F:$F), 0)</f>
        <v>10161400</v>
      </c>
      <c r="AB6" s="5">
        <f t="shared" si="11"/>
        <v>158771.875</v>
      </c>
      <c r="AC6" s="4">
        <f t="shared" si="12"/>
        <v>182</v>
      </c>
      <c r="AD6" s="5">
        <f t="shared" si="13"/>
        <v>19869800</v>
      </c>
      <c r="AE6" s="5">
        <f t="shared" si="14"/>
        <v>109174.72527472528</v>
      </c>
      <c r="AF6" s="17"/>
      <c r="AG6" s="17"/>
      <c r="AH6" s="17"/>
      <c r="AI6" s="17"/>
      <c r="AJ6" s="17"/>
      <c r="AK6" s="17"/>
      <c r="AL6" s="17"/>
    </row>
    <row r="7" spans="1:38" ht="13.8" customHeight="1" x14ac:dyDescent="0.3">
      <c r="A7" s="3" t="s">
        <v>52</v>
      </c>
      <c r="B7" s="3" t="s">
        <v>56</v>
      </c>
      <c r="C7" s="6" t="s">
        <v>92</v>
      </c>
      <c r="D7" s="5">
        <v>175000</v>
      </c>
      <c r="E7" s="5">
        <f t="shared" si="15"/>
        <v>106850.62111801242</v>
      </c>
      <c r="F7" s="5">
        <f ca="1">IFERROR(ROUND(_xludf.LET(nt,$A7,nv,$B7,songay,DAY(EOMONTH($C$1,0)),doanhthungay,$I7,duan_nv,SUMIFS('Dự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>0</v>
      </c>
      <c r="G7" s="5">
        <f>IFERROR(SUMIF('Dự án T9'!$B:$B, $B7, 'Dự án T9'!$D:$D), 0)</f>
        <v>0</v>
      </c>
      <c r="H7" s="5">
        <f t="shared" si="0"/>
        <v>12800000</v>
      </c>
      <c r="I7" s="5">
        <f t="shared" si="16"/>
        <v>3440590</v>
      </c>
      <c r="J7" s="14">
        <f>_xlfn.XLOOKUP(B7, 'kpi nhà thuốc'!A:A, 'kpi nhà thuốc'!F:F, (AD7/DAY($C$1))/U7)</f>
        <v>0.26879609375000002</v>
      </c>
      <c r="K7" s="5">
        <f ca="1">_xlfn.XLOOKUP(B7, 'kpi nhà thuốc'!$A:$A, 'kpi nhà thuốc'!$G:$G, IF(AND(OR(C7="DSXC", C7="DSCD", C7="DSBC", C7="DSTV", C7="Q.CHT", C7="BC", C7="DSHV"), G7&gt;=F7), AD7 * _xlfn.IFS(AND(I7&gt;=T7, E7&gt;=D7), 0.015, I7&gt;=T7, 0.013, AND(I7&gt;=S7, E7&gt;=D7), 0.013, I7&gt;=S7, 0.011, AND(I7&gt;=R7, E7&gt;=D7), 0.012, I7&gt;=R7, 0.01, TRUE, 0), 0))</f>
        <v>0</v>
      </c>
      <c r="L7" s="6">
        <f t="shared" si="1"/>
        <v>0.8</v>
      </c>
      <c r="M7" s="5">
        <f>IFERROR(SUMIF('Dự án T9'!$B:$B, $B7, 'Dự án T9'!$M:$M)*$L7, 0)</f>
        <v>0</v>
      </c>
      <c r="N7" s="15">
        <f t="shared" ca="1" si="2"/>
        <v>0</v>
      </c>
      <c r="O7" s="16">
        <f t="shared" si="3"/>
        <v>10300000</v>
      </c>
      <c r="P7" s="16">
        <f t="shared" si="4"/>
        <v>11600000</v>
      </c>
      <c r="Q7" s="16">
        <f t="shared" si="5"/>
        <v>12800000</v>
      </c>
      <c r="R7" s="16">
        <f t="shared" si="6"/>
        <v>10240000</v>
      </c>
      <c r="S7" s="16">
        <f t="shared" si="7"/>
        <v>11520000</v>
      </c>
      <c r="T7" s="16">
        <f t="shared" si="8"/>
        <v>12800000</v>
      </c>
      <c r="U7" s="5">
        <f t="shared" si="9"/>
        <v>12800000</v>
      </c>
      <c r="V7" s="5">
        <v>128000000</v>
      </c>
      <c r="W7" s="4">
        <f>IFERROR(SUMIFS(data!$C:$C, data!$A:$A, $A7, data!$B:$B, $B7), 0)</f>
        <v>236</v>
      </c>
      <c r="X7" s="5">
        <f>IFERROR(SUMIF(data!$B:$B, $B7, data!$D:$D), 0)</f>
        <v>22440900</v>
      </c>
      <c r="Y7" s="5">
        <f t="shared" si="10"/>
        <v>95088.559322033892</v>
      </c>
      <c r="Z7" s="4">
        <f>IFERROR(SUMIFS(data!$E:$E, data!$A:$A, $A7, data!$B:$B, $B7), 0)</f>
        <v>86</v>
      </c>
      <c r="AA7" s="5">
        <f>IFERROR(SUMIF(data!$B:$B, $B7, data!$F:$F), 0)</f>
        <v>11965000</v>
      </c>
      <c r="AB7" s="5">
        <f t="shared" si="11"/>
        <v>139127.90697674418</v>
      </c>
      <c r="AC7" s="4">
        <f t="shared" si="12"/>
        <v>322</v>
      </c>
      <c r="AD7" s="5">
        <f t="shared" si="13"/>
        <v>34405900</v>
      </c>
      <c r="AE7" s="5">
        <f t="shared" si="14"/>
        <v>106850.62111801242</v>
      </c>
      <c r="AF7" s="17"/>
      <c r="AG7" s="17"/>
      <c r="AH7" s="17"/>
      <c r="AI7" s="17"/>
      <c r="AJ7" s="17"/>
      <c r="AK7" s="17"/>
      <c r="AL7" s="17"/>
    </row>
    <row r="8" spans="1:38" ht="13.8" customHeight="1" x14ac:dyDescent="0.3">
      <c r="A8" s="3" t="s">
        <v>64</v>
      </c>
      <c r="B8" s="3" t="s">
        <v>67</v>
      </c>
      <c r="C8" s="6" t="s">
        <v>92</v>
      </c>
      <c r="D8" s="5">
        <v>187974</v>
      </c>
      <c r="E8" s="5">
        <f t="shared" si="15"/>
        <v>199475.4189944134</v>
      </c>
      <c r="F8" s="5">
        <f ca="1">IFERROR(ROUND(_xludf.LET(nt,$A8,nv,$B8,songay,DAY(EOMONTH($C$1,0)),doanhthungay,$I8,duan_nv,SUMIFS('Dự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>0</v>
      </c>
      <c r="G8" s="5">
        <f>IFERROR(SUMIF('Dự án T9'!$B:$B, $B8, 'Dự án T9'!$D:$D), 0)</f>
        <v>381832.4</v>
      </c>
      <c r="H8" s="5">
        <f t="shared" si="0"/>
        <v>24000000</v>
      </c>
      <c r="I8" s="5">
        <f t="shared" si="16"/>
        <v>3570610</v>
      </c>
      <c r="J8" s="14">
        <f>_xlfn.XLOOKUP(B8, 'kpi nhà thuốc'!A:A, 'kpi nhà thuốc'!F:F, (AD8/DAY($C$1))/U8)</f>
        <v>0.14877541666666666</v>
      </c>
      <c r="K8" s="5">
        <f ca="1">_xlfn.XLOOKUP(B8, 'kpi nhà thuốc'!$A:$A, 'kpi nhà thuốc'!$G:$G, IF(AND(OR(C8="DSXC", C8="DSCD", C8="DSBC", C8="DSTV", C8="Q.CHT", C8="BC", C8="DSHV"), G8&gt;=F8), AD8 * _xlfn.IFS(AND(I8&gt;=T8, E8&gt;=D8), 0.015, I8&gt;=T8, 0.013, AND(I8&gt;=S8, E8&gt;=D8), 0.013, I8&gt;=S8, 0.011, AND(I8&gt;=R8, E8&gt;=D8), 0.012, I8&gt;=R8, 0.01, TRUE, 0), 0))</f>
        <v>0</v>
      </c>
      <c r="L8" s="6">
        <f t="shared" si="1"/>
        <v>0.8</v>
      </c>
      <c r="M8" s="5">
        <f>IFERROR(SUMIF('Dự án T9'!$B:$B, $B8, 'Dự án T9'!$M:$M)*$L8, 0)</f>
        <v>0</v>
      </c>
      <c r="N8" s="15">
        <f t="shared" ca="1" si="2"/>
        <v>0</v>
      </c>
      <c r="O8" s="16">
        <f t="shared" si="3"/>
        <v>19200000</v>
      </c>
      <c r="P8" s="16">
        <f t="shared" si="4"/>
        <v>21600000</v>
      </c>
      <c r="Q8" s="16">
        <f t="shared" si="5"/>
        <v>24000000</v>
      </c>
      <c r="R8" s="16">
        <f t="shared" si="6"/>
        <v>19200000</v>
      </c>
      <c r="S8" s="16">
        <f t="shared" si="7"/>
        <v>21600000</v>
      </c>
      <c r="T8" s="16">
        <f t="shared" si="8"/>
        <v>24000000</v>
      </c>
      <c r="U8" s="5">
        <f t="shared" si="9"/>
        <v>24000000</v>
      </c>
      <c r="V8" s="5">
        <v>240000000</v>
      </c>
      <c r="W8" s="4">
        <f>IFERROR(SUMIFS(data!$C:$C, data!$A:$A, $A8, data!$B:$B, $B8), 0)</f>
        <v>135</v>
      </c>
      <c r="X8" s="5">
        <f>IFERROR(SUMIF(data!$B:$B, $B8, data!$D:$D), 0)</f>
        <v>30834300</v>
      </c>
      <c r="Y8" s="5">
        <f t="shared" si="10"/>
        <v>228402.22222222222</v>
      </c>
      <c r="Z8" s="4">
        <f>IFERROR(SUMIFS(data!$E:$E, data!$A:$A, $A8, data!$B:$B, $B8), 0)</f>
        <v>44</v>
      </c>
      <c r="AA8" s="5">
        <f>IFERROR(SUMIF(data!$B:$B, $B8, data!$F:$F), 0)</f>
        <v>4871800</v>
      </c>
      <c r="AB8" s="5">
        <f t="shared" si="11"/>
        <v>110722.72727272728</v>
      </c>
      <c r="AC8" s="4">
        <f t="shared" si="12"/>
        <v>179</v>
      </c>
      <c r="AD8" s="5">
        <f t="shared" si="13"/>
        <v>35706100</v>
      </c>
      <c r="AE8" s="5">
        <f t="shared" si="14"/>
        <v>199475.4189944134</v>
      </c>
      <c r="AF8" s="17"/>
      <c r="AG8" s="17"/>
      <c r="AH8" s="17"/>
      <c r="AI8" s="17"/>
      <c r="AJ8" s="17"/>
      <c r="AK8" s="17"/>
      <c r="AL8" s="17"/>
    </row>
    <row r="9" spans="1:38" ht="13.8" customHeight="1" x14ac:dyDescent="0.3">
      <c r="A9" s="3" t="s">
        <v>64</v>
      </c>
      <c r="B9" s="3" t="s">
        <v>68</v>
      </c>
      <c r="C9" s="6" t="s">
        <v>90</v>
      </c>
      <c r="D9" s="5">
        <v>204503</v>
      </c>
      <c r="E9" s="5">
        <f t="shared" si="15"/>
        <v>153570.11494252874</v>
      </c>
      <c r="F9" s="5">
        <f ca="1">IFERROR(ROUND(_xludf.LET(nt,$A9,nv,$B9,songay,DAY(EOMONTH($C$1,0)),doanhthungay,$I9,duan_nv,SUMIFS('Dự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>0</v>
      </c>
      <c r="G9" s="5">
        <f>IFERROR(SUMIF('Dự án T9'!$B:$B, $B9, 'Dự án T9'!$D:$D), 0)</f>
        <v>516686.5</v>
      </c>
      <c r="H9" s="5">
        <f t="shared" si="0"/>
        <v>24000000</v>
      </c>
      <c r="I9" s="5">
        <f t="shared" si="16"/>
        <v>2672120</v>
      </c>
      <c r="J9" s="14">
        <f>_xlfn.XLOOKUP(B9, 'kpi nhà thuốc'!A:A, 'kpi nhà thuốc'!F:F, (AD9/DAY($C$1))/U9)</f>
        <v>0.11133833333333333</v>
      </c>
      <c r="K9" s="5">
        <f ca="1">_xlfn.XLOOKUP(B9, 'kpi nhà thuốc'!$A:$A, 'kpi nhà thuốc'!$G:$G, IF(AND(OR(C9="DSXC", C9="DSCD", C9="DSBC", C9="DSTV", C9="Q.CHT", C9="BC", C9="DSHV"), G9&gt;=F9), AD9 * _xlfn.IFS(AND(I9&gt;=T9, E9&gt;=D9), 0.015, I9&gt;=T9, 0.013, AND(I9&gt;=S9, E9&gt;=D9), 0.013, I9&gt;=S9, 0.011, AND(I9&gt;=R9, E9&gt;=D9), 0.012, I9&gt;=R9, 0.01, TRUE, 0), 0))</f>
        <v>0</v>
      </c>
      <c r="L9" s="6">
        <f t="shared" si="1"/>
        <v>0.8</v>
      </c>
      <c r="M9" s="5">
        <f>IFERROR(SUMIF('Dự án T9'!$B:$B, $B9, 'Dự án T9'!$M:$M)*$L9, 0)</f>
        <v>0</v>
      </c>
      <c r="N9" s="15">
        <f t="shared" ca="1" si="2"/>
        <v>0</v>
      </c>
      <c r="O9" s="16">
        <f t="shared" si="3"/>
        <v>19200000</v>
      </c>
      <c r="P9" s="16">
        <f t="shared" si="4"/>
        <v>21600000</v>
      </c>
      <c r="Q9" s="16">
        <f t="shared" si="5"/>
        <v>24000000</v>
      </c>
      <c r="R9" s="16">
        <f t="shared" si="6"/>
        <v>19200000</v>
      </c>
      <c r="S9" s="16">
        <f t="shared" si="7"/>
        <v>21600000</v>
      </c>
      <c r="T9" s="16">
        <f t="shared" si="8"/>
        <v>24000000</v>
      </c>
      <c r="U9" s="5">
        <f t="shared" si="9"/>
        <v>24000000</v>
      </c>
      <c r="V9" s="5">
        <v>240000000</v>
      </c>
      <c r="W9" s="4">
        <f>IFERROR(SUMIFS(data!$C:$C, data!$A:$A, $A9, data!$B:$B, $B9), 0)</f>
        <v>116</v>
      </c>
      <c r="X9" s="5">
        <f>IFERROR(SUMIF(data!$B:$B, $B9, data!$D:$D), 0)</f>
        <v>20710600</v>
      </c>
      <c r="Y9" s="5">
        <f t="shared" si="10"/>
        <v>178539.6551724138</v>
      </c>
      <c r="Z9" s="4">
        <f>IFERROR(SUMIFS(data!$E:$E, data!$A:$A, $A9, data!$B:$B, $B9), 0)</f>
        <v>58</v>
      </c>
      <c r="AA9" s="5">
        <f>IFERROR(SUMIF(data!$B:$B, $B9, data!$F:$F), 0)</f>
        <v>6010600</v>
      </c>
      <c r="AB9" s="5">
        <f t="shared" si="11"/>
        <v>103631.03448275862</v>
      </c>
      <c r="AC9" s="4">
        <f t="shared" si="12"/>
        <v>174</v>
      </c>
      <c r="AD9" s="5">
        <f t="shared" si="13"/>
        <v>26721200</v>
      </c>
      <c r="AE9" s="5">
        <f t="shared" si="14"/>
        <v>153570.11494252874</v>
      </c>
      <c r="AF9" s="17"/>
      <c r="AG9" s="17"/>
      <c r="AH9" s="17"/>
      <c r="AI9" s="17"/>
      <c r="AJ9" s="17"/>
      <c r="AK9" s="17"/>
      <c r="AL9" s="17"/>
    </row>
    <row r="10" spans="1:38" ht="13.8" customHeight="1" x14ac:dyDescent="0.3">
      <c r="A10" s="3" t="s">
        <v>64</v>
      </c>
      <c r="B10" s="3" t="s">
        <v>18</v>
      </c>
      <c r="C10" s="6" t="s">
        <v>93</v>
      </c>
      <c r="D10" s="5">
        <v>346495</v>
      </c>
      <c r="E10" s="5">
        <f t="shared" si="15"/>
        <v>332241.50943396229</v>
      </c>
      <c r="F10" s="5">
        <f ca="1">IFERROR(ROUND(_xludf.LET(nt,$A10,nv,$B10,songay,DAY(EOMONTH($C$1,0)),doanhthungay,$I10,duan_nv,SUMIFS('Dự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>0</v>
      </c>
      <c r="G10" s="5">
        <f>IFERROR(SUMIF('Dự án T9'!$B:$B, $B10, 'Dự án T9'!$D:$D), 0)</f>
        <v>404545.9</v>
      </c>
      <c r="H10" s="5">
        <f t="shared" si="0"/>
        <v>24000000</v>
      </c>
      <c r="I10" s="5">
        <f t="shared" si="16"/>
        <v>5282640</v>
      </c>
      <c r="J10" s="14">
        <f>_xlfn.XLOOKUP(B10, 'kpi nhà thuốc'!A:A, 'kpi nhà thuốc'!F:F, (AD10/DAY($C$1))/U10)</f>
        <v>0.18759218333333333</v>
      </c>
      <c r="K10" s="5">
        <f ca="1">_xlfn.XLOOKUP(B10, 'kpi nhà thuốc'!$A:$A, 'kpi nhà thuốc'!$G:$G, IF(AND(OR(C10="DSXC", C10="DSCD", C10="DSBC", C10="DSTV", C10="Q.CHT", C10="BC", C10="DSHV"), G10&gt;=F10), AD10 * _xlfn.IFS(AND(I10&gt;=T10, E10&gt;=D10), 0.015, I10&gt;=T10, 0.013, AND(I10&gt;=S10, E10&gt;=D10), 0.013, I10&gt;=S10, 0.011, AND(I10&gt;=R10, E10&gt;=D10), 0.012, I10&gt;=R10, 0.01, TRUE, 0), 0))</f>
        <v>0</v>
      </c>
      <c r="L10" s="6">
        <f t="shared" si="1"/>
        <v>0.8</v>
      </c>
      <c r="M10" s="5">
        <f>IFERROR(SUMIF('Dự án T9'!$B:$B, $B10, 'Dự án T9'!$M:$M)*$L10, 0)</f>
        <v>0</v>
      </c>
      <c r="N10" s="15">
        <f t="shared" ca="1" si="2"/>
        <v>0</v>
      </c>
      <c r="O10" s="16">
        <f t="shared" si="3"/>
        <v>19200000</v>
      </c>
      <c r="P10" s="16">
        <f t="shared" si="4"/>
        <v>21600000</v>
      </c>
      <c r="Q10" s="16">
        <f t="shared" si="5"/>
        <v>24000000</v>
      </c>
      <c r="R10" s="16">
        <f t="shared" si="6"/>
        <v>19200000</v>
      </c>
      <c r="S10" s="16">
        <f t="shared" si="7"/>
        <v>21600000</v>
      </c>
      <c r="T10" s="16">
        <f t="shared" si="8"/>
        <v>24000000</v>
      </c>
      <c r="U10" s="5">
        <f t="shared" si="9"/>
        <v>24000000</v>
      </c>
      <c r="V10" s="5">
        <v>240000000</v>
      </c>
      <c r="W10" s="4">
        <f>IFERROR(SUMIFS(data!$C:$C, data!$A:$A, $A10, data!$B:$B, $B10), 0)</f>
        <v>105</v>
      </c>
      <c r="X10" s="5">
        <f>IFERROR(SUMIF(data!$B:$B, $B10, data!$D:$D), 0)</f>
        <v>31479500</v>
      </c>
      <c r="Y10" s="5">
        <f t="shared" si="10"/>
        <v>299804.76190476189</v>
      </c>
      <c r="Z10" s="4">
        <f>IFERROR(SUMIFS(data!$E:$E, data!$A:$A, $A10, data!$B:$B, $B10), 0)</f>
        <v>54</v>
      </c>
      <c r="AA10" s="5">
        <f>IFERROR(SUMIF(data!$B:$B, $B10, data!$F:$F), 0)</f>
        <v>21346900</v>
      </c>
      <c r="AB10" s="5">
        <f t="shared" si="11"/>
        <v>395312.96296296298</v>
      </c>
      <c r="AC10" s="4">
        <f t="shared" si="12"/>
        <v>159</v>
      </c>
      <c r="AD10" s="5">
        <f t="shared" si="13"/>
        <v>52826400</v>
      </c>
      <c r="AE10" s="5">
        <f t="shared" si="14"/>
        <v>332241.50943396229</v>
      </c>
      <c r="AF10" s="17"/>
      <c r="AG10" s="17"/>
      <c r="AH10" s="17"/>
      <c r="AI10" s="17"/>
      <c r="AJ10" s="17"/>
      <c r="AK10" s="17"/>
      <c r="AL10" s="17"/>
    </row>
    <row r="11" spans="1:38" ht="13.8" customHeight="1" x14ac:dyDescent="0.3">
      <c r="A11" s="3" t="s">
        <v>64</v>
      </c>
      <c r="B11" s="3" t="s">
        <v>65</v>
      </c>
      <c r="C11" s="6" t="s">
        <v>90</v>
      </c>
      <c r="D11" s="5">
        <v>335470</v>
      </c>
      <c r="E11" s="5">
        <f t="shared" si="15"/>
        <v>248354.14414414414</v>
      </c>
      <c r="F11" s="5">
        <f ca="1">IFERROR(ROUND(_xludf.LET(nt,$A11,nv,$B11,songay,DAY(EOMONTH($C$1,0)),doanhthungay,$I11,duan_nv,SUMIFS('Dự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>0</v>
      </c>
      <c r="G11" s="5">
        <f>IFERROR(SUMIF('Dự án T9'!$B:$B, $B11, 'Dự án T9'!$D:$D), 0)</f>
        <v>1322051.8999999999</v>
      </c>
      <c r="H11" s="5">
        <f t="shared" si="0"/>
        <v>24000000</v>
      </c>
      <c r="I11" s="5">
        <f t="shared" si="16"/>
        <v>5513462</v>
      </c>
      <c r="J11" s="14">
        <f>_xlfn.XLOOKUP(B11, 'kpi nhà thuốc'!A:A, 'kpi nhà thuốc'!F:F, (AD11/DAY($C$1))/U11)</f>
        <v>0.22972758333333335</v>
      </c>
      <c r="K11" s="5">
        <f ca="1">_xlfn.XLOOKUP(B11, 'kpi nhà thuốc'!$A:$A, 'kpi nhà thuốc'!$G:$G, IF(AND(OR(C11="DSXC", C11="DSCD", C11="DSBC", C11="DSTV", C11="Q.CHT", C11="BC", C11="DSHV"), G11&gt;=F11), AD11 * _xlfn.IFS(AND(I11&gt;=T11, E11&gt;=D11), 0.015, I11&gt;=T11, 0.013, AND(I11&gt;=S11, E11&gt;=D11), 0.013, I11&gt;=S11, 0.011, AND(I11&gt;=R11, E11&gt;=D11), 0.012, I11&gt;=R11, 0.01, TRUE, 0), 0))</f>
        <v>0</v>
      </c>
      <c r="L11" s="6">
        <f t="shared" si="1"/>
        <v>0.8</v>
      </c>
      <c r="M11" s="5">
        <f>IFERROR(SUMIF('Dự án T9'!$B:$B, $B11, 'Dự án T9'!$M:$M)*$L11, 0)</f>
        <v>400000</v>
      </c>
      <c r="N11" s="15">
        <f t="shared" ca="1" si="2"/>
        <v>400000</v>
      </c>
      <c r="O11" s="16">
        <f t="shared" si="3"/>
        <v>19200000</v>
      </c>
      <c r="P11" s="16">
        <f t="shared" si="4"/>
        <v>21600000</v>
      </c>
      <c r="Q11" s="16">
        <f t="shared" si="5"/>
        <v>24000000</v>
      </c>
      <c r="R11" s="16">
        <f t="shared" si="6"/>
        <v>19200000</v>
      </c>
      <c r="S11" s="16">
        <f t="shared" si="7"/>
        <v>21600000</v>
      </c>
      <c r="T11" s="16">
        <f t="shared" si="8"/>
        <v>24000000</v>
      </c>
      <c r="U11" s="5">
        <f t="shared" si="9"/>
        <v>24000000</v>
      </c>
      <c r="V11" s="5">
        <v>240000000</v>
      </c>
      <c r="W11" s="4">
        <f>IFERROR(SUMIFS(data!$C:$C, data!$A:$A, $A11, data!$B:$B, $B11), 0)</f>
        <v>155</v>
      </c>
      <c r="X11" s="5">
        <f>IFERROR(SUMIF(data!$B:$B, $B11, data!$D:$D), 0)</f>
        <v>38890420</v>
      </c>
      <c r="Y11" s="5">
        <f t="shared" si="10"/>
        <v>250905.93548387097</v>
      </c>
      <c r="Z11" s="4">
        <f>IFERROR(SUMIFS(data!$E:$E, data!$A:$A, $A11, data!$B:$B, $B11), 0)</f>
        <v>67</v>
      </c>
      <c r="AA11" s="5">
        <f>IFERROR(SUMIF(data!$B:$B, $B11, data!$F:$F), 0)</f>
        <v>16244200</v>
      </c>
      <c r="AB11" s="5">
        <f t="shared" si="11"/>
        <v>242450.74626865672</v>
      </c>
      <c r="AC11" s="4">
        <f t="shared" si="12"/>
        <v>222</v>
      </c>
      <c r="AD11" s="5">
        <f t="shared" si="13"/>
        <v>55134620</v>
      </c>
      <c r="AE11" s="5">
        <f t="shared" si="14"/>
        <v>248354.14414414414</v>
      </c>
      <c r="AF11" s="17"/>
      <c r="AG11" s="17"/>
      <c r="AH11" s="17"/>
      <c r="AI11" s="17"/>
      <c r="AJ11" s="17"/>
      <c r="AK11" s="17"/>
      <c r="AL11" s="17"/>
    </row>
    <row r="12" spans="1:38" ht="13.8" customHeight="1" x14ac:dyDescent="0.3">
      <c r="A12" s="3" t="s">
        <v>64</v>
      </c>
      <c r="B12" s="3" t="s">
        <v>66</v>
      </c>
      <c r="C12" s="6" t="s">
        <v>90</v>
      </c>
      <c r="D12" s="5">
        <v>187847</v>
      </c>
      <c r="E12" s="5">
        <f t="shared" si="15"/>
        <v>189258.47750865051</v>
      </c>
      <c r="F12" s="5">
        <f ca="1">IFERROR(ROUND(_xludf.LET(nt,$A12,nv,$B12,songay,DAY(EOMONTH($C$1,0)),doanhthungay,$I12,duan_nv,SUMIFS('Dự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>0</v>
      </c>
      <c r="G12" s="5">
        <f>IFERROR(SUMIF('Dự án T9'!$B:$B, $B12, 'Dự án T9'!$D:$D), 0)</f>
        <v>724108.80000000005</v>
      </c>
      <c r="H12" s="5">
        <f t="shared" si="0"/>
        <v>24000000</v>
      </c>
      <c r="I12" s="5">
        <f t="shared" si="16"/>
        <v>5469570</v>
      </c>
      <c r="J12" s="14">
        <f>_xlfn.XLOOKUP(B12, 'kpi nhà thuốc'!A:A, 'kpi nhà thuốc'!F:F, (AD12/DAY($C$1))/U12)</f>
        <v>0.22789875000000001</v>
      </c>
      <c r="K12" s="5">
        <f ca="1">_xlfn.XLOOKUP(B12, 'kpi nhà thuốc'!$A:$A, 'kpi nhà thuốc'!$G:$G, IF(AND(OR(C12="DSXC", C12="DSCD", C12="DSBC", C12="DSTV", C12="Q.CHT", C12="BC", C12="DSHV"), G12&gt;=F12), AD12 * _xlfn.IFS(AND(I12&gt;=T12, E12&gt;=D12), 0.015, I12&gt;=T12, 0.013, AND(I12&gt;=S12, E12&gt;=D12), 0.013, I12&gt;=S12, 0.011, AND(I12&gt;=R12, E12&gt;=D12), 0.012, I12&gt;=R12, 0.01, TRUE, 0), 0))</f>
        <v>0</v>
      </c>
      <c r="L12" s="6">
        <f t="shared" si="1"/>
        <v>0.8</v>
      </c>
      <c r="M12" s="5">
        <f>IFERROR(SUMIF('Dự án T9'!$B:$B, $B12, 'Dự án T9'!$M:$M)*$L12, 0)</f>
        <v>0</v>
      </c>
      <c r="N12" s="15">
        <f t="shared" ca="1" si="2"/>
        <v>0</v>
      </c>
      <c r="O12" s="16">
        <f t="shared" si="3"/>
        <v>19200000</v>
      </c>
      <c r="P12" s="16">
        <f t="shared" si="4"/>
        <v>21600000</v>
      </c>
      <c r="Q12" s="16">
        <f t="shared" si="5"/>
        <v>24000000</v>
      </c>
      <c r="R12" s="16">
        <f t="shared" si="6"/>
        <v>19200000</v>
      </c>
      <c r="S12" s="16">
        <f t="shared" si="7"/>
        <v>21600000</v>
      </c>
      <c r="T12" s="16">
        <f t="shared" si="8"/>
        <v>24000000</v>
      </c>
      <c r="U12" s="5">
        <f t="shared" si="9"/>
        <v>24000000</v>
      </c>
      <c r="V12" s="5">
        <v>240000000</v>
      </c>
      <c r="W12" s="4">
        <f>IFERROR(SUMIFS(data!$C:$C, data!$A:$A, $A12, data!$B:$B, $B12), 0)</f>
        <v>212</v>
      </c>
      <c r="X12" s="5">
        <f>IFERROR(SUMIF(data!$B:$B, $B12, data!$D:$D), 0)</f>
        <v>39740900</v>
      </c>
      <c r="Y12" s="5">
        <f t="shared" si="10"/>
        <v>187457.0754716981</v>
      </c>
      <c r="Z12" s="4">
        <f>IFERROR(SUMIFS(data!$E:$E, data!$A:$A, $A12, data!$B:$B, $B12), 0)</f>
        <v>77</v>
      </c>
      <c r="AA12" s="5">
        <f>IFERROR(SUMIF(data!$B:$B, $B12, data!$F:$F), 0)</f>
        <v>14954800</v>
      </c>
      <c r="AB12" s="5">
        <f t="shared" si="11"/>
        <v>194218.18181818182</v>
      </c>
      <c r="AC12" s="4">
        <f t="shared" si="12"/>
        <v>289</v>
      </c>
      <c r="AD12" s="5">
        <f t="shared" si="13"/>
        <v>54695700</v>
      </c>
      <c r="AE12" s="5">
        <f t="shared" si="14"/>
        <v>189258.47750865051</v>
      </c>
      <c r="AF12" s="17"/>
      <c r="AG12" s="17"/>
      <c r="AH12" s="17"/>
      <c r="AI12" s="17"/>
      <c r="AJ12" s="17"/>
      <c r="AK12" s="17"/>
      <c r="AL12" s="17"/>
    </row>
    <row r="13" spans="1:38" ht="13.8" customHeight="1" x14ac:dyDescent="0.3">
      <c r="A13" s="3" t="s">
        <v>21</v>
      </c>
      <c r="B13" s="3" t="s">
        <v>24</v>
      </c>
      <c r="C13" s="6" t="s">
        <v>93</v>
      </c>
      <c r="D13" s="5">
        <v>100080</v>
      </c>
      <c r="E13" s="5">
        <f t="shared" si="15"/>
        <v>74230.232558139542</v>
      </c>
      <c r="F13" s="5">
        <f ca="1">IFERROR(ROUND(_xludf.LET(nt,$A13,nv,$B13,songay,DAY(EOMONTH($C$1,0)),doanhthungay,$I13,duan_nv,SUMIFS('Dự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>0</v>
      </c>
      <c r="G13" s="5">
        <f>IFERROR(SUMIF('Dự án T9'!$B:$B, $B13, 'Dự án T9'!$D:$D), 0)</f>
        <v>1562186</v>
      </c>
      <c r="H13" s="5">
        <f t="shared" si="0"/>
        <v>12000000</v>
      </c>
      <c r="I13" s="5">
        <f t="shared" si="16"/>
        <v>3511090</v>
      </c>
      <c r="J13" s="14">
        <f>_xlfn.XLOOKUP(B13, 'kpi nhà thuốc'!A:A, 'kpi nhà thuốc'!F:F, (AD13/DAY($C$1))/U13)</f>
        <v>0.24187739130434782</v>
      </c>
      <c r="K13" s="5">
        <f ca="1">_xlfn.XLOOKUP(B13, 'kpi nhà thuốc'!$A:$A, 'kpi nhà thuốc'!$G:$G, IF(AND(OR(C13="DSXC", C13="DSCD", C13="DSBC", C13="DSTV", C13="Q.CHT", C13="BC", C13="DSHV"), G13&gt;=F13), AD13 * _xlfn.IFS(AND(I13&gt;=T13, E13&gt;=D13), 0.015, I13&gt;=T13, 0.013, AND(I13&gt;=S13, E13&gt;=D13), 0.013, I13&gt;=S13, 0.011, AND(I13&gt;=R13, E13&gt;=D13), 0.012, I13&gt;=R13, 0.01, TRUE, 0), 0))</f>
        <v>0</v>
      </c>
      <c r="L13" s="6">
        <f t="shared" si="1"/>
        <v>0.8</v>
      </c>
      <c r="M13" s="5">
        <f>IFERROR(SUMIF('Dự án T9'!$B:$B, $B13, 'Dự án T9'!$M:$M)*$L13, 0)</f>
        <v>800000</v>
      </c>
      <c r="N13" s="15">
        <f t="shared" ca="1" si="2"/>
        <v>800000</v>
      </c>
      <c r="O13" s="16">
        <f t="shared" si="3"/>
        <v>9600000</v>
      </c>
      <c r="P13" s="16">
        <f t="shared" si="4"/>
        <v>10800000</v>
      </c>
      <c r="Q13" s="16">
        <f t="shared" si="5"/>
        <v>12000000</v>
      </c>
      <c r="R13" s="16">
        <f t="shared" si="6"/>
        <v>9600000</v>
      </c>
      <c r="S13" s="16">
        <f t="shared" si="7"/>
        <v>10800000</v>
      </c>
      <c r="T13" s="16">
        <f t="shared" si="8"/>
        <v>12000000</v>
      </c>
      <c r="U13" s="5">
        <f t="shared" si="9"/>
        <v>12000000</v>
      </c>
      <c r="V13" s="5">
        <v>120000000</v>
      </c>
      <c r="W13" s="4">
        <f>IFERROR(SUMIFS(data!$C:$C, data!$A:$A, $A13, data!$B:$B, $B13), 0)</f>
        <v>419</v>
      </c>
      <c r="X13" s="5">
        <f>IFERROR(SUMIF(data!$B:$B, $B13, data!$D:$D), 0)</f>
        <v>28832400</v>
      </c>
      <c r="Y13" s="5">
        <f t="shared" si="10"/>
        <v>68812.410501193313</v>
      </c>
      <c r="Z13" s="4">
        <f>IFERROR(SUMIFS(data!$E:$E, data!$A:$A, $A13, data!$B:$B, $B13), 0)</f>
        <v>54</v>
      </c>
      <c r="AA13" s="5">
        <f>IFERROR(SUMIF(data!$B:$B, $B13, data!$F:$F), 0)</f>
        <v>6278500</v>
      </c>
      <c r="AB13" s="5">
        <f t="shared" si="11"/>
        <v>116268.51851851853</v>
      </c>
      <c r="AC13" s="4">
        <f t="shared" si="12"/>
        <v>473</v>
      </c>
      <c r="AD13" s="5">
        <f t="shared" si="13"/>
        <v>35110900</v>
      </c>
      <c r="AE13" s="5">
        <f t="shared" si="14"/>
        <v>74230.232558139542</v>
      </c>
      <c r="AF13" s="17"/>
      <c r="AG13" s="17"/>
      <c r="AH13" s="17"/>
      <c r="AI13" s="17"/>
      <c r="AJ13" s="17"/>
      <c r="AK13" s="17"/>
      <c r="AL13" s="17"/>
    </row>
    <row r="14" spans="1:38" ht="13.8" customHeight="1" x14ac:dyDescent="0.3">
      <c r="A14" s="3" t="s">
        <v>21</v>
      </c>
      <c r="B14" s="3" t="s">
        <v>25</v>
      </c>
      <c r="C14" s="6" t="s">
        <v>90</v>
      </c>
      <c r="D14" s="5">
        <v>99702</v>
      </c>
      <c r="E14" s="5">
        <f t="shared" si="15"/>
        <v>138316.60714285713</v>
      </c>
      <c r="F14" s="5">
        <f ca="1">IFERROR(ROUND(_xludf.LET(nt,$A14,nv,$B14,songay,DAY(EOMONTH($C$1,0)),doanhthungay,$I14,duan_nv,SUMIFS('Dự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>0</v>
      </c>
      <c r="G14" s="5">
        <f>IFERROR(SUMIF('Dự án T9'!$B:$B, $B14, 'Dự án T9'!$D:$D), 0)</f>
        <v>1116017.6000000001</v>
      </c>
      <c r="H14" s="5">
        <f t="shared" si="0"/>
        <v>12000000</v>
      </c>
      <c r="I14" s="5">
        <f t="shared" si="16"/>
        <v>3872865</v>
      </c>
      <c r="J14" s="14">
        <f>_xlfn.XLOOKUP(B14, 'kpi nhà thuốc'!A:A, 'kpi nhà thuốc'!F:F, (AD14/DAY($C$1))/U14)</f>
        <v>0.32273875000000002</v>
      </c>
      <c r="K14" s="5">
        <f ca="1">_xlfn.XLOOKUP(B14, 'kpi nhà thuốc'!$A:$A, 'kpi nhà thuốc'!$G:$G, IF(AND(OR(C14="DSXC", C14="DSCD", C14="DSBC", C14="DSTV", C14="Q.CHT", C14="BC", C14="DSHV"), G14&gt;=F14), AD14 * _xlfn.IFS(AND(I14&gt;=T14, E14&gt;=D14), 0.015, I14&gt;=T14, 0.013, AND(I14&gt;=S14, E14&gt;=D14), 0.013, I14&gt;=S14, 0.011, AND(I14&gt;=R14, E14&gt;=D14), 0.012, I14&gt;=R14, 0.01, TRUE, 0), 0))</f>
        <v>0</v>
      </c>
      <c r="L14" s="6">
        <f t="shared" si="1"/>
        <v>0.8</v>
      </c>
      <c r="M14" s="5">
        <f>IFERROR(SUMIF('Dự án T9'!$B:$B, $B14, 'Dự án T9'!$M:$M)*$L14, 0)</f>
        <v>400000</v>
      </c>
      <c r="N14" s="15">
        <f t="shared" ca="1" si="2"/>
        <v>400000</v>
      </c>
      <c r="O14" s="16">
        <f t="shared" si="3"/>
        <v>9600000</v>
      </c>
      <c r="P14" s="16">
        <f t="shared" si="4"/>
        <v>10800000</v>
      </c>
      <c r="Q14" s="16">
        <f t="shared" si="5"/>
        <v>12000000</v>
      </c>
      <c r="R14" s="16">
        <f t="shared" si="6"/>
        <v>9600000</v>
      </c>
      <c r="S14" s="16">
        <f t="shared" si="7"/>
        <v>10800000</v>
      </c>
      <c r="T14" s="16">
        <f t="shared" si="8"/>
        <v>12000000</v>
      </c>
      <c r="U14" s="5">
        <f t="shared" si="9"/>
        <v>12000000</v>
      </c>
      <c r="V14" s="5">
        <v>120000000</v>
      </c>
      <c r="W14" s="4">
        <f>IFERROR(SUMIFS(data!$C:$C, data!$A:$A, $A14, data!$B:$B, $B14), 0)</f>
        <v>202</v>
      </c>
      <c r="X14" s="5">
        <f>IFERROR(SUMIF(data!$B:$B, $B14, data!$D:$D), 0)</f>
        <v>15436450</v>
      </c>
      <c r="Y14" s="5">
        <f t="shared" si="10"/>
        <v>76418.069306930687</v>
      </c>
      <c r="Z14" s="4">
        <f>IFERROR(SUMIFS(data!$E:$E, data!$A:$A, $A14, data!$B:$B, $B14), 0)</f>
        <v>78</v>
      </c>
      <c r="AA14" s="5">
        <f>IFERROR(SUMIF(data!$B:$B, $B14, data!$F:$F), 0)</f>
        <v>23292200</v>
      </c>
      <c r="AB14" s="5">
        <f t="shared" si="11"/>
        <v>298617.94871794869</v>
      </c>
      <c r="AC14" s="4">
        <f t="shared" si="12"/>
        <v>280</v>
      </c>
      <c r="AD14" s="5">
        <f t="shared" si="13"/>
        <v>38728650</v>
      </c>
      <c r="AE14" s="5">
        <f t="shared" si="14"/>
        <v>138316.60714285713</v>
      </c>
      <c r="AF14" s="17"/>
      <c r="AG14" s="17"/>
      <c r="AH14" s="17"/>
      <c r="AI14" s="17"/>
      <c r="AJ14" s="17"/>
      <c r="AK14" s="17"/>
      <c r="AL14" s="17"/>
    </row>
    <row r="15" spans="1:38" ht="13.8" customHeight="1" x14ac:dyDescent="0.3">
      <c r="A15" s="3" t="s">
        <v>21</v>
      </c>
      <c r="B15" s="3" t="s">
        <v>23</v>
      </c>
      <c r="C15" s="6" t="s">
        <v>90</v>
      </c>
      <c r="D15" s="5">
        <v>104765</v>
      </c>
      <c r="E15" s="5">
        <f t="shared" si="15"/>
        <v>90199</v>
      </c>
      <c r="F15" s="5">
        <f ca="1">IFERROR(ROUND(_xludf.LET(nt,$A15,nv,$B15,songay,DAY(EOMONTH($C$1,0)),doanhthungay,$I15,duan_nv,SUMIFS('Dự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>0</v>
      </c>
      <c r="G15" s="5">
        <f>IFERROR(SUMIF('Dự án T9'!$B:$B, $B15, 'Dự án T9'!$D:$D), 0)</f>
        <v>1067137.2</v>
      </c>
      <c r="H15" s="5">
        <f t="shared" si="0"/>
        <v>17000000</v>
      </c>
      <c r="I15" s="5">
        <f t="shared" si="16"/>
        <v>1803980</v>
      </c>
      <c r="J15" s="14">
        <f>_xlfn.XLOOKUP(B15, 'kpi nhà thuốc'!A:A, 'kpi nhà thuốc'!F:F, (AD15/DAY($C$1))/U15)</f>
        <v>0.1061164705882353</v>
      </c>
      <c r="K15" s="5">
        <f ca="1">_xlfn.XLOOKUP(B15, 'kpi nhà thuốc'!$A:$A, 'kpi nhà thuốc'!$G:$G, IF(AND(OR(C15="DSXC", C15="DSCD", C15="DSBC", C15="DSTV", C15="Q.CHT", C15="BC", C15="DSHV"), G15&gt;=F15), AD15 * _xlfn.IFS(AND(I15&gt;=T15, E15&gt;=D15), 0.015, I15&gt;=T15, 0.013, AND(I15&gt;=S15, E15&gt;=D15), 0.013, I15&gt;=S15, 0.011, AND(I15&gt;=R15, E15&gt;=D15), 0.012, I15&gt;=R15, 0.01, TRUE, 0), 0))</f>
        <v>0</v>
      </c>
      <c r="L15" s="6">
        <f t="shared" si="1"/>
        <v>0.8</v>
      </c>
      <c r="M15" s="5">
        <f>IFERROR(SUMIF('Dự án T9'!$B:$B, $B15, 'Dự án T9'!$M:$M)*$L15, 0)</f>
        <v>400000</v>
      </c>
      <c r="N15" s="15">
        <f t="shared" ca="1" si="2"/>
        <v>400000</v>
      </c>
      <c r="O15" s="16">
        <f t="shared" si="3"/>
        <v>13600000</v>
      </c>
      <c r="P15" s="16">
        <f t="shared" si="4"/>
        <v>15300000</v>
      </c>
      <c r="Q15" s="16">
        <f t="shared" si="5"/>
        <v>17000000</v>
      </c>
      <c r="R15" s="16">
        <f t="shared" si="6"/>
        <v>13600000</v>
      </c>
      <c r="S15" s="16">
        <f t="shared" si="7"/>
        <v>15300000</v>
      </c>
      <c r="T15" s="16">
        <f t="shared" si="8"/>
        <v>17000000</v>
      </c>
      <c r="U15" s="5">
        <f t="shared" si="9"/>
        <v>17000000</v>
      </c>
      <c r="V15" s="5">
        <v>170000000</v>
      </c>
      <c r="W15" s="4">
        <f>IFERROR(SUMIFS(data!$C:$C, data!$A:$A, $A15, data!$B:$B, $B15), 0)</f>
        <v>175</v>
      </c>
      <c r="X15" s="5">
        <f>IFERROR(SUMIF(data!$B:$B, $B15, data!$D:$D), 0)</f>
        <v>14656500</v>
      </c>
      <c r="Y15" s="5">
        <f t="shared" si="10"/>
        <v>83751.428571428565</v>
      </c>
      <c r="Z15" s="4">
        <f>IFERROR(SUMIFS(data!$E:$E, data!$A:$A, $A15, data!$B:$B, $B15), 0)</f>
        <v>25</v>
      </c>
      <c r="AA15" s="5">
        <f>IFERROR(SUMIF(data!$B:$B, $B15, data!$F:$F), 0)</f>
        <v>3383300</v>
      </c>
      <c r="AB15" s="5">
        <f t="shared" si="11"/>
        <v>135332</v>
      </c>
      <c r="AC15" s="4">
        <f t="shared" si="12"/>
        <v>200</v>
      </c>
      <c r="AD15" s="5">
        <f t="shared" si="13"/>
        <v>18039800</v>
      </c>
      <c r="AE15" s="5">
        <f t="shared" si="14"/>
        <v>90199</v>
      </c>
      <c r="AF15" s="17"/>
      <c r="AG15" s="17"/>
      <c r="AH15" s="17"/>
      <c r="AI15" s="17"/>
      <c r="AJ15" s="17"/>
      <c r="AK15" s="17"/>
      <c r="AL15" s="17"/>
    </row>
    <row r="16" spans="1:38" ht="13.8" customHeight="1" x14ac:dyDescent="0.3">
      <c r="A16" s="3" t="s">
        <v>21</v>
      </c>
      <c r="B16" s="3" t="s">
        <v>22</v>
      </c>
      <c r="C16" s="6" t="s">
        <v>91</v>
      </c>
      <c r="D16" s="5">
        <v>74966</v>
      </c>
      <c r="E16" s="5">
        <f t="shared" si="15"/>
        <v>86697.544642857145</v>
      </c>
      <c r="F16" s="5">
        <f ca="1">IFERROR(ROUND(_xludf.LET(nt,$A16,nv,$B16,songay,DAY(EOMONTH($C$1,0)),doanhthungay,$I16,duan_nv,SUMIFS('Dự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>0</v>
      </c>
      <c r="G16" s="5">
        <f>IFERROR(SUMIF('Dự án T9'!$B:$B, $B16, 'Dự án T9'!$D:$D), 0)</f>
        <v>900707.7</v>
      </c>
      <c r="H16" s="5">
        <f t="shared" si="0"/>
        <v>5000000</v>
      </c>
      <c r="I16" s="5">
        <f t="shared" si="16"/>
        <v>1942025</v>
      </c>
      <c r="J16" s="14">
        <f>_xlfn.XLOOKUP(B16, 'kpi nhà thuốc'!A:A, 'kpi nhà thuốc'!F:F, (AD16/DAY($C$1))/U16)</f>
        <v>0.388405</v>
      </c>
      <c r="K16" s="5">
        <f ca="1">_xlfn.XLOOKUP(B16, 'kpi nhà thuốc'!$A:$A, 'kpi nhà thuốc'!$G:$G, IF(AND(OR(C16="DSXC", C16="DSCD", C16="DSBC", C16="DSTV", C16="Q.CHT", C16="BC", C16="DSHV"), G16&gt;=F16), AD16 * _xlfn.IFS(AND(I16&gt;=T16, E16&gt;=D16), 0.015, I16&gt;=T16, 0.013, AND(I16&gt;=S16, E16&gt;=D16), 0.013, I16&gt;=S16, 0.011, AND(I16&gt;=R16, E16&gt;=D16), 0.012, I16&gt;=R16, 0.01, TRUE, 0), 0))</f>
        <v>0</v>
      </c>
      <c r="L16" s="6">
        <f t="shared" si="1"/>
        <v>0.8</v>
      </c>
      <c r="M16" s="5">
        <f>IFERROR(SUMIF('Dự án T9'!$B:$B, $B16, 'Dự án T9'!$M:$M)*$L16, 0)</f>
        <v>0</v>
      </c>
      <c r="N16" s="15">
        <f t="shared" ca="1" si="2"/>
        <v>0</v>
      </c>
      <c r="O16" s="16">
        <f t="shared" si="3"/>
        <v>4000000</v>
      </c>
      <c r="P16" s="16">
        <f t="shared" si="4"/>
        <v>4500000</v>
      </c>
      <c r="Q16" s="16">
        <f t="shared" si="5"/>
        <v>5000000</v>
      </c>
      <c r="R16" s="16">
        <f t="shared" si="6"/>
        <v>4000000</v>
      </c>
      <c r="S16" s="16">
        <f t="shared" si="7"/>
        <v>4500000</v>
      </c>
      <c r="T16" s="16">
        <f t="shared" si="8"/>
        <v>5000000</v>
      </c>
      <c r="U16" s="5">
        <f t="shared" si="9"/>
        <v>5000000</v>
      </c>
      <c r="V16" s="5">
        <v>50000000</v>
      </c>
      <c r="W16" s="4">
        <f>IFERROR(SUMIFS(data!$C:$C, data!$A:$A, $A16, data!$B:$B, $B16), 0)</f>
        <v>185</v>
      </c>
      <c r="X16" s="5">
        <f>IFERROR(SUMIF(data!$B:$B, $B16, data!$D:$D), 0)</f>
        <v>13887900</v>
      </c>
      <c r="Y16" s="5">
        <f t="shared" si="10"/>
        <v>75069.729729729734</v>
      </c>
      <c r="Z16" s="4">
        <f>IFERROR(SUMIFS(data!$E:$E, data!$A:$A, $A16, data!$B:$B, $B16), 0)</f>
        <v>39</v>
      </c>
      <c r="AA16" s="5">
        <f>IFERROR(SUMIF(data!$B:$B, $B16, data!$F:$F), 0)</f>
        <v>5532350</v>
      </c>
      <c r="AB16" s="5">
        <f t="shared" si="11"/>
        <v>141855.12820512822</v>
      </c>
      <c r="AC16" s="4">
        <f t="shared" si="12"/>
        <v>224</v>
      </c>
      <c r="AD16" s="5">
        <f t="shared" si="13"/>
        <v>19420250</v>
      </c>
      <c r="AE16" s="5">
        <f t="shared" si="14"/>
        <v>86697.544642857145</v>
      </c>
      <c r="AF16" s="17"/>
      <c r="AG16" s="17"/>
      <c r="AH16" s="17"/>
      <c r="AI16" s="17"/>
      <c r="AJ16" s="17"/>
      <c r="AK16" s="17"/>
      <c r="AL16" s="17"/>
    </row>
    <row r="17" spans="1:38" ht="13.8" customHeight="1" x14ac:dyDescent="0.3">
      <c r="A17" s="3" t="s">
        <v>26</v>
      </c>
      <c r="B17" s="3" t="s">
        <v>30</v>
      </c>
      <c r="C17" s="6" t="s">
        <v>92</v>
      </c>
      <c r="D17" s="5">
        <v>110000</v>
      </c>
      <c r="E17" s="5">
        <f t="shared" si="15"/>
        <v>90303.448275862072</v>
      </c>
      <c r="F17" s="5">
        <f ca="1">IFERROR(ROUND(_xludf.LET(nt,$A17,nv,$B17,songay,DAY(EOMONTH($C$1,0)),doanhthungay,$I17,duan_nv,SUMIFS('Dự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>0</v>
      </c>
      <c r="G17" s="5">
        <f>IFERROR(SUMIF('Dự án T9'!$B:$B, $B17, 'Dự án T9'!$D:$D), 0)</f>
        <v>1070715.1000000001</v>
      </c>
      <c r="H17" s="5">
        <f t="shared" si="0"/>
        <v>8000000</v>
      </c>
      <c r="I17" s="5">
        <f t="shared" si="16"/>
        <v>1833160</v>
      </c>
      <c r="J17" s="14">
        <f>_xlfn.XLOOKUP(B17, 'kpi nhà thuốc'!A:A, 'kpi nhà thuốc'!F:F, (AD17/DAY($C$1))/U17)</f>
        <v>0.22914499999999999</v>
      </c>
      <c r="K17" s="5">
        <f ca="1">_xlfn.XLOOKUP(B17, 'kpi nhà thuốc'!$A:$A, 'kpi nhà thuốc'!$G:$G, IF(AND(OR(C17="DSXC", C17="DSCD", C17="DSBC", C17="DSTV", C17="Q.CHT", C17="BC", C17="DSHV"), G17&gt;=F17), AD17 * _xlfn.IFS(AND(I17&gt;=T17, E17&gt;=D17), 0.015, I17&gt;=T17, 0.013, AND(I17&gt;=S17, E17&gt;=D17), 0.013, I17&gt;=S17, 0.011, AND(I17&gt;=R17, E17&gt;=D17), 0.012, I17&gt;=R17, 0.01, TRUE, 0), 0))</f>
        <v>0</v>
      </c>
      <c r="L17" s="6">
        <f t="shared" si="1"/>
        <v>0.8</v>
      </c>
      <c r="M17" s="5">
        <f>IFERROR(SUMIF('Dự án T9'!$B:$B, $B17, 'Dự án T9'!$M:$M)*$L17, 0)</f>
        <v>400000</v>
      </c>
      <c r="N17" s="15">
        <f t="shared" ca="1" si="2"/>
        <v>400000</v>
      </c>
      <c r="O17" s="16">
        <f t="shared" si="3"/>
        <v>6400000</v>
      </c>
      <c r="P17" s="16">
        <f t="shared" si="4"/>
        <v>7200000</v>
      </c>
      <c r="Q17" s="16">
        <f t="shared" si="5"/>
        <v>8000000</v>
      </c>
      <c r="R17" s="16">
        <f t="shared" si="6"/>
        <v>6400000</v>
      </c>
      <c r="S17" s="16">
        <f t="shared" si="7"/>
        <v>7200000</v>
      </c>
      <c r="T17" s="16">
        <f t="shared" si="8"/>
        <v>8000000</v>
      </c>
      <c r="U17" s="5">
        <f t="shared" si="9"/>
        <v>8000000</v>
      </c>
      <c r="V17" s="5">
        <v>80000000</v>
      </c>
      <c r="W17" s="4">
        <f>IFERROR(SUMIFS(data!$C:$C, data!$A:$A, $A17, data!$B:$B, $B17), 0)</f>
        <v>155</v>
      </c>
      <c r="X17" s="5">
        <f>IFERROR(SUMIF(data!$B:$B, $B17, data!$D:$D), 0)</f>
        <v>11020900</v>
      </c>
      <c r="Y17" s="5">
        <f t="shared" si="10"/>
        <v>71102.580645161288</v>
      </c>
      <c r="Z17" s="4">
        <f>IFERROR(SUMIFS(data!$E:$E, data!$A:$A, $A17, data!$B:$B, $B17), 0)</f>
        <v>48</v>
      </c>
      <c r="AA17" s="5">
        <f>IFERROR(SUMIF(data!$B:$B, $B17, data!$F:$F), 0)</f>
        <v>7310700</v>
      </c>
      <c r="AB17" s="5">
        <f t="shared" si="11"/>
        <v>152306.25</v>
      </c>
      <c r="AC17" s="4">
        <f t="shared" si="12"/>
        <v>203</v>
      </c>
      <c r="AD17" s="5">
        <f t="shared" si="13"/>
        <v>18331600</v>
      </c>
      <c r="AE17" s="5">
        <f t="shared" si="14"/>
        <v>90303.448275862072</v>
      </c>
      <c r="AF17" s="17"/>
      <c r="AG17" s="17"/>
      <c r="AH17" s="17"/>
      <c r="AI17" s="17"/>
      <c r="AJ17" s="17"/>
      <c r="AK17" s="17"/>
      <c r="AL17" s="17"/>
    </row>
    <row r="18" spans="1:38" ht="13.8" customHeight="1" x14ac:dyDescent="0.3">
      <c r="A18" s="3" t="s">
        <v>26</v>
      </c>
      <c r="B18" s="3" t="s">
        <v>29</v>
      </c>
      <c r="C18" s="6" t="s">
        <v>90</v>
      </c>
      <c r="D18" s="5">
        <v>130000</v>
      </c>
      <c r="E18" s="5">
        <f t="shared" si="15"/>
        <v>104979.24528301887</v>
      </c>
      <c r="F18" s="5">
        <f ca="1">IFERROR(ROUND(_xludf.LET(nt,$A18,nv,$B18,songay,DAY(EOMONTH($C$1,0)),doanhthungay,$I18,duan_nv,SUMIFS('Dự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>0</v>
      </c>
      <c r="G18" s="5">
        <f>IFERROR(SUMIF('Dự án T9'!$B:$B, $B18, 'Dự án T9'!$D:$D), 0)</f>
        <v>442389.6</v>
      </c>
      <c r="H18" s="5">
        <f t="shared" si="0"/>
        <v>8000000</v>
      </c>
      <c r="I18" s="5">
        <f t="shared" si="16"/>
        <v>1669170</v>
      </c>
      <c r="J18" s="14">
        <f>_xlfn.XLOOKUP(B18, 'kpi nhà thuốc'!A:A, 'kpi nhà thuốc'!F:F, (AD18/DAY($C$1))/U18)</f>
        <v>0.20864625000000001</v>
      </c>
      <c r="K18" s="5">
        <f ca="1">_xlfn.XLOOKUP(B18, 'kpi nhà thuốc'!$A:$A, 'kpi nhà thuốc'!$G:$G, IF(AND(OR(C18="DSXC", C18="DSCD", C18="DSBC", C18="DSTV", C18="Q.CHT", C18="BC", C18="DSHV"), G18&gt;=F18), AD18 * _xlfn.IFS(AND(I18&gt;=T18, E18&gt;=D18), 0.015, I18&gt;=T18, 0.013, AND(I18&gt;=S18, E18&gt;=D18), 0.013, I18&gt;=S18, 0.011, AND(I18&gt;=R18, E18&gt;=D18), 0.012, I18&gt;=R18, 0.01, TRUE, 0), 0))</f>
        <v>0</v>
      </c>
      <c r="L18" s="6">
        <f t="shared" si="1"/>
        <v>0.8</v>
      </c>
      <c r="M18" s="5">
        <f>IFERROR(SUMIF('Dự án T9'!$B:$B, $B18, 'Dự án T9'!$M:$M)*$L18, 0)</f>
        <v>0</v>
      </c>
      <c r="N18" s="15">
        <f t="shared" ca="1" si="2"/>
        <v>0</v>
      </c>
      <c r="O18" s="16">
        <f t="shared" si="3"/>
        <v>6400000</v>
      </c>
      <c r="P18" s="16">
        <f t="shared" si="4"/>
        <v>7200000</v>
      </c>
      <c r="Q18" s="16">
        <f t="shared" si="5"/>
        <v>8000000</v>
      </c>
      <c r="R18" s="16">
        <f t="shared" si="6"/>
        <v>6400000</v>
      </c>
      <c r="S18" s="16">
        <f t="shared" si="7"/>
        <v>7200000</v>
      </c>
      <c r="T18" s="16">
        <f t="shared" si="8"/>
        <v>8000000</v>
      </c>
      <c r="U18" s="5">
        <f t="shared" si="9"/>
        <v>8000000</v>
      </c>
      <c r="V18" s="5">
        <v>80000000</v>
      </c>
      <c r="W18" s="4">
        <f>IFERROR(SUMIFS(data!$C:$C, data!$A:$A, $A18, data!$B:$B, $B18), 0)</f>
        <v>118</v>
      </c>
      <c r="X18" s="5">
        <f>IFERROR(SUMIF(data!$B:$B, $B18, data!$D:$D), 0)</f>
        <v>7125900</v>
      </c>
      <c r="Y18" s="5">
        <f t="shared" si="10"/>
        <v>60388.983050847455</v>
      </c>
      <c r="Z18" s="4">
        <f>IFERROR(SUMIFS(data!$E:$E, data!$A:$A, $A18, data!$B:$B, $B18), 0)</f>
        <v>41</v>
      </c>
      <c r="AA18" s="5">
        <f>IFERROR(SUMIF(data!$B:$B, $B18, data!$F:$F), 0)</f>
        <v>9565800</v>
      </c>
      <c r="AB18" s="5">
        <f t="shared" si="11"/>
        <v>233312.19512195123</v>
      </c>
      <c r="AC18" s="4">
        <f t="shared" si="12"/>
        <v>159</v>
      </c>
      <c r="AD18" s="5">
        <f t="shared" si="13"/>
        <v>16691700</v>
      </c>
      <c r="AE18" s="5">
        <f t="shared" si="14"/>
        <v>104979.24528301887</v>
      </c>
      <c r="AF18" s="17"/>
      <c r="AG18" s="17"/>
      <c r="AH18" s="17"/>
      <c r="AI18" s="17"/>
      <c r="AJ18" s="17"/>
      <c r="AK18" s="17"/>
      <c r="AL18" s="17"/>
    </row>
    <row r="19" spans="1:38" ht="13.8" customHeight="1" x14ac:dyDescent="0.3">
      <c r="A19" s="3" t="s">
        <v>26</v>
      </c>
      <c r="B19" s="3" t="s">
        <v>28</v>
      </c>
      <c r="C19" s="6" t="s">
        <v>94</v>
      </c>
      <c r="D19" s="5">
        <v>90000</v>
      </c>
      <c r="E19" s="5">
        <f t="shared" si="15"/>
        <v>101467.5</v>
      </c>
      <c r="F19" s="5">
        <f ca="1">IFERROR(ROUND(_xludf.LET(nt,$A19,nv,$B19,songay,DAY(EOMONTH($C$1,0)),doanhthungay,$I19,duan_nv,SUMIFS('Dự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>0</v>
      </c>
      <c r="G19" s="5">
        <f>IFERROR(SUMIF('Dự án T9'!$B:$B, $B19, 'Dự án T9'!$D:$D), 0)</f>
        <v>752130.3</v>
      </c>
      <c r="H19" s="5">
        <f t="shared" si="0"/>
        <v>6000000</v>
      </c>
      <c r="I19" s="5">
        <f t="shared" si="16"/>
        <v>2029350</v>
      </c>
      <c r="J19" s="14">
        <f>_xlfn.XLOOKUP(B19, 'kpi nhà thuốc'!A:A, 'kpi nhà thuốc'!F:F, (AD19/DAY($C$1))/U19)</f>
        <v>0.338225</v>
      </c>
      <c r="K19" s="5">
        <f ca="1">_xlfn.XLOOKUP(B19, 'kpi nhà thuốc'!$A:$A, 'kpi nhà thuốc'!$G:$G, IF(AND(OR(C19="DSXC", C19="DSCD", C19="DSBC", C19="DSTV", C19="Q.CHT", C19="BC", C19="DSHV"), G19&gt;=F19), AD19 * _xlfn.IFS(AND(I19&gt;=T19, E19&gt;=D19), 0.015, I19&gt;=T19, 0.013, AND(I19&gt;=S19, E19&gt;=D19), 0.013, I19&gt;=S19, 0.011, AND(I19&gt;=R19, E19&gt;=D19), 0.012, I19&gt;=R19, 0.01, TRUE, 0), 0))</f>
        <v>0</v>
      </c>
      <c r="L19" s="6">
        <f t="shared" si="1"/>
        <v>0.8</v>
      </c>
      <c r="M19" s="5">
        <f>IFERROR(SUMIF('Dự án T9'!$B:$B, $B19, 'Dự án T9'!$M:$M)*$L19, 0)</f>
        <v>0</v>
      </c>
      <c r="N19" s="15">
        <f t="shared" ca="1" si="2"/>
        <v>0</v>
      </c>
      <c r="O19" s="16">
        <f t="shared" si="3"/>
        <v>4800000</v>
      </c>
      <c r="P19" s="16">
        <f t="shared" si="4"/>
        <v>5400000</v>
      </c>
      <c r="Q19" s="16">
        <f t="shared" si="5"/>
        <v>6000000</v>
      </c>
      <c r="R19" s="16">
        <f t="shared" si="6"/>
        <v>4800000</v>
      </c>
      <c r="S19" s="16">
        <f t="shared" si="7"/>
        <v>5400000</v>
      </c>
      <c r="T19" s="16">
        <f t="shared" si="8"/>
        <v>6000000</v>
      </c>
      <c r="U19" s="5">
        <f t="shared" si="9"/>
        <v>6000000</v>
      </c>
      <c r="V19" s="5">
        <v>60000000</v>
      </c>
      <c r="W19" s="4">
        <f>IFERROR(SUMIFS(data!$C:$C, data!$A:$A, $A19, data!$B:$B, $B19), 0)</f>
        <v>158</v>
      </c>
      <c r="X19" s="5">
        <f>IFERROR(SUMIF(data!$B:$B, $B19, data!$D:$D), 0)</f>
        <v>14719600</v>
      </c>
      <c r="Y19" s="5">
        <f t="shared" si="10"/>
        <v>93162.025316455693</v>
      </c>
      <c r="Z19" s="4">
        <f>IFERROR(SUMIFS(data!$E:$E, data!$A:$A, $A19, data!$B:$B, $B19), 0)</f>
        <v>42</v>
      </c>
      <c r="AA19" s="5">
        <f>IFERROR(SUMIF(data!$B:$B, $B19, data!$F:$F), 0)</f>
        <v>5573900</v>
      </c>
      <c r="AB19" s="5">
        <f t="shared" si="11"/>
        <v>132711.90476190476</v>
      </c>
      <c r="AC19" s="4">
        <f t="shared" si="12"/>
        <v>200</v>
      </c>
      <c r="AD19" s="5">
        <f t="shared" si="13"/>
        <v>20293500</v>
      </c>
      <c r="AE19" s="5">
        <f t="shared" si="14"/>
        <v>101467.5</v>
      </c>
      <c r="AF19" s="17"/>
      <c r="AG19" s="17"/>
      <c r="AH19" s="17"/>
      <c r="AI19" s="17"/>
      <c r="AJ19" s="17"/>
      <c r="AK19" s="17"/>
      <c r="AL19" s="17"/>
    </row>
    <row r="20" spans="1:38" ht="13.8" customHeight="1" x14ac:dyDescent="0.3">
      <c r="A20" s="3" t="s">
        <v>26</v>
      </c>
      <c r="B20" s="3" t="s">
        <v>27</v>
      </c>
      <c r="C20" s="6" t="s">
        <v>90</v>
      </c>
      <c r="D20" s="5">
        <v>130000</v>
      </c>
      <c r="E20" s="5">
        <f t="shared" si="15"/>
        <v>385205.04201680672</v>
      </c>
      <c r="F20" s="5">
        <f ca="1">IFERROR(ROUND(_xludf.LET(nt,$A20,nv,$B20,songay,DAY(EOMONTH($C$1,0)),doanhthungay,$I20,duan_nv,SUMIFS('Dự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>0</v>
      </c>
      <c r="G20" s="5">
        <f>IFERROR(SUMIF('Dự án T9'!$B:$B, $B20, 'Dự án T9'!$D:$D), 0)</f>
        <v>363543</v>
      </c>
      <c r="H20" s="5">
        <f t="shared" si="0"/>
        <v>8000000</v>
      </c>
      <c r="I20" s="5">
        <f t="shared" si="16"/>
        <v>4583940</v>
      </c>
      <c r="J20" s="14">
        <f>_xlfn.XLOOKUP(B20, 'kpi nhà thuốc'!A:A, 'kpi nhà thuốc'!F:F, (AD20/DAY($C$1))/U20)</f>
        <v>0.57299250000000002</v>
      </c>
      <c r="K20" s="5">
        <f ca="1">_xlfn.XLOOKUP(B20, 'kpi nhà thuốc'!$A:$A, 'kpi nhà thuốc'!$G:$G, IF(AND(OR(C20="DSXC", C20="DSCD", C20="DSBC", C20="DSTV", C20="Q.CHT", C20="BC", C20="DSHV"), G20&gt;=F20), AD20 * _xlfn.IFS(AND(I20&gt;=T20, E20&gt;=D20), 0.015, I20&gt;=T20, 0.013, AND(I20&gt;=S20, E20&gt;=D20), 0.013, I20&gt;=S20, 0.011, AND(I20&gt;=R20, E20&gt;=D20), 0.012, I20&gt;=R20, 0.01, TRUE, 0), 0))</f>
        <v>0</v>
      </c>
      <c r="L20" s="6">
        <f t="shared" si="1"/>
        <v>0.8</v>
      </c>
      <c r="M20" s="5">
        <f>IFERROR(SUMIF('Dự án T9'!$B:$B, $B20, 'Dự án T9'!$M:$M)*$L20, 0)</f>
        <v>0</v>
      </c>
      <c r="N20" s="15">
        <f t="shared" ca="1" si="2"/>
        <v>0</v>
      </c>
      <c r="O20" s="16">
        <f t="shared" si="3"/>
        <v>6400000</v>
      </c>
      <c r="P20" s="16">
        <f t="shared" si="4"/>
        <v>7200000</v>
      </c>
      <c r="Q20" s="16">
        <f t="shared" si="5"/>
        <v>8000000</v>
      </c>
      <c r="R20" s="16">
        <f t="shared" si="6"/>
        <v>6400000</v>
      </c>
      <c r="S20" s="16">
        <f t="shared" si="7"/>
        <v>7200000</v>
      </c>
      <c r="T20" s="16">
        <f t="shared" si="8"/>
        <v>8000000</v>
      </c>
      <c r="U20" s="5">
        <f t="shared" si="9"/>
        <v>8000000</v>
      </c>
      <c r="V20" s="5">
        <v>80000000</v>
      </c>
      <c r="W20" s="4">
        <f>IFERROR(SUMIFS(data!$C:$C, data!$A:$A, $A20, data!$B:$B, $B20), 0)</f>
        <v>73</v>
      </c>
      <c r="X20" s="5">
        <f>IFERROR(SUMIF(data!$B:$B, $B20, data!$D:$D), 0)</f>
        <v>5574000</v>
      </c>
      <c r="Y20" s="5">
        <f t="shared" si="10"/>
        <v>76356.164383561641</v>
      </c>
      <c r="Z20" s="4">
        <f>IFERROR(SUMIFS(data!$E:$E, data!$A:$A, $A20, data!$B:$B, $B20), 0)</f>
        <v>46</v>
      </c>
      <c r="AA20" s="5">
        <f>IFERROR(SUMIF(data!$B:$B, $B20, data!$F:$F), 0)</f>
        <v>40265400</v>
      </c>
      <c r="AB20" s="5">
        <f t="shared" si="11"/>
        <v>875334.78260869568</v>
      </c>
      <c r="AC20" s="4">
        <f t="shared" si="12"/>
        <v>119</v>
      </c>
      <c r="AD20" s="5">
        <f t="shared" si="13"/>
        <v>45839400</v>
      </c>
      <c r="AE20" s="5">
        <f t="shared" si="14"/>
        <v>385205.04201680672</v>
      </c>
      <c r="AF20" s="17"/>
      <c r="AG20" s="17"/>
      <c r="AH20" s="17"/>
      <c r="AI20" s="17"/>
      <c r="AJ20" s="17"/>
      <c r="AK20" s="17"/>
      <c r="AL20" s="17"/>
    </row>
    <row r="21" spans="1:38" ht="13.8" customHeight="1" x14ac:dyDescent="0.3">
      <c r="A21" s="3" t="s">
        <v>31</v>
      </c>
      <c r="B21" s="3" t="s">
        <v>32</v>
      </c>
      <c r="C21" s="6" t="s">
        <v>93</v>
      </c>
      <c r="D21" s="5">
        <v>250000</v>
      </c>
      <c r="E21" s="5">
        <f t="shared" si="15"/>
        <v>129743.85964912281</v>
      </c>
      <c r="F21" s="5">
        <f ca="1">IFERROR(ROUND(_xludf.LET(nt,$A21,nv,$B21,songay,DAY(EOMONTH($C$1,0)),doanhthungay,$I21,duan_nv,SUMIFS('Dự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>0</v>
      </c>
      <c r="G21" s="5">
        <f>IFERROR(SUMIF('Dự án T9'!$B:$B, $B21, 'Dự án T9'!$D:$D), 0)</f>
        <v>295117.59999999998</v>
      </c>
      <c r="H21" s="5">
        <f t="shared" si="0"/>
        <v>11300000</v>
      </c>
      <c r="I21" s="5">
        <f t="shared" si="16"/>
        <v>2218620</v>
      </c>
      <c r="J21" s="14">
        <f>_xlfn.XLOOKUP(B21, 'kpi nhà thuốc'!A:A, 'kpi nhà thuốc'!F:F, (AD21/DAY($C$1))/U21)</f>
        <v>0.20824365384615384</v>
      </c>
      <c r="K21" s="5">
        <f ca="1">_xlfn.XLOOKUP(B21, 'kpi nhà thuốc'!$A:$A, 'kpi nhà thuốc'!$G:$G, IF(AND(OR(C21="DSXC", C21="DSCD", C21="DSBC", C21="DSTV", C21="Q.CHT", C21="BC", C21="DSHV"), G21&gt;=F21), AD21 * _xlfn.IFS(AND(I21&gt;=T21, E21&gt;=D21), 0.015, I21&gt;=T21, 0.013, AND(I21&gt;=S21, E21&gt;=D21), 0.013, I21&gt;=S21, 0.011, AND(I21&gt;=R21, E21&gt;=D21), 0.012, I21&gt;=R21, 0.01, TRUE, 0), 0))</f>
        <v>0</v>
      </c>
      <c r="L21" s="6">
        <f t="shared" si="1"/>
        <v>0.8</v>
      </c>
      <c r="M21" s="5">
        <f>IFERROR(SUMIF('Dự án T9'!$B:$B, $B21, 'Dự án T9'!$M:$M)*$L21, 0)</f>
        <v>0</v>
      </c>
      <c r="N21" s="15">
        <f t="shared" ca="1" si="2"/>
        <v>0</v>
      </c>
      <c r="O21" s="16">
        <f t="shared" si="3"/>
        <v>9000000</v>
      </c>
      <c r="P21" s="16">
        <f t="shared" si="4"/>
        <v>10200000</v>
      </c>
      <c r="Q21" s="16">
        <f t="shared" si="5"/>
        <v>11300000</v>
      </c>
      <c r="R21" s="16">
        <f t="shared" si="6"/>
        <v>9000000</v>
      </c>
      <c r="S21" s="16">
        <f t="shared" si="7"/>
        <v>10125000</v>
      </c>
      <c r="T21" s="16">
        <f t="shared" si="8"/>
        <v>11250000</v>
      </c>
      <c r="U21" s="5">
        <f t="shared" si="9"/>
        <v>11250000</v>
      </c>
      <c r="V21" s="5">
        <v>112500000</v>
      </c>
      <c r="W21" s="4">
        <f>IFERROR(SUMIFS(data!$C:$C, data!$A:$A, $A21, data!$B:$B, $B21), 0)</f>
        <v>107</v>
      </c>
      <c r="X21" s="5">
        <f>IFERROR(SUMIF(data!$B:$B, $B21, data!$D:$D), 0)</f>
        <v>9742400</v>
      </c>
      <c r="Y21" s="5">
        <f t="shared" si="10"/>
        <v>91050.467289719629</v>
      </c>
      <c r="Z21" s="4">
        <f>IFERROR(SUMIFS(data!$E:$E, data!$A:$A, $A21, data!$B:$B, $B21), 0)</f>
        <v>64</v>
      </c>
      <c r="AA21" s="5">
        <f>IFERROR(SUMIF(data!$B:$B, $B21, data!$F:$F), 0)</f>
        <v>12443800</v>
      </c>
      <c r="AB21" s="5">
        <f t="shared" si="11"/>
        <v>194434.375</v>
      </c>
      <c r="AC21" s="4">
        <f t="shared" si="12"/>
        <v>171</v>
      </c>
      <c r="AD21" s="5">
        <f t="shared" si="13"/>
        <v>22186200</v>
      </c>
      <c r="AE21" s="5">
        <f t="shared" si="14"/>
        <v>129743.85964912281</v>
      </c>
      <c r="AF21" s="17"/>
      <c r="AG21" s="17"/>
      <c r="AH21" s="17"/>
      <c r="AI21" s="17"/>
      <c r="AJ21" s="17"/>
      <c r="AK21" s="17"/>
      <c r="AL21" s="17"/>
    </row>
    <row r="22" spans="1:38" ht="13.8" customHeight="1" x14ac:dyDescent="0.3">
      <c r="A22" s="3" t="s">
        <v>31</v>
      </c>
      <c r="B22" s="3" t="s">
        <v>36</v>
      </c>
      <c r="C22" s="6" t="s">
        <v>90</v>
      </c>
      <c r="D22" s="5">
        <v>112000</v>
      </c>
      <c r="E22" s="5">
        <f t="shared" si="15"/>
        <v>146080.58823529413</v>
      </c>
      <c r="F22" s="5">
        <f ca="1">IFERROR(ROUND(_xludf.LET(nt,$A22,nv,$B22,songay,DAY(EOMONTH($C$1,0)),doanhthungay,$I22,duan_nv,SUMIFS('Dự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>0</v>
      </c>
      <c r="G22" s="5">
        <f>IFERROR(SUMIF('Dự án T9'!$B:$B, $B22, 'Dự án T9'!$D:$D), 0)</f>
        <v>277020.2</v>
      </c>
      <c r="H22" s="5">
        <f t="shared" si="0"/>
        <v>11300000</v>
      </c>
      <c r="I22" s="5">
        <f t="shared" si="16"/>
        <v>2483370</v>
      </c>
      <c r="J22" s="14">
        <f>_xlfn.XLOOKUP(B22, 'kpi nhà thuốc'!A:A, 'kpi nhà thuốc'!F:F, (AD22/DAY($C$1))/U22)</f>
        <v>0.220744</v>
      </c>
      <c r="K22" s="5">
        <f ca="1">_xlfn.XLOOKUP(B22, 'kpi nhà thuốc'!$A:$A, 'kpi nhà thuốc'!$G:$G, IF(AND(OR(C22="DSXC", C22="DSCD", C22="DSBC", C22="DSTV", C22="Q.CHT", C22="BC", C22="DSHV"), G22&gt;=F22), AD22 * _xlfn.IFS(AND(I22&gt;=T22, E22&gt;=D22), 0.015, I22&gt;=T22, 0.013, AND(I22&gt;=S22, E22&gt;=D22), 0.013, I22&gt;=S22, 0.011, AND(I22&gt;=R22, E22&gt;=D22), 0.012, I22&gt;=R22, 0.01, TRUE, 0), 0))</f>
        <v>0</v>
      </c>
      <c r="L22" s="6">
        <f t="shared" si="1"/>
        <v>0.8</v>
      </c>
      <c r="M22" s="5">
        <f>IFERROR(SUMIF('Dự án T9'!$B:$B, $B22, 'Dự án T9'!$M:$M)*$L22, 0)</f>
        <v>0</v>
      </c>
      <c r="N22" s="15">
        <f t="shared" ca="1" si="2"/>
        <v>0</v>
      </c>
      <c r="O22" s="16">
        <f t="shared" si="3"/>
        <v>9000000</v>
      </c>
      <c r="P22" s="16">
        <f t="shared" si="4"/>
        <v>10200000</v>
      </c>
      <c r="Q22" s="16">
        <f t="shared" si="5"/>
        <v>11300000</v>
      </c>
      <c r="R22" s="16">
        <f t="shared" si="6"/>
        <v>9000000</v>
      </c>
      <c r="S22" s="16">
        <f t="shared" si="7"/>
        <v>10125000</v>
      </c>
      <c r="T22" s="16">
        <f t="shared" si="8"/>
        <v>11250000</v>
      </c>
      <c r="U22" s="5">
        <f t="shared" si="9"/>
        <v>11250000</v>
      </c>
      <c r="V22" s="5">
        <v>112500000</v>
      </c>
      <c r="W22" s="4">
        <f>IFERROR(SUMIFS(data!$C:$C, data!$A:$A, $A22, data!$B:$B, $B22), 0)</f>
        <v>115</v>
      </c>
      <c r="X22" s="5">
        <f>IFERROR(SUMIF(data!$B:$B, $B22, data!$D:$D), 0)</f>
        <v>8534200</v>
      </c>
      <c r="Y22" s="5">
        <f t="shared" si="10"/>
        <v>74210.434782608689</v>
      </c>
      <c r="Z22" s="4">
        <f>IFERROR(SUMIFS(data!$E:$E, data!$A:$A, $A22, data!$B:$B, $B22), 0)</f>
        <v>55</v>
      </c>
      <c r="AA22" s="5">
        <f>IFERROR(SUMIF(data!$B:$B, $B22, data!$F:$F), 0)</f>
        <v>16299500</v>
      </c>
      <c r="AB22" s="5">
        <f t="shared" si="11"/>
        <v>296354.54545454547</v>
      </c>
      <c r="AC22" s="4">
        <f t="shared" si="12"/>
        <v>170</v>
      </c>
      <c r="AD22" s="5">
        <f t="shared" si="13"/>
        <v>24833700</v>
      </c>
      <c r="AE22" s="5">
        <f t="shared" si="14"/>
        <v>146080.58823529413</v>
      </c>
      <c r="AF22" s="17"/>
      <c r="AG22" s="17"/>
      <c r="AH22" s="17"/>
      <c r="AI22" s="17"/>
      <c r="AJ22" s="17"/>
      <c r="AK22" s="17"/>
      <c r="AL22" s="17"/>
    </row>
    <row r="23" spans="1:38" ht="13.8" customHeight="1" x14ac:dyDescent="0.3">
      <c r="A23" s="3" t="s">
        <v>31</v>
      </c>
      <c r="B23" s="3" t="s">
        <v>34</v>
      </c>
      <c r="C23" s="6" t="s">
        <v>92</v>
      </c>
      <c r="D23" s="5">
        <v>103000</v>
      </c>
      <c r="E23" s="5">
        <f t="shared" si="15"/>
        <v>82678.688524590165</v>
      </c>
      <c r="F23" s="5">
        <f ca="1">IFERROR(ROUND(_xludf.LET(nt,$A23,nv,$B23,songay,DAY(EOMONTH($C$1,0)),doanhthungay,$I23,duan_nv,SUMIFS('Dự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>0</v>
      </c>
      <c r="G23" s="5">
        <f>IFERROR(SUMIF('Dự án T9'!$B:$B, $B23, 'Dự án T9'!$D:$D), 0)</f>
        <v>881652.8</v>
      </c>
      <c r="H23" s="5">
        <f t="shared" si="0"/>
        <v>11300000</v>
      </c>
      <c r="I23" s="5">
        <f t="shared" si="16"/>
        <v>2521700</v>
      </c>
      <c r="J23" s="14">
        <f>_xlfn.XLOOKUP(B23, 'kpi nhà thuốc'!A:A, 'kpi nhà thuốc'!F:F, (AD23/DAY($C$1))/U23)</f>
        <v>0.22415111111111111</v>
      </c>
      <c r="K23" s="5">
        <f ca="1">_xlfn.XLOOKUP(B23, 'kpi nhà thuốc'!$A:$A, 'kpi nhà thuốc'!$G:$G, IF(AND(OR(C23="DSXC", C23="DSCD", C23="DSBC", C23="DSTV", C23="Q.CHT", C23="BC", C23="DSHV"), G23&gt;=F23), AD23 * _xlfn.IFS(AND(I23&gt;=T23, E23&gt;=D23), 0.015, I23&gt;=T23, 0.013, AND(I23&gt;=S23, E23&gt;=D23), 0.013, I23&gt;=S23, 0.011, AND(I23&gt;=R23, E23&gt;=D23), 0.012, I23&gt;=R23, 0.01, TRUE, 0), 0))</f>
        <v>0</v>
      </c>
      <c r="L23" s="6">
        <f t="shared" si="1"/>
        <v>0.8</v>
      </c>
      <c r="M23" s="5">
        <f>IFERROR(SUMIF('Dự án T9'!$B:$B, $B23, 'Dự án T9'!$M:$M)*$L23, 0)</f>
        <v>0</v>
      </c>
      <c r="N23" s="15">
        <f t="shared" ca="1" si="2"/>
        <v>0</v>
      </c>
      <c r="O23" s="16">
        <f t="shared" si="3"/>
        <v>9000000</v>
      </c>
      <c r="P23" s="16">
        <f t="shared" si="4"/>
        <v>10200000</v>
      </c>
      <c r="Q23" s="16">
        <f t="shared" si="5"/>
        <v>11300000</v>
      </c>
      <c r="R23" s="16">
        <f t="shared" si="6"/>
        <v>9000000</v>
      </c>
      <c r="S23" s="16">
        <f t="shared" si="7"/>
        <v>10125000</v>
      </c>
      <c r="T23" s="16">
        <f t="shared" si="8"/>
        <v>11250000</v>
      </c>
      <c r="U23" s="5">
        <f t="shared" si="9"/>
        <v>11250000</v>
      </c>
      <c r="V23" s="5">
        <v>112500000</v>
      </c>
      <c r="W23" s="4">
        <f>IFERROR(SUMIFS(data!$C:$C, data!$A:$A, $A23, data!$B:$B, $B23), 0)</f>
        <v>274</v>
      </c>
      <c r="X23" s="5">
        <f>IFERROR(SUMIF(data!$B:$B, $B23, data!$D:$D), 0)</f>
        <v>20877200</v>
      </c>
      <c r="Y23" s="5">
        <f t="shared" si="10"/>
        <v>76194.160583941601</v>
      </c>
      <c r="Z23" s="4">
        <f>IFERROR(SUMIFS(data!$E:$E, data!$A:$A, $A23, data!$B:$B, $B23), 0)</f>
        <v>31</v>
      </c>
      <c r="AA23" s="5">
        <f>IFERROR(SUMIF(data!$B:$B, $B23, data!$F:$F), 0)</f>
        <v>4339800</v>
      </c>
      <c r="AB23" s="5">
        <f t="shared" si="11"/>
        <v>139993.54838709679</v>
      </c>
      <c r="AC23" s="4">
        <f t="shared" si="12"/>
        <v>305</v>
      </c>
      <c r="AD23" s="5">
        <f t="shared" si="13"/>
        <v>25217000</v>
      </c>
      <c r="AE23" s="5">
        <f t="shared" si="14"/>
        <v>82678.688524590165</v>
      </c>
      <c r="AF23" s="17"/>
      <c r="AG23" s="17"/>
      <c r="AH23" s="17"/>
      <c r="AI23" s="17"/>
      <c r="AJ23" s="17"/>
      <c r="AK23" s="17"/>
      <c r="AL23" s="17"/>
    </row>
    <row r="24" spans="1:38" ht="13.8" customHeight="1" x14ac:dyDescent="0.3">
      <c r="A24" s="3" t="s">
        <v>31</v>
      </c>
      <c r="B24" s="3" t="s">
        <v>35</v>
      </c>
      <c r="C24" s="6" t="s">
        <v>92</v>
      </c>
      <c r="D24" s="5">
        <v>100000</v>
      </c>
      <c r="E24" s="5">
        <f t="shared" si="15"/>
        <v>91143.804034582136</v>
      </c>
      <c r="F24" s="5">
        <f ca="1">IFERROR(ROUND(_xludf.LET(nt,$A24,nv,$B24,songay,DAY(EOMONTH($C$1,0)),doanhthungay,$I24,duan_nv,SUMIFS('Dự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>0</v>
      </c>
      <c r="G24" s="5">
        <f>IFERROR(SUMIF('Dự án T9'!$B:$B, $B24, 'Dự án T9'!$D:$D), 0)</f>
        <v>1260399.7</v>
      </c>
      <c r="H24" s="5">
        <f t="shared" si="0"/>
        <v>11300000</v>
      </c>
      <c r="I24" s="5">
        <f t="shared" si="16"/>
        <v>3162690</v>
      </c>
      <c r="J24" s="14">
        <f>_xlfn.XLOOKUP(B24, 'kpi nhà thuốc'!A:A, 'kpi nhà thuốc'!F:F, (AD24/DAY($C$1))/U24)</f>
        <v>0.28112799999999999</v>
      </c>
      <c r="K24" s="5">
        <f ca="1">_xlfn.XLOOKUP(B24, 'kpi nhà thuốc'!$A:$A, 'kpi nhà thuốc'!$G:$G, IF(AND(OR(C24="DSXC", C24="DSCD", C24="DSBC", C24="DSTV", C24="Q.CHT", C24="BC", C24="DSHV"), G24&gt;=F24), AD24 * _xlfn.IFS(AND(I24&gt;=T24, E24&gt;=D24), 0.015, I24&gt;=T24, 0.013, AND(I24&gt;=S24, E24&gt;=D24), 0.013, I24&gt;=S24, 0.011, AND(I24&gt;=R24, E24&gt;=D24), 0.012, I24&gt;=R24, 0.01, TRUE, 0), 0))</f>
        <v>0</v>
      </c>
      <c r="L24" s="6">
        <f t="shared" si="1"/>
        <v>0.8</v>
      </c>
      <c r="M24" s="5">
        <f>IFERROR(SUMIF('Dự án T9'!$B:$B, $B24, 'Dự án T9'!$M:$M)*$L24, 0)</f>
        <v>800000</v>
      </c>
      <c r="N24" s="15">
        <f t="shared" ca="1" si="2"/>
        <v>800000</v>
      </c>
      <c r="O24" s="16">
        <f t="shared" si="3"/>
        <v>9000000</v>
      </c>
      <c r="P24" s="16">
        <f t="shared" si="4"/>
        <v>10200000</v>
      </c>
      <c r="Q24" s="16">
        <f t="shared" si="5"/>
        <v>11300000</v>
      </c>
      <c r="R24" s="16">
        <f t="shared" si="6"/>
        <v>9000000</v>
      </c>
      <c r="S24" s="16">
        <f t="shared" si="7"/>
        <v>10125000</v>
      </c>
      <c r="T24" s="16">
        <f t="shared" si="8"/>
        <v>11250000</v>
      </c>
      <c r="U24" s="5">
        <f t="shared" si="9"/>
        <v>11250000</v>
      </c>
      <c r="V24" s="5">
        <v>112500000</v>
      </c>
      <c r="W24" s="4">
        <f>IFERROR(SUMIFS(data!$C:$C, data!$A:$A, $A24, data!$B:$B, $B24), 0)</f>
        <v>276</v>
      </c>
      <c r="X24" s="5">
        <f>IFERROR(SUMIF(data!$B:$B, $B24, data!$D:$D), 0)</f>
        <v>20646600</v>
      </c>
      <c r="Y24" s="5">
        <f t="shared" si="10"/>
        <v>74806.521739130432</v>
      </c>
      <c r="Z24" s="4">
        <f>IFERROR(SUMIFS(data!$E:$E, data!$A:$A, $A24, data!$B:$B, $B24), 0)</f>
        <v>71</v>
      </c>
      <c r="AA24" s="5">
        <f>IFERROR(SUMIF(data!$B:$B, $B24, data!$F:$F), 0)</f>
        <v>10980300</v>
      </c>
      <c r="AB24" s="5">
        <f t="shared" si="11"/>
        <v>154652.11267605633</v>
      </c>
      <c r="AC24" s="4">
        <f t="shared" si="12"/>
        <v>347</v>
      </c>
      <c r="AD24" s="5">
        <f t="shared" si="13"/>
        <v>31626900</v>
      </c>
      <c r="AE24" s="5">
        <f t="shared" si="14"/>
        <v>91143.804034582136</v>
      </c>
      <c r="AF24" s="17"/>
      <c r="AG24" s="17"/>
      <c r="AH24" s="17"/>
      <c r="AI24" s="17"/>
      <c r="AJ24" s="17"/>
      <c r="AK24" s="17"/>
      <c r="AL24" s="17"/>
    </row>
    <row r="25" spans="1:38" ht="13.8" customHeight="1" x14ac:dyDescent="0.3">
      <c r="A25" s="3" t="s">
        <v>31</v>
      </c>
      <c r="B25" s="3" t="s">
        <v>33</v>
      </c>
      <c r="C25" s="6" t="s">
        <v>95</v>
      </c>
      <c r="D25" s="5">
        <v>50000</v>
      </c>
      <c r="E25" s="5">
        <f t="shared" si="15"/>
        <v>134027.27272727274</v>
      </c>
      <c r="F25" s="5">
        <f ca="1">IFERROR(ROUND(_xludf.LET(nt,$A25,nv,$B25,songay,DAY(EOMONTH($C$1,0)),doanhthungay,$I25,duan_nv,SUMIFS('Dự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>0</v>
      </c>
      <c r="G25" s="5">
        <f>IFERROR(SUMIF('Dự án T9'!$B:$B, $B25, 'Dự án T9'!$D:$D), 0)</f>
        <v>61324</v>
      </c>
      <c r="H25" s="5">
        <f t="shared" si="0"/>
        <v>7000000</v>
      </c>
      <c r="I25" s="5">
        <f t="shared" si="16"/>
        <v>442290</v>
      </c>
      <c r="J25" s="14">
        <f>_xlfn.XLOOKUP(B25, 'kpi nhà thuốc'!A:A, 'kpi nhà thuốc'!F:F, (AD25/DAY($C$1))/U25)</f>
        <v>6.3184285714285721E-2</v>
      </c>
      <c r="K25" s="5">
        <f ca="1">_xlfn.XLOOKUP(B25, 'kpi nhà thuốc'!$A:$A, 'kpi nhà thuốc'!$G:$G, IF(AND(OR(C25="DSXC", C25="DSCD", C25="DSBC", C25="DSTV", C25="Q.CHT", C25="BC", C25="DSHV"), G25&gt;=F25), AD25 * _xlfn.IFS(AND(I25&gt;=T25, E25&gt;=D25), 0.015, I25&gt;=T25, 0.013, AND(I25&gt;=S25, E25&gt;=D25), 0.013, I25&gt;=S25, 0.011, AND(I25&gt;=R25, E25&gt;=D25), 0.012, I25&gt;=R25, 0.01, TRUE, 0), 0))</f>
        <v>0</v>
      </c>
      <c r="L25" s="6">
        <f t="shared" si="1"/>
        <v>0.8</v>
      </c>
      <c r="M25" s="5">
        <f>IFERROR(SUMIF('Dự án T9'!$B:$B, $B25, 'Dự án T9'!$M:$M)*$L25, 0)</f>
        <v>0</v>
      </c>
      <c r="N25" s="15">
        <f t="shared" ca="1" si="2"/>
        <v>0</v>
      </c>
      <c r="O25" s="16">
        <f t="shared" si="3"/>
        <v>5600000</v>
      </c>
      <c r="P25" s="16">
        <f t="shared" si="4"/>
        <v>6300000</v>
      </c>
      <c r="Q25" s="16">
        <f t="shared" si="5"/>
        <v>7000000</v>
      </c>
      <c r="R25" s="16">
        <f t="shared" si="6"/>
        <v>5600000</v>
      </c>
      <c r="S25" s="16">
        <f t="shared" si="7"/>
        <v>6300000</v>
      </c>
      <c r="T25" s="16">
        <f t="shared" si="8"/>
        <v>7000000</v>
      </c>
      <c r="U25" s="5">
        <f t="shared" si="9"/>
        <v>7000000</v>
      </c>
      <c r="V25" s="5">
        <v>70000000</v>
      </c>
      <c r="W25" s="4">
        <f>IFERROR(SUMIFS(data!$C:$C, data!$A:$A, $A25, data!$B:$B, $B25), 0)</f>
        <v>27</v>
      </c>
      <c r="X25" s="5">
        <f>IFERROR(SUMIF(data!$B:$B, $B25, data!$D:$D), 0)</f>
        <v>2376900</v>
      </c>
      <c r="Y25" s="5">
        <f t="shared" si="10"/>
        <v>88033.333333333328</v>
      </c>
      <c r="Z25" s="4">
        <f>IFERROR(SUMIFS(data!$E:$E, data!$A:$A, $A25, data!$B:$B, $B25), 0)</f>
        <v>6</v>
      </c>
      <c r="AA25" s="5">
        <f>IFERROR(SUMIF(data!$B:$B, $B25, data!$F:$F), 0)</f>
        <v>2046000</v>
      </c>
      <c r="AB25" s="5">
        <f t="shared" si="11"/>
        <v>341000</v>
      </c>
      <c r="AC25" s="4">
        <f t="shared" si="12"/>
        <v>33</v>
      </c>
      <c r="AD25" s="5">
        <f t="shared" si="13"/>
        <v>4422900</v>
      </c>
      <c r="AE25" s="5">
        <f t="shared" si="14"/>
        <v>134027.27272727274</v>
      </c>
      <c r="AF25" s="17"/>
      <c r="AG25" s="17"/>
      <c r="AH25" s="17"/>
      <c r="AI25" s="17"/>
      <c r="AJ25" s="17"/>
      <c r="AK25" s="17"/>
      <c r="AL25" s="17"/>
    </row>
    <row r="26" spans="1:38" ht="13.8" customHeight="1" x14ac:dyDescent="0.3">
      <c r="A26" s="3" t="s">
        <v>37</v>
      </c>
      <c r="B26" s="3" t="s">
        <v>41</v>
      </c>
      <c r="C26" s="6" t="s">
        <v>92</v>
      </c>
      <c r="D26" s="5">
        <v>120000</v>
      </c>
      <c r="E26" s="5">
        <f t="shared" si="15"/>
        <v>112007.59493670886</v>
      </c>
      <c r="F26" s="5">
        <f ca="1">IFERROR(ROUND(_xludf.LET(nt,$A26,nv,$B26,songay,DAY(EOMONTH($C$1,0)),doanhthungay,$I26,duan_nv,SUMIFS('Dự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>0</v>
      </c>
      <c r="G26" s="5">
        <f>IFERROR(SUMIF('Dự án T9'!$B:$B, $B26, 'Dự án T9'!$D:$D), 0)</f>
        <v>548164.80000000005</v>
      </c>
      <c r="H26" s="5">
        <f t="shared" si="0"/>
        <v>15800000</v>
      </c>
      <c r="I26" s="5">
        <f t="shared" si="16"/>
        <v>3539440</v>
      </c>
      <c r="J26" s="14">
        <f>_xlfn.XLOOKUP(B26, 'kpi nhà thuốc'!A:A, 'kpi nhà thuốc'!F:F, (AD26/DAY($C$1))/U26)</f>
        <v>0.22401518987341773</v>
      </c>
      <c r="K26" s="5">
        <f ca="1">_xlfn.XLOOKUP(B26, 'kpi nhà thuốc'!$A:$A, 'kpi nhà thuốc'!$G:$G, IF(AND(OR(C26="DSXC", C26="DSCD", C26="DSBC", C26="DSTV", C26="Q.CHT", C26="BC", C26="DSHV"), G26&gt;=F26), AD26 * _xlfn.IFS(AND(I26&gt;=T26, E26&gt;=D26), 0.015, I26&gt;=T26, 0.013, AND(I26&gt;=S26, E26&gt;=D26), 0.013, I26&gt;=S26, 0.011, AND(I26&gt;=R26, E26&gt;=D26), 0.012, I26&gt;=R26, 0.01, TRUE, 0), 0))</f>
        <v>0</v>
      </c>
      <c r="L26" s="6">
        <f t="shared" si="1"/>
        <v>0.8</v>
      </c>
      <c r="M26" s="5">
        <f>IFERROR(SUMIF('Dự án T9'!$B:$B, $B26, 'Dự án T9'!$M:$M)*$L26, 0)</f>
        <v>0</v>
      </c>
      <c r="N26" s="15">
        <f t="shared" ca="1" si="2"/>
        <v>0</v>
      </c>
      <c r="O26" s="16">
        <f t="shared" si="3"/>
        <v>12700000</v>
      </c>
      <c r="P26" s="16">
        <f t="shared" si="4"/>
        <v>14300000</v>
      </c>
      <c r="Q26" s="16">
        <f t="shared" si="5"/>
        <v>15800000</v>
      </c>
      <c r="R26" s="16">
        <f t="shared" si="6"/>
        <v>12640000</v>
      </c>
      <c r="S26" s="16">
        <f t="shared" si="7"/>
        <v>14220000</v>
      </c>
      <c r="T26" s="16">
        <f t="shared" si="8"/>
        <v>15800000</v>
      </c>
      <c r="U26" s="5">
        <f t="shared" si="9"/>
        <v>15800000</v>
      </c>
      <c r="V26" s="5">
        <v>158000000</v>
      </c>
      <c r="W26" s="4">
        <f>IFERROR(SUMIFS(data!$C:$C, data!$A:$A, $A26, data!$B:$B, $B26), 0)</f>
        <v>229</v>
      </c>
      <c r="X26" s="5">
        <f>IFERROR(SUMIF(data!$B:$B, $B26, data!$D:$D), 0)</f>
        <v>17795600</v>
      </c>
      <c r="Y26" s="5">
        <f t="shared" si="10"/>
        <v>77710.043668122264</v>
      </c>
      <c r="Z26" s="4">
        <f>IFERROR(SUMIFS(data!$E:$E, data!$A:$A, $A26, data!$B:$B, $B26), 0)</f>
        <v>87</v>
      </c>
      <c r="AA26" s="5">
        <f>IFERROR(SUMIF(data!$B:$B, $B26, data!$F:$F), 0)</f>
        <v>17598800</v>
      </c>
      <c r="AB26" s="5">
        <f t="shared" si="11"/>
        <v>202285.05747126436</v>
      </c>
      <c r="AC26" s="4">
        <f t="shared" si="12"/>
        <v>316</v>
      </c>
      <c r="AD26" s="5">
        <f t="shared" si="13"/>
        <v>35394400</v>
      </c>
      <c r="AE26" s="5">
        <f t="shared" si="14"/>
        <v>112007.59493670886</v>
      </c>
      <c r="AF26" s="17"/>
      <c r="AG26" s="17"/>
      <c r="AH26" s="17"/>
      <c r="AI26" s="17"/>
      <c r="AJ26" s="17"/>
      <c r="AK26" s="17"/>
      <c r="AL26" s="17"/>
    </row>
    <row r="27" spans="1:38" ht="13.8" customHeight="1" x14ac:dyDescent="0.3">
      <c r="A27" s="3" t="s">
        <v>37</v>
      </c>
      <c r="B27" s="3" t="s">
        <v>40</v>
      </c>
      <c r="C27" s="6" t="s">
        <v>93</v>
      </c>
      <c r="D27" s="5">
        <v>200000</v>
      </c>
      <c r="E27" s="5">
        <f t="shared" si="15"/>
        <v>120820.65486725664</v>
      </c>
      <c r="F27" s="5">
        <f ca="1">IFERROR(ROUND(_xludf.LET(nt,$A27,nv,$B27,songay,DAY(EOMONTH($C$1,0)),doanhthungay,$I27,duan_nv,SUMIFS('Dự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>0</v>
      </c>
      <c r="G27" s="5">
        <f>IFERROR(SUMIF('Dự án T9'!$B:$B, $B27, 'Dự án T9'!$D:$D), 0)</f>
        <v>1171534.1000000001</v>
      </c>
      <c r="H27" s="5">
        <f t="shared" si="0"/>
        <v>15800000</v>
      </c>
      <c r="I27" s="5">
        <f t="shared" si="16"/>
        <v>4095820.2</v>
      </c>
      <c r="J27" s="14">
        <f>_xlfn.XLOOKUP(B27, 'kpi nhà thuốc'!A:A, 'kpi nhà thuốc'!F:F, (AD27/DAY($C$1))/U27)</f>
        <v>0.23382756330275228</v>
      </c>
      <c r="K27" s="5">
        <f ca="1">_xlfn.XLOOKUP(B27, 'kpi nhà thuốc'!$A:$A, 'kpi nhà thuốc'!$G:$G, IF(AND(OR(C27="DSXC", C27="DSCD", C27="DSBC", C27="DSTV", C27="Q.CHT", C27="BC", C27="DSHV"), G27&gt;=F27), AD27 * _xlfn.IFS(AND(I27&gt;=T27, E27&gt;=D27), 0.015, I27&gt;=T27, 0.013, AND(I27&gt;=S27, E27&gt;=D27), 0.013, I27&gt;=S27, 0.011, AND(I27&gt;=R27, E27&gt;=D27), 0.012, I27&gt;=R27, 0.01, TRUE, 0), 0))</f>
        <v>0</v>
      </c>
      <c r="L27" s="6">
        <f t="shared" si="1"/>
        <v>0.8</v>
      </c>
      <c r="M27" s="5">
        <f>IFERROR(SUMIF('Dự án T9'!$B:$B, $B27, 'Dự án T9'!$M:$M)*$L27, 0)</f>
        <v>400000</v>
      </c>
      <c r="N27" s="15">
        <f t="shared" ca="1" si="2"/>
        <v>400000</v>
      </c>
      <c r="O27" s="16">
        <f t="shared" si="3"/>
        <v>12700000</v>
      </c>
      <c r="P27" s="16">
        <f t="shared" si="4"/>
        <v>14300000</v>
      </c>
      <c r="Q27" s="16">
        <f t="shared" si="5"/>
        <v>15800000</v>
      </c>
      <c r="R27" s="16">
        <f t="shared" si="6"/>
        <v>12640000</v>
      </c>
      <c r="S27" s="16">
        <f t="shared" si="7"/>
        <v>14220000</v>
      </c>
      <c r="T27" s="16">
        <f t="shared" si="8"/>
        <v>15800000</v>
      </c>
      <c r="U27" s="5">
        <f t="shared" si="9"/>
        <v>15800000</v>
      </c>
      <c r="V27" s="5">
        <v>158000000</v>
      </c>
      <c r="W27" s="4">
        <f>IFERROR(SUMIFS(data!$C:$C, data!$A:$A, $A27, data!$B:$B, $B27), 0)</f>
        <v>197</v>
      </c>
      <c r="X27" s="5">
        <f>IFERROR(SUMIF(data!$B:$B, $B27, data!$D:$D), 0)</f>
        <v>11996100</v>
      </c>
      <c r="Y27" s="5">
        <f t="shared" si="10"/>
        <v>60893.908629441627</v>
      </c>
      <c r="Z27" s="4">
        <f>IFERROR(SUMIFS(data!$E:$E, data!$A:$A, $A27, data!$B:$B, $B27), 0)</f>
        <v>142</v>
      </c>
      <c r="AA27" s="5">
        <f>IFERROR(SUMIF(data!$B:$B, $B27, data!$F:$F), 0)</f>
        <v>28962102</v>
      </c>
      <c r="AB27" s="5">
        <f t="shared" si="11"/>
        <v>203958.46478873238</v>
      </c>
      <c r="AC27" s="4">
        <f t="shared" si="12"/>
        <v>339</v>
      </c>
      <c r="AD27" s="5">
        <f t="shared" si="13"/>
        <v>40958202</v>
      </c>
      <c r="AE27" s="5">
        <f t="shared" si="14"/>
        <v>120820.65486725664</v>
      </c>
      <c r="AF27" s="17"/>
      <c r="AG27" s="17"/>
      <c r="AH27" s="17"/>
      <c r="AI27" s="17"/>
      <c r="AJ27" s="17"/>
      <c r="AK27" s="17"/>
      <c r="AL27" s="17"/>
    </row>
    <row r="28" spans="1:38" ht="13.8" customHeight="1" x14ac:dyDescent="0.3">
      <c r="A28" s="3" t="s">
        <v>37</v>
      </c>
      <c r="B28" s="3" t="s">
        <v>38</v>
      </c>
      <c r="C28" s="6" t="s">
        <v>92</v>
      </c>
      <c r="D28" s="5">
        <v>194000</v>
      </c>
      <c r="E28" s="5">
        <f t="shared" si="15"/>
        <v>112398.22727272728</v>
      </c>
      <c r="F28" s="5">
        <f ca="1">IFERROR(ROUND(_xludf.LET(nt,$A28,nv,$B28,songay,DAY(EOMONTH($C$1,0)),doanhthungay,$I28,duan_nv,SUMIFS('Dự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>0</v>
      </c>
      <c r="G28" s="5">
        <f>IFERROR(SUMIF('Dự án T9'!$B:$B, $B28, 'Dự án T9'!$D:$D), 0)</f>
        <v>1572642.1</v>
      </c>
      <c r="H28" s="5">
        <f t="shared" si="0"/>
        <v>15800000</v>
      </c>
      <c r="I28" s="5">
        <f t="shared" si="16"/>
        <v>4945522</v>
      </c>
      <c r="J28" s="14">
        <f>_xlfn.XLOOKUP(B28, 'kpi nhà thuốc'!A:A, 'kpi nhà thuốc'!F:F, (AD28/DAY($C$1))/U28)</f>
        <v>0.31300772151898731</v>
      </c>
      <c r="K28" s="5">
        <f ca="1">_xlfn.XLOOKUP(B28, 'kpi nhà thuốc'!$A:$A, 'kpi nhà thuốc'!$G:$G, IF(AND(OR(C28="DSXC", C28="DSCD", C28="DSBC", C28="DSTV", C28="Q.CHT", C28="BC", C28="DSHV"), G28&gt;=F28), AD28 * _xlfn.IFS(AND(I28&gt;=T28, E28&gt;=D28), 0.015, I28&gt;=T28, 0.013, AND(I28&gt;=S28, E28&gt;=D28), 0.013, I28&gt;=S28, 0.011, AND(I28&gt;=R28, E28&gt;=D28), 0.012, I28&gt;=R28, 0.01, TRUE, 0), 0))</f>
        <v>0</v>
      </c>
      <c r="L28" s="6">
        <f t="shared" si="1"/>
        <v>0.8</v>
      </c>
      <c r="M28" s="5">
        <f>IFERROR(SUMIF('Dự án T9'!$B:$B, $B28, 'Dự án T9'!$M:$M)*$L28, 0)</f>
        <v>800000</v>
      </c>
      <c r="N28" s="15">
        <f t="shared" ca="1" si="2"/>
        <v>800000</v>
      </c>
      <c r="O28" s="16">
        <f t="shared" si="3"/>
        <v>12700000</v>
      </c>
      <c r="P28" s="16">
        <f t="shared" si="4"/>
        <v>14300000</v>
      </c>
      <c r="Q28" s="16">
        <f t="shared" si="5"/>
        <v>15800000</v>
      </c>
      <c r="R28" s="16">
        <f t="shared" si="6"/>
        <v>12640000</v>
      </c>
      <c r="S28" s="16">
        <f t="shared" si="7"/>
        <v>14220000</v>
      </c>
      <c r="T28" s="16">
        <f t="shared" si="8"/>
        <v>15800000</v>
      </c>
      <c r="U28" s="5">
        <f t="shared" si="9"/>
        <v>15800000</v>
      </c>
      <c r="V28" s="5">
        <v>158000000</v>
      </c>
      <c r="W28" s="4">
        <f>IFERROR(SUMIFS(data!$C:$C, data!$A:$A, $A28, data!$B:$B, $B28), 0)</f>
        <v>309</v>
      </c>
      <c r="X28" s="5">
        <f>IFERROR(SUMIF(data!$B:$B, $B28, data!$D:$D), 0)</f>
        <v>21778500</v>
      </c>
      <c r="Y28" s="5">
        <f t="shared" si="10"/>
        <v>70480.582524271842</v>
      </c>
      <c r="Z28" s="4">
        <f>IFERROR(SUMIFS(data!$E:$E, data!$A:$A, $A28, data!$B:$B, $B28), 0)</f>
        <v>131</v>
      </c>
      <c r="AA28" s="5">
        <f>IFERROR(SUMIF(data!$B:$B, $B28, data!$F:$F), 0)</f>
        <v>27676720</v>
      </c>
      <c r="AB28" s="5">
        <f t="shared" si="11"/>
        <v>211272.6717557252</v>
      </c>
      <c r="AC28" s="4">
        <f t="shared" si="12"/>
        <v>440</v>
      </c>
      <c r="AD28" s="5">
        <f t="shared" si="13"/>
        <v>49455220</v>
      </c>
      <c r="AE28" s="5">
        <f t="shared" si="14"/>
        <v>112398.22727272728</v>
      </c>
      <c r="AF28" s="17"/>
      <c r="AG28" s="17"/>
      <c r="AH28" s="17"/>
      <c r="AI28" s="17"/>
      <c r="AJ28" s="17"/>
      <c r="AK28" s="17"/>
      <c r="AL28" s="17"/>
    </row>
    <row r="29" spans="1:38" ht="13.8" customHeight="1" x14ac:dyDescent="0.3">
      <c r="A29" s="3" t="s">
        <v>37</v>
      </c>
      <c r="B29" s="3" t="s">
        <v>96</v>
      </c>
      <c r="C29" s="6" t="s">
        <v>91</v>
      </c>
      <c r="D29" s="5">
        <v>250000</v>
      </c>
      <c r="E29" s="5">
        <f t="shared" si="15"/>
        <v>0</v>
      </c>
      <c r="F29" s="5">
        <f ca="1">IFERROR(ROUND(_xludf.LET(nt,$A29,nv,$B29,songay,DAY(EOMONTH($C$1,0)),doanhthungay,$I29,duan_nv,SUMIFS('Dự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>0</v>
      </c>
      <c r="G29" s="5">
        <f>IFERROR(SUMIF('Dự án T9'!$B:$B, $B29, 'Dự án T9'!$D:$D), 0)</f>
        <v>0</v>
      </c>
      <c r="H29" s="5">
        <f t="shared" si="0"/>
        <v>7100000</v>
      </c>
      <c r="I29" s="5">
        <f t="shared" si="16"/>
        <v>0</v>
      </c>
      <c r="J29" s="14">
        <f>_xlfn.XLOOKUP(B29, 'kpi nhà thuốc'!A:A, 'kpi nhà thuốc'!F:F, (AD29/DAY($C$1))/U29)</f>
        <v>0</v>
      </c>
      <c r="K29" s="5">
        <f ca="1">_xlfn.XLOOKUP(B29, 'kpi nhà thuốc'!$A:$A, 'kpi nhà thuốc'!$G:$G, IF(AND(OR(C29="DSXC", C29="DSCD", C29="DSBC", C29="DSTV", C29="Q.CHT", C29="BC", C29="DSHV"), G29&gt;=F29), AD29 * _xlfn.IFS(AND(I29&gt;=T29, E29&gt;=D29), 0.015, I29&gt;=T29, 0.013, AND(I29&gt;=S29, E29&gt;=D29), 0.013, I29&gt;=S29, 0.011, AND(I29&gt;=R29, E29&gt;=D29), 0.012, I29&gt;=R29, 0.01, TRUE, 0), 0))</f>
        <v>0</v>
      </c>
      <c r="L29" s="6">
        <f t="shared" si="1"/>
        <v>0.8</v>
      </c>
      <c r="M29" s="5">
        <f>IFERROR(SUMIF('Dự án T9'!$B:$B, $B29, 'Dự án T9'!$M:$M)*$L29, 0)</f>
        <v>0</v>
      </c>
      <c r="N29" s="15">
        <f t="shared" ca="1" si="2"/>
        <v>0</v>
      </c>
      <c r="O29" s="16">
        <f t="shared" si="3"/>
        <v>5700000</v>
      </c>
      <c r="P29" s="16">
        <f t="shared" si="4"/>
        <v>6400000</v>
      </c>
      <c r="Q29" s="16">
        <f t="shared" si="5"/>
        <v>7100000</v>
      </c>
      <c r="R29" s="16">
        <f t="shared" si="6"/>
        <v>5680000</v>
      </c>
      <c r="S29" s="16">
        <f t="shared" si="7"/>
        <v>6390000</v>
      </c>
      <c r="T29" s="16">
        <f t="shared" si="8"/>
        <v>7100000</v>
      </c>
      <c r="U29" s="5">
        <f t="shared" si="9"/>
        <v>7100000</v>
      </c>
      <c r="V29" s="5">
        <v>71000000</v>
      </c>
      <c r="W29" s="4">
        <f>IFERROR(SUMIFS(data!$C:$C, data!$A:$A, $A29, data!$B:$B, $B29), 0)</f>
        <v>0</v>
      </c>
      <c r="X29" s="5">
        <f>IFERROR(SUMIF(data!$B:$B, $B29, data!$D:$D), 0)</f>
        <v>0</v>
      </c>
      <c r="Y29" s="5">
        <f t="shared" si="10"/>
        <v>0</v>
      </c>
      <c r="Z29" s="4">
        <f>IFERROR(SUMIFS(data!$E:$E, data!$A:$A, $A29, data!$B:$B, $B29), 0)</f>
        <v>0</v>
      </c>
      <c r="AA29" s="5">
        <f>IFERROR(SUMIF(data!$B:$B, $B29, data!$F:$F), 0)</f>
        <v>0</v>
      </c>
      <c r="AB29" s="5">
        <f t="shared" si="11"/>
        <v>0</v>
      </c>
      <c r="AC29" s="4">
        <f t="shared" si="12"/>
        <v>0</v>
      </c>
      <c r="AD29" s="5">
        <f t="shared" si="13"/>
        <v>0</v>
      </c>
      <c r="AE29" s="5">
        <f t="shared" si="14"/>
        <v>0</v>
      </c>
      <c r="AF29" s="17"/>
      <c r="AG29" s="17"/>
      <c r="AH29" s="17"/>
      <c r="AI29" s="17"/>
      <c r="AJ29" s="17"/>
      <c r="AK29" s="17"/>
      <c r="AL29" s="17"/>
    </row>
    <row r="30" spans="1:38" ht="13.8" customHeight="1" x14ac:dyDescent="0.3">
      <c r="A30" s="3" t="s">
        <v>42</v>
      </c>
      <c r="B30" s="3" t="s">
        <v>43</v>
      </c>
      <c r="C30" s="6" t="s">
        <v>92</v>
      </c>
      <c r="D30" s="5">
        <v>104000</v>
      </c>
      <c r="E30" s="5">
        <f t="shared" si="15"/>
        <v>70207.252559726956</v>
      </c>
      <c r="F30" s="5">
        <f ca="1">IFERROR(ROUND(_xludf.LET(nt,$A30,nv,$B30,songay,DAY(EOMONTH($C$1,0)),doanhthungay,$I30,duan_nv,SUMIFS('Dự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>0</v>
      </c>
      <c r="G30" s="5">
        <f>IFERROR(SUMIF('Dự án T9'!$B:$B, $B30, 'Dự án T9'!$D:$D), 0)</f>
        <v>2363994.1</v>
      </c>
      <c r="H30" s="5">
        <f t="shared" si="0"/>
        <v>8800000</v>
      </c>
      <c r="I30" s="5">
        <f t="shared" si="16"/>
        <v>4114145</v>
      </c>
      <c r="J30" s="14">
        <f>_xlfn.XLOOKUP(B30, 'kpi nhà thuốc'!A:A, 'kpi nhà thuốc'!F:F, (AD30/DAY($C$1))/U30)</f>
        <v>0.47018799999999999</v>
      </c>
      <c r="K30" s="5">
        <f ca="1">_xlfn.XLOOKUP(B30, 'kpi nhà thuốc'!$A:$A, 'kpi nhà thuốc'!$G:$G, IF(AND(OR(C30="DSXC", C30="DSCD", C30="DSBC", C30="DSTV", C30="Q.CHT", C30="BC", C30="DSHV"), G30&gt;=F30), AD30 * _xlfn.IFS(AND(I30&gt;=T30, E30&gt;=D30), 0.015, I30&gt;=T30, 0.013, AND(I30&gt;=S30, E30&gt;=D30), 0.013, I30&gt;=S30, 0.011, AND(I30&gt;=R30, E30&gt;=D30), 0.012, I30&gt;=R30, 0.01, TRUE, 0), 0))</f>
        <v>0</v>
      </c>
      <c r="L30" s="6">
        <f t="shared" si="1"/>
        <v>0.8</v>
      </c>
      <c r="M30" s="5">
        <f>IFERROR(SUMIF('Dự án T9'!$B:$B, $B30, 'Dự án T9'!$M:$M)*$L30, 0)</f>
        <v>800000</v>
      </c>
      <c r="N30" s="15">
        <f t="shared" ca="1" si="2"/>
        <v>800000</v>
      </c>
      <c r="O30" s="16">
        <f t="shared" si="3"/>
        <v>7000000</v>
      </c>
      <c r="P30" s="16">
        <f t="shared" si="4"/>
        <v>7900000</v>
      </c>
      <c r="Q30" s="16">
        <f t="shared" si="5"/>
        <v>8800000</v>
      </c>
      <c r="R30" s="16">
        <f t="shared" si="6"/>
        <v>7000000</v>
      </c>
      <c r="S30" s="16">
        <f t="shared" si="7"/>
        <v>7875000</v>
      </c>
      <c r="T30" s="16">
        <f t="shared" si="8"/>
        <v>8750000</v>
      </c>
      <c r="U30" s="5">
        <f t="shared" si="9"/>
        <v>8750000</v>
      </c>
      <c r="V30" s="5">
        <v>87500000</v>
      </c>
      <c r="W30" s="4">
        <f>IFERROR(SUMIFS(data!$C:$C, data!$A:$A, $A30, data!$B:$B, $B30), 0)</f>
        <v>519</v>
      </c>
      <c r="X30" s="5">
        <f>IFERROR(SUMIF(data!$B:$B, $B30, data!$D:$D), 0)</f>
        <v>34232000</v>
      </c>
      <c r="Y30" s="5">
        <f t="shared" si="10"/>
        <v>65957.610789980739</v>
      </c>
      <c r="Z30" s="4">
        <f>IFERROR(SUMIFS(data!$E:$E, data!$A:$A, $A30, data!$B:$B, $B30), 0)</f>
        <v>67</v>
      </c>
      <c r="AA30" s="5">
        <f>IFERROR(SUMIF(data!$B:$B, $B30, data!$F:$F), 0)</f>
        <v>6909450</v>
      </c>
      <c r="AB30" s="5">
        <f t="shared" si="11"/>
        <v>103126.11940298507</v>
      </c>
      <c r="AC30" s="4">
        <f t="shared" si="12"/>
        <v>586</v>
      </c>
      <c r="AD30" s="5">
        <f t="shared" si="13"/>
        <v>41141450</v>
      </c>
      <c r="AE30" s="5">
        <f t="shared" si="14"/>
        <v>70207.252559726956</v>
      </c>
      <c r="AF30" s="17"/>
      <c r="AG30" s="17"/>
      <c r="AH30" s="17"/>
      <c r="AI30" s="17"/>
      <c r="AJ30" s="17"/>
      <c r="AK30" s="17"/>
      <c r="AL30" s="17"/>
    </row>
    <row r="31" spans="1:38" ht="13.8" customHeight="1" x14ac:dyDescent="0.3">
      <c r="A31" s="3" t="s">
        <v>42</v>
      </c>
      <c r="B31" s="3" t="s">
        <v>47</v>
      </c>
      <c r="C31" s="6" t="s">
        <v>92</v>
      </c>
      <c r="D31" s="5">
        <v>157000</v>
      </c>
      <c r="E31" s="5">
        <f t="shared" si="15"/>
        <v>162018.62745098039</v>
      </c>
      <c r="F31" s="5">
        <f ca="1">IFERROR(ROUND(_xludf.LET(nt,$A31,nv,$B31,songay,DAY(EOMONTH($C$1,0)),doanhthungay,$I31,duan_nv,SUMIFS('Dự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>0</v>
      </c>
      <c r="G31" s="5">
        <f>IFERROR(SUMIF('Dự án T9'!$B:$B, $B31, 'Dự án T9'!$D:$D), 0)</f>
        <v>877155.1</v>
      </c>
      <c r="H31" s="5">
        <f t="shared" si="0"/>
        <v>8800000</v>
      </c>
      <c r="I31" s="5">
        <f t="shared" si="16"/>
        <v>3305180</v>
      </c>
      <c r="J31" s="14">
        <f>_xlfn.XLOOKUP(B31, 'kpi nhà thuốc'!A:A, 'kpi nhà thuốc'!F:F, (AD31/DAY($C$1))/U31)</f>
        <v>0.37773485714285715</v>
      </c>
      <c r="K31" s="5">
        <f ca="1">_xlfn.XLOOKUP(B31, 'kpi nhà thuốc'!$A:$A, 'kpi nhà thuốc'!$G:$G, IF(AND(OR(C31="DSXC", C31="DSCD", C31="DSBC", C31="DSTV", C31="Q.CHT", C31="BC", C31="DSHV"), G31&gt;=F31), AD31 * _xlfn.IFS(AND(I31&gt;=T31, E31&gt;=D31), 0.015, I31&gt;=T31, 0.013, AND(I31&gt;=S31, E31&gt;=D31), 0.013, I31&gt;=S31, 0.011, AND(I31&gt;=R31, E31&gt;=D31), 0.012, I31&gt;=R31, 0.01, TRUE, 0), 0))</f>
        <v>0</v>
      </c>
      <c r="L31" s="6">
        <f t="shared" si="1"/>
        <v>0.8</v>
      </c>
      <c r="M31" s="5">
        <f>IFERROR(SUMIF('Dự án T9'!$B:$B, $B31, 'Dự án T9'!$M:$M)*$L31, 0)</f>
        <v>0</v>
      </c>
      <c r="N31" s="15">
        <f t="shared" ca="1" si="2"/>
        <v>0</v>
      </c>
      <c r="O31" s="16">
        <f t="shared" si="3"/>
        <v>7000000</v>
      </c>
      <c r="P31" s="16">
        <f t="shared" si="4"/>
        <v>7900000</v>
      </c>
      <c r="Q31" s="16">
        <f t="shared" si="5"/>
        <v>8800000</v>
      </c>
      <c r="R31" s="16">
        <f t="shared" si="6"/>
        <v>7000000</v>
      </c>
      <c r="S31" s="16">
        <f t="shared" si="7"/>
        <v>7875000</v>
      </c>
      <c r="T31" s="16">
        <f t="shared" si="8"/>
        <v>8750000</v>
      </c>
      <c r="U31" s="5">
        <f t="shared" si="9"/>
        <v>8750000</v>
      </c>
      <c r="V31" s="5">
        <v>87500000</v>
      </c>
      <c r="W31" s="4">
        <f>IFERROR(SUMIFS(data!$C:$C, data!$A:$A, $A31, data!$B:$B, $B31), 0)</f>
        <v>170</v>
      </c>
      <c r="X31" s="5">
        <f>IFERROR(SUMIF(data!$B:$B, $B31, data!$D:$D), 0)</f>
        <v>16951600</v>
      </c>
      <c r="Y31" s="5">
        <f t="shared" si="10"/>
        <v>99715.294117647063</v>
      </c>
      <c r="Z31" s="4">
        <f>IFERROR(SUMIFS(data!$E:$E, data!$A:$A, $A31, data!$B:$B, $B31), 0)</f>
        <v>34</v>
      </c>
      <c r="AA31" s="5">
        <f>IFERROR(SUMIF(data!$B:$B, $B31, data!$F:$F), 0)</f>
        <v>16100200</v>
      </c>
      <c r="AB31" s="5">
        <f t="shared" si="11"/>
        <v>473535.29411764705</v>
      </c>
      <c r="AC31" s="4">
        <f t="shared" si="12"/>
        <v>204</v>
      </c>
      <c r="AD31" s="5">
        <f t="shared" si="13"/>
        <v>33051800</v>
      </c>
      <c r="AE31" s="5">
        <f t="shared" si="14"/>
        <v>162018.62745098039</v>
      </c>
      <c r="AF31" s="17"/>
      <c r="AG31" s="17"/>
      <c r="AH31" s="17"/>
      <c r="AI31" s="17"/>
      <c r="AJ31" s="17"/>
      <c r="AK31" s="17"/>
      <c r="AL31" s="17"/>
    </row>
    <row r="32" spans="1:38" ht="13.8" customHeight="1" x14ac:dyDescent="0.3">
      <c r="A32" s="3" t="s">
        <v>42</v>
      </c>
      <c r="B32" s="3" t="s">
        <v>45</v>
      </c>
      <c r="C32" s="6" t="s">
        <v>92</v>
      </c>
      <c r="D32" s="5">
        <v>170000</v>
      </c>
      <c r="E32" s="5">
        <f t="shared" si="15"/>
        <v>56915.384615384617</v>
      </c>
      <c r="F32" s="5">
        <f ca="1">IFERROR(ROUND(_xludf.LET(nt,$A32,nv,$B32,songay,DAY(EOMONTH($C$1,0)),doanhthungay,$I32,duan_nv,SUMIFS('Dự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>0</v>
      </c>
      <c r="G32" s="5">
        <f>IFERROR(SUMIF('Dự án T9'!$B:$B, $B32, 'Dự án T9'!$D:$D), 0)</f>
        <v>162286.9</v>
      </c>
      <c r="H32" s="5">
        <f t="shared" si="0"/>
        <v>8800000</v>
      </c>
      <c r="I32" s="5">
        <f t="shared" si="16"/>
        <v>369950</v>
      </c>
      <c r="J32" s="14">
        <f>_xlfn.XLOOKUP(B32, 'kpi nhà thuốc'!A:A, 'kpi nhà thuốc'!F:F, (AD32/DAY($C$1))/U32)</f>
        <v>4.2279999999999998E-2</v>
      </c>
      <c r="K32" s="5">
        <f ca="1">_xlfn.XLOOKUP(B32, 'kpi nhà thuốc'!$A:$A, 'kpi nhà thuốc'!$G:$G, IF(AND(OR(C32="DSXC", C32="DSCD", C32="DSBC", C32="DSTV", C32="Q.CHT", C32="BC", C32="DSHV"), G32&gt;=F32), AD32 * _xlfn.IFS(AND(I32&gt;=T32, E32&gt;=D32), 0.015, I32&gt;=T32, 0.013, AND(I32&gt;=S32, E32&gt;=D32), 0.013, I32&gt;=S32, 0.011, AND(I32&gt;=R32, E32&gt;=D32), 0.012, I32&gt;=R32, 0.01, TRUE, 0), 0))</f>
        <v>0</v>
      </c>
      <c r="L32" s="6">
        <f t="shared" si="1"/>
        <v>0.8</v>
      </c>
      <c r="M32" s="5">
        <f>IFERROR(SUMIF('Dự án T9'!$B:$B, $B32, 'Dự án T9'!$M:$M)*$L32, 0)</f>
        <v>0</v>
      </c>
      <c r="N32" s="15">
        <f t="shared" ca="1" si="2"/>
        <v>0</v>
      </c>
      <c r="O32" s="16">
        <f t="shared" si="3"/>
        <v>7000000</v>
      </c>
      <c r="P32" s="16">
        <f t="shared" si="4"/>
        <v>7900000</v>
      </c>
      <c r="Q32" s="16">
        <f t="shared" si="5"/>
        <v>8800000</v>
      </c>
      <c r="R32" s="16">
        <f t="shared" si="6"/>
        <v>7000000</v>
      </c>
      <c r="S32" s="16">
        <f t="shared" si="7"/>
        <v>7875000</v>
      </c>
      <c r="T32" s="16">
        <f t="shared" si="8"/>
        <v>8750000</v>
      </c>
      <c r="U32" s="5">
        <f t="shared" si="9"/>
        <v>8750000</v>
      </c>
      <c r="V32" s="5">
        <v>87500000</v>
      </c>
      <c r="W32" s="4">
        <f>IFERROR(SUMIFS(data!$C:$C, data!$A:$A, $A32, data!$B:$B, $B32), 0)</f>
        <v>57</v>
      </c>
      <c r="X32" s="5">
        <f>IFERROR(SUMIF(data!$B:$B, $B32, data!$D:$D), 0)</f>
        <v>2866100</v>
      </c>
      <c r="Y32" s="5">
        <f t="shared" si="10"/>
        <v>50282.456140350878</v>
      </c>
      <c r="Z32" s="4">
        <f>IFERROR(SUMIFS(data!$E:$E, data!$A:$A, $A32, data!$B:$B, $B32), 0)</f>
        <v>8</v>
      </c>
      <c r="AA32" s="5">
        <f>IFERROR(SUMIF(data!$B:$B, $B32, data!$F:$F), 0)</f>
        <v>833400</v>
      </c>
      <c r="AB32" s="5">
        <f t="shared" si="11"/>
        <v>104175</v>
      </c>
      <c r="AC32" s="4">
        <f t="shared" si="12"/>
        <v>65</v>
      </c>
      <c r="AD32" s="5">
        <f t="shared" si="13"/>
        <v>3699500</v>
      </c>
      <c r="AE32" s="5">
        <f t="shared" si="14"/>
        <v>56915.384615384617</v>
      </c>
      <c r="AF32" s="17"/>
      <c r="AG32" s="17"/>
      <c r="AH32" s="17"/>
      <c r="AI32" s="17"/>
      <c r="AJ32" s="17"/>
      <c r="AK32" s="17"/>
      <c r="AL32" s="17"/>
    </row>
    <row r="33" spans="1:38" ht="13.8" customHeight="1" x14ac:dyDescent="0.3">
      <c r="A33" s="3" t="s">
        <v>42</v>
      </c>
      <c r="B33" s="3" t="s">
        <v>44</v>
      </c>
      <c r="C33" s="6" t="s">
        <v>93</v>
      </c>
      <c r="D33" s="5">
        <v>136000</v>
      </c>
      <c r="E33" s="5">
        <f t="shared" si="15"/>
        <v>92393.258426966291</v>
      </c>
      <c r="F33" s="5">
        <f ca="1">IFERROR(ROUND(_xludf.LET(nt,$A33,nv,$B33,songay,DAY(EOMONTH($C$1,0)),doanhthungay,$I33,duan_nv,SUMIFS('Dự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>0</v>
      </c>
      <c r="G33" s="5">
        <f>IFERROR(SUMIF('Dự án T9'!$B:$B, $B33, 'Dự án T9'!$D:$D), 0)</f>
        <v>909444.5</v>
      </c>
      <c r="H33" s="5">
        <f t="shared" si="0"/>
        <v>8800000</v>
      </c>
      <c r="I33" s="5">
        <f t="shared" si="16"/>
        <v>2466900</v>
      </c>
      <c r="J33" s="14">
        <f>_xlfn.XLOOKUP(B33, 'kpi nhà thuốc'!A:A, 'kpi nhà thuốc'!F:F, (AD33/DAY($C$1))/U33)</f>
        <v>0.31246728571428573</v>
      </c>
      <c r="K33" s="5">
        <f ca="1">_xlfn.XLOOKUP(B33, 'kpi nhà thuốc'!$A:$A, 'kpi nhà thuốc'!$G:$G, IF(AND(OR(C33="DSXC", C33="DSCD", C33="DSBC", C33="DSTV", C33="Q.CHT", C33="BC", C33="DSHV"), G33&gt;=F33), AD33 * _xlfn.IFS(AND(I33&gt;=T33, E33&gt;=D33), 0.015, I33&gt;=T33, 0.013, AND(I33&gt;=S33, E33&gt;=D33), 0.013, I33&gt;=S33, 0.011, AND(I33&gt;=R33, E33&gt;=D33), 0.012, I33&gt;=R33, 0.01, TRUE, 0), 0))</f>
        <v>0</v>
      </c>
      <c r="L33" s="6">
        <f t="shared" si="1"/>
        <v>0.8</v>
      </c>
      <c r="M33" s="5">
        <f>IFERROR(SUMIF('Dự án T9'!$B:$B, $B33, 'Dự án T9'!$M:$M)*$L33, 0)</f>
        <v>0</v>
      </c>
      <c r="N33" s="15">
        <f t="shared" ca="1" si="2"/>
        <v>0</v>
      </c>
      <c r="O33" s="16">
        <f t="shared" si="3"/>
        <v>7000000</v>
      </c>
      <c r="P33" s="16">
        <f t="shared" si="4"/>
        <v>7900000</v>
      </c>
      <c r="Q33" s="16">
        <f t="shared" si="5"/>
        <v>8800000</v>
      </c>
      <c r="R33" s="16">
        <f t="shared" si="6"/>
        <v>7000000</v>
      </c>
      <c r="S33" s="16">
        <f t="shared" si="7"/>
        <v>7875000</v>
      </c>
      <c r="T33" s="16">
        <f t="shared" si="8"/>
        <v>8750000</v>
      </c>
      <c r="U33" s="5">
        <f t="shared" si="9"/>
        <v>8750000</v>
      </c>
      <c r="V33" s="5">
        <v>87500000</v>
      </c>
      <c r="W33" s="4">
        <f>IFERROR(SUMIFS(data!$C:$C, data!$A:$A, $A33, data!$B:$B, $B33), 0)</f>
        <v>224</v>
      </c>
      <c r="X33" s="5">
        <f>IFERROR(SUMIF(data!$B:$B, $B33, data!$D:$D), 0)</f>
        <v>15518100</v>
      </c>
      <c r="Y33" s="5">
        <f t="shared" si="10"/>
        <v>69277.232142857145</v>
      </c>
      <c r="Z33" s="4">
        <f>IFERROR(SUMIFS(data!$E:$E, data!$A:$A, $A33, data!$B:$B, $B33), 0)</f>
        <v>43</v>
      </c>
      <c r="AA33" s="5">
        <f>IFERROR(SUMIF(data!$B:$B, $B33, data!$F:$F), 0)</f>
        <v>9150900</v>
      </c>
      <c r="AB33" s="5">
        <f t="shared" si="11"/>
        <v>212811.62790697673</v>
      </c>
      <c r="AC33" s="4">
        <f t="shared" si="12"/>
        <v>267</v>
      </c>
      <c r="AD33" s="5">
        <f t="shared" si="13"/>
        <v>24669000</v>
      </c>
      <c r="AE33" s="5">
        <f t="shared" si="14"/>
        <v>92393.258426966291</v>
      </c>
      <c r="AF33" s="17"/>
      <c r="AG33" s="17"/>
      <c r="AH33" s="17"/>
      <c r="AI33" s="17"/>
      <c r="AJ33" s="17"/>
      <c r="AK33" s="17"/>
      <c r="AL33" s="17"/>
    </row>
    <row r="34" spans="1:38" ht="13.8" customHeight="1" x14ac:dyDescent="0.3">
      <c r="A34" s="3" t="s">
        <v>48</v>
      </c>
      <c r="B34" s="3" t="s">
        <v>49</v>
      </c>
      <c r="C34" s="6" t="s">
        <v>92</v>
      </c>
      <c r="D34" s="5">
        <v>232315.33018867901</v>
      </c>
      <c r="E34" s="5">
        <f t="shared" si="15"/>
        <v>136346.25850340136</v>
      </c>
      <c r="F34" s="5">
        <f ca="1">IFERROR(ROUND(_xludf.LET(nt,$A34,nv,$B34,songay,DAY(EOMONTH($C$1,0)),doanhthungay,$I34,duan_nv,SUMIFS('Dự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>0</v>
      </c>
      <c r="G34" s="5">
        <f>IFERROR(SUMIF('Dự án T9'!$B:$B, $B34, 'Dự án T9'!$D:$D), 0)</f>
        <v>521684.5</v>
      </c>
      <c r="H34" s="5">
        <f t="shared" si="0"/>
        <v>12000000</v>
      </c>
      <c r="I34" s="5">
        <f t="shared" si="16"/>
        <v>2004290</v>
      </c>
      <c r="J34" s="14">
        <f>_xlfn.XLOOKUP(B34, 'kpi nhà thuốc'!A:A, 'kpi nhà thuốc'!F:F, (AD34/DAY($C$1))/U34)</f>
        <v>0.16702416666666667</v>
      </c>
      <c r="K34" s="5">
        <f ca="1">_xlfn.XLOOKUP(B34, 'kpi nhà thuốc'!$A:$A, 'kpi nhà thuốc'!$G:$G, IF(AND(OR(C34="DSXC", C34="DSCD", C34="DSBC", C34="DSTV", C34="Q.CHT", C34="BC", C34="DSHV"), G34&gt;=F34), AD34 * _xlfn.IFS(AND(I34&gt;=T34, E34&gt;=D34), 0.015, I34&gt;=T34, 0.013, AND(I34&gt;=S34, E34&gt;=D34), 0.013, I34&gt;=S34, 0.011, AND(I34&gt;=R34, E34&gt;=D34), 0.012, I34&gt;=R34, 0.01, TRUE, 0), 0))</f>
        <v>0</v>
      </c>
      <c r="L34" s="6">
        <f t="shared" si="1"/>
        <v>0.8</v>
      </c>
      <c r="M34" s="5">
        <f>IFERROR(SUMIF('Dự án T9'!$B:$B, $B34, 'Dự án T9'!$M:$M)*$L34, 0)</f>
        <v>0</v>
      </c>
      <c r="N34" s="15">
        <f t="shared" ca="1" si="2"/>
        <v>0</v>
      </c>
      <c r="O34" s="16">
        <f t="shared" si="3"/>
        <v>9600000</v>
      </c>
      <c r="P34" s="16">
        <f t="shared" si="4"/>
        <v>10800000</v>
      </c>
      <c r="Q34" s="16">
        <f t="shared" si="5"/>
        <v>12000000</v>
      </c>
      <c r="R34" s="16">
        <f t="shared" si="6"/>
        <v>9600000</v>
      </c>
      <c r="S34" s="16">
        <f t="shared" si="7"/>
        <v>10800000</v>
      </c>
      <c r="T34" s="16">
        <f t="shared" si="8"/>
        <v>12000000</v>
      </c>
      <c r="U34" s="5">
        <f t="shared" si="9"/>
        <v>12000000</v>
      </c>
      <c r="V34" s="5">
        <v>120000000</v>
      </c>
      <c r="W34" s="4">
        <f>IFERROR(SUMIFS(data!$C:$C, data!$A:$A, $A34, data!$B:$B, $B34), 0)</f>
        <v>84</v>
      </c>
      <c r="X34" s="5">
        <f>IFERROR(SUMIF(data!$B:$B, $B34, data!$D:$D), 0)</f>
        <v>7708000</v>
      </c>
      <c r="Y34" s="5">
        <f t="shared" si="10"/>
        <v>91761.904761904763</v>
      </c>
      <c r="Z34" s="4">
        <f>IFERROR(SUMIFS(data!$E:$E, data!$A:$A, $A34, data!$B:$B, $B34), 0)</f>
        <v>63</v>
      </c>
      <c r="AA34" s="5">
        <f>IFERROR(SUMIF(data!$B:$B, $B34, data!$F:$F), 0)</f>
        <v>12334900</v>
      </c>
      <c r="AB34" s="5">
        <f t="shared" si="11"/>
        <v>195792.06349206349</v>
      </c>
      <c r="AC34" s="4">
        <f t="shared" si="12"/>
        <v>147</v>
      </c>
      <c r="AD34" s="5">
        <f t="shared" si="13"/>
        <v>20042900</v>
      </c>
      <c r="AE34" s="5">
        <f t="shared" si="14"/>
        <v>136346.25850340136</v>
      </c>
      <c r="AF34" s="17"/>
      <c r="AG34" s="17"/>
      <c r="AH34" s="17"/>
      <c r="AI34" s="17"/>
      <c r="AJ34" s="17"/>
      <c r="AK34" s="17"/>
      <c r="AL34" s="17"/>
    </row>
    <row r="35" spans="1:38" ht="13.8" customHeight="1" x14ac:dyDescent="0.3">
      <c r="A35" s="3" t="s">
        <v>48</v>
      </c>
      <c r="B35" s="3" t="s">
        <v>50</v>
      </c>
      <c r="C35" s="6" t="s">
        <v>92</v>
      </c>
      <c r="D35" s="5">
        <v>100000</v>
      </c>
      <c r="E35" s="5">
        <f t="shared" ref="E35:E54" si="17">AE35</f>
        <v>96339.512195121948</v>
      </c>
      <c r="F35" s="5">
        <f ca="1">IFERROR(ROUND(_xludf.LET(nt,$A35,nv,$B35,songay,DAY(EOMONTH($C$1,0)),doanhthungay,$I35,duan_nv,SUMIFS('Dự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>0</v>
      </c>
      <c r="G35" s="5">
        <f>IFERROR(SUMIF('Dự án T9'!$B:$B, $B35, 'Dự án T9'!$D:$D), 0)</f>
        <v>772807.2</v>
      </c>
      <c r="H35" s="5">
        <f t="shared" ref="H35:H54" si="18">Q35</f>
        <v>10000000</v>
      </c>
      <c r="I35" s="5">
        <f t="shared" ref="I35:I54" si="19">(AD35/DAY($C$1))</f>
        <v>1974960</v>
      </c>
      <c r="J35" s="14">
        <f>_xlfn.XLOOKUP(B35, 'kpi nhà thuốc'!A:A, 'kpi nhà thuốc'!F:F, (AD35/DAY($C$1))/U35)</f>
        <v>0.197496</v>
      </c>
      <c r="K35" s="5">
        <f ca="1">_xlfn.XLOOKUP(B35, 'kpi nhà thuốc'!$A:$A, 'kpi nhà thuốc'!$G:$G, IF(AND(OR(C35="DSXC", C35="DSCD", C35="DSBC", C35="DSTV", C35="Q.CHT", C35="BC", C35="DSHV"), G35&gt;=F35), AD35 * _xlfn.IFS(AND(I35&gt;=T35, E35&gt;=D35), 0.015, I35&gt;=T35, 0.013, AND(I35&gt;=S35, E35&gt;=D35), 0.013, I35&gt;=S35, 0.011, AND(I35&gt;=R35, E35&gt;=D35), 0.012, I35&gt;=R35, 0.01, TRUE, 0), 0))</f>
        <v>0</v>
      </c>
      <c r="L35" s="6">
        <f t="shared" ref="L35:L54" si="20">IF(C35="DSTV","", IF(J35&lt;0.6, 0.8, 1))</f>
        <v>0.8</v>
      </c>
      <c r="M35" s="5">
        <f>IFERROR(SUMIF('Dự án T9'!$B:$B, $B35, 'Dự án T9'!$M:$M)*$L35, 0)</f>
        <v>0</v>
      </c>
      <c r="N35" s="15">
        <f t="shared" ref="N35:N54" ca="1" si="21">N(K35)+M35</f>
        <v>0</v>
      </c>
      <c r="O35" s="16">
        <f t="shared" ref="O35:O54" si="22">CEILING(R35, 100000)</f>
        <v>8000000</v>
      </c>
      <c r="P35" s="16">
        <f t="shared" ref="P35:P54" si="23">CEILING(S35, 100000)</f>
        <v>9000000</v>
      </c>
      <c r="Q35" s="16">
        <f t="shared" ref="Q35:Q54" si="24">CEILING(T35, 100000)</f>
        <v>10000000</v>
      </c>
      <c r="R35" s="16">
        <f t="shared" ref="R35:R54" si="25">U35*$R$2</f>
        <v>8000000</v>
      </c>
      <c r="S35" s="16">
        <f t="shared" ref="S35:S54" si="26">U35*$S$2</f>
        <v>9000000</v>
      </c>
      <c r="T35" s="16">
        <f t="shared" ref="T35:T54" si="27">U35*$T$2</f>
        <v>10000000</v>
      </c>
      <c r="U35" s="5">
        <f t="shared" ref="U35:U54" si="28">V35/DAY($C$1)</f>
        <v>10000000</v>
      </c>
      <c r="V35" s="5">
        <v>100000000</v>
      </c>
      <c r="W35" s="4">
        <f>IFERROR(SUMIFS(data!$C:$C, data!$A:$A, $A35, data!$B:$B, $B35), 0)</f>
        <v>152</v>
      </c>
      <c r="X35" s="5">
        <f>IFERROR(SUMIF(data!$B:$B, $B35, data!$D:$D), 0)</f>
        <v>11638400</v>
      </c>
      <c r="Y35" s="5">
        <f t="shared" ref="Y35:Y54" si="29">IF(W35&gt;0, X35/W35, 0)</f>
        <v>76568.421052631573</v>
      </c>
      <c r="Z35" s="4">
        <f>IFERROR(SUMIFS(data!$E:$E, data!$A:$A, $A35, data!$B:$B, $B35), 0)</f>
        <v>53</v>
      </c>
      <c r="AA35" s="5">
        <f>IFERROR(SUMIF(data!$B:$B, $B35, data!$F:$F), 0)</f>
        <v>8111200</v>
      </c>
      <c r="AB35" s="5">
        <f t="shared" ref="AB35:AB54" si="30">IF(Z35&gt;0, AA35/Z35, 0)</f>
        <v>153041.50943396226</v>
      </c>
      <c r="AC35" s="4">
        <f t="shared" ref="AC35:AC54" si="31">W35+Z35</f>
        <v>205</v>
      </c>
      <c r="AD35" s="5">
        <f t="shared" ref="AD35:AD54" si="32">X35+AA35</f>
        <v>19749600</v>
      </c>
      <c r="AE35" s="5">
        <f t="shared" ref="AE35:AE54" si="33">IF(AC35&gt;0, AD35/AC35, 0)</f>
        <v>96339.512195121948</v>
      </c>
      <c r="AF35" s="17"/>
      <c r="AG35" s="17"/>
      <c r="AH35" s="17"/>
      <c r="AI35" s="17"/>
      <c r="AJ35" s="17"/>
      <c r="AK35" s="17"/>
      <c r="AL35" s="17"/>
    </row>
    <row r="36" spans="1:38" ht="13.8" customHeight="1" x14ac:dyDescent="0.3">
      <c r="A36" s="3" t="s">
        <v>48</v>
      </c>
      <c r="B36" s="3" t="s">
        <v>39</v>
      </c>
      <c r="C36" s="6" t="s">
        <v>93</v>
      </c>
      <c r="D36" s="5">
        <v>90000</v>
      </c>
      <c r="E36" s="5">
        <f t="shared" si="17"/>
        <v>129919.37984496124</v>
      </c>
      <c r="F36" s="5">
        <f ca="1">IFERROR(ROUND(_xludf.LET(nt,$A36,nv,$B36,songay,DAY(EOMONTH($C$1,0)),doanhthungay,$I36,duan_nv,SUMIFS('Dự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>0</v>
      </c>
      <c r="G36" s="5">
        <f>IFERROR(SUMIF('Dự án T9'!$B:$B, $B36, 'Dự án T9'!$D:$D), 0)</f>
        <v>572595.5</v>
      </c>
      <c r="H36" s="5">
        <f t="shared" si="18"/>
        <v>4000000</v>
      </c>
      <c r="I36" s="5">
        <f t="shared" si="19"/>
        <v>1675960</v>
      </c>
      <c r="J36" s="14">
        <f>_xlfn.XLOOKUP(B36, 'kpi nhà thuốc'!A:A, 'kpi nhà thuốc'!F:F, (AD36/DAY($C$1))/U36)</f>
        <v>0.21183162790697674</v>
      </c>
      <c r="K36" s="5">
        <f ca="1">_xlfn.XLOOKUP(B36, 'kpi nhà thuốc'!$A:$A, 'kpi nhà thuốc'!$G:$G, IF(AND(OR(C36="DSXC", C36="DSCD", C36="DSBC", C36="DSTV", C36="Q.CHT", C36="BC", C36="DSHV"), G36&gt;=F36), AD36 * _xlfn.IFS(AND(I36&gt;=T36, E36&gt;=D36), 0.015, I36&gt;=T36, 0.013, AND(I36&gt;=S36, E36&gt;=D36), 0.013, I36&gt;=S36, 0.011, AND(I36&gt;=R36, E36&gt;=D36), 0.012, I36&gt;=R36, 0.01, TRUE, 0), 0))</f>
        <v>0</v>
      </c>
      <c r="L36" s="6">
        <f t="shared" si="20"/>
        <v>0.8</v>
      </c>
      <c r="M36" s="5">
        <f>IFERROR(SUMIF('Dự án T9'!$B:$B, $B36, 'Dự án T9'!$M:$M)*$L36, 0)</f>
        <v>0</v>
      </c>
      <c r="N36" s="15">
        <f t="shared" ca="1" si="21"/>
        <v>0</v>
      </c>
      <c r="O36" s="16">
        <f t="shared" si="22"/>
        <v>3200000</v>
      </c>
      <c r="P36" s="16">
        <f t="shared" si="23"/>
        <v>3600000</v>
      </c>
      <c r="Q36" s="16">
        <f t="shared" si="24"/>
        <v>4000000</v>
      </c>
      <c r="R36" s="16">
        <f t="shared" si="25"/>
        <v>3200000</v>
      </c>
      <c r="S36" s="16">
        <f t="shared" si="26"/>
        <v>3600000</v>
      </c>
      <c r="T36" s="16">
        <f t="shared" si="27"/>
        <v>4000000</v>
      </c>
      <c r="U36" s="5">
        <f t="shared" si="28"/>
        <v>4000000</v>
      </c>
      <c r="V36" s="5">
        <v>40000000</v>
      </c>
      <c r="W36" s="4">
        <f>IFERROR(SUMIFS(data!$C:$C, data!$A:$A, $A36, data!$B:$B, $B36), 0)</f>
        <v>103</v>
      </c>
      <c r="X36" s="5">
        <f>IFERROR(SUMIF(data!$B:$B, $B36, data!$D:$D), 0)</f>
        <v>9935300</v>
      </c>
      <c r="Y36" s="5">
        <f t="shared" si="29"/>
        <v>96459.223300970873</v>
      </c>
      <c r="Z36" s="4">
        <f>IFERROR(SUMIFS(data!$E:$E, data!$A:$A, $A36, data!$B:$B, $B36), 0)</f>
        <v>26</v>
      </c>
      <c r="AA36" s="5">
        <f>IFERROR(SUMIF(data!$B:$B, $B36, data!$F:$F), 0)</f>
        <v>6824300</v>
      </c>
      <c r="AB36" s="5">
        <f t="shared" si="30"/>
        <v>262473.07692307694</v>
      </c>
      <c r="AC36" s="4">
        <f t="shared" si="31"/>
        <v>129</v>
      </c>
      <c r="AD36" s="5">
        <f t="shared" si="32"/>
        <v>16759600</v>
      </c>
      <c r="AE36" s="5">
        <f t="shared" si="33"/>
        <v>129919.37984496124</v>
      </c>
      <c r="AF36" s="17"/>
      <c r="AG36" s="17"/>
      <c r="AH36" s="17"/>
      <c r="AI36" s="17"/>
      <c r="AJ36" s="17"/>
      <c r="AK36" s="17"/>
      <c r="AL36" s="17"/>
    </row>
    <row r="37" spans="1:38" ht="13.8" customHeight="1" x14ac:dyDescent="0.3">
      <c r="A37" s="3" t="s">
        <v>48</v>
      </c>
      <c r="B37" s="3" t="s">
        <v>51</v>
      </c>
      <c r="C37" s="6" t="s">
        <v>92</v>
      </c>
      <c r="D37" s="5">
        <v>85000</v>
      </c>
      <c r="E37" s="5">
        <f t="shared" si="17"/>
        <v>72505.747126436778</v>
      </c>
      <c r="F37" s="5">
        <f ca="1">IFERROR(ROUND(_xludf.LET(nt,$A37,nv,$B37,songay,DAY(EOMONTH($C$1,0)),doanhthungay,$I37,duan_nv,SUMIFS('Dự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>0</v>
      </c>
      <c r="G37" s="5">
        <f>IFERROR(SUMIF('Dự án T9'!$B:$B, $B37, 'Dự án T9'!$D:$D), 0)</f>
        <v>599882.6</v>
      </c>
      <c r="H37" s="5">
        <f t="shared" si="18"/>
        <v>5000000</v>
      </c>
      <c r="I37" s="5">
        <f t="shared" si="19"/>
        <v>1261600</v>
      </c>
      <c r="J37" s="14">
        <f>_xlfn.XLOOKUP(B37, 'kpi nhà thuốc'!A:A, 'kpi nhà thuốc'!F:F, (AD37/DAY($C$1))/U37)</f>
        <v>0.25231999999999999</v>
      </c>
      <c r="K37" s="5">
        <f ca="1">_xlfn.XLOOKUP(B37, 'kpi nhà thuốc'!$A:$A, 'kpi nhà thuốc'!$G:$G, IF(AND(OR(C37="DSXC", C37="DSCD", C37="DSBC", C37="DSTV", C37="Q.CHT", C37="BC", C37="DSHV"), G37&gt;=F37), AD37 * _xlfn.IFS(AND(I37&gt;=T37, E37&gt;=D37), 0.015, I37&gt;=T37, 0.013, AND(I37&gt;=S37, E37&gt;=D37), 0.013, I37&gt;=S37, 0.011, AND(I37&gt;=R37, E37&gt;=D37), 0.012, I37&gt;=R37, 0.01, TRUE, 0), 0))</f>
        <v>0</v>
      </c>
      <c r="L37" s="6">
        <f t="shared" si="20"/>
        <v>0.8</v>
      </c>
      <c r="M37" s="5">
        <f>IFERROR(SUMIF('Dự án T9'!$B:$B, $B37, 'Dự án T9'!$M:$M)*$L37, 0)</f>
        <v>0</v>
      </c>
      <c r="N37" s="15">
        <f t="shared" ca="1" si="21"/>
        <v>0</v>
      </c>
      <c r="O37" s="16">
        <f t="shared" si="22"/>
        <v>4000000</v>
      </c>
      <c r="P37" s="16">
        <f t="shared" si="23"/>
        <v>4500000</v>
      </c>
      <c r="Q37" s="16">
        <f t="shared" si="24"/>
        <v>5000000</v>
      </c>
      <c r="R37" s="16">
        <f t="shared" si="25"/>
        <v>4000000</v>
      </c>
      <c r="S37" s="16">
        <f t="shared" si="26"/>
        <v>4500000</v>
      </c>
      <c r="T37" s="16">
        <f t="shared" si="27"/>
        <v>5000000</v>
      </c>
      <c r="U37" s="5">
        <f t="shared" si="28"/>
        <v>5000000</v>
      </c>
      <c r="V37" s="5">
        <v>50000000</v>
      </c>
      <c r="W37" s="4">
        <f>IFERROR(SUMIFS(data!$C:$C, data!$A:$A, $A37, data!$B:$B, $B37), 0)</f>
        <v>138</v>
      </c>
      <c r="X37" s="5">
        <f>IFERROR(SUMIF(data!$B:$B, $B37, data!$D:$D), 0)</f>
        <v>9024500</v>
      </c>
      <c r="Y37" s="5">
        <f t="shared" si="29"/>
        <v>65394.927536231888</v>
      </c>
      <c r="Z37" s="4">
        <f>IFERROR(SUMIFS(data!$E:$E, data!$A:$A, $A37, data!$B:$B, $B37), 0)</f>
        <v>36</v>
      </c>
      <c r="AA37" s="5">
        <f>IFERROR(SUMIF(data!$B:$B, $B37, data!$F:$F), 0)</f>
        <v>3591500</v>
      </c>
      <c r="AB37" s="5">
        <f t="shared" si="30"/>
        <v>99763.888888888891</v>
      </c>
      <c r="AC37" s="4">
        <f t="shared" si="31"/>
        <v>174</v>
      </c>
      <c r="AD37" s="5">
        <f t="shared" si="32"/>
        <v>12616000</v>
      </c>
      <c r="AE37" s="5">
        <f t="shared" si="33"/>
        <v>72505.747126436778</v>
      </c>
      <c r="AF37" s="17"/>
      <c r="AG37" s="17"/>
      <c r="AH37" s="17"/>
      <c r="AI37" s="17"/>
      <c r="AJ37" s="17"/>
      <c r="AK37" s="17"/>
      <c r="AL37" s="17"/>
    </row>
    <row r="38" spans="1:38" ht="13.8" customHeight="1" x14ac:dyDescent="0.3">
      <c r="A38" s="3" t="s">
        <v>48</v>
      </c>
      <c r="B38" s="3" t="s">
        <v>46</v>
      </c>
      <c r="C38" s="6" t="s">
        <v>90</v>
      </c>
      <c r="D38" s="5">
        <v>175467.70491803301</v>
      </c>
      <c r="E38" s="5">
        <f t="shared" si="17"/>
        <v>145543.01675977654</v>
      </c>
      <c r="F38" s="5">
        <f ca="1">IFERROR(ROUND(_xludf.LET(nt,$A38,nv,$B38,songay,DAY(EOMONTH($C$1,0)),doanhthungay,$I38,duan_nv,SUMIFS('Dự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>0</v>
      </c>
      <c r="G38" s="5">
        <f>IFERROR(SUMIF('Dự án T9'!$B:$B, $B38, 'Dự án T9'!$D:$D), 0)</f>
        <v>719215.1</v>
      </c>
      <c r="H38" s="5">
        <f t="shared" si="18"/>
        <v>12000000</v>
      </c>
      <c r="I38" s="5">
        <f t="shared" si="19"/>
        <v>2605220</v>
      </c>
      <c r="J38" s="14">
        <f>_xlfn.XLOOKUP(B38, 'kpi nhà thuốc'!A:A, 'kpi nhà thuốc'!F:F, (AD38/DAY($C$1))/U38)</f>
        <v>0.21710166666666667</v>
      </c>
      <c r="K38" s="5">
        <f ca="1">_xlfn.XLOOKUP(B38, 'kpi nhà thuốc'!$A:$A, 'kpi nhà thuốc'!$G:$G, IF(AND(OR(C38="DSXC", C38="DSCD", C38="DSBC", C38="DSTV", C38="Q.CHT", C38="BC", C38="DSHV"), G38&gt;=F38), AD38 * _xlfn.IFS(AND(I38&gt;=T38, E38&gt;=D38), 0.015, I38&gt;=T38, 0.013, AND(I38&gt;=S38, E38&gt;=D38), 0.013, I38&gt;=S38, 0.011, AND(I38&gt;=R38, E38&gt;=D38), 0.012, I38&gt;=R38, 0.01, TRUE, 0), 0))</f>
        <v>0</v>
      </c>
      <c r="L38" s="6">
        <f t="shared" si="20"/>
        <v>0.8</v>
      </c>
      <c r="M38" s="5">
        <f>IFERROR(SUMIF('Dự án T9'!$B:$B, $B38, 'Dự án T9'!$M:$M)*$L38, 0)</f>
        <v>0</v>
      </c>
      <c r="N38" s="15">
        <f t="shared" ca="1" si="21"/>
        <v>0</v>
      </c>
      <c r="O38" s="16">
        <f t="shared" si="22"/>
        <v>9600000</v>
      </c>
      <c r="P38" s="16">
        <f t="shared" si="23"/>
        <v>10800000</v>
      </c>
      <c r="Q38" s="16">
        <f t="shared" si="24"/>
        <v>12000000</v>
      </c>
      <c r="R38" s="16">
        <f t="shared" si="25"/>
        <v>9600000</v>
      </c>
      <c r="S38" s="16">
        <f t="shared" si="26"/>
        <v>10800000</v>
      </c>
      <c r="T38" s="16">
        <f t="shared" si="27"/>
        <v>12000000</v>
      </c>
      <c r="U38" s="5">
        <f t="shared" si="28"/>
        <v>12000000</v>
      </c>
      <c r="V38" s="5">
        <v>120000000</v>
      </c>
      <c r="W38" s="4">
        <f>IFERROR(SUMIFS(data!$C:$C, data!$A:$A, $A38, data!$B:$B, $B38), 0)</f>
        <v>118</v>
      </c>
      <c r="X38" s="5">
        <f>IFERROR(SUMIF(data!$B:$B, $B38, data!$D:$D), 0)</f>
        <v>13527700</v>
      </c>
      <c r="Y38" s="5">
        <f t="shared" si="29"/>
        <v>114641.52542372882</v>
      </c>
      <c r="Z38" s="4">
        <f>IFERROR(SUMIFS(data!$E:$E, data!$A:$A, $A38, data!$B:$B, $B38), 0)</f>
        <v>61</v>
      </c>
      <c r="AA38" s="5">
        <f>IFERROR(SUMIF(data!$B:$B, $B38, data!$F:$F), 0)</f>
        <v>12524500</v>
      </c>
      <c r="AB38" s="5">
        <f t="shared" si="30"/>
        <v>205319.67213114753</v>
      </c>
      <c r="AC38" s="4">
        <f t="shared" si="31"/>
        <v>179</v>
      </c>
      <c r="AD38" s="5">
        <f t="shared" si="32"/>
        <v>26052200</v>
      </c>
      <c r="AE38" s="5">
        <f t="shared" si="33"/>
        <v>145543.01675977654</v>
      </c>
      <c r="AF38" s="17"/>
      <c r="AG38" s="17"/>
      <c r="AH38" s="17"/>
      <c r="AI38" s="17"/>
      <c r="AJ38" s="17"/>
      <c r="AK38" s="17"/>
      <c r="AL38" s="17"/>
    </row>
    <row r="39" spans="1:38" ht="13.8" customHeight="1" x14ac:dyDescent="0.3">
      <c r="A39" s="3" t="s">
        <v>14</v>
      </c>
      <c r="B39" s="3" t="s">
        <v>16</v>
      </c>
      <c r="C39" s="6" t="s">
        <v>93</v>
      </c>
      <c r="D39" s="5">
        <v>150000</v>
      </c>
      <c r="E39" s="5">
        <f t="shared" si="17"/>
        <v>149471.57534246575</v>
      </c>
      <c r="F39" s="5">
        <f ca="1">IFERROR(ROUND(_xludf.LET(nt,$A39,nv,$B39,songay,DAY(EOMONTH($C$1,0)),doanhthungay,$I39,duan_nv,SUMIFS('Dự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>0</v>
      </c>
      <c r="G39" s="5">
        <f>IFERROR(SUMIF('Dự án T9'!$B:$B, $B39, 'Dự án T9'!$D:$D), 0)</f>
        <v>893612.3</v>
      </c>
      <c r="H39" s="5">
        <f t="shared" si="18"/>
        <v>6600000</v>
      </c>
      <c r="I39" s="5">
        <f t="shared" si="19"/>
        <v>2182285</v>
      </c>
      <c r="J39" s="14">
        <f>_xlfn.XLOOKUP(B39, 'kpi nhà thuốc'!A:A, 'kpi nhà thuốc'!F:F, (AD39/DAY($C$1))/U39)</f>
        <v>0.2273384024577573</v>
      </c>
      <c r="K39" s="5">
        <f ca="1">_xlfn.XLOOKUP(B39, 'kpi nhà thuốc'!$A:$A, 'kpi nhà thuốc'!$G:$G, IF(AND(OR(C39="DSXC", C39="DSCD", C39="DSBC", C39="DSTV", C39="Q.CHT", C39="BC", C39="DSHV"), G39&gt;=F39), AD39 * _xlfn.IFS(AND(I39&gt;=T39, E39&gt;=D39), 0.015, I39&gt;=T39, 0.013, AND(I39&gt;=S39, E39&gt;=D39), 0.013, I39&gt;=S39, 0.011, AND(I39&gt;=R39, E39&gt;=D39), 0.012, I39&gt;=R39, 0.01, TRUE, 0), 0))</f>
        <v>0</v>
      </c>
      <c r="L39" s="6">
        <f t="shared" si="20"/>
        <v>0.8</v>
      </c>
      <c r="M39" s="5">
        <f>IFERROR(SUMIF('Dự án T9'!$B:$B, $B39, 'Dự án T9'!$M:$M)*$L39, 0)</f>
        <v>0</v>
      </c>
      <c r="N39" s="15">
        <f t="shared" ca="1" si="21"/>
        <v>0</v>
      </c>
      <c r="O39" s="16">
        <f t="shared" si="22"/>
        <v>5300000</v>
      </c>
      <c r="P39" s="16">
        <f t="shared" si="23"/>
        <v>5900000</v>
      </c>
      <c r="Q39" s="16">
        <f t="shared" si="24"/>
        <v>6600000</v>
      </c>
      <c r="R39" s="16">
        <f t="shared" si="25"/>
        <v>5208000</v>
      </c>
      <c r="S39" s="16">
        <f t="shared" si="26"/>
        <v>5859000</v>
      </c>
      <c r="T39" s="16">
        <f t="shared" si="27"/>
        <v>6510000</v>
      </c>
      <c r="U39" s="5">
        <f t="shared" si="28"/>
        <v>6510000</v>
      </c>
      <c r="V39" s="5">
        <v>65100000</v>
      </c>
      <c r="W39" s="4">
        <f>IFERROR(SUMIFS(data!$C:$C, data!$A:$A, $A39, data!$B:$B, $B39), 0)</f>
        <v>97</v>
      </c>
      <c r="X39" s="5">
        <f>IFERROR(SUMIF(data!$B:$B, $B39, data!$D:$D), 0)</f>
        <v>10838800</v>
      </c>
      <c r="Y39" s="5">
        <f t="shared" si="29"/>
        <v>111740.206185567</v>
      </c>
      <c r="Z39" s="4">
        <f>IFERROR(SUMIFS(data!$E:$E, data!$A:$A, $A39, data!$B:$B, $B39), 0)</f>
        <v>49</v>
      </c>
      <c r="AA39" s="5">
        <f>IFERROR(SUMIF(data!$B:$B, $B39, data!$F:$F), 0)</f>
        <v>10984050</v>
      </c>
      <c r="AB39" s="5">
        <f t="shared" si="30"/>
        <v>224164.28571428571</v>
      </c>
      <c r="AC39" s="4">
        <f t="shared" si="31"/>
        <v>146</v>
      </c>
      <c r="AD39" s="5">
        <f t="shared" si="32"/>
        <v>21822850</v>
      </c>
      <c r="AE39" s="5">
        <f t="shared" si="33"/>
        <v>149471.57534246575</v>
      </c>
      <c r="AF39" s="17"/>
      <c r="AG39" s="17"/>
      <c r="AH39" s="17"/>
      <c r="AI39" s="17"/>
      <c r="AJ39" s="17"/>
      <c r="AK39" s="17"/>
      <c r="AL39" s="17"/>
    </row>
    <row r="40" spans="1:38" ht="13.8" customHeight="1" x14ac:dyDescent="0.3">
      <c r="A40" s="3" t="s">
        <v>14</v>
      </c>
      <c r="B40" s="3" t="s">
        <v>17</v>
      </c>
      <c r="C40" s="6" t="s">
        <v>92</v>
      </c>
      <c r="D40" s="5">
        <v>150000</v>
      </c>
      <c r="E40" s="5">
        <f t="shared" si="17"/>
        <v>102068.67469879518</v>
      </c>
      <c r="F40" s="5">
        <f ca="1">IFERROR(ROUND(_xludf.LET(nt,$A40,nv,$B40,songay,DAY(EOMONTH($C$1,0)),doanhthungay,$I40,duan_nv,SUMIFS('Dự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>0</v>
      </c>
      <c r="G40" s="5">
        <f>IFERROR(SUMIF('Dự án T9'!$B:$B, $B40, 'Dự án T9'!$D:$D), 0)</f>
        <v>742055</v>
      </c>
      <c r="H40" s="5">
        <f t="shared" si="18"/>
        <v>6600000</v>
      </c>
      <c r="I40" s="5">
        <f t="shared" si="19"/>
        <v>1694340</v>
      </c>
      <c r="J40" s="14">
        <f>_xlfn.XLOOKUP(B40, 'kpi nhà thuốc'!A:A, 'kpi nhà thuốc'!F:F, (AD40/DAY($C$1))/U40)</f>
        <v>0.26026728110599079</v>
      </c>
      <c r="K40" s="5">
        <f ca="1">_xlfn.XLOOKUP(B40, 'kpi nhà thuốc'!$A:$A, 'kpi nhà thuốc'!$G:$G, IF(AND(OR(C40="DSXC", C40="DSCD", C40="DSBC", C40="DSTV", C40="Q.CHT", C40="BC", C40="DSHV"), G40&gt;=F40), AD40 * _xlfn.IFS(AND(I40&gt;=T40, E40&gt;=D40), 0.015, I40&gt;=T40, 0.013, AND(I40&gt;=S40, E40&gt;=D40), 0.013, I40&gt;=S40, 0.011, AND(I40&gt;=R40, E40&gt;=D40), 0.012, I40&gt;=R40, 0.01, TRUE, 0), 0))</f>
        <v>0</v>
      </c>
      <c r="L40" s="6">
        <f t="shared" si="20"/>
        <v>0.8</v>
      </c>
      <c r="M40" s="5">
        <f>IFERROR(SUMIF('Dự án T9'!$B:$B, $B40, 'Dự án T9'!$M:$M)*$L40, 0)</f>
        <v>0</v>
      </c>
      <c r="N40" s="15">
        <f t="shared" ca="1" si="21"/>
        <v>0</v>
      </c>
      <c r="O40" s="16">
        <f t="shared" si="22"/>
        <v>5300000</v>
      </c>
      <c r="P40" s="16">
        <f t="shared" si="23"/>
        <v>5900000</v>
      </c>
      <c r="Q40" s="16">
        <f t="shared" si="24"/>
        <v>6600000</v>
      </c>
      <c r="R40" s="16">
        <f t="shared" si="25"/>
        <v>5208000</v>
      </c>
      <c r="S40" s="16">
        <f t="shared" si="26"/>
        <v>5859000</v>
      </c>
      <c r="T40" s="16">
        <f t="shared" si="27"/>
        <v>6510000</v>
      </c>
      <c r="U40" s="5">
        <f t="shared" si="28"/>
        <v>6510000</v>
      </c>
      <c r="V40" s="5">
        <v>65100000</v>
      </c>
      <c r="W40" s="4">
        <f>IFERROR(SUMIFS(data!$C:$C, data!$A:$A, $A40, data!$B:$B, $B40), 0)</f>
        <v>119</v>
      </c>
      <c r="X40" s="5">
        <f>IFERROR(SUMIF(data!$B:$B, $B40, data!$D:$D), 0)</f>
        <v>9274600</v>
      </c>
      <c r="Y40" s="5">
        <f t="shared" si="29"/>
        <v>77937.815126050424</v>
      </c>
      <c r="Z40" s="4">
        <f>IFERROR(SUMIFS(data!$E:$E, data!$A:$A, $A40, data!$B:$B, $B40), 0)</f>
        <v>47</v>
      </c>
      <c r="AA40" s="5">
        <f>IFERROR(SUMIF(data!$B:$B, $B40, data!$F:$F), 0)</f>
        <v>7668800</v>
      </c>
      <c r="AB40" s="5">
        <f t="shared" si="30"/>
        <v>163165.95744680852</v>
      </c>
      <c r="AC40" s="4">
        <f t="shared" si="31"/>
        <v>166</v>
      </c>
      <c r="AD40" s="5">
        <f t="shared" si="32"/>
        <v>16943400</v>
      </c>
      <c r="AE40" s="5">
        <f t="shared" si="33"/>
        <v>102068.67469879518</v>
      </c>
      <c r="AF40" s="17"/>
      <c r="AG40" s="17"/>
      <c r="AH40" s="17"/>
      <c r="AI40" s="17"/>
      <c r="AJ40" s="17"/>
      <c r="AK40" s="17"/>
      <c r="AL40" s="17"/>
    </row>
    <row r="41" spans="1:38" ht="13.8" customHeight="1" x14ac:dyDescent="0.3">
      <c r="A41" s="3" t="s">
        <v>14</v>
      </c>
      <c r="B41" s="3" t="s">
        <v>20</v>
      </c>
      <c r="C41" s="6" t="s">
        <v>95</v>
      </c>
      <c r="D41" s="5">
        <v>150000</v>
      </c>
      <c r="E41" s="5">
        <f t="shared" si="17"/>
        <v>95710.526315789481</v>
      </c>
      <c r="F41" s="5">
        <f ca="1">IFERROR(ROUND(_xludf.LET(nt,$A41,nv,$B41,songay,DAY(EOMONTH($C$1,0)),doanhthungay,$I41,duan_nv,SUMIFS('Dự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>0</v>
      </c>
      <c r="G41" s="5">
        <f>IFERROR(SUMIF('Dự án T9'!$B:$B, $B41, 'Dự án T9'!$D:$D), 0)</f>
        <v>544083.69999999995</v>
      </c>
      <c r="H41" s="5">
        <f t="shared" si="18"/>
        <v>6600000</v>
      </c>
      <c r="I41" s="5">
        <f t="shared" si="19"/>
        <v>1091100</v>
      </c>
      <c r="J41" s="14">
        <f>_xlfn.XLOOKUP(B41, 'kpi nhà thuốc'!A:A, 'kpi nhà thuốc'!F:F, (AD41/DAY($C$1))/U41)</f>
        <v>0.16760368663594469</v>
      </c>
      <c r="K41" s="5">
        <f ca="1">_xlfn.XLOOKUP(B41, 'kpi nhà thuốc'!$A:$A, 'kpi nhà thuốc'!$G:$G, IF(AND(OR(C41="DSXC", C41="DSCD", C41="DSBC", C41="DSTV", C41="Q.CHT", C41="BC", C41="DSHV"), G41&gt;=F41), AD41 * _xlfn.IFS(AND(I41&gt;=T41, E41&gt;=D41), 0.015, I41&gt;=T41, 0.013, AND(I41&gt;=S41, E41&gt;=D41), 0.013, I41&gt;=S41, 0.011, AND(I41&gt;=R41, E41&gt;=D41), 0.012, I41&gt;=R41, 0.01, TRUE, 0), 0))</f>
        <v>0</v>
      </c>
      <c r="L41" s="6">
        <f t="shared" si="20"/>
        <v>0.8</v>
      </c>
      <c r="M41" s="5">
        <f>IFERROR(SUMIF('Dự án T9'!$B:$B, $B41, 'Dự án T9'!$M:$M)*$L41, 0)</f>
        <v>0</v>
      </c>
      <c r="N41" s="15">
        <f t="shared" ca="1" si="21"/>
        <v>0</v>
      </c>
      <c r="O41" s="16">
        <f t="shared" si="22"/>
        <v>5300000</v>
      </c>
      <c r="P41" s="16">
        <f t="shared" si="23"/>
        <v>5900000</v>
      </c>
      <c r="Q41" s="16">
        <f t="shared" si="24"/>
        <v>6600000</v>
      </c>
      <c r="R41" s="16">
        <f t="shared" si="25"/>
        <v>5208000</v>
      </c>
      <c r="S41" s="16">
        <f t="shared" si="26"/>
        <v>5859000</v>
      </c>
      <c r="T41" s="16">
        <f t="shared" si="27"/>
        <v>6510000</v>
      </c>
      <c r="U41" s="5">
        <f t="shared" si="28"/>
        <v>6510000</v>
      </c>
      <c r="V41" s="5">
        <v>65100000</v>
      </c>
      <c r="W41" s="4">
        <f>IFERROR(SUMIFS(data!$C:$C, data!$A:$A, $A41, data!$B:$B, $B41), 0)</f>
        <v>71</v>
      </c>
      <c r="X41" s="5">
        <f>IFERROR(SUMIF(data!$B:$B, $B41, data!$D:$D), 0)</f>
        <v>5564400</v>
      </c>
      <c r="Y41" s="5">
        <f t="shared" si="29"/>
        <v>78371.830985915498</v>
      </c>
      <c r="Z41" s="4">
        <f>IFERROR(SUMIFS(data!$E:$E, data!$A:$A, $A41, data!$B:$B, $B41), 0)</f>
        <v>43</v>
      </c>
      <c r="AA41" s="5">
        <f>IFERROR(SUMIF(data!$B:$B, $B41, data!$F:$F), 0)</f>
        <v>5346600</v>
      </c>
      <c r="AB41" s="5">
        <f t="shared" si="30"/>
        <v>124339.53488372093</v>
      </c>
      <c r="AC41" s="4">
        <f t="shared" si="31"/>
        <v>114</v>
      </c>
      <c r="AD41" s="5">
        <f t="shared" si="32"/>
        <v>10911000</v>
      </c>
      <c r="AE41" s="5">
        <f t="shared" si="33"/>
        <v>95710.526315789481</v>
      </c>
      <c r="AF41" s="17"/>
      <c r="AG41" s="17"/>
      <c r="AH41" s="17"/>
      <c r="AI41" s="17"/>
      <c r="AJ41" s="17"/>
      <c r="AK41" s="17"/>
      <c r="AL41" s="17"/>
    </row>
    <row r="42" spans="1:38" ht="13.8" customHeight="1" x14ac:dyDescent="0.3">
      <c r="A42" s="3" t="s">
        <v>14</v>
      </c>
      <c r="B42" s="3" t="s">
        <v>15</v>
      </c>
      <c r="C42" s="6" t="s">
        <v>90</v>
      </c>
      <c r="D42" s="5">
        <v>150000</v>
      </c>
      <c r="E42" s="5">
        <f t="shared" si="17"/>
        <v>248552.02702702704</v>
      </c>
      <c r="F42" s="5">
        <f ca="1">IFERROR(ROUND(_xludf.LET(nt,$A42,nv,$B42,songay,DAY(EOMONTH($C$1,0)),doanhthungay,$I42,duan_nv,SUMIFS('Dự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>0</v>
      </c>
      <c r="G42" s="5">
        <f>IFERROR(SUMIF('Dự án T9'!$B:$B, $B42, 'Dự án T9'!$D:$D), 0)</f>
        <v>1477612.9</v>
      </c>
      <c r="H42" s="5">
        <f t="shared" si="18"/>
        <v>6600000</v>
      </c>
      <c r="I42" s="5">
        <f t="shared" si="19"/>
        <v>3678570</v>
      </c>
      <c r="J42" s="14">
        <f>_xlfn.XLOOKUP(B42, 'kpi nhà thuốc'!A:A, 'kpi nhà thuốc'!F:F, (AD42/DAY($C$1))/U42)</f>
        <v>0.5650645161290323</v>
      </c>
      <c r="K42" s="5">
        <f ca="1">_xlfn.XLOOKUP(B42, 'kpi nhà thuốc'!$A:$A, 'kpi nhà thuốc'!$G:$G, IF(AND(OR(C42="DSXC", C42="DSCD", C42="DSBC", C42="DSTV", C42="Q.CHT", C42="BC", C42="DSHV"), G42&gt;=F42), AD42 * _xlfn.IFS(AND(I42&gt;=T42, E42&gt;=D42), 0.015, I42&gt;=T42, 0.013, AND(I42&gt;=S42, E42&gt;=D42), 0.013, I42&gt;=S42, 0.011, AND(I42&gt;=R42, E42&gt;=D42), 0.012, I42&gt;=R42, 0.01, TRUE, 0), 0))</f>
        <v>0</v>
      </c>
      <c r="L42" s="6">
        <f t="shared" si="20"/>
        <v>0.8</v>
      </c>
      <c r="M42" s="5">
        <f>IFERROR(SUMIF('Dự án T9'!$B:$B, $B42, 'Dự án T9'!$M:$M)*$L42, 0)</f>
        <v>800000</v>
      </c>
      <c r="N42" s="15">
        <f t="shared" ca="1" si="21"/>
        <v>800000</v>
      </c>
      <c r="O42" s="16">
        <f t="shared" si="22"/>
        <v>5300000</v>
      </c>
      <c r="P42" s="16">
        <f t="shared" si="23"/>
        <v>5900000</v>
      </c>
      <c r="Q42" s="16">
        <f t="shared" si="24"/>
        <v>6600000</v>
      </c>
      <c r="R42" s="16">
        <f t="shared" si="25"/>
        <v>5208000</v>
      </c>
      <c r="S42" s="16">
        <f t="shared" si="26"/>
        <v>5859000</v>
      </c>
      <c r="T42" s="16">
        <f t="shared" si="27"/>
        <v>6510000</v>
      </c>
      <c r="U42" s="5">
        <f t="shared" si="28"/>
        <v>6510000</v>
      </c>
      <c r="V42" s="5">
        <v>65100000</v>
      </c>
      <c r="W42" s="4">
        <f>IFERROR(SUMIFS(data!$C:$C, data!$A:$A, $A42, data!$B:$B, $B42), 0)</f>
        <v>86</v>
      </c>
      <c r="X42" s="5">
        <f>IFERROR(SUMIF(data!$B:$B, $B42, data!$D:$D), 0)</f>
        <v>16554400</v>
      </c>
      <c r="Y42" s="5">
        <f t="shared" si="29"/>
        <v>192493.02325581395</v>
      </c>
      <c r="Z42" s="4">
        <f>IFERROR(SUMIFS(data!$E:$E, data!$A:$A, $A42, data!$B:$B, $B42), 0)</f>
        <v>62</v>
      </c>
      <c r="AA42" s="5">
        <f>IFERROR(SUMIF(data!$B:$B, $B42, data!$F:$F), 0)</f>
        <v>20231300</v>
      </c>
      <c r="AB42" s="5">
        <f t="shared" si="30"/>
        <v>326311.29032258067</v>
      </c>
      <c r="AC42" s="4">
        <f t="shared" si="31"/>
        <v>148</v>
      </c>
      <c r="AD42" s="5">
        <f t="shared" si="32"/>
        <v>36785700</v>
      </c>
      <c r="AE42" s="5">
        <f t="shared" si="33"/>
        <v>248552.02702702704</v>
      </c>
      <c r="AF42" s="17"/>
      <c r="AG42" s="17"/>
      <c r="AH42" s="17"/>
      <c r="AI42" s="17"/>
      <c r="AJ42" s="17"/>
      <c r="AK42" s="17"/>
      <c r="AL42" s="17"/>
    </row>
    <row r="43" spans="1:38" ht="13.8" customHeight="1" x14ac:dyDescent="0.3">
      <c r="A43" s="3" t="s">
        <v>14</v>
      </c>
      <c r="B43" s="3" t="s">
        <v>97</v>
      </c>
      <c r="C43" s="6" t="s">
        <v>95</v>
      </c>
      <c r="D43" s="5">
        <v>150000</v>
      </c>
      <c r="E43" s="5">
        <f t="shared" si="17"/>
        <v>0</v>
      </c>
      <c r="F43" s="5">
        <f ca="1">IFERROR(ROUND(_xludf.LET(nt,$A43,nv,$B43,songay,DAY(EOMONTH($C$1,0)),doanhthungay,$I43,duan_nv,SUMIFS('Dự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>0</v>
      </c>
      <c r="G43" s="5">
        <f>IFERROR(SUMIF('Dự án T9'!$B:$B, $B43, 'Dự án T9'!$D:$D), 0)</f>
        <v>0</v>
      </c>
      <c r="H43" s="5">
        <f t="shared" si="18"/>
        <v>6600000</v>
      </c>
      <c r="I43" s="5">
        <f t="shared" si="19"/>
        <v>0</v>
      </c>
      <c r="J43" s="14">
        <f>_xlfn.XLOOKUP(B43, 'kpi nhà thuốc'!A:A, 'kpi nhà thuốc'!F:F, (AD43/DAY($C$1))/U43)</f>
        <v>0</v>
      </c>
      <c r="K43" s="5">
        <f ca="1">_xlfn.XLOOKUP(B43, 'kpi nhà thuốc'!$A:$A, 'kpi nhà thuốc'!$G:$G, IF(AND(OR(C43="DSXC", C43="DSCD", C43="DSBC", C43="DSTV", C43="Q.CHT", C43="BC", C43="DSHV"), G43&gt;=F43), AD43 * _xlfn.IFS(AND(I43&gt;=T43, E43&gt;=D43), 0.015, I43&gt;=T43, 0.013, AND(I43&gt;=S43, E43&gt;=D43), 0.013, I43&gt;=S43, 0.011, AND(I43&gt;=R43, E43&gt;=D43), 0.012, I43&gt;=R43, 0.01, TRUE, 0), 0))</f>
        <v>0</v>
      </c>
      <c r="L43" s="6">
        <f t="shared" si="20"/>
        <v>0.8</v>
      </c>
      <c r="M43" s="5">
        <f>IFERROR(SUMIF('Dự án T9'!$B:$B, $B43, 'Dự án T9'!$M:$M)*$L43, 0)</f>
        <v>0</v>
      </c>
      <c r="N43" s="15">
        <f t="shared" ca="1" si="21"/>
        <v>0</v>
      </c>
      <c r="O43" s="16">
        <f t="shared" si="22"/>
        <v>5300000</v>
      </c>
      <c r="P43" s="16">
        <f t="shared" si="23"/>
        <v>5900000</v>
      </c>
      <c r="Q43" s="16">
        <f t="shared" si="24"/>
        <v>6600000</v>
      </c>
      <c r="R43" s="16">
        <f t="shared" si="25"/>
        <v>5208000</v>
      </c>
      <c r="S43" s="16">
        <f t="shared" si="26"/>
        <v>5859000</v>
      </c>
      <c r="T43" s="16">
        <f t="shared" si="27"/>
        <v>6510000</v>
      </c>
      <c r="U43" s="5">
        <f t="shared" si="28"/>
        <v>6510000</v>
      </c>
      <c r="V43" s="5">
        <v>65100000</v>
      </c>
      <c r="W43" s="4">
        <f>IFERROR(SUMIFS(data!$C:$C, data!$A:$A, $A43, data!$B:$B, $B43), 0)</f>
        <v>0</v>
      </c>
      <c r="X43" s="5">
        <f>IFERROR(SUMIF(data!$B:$B, $B43, data!$D:$D), 0)</f>
        <v>0</v>
      </c>
      <c r="Y43" s="5">
        <f t="shared" si="29"/>
        <v>0</v>
      </c>
      <c r="Z43" s="4">
        <f>IFERROR(SUMIFS(data!$E:$E, data!$A:$A, $A43, data!$B:$B, $B43), 0)</f>
        <v>0</v>
      </c>
      <c r="AA43" s="5">
        <f>IFERROR(SUMIF(data!$B:$B, $B43, data!$F:$F), 0)</f>
        <v>0</v>
      </c>
      <c r="AB43" s="5">
        <f t="shared" si="30"/>
        <v>0</v>
      </c>
      <c r="AC43" s="4">
        <f t="shared" si="31"/>
        <v>0</v>
      </c>
      <c r="AD43" s="5">
        <f t="shared" si="32"/>
        <v>0</v>
      </c>
      <c r="AE43" s="5">
        <f t="shared" si="33"/>
        <v>0</v>
      </c>
      <c r="AF43" s="17"/>
      <c r="AG43" s="17"/>
      <c r="AH43" s="17"/>
      <c r="AI43" s="17"/>
      <c r="AJ43" s="17"/>
      <c r="AK43" s="17"/>
      <c r="AL43" s="17"/>
    </row>
    <row r="44" spans="1:38" ht="13.8" customHeight="1" x14ac:dyDescent="0.3">
      <c r="A44" s="3" t="s">
        <v>8</v>
      </c>
      <c r="B44" s="3" t="s">
        <v>12</v>
      </c>
      <c r="C44" s="6" t="s">
        <v>93</v>
      </c>
      <c r="D44" s="5">
        <v>187790</v>
      </c>
      <c r="E44" s="5">
        <f t="shared" si="17"/>
        <v>206658.78504672897</v>
      </c>
      <c r="F44" s="5">
        <f ca="1">IFERROR(ROUND(_xludf.LET(nt,$A44,nv,$B44,songay,DAY(EOMONTH($C$1,0)),doanhthungay,$I44,duan_nv,SUMIFS('Dự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>0</v>
      </c>
      <c r="G44" s="5">
        <f>IFERROR(SUMIF('Dự án T9'!$B:$B, $B44, 'Dự án T9'!$D:$D), 0)</f>
        <v>2392864.9</v>
      </c>
      <c r="H44" s="5">
        <f t="shared" si="18"/>
        <v>25000000</v>
      </c>
      <c r="I44" s="5">
        <f t="shared" si="19"/>
        <v>4422498</v>
      </c>
      <c r="J44" s="14">
        <f>_xlfn.XLOOKUP(B44, 'kpi nhà thuốc'!A:A, 'kpi nhà thuốc'!F:F, (AD44/DAY($C$1))/U44)</f>
        <v>0.22283363037037038</v>
      </c>
      <c r="K44" s="5">
        <f ca="1">_xlfn.XLOOKUP(B44, 'kpi nhà thuốc'!$A:$A, 'kpi nhà thuốc'!$G:$G, IF(AND(OR(C44="DSXC", C44="DSCD", C44="DSBC", C44="DSTV", C44="Q.CHT", C44="BC", C44="DSHV"), G44&gt;=F44), AD44 * _xlfn.IFS(AND(I44&gt;=T44, E44&gt;=D44), 0.015, I44&gt;=T44, 0.013, AND(I44&gt;=S44, E44&gt;=D44), 0.013, I44&gt;=S44, 0.011, AND(I44&gt;=R44, E44&gt;=D44), 0.012, I44&gt;=R44, 0.01, TRUE, 0), 0))</f>
        <v>0</v>
      </c>
      <c r="L44" s="6">
        <f t="shared" si="20"/>
        <v>0.8</v>
      </c>
      <c r="M44" s="5">
        <f>IFERROR(SUMIF('Dự án T9'!$B:$B, $B44, 'Dự án T9'!$M:$M)*$L44, 0)</f>
        <v>440000</v>
      </c>
      <c r="N44" s="15">
        <f t="shared" ca="1" si="21"/>
        <v>440000</v>
      </c>
      <c r="O44" s="16">
        <f t="shared" si="22"/>
        <v>20000000</v>
      </c>
      <c r="P44" s="16">
        <f t="shared" si="23"/>
        <v>22500000</v>
      </c>
      <c r="Q44" s="16">
        <f t="shared" si="24"/>
        <v>25000000</v>
      </c>
      <c r="R44" s="16">
        <f t="shared" si="25"/>
        <v>20000000</v>
      </c>
      <c r="S44" s="16">
        <f t="shared" si="26"/>
        <v>22500000</v>
      </c>
      <c r="T44" s="16">
        <f t="shared" si="27"/>
        <v>25000000</v>
      </c>
      <c r="U44" s="5">
        <f t="shared" si="28"/>
        <v>25000000</v>
      </c>
      <c r="V44" s="5">
        <v>250000000</v>
      </c>
      <c r="W44" s="4">
        <f>IFERROR(SUMIFS(data!$C:$C, data!$A:$A, $A44, data!$B:$B, $B44), 0)</f>
        <v>180</v>
      </c>
      <c r="X44" s="5">
        <f>IFERROR(SUMIF(data!$B:$B, $B44, data!$D:$D), 0)</f>
        <v>37379380</v>
      </c>
      <c r="Y44" s="5">
        <f t="shared" si="29"/>
        <v>207663.22222222222</v>
      </c>
      <c r="Z44" s="4">
        <f>IFERROR(SUMIFS(data!$E:$E, data!$A:$A, $A44, data!$B:$B, $B44), 0)</f>
        <v>34</v>
      </c>
      <c r="AA44" s="5">
        <f>IFERROR(SUMIF(data!$B:$B, $B44, data!$F:$F), 0)</f>
        <v>6845600</v>
      </c>
      <c r="AB44" s="5">
        <f t="shared" si="30"/>
        <v>201341.17647058822</v>
      </c>
      <c r="AC44" s="4">
        <f t="shared" si="31"/>
        <v>214</v>
      </c>
      <c r="AD44" s="5">
        <f t="shared" si="32"/>
        <v>44224980</v>
      </c>
      <c r="AE44" s="5">
        <f t="shared" si="33"/>
        <v>206658.78504672897</v>
      </c>
      <c r="AF44" s="17"/>
      <c r="AG44" s="17"/>
      <c r="AH44" s="17"/>
      <c r="AI44" s="17"/>
      <c r="AJ44" s="17"/>
      <c r="AK44" s="17"/>
      <c r="AL44" s="17"/>
    </row>
    <row r="45" spans="1:38" ht="13.8" customHeight="1" x14ac:dyDescent="0.3">
      <c r="A45" s="3" t="s">
        <v>8</v>
      </c>
      <c r="B45" s="3" t="s">
        <v>10</v>
      </c>
      <c r="C45" s="6" t="s">
        <v>98</v>
      </c>
      <c r="D45" s="5">
        <v>326285</v>
      </c>
      <c r="E45" s="5">
        <f t="shared" si="17"/>
        <v>315754.21825396823</v>
      </c>
      <c r="F45" s="5">
        <f ca="1">IFERROR(ROUND(_xludf.LET(nt,$A45,nv,$B45,songay,DAY(EOMONTH($C$1,0)),doanhthungay,$I45,duan_nv,SUMIFS('Dự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>0</v>
      </c>
      <c r="G45" s="5">
        <f>IFERROR(SUMIF('Dự án T9'!$B:$B, $B45, 'Dự án T9'!$D:$D), 0)</f>
        <v>3403750.6</v>
      </c>
      <c r="H45" s="5">
        <f t="shared" si="18"/>
        <v>30000000</v>
      </c>
      <c r="I45" s="5">
        <f t="shared" si="19"/>
        <v>7957006.2999999998</v>
      </c>
      <c r="J45" s="14">
        <f>_xlfn.XLOOKUP(B45, 'kpi nhà thuốc'!A:A, 'kpi nhà thuốc'!F:F, (AD45/DAY($C$1))/U45)</f>
        <v>0.26523354333333332</v>
      </c>
      <c r="K45" s="5">
        <f ca="1">_xlfn.XLOOKUP(B45, 'kpi nhà thuốc'!$A:$A, 'kpi nhà thuốc'!$G:$G, IF(AND(OR(C45="DSXC", C45="DSCD", C45="DSBC", C45="DSTV", C45="Q.CHT", C45="BC", C45="DSHV"), G45&gt;=F45), AD45 * _xlfn.IFS(AND(I45&gt;=T45, E45&gt;=D45), 0.015, I45&gt;=T45, 0.013, AND(I45&gt;=S45, E45&gt;=D45), 0.013, I45&gt;=S45, 0.011, AND(I45&gt;=R45, E45&gt;=D45), 0.012, I45&gt;=R45, 0.01, TRUE, 0), 0))</f>
        <v>0</v>
      </c>
      <c r="L45" s="6">
        <f t="shared" si="20"/>
        <v>0.8</v>
      </c>
      <c r="M45" s="5">
        <f>IFERROR(SUMIF('Dự án T9'!$B:$B, $B45, 'Dự án T9'!$M:$M)*$L45, 0)</f>
        <v>680000</v>
      </c>
      <c r="N45" s="15">
        <f t="shared" ca="1" si="21"/>
        <v>680000</v>
      </c>
      <c r="O45" s="16">
        <f t="shared" si="22"/>
        <v>24000000</v>
      </c>
      <c r="P45" s="16">
        <f t="shared" si="23"/>
        <v>27000000</v>
      </c>
      <c r="Q45" s="16">
        <f t="shared" si="24"/>
        <v>30000000</v>
      </c>
      <c r="R45" s="16">
        <f t="shared" si="25"/>
        <v>24000000</v>
      </c>
      <c r="S45" s="16">
        <f t="shared" si="26"/>
        <v>27000000</v>
      </c>
      <c r="T45" s="16">
        <f t="shared" si="27"/>
        <v>30000000</v>
      </c>
      <c r="U45" s="5">
        <f t="shared" si="28"/>
        <v>30000000</v>
      </c>
      <c r="V45" s="5">
        <v>300000000</v>
      </c>
      <c r="W45" s="4">
        <f>IFERROR(SUMIFS(data!$C:$C, data!$A:$A, $A45, data!$B:$B, $B45), 0)</f>
        <v>205</v>
      </c>
      <c r="X45" s="5">
        <f>IFERROR(SUMIF(data!$B:$B, $B45, data!$D:$D), 0)</f>
        <v>69518430</v>
      </c>
      <c r="Y45" s="5">
        <f t="shared" si="29"/>
        <v>339114.29268292681</v>
      </c>
      <c r="Z45" s="4">
        <f>IFERROR(SUMIFS(data!$E:$E, data!$A:$A, $A45, data!$B:$B, $B45), 0)</f>
        <v>47</v>
      </c>
      <c r="AA45" s="5">
        <f>IFERROR(SUMIF(data!$B:$B, $B45, data!$F:$F), 0)</f>
        <v>10051633</v>
      </c>
      <c r="AB45" s="5">
        <f t="shared" si="30"/>
        <v>213864.53191489363</v>
      </c>
      <c r="AC45" s="4">
        <f t="shared" si="31"/>
        <v>252</v>
      </c>
      <c r="AD45" s="5">
        <f t="shared" si="32"/>
        <v>79570063</v>
      </c>
      <c r="AE45" s="5">
        <f t="shared" si="33"/>
        <v>315754.21825396823</v>
      </c>
      <c r="AF45" s="17"/>
      <c r="AG45" s="17"/>
      <c r="AH45" s="17"/>
      <c r="AI45" s="17"/>
      <c r="AJ45" s="17"/>
      <c r="AK45" s="17"/>
      <c r="AL45" s="17"/>
    </row>
    <row r="46" spans="1:38" ht="13.8" customHeight="1" x14ac:dyDescent="0.3">
      <c r="A46" s="3" t="s">
        <v>8</v>
      </c>
      <c r="B46" s="3" t="s">
        <v>9</v>
      </c>
      <c r="C46" s="6" t="s">
        <v>98</v>
      </c>
      <c r="D46" s="5">
        <v>173037</v>
      </c>
      <c r="E46" s="5">
        <f t="shared" si="17"/>
        <v>159677.4668367347</v>
      </c>
      <c r="F46" s="5">
        <f ca="1">IFERROR(ROUND(_xludf.LET(nt,$A46,nv,$B46,songay,DAY(EOMONTH($C$1,0)),doanhthungay,$I46,duan_nv,SUMIFS('Dự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>0</v>
      </c>
      <c r="G46" s="5">
        <f>IFERROR(SUMIF('Dự án T9'!$B:$B, $B46, 'Dự án T9'!$D:$D), 0)</f>
        <v>2195912.6</v>
      </c>
      <c r="H46" s="5">
        <f t="shared" si="18"/>
        <v>25000000</v>
      </c>
      <c r="I46" s="5">
        <f t="shared" si="19"/>
        <v>6259356.7000000002</v>
      </c>
      <c r="J46" s="14">
        <f>_xlfn.XLOOKUP(B46, 'kpi nhà thuốc'!A:A, 'kpi nhà thuốc'!F:F, (AD46/DAY($C$1))/U46)</f>
        <v>0.25037426800000001</v>
      </c>
      <c r="K46" s="5">
        <f ca="1">_xlfn.XLOOKUP(B46, 'kpi nhà thuốc'!$A:$A, 'kpi nhà thuốc'!$G:$G, IF(AND(OR(C46="DSXC", C46="DSCD", C46="DSBC", C46="DSTV", C46="Q.CHT", C46="BC", C46="DSHV"), G46&gt;=F46), AD46 * _xlfn.IFS(AND(I46&gt;=T46, E46&gt;=D46), 0.015, I46&gt;=T46, 0.013, AND(I46&gt;=S46, E46&gt;=D46), 0.013, I46&gt;=S46, 0.011, AND(I46&gt;=R46, E46&gt;=D46), 0.012, I46&gt;=R46, 0.01, TRUE, 0), 0))</f>
        <v>0</v>
      </c>
      <c r="L46" s="6">
        <f t="shared" si="20"/>
        <v>0.8</v>
      </c>
      <c r="M46" s="5">
        <f>IFERROR(SUMIF('Dự án T9'!$B:$B, $B46, 'Dự án T9'!$M:$M)*$L46, 0)</f>
        <v>400000</v>
      </c>
      <c r="N46" s="15">
        <f t="shared" ca="1" si="21"/>
        <v>400000</v>
      </c>
      <c r="O46" s="16">
        <f t="shared" si="22"/>
        <v>20000000</v>
      </c>
      <c r="P46" s="16">
        <f t="shared" si="23"/>
        <v>22500000</v>
      </c>
      <c r="Q46" s="16">
        <f t="shared" si="24"/>
        <v>25000000</v>
      </c>
      <c r="R46" s="16">
        <f t="shared" si="25"/>
        <v>20000000</v>
      </c>
      <c r="S46" s="16">
        <f t="shared" si="26"/>
        <v>22500000</v>
      </c>
      <c r="T46" s="16">
        <f t="shared" si="27"/>
        <v>25000000</v>
      </c>
      <c r="U46" s="5">
        <f t="shared" si="28"/>
        <v>25000000</v>
      </c>
      <c r="V46" s="5">
        <v>250000000</v>
      </c>
      <c r="W46" s="4">
        <f>IFERROR(SUMIFS(data!$C:$C, data!$A:$A, $A46, data!$B:$B, $B46), 0)</f>
        <v>253</v>
      </c>
      <c r="X46" s="5">
        <f>IFERROR(SUMIF(data!$B:$B, $B46, data!$D:$D), 0)</f>
        <v>44005321</v>
      </c>
      <c r="Y46" s="5">
        <f t="shared" si="29"/>
        <v>173934.07509881424</v>
      </c>
      <c r="Z46" s="4">
        <f>IFERROR(SUMIFS(data!$E:$E, data!$A:$A, $A46, data!$B:$B, $B46), 0)</f>
        <v>139</v>
      </c>
      <c r="AA46" s="5">
        <f>IFERROR(SUMIF(data!$B:$B, $B46, data!$F:$F), 0)</f>
        <v>18588246</v>
      </c>
      <c r="AB46" s="5">
        <f t="shared" si="30"/>
        <v>133728.38848920862</v>
      </c>
      <c r="AC46" s="4">
        <f t="shared" si="31"/>
        <v>392</v>
      </c>
      <c r="AD46" s="5">
        <f t="shared" si="32"/>
        <v>62593567</v>
      </c>
      <c r="AE46" s="5">
        <f t="shared" si="33"/>
        <v>159677.4668367347</v>
      </c>
      <c r="AF46" s="17"/>
      <c r="AG46" s="17"/>
      <c r="AH46" s="17"/>
      <c r="AI46" s="17"/>
      <c r="AJ46" s="17"/>
      <c r="AK46" s="17"/>
      <c r="AL46" s="17"/>
    </row>
    <row r="47" spans="1:38" ht="13.8" customHeight="1" x14ac:dyDescent="0.3">
      <c r="A47" s="3" t="s">
        <v>8</v>
      </c>
      <c r="B47" s="3" t="s">
        <v>11</v>
      </c>
      <c r="C47" s="6" t="s">
        <v>98</v>
      </c>
      <c r="D47" s="5">
        <v>245749</v>
      </c>
      <c r="E47" s="5">
        <f t="shared" si="17"/>
        <v>286397.1416430595</v>
      </c>
      <c r="F47" s="5">
        <f ca="1">IFERROR(ROUND(_xludf.LET(nt,$A47,nv,$B47,songay,DAY(EOMONTH($C$1,0)),doanhthungay,$I47,duan_nv,SUMIFS('Dự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>0</v>
      </c>
      <c r="G47" s="5">
        <f>IFERROR(SUMIF('Dự án T9'!$B:$B, $B47, 'Dự án T9'!$D:$D), 0)</f>
        <v>4099127.5</v>
      </c>
      <c r="H47" s="5">
        <f t="shared" si="18"/>
        <v>30000000</v>
      </c>
      <c r="I47" s="5">
        <f t="shared" si="19"/>
        <v>10109819.1</v>
      </c>
      <c r="J47" s="14">
        <f>_xlfn.XLOOKUP(B47, 'kpi nhà thuốc'!A:A, 'kpi nhà thuốc'!F:F, (AD47/DAY($C$1))/U47)</f>
        <v>0.33699396999999998</v>
      </c>
      <c r="K47" s="5">
        <f ca="1">_xlfn.XLOOKUP(B47, 'kpi nhà thuốc'!$A:$A, 'kpi nhà thuốc'!$G:$G, IF(AND(OR(C47="DSXC", C47="DSCD", C47="DSBC", C47="DSTV", C47="Q.CHT", C47="BC", C47="DSHV"), G47&gt;=F47), AD47 * _xlfn.IFS(AND(I47&gt;=T47, E47&gt;=D47), 0.015, I47&gt;=T47, 0.013, AND(I47&gt;=S47, E47&gt;=D47), 0.013, I47&gt;=S47, 0.011, AND(I47&gt;=R47, E47&gt;=D47), 0.012, I47&gt;=R47, 0.01, TRUE, 0), 0))</f>
        <v>0</v>
      </c>
      <c r="L47" s="6">
        <f t="shared" si="20"/>
        <v>0.8</v>
      </c>
      <c r="M47" s="5">
        <f>IFERROR(SUMIF('Dự án T9'!$B:$B, $B47, 'Dự án T9'!$M:$M)*$L47, 0)</f>
        <v>680000</v>
      </c>
      <c r="N47" s="15">
        <f t="shared" ca="1" si="21"/>
        <v>680000</v>
      </c>
      <c r="O47" s="16">
        <f t="shared" si="22"/>
        <v>24000000</v>
      </c>
      <c r="P47" s="16">
        <f t="shared" si="23"/>
        <v>27000000</v>
      </c>
      <c r="Q47" s="16">
        <f t="shared" si="24"/>
        <v>30000000</v>
      </c>
      <c r="R47" s="16">
        <f t="shared" si="25"/>
        <v>24000000</v>
      </c>
      <c r="S47" s="16">
        <f t="shared" si="26"/>
        <v>27000000</v>
      </c>
      <c r="T47" s="16">
        <f t="shared" si="27"/>
        <v>30000000</v>
      </c>
      <c r="U47" s="5">
        <f t="shared" si="28"/>
        <v>30000000</v>
      </c>
      <c r="V47" s="5">
        <v>300000000</v>
      </c>
      <c r="W47" s="4">
        <f>IFERROR(SUMIFS(data!$C:$C, data!$A:$A, $A47, data!$B:$B, $B47), 0)</f>
        <v>287</v>
      </c>
      <c r="X47" s="5">
        <f>IFERROR(SUMIF(data!$B:$B, $B47, data!$D:$D), 0)</f>
        <v>81207691</v>
      </c>
      <c r="Y47" s="5">
        <f t="shared" si="29"/>
        <v>282953.62717770034</v>
      </c>
      <c r="Z47" s="4">
        <f>IFERROR(SUMIFS(data!$E:$E, data!$A:$A, $A47, data!$B:$B, $B47), 0)</f>
        <v>66</v>
      </c>
      <c r="AA47" s="5">
        <f>IFERROR(SUMIF(data!$B:$B, $B47, data!$F:$F), 0)</f>
        <v>19890500</v>
      </c>
      <c r="AB47" s="5">
        <f t="shared" si="30"/>
        <v>301371.2121212121</v>
      </c>
      <c r="AC47" s="4">
        <f t="shared" si="31"/>
        <v>353</v>
      </c>
      <c r="AD47" s="5">
        <f t="shared" si="32"/>
        <v>101098191</v>
      </c>
      <c r="AE47" s="5">
        <f t="shared" si="33"/>
        <v>286397.1416430595</v>
      </c>
      <c r="AF47" s="17"/>
      <c r="AG47" s="17"/>
      <c r="AH47" s="17"/>
      <c r="AI47" s="17"/>
      <c r="AJ47" s="17"/>
      <c r="AK47" s="17"/>
      <c r="AL47" s="17"/>
    </row>
    <row r="48" spans="1:38" ht="13.8" customHeight="1" x14ac:dyDescent="0.3">
      <c r="A48" s="3" t="s">
        <v>8</v>
      </c>
      <c r="B48" s="3" t="s">
        <v>13</v>
      </c>
      <c r="C48" s="6" t="s">
        <v>95</v>
      </c>
      <c r="D48" s="5">
        <v>150000</v>
      </c>
      <c r="E48" s="5">
        <f t="shared" si="17"/>
        <v>144984.78260869565</v>
      </c>
      <c r="F48" s="5">
        <f ca="1">IFERROR(ROUND(_xludf.LET(nt,$A48,nv,$B48,songay,DAY(EOMONTH($C$1,0)),doanhthungay,$I48,duan_nv,SUMIFS('Dự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>0</v>
      </c>
      <c r="G48" s="5">
        <f>IFERROR(SUMIF('Dự án T9'!$B:$B, $B48, 'Dự án T9'!$D:$D), 0)</f>
        <v>753178.9</v>
      </c>
      <c r="H48" s="5">
        <f t="shared" si="18"/>
        <v>25000000</v>
      </c>
      <c r="I48" s="5">
        <f t="shared" si="19"/>
        <v>1333860</v>
      </c>
      <c r="J48" s="14">
        <f>_xlfn.XLOOKUP(B48, 'kpi nhà thuốc'!A:A, 'kpi nhà thuốc'!F:F, (AD48/DAY($C$1))/U48)</f>
        <v>5.3354400000000003E-2</v>
      </c>
      <c r="K48" s="5">
        <f ca="1">_xlfn.XLOOKUP(B48, 'kpi nhà thuốc'!$A:$A, 'kpi nhà thuốc'!$G:$G, IF(AND(OR(C48="DSXC", C48="DSCD", C48="DSBC", C48="DSTV", C48="Q.CHT", C48="BC", C48="DSHV"), G48&gt;=F48), AD48 * _xlfn.IFS(AND(I48&gt;=T48, E48&gt;=D48), 0.015, I48&gt;=T48, 0.013, AND(I48&gt;=S48, E48&gt;=D48), 0.013, I48&gt;=S48, 0.011, AND(I48&gt;=R48, E48&gt;=D48), 0.012, I48&gt;=R48, 0.01, TRUE, 0), 0))</f>
        <v>0</v>
      </c>
      <c r="L48" s="6">
        <f t="shared" si="20"/>
        <v>0.8</v>
      </c>
      <c r="M48" s="5">
        <f>IFERROR(SUMIF('Dự án T9'!$B:$B, $B48, 'Dự án T9'!$M:$M)*$L48, 0)</f>
        <v>0</v>
      </c>
      <c r="N48" s="15">
        <f t="shared" ca="1" si="21"/>
        <v>0</v>
      </c>
      <c r="O48" s="16">
        <f t="shared" si="22"/>
        <v>20000000</v>
      </c>
      <c r="P48" s="16">
        <f t="shared" si="23"/>
        <v>22500000</v>
      </c>
      <c r="Q48" s="16">
        <f t="shared" si="24"/>
        <v>25000000</v>
      </c>
      <c r="R48" s="16">
        <f t="shared" si="25"/>
        <v>20000000</v>
      </c>
      <c r="S48" s="16">
        <f t="shared" si="26"/>
        <v>22500000</v>
      </c>
      <c r="T48" s="16">
        <f t="shared" si="27"/>
        <v>25000000</v>
      </c>
      <c r="U48" s="5">
        <f t="shared" si="28"/>
        <v>25000000</v>
      </c>
      <c r="V48" s="5">
        <v>250000000</v>
      </c>
      <c r="W48" s="4">
        <f>IFERROR(SUMIFS(data!$C:$C, data!$A:$A, $A48, data!$B:$B, $B48), 0)</f>
        <v>64</v>
      </c>
      <c r="X48" s="5">
        <f>IFERROR(SUMIF(data!$B:$B, $B48, data!$D:$D), 0)</f>
        <v>8535200</v>
      </c>
      <c r="Y48" s="5">
        <f t="shared" si="29"/>
        <v>133362.5</v>
      </c>
      <c r="Z48" s="4">
        <f>IFERROR(SUMIFS(data!$E:$E, data!$A:$A, $A48, data!$B:$B, $B48), 0)</f>
        <v>28</v>
      </c>
      <c r="AA48" s="5">
        <f>IFERROR(SUMIF(data!$B:$B, $B48, data!$F:$F), 0)</f>
        <v>4803400</v>
      </c>
      <c r="AB48" s="5">
        <f t="shared" si="30"/>
        <v>171550</v>
      </c>
      <c r="AC48" s="4">
        <f t="shared" si="31"/>
        <v>92</v>
      </c>
      <c r="AD48" s="5">
        <f t="shared" si="32"/>
        <v>13338600</v>
      </c>
      <c r="AE48" s="5">
        <f t="shared" si="33"/>
        <v>144984.78260869565</v>
      </c>
      <c r="AF48" s="17"/>
      <c r="AG48" s="17"/>
      <c r="AH48" s="17"/>
      <c r="AI48" s="17"/>
      <c r="AJ48" s="17"/>
      <c r="AK48" s="17"/>
      <c r="AL48" s="17"/>
    </row>
    <row r="49" spans="1:38" ht="13.8" customHeight="1" x14ac:dyDescent="0.3">
      <c r="A49" s="3" t="s">
        <v>57</v>
      </c>
      <c r="B49" s="3" t="s">
        <v>58</v>
      </c>
      <c r="C49" s="6" t="s">
        <v>93</v>
      </c>
      <c r="D49" s="5">
        <v>166214</v>
      </c>
      <c r="E49" s="5">
        <f t="shared" si="17"/>
        <v>108067.85714285714</v>
      </c>
      <c r="F49" s="5">
        <f ca="1">IFERROR(ROUND(_xludf.LET(nt,$A49,nv,$B49,songay,DAY(EOMONTH($C$1,0)),doanhthungay,$I49,duan_nv,SUMIFS('Dự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>0</v>
      </c>
      <c r="G49" s="5">
        <f>IFERROR(SUMIF('Dự án T9'!$B:$B, $B49, 'Dự án T9'!$D:$D), 0)</f>
        <v>337274.1</v>
      </c>
      <c r="H49" s="5">
        <f t="shared" si="18"/>
        <v>10000000</v>
      </c>
      <c r="I49" s="5">
        <f t="shared" si="19"/>
        <v>605180</v>
      </c>
      <c r="J49" s="14">
        <f>_xlfn.XLOOKUP(B49, 'kpi nhà thuốc'!A:A, 'kpi nhà thuốc'!F:F, (AD49/DAY($C$1))/U49)</f>
        <v>0.2348337218181818</v>
      </c>
      <c r="K49" s="5">
        <f ca="1">_xlfn.XLOOKUP(B49, 'kpi nhà thuốc'!$A:$A, 'kpi nhà thuốc'!$G:$G, IF(AND(OR(C49="DSXC", C49="DSCD", C49="DSBC", C49="DSTV", C49="Q.CHT", C49="BC", C49="DSHV"), G49&gt;=F49), AD49 * _xlfn.IFS(AND(I49&gt;=T49, E49&gt;=D49), 0.015, I49&gt;=T49, 0.013, AND(I49&gt;=S49, E49&gt;=D49), 0.013, I49&gt;=S49, 0.011, AND(I49&gt;=R49, E49&gt;=D49), 0.012, I49&gt;=R49, 0.01, TRUE, 0), 0))</f>
        <v>0</v>
      </c>
      <c r="L49" s="6">
        <f t="shared" si="20"/>
        <v>0.8</v>
      </c>
      <c r="M49" s="5">
        <f>IFERROR(SUMIF('Dự án T9'!$B:$B, $B49, 'Dự án T9'!$M:$M)*$L49, 0)</f>
        <v>0</v>
      </c>
      <c r="N49" s="15">
        <f t="shared" ca="1" si="21"/>
        <v>0</v>
      </c>
      <c r="O49" s="16">
        <f t="shared" si="22"/>
        <v>8000000</v>
      </c>
      <c r="P49" s="16">
        <f t="shared" si="23"/>
        <v>9000000</v>
      </c>
      <c r="Q49" s="16">
        <f t="shared" si="24"/>
        <v>10000000</v>
      </c>
      <c r="R49" s="16">
        <f t="shared" si="25"/>
        <v>8000000</v>
      </c>
      <c r="S49" s="16">
        <f t="shared" si="26"/>
        <v>9000000</v>
      </c>
      <c r="T49" s="16">
        <f t="shared" si="27"/>
        <v>10000000</v>
      </c>
      <c r="U49" s="5">
        <f t="shared" si="28"/>
        <v>10000000</v>
      </c>
      <c r="V49" s="5">
        <v>100000000</v>
      </c>
      <c r="W49" s="4">
        <f>IFERROR(SUMIFS(data!$C:$C, data!$A:$A, $A49, data!$B:$B, $B49), 0)</f>
        <v>39</v>
      </c>
      <c r="X49" s="5">
        <f>IFERROR(SUMIF(data!$B:$B, $B49, data!$D:$D), 0)</f>
        <v>3916500</v>
      </c>
      <c r="Y49" s="5">
        <f t="shared" si="29"/>
        <v>100423.07692307692</v>
      </c>
      <c r="Z49" s="4">
        <f>IFERROR(SUMIFS(data!$E:$E, data!$A:$A, $A49, data!$B:$B, $B49), 0)</f>
        <v>17</v>
      </c>
      <c r="AA49" s="5">
        <f>IFERROR(SUMIF(data!$B:$B, $B49, data!$F:$F), 0)</f>
        <v>2135300</v>
      </c>
      <c r="AB49" s="5">
        <f t="shared" si="30"/>
        <v>125605.88235294117</v>
      </c>
      <c r="AC49" s="4">
        <f t="shared" si="31"/>
        <v>56</v>
      </c>
      <c r="AD49" s="5">
        <f t="shared" si="32"/>
        <v>6051800</v>
      </c>
      <c r="AE49" s="5">
        <f t="shared" si="33"/>
        <v>108067.85714285714</v>
      </c>
      <c r="AF49" s="17"/>
      <c r="AG49" s="17"/>
      <c r="AH49" s="17"/>
      <c r="AI49" s="17"/>
      <c r="AJ49" s="17"/>
      <c r="AK49" s="17"/>
      <c r="AL49" s="17"/>
    </row>
    <row r="50" spans="1:38" ht="13.8" customHeight="1" x14ac:dyDescent="0.3">
      <c r="A50" s="3" t="s">
        <v>57</v>
      </c>
      <c r="B50" s="3" t="s">
        <v>59</v>
      </c>
      <c r="C50" s="6" t="s">
        <v>98</v>
      </c>
      <c r="D50" s="5">
        <v>130639</v>
      </c>
      <c r="E50" s="5">
        <f t="shared" si="17"/>
        <v>141560.86200378073</v>
      </c>
      <c r="F50" s="5">
        <f ca="1">IFERROR(ROUND(_xludf.LET(nt,$A50,nv,$B50,songay,DAY(EOMONTH($C$1,0)),doanhthungay,$I50,duan_nv,SUMIFS('Dự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>0</v>
      </c>
      <c r="G50" s="5">
        <f>IFERROR(SUMIF('Dự án T9'!$B:$B, $B50, 'Dự án T9'!$D:$D), 0)</f>
        <v>4609219.3</v>
      </c>
      <c r="H50" s="5">
        <f t="shared" si="18"/>
        <v>26000000</v>
      </c>
      <c r="I50" s="5">
        <f t="shared" si="19"/>
        <v>7488569.5999999996</v>
      </c>
      <c r="J50" s="14">
        <f>_xlfn.XLOOKUP(B50, 'kpi nhà thuốc'!A:A, 'kpi nhà thuốc'!F:F, (AD50/DAY($C$1))/U50)</f>
        <v>0.28802190769230768</v>
      </c>
      <c r="K50" s="5">
        <f ca="1">_xlfn.XLOOKUP(B50, 'kpi nhà thuốc'!$A:$A, 'kpi nhà thuốc'!$G:$G, IF(AND(OR(C50="DSXC", C50="DSCD", C50="DSBC", C50="DSTV", C50="Q.CHT", C50="BC", C50="DSHV"), G50&gt;=F50), AD50 * _xlfn.IFS(AND(I50&gt;=T50, E50&gt;=D50), 0.015, I50&gt;=T50, 0.013, AND(I50&gt;=S50, E50&gt;=D50), 0.013, I50&gt;=S50, 0.011, AND(I50&gt;=R50, E50&gt;=D50), 0.012, I50&gt;=R50, 0.01, TRUE, 0), 0))</f>
        <v>0</v>
      </c>
      <c r="L50" s="6">
        <f t="shared" si="20"/>
        <v>0.8</v>
      </c>
      <c r="M50" s="5">
        <f>IFERROR(SUMIF('Dự án T9'!$B:$B, $B50, 'Dự án T9'!$M:$M)*$L50, 0)</f>
        <v>800000</v>
      </c>
      <c r="N50" s="15">
        <f t="shared" ca="1" si="21"/>
        <v>800000</v>
      </c>
      <c r="O50" s="16">
        <f t="shared" si="22"/>
        <v>20800000</v>
      </c>
      <c r="P50" s="16">
        <f t="shared" si="23"/>
        <v>23400000</v>
      </c>
      <c r="Q50" s="16">
        <f t="shared" si="24"/>
        <v>26000000</v>
      </c>
      <c r="R50" s="16">
        <f t="shared" si="25"/>
        <v>20800000</v>
      </c>
      <c r="S50" s="16">
        <f t="shared" si="26"/>
        <v>23400000</v>
      </c>
      <c r="T50" s="16">
        <f t="shared" si="27"/>
        <v>26000000</v>
      </c>
      <c r="U50" s="5">
        <f t="shared" si="28"/>
        <v>26000000</v>
      </c>
      <c r="V50" s="5">
        <v>260000000</v>
      </c>
      <c r="W50" s="4">
        <f>IFERROR(SUMIFS(data!$C:$C, data!$A:$A, $A50, data!$B:$B, $B50), 0)</f>
        <v>349</v>
      </c>
      <c r="X50" s="5">
        <f>IFERROR(SUMIF(data!$B:$B, $B50, data!$D:$D), 0)</f>
        <v>42297896</v>
      </c>
      <c r="Y50" s="5">
        <f t="shared" si="29"/>
        <v>121197.40974212035</v>
      </c>
      <c r="Z50" s="4">
        <f>IFERROR(SUMIFS(data!$E:$E, data!$A:$A, $A50, data!$B:$B, $B50), 0)</f>
        <v>180</v>
      </c>
      <c r="AA50" s="5">
        <f>IFERROR(SUMIF(data!$B:$B, $B50, data!$F:$F), 0)</f>
        <v>32587800</v>
      </c>
      <c r="AB50" s="5">
        <f t="shared" si="30"/>
        <v>181043.33333333334</v>
      </c>
      <c r="AC50" s="4">
        <f t="shared" si="31"/>
        <v>529</v>
      </c>
      <c r="AD50" s="5">
        <f t="shared" si="32"/>
        <v>74885696</v>
      </c>
      <c r="AE50" s="5">
        <f t="shared" si="33"/>
        <v>141560.86200378073</v>
      </c>
      <c r="AF50" s="17"/>
      <c r="AG50" s="17"/>
      <c r="AH50" s="17"/>
      <c r="AI50" s="17"/>
      <c r="AJ50" s="17"/>
      <c r="AK50" s="17"/>
      <c r="AL50" s="17"/>
    </row>
    <row r="51" spans="1:38" ht="13.8" customHeight="1" x14ac:dyDescent="0.3">
      <c r="A51" s="3" t="s">
        <v>57</v>
      </c>
      <c r="B51" s="3" t="s">
        <v>62</v>
      </c>
      <c r="C51" s="6" t="s">
        <v>98</v>
      </c>
      <c r="D51" s="5">
        <v>171564</v>
      </c>
      <c r="E51" s="5">
        <f t="shared" si="17"/>
        <v>216971.25984251968</v>
      </c>
      <c r="F51" s="5">
        <f ca="1">IFERROR(ROUND(_xludf.LET(nt,$A51,nv,$B51,songay,DAY(EOMONTH($C$1,0)),doanhthungay,$I51,duan_nv,SUMIFS('Dự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>0</v>
      </c>
      <c r="G51" s="5">
        <f>IFERROR(SUMIF('Dự án T9'!$B:$B, $B51, 'Dự án T9'!$D:$D), 0)</f>
        <v>2095356.4</v>
      </c>
      <c r="H51" s="5">
        <f t="shared" si="18"/>
        <v>24000000</v>
      </c>
      <c r="I51" s="5">
        <f t="shared" si="19"/>
        <v>5511070</v>
      </c>
      <c r="J51" s="14">
        <f>_xlfn.XLOOKUP(B51, 'kpi nhà thuốc'!A:A, 'kpi nhà thuốc'!F:F, (AD51/DAY($C$1))/U51)</f>
        <v>0.22962791666666665</v>
      </c>
      <c r="K51" s="5">
        <f ca="1">_xlfn.XLOOKUP(B51, 'kpi nhà thuốc'!$A:$A, 'kpi nhà thuốc'!$G:$G, IF(AND(OR(C51="DSXC", C51="DSCD", C51="DSBC", C51="DSTV", C51="Q.CHT", C51="BC", C51="DSHV"), G51&gt;=F51), AD51 * _xlfn.IFS(AND(I51&gt;=T51, E51&gt;=D51), 0.015, I51&gt;=T51, 0.013, AND(I51&gt;=S51, E51&gt;=D51), 0.013, I51&gt;=S51, 0.011, AND(I51&gt;=R51, E51&gt;=D51), 0.012, I51&gt;=R51, 0.01, TRUE, 0), 0))</f>
        <v>0</v>
      </c>
      <c r="L51" s="6">
        <f t="shared" si="20"/>
        <v>0.8</v>
      </c>
      <c r="M51" s="5">
        <f>IFERROR(SUMIF('Dự án T9'!$B:$B, $B51, 'Dự án T9'!$M:$M)*$L51, 0)</f>
        <v>440000</v>
      </c>
      <c r="N51" s="15">
        <f t="shared" ca="1" si="21"/>
        <v>440000</v>
      </c>
      <c r="O51" s="16">
        <f t="shared" si="22"/>
        <v>19200000</v>
      </c>
      <c r="P51" s="16">
        <f t="shared" si="23"/>
        <v>21600000</v>
      </c>
      <c r="Q51" s="16">
        <f t="shared" si="24"/>
        <v>24000000</v>
      </c>
      <c r="R51" s="16">
        <f t="shared" si="25"/>
        <v>19200000</v>
      </c>
      <c r="S51" s="16">
        <f t="shared" si="26"/>
        <v>21600000</v>
      </c>
      <c r="T51" s="16">
        <f t="shared" si="27"/>
        <v>24000000</v>
      </c>
      <c r="U51" s="5">
        <f t="shared" si="28"/>
        <v>24000000</v>
      </c>
      <c r="V51" s="5">
        <v>240000000</v>
      </c>
      <c r="W51" s="4">
        <f>IFERROR(SUMIFS(data!$C:$C, data!$A:$A, $A51, data!$B:$B, $B51), 0)</f>
        <v>105</v>
      </c>
      <c r="X51" s="5">
        <f>IFERROR(SUMIF(data!$B:$B, $B51, data!$D:$D), 0)</f>
        <v>12257500</v>
      </c>
      <c r="Y51" s="5">
        <f t="shared" si="29"/>
        <v>116738.09523809524</v>
      </c>
      <c r="Z51" s="4">
        <f>IFERROR(SUMIFS(data!$E:$E, data!$A:$A, $A51, data!$B:$B, $B51), 0)</f>
        <v>149</v>
      </c>
      <c r="AA51" s="5">
        <f>IFERROR(SUMIF(data!$B:$B, $B51, data!$F:$F), 0)</f>
        <v>42853200</v>
      </c>
      <c r="AB51" s="5">
        <f t="shared" si="30"/>
        <v>287605.36912751675</v>
      </c>
      <c r="AC51" s="4">
        <f t="shared" si="31"/>
        <v>254</v>
      </c>
      <c r="AD51" s="5">
        <f t="shared" si="32"/>
        <v>55110700</v>
      </c>
      <c r="AE51" s="5">
        <f t="shared" si="33"/>
        <v>216971.25984251968</v>
      </c>
      <c r="AF51" s="17"/>
      <c r="AG51" s="17"/>
      <c r="AH51" s="17"/>
      <c r="AI51" s="17"/>
      <c r="AJ51" s="17"/>
      <c r="AK51" s="17"/>
      <c r="AL51" s="17"/>
    </row>
    <row r="52" spans="1:38" ht="13.8" customHeight="1" x14ac:dyDescent="0.3">
      <c r="A52" s="3" t="s">
        <v>57</v>
      </c>
      <c r="B52" s="3" t="s">
        <v>61</v>
      </c>
      <c r="C52" s="6" t="s">
        <v>98</v>
      </c>
      <c r="D52" s="5">
        <v>220069</v>
      </c>
      <c r="E52" s="5">
        <f t="shared" si="17"/>
        <v>167763.17890772127</v>
      </c>
      <c r="F52" s="5">
        <f ca="1">IFERROR(ROUND(_xludf.LET(nt,$A52,nv,$B52,songay,DAY(EOMONTH($C$1,0)),doanhthungay,$I52,duan_nv,SUMIFS('Dự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>0</v>
      </c>
      <c r="G52" s="5">
        <f>IFERROR(SUMIF('Dự án T9'!$B:$B, $B52, 'Dự án T9'!$D:$D), 0)</f>
        <v>5238793.5999999996</v>
      </c>
      <c r="H52" s="5">
        <f t="shared" si="18"/>
        <v>26000000</v>
      </c>
      <c r="I52" s="5">
        <f t="shared" si="19"/>
        <v>8908224.8000000007</v>
      </c>
      <c r="J52" s="14">
        <f>_xlfn.XLOOKUP(B52, 'kpi nhà thuốc'!A:A, 'kpi nhà thuốc'!F:F, (AD52/DAY($C$1))/U52)</f>
        <v>0.34262403076923081</v>
      </c>
      <c r="K52" s="5">
        <f ca="1">_xlfn.XLOOKUP(B52, 'kpi nhà thuốc'!$A:$A, 'kpi nhà thuốc'!$G:$G, IF(AND(OR(C52="DSXC", C52="DSCD", C52="DSBC", C52="DSTV", C52="Q.CHT", C52="BC", C52="DSHV"), G52&gt;=F52), AD52 * _xlfn.IFS(AND(I52&gt;=T52, E52&gt;=D52), 0.015, I52&gt;=T52, 0.013, AND(I52&gt;=S52, E52&gt;=D52), 0.013, I52&gt;=S52, 0.011, AND(I52&gt;=R52, E52&gt;=D52), 0.012, I52&gt;=R52, 0.01, TRUE, 0), 0))</f>
        <v>0</v>
      </c>
      <c r="L52" s="6">
        <f t="shared" si="20"/>
        <v>0.8</v>
      </c>
      <c r="M52" s="5">
        <f>IFERROR(SUMIF('Dự án T9'!$B:$B, $B52, 'Dự án T9'!$M:$M)*$L52, 0)</f>
        <v>800000</v>
      </c>
      <c r="N52" s="15">
        <f t="shared" ca="1" si="21"/>
        <v>800000</v>
      </c>
      <c r="O52" s="16">
        <f t="shared" si="22"/>
        <v>20800000</v>
      </c>
      <c r="P52" s="16">
        <f t="shared" si="23"/>
        <v>23400000</v>
      </c>
      <c r="Q52" s="16">
        <f t="shared" si="24"/>
        <v>26000000</v>
      </c>
      <c r="R52" s="16">
        <f t="shared" si="25"/>
        <v>20800000</v>
      </c>
      <c r="S52" s="16">
        <f t="shared" si="26"/>
        <v>23400000</v>
      </c>
      <c r="T52" s="16">
        <f t="shared" si="27"/>
        <v>26000000</v>
      </c>
      <c r="U52" s="5">
        <f t="shared" si="28"/>
        <v>26000000</v>
      </c>
      <c r="V52" s="5">
        <v>260000000</v>
      </c>
      <c r="W52" s="4">
        <f>IFERROR(SUMIFS(data!$C:$C, data!$A:$A, $A52, data!$B:$B, $B52), 0)</f>
        <v>329</v>
      </c>
      <c r="X52" s="5">
        <f>IFERROR(SUMIF(data!$B:$B, $B52, data!$D:$D), 0)</f>
        <v>46024248</v>
      </c>
      <c r="Y52" s="5">
        <f t="shared" si="29"/>
        <v>139891.33130699088</v>
      </c>
      <c r="Z52" s="4">
        <f>IFERROR(SUMIFS(data!$E:$E, data!$A:$A, $A52, data!$B:$B, $B52), 0)</f>
        <v>202</v>
      </c>
      <c r="AA52" s="5">
        <f>IFERROR(SUMIF(data!$B:$B, $B52, data!$F:$F), 0)</f>
        <v>43058000</v>
      </c>
      <c r="AB52" s="5">
        <f t="shared" si="30"/>
        <v>213158.41584158415</v>
      </c>
      <c r="AC52" s="4">
        <f t="shared" si="31"/>
        <v>531</v>
      </c>
      <c r="AD52" s="5">
        <f t="shared" si="32"/>
        <v>89082248</v>
      </c>
      <c r="AE52" s="5">
        <f t="shared" si="33"/>
        <v>167763.17890772127</v>
      </c>
      <c r="AF52" s="17"/>
      <c r="AG52" s="17"/>
      <c r="AH52" s="17"/>
      <c r="AI52" s="17"/>
      <c r="AJ52" s="17"/>
      <c r="AK52" s="17"/>
      <c r="AL52" s="17"/>
    </row>
    <row r="53" spans="1:38" ht="13.8" customHeight="1" x14ac:dyDescent="0.3">
      <c r="A53" s="3" t="s">
        <v>57</v>
      </c>
      <c r="B53" s="3" t="s">
        <v>63</v>
      </c>
      <c r="C53" s="6" t="s">
        <v>98</v>
      </c>
      <c r="D53" s="5">
        <v>217055</v>
      </c>
      <c r="E53" s="5">
        <f t="shared" si="17"/>
        <v>187065.81920903956</v>
      </c>
      <c r="F53" s="5">
        <f ca="1">IFERROR(ROUND(_xludf.LET(nt,$A53,nv,$B53,songay,DAY(EOMONTH($C$1,0)),doanhthungay,$I53,duan_nv,SUMIFS('Dự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>0</v>
      </c>
      <c r="G53" s="5">
        <f>IFERROR(SUMIF('Dự án T9'!$B:$B, $B53, 'Dự án T9'!$D:$D), 0)</f>
        <v>777051</v>
      </c>
      <c r="H53" s="5">
        <f t="shared" si="18"/>
        <v>24000000</v>
      </c>
      <c r="I53" s="5">
        <f t="shared" si="19"/>
        <v>3311065</v>
      </c>
      <c r="J53" s="14">
        <f>_xlfn.XLOOKUP(B53, 'kpi nhà thuốc'!A:A, 'kpi nhà thuốc'!F:F, (AD53/DAY($C$1))/U53)</f>
        <v>0.13796104166666667</v>
      </c>
      <c r="K53" s="5">
        <f ca="1">_xlfn.XLOOKUP(B53, 'kpi nhà thuốc'!$A:$A, 'kpi nhà thuốc'!$G:$G, IF(AND(OR(C53="DSXC", C53="DSCD", C53="DSBC", C53="DSTV", C53="Q.CHT", C53="BC", C53="DSHV"), G53&gt;=F53), AD53 * _xlfn.IFS(AND(I53&gt;=T53, E53&gt;=D53), 0.015, I53&gt;=T53, 0.013, AND(I53&gt;=S53, E53&gt;=D53), 0.013, I53&gt;=S53, 0.011, AND(I53&gt;=R53, E53&gt;=D53), 0.012, I53&gt;=R53, 0.01, TRUE, 0), 0))</f>
        <v>0</v>
      </c>
      <c r="L53" s="6">
        <f t="shared" si="20"/>
        <v>0.8</v>
      </c>
      <c r="M53" s="5">
        <f>IFERROR(SUMIF('Dự án T9'!$B:$B, $B53, 'Dự án T9'!$M:$M)*$L53, 0)</f>
        <v>40000</v>
      </c>
      <c r="N53" s="15">
        <f t="shared" ca="1" si="21"/>
        <v>40000</v>
      </c>
      <c r="O53" s="16">
        <f t="shared" si="22"/>
        <v>19200000</v>
      </c>
      <c r="P53" s="16">
        <f t="shared" si="23"/>
        <v>21600000</v>
      </c>
      <c r="Q53" s="16">
        <f t="shared" si="24"/>
        <v>24000000</v>
      </c>
      <c r="R53" s="16">
        <f t="shared" si="25"/>
        <v>19200000</v>
      </c>
      <c r="S53" s="16">
        <f t="shared" si="26"/>
        <v>21600000</v>
      </c>
      <c r="T53" s="16">
        <f t="shared" si="27"/>
        <v>24000000</v>
      </c>
      <c r="U53" s="5">
        <f t="shared" si="28"/>
        <v>24000000</v>
      </c>
      <c r="V53" s="5">
        <v>240000000</v>
      </c>
      <c r="W53" s="4">
        <f>IFERROR(SUMIFS(data!$C:$C, data!$A:$A, $A53, data!$B:$B, $B53), 0)</f>
        <v>72</v>
      </c>
      <c r="X53" s="5">
        <f>IFERROR(SUMIF(data!$B:$B, $B53, data!$D:$D), 0)</f>
        <v>7029800</v>
      </c>
      <c r="Y53" s="5">
        <f t="shared" si="29"/>
        <v>97636.111111111109</v>
      </c>
      <c r="Z53" s="4">
        <f>IFERROR(SUMIFS(data!$E:$E, data!$A:$A, $A53, data!$B:$B, $B53), 0)</f>
        <v>105</v>
      </c>
      <c r="AA53" s="5">
        <f>IFERROR(SUMIF(data!$B:$B, $B53, data!$F:$F), 0)</f>
        <v>26080850</v>
      </c>
      <c r="AB53" s="5">
        <f t="shared" si="30"/>
        <v>248389.04761904763</v>
      </c>
      <c r="AC53" s="4">
        <f t="shared" si="31"/>
        <v>177</v>
      </c>
      <c r="AD53" s="5">
        <f t="shared" si="32"/>
        <v>33110650</v>
      </c>
      <c r="AE53" s="5">
        <f t="shared" si="33"/>
        <v>187065.81920903956</v>
      </c>
      <c r="AF53" s="17"/>
      <c r="AG53" s="17"/>
      <c r="AH53" s="17"/>
      <c r="AI53" s="17"/>
      <c r="AJ53" s="17"/>
      <c r="AK53" s="17"/>
      <c r="AL53" s="17"/>
    </row>
    <row r="54" spans="1:38" ht="13.8" customHeight="1" x14ac:dyDescent="0.3">
      <c r="A54" s="3" t="s">
        <v>57</v>
      </c>
      <c r="B54" s="3" t="s">
        <v>60</v>
      </c>
      <c r="C54" s="6" t="s">
        <v>99</v>
      </c>
      <c r="D54" s="5">
        <v>150000</v>
      </c>
      <c r="E54" s="5">
        <f t="shared" si="17"/>
        <v>38000</v>
      </c>
      <c r="F54" s="5">
        <f ca="1">IFERROR(ROUND(_xludf.LET(nt,$A54,nv,$B54,songay,DAY(EOMONTH($C$1,0)),doanhthungay,$I54,duan_nv,SUMIFS('Dự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>0</v>
      </c>
      <c r="G54" s="5">
        <f>IFERROR(SUMIF('Dự án T9'!$B:$B, $B54, 'Dự án T9'!$D:$D), 0)</f>
        <v>0</v>
      </c>
      <c r="H54" s="5">
        <f t="shared" si="18"/>
        <v>27000000</v>
      </c>
      <c r="I54" s="5">
        <f t="shared" si="19"/>
        <v>7600</v>
      </c>
      <c r="J54" s="14">
        <f>_xlfn.XLOOKUP(B54, 'kpi nhà thuốc'!A:A, 'kpi nhà thuốc'!F:F, (AD54/DAY($C$1))/U54)</f>
        <v>2.8148148148148146E-4</v>
      </c>
      <c r="K54" s="5">
        <f ca="1">_xlfn.XLOOKUP(B54, 'kpi nhà thuốc'!$A:$A, 'kpi nhà thuốc'!$G:$G, IF(AND(OR(C54="DSXC", C54="DSCD", C54="DSBC", C54="DSTV", C54="Q.CHT", C54="BC", C54="DSHV"), G54&gt;=F54), AD54 * _xlfn.IFS(AND(I54&gt;=T54, E54&gt;=D54), 0.015, I54&gt;=T54, 0.013, AND(I54&gt;=S54, E54&gt;=D54), 0.013, I54&gt;=S54, 0.011, AND(I54&gt;=R54, E54&gt;=D54), 0.012, I54&gt;=R54, 0.01, TRUE, 0), 0))</f>
        <v>0</v>
      </c>
      <c r="L54" s="6">
        <f t="shared" si="20"/>
        <v>0.8</v>
      </c>
      <c r="M54" s="5">
        <f>IFERROR(SUMIF('Dự án T9'!$B:$B, $B54, 'Dự án T9'!$M:$M)*$L54, 0)</f>
        <v>0</v>
      </c>
      <c r="N54" s="15">
        <f t="shared" ca="1" si="21"/>
        <v>0</v>
      </c>
      <c r="O54" s="16">
        <f t="shared" si="22"/>
        <v>21600000</v>
      </c>
      <c r="P54" s="16">
        <f t="shared" si="23"/>
        <v>24300000</v>
      </c>
      <c r="Q54" s="16">
        <f t="shared" si="24"/>
        <v>27000000</v>
      </c>
      <c r="R54" s="16">
        <f t="shared" si="25"/>
        <v>21600000</v>
      </c>
      <c r="S54" s="16">
        <f t="shared" si="26"/>
        <v>24300000</v>
      </c>
      <c r="T54" s="16">
        <f t="shared" si="27"/>
        <v>27000000</v>
      </c>
      <c r="U54" s="5">
        <f t="shared" si="28"/>
        <v>27000000</v>
      </c>
      <c r="V54" s="5">
        <v>270000000</v>
      </c>
      <c r="W54" s="4">
        <f>IFERROR(SUMIFS(data!$C:$C, data!$A:$A, $A54, data!$B:$B, $B54), 0)</f>
        <v>0</v>
      </c>
      <c r="X54" s="5">
        <f>IFERROR(SUMIF(data!$B:$B, $B54, data!$D:$D), 0)</f>
        <v>0</v>
      </c>
      <c r="Y54" s="5">
        <f t="shared" si="29"/>
        <v>0</v>
      </c>
      <c r="Z54" s="4">
        <f>IFERROR(SUMIFS(data!$E:$E, data!$A:$A, $A54, data!$B:$B, $B54), 0)</f>
        <v>2</v>
      </c>
      <c r="AA54" s="5">
        <f>IFERROR(SUMIF(data!$B:$B, $B54, data!$F:$F), 0)</f>
        <v>76000</v>
      </c>
      <c r="AB54" s="5">
        <f t="shared" si="30"/>
        <v>38000</v>
      </c>
      <c r="AC54" s="4">
        <f t="shared" si="31"/>
        <v>2</v>
      </c>
      <c r="AD54" s="5">
        <f t="shared" si="32"/>
        <v>76000</v>
      </c>
      <c r="AE54" s="5">
        <f t="shared" si="33"/>
        <v>38000</v>
      </c>
      <c r="AF54" s="17"/>
      <c r="AG54" s="17"/>
      <c r="AH54" s="17"/>
      <c r="AI54" s="17"/>
      <c r="AJ54" s="17"/>
      <c r="AK54" s="17"/>
      <c r="AL54" s="17"/>
    </row>
  </sheetData>
  <mergeCells count="3">
    <mergeCell ref="O1:Q1"/>
    <mergeCell ref="R1:T1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13"/>
  <sheetViews>
    <sheetView workbookViewId="0">
      <pane xSplit="2" topLeftCell="C1" activePane="topRight" state="frozen"/>
      <selection pane="topRight" activeCell="E3" sqref="E3"/>
    </sheetView>
  </sheetViews>
  <sheetFormatPr defaultRowHeight="14.4" x14ac:dyDescent="0.3"/>
  <cols>
    <col min="1" max="1" width="22.88671875" customWidth="1"/>
    <col min="2" max="2" width="15" customWidth="1"/>
    <col min="3" max="3" width="16.109375" customWidth="1"/>
    <col min="4" max="4" width="15.6640625" customWidth="1"/>
    <col min="5" max="5" width="16.109375" customWidth="1"/>
    <col min="6" max="6" width="13.109375" customWidth="1"/>
    <col min="7" max="7" width="13" customWidth="1"/>
    <col min="8" max="8" width="12.77734375" customWidth="1"/>
    <col min="9" max="9" width="12.6640625" customWidth="1"/>
    <col min="10" max="10" width="13" customWidth="1"/>
    <col min="11" max="12" width="12.6640625" customWidth="1"/>
    <col min="13" max="21" width="13" customWidth="1"/>
    <col min="22" max="22" width="15.88671875" customWidth="1"/>
    <col min="23" max="23" width="14.21875" customWidth="1"/>
    <col min="24" max="24" width="12.6640625" customWidth="1"/>
    <col min="25" max="38" width="13" customWidth="1"/>
  </cols>
  <sheetData>
    <row r="1" spans="1:38" ht="20.25" customHeight="1" x14ac:dyDescent="0.3">
      <c r="D1" s="40" t="s">
        <v>69</v>
      </c>
      <c r="E1" s="39"/>
      <c r="F1" s="35">
        <v>46275</v>
      </c>
      <c r="T1" s="7">
        <f>'kpi dược sĩ'!$C$1</f>
        <v>46275</v>
      </c>
    </row>
    <row r="2" spans="1:38" ht="39.75" customHeight="1" x14ac:dyDescent="0.3">
      <c r="A2" s="18" t="s">
        <v>100</v>
      </c>
      <c r="B2" s="18" t="s">
        <v>0</v>
      </c>
      <c r="C2" s="18" t="s">
        <v>101</v>
      </c>
      <c r="D2" s="19" t="s">
        <v>102</v>
      </c>
      <c r="E2" s="19" t="s">
        <v>103</v>
      </c>
      <c r="F2" s="18" t="s">
        <v>104</v>
      </c>
      <c r="G2" s="18" t="s">
        <v>105</v>
      </c>
      <c r="H2" s="20" t="s">
        <v>106</v>
      </c>
      <c r="I2" s="20" t="s">
        <v>107</v>
      </c>
      <c r="J2" s="20" t="s">
        <v>108</v>
      </c>
      <c r="K2" s="20" t="s">
        <v>109</v>
      </c>
      <c r="L2" s="20" t="s">
        <v>109</v>
      </c>
      <c r="M2" s="10" t="s">
        <v>110</v>
      </c>
      <c r="N2" s="10" t="s">
        <v>111</v>
      </c>
      <c r="O2" s="10" t="s">
        <v>112</v>
      </c>
      <c r="P2" s="10" t="s">
        <v>113</v>
      </c>
      <c r="Q2" s="18" t="s">
        <v>114</v>
      </c>
      <c r="R2" s="18" t="s">
        <v>115</v>
      </c>
      <c r="S2" s="18" t="s">
        <v>116</v>
      </c>
      <c r="T2" s="18" t="s">
        <v>117</v>
      </c>
      <c r="U2" s="13" t="s">
        <v>118</v>
      </c>
      <c r="V2" s="19" t="s">
        <v>119</v>
      </c>
      <c r="W2" s="19" t="s">
        <v>120</v>
      </c>
      <c r="X2" s="19" t="s">
        <v>2</v>
      </c>
      <c r="Y2" s="19" t="s">
        <v>3</v>
      </c>
      <c r="Z2" s="19" t="s">
        <v>121</v>
      </c>
      <c r="AA2" s="21" t="s">
        <v>4</v>
      </c>
      <c r="AB2" s="21" t="s">
        <v>5</v>
      </c>
      <c r="AC2" s="21" t="s">
        <v>122</v>
      </c>
      <c r="AD2" s="22" t="s">
        <v>6</v>
      </c>
      <c r="AE2" s="22" t="s">
        <v>7</v>
      </c>
      <c r="AF2" s="22" t="s">
        <v>88</v>
      </c>
      <c r="AG2" s="1"/>
      <c r="AH2" s="1"/>
      <c r="AI2" s="1"/>
      <c r="AJ2" s="1"/>
      <c r="AK2" s="1"/>
      <c r="AL2" s="1"/>
    </row>
    <row r="3" spans="1:38" ht="15.75" customHeight="1" x14ac:dyDescent="0.3">
      <c r="A3" s="3" t="s">
        <v>54</v>
      </c>
      <c r="B3" s="6" t="s">
        <v>52</v>
      </c>
      <c r="C3" s="5">
        <v>640000000</v>
      </c>
      <c r="D3" s="5">
        <f t="shared" ref="D3:D13" si="0">AE3</f>
        <v>128255840</v>
      </c>
      <c r="E3" s="5">
        <f>D3/DAY('kpi dược sĩ'!$C$1)</f>
        <v>12825584</v>
      </c>
      <c r="F3" s="23">
        <f t="shared" ref="F3:F13" si="1">E3/T3</f>
        <v>0.20039974999999999</v>
      </c>
      <c r="G3" s="24">
        <f>IF(W3&lt;&gt;"Đạt", 0, IF(E3&gt;=T3, D3*0.5%+1000000, IF(E3&gt;=P3, D3*0.4%+700000, IF(E3&gt;=K3, D3*0.35%+500000, 0))))</f>
        <v>0</v>
      </c>
      <c r="H3" s="16">
        <v>0.8</v>
      </c>
      <c r="I3" s="5">
        <f t="shared" ref="I3:I13" si="2">J3*0.25</f>
        <v>128000000</v>
      </c>
      <c r="J3" s="5">
        <f t="shared" ref="J3:J13" si="3">C3*H3</f>
        <v>512000000</v>
      </c>
      <c r="K3" s="5">
        <f t="shared" ref="K3:K13" si="4">T3*H3</f>
        <v>51200000</v>
      </c>
      <c r="L3" s="5">
        <f t="shared" ref="L3:L13" si="5">CEILING(K3, 100000)</f>
        <v>51200000</v>
      </c>
      <c r="M3" s="16">
        <v>0.9</v>
      </c>
      <c r="N3" s="5">
        <f t="shared" ref="N3:N13" si="6">O3*0.25</f>
        <v>144000000</v>
      </c>
      <c r="O3" s="5">
        <f t="shared" ref="O3:O13" si="7">C3*M3</f>
        <v>576000000</v>
      </c>
      <c r="P3" s="5">
        <f t="shared" ref="P3:P13" si="8">T3*M3</f>
        <v>57600000</v>
      </c>
      <c r="Q3" s="16">
        <v>1</v>
      </c>
      <c r="R3" s="5">
        <f t="shared" ref="R3:R13" si="9">S3*0.25</f>
        <v>160000000</v>
      </c>
      <c r="S3" s="5">
        <f t="shared" ref="S3:S13" si="10">C3*Q3</f>
        <v>640000000</v>
      </c>
      <c r="T3" s="5">
        <f>C3/DAY('kpi dược sĩ'!$C$1)</f>
        <v>64000000</v>
      </c>
      <c r="U3" s="5">
        <f>SUMIF('Dự án T9'!$A:$A, B3, 'Dự án T9'!$D:$D)*DAY($F$1)</f>
        <v>36451680</v>
      </c>
      <c r="V3" s="23">
        <f t="shared" ref="V3:V13" si="11">U3/D3</f>
        <v>0.28421068389556375</v>
      </c>
      <c r="W3" s="6" t="str">
        <f t="shared" ref="W3:W13" si="12">IF(OR(F3="", V3=""), "", IF(AND(F3&gt;=80%, V3&gt;=25%), "Đạt", "Không đạt"))</f>
        <v>Không đạt</v>
      </c>
      <c r="X3" s="4">
        <f>SUMIF(data!$A:$A, B3, data!$C:$C)</f>
        <v>805</v>
      </c>
      <c r="Y3" s="5">
        <f>SUMIF(data!$A:$A, B3, data!$D:$D)</f>
        <v>59985100</v>
      </c>
      <c r="Z3" s="5">
        <f t="shared" ref="Z3:Z13" si="13">IF(X3&gt;0, Y3/X3, 0)</f>
        <v>74515.65217391304</v>
      </c>
      <c r="AA3" s="4">
        <f>SUMIF(data!$A:$A, B3, data!$E:$E)</f>
        <v>390</v>
      </c>
      <c r="AB3" s="5">
        <f>SUMIF(data!$A:$A, B3, data!$F:$F)</f>
        <v>68270740</v>
      </c>
      <c r="AC3" s="5">
        <f t="shared" ref="AC3:AC13" si="14">IF(AA3&gt;0, AB3/AA3, 0)</f>
        <v>175053.1794871795</v>
      </c>
      <c r="AD3" s="4">
        <f t="shared" ref="AD3:AD13" si="15">X3+AA3</f>
        <v>1195</v>
      </c>
      <c r="AE3" s="5">
        <f t="shared" ref="AE3:AE13" si="16">Y3+AB3</f>
        <v>128255840</v>
      </c>
      <c r="AF3" s="5">
        <f t="shared" ref="AF3:AF13" si="17">IF(AD3&gt;0, AE3/AD3, 0)</f>
        <v>107327.06276150627</v>
      </c>
      <c r="AG3" s="17"/>
      <c r="AH3" s="17"/>
      <c r="AI3" s="17"/>
      <c r="AJ3" s="17"/>
      <c r="AK3" s="17"/>
      <c r="AL3" s="17"/>
    </row>
    <row r="4" spans="1:38" ht="15.75" customHeight="1" x14ac:dyDescent="0.3">
      <c r="A4" s="3" t="s">
        <v>18</v>
      </c>
      <c r="B4" s="6" t="s">
        <v>64</v>
      </c>
      <c r="C4" s="5">
        <v>1200000000</v>
      </c>
      <c r="D4" s="5">
        <f t="shared" si="0"/>
        <v>225110620</v>
      </c>
      <c r="E4" s="5">
        <f>D4/DAY('kpi dược sĩ'!$C$1)</f>
        <v>22511062</v>
      </c>
      <c r="F4" s="23">
        <f t="shared" si="1"/>
        <v>0.18759218333333333</v>
      </c>
      <c r="G4" s="24">
        <f t="shared" ref="G4:G13" si="18">IF(W4&lt;&gt;"Đạt", 0, IF(E4&gt;=T4, D4*0.5%+1000000, IF(E4&gt;=P4, D4*0.4%+700000, IF(E4&gt;=K4, D4*0.35%+500000, 0))))</f>
        <v>0</v>
      </c>
      <c r="H4" s="16">
        <v>0.8</v>
      </c>
      <c r="I4" s="5">
        <f t="shared" si="2"/>
        <v>240000000</v>
      </c>
      <c r="J4" s="5">
        <f t="shared" si="3"/>
        <v>960000000</v>
      </c>
      <c r="K4" s="5">
        <f t="shared" si="4"/>
        <v>96000000</v>
      </c>
      <c r="L4" s="5">
        <f t="shared" si="5"/>
        <v>96000000</v>
      </c>
      <c r="M4" s="16">
        <v>0.9</v>
      </c>
      <c r="N4" s="5">
        <f t="shared" si="6"/>
        <v>270000000</v>
      </c>
      <c r="O4" s="5">
        <f t="shared" si="7"/>
        <v>1080000000</v>
      </c>
      <c r="P4" s="5">
        <f t="shared" si="8"/>
        <v>108000000</v>
      </c>
      <c r="Q4" s="16">
        <v>1</v>
      </c>
      <c r="R4" s="5">
        <f t="shared" si="9"/>
        <v>300000000</v>
      </c>
      <c r="S4" s="5">
        <f t="shared" si="10"/>
        <v>1200000000</v>
      </c>
      <c r="T4" s="5">
        <f>C4/DAY('kpi dược sĩ'!$C$1)</f>
        <v>120000000</v>
      </c>
      <c r="U4" s="5">
        <f>SUMIF('Dự án T9'!$A:$A, B4, 'Dự án T9'!$D:$D)*DAY($F$1)</f>
        <v>32717555</v>
      </c>
      <c r="V4" s="23">
        <f t="shared" si="11"/>
        <v>0.14533990000116387</v>
      </c>
      <c r="W4" s="6" t="str">
        <f t="shared" si="12"/>
        <v>Không đạt</v>
      </c>
      <c r="X4" s="4">
        <f>SUMIF(data!$A:$A, B4, data!$C:$C)</f>
        <v>726</v>
      </c>
      <c r="Y4" s="5">
        <f>SUMIF(data!$A:$A, B4, data!$D:$D)</f>
        <v>161333320</v>
      </c>
      <c r="Z4" s="5">
        <f t="shared" si="13"/>
        <v>222222.20385674931</v>
      </c>
      <c r="AA4" s="4">
        <f>SUMIF(data!$A:$A, B4, data!$E:$E)</f>
        <v>305</v>
      </c>
      <c r="AB4" s="5">
        <f>SUMIF(data!$A:$A, B4, data!$F:$F)</f>
        <v>63777300</v>
      </c>
      <c r="AC4" s="5">
        <f t="shared" si="14"/>
        <v>209105.90163934426</v>
      </c>
      <c r="AD4" s="4">
        <f t="shared" si="15"/>
        <v>1031</v>
      </c>
      <c r="AE4" s="5">
        <f t="shared" si="16"/>
        <v>225110620</v>
      </c>
      <c r="AF4" s="5">
        <f t="shared" si="17"/>
        <v>218342.01745877787</v>
      </c>
      <c r="AG4" s="17"/>
      <c r="AH4" s="17"/>
      <c r="AI4" s="17"/>
      <c r="AJ4" s="17"/>
      <c r="AK4" s="17"/>
      <c r="AL4" s="17"/>
    </row>
    <row r="5" spans="1:38" ht="15.75" customHeight="1" x14ac:dyDescent="0.3">
      <c r="A5" s="3" t="s">
        <v>24</v>
      </c>
      <c r="B5" s="6" t="s">
        <v>21</v>
      </c>
      <c r="C5" s="5">
        <v>460000000</v>
      </c>
      <c r="D5" s="5">
        <f t="shared" si="0"/>
        <v>111263600</v>
      </c>
      <c r="E5" s="5">
        <f>D5/DAY('kpi dược sĩ'!$C$1)</f>
        <v>11126360</v>
      </c>
      <c r="F5" s="23">
        <f t="shared" si="1"/>
        <v>0.24187739130434782</v>
      </c>
      <c r="G5" s="24">
        <f t="shared" si="18"/>
        <v>0</v>
      </c>
      <c r="H5" s="16">
        <v>0.8</v>
      </c>
      <c r="I5" s="5">
        <f t="shared" si="2"/>
        <v>92000000</v>
      </c>
      <c r="J5" s="5">
        <f t="shared" si="3"/>
        <v>368000000</v>
      </c>
      <c r="K5" s="5">
        <f t="shared" si="4"/>
        <v>36800000</v>
      </c>
      <c r="L5" s="5">
        <f t="shared" si="5"/>
        <v>36800000</v>
      </c>
      <c r="M5" s="16">
        <v>0.9</v>
      </c>
      <c r="N5" s="5">
        <f t="shared" si="6"/>
        <v>103500000</v>
      </c>
      <c r="O5" s="5">
        <f t="shared" si="7"/>
        <v>414000000</v>
      </c>
      <c r="P5" s="5">
        <f t="shared" si="8"/>
        <v>41400000</v>
      </c>
      <c r="Q5" s="16">
        <v>1</v>
      </c>
      <c r="R5" s="5">
        <f t="shared" si="9"/>
        <v>115000000</v>
      </c>
      <c r="S5" s="5">
        <f t="shared" si="10"/>
        <v>460000000</v>
      </c>
      <c r="T5" s="5">
        <f>C5/DAY('kpi dược sĩ'!$C$1)</f>
        <v>46000000</v>
      </c>
      <c r="U5" s="5">
        <f>SUMIF('Dự án T9'!$A:$A, B5, 'Dự án T9'!$D:$D)*DAY($F$1)</f>
        <v>46460485</v>
      </c>
      <c r="V5" s="23">
        <f t="shared" si="11"/>
        <v>0.4175712901613825</v>
      </c>
      <c r="W5" s="6" t="str">
        <f t="shared" si="12"/>
        <v>Không đạt</v>
      </c>
      <c r="X5" s="4">
        <f>SUMIF(data!$A:$A, B5, data!$C:$C)</f>
        <v>981</v>
      </c>
      <c r="Y5" s="5">
        <f>SUMIF(data!$A:$A, B5, data!$D:$D)</f>
        <v>72777250</v>
      </c>
      <c r="Z5" s="5">
        <f t="shared" si="13"/>
        <v>74186.799184505609</v>
      </c>
      <c r="AA5" s="4">
        <f>SUMIF(data!$A:$A, B5, data!$E:$E)</f>
        <v>196</v>
      </c>
      <c r="AB5" s="5">
        <f>SUMIF(data!$A:$A, B5, data!$F:$F)</f>
        <v>38486350</v>
      </c>
      <c r="AC5" s="5">
        <f t="shared" si="14"/>
        <v>196358.92857142858</v>
      </c>
      <c r="AD5" s="4">
        <f t="shared" si="15"/>
        <v>1177</v>
      </c>
      <c r="AE5" s="5">
        <f t="shared" si="16"/>
        <v>111263600</v>
      </c>
      <c r="AF5" s="5">
        <f t="shared" si="17"/>
        <v>94531.520815632961</v>
      </c>
      <c r="AG5" s="17"/>
      <c r="AH5" s="17"/>
      <c r="AI5" s="17"/>
      <c r="AJ5" s="17"/>
      <c r="AK5" s="17"/>
      <c r="AL5" s="17"/>
    </row>
    <row r="6" spans="1:38" ht="15.75" customHeight="1" x14ac:dyDescent="0.3">
      <c r="A6" s="3" t="s">
        <v>123</v>
      </c>
      <c r="B6" s="6" t="s">
        <v>26</v>
      </c>
      <c r="C6" s="5">
        <v>300000000</v>
      </c>
      <c r="D6" s="5">
        <f t="shared" si="0"/>
        <v>101192200</v>
      </c>
      <c r="E6" s="5">
        <f>D6/DAY('kpi dược sĩ'!$C$1)</f>
        <v>10119220</v>
      </c>
      <c r="F6" s="23">
        <f t="shared" si="1"/>
        <v>0.33730733333333335</v>
      </c>
      <c r="G6" s="24">
        <f t="shared" si="18"/>
        <v>0</v>
      </c>
      <c r="H6" s="16">
        <v>0.8</v>
      </c>
      <c r="I6" s="5">
        <f t="shared" si="2"/>
        <v>60000000</v>
      </c>
      <c r="J6" s="5">
        <f t="shared" si="3"/>
        <v>240000000</v>
      </c>
      <c r="K6" s="5">
        <f t="shared" si="4"/>
        <v>24000000</v>
      </c>
      <c r="L6" s="5">
        <f t="shared" si="5"/>
        <v>24000000</v>
      </c>
      <c r="M6" s="16">
        <v>0.9</v>
      </c>
      <c r="N6" s="5">
        <f t="shared" si="6"/>
        <v>67500000</v>
      </c>
      <c r="O6" s="5">
        <f t="shared" si="7"/>
        <v>270000000</v>
      </c>
      <c r="P6" s="5">
        <f t="shared" si="8"/>
        <v>27000000</v>
      </c>
      <c r="Q6" s="16">
        <v>1</v>
      </c>
      <c r="R6" s="5">
        <f t="shared" si="9"/>
        <v>75000000</v>
      </c>
      <c r="S6" s="5">
        <f t="shared" si="10"/>
        <v>300000000</v>
      </c>
      <c r="T6" s="5">
        <f>C6/DAY('kpi dược sĩ'!$C$1)</f>
        <v>30000000</v>
      </c>
      <c r="U6" s="5">
        <f>SUMIF('Dự án T9'!$A:$A, B6, 'Dự án T9'!$D:$D)*DAY($F$1)</f>
        <v>26287780</v>
      </c>
      <c r="V6" s="23">
        <f t="shared" si="11"/>
        <v>0.25978069455946207</v>
      </c>
      <c r="W6" s="6" t="str">
        <f t="shared" si="12"/>
        <v>Không đạt</v>
      </c>
      <c r="X6" s="4">
        <f>SUMIF(data!$A:$A, B6, data!$C:$C)</f>
        <v>505</v>
      </c>
      <c r="Y6" s="5">
        <f>SUMIF(data!$A:$A, B6, data!$D:$D)</f>
        <v>38476400</v>
      </c>
      <c r="Z6" s="5">
        <f t="shared" si="13"/>
        <v>76190.891089108918</v>
      </c>
      <c r="AA6" s="4">
        <f>SUMIF(data!$A:$A, B6, data!$E:$E)</f>
        <v>177</v>
      </c>
      <c r="AB6" s="5">
        <f>SUMIF(data!$A:$A, B6, data!$F:$F)</f>
        <v>62715800</v>
      </c>
      <c r="AC6" s="5">
        <f t="shared" si="14"/>
        <v>354326.55367231637</v>
      </c>
      <c r="AD6" s="4">
        <f t="shared" si="15"/>
        <v>682</v>
      </c>
      <c r="AE6" s="5">
        <f t="shared" si="16"/>
        <v>101192200</v>
      </c>
      <c r="AF6" s="5">
        <f t="shared" si="17"/>
        <v>148375.65982404692</v>
      </c>
      <c r="AG6" s="17"/>
      <c r="AH6" s="17"/>
      <c r="AI6" s="17"/>
      <c r="AJ6" s="17"/>
      <c r="AK6" s="17"/>
      <c r="AL6" s="17"/>
    </row>
    <row r="7" spans="1:38" ht="15.75" customHeight="1" x14ac:dyDescent="0.3">
      <c r="A7" s="3" t="s">
        <v>32</v>
      </c>
      <c r="B7" s="6" t="s">
        <v>31</v>
      </c>
      <c r="C7" s="5">
        <v>520000000</v>
      </c>
      <c r="D7" s="5">
        <f t="shared" si="0"/>
        <v>108286700</v>
      </c>
      <c r="E7" s="5">
        <f>D7/DAY('kpi dược sĩ'!$C$1)</f>
        <v>10828670</v>
      </c>
      <c r="F7" s="23">
        <f t="shared" si="1"/>
        <v>0.20824365384615384</v>
      </c>
      <c r="G7" s="24">
        <f t="shared" si="18"/>
        <v>0</v>
      </c>
      <c r="H7" s="16">
        <v>0.8</v>
      </c>
      <c r="I7" s="5">
        <f t="shared" si="2"/>
        <v>104000000</v>
      </c>
      <c r="J7" s="5">
        <f t="shared" si="3"/>
        <v>416000000</v>
      </c>
      <c r="K7" s="5">
        <f t="shared" si="4"/>
        <v>41600000</v>
      </c>
      <c r="L7" s="5">
        <f t="shared" si="5"/>
        <v>41600000</v>
      </c>
      <c r="M7" s="16">
        <v>0.9</v>
      </c>
      <c r="N7" s="5">
        <f t="shared" si="6"/>
        <v>117000000</v>
      </c>
      <c r="O7" s="5">
        <f t="shared" si="7"/>
        <v>468000000</v>
      </c>
      <c r="P7" s="5">
        <f t="shared" si="8"/>
        <v>46800000</v>
      </c>
      <c r="Q7" s="16">
        <v>1</v>
      </c>
      <c r="R7" s="5">
        <f t="shared" si="9"/>
        <v>130000000</v>
      </c>
      <c r="S7" s="5">
        <f t="shared" si="10"/>
        <v>520000000</v>
      </c>
      <c r="T7" s="5">
        <f>C7/DAY('kpi dược sĩ'!$C$1)</f>
        <v>52000000</v>
      </c>
      <c r="U7" s="5">
        <f>SUMIF('Dự án T9'!$A:$A, B7, 'Dự án T9'!$D:$D)*DAY($F$1)</f>
        <v>27755143</v>
      </c>
      <c r="V7" s="23">
        <f t="shared" si="11"/>
        <v>0.25631165230817821</v>
      </c>
      <c r="W7" s="6" t="str">
        <f t="shared" si="12"/>
        <v>Không đạt</v>
      </c>
      <c r="X7" s="4">
        <f>SUMIF(data!$A:$A, B7, data!$C:$C)</f>
        <v>799</v>
      </c>
      <c r="Y7" s="5">
        <f>SUMIF(data!$A:$A, B7, data!$D:$D)</f>
        <v>62177300</v>
      </c>
      <c r="Z7" s="5">
        <f t="shared" si="13"/>
        <v>77818.898623279092</v>
      </c>
      <c r="AA7" s="4">
        <f>SUMIF(data!$A:$A, B7, data!$E:$E)</f>
        <v>227</v>
      </c>
      <c r="AB7" s="5">
        <f>SUMIF(data!$A:$A, B7, data!$F:$F)</f>
        <v>46109400</v>
      </c>
      <c r="AC7" s="5">
        <f t="shared" si="14"/>
        <v>203125.11013215859</v>
      </c>
      <c r="AD7" s="4">
        <f t="shared" si="15"/>
        <v>1026</v>
      </c>
      <c r="AE7" s="5">
        <f t="shared" si="16"/>
        <v>108286700</v>
      </c>
      <c r="AF7" s="5">
        <f t="shared" si="17"/>
        <v>105542.5925925926</v>
      </c>
      <c r="AG7" s="17"/>
      <c r="AH7" s="17"/>
      <c r="AI7" s="17"/>
      <c r="AJ7" s="17"/>
      <c r="AK7" s="17"/>
      <c r="AL7" s="17"/>
    </row>
    <row r="8" spans="1:38" ht="15.75" customHeight="1" x14ac:dyDescent="0.3">
      <c r="A8" s="3" t="s">
        <v>40</v>
      </c>
      <c r="B8" s="6" t="s">
        <v>37</v>
      </c>
      <c r="C8" s="5">
        <v>545000000</v>
      </c>
      <c r="D8" s="5">
        <f t="shared" si="0"/>
        <v>127436022</v>
      </c>
      <c r="E8" s="5">
        <f>D8/DAY('kpi dược sĩ'!$C$1)</f>
        <v>12743602.199999999</v>
      </c>
      <c r="F8" s="23">
        <f t="shared" si="1"/>
        <v>0.23382756330275228</v>
      </c>
      <c r="G8" s="24">
        <f t="shared" si="18"/>
        <v>0</v>
      </c>
      <c r="H8" s="16">
        <v>0.8</v>
      </c>
      <c r="I8" s="5">
        <f t="shared" si="2"/>
        <v>109000000</v>
      </c>
      <c r="J8" s="5">
        <f t="shared" si="3"/>
        <v>436000000</v>
      </c>
      <c r="K8" s="5">
        <f t="shared" si="4"/>
        <v>43600000</v>
      </c>
      <c r="L8" s="5">
        <f t="shared" si="5"/>
        <v>43600000</v>
      </c>
      <c r="M8" s="16">
        <v>0.9</v>
      </c>
      <c r="N8" s="5">
        <f t="shared" si="6"/>
        <v>122625000</v>
      </c>
      <c r="O8" s="5">
        <f t="shared" si="7"/>
        <v>490500000</v>
      </c>
      <c r="P8" s="5">
        <f t="shared" si="8"/>
        <v>49050000</v>
      </c>
      <c r="Q8" s="16">
        <v>1</v>
      </c>
      <c r="R8" s="5">
        <f t="shared" si="9"/>
        <v>136250000</v>
      </c>
      <c r="S8" s="5">
        <f t="shared" si="10"/>
        <v>545000000</v>
      </c>
      <c r="T8" s="5">
        <f>C8/DAY('kpi dược sĩ'!$C$1)</f>
        <v>54500000</v>
      </c>
      <c r="U8" s="5">
        <f>SUMIF('Dự án T9'!$A:$A, B8, 'Dự án T9'!$D:$D)*DAY($F$1)</f>
        <v>32923410</v>
      </c>
      <c r="V8" s="23">
        <f t="shared" si="11"/>
        <v>0.25835246175527982</v>
      </c>
      <c r="W8" s="6" t="str">
        <f t="shared" si="12"/>
        <v>Không đạt</v>
      </c>
      <c r="X8" s="4">
        <f>SUMIF(data!$A:$A, B8, data!$C:$C)</f>
        <v>745</v>
      </c>
      <c r="Y8" s="5">
        <f>SUMIF(data!$A:$A, B8, data!$D:$D)</f>
        <v>52014500</v>
      </c>
      <c r="Z8" s="5">
        <f t="shared" si="13"/>
        <v>69818.120805369123</v>
      </c>
      <c r="AA8" s="4">
        <f>SUMIF(data!$A:$A, B8, data!$E:$E)</f>
        <v>371</v>
      </c>
      <c r="AB8" s="5">
        <f>SUMIF(data!$A:$A, B8, data!$F:$F)</f>
        <v>75421522</v>
      </c>
      <c r="AC8" s="5">
        <f t="shared" si="14"/>
        <v>203292.51212938005</v>
      </c>
      <c r="AD8" s="4">
        <f t="shared" si="15"/>
        <v>1116</v>
      </c>
      <c r="AE8" s="5">
        <f t="shared" si="16"/>
        <v>127436022</v>
      </c>
      <c r="AF8" s="5">
        <f t="shared" si="17"/>
        <v>114189.98387096774</v>
      </c>
      <c r="AG8" s="17"/>
      <c r="AH8" s="17"/>
      <c r="AI8" s="17"/>
      <c r="AJ8" s="17"/>
      <c r="AK8" s="17"/>
      <c r="AL8" s="17"/>
    </row>
    <row r="9" spans="1:38" ht="15.75" customHeight="1" x14ac:dyDescent="0.3">
      <c r="A9" s="3" t="s">
        <v>44</v>
      </c>
      <c r="B9" s="6" t="s">
        <v>42</v>
      </c>
      <c r="C9" s="5">
        <v>350000000</v>
      </c>
      <c r="D9" s="5">
        <f t="shared" si="0"/>
        <v>109363550</v>
      </c>
      <c r="E9" s="5">
        <f>D9/DAY('kpi dược sĩ'!$C$1)</f>
        <v>10936355</v>
      </c>
      <c r="F9" s="23">
        <f t="shared" si="1"/>
        <v>0.31246728571428573</v>
      </c>
      <c r="G9" s="24">
        <f t="shared" si="18"/>
        <v>0</v>
      </c>
      <c r="H9" s="16">
        <v>0.8</v>
      </c>
      <c r="I9" s="5">
        <f t="shared" si="2"/>
        <v>70000000</v>
      </c>
      <c r="J9" s="5">
        <f t="shared" si="3"/>
        <v>280000000</v>
      </c>
      <c r="K9" s="5">
        <f t="shared" si="4"/>
        <v>28000000</v>
      </c>
      <c r="L9" s="5">
        <f t="shared" si="5"/>
        <v>28000000</v>
      </c>
      <c r="M9" s="16">
        <v>0.9</v>
      </c>
      <c r="N9" s="5">
        <f t="shared" si="6"/>
        <v>78750000</v>
      </c>
      <c r="O9" s="5">
        <f t="shared" si="7"/>
        <v>315000000</v>
      </c>
      <c r="P9" s="5">
        <f t="shared" si="8"/>
        <v>31500000</v>
      </c>
      <c r="Q9" s="16">
        <v>1</v>
      </c>
      <c r="R9" s="5">
        <f t="shared" si="9"/>
        <v>87500000</v>
      </c>
      <c r="S9" s="5">
        <f t="shared" si="10"/>
        <v>350000000</v>
      </c>
      <c r="T9" s="5">
        <f>C9/DAY('kpi dược sĩ'!$C$1)</f>
        <v>35000000</v>
      </c>
      <c r="U9" s="5">
        <f>SUMIF('Dự án T9'!$A:$A, B9, 'Dự án T9'!$D:$D)*DAY($F$1)</f>
        <v>44265206</v>
      </c>
      <c r="V9" s="23">
        <f t="shared" si="11"/>
        <v>0.40475282669591467</v>
      </c>
      <c r="W9" s="6" t="str">
        <f t="shared" si="12"/>
        <v>Không đạt</v>
      </c>
      <c r="X9" s="4">
        <f>SUMIF(data!$A:$A, B9, data!$C:$C)</f>
        <v>1036</v>
      </c>
      <c r="Y9" s="5">
        <f>SUMIF(data!$A:$A, B9, data!$D:$D)</f>
        <v>75347400</v>
      </c>
      <c r="Z9" s="5">
        <f t="shared" si="13"/>
        <v>72729.150579150577</v>
      </c>
      <c r="AA9" s="4">
        <f>SUMIF(data!$A:$A, B9, data!$E:$E)</f>
        <v>165</v>
      </c>
      <c r="AB9" s="5">
        <f>SUMIF(data!$A:$A, B9, data!$F:$F)</f>
        <v>34016150</v>
      </c>
      <c r="AC9" s="5">
        <f t="shared" si="14"/>
        <v>206158.48484848486</v>
      </c>
      <c r="AD9" s="4">
        <f t="shared" si="15"/>
        <v>1201</v>
      </c>
      <c r="AE9" s="5">
        <f t="shared" si="16"/>
        <v>109363550</v>
      </c>
      <c r="AF9" s="5">
        <f t="shared" si="17"/>
        <v>91060.407993338886</v>
      </c>
      <c r="AG9" s="17"/>
      <c r="AH9" s="17"/>
      <c r="AI9" s="17"/>
      <c r="AJ9" s="17"/>
      <c r="AK9" s="17"/>
      <c r="AL9" s="17"/>
    </row>
    <row r="10" spans="1:38" ht="15.75" customHeight="1" x14ac:dyDescent="0.3">
      <c r="A10" s="3" t="s">
        <v>39</v>
      </c>
      <c r="B10" s="6" t="s">
        <v>48</v>
      </c>
      <c r="C10" s="5">
        <v>430000000</v>
      </c>
      <c r="D10" s="5">
        <f t="shared" si="0"/>
        <v>91087600</v>
      </c>
      <c r="E10" s="5">
        <f>D10/DAY('kpi dược sĩ'!$C$1)</f>
        <v>9108760</v>
      </c>
      <c r="F10" s="23">
        <f t="shared" si="1"/>
        <v>0.21183162790697674</v>
      </c>
      <c r="G10" s="24">
        <f t="shared" si="18"/>
        <v>0</v>
      </c>
      <c r="H10" s="16">
        <v>0.8</v>
      </c>
      <c r="I10" s="5">
        <f t="shared" si="2"/>
        <v>86000000</v>
      </c>
      <c r="J10" s="5">
        <f t="shared" si="3"/>
        <v>344000000</v>
      </c>
      <c r="K10" s="5">
        <f t="shared" si="4"/>
        <v>34400000</v>
      </c>
      <c r="L10" s="5">
        <f t="shared" si="5"/>
        <v>34400000</v>
      </c>
      <c r="M10" s="16">
        <v>0.9</v>
      </c>
      <c r="N10" s="5">
        <f t="shared" si="6"/>
        <v>96750000</v>
      </c>
      <c r="O10" s="5">
        <f t="shared" si="7"/>
        <v>387000000</v>
      </c>
      <c r="P10" s="5">
        <f t="shared" si="8"/>
        <v>38700000</v>
      </c>
      <c r="Q10" s="16">
        <v>1</v>
      </c>
      <c r="R10" s="5">
        <f t="shared" si="9"/>
        <v>107500000</v>
      </c>
      <c r="S10" s="5">
        <f t="shared" si="10"/>
        <v>430000000</v>
      </c>
      <c r="T10" s="5">
        <f>C10/DAY('kpi dược sĩ'!$C$1)</f>
        <v>43000000</v>
      </c>
      <c r="U10" s="5">
        <f>SUMIF('Dự án T9'!$A:$A, B10, 'Dự án T9'!$D:$D)*DAY($F$1)</f>
        <v>30725449</v>
      </c>
      <c r="V10" s="23">
        <f t="shared" si="11"/>
        <v>0.33731758219560071</v>
      </c>
      <c r="W10" s="6" t="str">
        <f t="shared" si="12"/>
        <v>Không đạt</v>
      </c>
      <c r="X10" s="4">
        <f>SUMIF(data!$A:$A, B10, data!$C:$C)</f>
        <v>595</v>
      </c>
      <c r="Y10" s="5">
        <f>SUMIF(data!$A:$A, B10, data!$D:$D)</f>
        <v>49018800</v>
      </c>
      <c r="Z10" s="5">
        <f t="shared" si="13"/>
        <v>82384.537815126052</v>
      </c>
      <c r="AA10" s="4">
        <f>SUMIF(data!$A:$A, B10, data!$E:$E)</f>
        <v>239</v>
      </c>
      <c r="AB10" s="5">
        <f>SUMIF(data!$A:$A, B10, data!$F:$F)</f>
        <v>42068800</v>
      </c>
      <c r="AC10" s="5">
        <f t="shared" si="14"/>
        <v>176020.08368200838</v>
      </c>
      <c r="AD10" s="4">
        <f t="shared" si="15"/>
        <v>834</v>
      </c>
      <c r="AE10" s="5">
        <f t="shared" si="16"/>
        <v>91087600</v>
      </c>
      <c r="AF10" s="5">
        <f t="shared" si="17"/>
        <v>109217.74580335732</v>
      </c>
      <c r="AG10" s="17"/>
      <c r="AH10" s="17"/>
      <c r="AI10" s="17"/>
      <c r="AJ10" s="17"/>
      <c r="AK10" s="17"/>
      <c r="AL10" s="17"/>
    </row>
    <row r="11" spans="1:38" ht="15.75" customHeight="1" x14ac:dyDescent="0.3">
      <c r="A11" s="3" t="s">
        <v>16</v>
      </c>
      <c r="B11" s="6" t="s">
        <v>14</v>
      </c>
      <c r="C11" s="5">
        <v>325500000</v>
      </c>
      <c r="D11" s="5">
        <f t="shared" si="0"/>
        <v>73998650</v>
      </c>
      <c r="E11" s="5">
        <f>D11/DAY('kpi dược sĩ'!$C$1)</f>
        <v>7399865</v>
      </c>
      <c r="F11" s="23">
        <f t="shared" si="1"/>
        <v>0.2273384024577573</v>
      </c>
      <c r="G11" s="24">
        <f t="shared" si="18"/>
        <v>0</v>
      </c>
      <c r="H11" s="16">
        <v>0.8</v>
      </c>
      <c r="I11" s="5">
        <f t="shared" si="2"/>
        <v>65100000</v>
      </c>
      <c r="J11" s="5">
        <f t="shared" si="3"/>
        <v>260400000</v>
      </c>
      <c r="K11" s="5">
        <f t="shared" si="4"/>
        <v>26040000</v>
      </c>
      <c r="L11" s="5">
        <f t="shared" si="5"/>
        <v>26100000</v>
      </c>
      <c r="M11" s="16">
        <v>0.9</v>
      </c>
      <c r="N11" s="5">
        <f t="shared" si="6"/>
        <v>73237500</v>
      </c>
      <c r="O11" s="5">
        <f t="shared" si="7"/>
        <v>292950000</v>
      </c>
      <c r="P11" s="5">
        <f t="shared" si="8"/>
        <v>29295000</v>
      </c>
      <c r="Q11" s="16">
        <v>1</v>
      </c>
      <c r="R11" s="5">
        <f t="shared" si="9"/>
        <v>81375000</v>
      </c>
      <c r="S11" s="5">
        <f t="shared" si="10"/>
        <v>325500000</v>
      </c>
      <c r="T11" s="5">
        <f>C11/DAY('kpi dược sĩ'!$C$1)</f>
        <v>32550000</v>
      </c>
      <c r="U11" s="5">
        <f>SUMIF('Dự án T9'!$A:$A, B11, 'Dự án T9'!$D:$D)*DAY($F$1)</f>
        <v>37348339</v>
      </c>
      <c r="V11" s="23">
        <f t="shared" si="11"/>
        <v>0.50471649144950614</v>
      </c>
      <c r="W11" s="6" t="str">
        <f t="shared" si="12"/>
        <v>Không đạt</v>
      </c>
      <c r="X11" s="4">
        <f>SUMIF(data!$A:$A, B11, data!$C:$C)</f>
        <v>387</v>
      </c>
      <c r="Y11" s="5">
        <f>SUMIF(data!$A:$A, B11, data!$D:$D)</f>
        <v>35791600</v>
      </c>
      <c r="Z11" s="5">
        <f t="shared" si="13"/>
        <v>92484.754521963827</v>
      </c>
      <c r="AA11" s="4">
        <f>SUMIF(data!$A:$A, B11, data!$E:$E)</f>
        <v>204</v>
      </c>
      <c r="AB11" s="5">
        <f>SUMIF(data!$A:$A, B11, data!$F:$F)</f>
        <v>38207050</v>
      </c>
      <c r="AC11" s="5">
        <f t="shared" si="14"/>
        <v>187289.46078431373</v>
      </c>
      <c r="AD11" s="4">
        <f t="shared" si="15"/>
        <v>591</v>
      </c>
      <c r="AE11" s="5">
        <f t="shared" si="16"/>
        <v>73998650</v>
      </c>
      <c r="AF11" s="5">
        <f t="shared" si="17"/>
        <v>125209.22165820643</v>
      </c>
      <c r="AG11" s="17"/>
      <c r="AH11" s="17"/>
      <c r="AI11" s="17"/>
      <c r="AJ11" s="17"/>
      <c r="AK11" s="17"/>
      <c r="AL11" s="17"/>
    </row>
    <row r="12" spans="1:38" ht="15.75" customHeight="1" x14ac:dyDescent="0.3">
      <c r="A12" s="3" t="s">
        <v>12</v>
      </c>
      <c r="B12" s="6" t="s">
        <v>8</v>
      </c>
      <c r="C12" s="5">
        <v>1350000000</v>
      </c>
      <c r="D12" s="5">
        <f t="shared" si="0"/>
        <v>300825401</v>
      </c>
      <c r="E12" s="5">
        <f>D12/DAY('kpi dược sĩ'!$C$1)</f>
        <v>30082540.100000001</v>
      </c>
      <c r="F12" s="23">
        <f t="shared" si="1"/>
        <v>0.22283363037037038</v>
      </c>
      <c r="G12" s="24">
        <f t="shared" si="18"/>
        <v>0</v>
      </c>
      <c r="H12" s="16">
        <v>0.8</v>
      </c>
      <c r="I12" s="5">
        <f t="shared" si="2"/>
        <v>270000000</v>
      </c>
      <c r="J12" s="5">
        <f t="shared" si="3"/>
        <v>1080000000</v>
      </c>
      <c r="K12" s="5">
        <f t="shared" si="4"/>
        <v>108000000</v>
      </c>
      <c r="L12" s="5">
        <f t="shared" si="5"/>
        <v>108000000</v>
      </c>
      <c r="M12" s="16">
        <v>0.9</v>
      </c>
      <c r="N12" s="5">
        <f t="shared" si="6"/>
        <v>303750000</v>
      </c>
      <c r="O12" s="5">
        <f t="shared" si="7"/>
        <v>1215000000</v>
      </c>
      <c r="P12" s="5">
        <f t="shared" si="8"/>
        <v>121500000</v>
      </c>
      <c r="Q12" s="16">
        <v>1</v>
      </c>
      <c r="R12" s="5">
        <f t="shared" si="9"/>
        <v>337500000</v>
      </c>
      <c r="S12" s="5">
        <f t="shared" si="10"/>
        <v>1350000000</v>
      </c>
      <c r="T12" s="5">
        <f>C12/DAY('kpi dược sĩ'!$C$1)</f>
        <v>135000000</v>
      </c>
      <c r="U12" s="5">
        <f>SUMIF('Dự án T9'!$A:$A, B12, 'Dự án T9'!$D:$D)*DAY($F$1)</f>
        <v>128448345</v>
      </c>
      <c r="V12" s="23">
        <f t="shared" si="11"/>
        <v>0.42698636675298574</v>
      </c>
      <c r="W12" s="6" t="str">
        <f t="shared" si="12"/>
        <v>Không đạt</v>
      </c>
      <c r="X12" s="4">
        <f>SUMIF(data!$A:$A, B12, data!$C:$C)</f>
        <v>989</v>
      </c>
      <c r="Y12" s="5">
        <f>SUMIF(data!$A:$A, B12, data!$D:$D)</f>
        <v>240646022</v>
      </c>
      <c r="Z12" s="5">
        <f t="shared" si="13"/>
        <v>243322.57027300305</v>
      </c>
      <c r="AA12" s="4">
        <f>SUMIF(data!$A:$A, B12, data!$E:$E)</f>
        <v>314</v>
      </c>
      <c r="AB12" s="5">
        <f>SUMIF(data!$A:$A, B12, data!$F:$F)</f>
        <v>60179379</v>
      </c>
      <c r="AC12" s="5">
        <f t="shared" si="14"/>
        <v>191654.07324840763</v>
      </c>
      <c r="AD12" s="4">
        <f t="shared" si="15"/>
        <v>1303</v>
      </c>
      <c r="AE12" s="5">
        <f t="shared" si="16"/>
        <v>300825401</v>
      </c>
      <c r="AF12" s="5">
        <f t="shared" si="17"/>
        <v>230871.37452033767</v>
      </c>
      <c r="AG12" s="17"/>
      <c r="AH12" s="17"/>
      <c r="AI12" s="17"/>
      <c r="AJ12" s="17"/>
      <c r="AK12" s="17"/>
      <c r="AL12" s="17"/>
    </row>
    <row r="13" spans="1:38" ht="15.75" customHeight="1" x14ac:dyDescent="0.3">
      <c r="A13" s="3" t="s">
        <v>58</v>
      </c>
      <c r="B13" s="6" t="s">
        <v>57</v>
      </c>
      <c r="C13" s="5">
        <v>1100000000</v>
      </c>
      <c r="D13" s="5">
        <f t="shared" si="0"/>
        <v>258317094</v>
      </c>
      <c r="E13" s="5">
        <f>D13/DAY('kpi dược sĩ'!$C$1)</f>
        <v>25831709.399999999</v>
      </c>
      <c r="F13" s="23">
        <f t="shared" si="1"/>
        <v>0.2348337218181818</v>
      </c>
      <c r="G13" s="24">
        <f t="shared" si="18"/>
        <v>0</v>
      </c>
      <c r="H13" s="16">
        <v>0.8</v>
      </c>
      <c r="I13" s="5">
        <f t="shared" si="2"/>
        <v>220000000</v>
      </c>
      <c r="J13" s="5">
        <f t="shared" si="3"/>
        <v>880000000</v>
      </c>
      <c r="K13" s="5">
        <f t="shared" si="4"/>
        <v>88000000</v>
      </c>
      <c r="L13" s="5">
        <f t="shared" si="5"/>
        <v>88000000</v>
      </c>
      <c r="M13" s="16">
        <v>0.9</v>
      </c>
      <c r="N13" s="5">
        <f t="shared" si="6"/>
        <v>247500000</v>
      </c>
      <c r="O13" s="5">
        <f t="shared" si="7"/>
        <v>990000000</v>
      </c>
      <c r="P13" s="5">
        <f t="shared" si="8"/>
        <v>99000000</v>
      </c>
      <c r="Q13" s="16">
        <v>1</v>
      </c>
      <c r="R13" s="5">
        <f t="shared" si="9"/>
        <v>275000000</v>
      </c>
      <c r="S13" s="5">
        <f t="shared" si="10"/>
        <v>1100000000</v>
      </c>
      <c r="T13" s="5">
        <f>C13/DAY('kpi dược sĩ'!$C$1)</f>
        <v>110000000</v>
      </c>
      <c r="U13" s="5">
        <f>SUMIF('Dự án T9'!$A:$A, B13, 'Dự án T9'!$D:$D)*DAY($F$1)</f>
        <v>130576943.99999999</v>
      </c>
      <c r="V13" s="23">
        <f t="shared" si="11"/>
        <v>0.50549091420175229</v>
      </c>
      <c r="W13" s="6" t="str">
        <f t="shared" si="12"/>
        <v>Không đạt</v>
      </c>
      <c r="X13" s="4">
        <f>SUMIF(data!$A:$A, B13, data!$C:$C)</f>
        <v>894</v>
      </c>
      <c r="Y13" s="5">
        <f>SUMIF(data!$A:$A, B13, data!$D:$D)</f>
        <v>111525944</v>
      </c>
      <c r="Z13" s="5">
        <f t="shared" si="13"/>
        <v>124749.37807606264</v>
      </c>
      <c r="AA13" s="4">
        <f>SUMIF(data!$A:$A, B13, data!$E:$E)</f>
        <v>655</v>
      </c>
      <c r="AB13" s="5">
        <f>SUMIF(data!$A:$A, B13, data!$F:$F)</f>
        <v>146791150</v>
      </c>
      <c r="AC13" s="5">
        <f t="shared" si="14"/>
        <v>224108.62595419848</v>
      </c>
      <c r="AD13" s="4">
        <f t="shared" si="15"/>
        <v>1549</v>
      </c>
      <c r="AE13" s="5">
        <f t="shared" si="16"/>
        <v>258317094</v>
      </c>
      <c r="AF13" s="5">
        <f t="shared" si="17"/>
        <v>166763.77921239511</v>
      </c>
      <c r="AG13" s="17"/>
      <c r="AH13" s="17"/>
      <c r="AI13" s="17"/>
      <c r="AJ13" s="17"/>
      <c r="AK13" s="17"/>
      <c r="AL13" s="17"/>
    </row>
  </sheetData>
  <mergeCells count="1">
    <mergeCell ref="D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L63"/>
  <sheetViews>
    <sheetView tabSelected="1" workbookViewId="0">
      <pane xSplit="2" ySplit="2" topLeftCell="C3" activePane="bottomRight" state="frozen"/>
      <selection pane="topRight"/>
      <selection pane="bottomLeft"/>
      <selection pane="bottomRight" activeCell="B56" sqref="B56"/>
    </sheetView>
  </sheetViews>
  <sheetFormatPr defaultRowHeight="14.4" x14ac:dyDescent="0.3"/>
  <cols>
    <col min="1" max="1" width="15.6640625" customWidth="1"/>
    <col min="2" max="2" width="20.77734375" customWidth="1"/>
    <col min="3" max="3" width="13" customWidth="1"/>
    <col min="4" max="4" width="14.21875" customWidth="1"/>
    <col min="5" max="8" width="13" customWidth="1"/>
    <col min="9" max="9" width="15.44140625" customWidth="1"/>
    <col min="10" max="10" width="14.21875" customWidth="1"/>
    <col min="11" max="12" width="13" customWidth="1"/>
    <col min="13" max="13" width="14.21875" customWidth="1"/>
    <col min="14" max="38" width="13" customWidth="1"/>
  </cols>
  <sheetData>
    <row r="1" spans="1:38" ht="19.5" customHeight="1" x14ac:dyDescent="0.3">
      <c r="A1" s="30">
        <v>46275</v>
      </c>
      <c r="B1" s="8"/>
      <c r="C1" s="8"/>
      <c r="D1" s="25"/>
      <c r="E1" s="25"/>
      <c r="F1" s="25"/>
      <c r="G1" s="25"/>
      <c r="H1" s="25"/>
      <c r="I1" s="25"/>
      <c r="J1" s="25"/>
      <c r="K1" s="25"/>
      <c r="L1" s="25"/>
      <c r="M1" s="25"/>
    </row>
    <row r="2" spans="1:38" ht="33.75" customHeight="1" x14ac:dyDescent="0.3">
      <c r="A2" s="9" t="s">
        <v>0</v>
      </c>
      <c r="B2" s="9" t="s">
        <v>71</v>
      </c>
      <c r="C2" s="9" t="s">
        <v>72</v>
      </c>
      <c r="D2" s="11" t="s">
        <v>76</v>
      </c>
      <c r="E2" s="11" t="s">
        <v>124</v>
      </c>
      <c r="F2" s="11" t="s">
        <v>125</v>
      </c>
      <c r="G2" s="11" t="s">
        <v>126</v>
      </c>
      <c r="H2" s="11" t="s">
        <v>127</v>
      </c>
      <c r="I2" s="11" t="s">
        <v>128</v>
      </c>
      <c r="J2" s="11" t="s">
        <v>129</v>
      </c>
      <c r="K2" s="11" t="s">
        <v>130</v>
      </c>
      <c r="L2" s="11" t="s">
        <v>131</v>
      </c>
      <c r="M2" s="11" t="s">
        <v>132</v>
      </c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</row>
    <row r="3" spans="1:38" ht="13.8" customHeight="1" x14ac:dyDescent="0.3">
      <c r="A3" s="26" t="s">
        <v>52</v>
      </c>
      <c r="B3" s="27" t="s">
        <v>54</v>
      </c>
      <c r="C3" s="6" t="s">
        <v>89</v>
      </c>
      <c r="D3" s="5">
        <f t="shared" ref="D3:D34" si="0">SUM(E3:G3)/DAY($A$1)</f>
        <v>699788.4</v>
      </c>
      <c r="E3" s="5">
        <v>103943</v>
      </c>
      <c r="F3" s="5">
        <v>3490284</v>
      </c>
      <c r="G3" s="5">
        <v>3403657</v>
      </c>
      <c r="H3" s="5">
        <f t="shared" ref="H3:H34" si="1">F3/DAY($A$1)</f>
        <v>349028.4</v>
      </c>
      <c r="I3" s="5">
        <f t="shared" ref="I3:I34" si="2">G3/DAY($A$1)</f>
        <v>340365.7</v>
      </c>
      <c r="J3" s="5">
        <f t="shared" ref="J3:J34" si="3">IFERROR(IF(OR($A3="Hàng Bông",$A3="Đường Láng"),_xlfn.IFS(AND($H3&gt;=2200000,$I3&gt;=450000),1000000,AND($H3&gt;=2500000,$I3&gt;=520000),1600000,AND($H3&gt;=2800000,$I3&gt;=650000),2200000,AND($H3&gt;=3200000,$I3&gt;=750000),2800000,AND($H3&gt;=3400000,$I3&gt;=900000),4000000,TRUE,0),_xlfn.IFS(AND($H3&gt;=630000,$I3&gt;=350000),1000000,AND($H3&gt;=850000,$I3&gt;=480000),1600000,AND($H3&gt;=1000000,$I3&gt;=580000),2200000,AND($H3&gt;=1200000,$I3&gt;=650000),2800000,AND($H3&gt;=1500000,$I3&gt;=700000),4000000,TRUE,0)),0)</f>
        <v>0</v>
      </c>
      <c r="K3" s="5">
        <f t="shared" ref="K3:K34" si="4">IFERROR(IF(AND($J3=0, IF(OR($A3="Hàng Bông",$A3="Đường Láng"),$D3&gt;=2000000,$D3&gt;=950000)), 500000, 0), 0)</f>
        <v>0</v>
      </c>
      <c r="L3" s="5">
        <f>IFERROR(SUMIFS('Hot Bill HN'!$G:$G, 'Hot Bill HN'!$C:$C, $A3, 'Hot Bill HN'!$D:$D, $B3), 0)</f>
        <v>0</v>
      </c>
      <c r="M3" s="28">
        <f t="shared" ref="M3:M34" si="5">IFERROR($J3+$K3+$L3, 0)</f>
        <v>0</v>
      </c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ht="13.8" customHeight="1" x14ac:dyDescent="0.3">
      <c r="A4" s="26" t="s">
        <v>52</v>
      </c>
      <c r="B4" s="27" t="s">
        <v>19</v>
      </c>
      <c r="C4" s="6" t="s">
        <v>90</v>
      </c>
      <c r="D4" s="5">
        <f>SUM(E4:G4)/DAY($A$1)</f>
        <v>1067866.5</v>
      </c>
      <c r="E4" s="5">
        <v>299429</v>
      </c>
      <c r="F4" s="5">
        <v>6595324</v>
      </c>
      <c r="G4" s="5">
        <v>3783912</v>
      </c>
      <c r="H4" s="5">
        <f t="shared" si="1"/>
        <v>659532.4</v>
      </c>
      <c r="I4" s="5">
        <f t="shared" si="2"/>
        <v>378391.2</v>
      </c>
      <c r="J4" s="5">
        <f t="shared" si="3"/>
        <v>1000000</v>
      </c>
      <c r="K4" s="5">
        <f t="shared" si="4"/>
        <v>0</v>
      </c>
      <c r="L4" s="5">
        <f>IFERROR(SUMIFS('Hot Bill HN'!$G:$G, 'Hot Bill HN'!$C:$C, $A4, 'Hot Bill HN'!$D:$D, $B4), 0)</f>
        <v>0</v>
      </c>
      <c r="M4" s="28">
        <f t="shared" si="5"/>
        <v>1000000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ht="13.8" customHeight="1" x14ac:dyDescent="0.3">
      <c r="A5" s="26" t="s">
        <v>52</v>
      </c>
      <c r="B5" s="27" t="s">
        <v>53</v>
      </c>
      <c r="C5" s="6" t="s">
        <v>91</v>
      </c>
      <c r="D5" s="5">
        <f t="shared" si="0"/>
        <v>819035.3</v>
      </c>
      <c r="E5" s="5">
        <v>95960</v>
      </c>
      <c r="F5" s="5">
        <v>4449942</v>
      </c>
      <c r="G5" s="5">
        <v>3644451</v>
      </c>
      <c r="H5" s="5">
        <f t="shared" si="1"/>
        <v>444994.2</v>
      </c>
      <c r="I5" s="5">
        <f t="shared" si="2"/>
        <v>364445.1</v>
      </c>
      <c r="J5" s="5">
        <f t="shared" si="3"/>
        <v>0</v>
      </c>
      <c r="K5" s="5">
        <f t="shared" si="4"/>
        <v>0</v>
      </c>
      <c r="L5" s="5">
        <f>IFERROR(SUMIFS('Hot Bill HN'!$G:$G, 'Hot Bill HN'!$C:$C, $A5, 'Hot Bill HN'!$D:$D, $B5), 0)</f>
        <v>0</v>
      </c>
      <c r="M5" s="28">
        <f t="shared" si="5"/>
        <v>0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ht="13.8" customHeight="1" x14ac:dyDescent="0.3">
      <c r="A6" s="26" t="s">
        <v>52</v>
      </c>
      <c r="B6" s="27" t="s">
        <v>55</v>
      </c>
      <c r="C6" s="6" t="s">
        <v>92</v>
      </c>
      <c r="D6" s="5">
        <f t="shared" si="0"/>
        <v>1058477.8</v>
      </c>
      <c r="E6" s="5">
        <v>972463</v>
      </c>
      <c r="F6" s="5">
        <v>5475158</v>
      </c>
      <c r="G6" s="5">
        <v>4137157</v>
      </c>
      <c r="H6" s="5">
        <f t="shared" si="1"/>
        <v>547515.80000000005</v>
      </c>
      <c r="I6" s="5">
        <f t="shared" si="2"/>
        <v>413715.7</v>
      </c>
      <c r="J6" s="5">
        <f t="shared" si="3"/>
        <v>0</v>
      </c>
      <c r="K6" s="5">
        <f t="shared" si="4"/>
        <v>500000</v>
      </c>
      <c r="L6" s="5">
        <f>IFERROR(SUMIFS('Hot Bill HN'!$G:$G, 'Hot Bill HN'!$C:$C, $A6, 'Hot Bill HN'!$D:$D, $B6), 0)</f>
        <v>0</v>
      </c>
      <c r="M6" s="28">
        <f t="shared" si="5"/>
        <v>500000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</row>
    <row r="7" spans="1:38" ht="13.8" customHeight="1" x14ac:dyDescent="0.3">
      <c r="A7" s="26" t="s">
        <v>52</v>
      </c>
      <c r="B7" s="27" t="s">
        <v>56</v>
      </c>
      <c r="C7" s="6" t="s">
        <v>92</v>
      </c>
      <c r="D7" s="5">
        <f t="shared" si="0"/>
        <v>0</v>
      </c>
      <c r="E7" s="5">
        <v>0</v>
      </c>
      <c r="F7" s="5">
        <v>0</v>
      </c>
      <c r="G7" s="5">
        <v>0</v>
      </c>
      <c r="H7" s="5">
        <f t="shared" si="1"/>
        <v>0</v>
      </c>
      <c r="I7" s="5">
        <f t="shared" si="2"/>
        <v>0</v>
      </c>
      <c r="J7" s="5">
        <f t="shared" si="3"/>
        <v>0</v>
      </c>
      <c r="K7" s="5">
        <f t="shared" si="4"/>
        <v>0</v>
      </c>
      <c r="L7" s="5">
        <f>IFERROR(SUMIFS('Hot Bill HN'!$G:$G, 'Hot Bill HN'!$C:$C, $A7, 'Hot Bill HN'!$D:$D, $B7), 0)</f>
        <v>0</v>
      </c>
      <c r="M7" s="28">
        <f t="shared" si="5"/>
        <v>0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</row>
    <row r="8" spans="1:38" ht="13.8" customHeight="1" x14ac:dyDescent="0.3">
      <c r="A8" s="26" t="s">
        <v>64</v>
      </c>
      <c r="B8" s="27" t="s">
        <v>67</v>
      </c>
      <c r="C8" s="6" t="s">
        <v>92</v>
      </c>
      <c r="D8" s="5">
        <f t="shared" si="0"/>
        <v>381832.4</v>
      </c>
      <c r="E8" s="5">
        <v>1374955</v>
      </c>
      <c r="F8" s="5">
        <v>1727155</v>
      </c>
      <c r="G8" s="5">
        <v>716214</v>
      </c>
      <c r="H8" s="5">
        <f t="shared" si="1"/>
        <v>172715.5</v>
      </c>
      <c r="I8" s="5">
        <f t="shared" si="2"/>
        <v>71621.399999999994</v>
      </c>
      <c r="J8" s="5">
        <f t="shared" si="3"/>
        <v>0</v>
      </c>
      <c r="K8" s="5">
        <f t="shared" si="4"/>
        <v>0</v>
      </c>
      <c r="L8" s="5">
        <f>IFERROR(SUMIFS('Hot Bill HN'!$G:$G, 'Hot Bill HN'!$C:$C, $A8, 'Hot Bill HN'!$D:$D, $B8), 0)</f>
        <v>0</v>
      </c>
      <c r="M8" s="28">
        <f t="shared" si="5"/>
        <v>0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</row>
    <row r="9" spans="1:38" ht="13.8" customHeight="1" x14ac:dyDescent="0.3">
      <c r="A9" s="26" t="s">
        <v>64</v>
      </c>
      <c r="B9" s="27" t="s">
        <v>68</v>
      </c>
      <c r="C9" s="6" t="s">
        <v>90</v>
      </c>
      <c r="D9" s="5">
        <f t="shared" si="0"/>
        <v>516686.5</v>
      </c>
      <c r="E9" s="5">
        <v>2315200</v>
      </c>
      <c r="F9" s="5">
        <v>1877270</v>
      </c>
      <c r="G9" s="5">
        <v>974395</v>
      </c>
      <c r="H9" s="5">
        <f t="shared" si="1"/>
        <v>187727</v>
      </c>
      <c r="I9" s="5">
        <f t="shared" si="2"/>
        <v>97439.5</v>
      </c>
      <c r="J9" s="5">
        <f t="shared" si="3"/>
        <v>0</v>
      </c>
      <c r="K9" s="5">
        <f t="shared" si="4"/>
        <v>0</v>
      </c>
      <c r="L9" s="5">
        <f>IFERROR(SUMIFS('Hot Bill HN'!$G:$G, 'Hot Bill HN'!$C:$C, $A9, 'Hot Bill HN'!$D:$D, $B9), 0)</f>
        <v>0</v>
      </c>
      <c r="M9" s="28">
        <f t="shared" si="5"/>
        <v>0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</row>
    <row r="10" spans="1:38" ht="13.8" customHeight="1" x14ac:dyDescent="0.3">
      <c r="A10" s="26" t="s">
        <v>64</v>
      </c>
      <c r="B10" s="27" t="s">
        <v>18</v>
      </c>
      <c r="C10" s="6" t="s">
        <v>93</v>
      </c>
      <c r="D10" s="5">
        <f t="shared" si="0"/>
        <v>327075.90000000002</v>
      </c>
      <c r="E10" s="5">
        <v>179907</v>
      </c>
      <c r="F10" s="5">
        <v>1659048</v>
      </c>
      <c r="G10" s="5">
        <v>1431804</v>
      </c>
      <c r="H10" s="5">
        <f t="shared" si="1"/>
        <v>165904.79999999999</v>
      </c>
      <c r="I10" s="5">
        <f t="shared" si="2"/>
        <v>143180.4</v>
      </c>
      <c r="J10" s="5">
        <f t="shared" si="3"/>
        <v>0</v>
      </c>
      <c r="K10" s="5">
        <f t="shared" si="4"/>
        <v>0</v>
      </c>
      <c r="L10" s="5">
        <f>IFERROR(SUMIFS('Hot Bill HN'!$G:$G, 'Hot Bill HN'!$C:$C, $A10, 'Hot Bill HN'!$D:$D, $B10), 0)</f>
        <v>0</v>
      </c>
      <c r="M10" s="28">
        <f t="shared" si="5"/>
        <v>0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</row>
    <row r="11" spans="1:38" ht="13.8" customHeight="1" x14ac:dyDescent="0.3">
      <c r="A11" s="26" t="s">
        <v>64</v>
      </c>
      <c r="B11" s="27" t="s">
        <v>65</v>
      </c>
      <c r="C11" s="6" t="s">
        <v>90</v>
      </c>
      <c r="D11" s="5">
        <f t="shared" si="0"/>
        <v>1322051.8999999999</v>
      </c>
      <c r="E11" s="5">
        <v>5193759</v>
      </c>
      <c r="F11" s="5">
        <v>5576977</v>
      </c>
      <c r="G11" s="5">
        <v>2449783</v>
      </c>
      <c r="H11" s="5">
        <f t="shared" si="1"/>
        <v>557697.69999999995</v>
      </c>
      <c r="I11" s="5">
        <f t="shared" si="2"/>
        <v>244978.3</v>
      </c>
      <c r="J11" s="5">
        <f t="shared" si="3"/>
        <v>0</v>
      </c>
      <c r="K11" s="5">
        <f t="shared" si="4"/>
        <v>500000</v>
      </c>
      <c r="L11" s="5">
        <f>IFERROR(SUMIFS('Hot Bill HN'!$G:$G, 'Hot Bill HN'!$C:$C, $A11, 'Hot Bill HN'!$D:$D, $B11), 0)</f>
        <v>0</v>
      </c>
      <c r="M11" s="28">
        <f t="shared" si="5"/>
        <v>500000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</row>
    <row r="12" spans="1:38" ht="13.8" customHeight="1" x14ac:dyDescent="0.3">
      <c r="A12" s="26" t="s">
        <v>64</v>
      </c>
      <c r="B12" s="27" t="s">
        <v>66</v>
      </c>
      <c r="C12" s="6" t="s">
        <v>90</v>
      </c>
      <c r="D12" s="5">
        <f t="shared" si="0"/>
        <v>724108.80000000005</v>
      </c>
      <c r="E12" s="5">
        <v>1783067</v>
      </c>
      <c r="F12" s="5">
        <v>3125482</v>
      </c>
      <c r="G12" s="5">
        <v>2332539</v>
      </c>
      <c r="H12" s="5">
        <f t="shared" si="1"/>
        <v>312548.2</v>
      </c>
      <c r="I12" s="5">
        <f t="shared" si="2"/>
        <v>233253.9</v>
      </c>
      <c r="J12" s="5">
        <f t="shared" si="3"/>
        <v>0</v>
      </c>
      <c r="K12" s="5">
        <f t="shared" si="4"/>
        <v>0</v>
      </c>
      <c r="L12" s="5">
        <f>IFERROR(SUMIFS('Hot Bill HN'!$G:$G, 'Hot Bill HN'!$C:$C, $A12, 'Hot Bill HN'!$D:$D, $B12), 0)</f>
        <v>0</v>
      </c>
      <c r="M12" s="28">
        <f t="shared" si="5"/>
        <v>0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</row>
    <row r="13" spans="1:38" ht="13.8" customHeight="1" x14ac:dyDescent="0.3">
      <c r="A13" s="26" t="s">
        <v>21</v>
      </c>
      <c r="B13" s="27" t="s">
        <v>24</v>
      </c>
      <c r="C13" s="6" t="s">
        <v>93</v>
      </c>
      <c r="D13" s="5">
        <f t="shared" si="0"/>
        <v>1562186</v>
      </c>
      <c r="E13" s="5">
        <v>391000</v>
      </c>
      <c r="F13" s="5">
        <v>7566325</v>
      </c>
      <c r="G13" s="5">
        <v>7664535</v>
      </c>
      <c r="H13" s="5">
        <f t="shared" si="1"/>
        <v>756632.5</v>
      </c>
      <c r="I13" s="5">
        <f t="shared" si="2"/>
        <v>766453.5</v>
      </c>
      <c r="J13" s="5">
        <f t="shared" si="3"/>
        <v>1000000</v>
      </c>
      <c r="K13" s="5">
        <f t="shared" si="4"/>
        <v>0</v>
      </c>
      <c r="L13" s="5">
        <f>IFERROR(SUMIFS('Hot Bill HN'!$G:$G, 'Hot Bill HN'!$C:$C, $A13, 'Hot Bill HN'!$D:$D, $B13), 0)</f>
        <v>0</v>
      </c>
      <c r="M13" s="28">
        <f t="shared" si="5"/>
        <v>1000000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</row>
    <row r="14" spans="1:38" ht="13.8" customHeight="1" x14ac:dyDescent="0.3">
      <c r="A14" s="26" t="s">
        <v>21</v>
      </c>
      <c r="B14" s="27" t="s">
        <v>25</v>
      </c>
      <c r="C14" s="6" t="s">
        <v>90</v>
      </c>
      <c r="D14" s="5">
        <f t="shared" si="0"/>
        <v>1116017.6000000001</v>
      </c>
      <c r="E14" s="5">
        <v>142349</v>
      </c>
      <c r="F14" s="5">
        <v>6126107</v>
      </c>
      <c r="G14" s="5">
        <v>4891720</v>
      </c>
      <c r="H14" s="5">
        <f t="shared" si="1"/>
        <v>612610.69999999995</v>
      </c>
      <c r="I14" s="5">
        <f t="shared" si="2"/>
        <v>489172</v>
      </c>
      <c r="J14" s="5">
        <f t="shared" si="3"/>
        <v>0</v>
      </c>
      <c r="K14" s="5">
        <f t="shared" si="4"/>
        <v>500000</v>
      </c>
      <c r="L14" s="5">
        <f>IFERROR(SUMIFS('Hot Bill HN'!$G:$G, 'Hot Bill HN'!$C:$C, $A14, 'Hot Bill HN'!$D:$D, $B14), 0)</f>
        <v>0</v>
      </c>
      <c r="M14" s="28">
        <f t="shared" si="5"/>
        <v>500000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</row>
    <row r="15" spans="1:38" ht="13.8" customHeight="1" x14ac:dyDescent="0.3">
      <c r="A15" s="26" t="s">
        <v>21</v>
      </c>
      <c r="B15" s="27" t="s">
        <v>23</v>
      </c>
      <c r="C15" s="6" t="s">
        <v>90</v>
      </c>
      <c r="D15" s="5">
        <f t="shared" si="0"/>
        <v>1067137.2</v>
      </c>
      <c r="E15" s="5">
        <v>549833</v>
      </c>
      <c r="F15" s="5">
        <v>6053281</v>
      </c>
      <c r="G15" s="5">
        <v>4068258</v>
      </c>
      <c r="H15" s="5">
        <f t="shared" si="1"/>
        <v>605328.1</v>
      </c>
      <c r="I15" s="5">
        <f t="shared" si="2"/>
        <v>406825.8</v>
      </c>
      <c r="J15" s="5">
        <f t="shared" si="3"/>
        <v>0</v>
      </c>
      <c r="K15" s="5">
        <f t="shared" si="4"/>
        <v>500000</v>
      </c>
      <c r="L15" s="5">
        <f>IFERROR(SUMIFS('Hot Bill HN'!$G:$G, 'Hot Bill HN'!$C:$C, $A15, 'Hot Bill HN'!$D:$D, $B15), 0)</f>
        <v>0</v>
      </c>
      <c r="M15" s="28">
        <f t="shared" si="5"/>
        <v>500000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</row>
    <row r="16" spans="1:38" ht="13.8" customHeight="1" x14ac:dyDescent="0.3">
      <c r="A16" s="26" t="s">
        <v>21</v>
      </c>
      <c r="B16" s="27" t="s">
        <v>22</v>
      </c>
      <c r="C16" s="6" t="s">
        <v>91</v>
      </c>
      <c r="D16" s="5">
        <f t="shared" si="0"/>
        <v>900707.7</v>
      </c>
      <c r="E16" s="5">
        <v>303321</v>
      </c>
      <c r="F16" s="5">
        <v>4632047</v>
      </c>
      <c r="G16" s="5">
        <v>4071709</v>
      </c>
      <c r="H16" s="5">
        <f t="shared" si="1"/>
        <v>463204.7</v>
      </c>
      <c r="I16" s="5">
        <f t="shared" si="2"/>
        <v>407170.9</v>
      </c>
      <c r="J16" s="5">
        <f t="shared" si="3"/>
        <v>0</v>
      </c>
      <c r="K16" s="5">
        <f t="shared" si="4"/>
        <v>0</v>
      </c>
      <c r="L16" s="5">
        <f>IFERROR(SUMIFS('Hot Bill HN'!$G:$G, 'Hot Bill HN'!$C:$C, $A16, 'Hot Bill HN'!$D:$D, $B16), 0)</f>
        <v>0</v>
      </c>
      <c r="M16" s="28">
        <f t="shared" si="5"/>
        <v>0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</row>
    <row r="17" spans="1:38" ht="13.8" customHeight="1" x14ac:dyDescent="0.3">
      <c r="A17" s="26" t="s">
        <v>26</v>
      </c>
      <c r="B17" s="27" t="s">
        <v>30</v>
      </c>
      <c r="C17" s="6" t="s">
        <v>92</v>
      </c>
      <c r="D17" s="5">
        <f t="shared" si="0"/>
        <v>1070715.1000000001</v>
      </c>
      <c r="E17" s="5">
        <v>345180</v>
      </c>
      <c r="F17" s="5">
        <v>6885036</v>
      </c>
      <c r="G17" s="5">
        <v>3476935</v>
      </c>
      <c r="H17" s="5">
        <f t="shared" si="1"/>
        <v>688503.6</v>
      </c>
      <c r="I17" s="5">
        <f t="shared" si="2"/>
        <v>347693.5</v>
      </c>
      <c r="J17" s="5">
        <f t="shared" si="3"/>
        <v>0</v>
      </c>
      <c r="K17" s="5">
        <f t="shared" si="4"/>
        <v>500000</v>
      </c>
      <c r="L17" s="5">
        <f>IFERROR(SUMIFS('Hot Bill HN'!$G:$G, 'Hot Bill HN'!$C:$C, $A17, 'Hot Bill HN'!$D:$D, $B17), 0)</f>
        <v>0</v>
      </c>
      <c r="M17" s="28">
        <f t="shared" si="5"/>
        <v>500000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</row>
    <row r="18" spans="1:38" ht="13.8" customHeight="1" x14ac:dyDescent="0.3">
      <c r="A18" s="26" t="s">
        <v>26</v>
      </c>
      <c r="B18" s="27" t="s">
        <v>29</v>
      </c>
      <c r="C18" s="6" t="s">
        <v>90</v>
      </c>
      <c r="D18" s="5">
        <f t="shared" si="0"/>
        <v>442389.6</v>
      </c>
      <c r="E18" s="5">
        <v>148635</v>
      </c>
      <c r="F18" s="5">
        <v>2991405</v>
      </c>
      <c r="G18" s="5">
        <v>1283856</v>
      </c>
      <c r="H18" s="5">
        <f t="shared" si="1"/>
        <v>299140.5</v>
      </c>
      <c r="I18" s="5">
        <f t="shared" si="2"/>
        <v>128385.60000000001</v>
      </c>
      <c r="J18" s="5">
        <f t="shared" si="3"/>
        <v>0</v>
      </c>
      <c r="K18" s="5">
        <f t="shared" si="4"/>
        <v>0</v>
      </c>
      <c r="L18" s="5">
        <f>IFERROR(SUMIFS('Hot Bill HN'!$G:$G, 'Hot Bill HN'!$C:$C, $A18, 'Hot Bill HN'!$D:$D, $B18), 0)</f>
        <v>0</v>
      </c>
      <c r="M18" s="28">
        <f t="shared" si="5"/>
        <v>0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</row>
    <row r="19" spans="1:38" ht="13.8" customHeight="1" x14ac:dyDescent="0.3">
      <c r="A19" s="26" t="s">
        <v>26</v>
      </c>
      <c r="B19" s="27" t="s">
        <v>28</v>
      </c>
      <c r="C19" s="6" t="s">
        <v>94</v>
      </c>
      <c r="D19" s="5">
        <f t="shared" si="0"/>
        <v>752130.3</v>
      </c>
      <c r="E19" s="5">
        <v>135000</v>
      </c>
      <c r="F19" s="5">
        <v>7107593</v>
      </c>
      <c r="G19" s="5">
        <v>278710</v>
      </c>
      <c r="H19" s="5">
        <f t="shared" si="1"/>
        <v>710759.3</v>
      </c>
      <c r="I19" s="5">
        <f t="shared" si="2"/>
        <v>27871</v>
      </c>
      <c r="J19" s="5">
        <f t="shared" si="3"/>
        <v>0</v>
      </c>
      <c r="K19" s="5">
        <f t="shared" si="4"/>
        <v>0</v>
      </c>
      <c r="L19" s="5">
        <f>IFERROR(SUMIFS('Hot Bill HN'!$G:$G, 'Hot Bill HN'!$C:$C, $A19, 'Hot Bill HN'!$D:$D, $B19), 0)</f>
        <v>0</v>
      </c>
      <c r="M19" s="28">
        <f t="shared" si="5"/>
        <v>0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</row>
    <row r="20" spans="1:38" ht="13.8" customHeight="1" x14ac:dyDescent="0.3">
      <c r="A20" s="26" t="s">
        <v>26</v>
      </c>
      <c r="B20" s="27" t="s">
        <v>27</v>
      </c>
      <c r="C20" s="6" t="s">
        <v>90</v>
      </c>
      <c r="D20" s="5">
        <f t="shared" si="0"/>
        <v>363543</v>
      </c>
      <c r="E20" s="5">
        <v>223337</v>
      </c>
      <c r="F20" s="5">
        <v>2259739</v>
      </c>
      <c r="G20" s="5">
        <v>1152354</v>
      </c>
      <c r="H20" s="5">
        <f t="shared" si="1"/>
        <v>225973.9</v>
      </c>
      <c r="I20" s="5">
        <f t="shared" si="2"/>
        <v>115235.4</v>
      </c>
      <c r="J20" s="5">
        <f t="shared" si="3"/>
        <v>0</v>
      </c>
      <c r="K20" s="5">
        <f t="shared" si="4"/>
        <v>0</v>
      </c>
      <c r="L20" s="5">
        <f>IFERROR(SUMIFS('Hot Bill HN'!$G:$G, 'Hot Bill HN'!$C:$C, $A20, 'Hot Bill HN'!$D:$D, $B20), 0)</f>
        <v>0</v>
      </c>
      <c r="M20" s="28">
        <f t="shared" si="5"/>
        <v>0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</row>
    <row r="21" spans="1:38" ht="13.8" customHeight="1" x14ac:dyDescent="0.3">
      <c r="A21" s="26" t="s">
        <v>31</v>
      </c>
      <c r="B21" s="27" t="s">
        <v>32</v>
      </c>
      <c r="C21" s="6" t="s">
        <v>93</v>
      </c>
      <c r="D21" s="5">
        <f t="shared" si="0"/>
        <v>295117.59999999998</v>
      </c>
      <c r="E21" s="5">
        <v>83531</v>
      </c>
      <c r="F21" s="5">
        <v>804791</v>
      </c>
      <c r="G21" s="5">
        <v>2062854</v>
      </c>
      <c r="H21" s="5">
        <f t="shared" si="1"/>
        <v>80479.100000000006</v>
      </c>
      <c r="I21" s="5">
        <f t="shared" si="2"/>
        <v>206285.4</v>
      </c>
      <c r="J21" s="5">
        <f t="shared" si="3"/>
        <v>0</v>
      </c>
      <c r="K21" s="5">
        <f t="shared" si="4"/>
        <v>0</v>
      </c>
      <c r="L21" s="5">
        <f>IFERROR(SUMIFS('Hot Bill HN'!$G:$G, 'Hot Bill HN'!$C:$C, $A21, 'Hot Bill HN'!$D:$D, $B21), 0)</f>
        <v>0</v>
      </c>
      <c r="M21" s="28">
        <f t="shared" si="5"/>
        <v>0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</row>
    <row r="22" spans="1:38" ht="13.8" customHeight="1" x14ac:dyDescent="0.3">
      <c r="A22" s="26" t="s">
        <v>31</v>
      </c>
      <c r="B22" s="27" t="s">
        <v>36</v>
      </c>
      <c r="C22" s="6" t="s">
        <v>90</v>
      </c>
      <c r="D22" s="5">
        <f t="shared" si="0"/>
        <v>277020.2</v>
      </c>
      <c r="E22" s="5">
        <v>22401</v>
      </c>
      <c r="F22" s="5">
        <v>946888</v>
      </c>
      <c r="G22" s="5">
        <v>1800913</v>
      </c>
      <c r="H22" s="5">
        <f t="shared" si="1"/>
        <v>94688.8</v>
      </c>
      <c r="I22" s="5">
        <f t="shared" si="2"/>
        <v>180091.3</v>
      </c>
      <c r="J22" s="5">
        <f t="shared" si="3"/>
        <v>0</v>
      </c>
      <c r="K22" s="5">
        <f t="shared" si="4"/>
        <v>0</v>
      </c>
      <c r="L22" s="5">
        <f>IFERROR(SUMIFS('Hot Bill HN'!$G:$G, 'Hot Bill HN'!$C:$C, $A22, 'Hot Bill HN'!$D:$D, $B22), 0)</f>
        <v>0</v>
      </c>
      <c r="M22" s="28">
        <f t="shared" si="5"/>
        <v>0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</row>
    <row r="23" spans="1:38" ht="13.8" customHeight="1" x14ac:dyDescent="0.3">
      <c r="A23" s="26" t="s">
        <v>31</v>
      </c>
      <c r="B23" s="27" t="s">
        <v>34</v>
      </c>
      <c r="C23" s="6" t="s">
        <v>92</v>
      </c>
      <c r="D23" s="5">
        <f t="shared" si="0"/>
        <v>881652.8</v>
      </c>
      <c r="E23" s="5">
        <v>125500</v>
      </c>
      <c r="F23" s="5">
        <v>4986746</v>
      </c>
      <c r="G23" s="5">
        <v>3704282</v>
      </c>
      <c r="H23" s="5">
        <f t="shared" si="1"/>
        <v>498674.6</v>
      </c>
      <c r="I23" s="5">
        <f t="shared" si="2"/>
        <v>370428.2</v>
      </c>
      <c r="J23" s="5">
        <f t="shared" si="3"/>
        <v>0</v>
      </c>
      <c r="K23" s="5">
        <f t="shared" si="4"/>
        <v>0</v>
      </c>
      <c r="L23" s="5">
        <f>IFERROR(SUMIFS('Hot Bill HN'!$G:$G, 'Hot Bill HN'!$C:$C, $A23, 'Hot Bill HN'!$D:$D, $B23), 0)</f>
        <v>0</v>
      </c>
      <c r="M23" s="28">
        <f t="shared" si="5"/>
        <v>0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</row>
    <row r="24" spans="1:38" ht="13.8" customHeight="1" x14ac:dyDescent="0.3">
      <c r="A24" s="26" t="s">
        <v>31</v>
      </c>
      <c r="B24" s="27" t="s">
        <v>35</v>
      </c>
      <c r="C24" s="6" t="s">
        <v>92</v>
      </c>
      <c r="D24" s="5">
        <f t="shared" si="0"/>
        <v>1260399.7</v>
      </c>
      <c r="E24" s="5">
        <v>271531</v>
      </c>
      <c r="F24" s="5">
        <v>7847769</v>
      </c>
      <c r="G24" s="5">
        <v>4484697</v>
      </c>
      <c r="H24" s="5">
        <f t="shared" si="1"/>
        <v>784776.9</v>
      </c>
      <c r="I24" s="5">
        <f t="shared" si="2"/>
        <v>448469.7</v>
      </c>
      <c r="J24" s="5">
        <f t="shared" si="3"/>
        <v>1000000</v>
      </c>
      <c r="K24" s="5">
        <f t="shared" si="4"/>
        <v>0</v>
      </c>
      <c r="L24" s="5">
        <f>IFERROR(SUMIFS('Hot Bill HN'!$G:$G, 'Hot Bill HN'!$C:$C, $A24, 'Hot Bill HN'!$D:$D, $B24), 0)</f>
        <v>0</v>
      </c>
      <c r="M24" s="28">
        <f t="shared" si="5"/>
        <v>1000000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</row>
    <row r="25" spans="1:38" ht="13.8" customHeight="1" x14ac:dyDescent="0.3">
      <c r="A25" s="26" t="s">
        <v>31</v>
      </c>
      <c r="B25" s="27" t="s">
        <v>33</v>
      </c>
      <c r="C25" s="6" t="s">
        <v>95</v>
      </c>
      <c r="D25" s="5">
        <f t="shared" si="0"/>
        <v>61324</v>
      </c>
      <c r="E25" s="5">
        <v>0</v>
      </c>
      <c r="F25" s="5">
        <v>292040</v>
      </c>
      <c r="G25" s="5">
        <v>321200</v>
      </c>
      <c r="H25" s="5">
        <f t="shared" si="1"/>
        <v>29204</v>
      </c>
      <c r="I25" s="5">
        <f t="shared" si="2"/>
        <v>32120</v>
      </c>
      <c r="J25" s="5">
        <f t="shared" si="3"/>
        <v>0</v>
      </c>
      <c r="K25" s="5">
        <f t="shared" si="4"/>
        <v>0</v>
      </c>
      <c r="L25" s="5">
        <f>IFERROR(SUMIFS('Hot Bill HN'!$G:$G, 'Hot Bill HN'!$C:$C, $A25, 'Hot Bill HN'!$D:$D, $B25), 0)</f>
        <v>0</v>
      </c>
      <c r="M25" s="28">
        <f t="shared" si="5"/>
        <v>0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</row>
    <row r="26" spans="1:38" ht="13.8" customHeight="1" x14ac:dyDescent="0.3">
      <c r="A26" s="26" t="s">
        <v>37</v>
      </c>
      <c r="B26" s="27" t="s">
        <v>41</v>
      </c>
      <c r="C26" s="6" t="s">
        <v>92</v>
      </c>
      <c r="D26" s="5">
        <f t="shared" si="0"/>
        <v>548164.80000000005</v>
      </c>
      <c r="E26" s="5">
        <v>0</v>
      </c>
      <c r="F26" s="5">
        <v>2209109</v>
      </c>
      <c r="G26" s="5">
        <v>3272539</v>
      </c>
      <c r="H26" s="5">
        <f t="shared" si="1"/>
        <v>220910.9</v>
      </c>
      <c r="I26" s="5">
        <f t="shared" si="2"/>
        <v>327253.90000000002</v>
      </c>
      <c r="J26" s="5">
        <f t="shared" si="3"/>
        <v>0</v>
      </c>
      <c r="K26" s="5">
        <f t="shared" si="4"/>
        <v>0</v>
      </c>
      <c r="L26" s="5">
        <f>IFERROR(SUMIFS('Hot Bill HN'!$G:$G, 'Hot Bill HN'!$C:$C, $A26, 'Hot Bill HN'!$D:$D, $B26), 0)</f>
        <v>0</v>
      </c>
      <c r="M26" s="28">
        <f t="shared" si="5"/>
        <v>0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</row>
    <row r="27" spans="1:38" ht="13.8" customHeight="1" x14ac:dyDescent="0.3">
      <c r="A27" s="26" t="s">
        <v>37</v>
      </c>
      <c r="B27" s="27" t="s">
        <v>40</v>
      </c>
      <c r="C27" s="6" t="s">
        <v>93</v>
      </c>
      <c r="D27" s="5">
        <f t="shared" si="0"/>
        <v>1171534.1000000001</v>
      </c>
      <c r="E27" s="5">
        <v>240200</v>
      </c>
      <c r="F27" s="5">
        <v>6071120</v>
      </c>
      <c r="G27" s="5">
        <v>5404021</v>
      </c>
      <c r="H27" s="5">
        <f t="shared" si="1"/>
        <v>607112</v>
      </c>
      <c r="I27" s="5">
        <f t="shared" si="2"/>
        <v>540402.1</v>
      </c>
      <c r="J27" s="5">
        <f t="shared" si="3"/>
        <v>0</v>
      </c>
      <c r="K27" s="5">
        <f t="shared" si="4"/>
        <v>500000</v>
      </c>
      <c r="L27" s="5">
        <f>IFERROR(SUMIFS('Hot Bill HN'!$G:$G, 'Hot Bill HN'!$C:$C, $A27, 'Hot Bill HN'!$D:$D, $B27), 0)</f>
        <v>0</v>
      </c>
      <c r="M27" s="28">
        <f t="shared" si="5"/>
        <v>500000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</row>
    <row r="28" spans="1:38" ht="13.8" customHeight="1" x14ac:dyDescent="0.3">
      <c r="A28" s="26" t="s">
        <v>37</v>
      </c>
      <c r="B28" s="27" t="s">
        <v>38</v>
      </c>
      <c r="C28" s="6" t="s">
        <v>92</v>
      </c>
      <c r="D28" s="5">
        <f t="shared" si="0"/>
        <v>1572642.1</v>
      </c>
      <c r="E28" s="5">
        <v>226690</v>
      </c>
      <c r="F28" s="5">
        <v>7264084</v>
      </c>
      <c r="G28" s="5">
        <v>8235647</v>
      </c>
      <c r="H28" s="5">
        <f t="shared" si="1"/>
        <v>726408.4</v>
      </c>
      <c r="I28" s="5">
        <f t="shared" si="2"/>
        <v>823564.7</v>
      </c>
      <c r="J28" s="5">
        <f t="shared" si="3"/>
        <v>1000000</v>
      </c>
      <c r="K28" s="5">
        <f t="shared" si="4"/>
        <v>0</v>
      </c>
      <c r="L28" s="5">
        <f>IFERROR(SUMIFS('Hot Bill HN'!$G:$G, 'Hot Bill HN'!$C:$C, $A28, 'Hot Bill HN'!$D:$D, $B28), 0)</f>
        <v>0</v>
      </c>
      <c r="M28" s="28">
        <f t="shared" si="5"/>
        <v>1000000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</row>
    <row r="29" spans="1:38" ht="13.8" customHeight="1" x14ac:dyDescent="0.3">
      <c r="A29" s="26" t="s">
        <v>37</v>
      </c>
      <c r="B29" s="27" t="s">
        <v>96</v>
      </c>
      <c r="C29" s="6" t="s">
        <v>91</v>
      </c>
      <c r="D29" s="5">
        <f t="shared" si="0"/>
        <v>0</v>
      </c>
      <c r="E29" s="5">
        <v>0</v>
      </c>
      <c r="F29" s="5">
        <v>0</v>
      </c>
      <c r="G29" s="5">
        <v>0</v>
      </c>
      <c r="H29" s="5">
        <f t="shared" si="1"/>
        <v>0</v>
      </c>
      <c r="I29" s="5">
        <f t="shared" si="2"/>
        <v>0</v>
      </c>
      <c r="J29" s="5">
        <f t="shared" si="3"/>
        <v>0</v>
      </c>
      <c r="K29" s="5">
        <f t="shared" si="4"/>
        <v>0</v>
      </c>
      <c r="L29" s="5">
        <f>IFERROR(SUMIFS('Hot Bill HN'!$G:$G, 'Hot Bill HN'!$C:$C, $A29, 'Hot Bill HN'!$D:$D, $B29), 0)</f>
        <v>0</v>
      </c>
      <c r="M29" s="28">
        <f t="shared" si="5"/>
        <v>0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</row>
    <row r="30" spans="1:38" ht="13.8" customHeight="1" x14ac:dyDescent="0.3">
      <c r="A30" s="26" t="s">
        <v>42</v>
      </c>
      <c r="B30" s="27" t="s">
        <v>43</v>
      </c>
      <c r="C30" s="6" t="s">
        <v>92</v>
      </c>
      <c r="D30" s="5">
        <f t="shared" si="0"/>
        <v>2363994.1</v>
      </c>
      <c r="E30" s="5">
        <v>485689</v>
      </c>
      <c r="F30" s="5">
        <v>11781036</v>
      </c>
      <c r="G30" s="5">
        <v>11373216</v>
      </c>
      <c r="H30" s="5">
        <f t="shared" si="1"/>
        <v>1178103.6000000001</v>
      </c>
      <c r="I30" s="5">
        <f t="shared" si="2"/>
        <v>1137321.6000000001</v>
      </c>
      <c r="J30" s="5">
        <f t="shared" si="3"/>
        <v>1000000</v>
      </c>
      <c r="K30" s="5">
        <f t="shared" si="4"/>
        <v>0</v>
      </c>
      <c r="L30" s="5">
        <f>IFERROR(SUMIFS('Hot Bill HN'!$G:$G, 'Hot Bill HN'!$C:$C, $A30, 'Hot Bill HN'!$D:$D, $B30), 0)</f>
        <v>0</v>
      </c>
      <c r="M30" s="28">
        <f t="shared" si="5"/>
        <v>1000000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</row>
    <row r="31" spans="1:38" ht="13.8" customHeight="1" x14ac:dyDescent="0.3">
      <c r="A31" s="26" t="s">
        <v>42</v>
      </c>
      <c r="B31" s="27" t="s">
        <v>47</v>
      </c>
      <c r="C31" s="6" t="s">
        <v>92</v>
      </c>
      <c r="D31" s="5">
        <f t="shared" si="0"/>
        <v>877155.1</v>
      </c>
      <c r="E31" s="5">
        <v>66054</v>
      </c>
      <c r="F31" s="5">
        <v>4804689</v>
      </c>
      <c r="G31" s="5">
        <v>3900808</v>
      </c>
      <c r="H31" s="5">
        <f t="shared" si="1"/>
        <v>480468.9</v>
      </c>
      <c r="I31" s="5">
        <f t="shared" si="2"/>
        <v>390080.8</v>
      </c>
      <c r="J31" s="5">
        <f t="shared" si="3"/>
        <v>0</v>
      </c>
      <c r="K31" s="5">
        <f t="shared" si="4"/>
        <v>0</v>
      </c>
      <c r="L31" s="5">
        <f>IFERROR(SUMIFS('Hot Bill HN'!$G:$G, 'Hot Bill HN'!$C:$C, $A31, 'Hot Bill HN'!$D:$D, $B31), 0)</f>
        <v>0</v>
      </c>
      <c r="M31" s="28">
        <f t="shared" si="5"/>
        <v>0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</row>
    <row r="32" spans="1:38" ht="13.8" customHeight="1" x14ac:dyDescent="0.3">
      <c r="A32" s="26" t="s">
        <v>42</v>
      </c>
      <c r="B32" s="27" t="s">
        <v>45</v>
      </c>
      <c r="C32" s="6" t="s">
        <v>92</v>
      </c>
      <c r="D32" s="5">
        <f t="shared" si="0"/>
        <v>162286.9</v>
      </c>
      <c r="E32" s="5">
        <v>85000</v>
      </c>
      <c r="F32" s="5">
        <v>682200</v>
      </c>
      <c r="G32" s="5">
        <v>855669</v>
      </c>
      <c r="H32" s="5">
        <f t="shared" si="1"/>
        <v>68220</v>
      </c>
      <c r="I32" s="5">
        <f t="shared" si="2"/>
        <v>85566.9</v>
      </c>
      <c r="J32" s="5">
        <f t="shared" si="3"/>
        <v>0</v>
      </c>
      <c r="K32" s="5">
        <f t="shared" si="4"/>
        <v>0</v>
      </c>
      <c r="L32" s="5">
        <f>IFERROR(SUMIFS('Hot Bill HN'!$G:$G, 'Hot Bill HN'!$C:$C, $A32, 'Hot Bill HN'!$D:$D, $B32), 0)</f>
        <v>0</v>
      </c>
      <c r="M32" s="28">
        <f t="shared" si="5"/>
        <v>0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</row>
    <row r="33" spans="1:38" ht="13.8" customHeight="1" x14ac:dyDescent="0.3">
      <c r="A33" s="26" t="s">
        <v>42</v>
      </c>
      <c r="B33" s="27" t="s">
        <v>44</v>
      </c>
      <c r="C33" s="6" t="s">
        <v>93</v>
      </c>
      <c r="D33" s="5">
        <f t="shared" si="0"/>
        <v>909444.5</v>
      </c>
      <c r="E33" s="5">
        <v>100329</v>
      </c>
      <c r="F33" s="5">
        <v>5003711</v>
      </c>
      <c r="G33" s="5">
        <v>3990405</v>
      </c>
      <c r="H33" s="5">
        <f t="shared" si="1"/>
        <v>500371.1</v>
      </c>
      <c r="I33" s="5">
        <f t="shared" si="2"/>
        <v>399040.5</v>
      </c>
      <c r="J33" s="5">
        <f t="shared" si="3"/>
        <v>0</v>
      </c>
      <c r="K33" s="5">
        <f t="shared" si="4"/>
        <v>0</v>
      </c>
      <c r="L33" s="5">
        <f>IFERROR(SUMIFS('Hot Bill HN'!$G:$G, 'Hot Bill HN'!$C:$C, $A33, 'Hot Bill HN'!$D:$D, $B33), 0)</f>
        <v>0</v>
      </c>
      <c r="M33" s="28">
        <f t="shared" si="5"/>
        <v>0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</row>
    <row r="34" spans="1:38" ht="13.8" customHeight="1" x14ac:dyDescent="0.3">
      <c r="A34" s="26" t="s">
        <v>48</v>
      </c>
      <c r="B34" s="27" t="s">
        <v>49</v>
      </c>
      <c r="C34" s="6" t="s">
        <v>92</v>
      </c>
      <c r="D34" s="5">
        <f t="shared" si="0"/>
        <v>521684.5</v>
      </c>
      <c r="E34" s="5">
        <v>111896</v>
      </c>
      <c r="F34" s="5">
        <v>2872154</v>
      </c>
      <c r="G34" s="5">
        <v>2232795</v>
      </c>
      <c r="H34" s="5">
        <f t="shared" si="1"/>
        <v>287215.40000000002</v>
      </c>
      <c r="I34" s="5">
        <f t="shared" si="2"/>
        <v>223279.5</v>
      </c>
      <c r="J34" s="5">
        <f t="shared" si="3"/>
        <v>0</v>
      </c>
      <c r="K34" s="5">
        <f t="shared" si="4"/>
        <v>0</v>
      </c>
      <c r="L34" s="5">
        <f>IFERROR(SUMIFS('Hot Bill HN'!$G:$G, 'Hot Bill HN'!$C:$C, $A34, 'Hot Bill HN'!$D:$D, $B34), 0)</f>
        <v>0</v>
      </c>
      <c r="M34" s="28">
        <f t="shared" si="5"/>
        <v>0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</row>
    <row r="35" spans="1:38" ht="13.8" customHeight="1" x14ac:dyDescent="0.3">
      <c r="A35" s="26" t="s">
        <v>48</v>
      </c>
      <c r="B35" s="27" t="s">
        <v>50</v>
      </c>
      <c r="C35" s="6" t="s">
        <v>92</v>
      </c>
      <c r="D35" s="5">
        <f t="shared" ref="D35:D63" si="6">SUM(E35:G35)/DAY($A$1)</f>
        <v>772807.2</v>
      </c>
      <c r="E35" s="5">
        <v>32500</v>
      </c>
      <c r="F35" s="5">
        <v>4683781</v>
      </c>
      <c r="G35" s="5">
        <v>3011791</v>
      </c>
      <c r="H35" s="5">
        <f t="shared" ref="H35:H63" si="7">F35/DAY($A$1)</f>
        <v>468378.1</v>
      </c>
      <c r="I35" s="5">
        <f t="shared" ref="I35:I63" si="8">G35/DAY($A$1)</f>
        <v>301179.09999999998</v>
      </c>
      <c r="J35" s="5">
        <f t="shared" ref="J35:J63" si="9">IFERROR(IF(OR($A35="Hàng Bông",$A35="Đường Láng"),_xlfn.IFS(AND($H35&gt;=2200000,$I35&gt;=450000),1000000,AND($H35&gt;=2500000,$I35&gt;=520000),1600000,AND($H35&gt;=2800000,$I35&gt;=650000),2200000,AND($H35&gt;=3200000,$I35&gt;=750000),2800000,AND($H35&gt;=3400000,$I35&gt;=900000),4000000,TRUE,0),_xlfn.IFS(AND($H35&gt;=630000,$I35&gt;=350000),1000000,AND($H35&gt;=850000,$I35&gt;=480000),1600000,AND($H35&gt;=1000000,$I35&gt;=580000),2200000,AND($H35&gt;=1200000,$I35&gt;=650000),2800000,AND($H35&gt;=1500000,$I35&gt;=700000),4000000,TRUE,0)),0)</f>
        <v>0</v>
      </c>
      <c r="K35" s="5">
        <f t="shared" ref="K35:K63" si="10">IFERROR(IF(AND($J35=0, IF(OR($A35="Hàng Bông",$A35="Đường Láng"),$D35&gt;=2000000,$D35&gt;=950000)), 500000, 0), 0)</f>
        <v>0</v>
      </c>
      <c r="L35" s="5">
        <f>IFERROR(SUMIFS('Hot Bill HN'!$G:$G, 'Hot Bill HN'!$C:$C, $A35, 'Hot Bill HN'!$D:$D, $B35), 0)</f>
        <v>0</v>
      </c>
      <c r="M35" s="28">
        <f t="shared" ref="M35:M63" si="11">IFERROR($J35+$K35+$L35, 0)</f>
        <v>0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</row>
    <row r="36" spans="1:38" ht="13.8" customHeight="1" x14ac:dyDescent="0.3">
      <c r="A36" s="26" t="s">
        <v>48</v>
      </c>
      <c r="B36" s="27" t="s">
        <v>39</v>
      </c>
      <c r="C36" s="6" t="s">
        <v>93</v>
      </c>
      <c r="D36" s="5">
        <f t="shared" si="6"/>
        <v>572595.5</v>
      </c>
      <c r="E36" s="5">
        <v>126556</v>
      </c>
      <c r="F36" s="5">
        <v>2571690</v>
      </c>
      <c r="G36" s="5">
        <v>3027709</v>
      </c>
      <c r="H36" s="5">
        <f t="shared" si="7"/>
        <v>257169</v>
      </c>
      <c r="I36" s="5">
        <f t="shared" si="8"/>
        <v>302770.90000000002</v>
      </c>
      <c r="J36" s="5">
        <f t="shared" si="9"/>
        <v>0</v>
      </c>
      <c r="K36" s="5">
        <f t="shared" si="10"/>
        <v>0</v>
      </c>
      <c r="L36" s="5">
        <f>IFERROR(SUMIFS('Hot Bill HN'!$G:$G, 'Hot Bill HN'!$C:$C, $A36, 'Hot Bill HN'!$D:$D, $B36), 0)</f>
        <v>0</v>
      </c>
      <c r="M36" s="28">
        <f t="shared" si="11"/>
        <v>0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</row>
    <row r="37" spans="1:38" ht="13.8" customHeight="1" x14ac:dyDescent="0.3">
      <c r="A37" s="26" t="s">
        <v>48</v>
      </c>
      <c r="B37" s="27" t="s">
        <v>51</v>
      </c>
      <c r="C37" s="6" t="s">
        <v>92</v>
      </c>
      <c r="D37" s="5">
        <f t="shared" si="6"/>
        <v>599882.6</v>
      </c>
      <c r="E37" s="5">
        <v>62682</v>
      </c>
      <c r="F37" s="5">
        <v>2977815</v>
      </c>
      <c r="G37" s="5">
        <v>2958329</v>
      </c>
      <c r="H37" s="5">
        <f t="shared" si="7"/>
        <v>297781.5</v>
      </c>
      <c r="I37" s="5">
        <f t="shared" si="8"/>
        <v>295832.90000000002</v>
      </c>
      <c r="J37" s="5">
        <f t="shared" si="9"/>
        <v>0</v>
      </c>
      <c r="K37" s="5">
        <f t="shared" si="10"/>
        <v>0</v>
      </c>
      <c r="L37" s="5">
        <f>IFERROR(SUMIFS('Hot Bill HN'!$G:$G, 'Hot Bill HN'!$C:$C, $A37, 'Hot Bill HN'!$D:$D, $B37), 0)</f>
        <v>0</v>
      </c>
      <c r="M37" s="28">
        <f t="shared" si="11"/>
        <v>0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</row>
    <row r="38" spans="1:38" ht="13.8" customHeight="1" x14ac:dyDescent="0.3">
      <c r="A38" s="26" t="s">
        <v>48</v>
      </c>
      <c r="B38" s="27" t="s">
        <v>46</v>
      </c>
      <c r="C38" s="6" t="s">
        <v>90</v>
      </c>
      <c r="D38" s="5">
        <f t="shared" si="6"/>
        <v>605575.1</v>
      </c>
      <c r="E38" s="5">
        <v>441950</v>
      </c>
      <c r="F38" s="5">
        <v>3394967</v>
      </c>
      <c r="G38" s="5">
        <v>2218834</v>
      </c>
      <c r="H38" s="5">
        <f t="shared" si="7"/>
        <v>339496.7</v>
      </c>
      <c r="I38" s="5">
        <f t="shared" si="8"/>
        <v>221883.4</v>
      </c>
      <c r="J38" s="5">
        <f t="shared" si="9"/>
        <v>0</v>
      </c>
      <c r="K38" s="5">
        <f t="shared" si="10"/>
        <v>0</v>
      </c>
      <c r="L38" s="5">
        <f>IFERROR(SUMIFS('Hot Bill HN'!$G:$G, 'Hot Bill HN'!$C:$C, $A38, 'Hot Bill HN'!$D:$D, $B38), 0)</f>
        <v>0</v>
      </c>
      <c r="M38" s="28">
        <f t="shared" si="11"/>
        <v>0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</row>
    <row r="39" spans="1:38" ht="13.8" customHeight="1" x14ac:dyDescent="0.3">
      <c r="A39" s="26" t="s">
        <v>14</v>
      </c>
      <c r="B39" s="27" t="s">
        <v>16</v>
      </c>
      <c r="C39" s="6" t="s">
        <v>93</v>
      </c>
      <c r="D39" s="5">
        <f t="shared" si="6"/>
        <v>893612.3</v>
      </c>
      <c r="E39" s="5">
        <v>118400</v>
      </c>
      <c r="F39" s="5">
        <v>6721029</v>
      </c>
      <c r="G39" s="5">
        <v>2096694</v>
      </c>
      <c r="H39" s="5">
        <f t="shared" si="7"/>
        <v>672102.9</v>
      </c>
      <c r="I39" s="5">
        <f t="shared" si="8"/>
        <v>209669.4</v>
      </c>
      <c r="J39" s="5">
        <f t="shared" si="9"/>
        <v>0</v>
      </c>
      <c r="K39" s="5">
        <f t="shared" si="10"/>
        <v>0</v>
      </c>
      <c r="L39" s="5">
        <f>IFERROR(SUMIFS('Hot Bill HN'!$G:$G, 'Hot Bill HN'!$C:$C, $A39, 'Hot Bill HN'!$D:$D, $B39), 0)</f>
        <v>0</v>
      </c>
      <c r="M39" s="28">
        <f t="shared" si="11"/>
        <v>0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</row>
    <row r="40" spans="1:38" ht="13.8" customHeight="1" x14ac:dyDescent="0.3">
      <c r="A40" s="26" t="s">
        <v>14</v>
      </c>
      <c r="B40" s="27" t="s">
        <v>17</v>
      </c>
      <c r="C40" s="6" t="s">
        <v>92</v>
      </c>
      <c r="D40" s="5">
        <f t="shared" si="6"/>
        <v>742055</v>
      </c>
      <c r="E40" s="5">
        <v>384476</v>
      </c>
      <c r="F40" s="5">
        <v>3450916</v>
      </c>
      <c r="G40" s="5">
        <v>3585158</v>
      </c>
      <c r="H40" s="5">
        <f t="shared" si="7"/>
        <v>345091.6</v>
      </c>
      <c r="I40" s="5">
        <f t="shared" si="8"/>
        <v>358515.8</v>
      </c>
      <c r="J40" s="5">
        <f t="shared" si="9"/>
        <v>0</v>
      </c>
      <c r="K40" s="5">
        <f t="shared" si="10"/>
        <v>0</v>
      </c>
      <c r="L40" s="5">
        <f>IFERROR(SUMIFS('Hot Bill HN'!$G:$G, 'Hot Bill HN'!$C:$C, $A40, 'Hot Bill HN'!$D:$D, $B40), 0)</f>
        <v>0</v>
      </c>
      <c r="M40" s="28">
        <f t="shared" si="11"/>
        <v>0</v>
      </c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</row>
    <row r="41" spans="1:38" ht="13.8" customHeight="1" x14ac:dyDescent="0.3">
      <c r="A41" s="26" t="s">
        <v>14</v>
      </c>
      <c r="B41" s="27" t="s">
        <v>20</v>
      </c>
      <c r="C41" s="6" t="s">
        <v>95</v>
      </c>
      <c r="D41" s="5">
        <f t="shared" si="6"/>
        <v>544083.69999999995</v>
      </c>
      <c r="E41" s="5">
        <v>510665</v>
      </c>
      <c r="F41" s="5">
        <v>2269439</v>
      </c>
      <c r="G41" s="5">
        <v>2660733</v>
      </c>
      <c r="H41" s="5">
        <f t="shared" si="7"/>
        <v>226943.9</v>
      </c>
      <c r="I41" s="5">
        <f t="shared" si="8"/>
        <v>266073.3</v>
      </c>
      <c r="J41" s="5">
        <f t="shared" si="9"/>
        <v>0</v>
      </c>
      <c r="K41" s="5">
        <f t="shared" si="10"/>
        <v>0</v>
      </c>
      <c r="L41" s="5">
        <f>IFERROR(SUMIFS('Hot Bill HN'!$G:$G, 'Hot Bill HN'!$C:$C, $A41, 'Hot Bill HN'!$D:$D, $B41), 0)</f>
        <v>0</v>
      </c>
      <c r="M41" s="28">
        <f t="shared" si="11"/>
        <v>0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</row>
    <row r="42" spans="1:38" ht="13.8" customHeight="1" x14ac:dyDescent="0.3">
      <c r="A42" s="26" t="s">
        <v>14</v>
      </c>
      <c r="B42" s="27" t="s">
        <v>15</v>
      </c>
      <c r="C42" s="6" t="s">
        <v>90</v>
      </c>
      <c r="D42" s="5">
        <f t="shared" si="6"/>
        <v>1477612.9</v>
      </c>
      <c r="E42" s="5">
        <v>946102</v>
      </c>
      <c r="F42" s="5">
        <v>9663995</v>
      </c>
      <c r="G42" s="5">
        <v>4166032</v>
      </c>
      <c r="H42" s="5">
        <f t="shared" si="7"/>
        <v>966399.5</v>
      </c>
      <c r="I42" s="5">
        <f t="shared" si="8"/>
        <v>416603.2</v>
      </c>
      <c r="J42" s="5">
        <f t="shared" si="9"/>
        <v>1000000</v>
      </c>
      <c r="K42" s="5">
        <f t="shared" si="10"/>
        <v>0</v>
      </c>
      <c r="L42" s="5">
        <f>IFERROR(SUMIFS('Hot Bill HN'!$G:$G, 'Hot Bill HN'!$C:$C, $A42, 'Hot Bill HN'!$D:$D, $B42), 0)</f>
        <v>0</v>
      </c>
      <c r="M42" s="28">
        <f t="shared" si="11"/>
        <v>1000000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</row>
    <row r="43" spans="1:38" ht="13.8" customHeight="1" x14ac:dyDescent="0.3">
      <c r="A43" s="26" t="s">
        <v>14</v>
      </c>
      <c r="B43" s="27" t="s">
        <v>97</v>
      </c>
      <c r="C43" s="6" t="s">
        <v>95</v>
      </c>
      <c r="D43" s="5">
        <f t="shared" si="6"/>
        <v>0</v>
      </c>
      <c r="E43" s="5">
        <v>0</v>
      </c>
      <c r="F43" s="5">
        <v>0</v>
      </c>
      <c r="G43" s="5">
        <v>0</v>
      </c>
      <c r="H43" s="5">
        <f t="shared" si="7"/>
        <v>0</v>
      </c>
      <c r="I43" s="5">
        <f t="shared" si="8"/>
        <v>0</v>
      </c>
      <c r="J43" s="5">
        <f t="shared" si="9"/>
        <v>0</v>
      </c>
      <c r="K43" s="5">
        <f t="shared" si="10"/>
        <v>0</v>
      </c>
      <c r="L43" s="5">
        <f>IFERROR(SUMIFS('Hot Bill HN'!$G:$G, 'Hot Bill HN'!$C:$C, $A43, 'Hot Bill HN'!$D:$D, $B43), 0)</f>
        <v>0</v>
      </c>
      <c r="M43" s="28">
        <f t="shared" si="11"/>
        <v>0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</row>
    <row r="44" spans="1:38" ht="13.8" customHeight="1" x14ac:dyDescent="0.3">
      <c r="A44" s="26" t="s">
        <v>8</v>
      </c>
      <c r="B44" s="27" t="s">
        <v>12</v>
      </c>
      <c r="C44" s="6" t="s">
        <v>93</v>
      </c>
      <c r="D44" s="5">
        <f t="shared" si="6"/>
        <v>2392864.9</v>
      </c>
      <c r="E44" s="5">
        <v>4390456</v>
      </c>
      <c r="F44" s="5">
        <v>16123360</v>
      </c>
      <c r="G44" s="5">
        <v>3414833</v>
      </c>
      <c r="H44" s="5">
        <f t="shared" si="7"/>
        <v>1612336</v>
      </c>
      <c r="I44" s="5">
        <f t="shared" si="8"/>
        <v>341483.3</v>
      </c>
      <c r="J44" s="5">
        <f t="shared" si="9"/>
        <v>0</v>
      </c>
      <c r="K44" s="5">
        <f t="shared" si="10"/>
        <v>500000</v>
      </c>
      <c r="L44" s="5">
        <f>IFERROR(SUMIFS('Hot Bill HN'!$G:$G, 'Hot Bill HN'!$C:$C, $A44, 'Hot Bill HN'!$D:$D, $B44), 0)</f>
        <v>50000</v>
      </c>
      <c r="M44" s="28">
        <f t="shared" si="11"/>
        <v>550000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</row>
    <row r="45" spans="1:38" ht="13.8" customHeight="1" x14ac:dyDescent="0.3">
      <c r="A45" s="26" t="s">
        <v>8</v>
      </c>
      <c r="B45" s="27" t="s">
        <v>10</v>
      </c>
      <c r="C45" s="6" t="s">
        <v>98</v>
      </c>
      <c r="D45" s="5">
        <f t="shared" si="6"/>
        <v>3403750.6</v>
      </c>
      <c r="E45" s="5">
        <v>3347933</v>
      </c>
      <c r="F45" s="5">
        <v>28219110</v>
      </c>
      <c r="G45" s="5">
        <v>2470463</v>
      </c>
      <c r="H45" s="5">
        <f t="shared" si="7"/>
        <v>2821911</v>
      </c>
      <c r="I45" s="5">
        <f t="shared" si="8"/>
        <v>247046.3</v>
      </c>
      <c r="J45" s="5">
        <f t="shared" si="9"/>
        <v>0</v>
      </c>
      <c r="K45" s="5">
        <f t="shared" si="10"/>
        <v>500000</v>
      </c>
      <c r="L45" s="5">
        <f>IFERROR(SUMIFS('Hot Bill HN'!$G:$G, 'Hot Bill HN'!$C:$C, $A45, 'Hot Bill HN'!$D:$D, $B45), 0)</f>
        <v>350000</v>
      </c>
      <c r="M45" s="28">
        <f t="shared" si="11"/>
        <v>850000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</row>
    <row r="46" spans="1:38" ht="13.8" customHeight="1" x14ac:dyDescent="0.3">
      <c r="A46" s="26" t="s">
        <v>8</v>
      </c>
      <c r="B46" s="27" t="s">
        <v>9</v>
      </c>
      <c r="C46" s="6" t="s">
        <v>98</v>
      </c>
      <c r="D46" s="5">
        <f t="shared" si="6"/>
        <v>2195912.6</v>
      </c>
      <c r="E46" s="5">
        <v>2466366</v>
      </c>
      <c r="F46" s="5">
        <v>15553471</v>
      </c>
      <c r="G46" s="5">
        <v>3939289</v>
      </c>
      <c r="H46" s="5">
        <f t="shared" si="7"/>
        <v>1555347.1</v>
      </c>
      <c r="I46" s="5">
        <f t="shared" si="8"/>
        <v>393928.9</v>
      </c>
      <c r="J46" s="5">
        <f t="shared" si="9"/>
        <v>0</v>
      </c>
      <c r="K46" s="5">
        <f t="shared" si="10"/>
        <v>500000</v>
      </c>
      <c r="L46" s="5">
        <f>IFERROR(SUMIFS('Hot Bill HN'!$G:$G, 'Hot Bill HN'!$C:$C, $A46, 'Hot Bill HN'!$D:$D, $B46), 0)</f>
        <v>0</v>
      </c>
      <c r="M46" s="28">
        <f t="shared" si="11"/>
        <v>500000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</row>
    <row r="47" spans="1:38" ht="13.8" customHeight="1" x14ac:dyDescent="0.3">
      <c r="A47" s="26" t="s">
        <v>8</v>
      </c>
      <c r="B47" s="27" t="s">
        <v>11</v>
      </c>
      <c r="C47" s="6" t="s">
        <v>98</v>
      </c>
      <c r="D47" s="5">
        <f t="shared" si="6"/>
        <v>4099127.5</v>
      </c>
      <c r="E47" s="5">
        <v>4974983</v>
      </c>
      <c r="F47" s="5">
        <v>33231133</v>
      </c>
      <c r="G47" s="5">
        <v>2785159</v>
      </c>
      <c r="H47" s="5">
        <f t="shared" si="7"/>
        <v>3323113.3</v>
      </c>
      <c r="I47" s="5">
        <f t="shared" si="8"/>
        <v>278515.90000000002</v>
      </c>
      <c r="J47" s="5">
        <f t="shared" si="9"/>
        <v>0</v>
      </c>
      <c r="K47" s="5">
        <f t="shared" si="10"/>
        <v>500000</v>
      </c>
      <c r="L47" s="5">
        <f>IFERROR(SUMIFS('Hot Bill HN'!$G:$G, 'Hot Bill HN'!$C:$C, $A47, 'Hot Bill HN'!$D:$D, $B47), 0)</f>
        <v>350000</v>
      </c>
      <c r="M47" s="28">
        <f t="shared" si="11"/>
        <v>850000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</row>
    <row r="48" spans="1:38" ht="13.8" customHeight="1" x14ac:dyDescent="0.3">
      <c r="A48" s="26" t="s">
        <v>8</v>
      </c>
      <c r="B48" s="27" t="s">
        <v>13</v>
      </c>
      <c r="C48" s="6" t="s">
        <v>95</v>
      </c>
      <c r="D48" s="5">
        <f t="shared" si="6"/>
        <v>753178.9</v>
      </c>
      <c r="E48" s="5">
        <v>1418250</v>
      </c>
      <c r="F48" s="5">
        <v>5354639</v>
      </c>
      <c r="G48" s="5">
        <v>758900</v>
      </c>
      <c r="H48" s="5">
        <f t="shared" si="7"/>
        <v>535463.9</v>
      </c>
      <c r="I48" s="5">
        <f t="shared" si="8"/>
        <v>75890</v>
      </c>
      <c r="J48" s="5">
        <f t="shared" si="9"/>
        <v>0</v>
      </c>
      <c r="K48" s="5">
        <f t="shared" si="10"/>
        <v>0</v>
      </c>
      <c r="L48" s="5">
        <f>IFERROR(SUMIFS('Hot Bill HN'!$G:$G, 'Hot Bill HN'!$C:$C, $A48, 'Hot Bill HN'!$D:$D, $B48), 0)</f>
        <v>0</v>
      </c>
      <c r="M48" s="28">
        <f t="shared" si="11"/>
        <v>0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</row>
    <row r="49" spans="1:38" ht="13.8" customHeight="1" x14ac:dyDescent="0.3">
      <c r="A49" s="26" t="s">
        <v>57</v>
      </c>
      <c r="B49" s="27" t="s">
        <v>58</v>
      </c>
      <c r="C49" s="6" t="s">
        <v>93</v>
      </c>
      <c r="D49" s="5">
        <f t="shared" si="6"/>
        <v>337274.1</v>
      </c>
      <c r="E49" s="5">
        <v>253650</v>
      </c>
      <c r="F49" s="5">
        <v>3003126</v>
      </c>
      <c r="G49" s="5">
        <v>115965</v>
      </c>
      <c r="H49" s="5">
        <f t="shared" si="7"/>
        <v>300312.59999999998</v>
      </c>
      <c r="I49" s="5">
        <f t="shared" si="8"/>
        <v>11596.5</v>
      </c>
      <c r="J49" s="5">
        <f t="shared" si="9"/>
        <v>0</v>
      </c>
      <c r="K49" s="5">
        <f t="shared" si="10"/>
        <v>0</v>
      </c>
      <c r="L49" s="5">
        <f>IFERROR(SUMIFS('Hot Bill HN'!$G:$G, 'Hot Bill HN'!$C:$C, $A49, 'Hot Bill HN'!$D:$D, $B49), 0)</f>
        <v>0</v>
      </c>
      <c r="M49" s="28">
        <f t="shared" si="11"/>
        <v>0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</row>
    <row r="50" spans="1:38" ht="13.8" customHeight="1" x14ac:dyDescent="0.3">
      <c r="A50" s="26" t="s">
        <v>57</v>
      </c>
      <c r="B50" s="27" t="s">
        <v>59</v>
      </c>
      <c r="C50" s="6" t="s">
        <v>98</v>
      </c>
      <c r="D50" s="5">
        <f t="shared" si="6"/>
        <v>4609219.3</v>
      </c>
      <c r="E50" s="5">
        <v>3822079</v>
      </c>
      <c r="F50" s="5">
        <v>33154497</v>
      </c>
      <c r="G50" s="5">
        <v>9115617</v>
      </c>
      <c r="H50" s="5">
        <f t="shared" si="7"/>
        <v>3315449.7</v>
      </c>
      <c r="I50" s="5">
        <f t="shared" si="8"/>
        <v>911561.7</v>
      </c>
      <c r="J50" s="5">
        <f t="shared" si="9"/>
        <v>1000000</v>
      </c>
      <c r="K50" s="5">
        <f t="shared" si="10"/>
        <v>0</v>
      </c>
      <c r="L50" s="5">
        <f>IFERROR(SUMIFS('Hot Bill HN'!$G:$G, 'Hot Bill HN'!$C:$C, $A50, 'Hot Bill HN'!$D:$D, $B50), 0)</f>
        <v>0</v>
      </c>
      <c r="M50" s="28">
        <f t="shared" si="11"/>
        <v>1000000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</row>
    <row r="51" spans="1:38" ht="13.8" customHeight="1" x14ac:dyDescent="0.3">
      <c r="A51" s="26" t="s">
        <v>57</v>
      </c>
      <c r="B51" s="27" t="s">
        <v>62</v>
      </c>
      <c r="C51" s="6" t="s">
        <v>98</v>
      </c>
      <c r="D51" s="5">
        <f t="shared" si="6"/>
        <v>2095356.4</v>
      </c>
      <c r="E51" s="5">
        <v>2368667</v>
      </c>
      <c r="F51" s="5">
        <v>14350369</v>
      </c>
      <c r="G51" s="5">
        <v>4234528</v>
      </c>
      <c r="H51" s="5">
        <f t="shared" si="7"/>
        <v>1435036.9</v>
      </c>
      <c r="I51" s="5">
        <f t="shared" si="8"/>
        <v>423452.8</v>
      </c>
      <c r="J51" s="5">
        <f t="shared" si="9"/>
        <v>0</v>
      </c>
      <c r="K51" s="5">
        <f t="shared" si="10"/>
        <v>500000</v>
      </c>
      <c r="L51" s="5">
        <f>IFERROR(SUMIFS('Hot Bill HN'!$G:$G, 'Hot Bill HN'!$C:$C, $A51, 'Hot Bill HN'!$D:$D, $B51), 0)</f>
        <v>50000</v>
      </c>
      <c r="M51" s="28">
        <f t="shared" si="11"/>
        <v>550000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</row>
    <row r="52" spans="1:38" ht="13.8" customHeight="1" x14ac:dyDescent="0.3">
      <c r="A52" s="26" t="s">
        <v>57</v>
      </c>
      <c r="B52" s="27" t="s">
        <v>61</v>
      </c>
      <c r="C52" s="6" t="s">
        <v>98</v>
      </c>
      <c r="D52" s="5">
        <f t="shared" si="6"/>
        <v>5238793.5999999996</v>
      </c>
      <c r="E52" s="5">
        <v>3506386</v>
      </c>
      <c r="F52" s="5">
        <v>36543116</v>
      </c>
      <c r="G52" s="5">
        <v>12338434</v>
      </c>
      <c r="H52" s="5">
        <f t="shared" si="7"/>
        <v>3654311.6</v>
      </c>
      <c r="I52" s="5">
        <f t="shared" si="8"/>
        <v>1233843.3999999999</v>
      </c>
      <c r="J52" s="5">
        <f t="shared" si="9"/>
        <v>1000000</v>
      </c>
      <c r="K52" s="5">
        <f t="shared" si="10"/>
        <v>0</v>
      </c>
      <c r="L52" s="5">
        <f>IFERROR(SUMIFS('Hot Bill HN'!$G:$G, 'Hot Bill HN'!$C:$C, $A52, 'Hot Bill HN'!$D:$D, $B52), 0)</f>
        <v>0</v>
      </c>
      <c r="M52" s="28">
        <f t="shared" si="11"/>
        <v>1000000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</row>
    <row r="53" spans="1:38" ht="13.8" customHeight="1" x14ac:dyDescent="0.3">
      <c r="A53" s="26" t="s">
        <v>57</v>
      </c>
      <c r="B53" s="27" t="s">
        <v>63</v>
      </c>
      <c r="C53" s="6" t="s">
        <v>98</v>
      </c>
      <c r="D53" s="5">
        <f t="shared" si="6"/>
        <v>777051</v>
      </c>
      <c r="E53" s="5">
        <v>737374</v>
      </c>
      <c r="F53" s="5">
        <v>5297048</v>
      </c>
      <c r="G53" s="5">
        <v>1736088</v>
      </c>
      <c r="H53" s="5">
        <f t="shared" si="7"/>
        <v>529704.80000000005</v>
      </c>
      <c r="I53" s="5">
        <f t="shared" si="8"/>
        <v>173608.8</v>
      </c>
      <c r="J53" s="5">
        <f t="shared" si="9"/>
        <v>0</v>
      </c>
      <c r="K53" s="5">
        <f t="shared" si="10"/>
        <v>0</v>
      </c>
      <c r="L53" s="5">
        <f>IFERROR(SUMIFS('Hot Bill HN'!$G:$G, 'Hot Bill HN'!$C:$C, $A53, 'Hot Bill HN'!$D:$D, $B53), 0)</f>
        <v>50000</v>
      </c>
      <c r="M53" s="28">
        <f t="shared" si="11"/>
        <v>50000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</row>
    <row r="54" spans="1:38" ht="13.8" customHeight="1" x14ac:dyDescent="0.3">
      <c r="A54" s="26" t="s">
        <v>14</v>
      </c>
      <c r="B54" s="27" t="s">
        <v>18</v>
      </c>
      <c r="C54" s="6" t="s">
        <v>99</v>
      </c>
      <c r="D54" s="5">
        <f t="shared" si="6"/>
        <v>77470</v>
      </c>
      <c r="E54" s="5">
        <v>0</v>
      </c>
      <c r="F54" s="5">
        <v>435000</v>
      </c>
      <c r="G54" s="5">
        <v>339700</v>
      </c>
      <c r="H54" s="5">
        <f t="shared" si="7"/>
        <v>43500</v>
      </c>
      <c r="I54" s="5">
        <f t="shared" si="8"/>
        <v>33970</v>
      </c>
      <c r="J54" s="5">
        <f t="shared" si="9"/>
        <v>0</v>
      </c>
      <c r="K54" s="5">
        <f t="shared" si="10"/>
        <v>0</v>
      </c>
      <c r="L54" s="5">
        <f>IFERROR(SUMIFS('Hot Bill HN'!$G:$G, 'Hot Bill HN'!$C:$C, $A54, 'Hot Bill HN'!$D:$D, $B54), 0)</f>
        <v>0</v>
      </c>
      <c r="M54" s="28">
        <f t="shared" si="11"/>
        <v>0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</row>
    <row r="55" spans="1:38" ht="13.8" customHeight="1" x14ac:dyDescent="0.3">
      <c r="A55" s="26" t="s">
        <v>14</v>
      </c>
      <c r="B55" s="27" t="s">
        <v>19</v>
      </c>
      <c r="C55" s="6" t="s">
        <v>99</v>
      </c>
      <c r="D55" s="5">
        <f t="shared" si="6"/>
        <v>0</v>
      </c>
      <c r="E55" s="5">
        <v>0</v>
      </c>
      <c r="F55" s="5">
        <v>0</v>
      </c>
      <c r="G55" s="5">
        <v>0</v>
      </c>
      <c r="H55" s="5">
        <f t="shared" si="7"/>
        <v>0</v>
      </c>
      <c r="I55" s="5">
        <f t="shared" si="8"/>
        <v>0</v>
      </c>
      <c r="J55" s="5">
        <f t="shared" si="9"/>
        <v>0</v>
      </c>
      <c r="K55" s="5">
        <f t="shared" si="10"/>
        <v>0</v>
      </c>
      <c r="L55" s="5">
        <f>IFERROR(SUMIFS('Hot Bill HN'!$G:$G, 'Hot Bill HN'!$C:$C, $A55, 'Hot Bill HN'!$D:$D, $B55), 0)</f>
        <v>0</v>
      </c>
      <c r="M55" s="28">
        <f t="shared" si="11"/>
        <v>0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</row>
    <row r="56" spans="1:38" ht="13.8" customHeight="1" x14ac:dyDescent="0.3">
      <c r="A56" s="26" t="s">
        <v>26</v>
      </c>
      <c r="B56" s="27" t="s">
        <v>23</v>
      </c>
      <c r="C56" s="6" t="s">
        <v>99</v>
      </c>
      <c r="D56" s="5">
        <f t="shared" si="6"/>
        <v>0</v>
      </c>
      <c r="E56" s="5">
        <v>0</v>
      </c>
      <c r="F56" s="5">
        <v>0</v>
      </c>
      <c r="G56" s="5">
        <v>0</v>
      </c>
      <c r="H56" s="5">
        <f t="shared" si="7"/>
        <v>0</v>
      </c>
      <c r="I56" s="5">
        <f t="shared" si="8"/>
        <v>0</v>
      </c>
      <c r="J56" s="5">
        <f t="shared" si="9"/>
        <v>0</v>
      </c>
      <c r="K56" s="5">
        <f t="shared" si="10"/>
        <v>0</v>
      </c>
      <c r="L56" s="5">
        <f>IFERROR(SUMIFS('Hot Bill HN'!$G:$G, 'Hot Bill HN'!$C:$C, $A56, 'Hot Bill HN'!$D:$D, $B56), 0)</f>
        <v>0</v>
      </c>
      <c r="M56" s="28">
        <f t="shared" si="11"/>
        <v>0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</row>
    <row r="57" spans="1:38" ht="13.8" customHeight="1" x14ac:dyDescent="0.3">
      <c r="A57" s="26" t="s">
        <v>37</v>
      </c>
      <c r="B57" s="27" t="s">
        <v>39</v>
      </c>
      <c r="C57" s="6" t="s">
        <v>99</v>
      </c>
      <c r="D57" s="5">
        <f t="shared" si="6"/>
        <v>0</v>
      </c>
      <c r="E57" s="5">
        <v>0</v>
      </c>
      <c r="F57" s="5">
        <v>0</v>
      </c>
      <c r="G57" s="5">
        <v>0</v>
      </c>
      <c r="H57" s="5">
        <f t="shared" si="7"/>
        <v>0</v>
      </c>
      <c r="I57" s="5">
        <f t="shared" si="8"/>
        <v>0</v>
      </c>
      <c r="J57" s="5">
        <f t="shared" si="9"/>
        <v>0</v>
      </c>
      <c r="K57" s="5">
        <f t="shared" si="10"/>
        <v>0</v>
      </c>
      <c r="L57" s="5">
        <f>IFERROR(SUMIFS('Hot Bill HN'!$G:$G, 'Hot Bill HN'!$C:$C, $A57, 'Hot Bill HN'!$D:$D, $B57), 0)</f>
        <v>0</v>
      </c>
      <c r="M57" s="28">
        <f t="shared" si="11"/>
        <v>0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</row>
    <row r="58" spans="1:38" ht="13.8" customHeight="1" x14ac:dyDescent="0.3">
      <c r="A58" s="26" t="s">
        <v>42</v>
      </c>
      <c r="B58" s="27" t="s">
        <v>15</v>
      </c>
      <c r="C58" s="6" t="s">
        <v>99</v>
      </c>
      <c r="D58" s="5">
        <f t="shared" si="6"/>
        <v>0</v>
      </c>
      <c r="E58" s="5">
        <v>0</v>
      </c>
      <c r="F58" s="5">
        <v>0</v>
      </c>
      <c r="G58" s="5">
        <v>0</v>
      </c>
      <c r="H58" s="5">
        <f t="shared" si="7"/>
        <v>0</v>
      </c>
      <c r="I58" s="5">
        <f t="shared" si="8"/>
        <v>0</v>
      </c>
      <c r="J58" s="5">
        <f t="shared" si="9"/>
        <v>0</v>
      </c>
      <c r="K58" s="5">
        <f t="shared" si="10"/>
        <v>0</v>
      </c>
      <c r="L58" s="5">
        <f>IFERROR(SUMIFS('Hot Bill HN'!$G:$G, 'Hot Bill HN'!$C:$C, $A58, 'Hot Bill HN'!$D:$D, $B58), 0)</f>
        <v>0</v>
      </c>
      <c r="M58" s="28">
        <f t="shared" si="11"/>
        <v>0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</row>
    <row r="59" spans="1:38" ht="13.8" customHeight="1" x14ac:dyDescent="0.3">
      <c r="A59" s="26" t="s">
        <v>42</v>
      </c>
      <c r="B59" s="27" t="s">
        <v>46</v>
      </c>
      <c r="C59" s="6" t="s">
        <v>99</v>
      </c>
      <c r="D59" s="5">
        <f t="shared" si="6"/>
        <v>113640</v>
      </c>
      <c r="E59" s="5">
        <v>33500</v>
      </c>
      <c r="F59" s="5">
        <v>563800</v>
      </c>
      <c r="G59" s="5">
        <v>539100</v>
      </c>
      <c r="H59" s="5">
        <f t="shared" si="7"/>
        <v>56380</v>
      </c>
      <c r="I59" s="5">
        <f t="shared" si="8"/>
        <v>53910</v>
      </c>
      <c r="J59" s="5">
        <f t="shared" si="9"/>
        <v>0</v>
      </c>
      <c r="K59" s="5">
        <f t="shared" si="10"/>
        <v>0</v>
      </c>
      <c r="L59" s="5">
        <f>IFERROR(SUMIFS('Hot Bill HN'!$G:$G, 'Hot Bill HN'!$C:$C, $A59, 'Hot Bill HN'!$D:$D, $B59), 0)</f>
        <v>0</v>
      </c>
      <c r="M59" s="28">
        <f t="shared" si="11"/>
        <v>0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</row>
    <row r="60" spans="1:38" ht="13.8" customHeight="1" x14ac:dyDescent="0.3">
      <c r="A60" s="26" t="s">
        <v>52</v>
      </c>
      <c r="B60" s="27" t="s">
        <v>15</v>
      </c>
      <c r="C60" s="6" t="s">
        <v>99</v>
      </c>
      <c r="D60" s="5">
        <f t="shared" si="6"/>
        <v>0</v>
      </c>
      <c r="E60" s="5">
        <v>0</v>
      </c>
      <c r="F60" s="5">
        <v>0</v>
      </c>
      <c r="G60" s="5">
        <v>0</v>
      </c>
      <c r="H60" s="5">
        <f t="shared" si="7"/>
        <v>0</v>
      </c>
      <c r="I60" s="5">
        <f t="shared" si="8"/>
        <v>0</v>
      </c>
      <c r="J60" s="5">
        <f t="shared" si="9"/>
        <v>0</v>
      </c>
      <c r="K60" s="5">
        <f t="shared" si="10"/>
        <v>0</v>
      </c>
      <c r="L60" s="5">
        <f>IFERROR(SUMIFS('Hot Bill HN'!$G:$G, 'Hot Bill HN'!$C:$C, $A60, 'Hot Bill HN'!$D:$D, $B60), 0)</f>
        <v>0</v>
      </c>
      <c r="M60" s="28">
        <f t="shared" si="11"/>
        <v>0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</row>
    <row r="61" spans="1:38" ht="13.8" customHeight="1" x14ac:dyDescent="0.3">
      <c r="A61" s="26" t="s">
        <v>52</v>
      </c>
      <c r="B61" s="27" t="s">
        <v>16</v>
      </c>
      <c r="C61" s="6" t="s">
        <v>99</v>
      </c>
      <c r="D61" s="5">
        <f t="shared" si="6"/>
        <v>0</v>
      </c>
      <c r="E61" s="5">
        <v>0</v>
      </c>
      <c r="F61" s="5">
        <v>0</v>
      </c>
      <c r="G61" s="5">
        <v>0</v>
      </c>
      <c r="H61" s="5">
        <f t="shared" si="7"/>
        <v>0</v>
      </c>
      <c r="I61" s="5">
        <f t="shared" si="8"/>
        <v>0</v>
      </c>
      <c r="J61" s="5">
        <f t="shared" si="9"/>
        <v>0</v>
      </c>
      <c r="K61" s="5">
        <f t="shared" si="10"/>
        <v>0</v>
      </c>
      <c r="L61" s="5">
        <f>IFERROR(SUMIFS('Hot Bill HN'!$G:$G, 'Hot Bill HN'!$C:$C, $A61, 'Hot Bill HN'!$D:$D, $B61), 0)</f>
        <v>0</v>
      </c>
      <c r="M61" s="28">
        <f t="shared" si="11"/>
        <v>0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</row>
    <row r="62" spans="1:38" ht="13.8" customHeight="1" x14ac:dyDescent="0.3">
      <c r="A62" s="26" t="s">
        <v>57</v>
      </c>
      <c r="B62" s="27" t="s">
        <v>60</v>
      </c>
      <c r="C62" s="6" t="s">
        <v>99</v>
      </c>
      <c r="D62" s="5">
        <f t="shared" si="6"/>
        <v>0</v>
      </c>
      <c r="E62" s="5">
        <v>0</v>
      </c>
      <c r="F62" s="5">
        <v>0</v>
      </c>
      <c r="G62" s="5">
        <v>0</v>
      </c>
      <c r="H62" s="5">
        <f t="shared" si="7"/>
        <v>0</v>
      </c>
      <c r="I62" s="5">
        <f t="shared" si="8"/>
        <v>0</v>
      </c>
      <c r="J62" s="5">
        <f t="shared" si="9"/>
        <v>0</v>
      </c>
      <c r="K62" s="5">
        <f t="shared" si="10"/>
        <v>0</v>
      </c>
      <c r="L62" s="5">
        <f>IFERROR(SUMIFS('Hot Bill HN'!$G:$G, 'Hot Bill HN'!$C:$C, $A62, 'Hot Bill HN'!$D:$D, $B62), 0)</f>
        <v>0</v>
      </c>
      <c r="M62" s="28">
        <f t="shared" si="11"/>
        <v>0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</row>
    <row r="63" spans="1:38" ht="13.8" customHeight="1" x14ac:dyDescent="0.3">
      <c r="A63" s="26" t="s">
        <v>64</v>
      </c>
      <c r="B63" s="27" t="s">
        <v>15</v>
      </c>
      <c r="C63" s="6" t="s">
        <v>99</v>
      </c>
      <c r="D63" s="5">
        <f t="shared" si="6"/>
        <v>0</v>
      </c>
      <c r="E63" s="5">
        <v>0</v>
      </c>
      <c r="F63" s="5">
        <v>0</v>
      </c>
      <c r="G63" s="5">
        <v>0</v>
      </c>
      <c r="H63" s="5">
        <f t="shared" si="7"/>
        <v>0</v>
      </c>
      <c r="I63" s="5">
        <f t="shared" si="8"/>
        <v>0</v>
      </c>
      <c r="J63" s="5">
        <f t="shared" si="9"/>
        <v>0</v>
      </c>
      <c r="K63" s="5">
        <f t="shared" si="10"/>
        <v>0</v>
      </c>
      <c r="L63" s="5">
        <f>IFERROR(SUMIFS('Hot Bill HN'!$G:$G, 'Hot Bill HN'!$C:$C, $A63, 'Hot Bill HN'!$D:$D, $B63), 0)</f>
        <v>0</v>
      </c>
      <c r="M63" s="28">
        <f t="shared" si="11"/>
        <v>0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8"/>
  <sheetViews>
    <sheetView topLeftCell="A12" workbookViewId="0"/>
  </sheetViews>
  <sheetFormatPr defaultRowHeight="14.4" x14ac:dyDescent="0.3"/>
  <cols>
    <col min="1" max="1" width="12.44140625" customWidth="1"/>
    <col min="2" max="2" width="18" customWidth="1"/>
    <col min="3" max="3" width="16.77734375" customWidth="1"/>
    <col min="4" max="4" width="18.33203125" customWidth="1"/>
    <col min="5" max="5" width="16.21875" customWidth="1"/>
    <col min="6" max="6" width="29.44140625" customWidth="1"/>
    <col min="7" max="7" width="19.44140625" customWidth="1"/>
    <col min="8" max="8" width="62.44140625" customWidth="1"/>
  </cols>
  <sheetData>
    <row r="1" spans="1:8" ht="12.75" customHeight="1" x14ac:dyDescent="0.3">
      <c r="A1" s="29" t="s">
        <v>133</v>
      </c>
      <c r="B1" s="29" t="s">
        <v>134</v>
      </c>
      <c r="C1" s="29" t="s">
        <v>135</v>
      </c>
      <c r="D1" s="29" t="s">
        <v>136</v>
      </c>
      <c r="E1" s="29" t="s">
        <v>137</v>
      </c>
      <c r="F1" s="29" t="s">
        <v>138</v>
      </c>
      <c r="G1" s="29" t="s">
        <v>139</v>
      </c>
      <c r="H1" s="29" t="s">
        <v>140</v>
      </c>
    </row>
    <row r="2" spans="1:8" ht="39" customHeight="1" x14ac:dyDescent="0.3">
      <c r="A2" s="31" t="s">
        <v>141</v>
      </c>
      <c r="B2" s="32">
        <v>46274.513437928239</v>
      </c>
      <c r="C2" s="31" t="s">
        <v>57</v>
      </c>
      <c r="D2" s="31" t="s">
        <v>63</v>
      </c>
      <c r="E2" s="31">
        <v>1</v>
      </c>
      <c r="F2" s="33">
        <v>1080000</v>
      </c>
      <c r="G2" s="33">
        <v>50000</v>
      </c>
      <c r="H2" s="34" t="s">
        <v>142</v>
      </c>
    </row>
    <row r="3" spans="1:8" ht="39" customHeight="1" x14ac:dyDescent="0.3">
      <c r="A3" s="31" t="s">
        <v>143</v>
      </c>
      <c r="B3" s="32">
        <v>46272.922926504631</v>
      </c>
      <c r="C3" s="31" t="s">
        <v>8</v>
      </c>
      <c r="D3" s="31" t="s">
        <v>10</v>
      </c>
      <c r="E3" s="31">
        <v>1</v>
      </c>
      <c r="F3" s="33">
        <v>1080000</v>
      </c>
      <c r="G3" s="33">
        <v>50000</v>
      </c>
      <c r="H3" s="34" t="s">
        <v>142</v>
      </c>
    </row>
    <row r="4" spans="1:8" ht="39" customHeight="1" x14ac:dyDescent="0.3">
      <c r="A4" s="31" t="s">
        <v>144</v>
      </c>
      <c r="B4" s="32">
        <v>46272.921013657397</v>
      </c>
      <c r="C4" s="31" t="s">
        <v>8</v>
      </c>
      <c r="D4" s="31" t="s">
        <v>10</v>
      </c>
      <c r="E4" s="31">
        <v>2</v>
      </c>
      <c r="F4" s="33">
        <v>1749000</v>
      </c>
      <c r="G4" s="33">
        <v>50000</v>
      </c>
      <c r="H4" s="34" t="s">
        <v>145</v>
      </c>
    </row>
    <row r="5" spans="1:8" ht="39" customHeight="1" x14ac:dyDescent="0.3">
      <c r="A5" s="31" t="s">
        <v>146</v>
      </c>
      <c r="B5" s="32">
        <v>46272.799842245367</v>
      </c>
      <c r="C5" s="31" t="s">
        <v>8</v>
      </c>
      <c r="D5" s="31" t="s">
        <v>10</v>
      </c>
      <c r="E5" s="31">
        <v>2</v>
      </c>
      <c r="F5" s="33">
        <v>1079000</v>
      </c>
      <c r="G5" s="33">
        <v>50000</v>
      </c>
      <c r="H5" s="34" t="s">
        <v>147</v>
      </c>
    </row>
    <row r="6" spans="1:8" ht="39" customHeight="1" x14ac:dyDescent="0.3">
      <c r="A6" s="31" t="s">
        <v>148</v>
      </c>
      <c r="B6" s="32">
        <v>46271.806563310187</v>
      </c>
      <c r="C6" s="31" t="s">
        <v>8</v>
      </c>
      <c r="D6" s="31" t="s">
        <v>12</v>
      </c>
      <c r="E6" s="31">
        <v>22</v>
      </c>
      <c r="F6" s="33">
        <v>1019000</v>
      </c>
      <c r="G6" s="33">
        <v>50000</v>
      </c>
      <c r="H6" s="34" t="s">
        <v>149</v>
      </c>
    </row>
    <row r="7" spans="1:8" ht="39" customHeight="1" x14ac:dyDescent="0.3">
      <c r="A7" s="31" t="s">
        <v>150</v>
      </c>
      <c r="B7" s="32">
        <v>46271.444122835637</v>
      </c>
      <c r="C7" s="31" t="s">
        <v>8</v>
      </c>
      <c r="D7" s="31" t="s">
        <v>11</v>
      </c>
      <c r="E7" s="31">
        <v>4</v>
      </c>
      <c r="F7" s="33">
        <v>1368000</v>
      </c>
      <c r="G7" s="33">
        <v>50000</v>
      </c>
      <c r="H7" s="34" t="s">
        <v>151</v>
      </c>
    </row>
    <row r="8" spans="1:8" ht="39" customHeight="1" x14ac:dyDescent="0.3">
      <c r="A8" s="31" t="s">
        <v>152</v>
      </c>
      <c r="B8" s="32">
        <v>46270.83661820602</v>
      </c>
      <c r="C8" s="31" t="s">
        <v>8</v>
      </c>
      <c r="D8" s="31" t="s">
        <v>10</v>
      </c>
      <c r="E8" s="31">
        <v>4</v>
      </c>
      <c r="F8" s="33">
        <v>1641000</v>
      </c>
      <c r="G8" s="33">
        <v>50000</v>
      </c>
      <c r="H8" s="34" t="s">
        <v>153</v>
      </c>
    </row>
    <row r="9" spans="1:8" ht="39" customHeight="1" x14ac:dyDescent="0.3">
      <c r="A9" s="31" t="s">
        <v>154</v>
      </c>
      <c r="B9" s="32">
        <v>46269.832418599537</v>
      </c>
      <c r="C9" s="31" t="s">
        <v>8</v>
      </c>
      <c r="D9" s="31" t="s">
        <v>10</v>
      </c>
      <c r="E9" s="31">
        <v>1</v>
      </c>
      <c r="F9" s="33">
        <v>1080000</v>
      </c>
      <c r="G9" s="33">
        <v>50000</v>
      </c>
      <c r="H9" s="34" t="s">
        <v>142</v>
      </c>
    </row>
    <row r="10" spans="1:8" ht="39" customHeight="1" x14ac:dyDescent="0.3">
      <c r="A10" s="31" t="s">
        <v>155</v>
      </c>
      <c r="B10" s="32">
        <v>46269.763821990739</v>
      </c>
      <c r="C10" s="31" t="s">
        <v>8</v>
      </c>
      <c r="D10" s="31" t="s">
        <v>10</v>
      </c>
      <c r="E10" s="31">
        <v>2</v>
      </c>
      <c r="F10" s="33">
        <v>1259000</v>
      </c>
      <c r="G10" s="33">
        <v>50000</v>
      </c>
      <c r="H10" s="34" t="s">
        <v>156</v>
      </c>
    </row>
    <row r="11" spans="1:8" ht="39" customHeight="1" x14ac:dyDescent="0.3">
      <c r="A11" s="31" t="s">
        <v>157</v>
      </c>
      <c r="B11" s="32">
        <v>46269.489256018518</v>
      </c>
      <c r="C11" s="31" t="s">
        <v>8</v>
      </c>
      <c r="D11" s="31" t="s">
        <v>11</v>
      </c>
      <c r="E11" s="31">
        <v>16</v>
      </c>
      <c r="F11" s="33">
        <v>1035000</v>
      </c>
      <c r="G11" s="33">
        <v>50000</v>
      </c>
      <c r="H11" s="34" t="s">
        <v>158</v>
      </c>
    </row>
    <row r="12" spans="1:8" ht="39" customHeight="1" x14ac:dyDescent="0.3">
      <c r="A12" s="31" t="s">
        <v>159</v>
      </c>
      <c r="B12" s="32">
        <v>46268.469544444437</v>
      </c>
      <c r="C12" s="31" t="s">
        <v>57</v>
      </c>
      <c r="D12" s="31" t="s">
        <v>62</v>
      </c>
      <c r="E12" s="31">
        <v>2</v>
      </c>
      <c r="F12" s="33">
        <v>1320000</v>
      </c>
      <c r="G12" s="33">
        <v>50000</v>
      </c>
      <c r="H12" s="34" t="s">
        <v>160</v>
      </c>
    </row>
    <row r="13" spans="1:8" ht="39" customHeight="1" x14ac:dyDescent="0.3">
      <c r="A13" s="31" t="s">
        <v>161</v>
      </c>
      <c r="B13" s="32">
        <v>46268.299325960637</v>
      </c>
      <c r="C13" s="31" t="s">
        <v>8</v>
      </c>
      <c r="D13" s="31" t="s">
        <v>11</v>
      </c>
      <c r="E13" s="31">
        <v>4</v>
      </c>
      <c r="F13" s="33">
        <v>1007000</v>
      </c>
      <c r="G13" s="33">
        <v>50000</v>
      </c>
      <c r="H13" s="34" t="s">
        <v>162</v>
      </c>
    </row>
    <row r="14" spans="1:8" ht="39" customHeight="1" x14ac:dyDescent="0.3">
      <c r="A14" s="31" t="s">
        <v>163</v>
      </c>
      <c r="B14" s="32">
        <v>46268.285389814817</v>
      </c>
      <c r="C14" s="31" t="s">
        <v>8</v>
      </c>
      <c r="D14" s="31" t="s">
        <v>11</v>
      </c>
      <c r="E14" s="31">
        <v>6</v>
      </c>
      <c r="F14" s="33">
        <v>1491000</v>
      </c>
      <c r="G14" s="33">
        <v>50000</v>
      </c>
      <c r="H14" s="34" t="s">
        <v>164</v>
      </c>
    </row>
    <row r="15" spans="1:8" ht="39" customHeight="1" x14ac:dyDescent="0.3">
      <c r="A15" s="31" t="s">
        <v>165</v>
      </c>
      <c r="B15" s="32">
        <v>46267.847906365743</v>
      </c>
      <c r="C15" s="31" t="s">
        <v>8</v>
      </c>
      <c r="D15" s="31" t="s">
        <v>11</v>
      </c>
      <c r="E15" s="31">
        <v>2</v>
      </c>
      <c r="F15" s="33">
        <v>1036000</v>
      </c>
      <c r="G15" s="33">
        <v>50000</v>
      </c>
      <c r="H15" s="34" t="s">
        <v>166</v>
      </c>
    </row>
    <row r="16" spans="1:8" ht="39" customHeight="1" x14ac:dyDescent="0.3">
      <c r="A16" s="31" t="s">
        <v>167</v>
      </c>
      <c r="B16" s="32">
        <v>46267.769208136568</v>
      </c>
      <c r="C16" s="31" t="s">
        <v>8</v>
      </c>
      <c r="D16" s="31" t="s">
        <v>11</v>
      </c>
      <c r="E16" s="31">
        <v>6</v>
      </c>
      <c r="F16" s="33">
        <v>1002000</v>
      </c>
      <c r="G16" s="33">
        <v>50000</v>
      </c>
      <c r="H16" s="34" t="s">
        <v>168</v>
      </c>
    </row>
    <row r="17" spans="1:8" ht="39" customHeight="1" x14ac:dyDescent="0.3">
      <c r="A17" s="31" t="s">
        <v>169</v>
      </c>
      <c r="B17" s="32">
        <v>46267.679721562497</v>
      </c>
      <c r="C17" s="31" t="s">
        <v>8</v>
      </c>
      <c r="D17" s="31" t="s">
        <v>11</v>
      </c>
      <c r="E17" s="31">
        <v>3</v>
      </c>
      <c r="F17" s="33">
        <v>1041000</v>
      </c>
      <c r="G17" s="33">
        <v>50000</v>
      </c>
      <c r="H17" s="34" t="s">
        <v>170</v>
      </c>
    </row>
    <row r="18" spans="1:8" ht="39" customHeight="1" x14ac:dyDescent="0.3">
      <c r="A18" s="31" t="s">
        <v>171</v>
      </c>
      <c r="B18" s="32">
        <v>46266.753931446758</v>
      </c>
      <c r="C18" s="31" t="s">
        <v>8</v>
      </c>
      <c r="D18" s="31" t="s">
        <v>10</v>
      </c>
      <c r="E18" s="31">
        <v>2</v>
      </c>
      <c r="F18" s="33">
        <v>1014000</v>
      </c>
      <c r="G18" s="33">
        <v>50000</v>
      </c>
      <c r="H18" s="34" t="s">
        <v>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kpi dược sĩ</vt:lpstr>
      <vt:lpstr>kpi nhà thuốc</vt:lpstr>
      <vt:lpstr>Dự án T9</vt:lpstr>
      <vt:lpstr>Hot Bill HN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Hoàng Nguyễn</cp:lastModifiedBy>
  <dcterms:created xsi:type="dcterms:W3CDTF">2026-09-10T05:34:12Z</dcterms:created>
  <dcterms:modified xsi:type="dcterms:W3CDTF">2026-09-10T05:41:33Z</dcterms:modified>
</cp:coreProperties>
</file>