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</fonts>
  <fills count="2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165" fontId="7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7" fillId="15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center" vertical="center" wrapText="1"/>
    </xf>
    <xf numFmtId="9" fontId="7" fillId="18" borderId="3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/>
    </xf>
    <xf numFmtId="3" fontId="7" fillId="17" borderId="2" applyAlignment="1" pivotButton="0" quotePrefix="0" xfId="0">
      <alignment horizontal="right" vertical="center"/>
    </xf>
    <xf numFmtId="9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7" fillId="20" borderId="3" applyAlignment="1" pivotButton="0" quotePrefix="0" xfId="0">
      <alignment horizontal="center" vertical="center" wrapText="1"/>
    </xf>
    <xf numFmtId="0" fontId="7" fillId="21" borderId="3" applyAlignment="1" pivotButton="0" quotePrefix="0" xfId="0">
      <alignment horizontal="center" vertical="center" wrapText="1"/>
    </xf>
    <xf numFmtId="0" fontId="7" fillId="22" borderId="3" applyAlignment="1" pivotButton="0" quotePrefix="0" xfId="0">
      <alignment horizontal="center" vertical="center" wrapText="1"/>
    </xf>
    <xf numFmtId="0" fontId="7" fillId="23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10" fontId="8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0" fontId="10" fillId="15" borderId="0" pivotButton="0" quotePrefix="0" xfId="0"/>
    <xf numFmtId="0" fontId="0" fillId="17" borderId="0" pivotButton="0" quotePrefix="0" xfId="0"/>
    <xf numFmtId="0" fontId="8" fillId="25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left" vertical="center"/>
    </xf>
    <xf numFmtId="3" fontId="7" fillId="25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showGridLines="1" workbookViewId="0">
      <selection activeCell="A1" sqref="A1"/>
    </sheetView>
  </sheetViews>
  <sheetFormatPr baseColWidth="8" defaultRowHeight="15"/>
  <cols>
    <col width="16.33" customWidth="1" min="1" max="1"/>
    <col width="23.89" customWidth="1" min="2" max="2"/>
    <col width="18.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.78" customWidth="1" min="9" max="9"/>
    <col width="13.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7.75" customHeight="1">
      <c r="A1" s="1" t="inlineStr">
        <is>
          <t>Nhà thuốc</t>
        </is>
      </c>
      <c r="B1" s="1" t="inlineStr">
        <is>
          <t>Tên nhân viên</t>
        </is>
      </c>
      <c r="C1" s="1" t="inlineStr">
        <is>
          <t>Số giao dịch off</t>
        </is>
      </c>
      <c r="D1" s="1" t="inlineStr">
        <is>
          <t>Doanh thu off</t>
        </is>
      </c>
      <c r="E1" s="1" t="inlineStr">
        <is>
          <t>Số giao dịch onl</t>
        </is>
      </c>
      <c r="F1" s="1" t="inlineStr">
        <is>
          <t>Doanh thu onl</t>
        </is>
      </c>
      <c r="G1" s="1" t="inlineStr">
        <is>
          <t>Tổng giao dịch</t>
        </is>
      </c>
      <c r="H1" s="1" t="inlineStr">
        <is>
          <t>Doanh thu tổng</t>
        </is>
      </c>
      <c r="I1" s="1" t="n"/>
      <c r="J1" s="2" t="n">
        <v>46295</v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5.75" customHeight="1">
      <c r="A2" s="3" t="inlineStr">
        <is>
          <t>Trường Sa</t>
        </is>
      </c>
      <c r="B2" s="3" t="inlineStr">
        <is>
          <t>Nguyễn Trần Ngọc Phương</t>
        </is>
      </c>
      <c r="C2" s="4" t="n">
        <v>0</v>
      </c>
      <c r="D2" s="5" t="n">
        <v>0</v>
      </c>
      <c r="E2" s="4" t="n">
        <v>0</v>
      </c>
      <c r="F2" s="5" t="n">
        <v>0</v>
      </c>
      <c r="G2" s="4">
        <f>C2+E2</f>
        <v/>
      </c>
      <c r="H2" s="5">
        <f>D2+F2</f>
        <v/>
      </c>
      <c r="I2" s="6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 ht="15.75" customHeight="1">
      <c r="A3" s="3" t="inlineStr">
        <is>
          <t>Trường Sa</t>
        </is>
      </c>
      <c r="B3" s="3" t="inlineStr">
        <is>
          <t>Phạm Nguyễn Ngọc Quý</t>
        </is>
      </c>
      <c r="C3" s="4" t="n">
        <v>0</v>
      </c>
      <c r="D3" s="5" t="n">
        <v>0</v>
      </c>
      <c r="E3" s="4" t="n">
        <v>0</v>
      </c>
      <c r="F3" s="5" t="n">
        <v>0</v>
      </c>
      <c r="G3" s="4">
        <f>C3+E3</f>
        <v/>
      </c>
      <c r="H3" s="5">
        <f>D3+F3</f>
        <v/>
      </c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5.75" customHeight="1">
      <c r="A4" s="3" t="inlineStr">
        <is>
          <t>Trường Sa</t>
        </is>
      </c>
      <c r="B4" s="3" t="inlineStr">
        <is>
          <t>Nguyễn Ngọc Anh Thư</t>
        </is>
      </c>
      <c r="C4" s="4" t="n">
        <v>0</v>
      </c>
      <c r="D4" s="5" t="n">
        <v>0</v>
      </c>
      <c r="E4" s="4" t="n">
        <v>0</v>
      </c>
      <c r="F4" s="5" t="n">
        <v>0</v>
      </c>
      <c r="G4" s="4">
        <f>C4+E4</f>
        <v/>
      </c>
      <c r="H4" s="5">
        <f>D4+F4</f>
        <v/>
      </c>
      <c r="I4" s="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5.75" customHeight="1">
      <c r="A5" s="3" t="inlineStr">
        <is>
          <t>Trường Sa</t>
        </is>
      </c>
      <c r="B5" s="3" t="inlineStr">
        <is>
          <t>Trần Thị Kim Khánh</t>
        </is>
      </c>
      <c r="C5" s="4" t="n">
        <v>0</v>
      </c>
      <c r="D5" s="5" t="n">
        <v>0</v>
      </c>
      <c r="E5" s="4" t="n">
        <v>0</v>
      </c>
      <c r="F5" s="5" t="n">
        <v>0</v>
      </c>
      <c r="G5" s="4">
        <f>C5+E5</f>
        <v/>
      </c>
      <c r="H5" s="5">
        <f>D5+F5</f>
        <v/>
      </c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5.75" customHeight="1">
      <c r="A6" s="3" t="inlineStr">
        <is>
          <t>Trường Sa</t>
        </is>
      </c>
      <c r="B6" s="3" t="inlineStr">
        <is>
          <t>Trịnh Thị Phượng</t>
        </is>
      </c>
      <c r="C6" s="4" t="n">
        <v>0</v>
      </c>
      <c r="D6" s="5" t="n">
        <v>0</v>
      </c>
      <c r="E6" s="4" t="n">
        <v>0</v>
      </c>
      <c r="F6" s="5" t="n">
        <v>0</v>
      </c>
      <c r="G6" s="4">
        <f>C6+E6</f>
        <v/>
      </c>
      <c r="H6" s="5">
        <f>D6+F6</f>
        <v/>
      </c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5.75" customHeight="1">
      <c r="A7" s="3" t="inlineStr">
        <is>
          <t>Đỗ Quang Đẩu</t>
        </is>
      </c>
      <c r="B7" s="3" t="inlineStr">
        <is>
          <t>Phạm Thị Nghĩa Hương</t>
        </is>
      </c>
      <c r="C7" s="4" t="n">
        <v>0</v>
      </c>
      <c r="D7" s="5" t="n">
        <v>0</v>
      </c>
      <c r="E7" s="4" t="n">
        <v>0</v>
      </c>
      <c r="F7" s="5" t="n">
        <v>0</v>
      </c>
      <c r="G7" s="4">
        <f>C7+E7</f>
        <v/>
      </c>
      <c r="H7" s="5">
        <f>D7+F7</f>
        <v/>
      </c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5.75" customHeight="1">
      <c r="A8" s="3" t="inlineStr">
        <is>
          <t>Đỗ Quang Đẩu</t>
        </is>
      </c>
      <c r="B8" s="3" t="inlineStr">
        <is>
          <t>Trần Thiên Phát</t>
        </is>
      </c>
      <c r="C8" s="4" t="n">
        <v>0</v>
      </c>
      <c r="D8" s="5" t="n">
        <v>0</v>
      </c>
      <c r="E8" s="4" t="n">
        <v>0</v>
      </c>
      <c r="F8" s="5" t="n">
        <v>0</v>
      </c>
      <c r="G8" s="4">
        <f>C8+E8</f>
        <v/>
      </c>
      <c r="H8" s="5">
        <f>D8+F8</f>
        <v/>
      </c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5.75" customHeight="1">
      <c r="A9" s="3" t="inlineStr">
        <is>
          <t>Đỗ Quang Đẩu</t>
        </is>
      </c>
      <c r="B9" s="3" t="inlineStr">
        <is>
          <t>Ngô Thị Thanh Thắm</t>
        </is>
      </c>
      <c r="C9" s="4" t="n">
        <v>0</v>
      </c>
      <c r="D9" s="5" t="n">
        <v>0</v>
      </c>
      <c r="E9" s="4" t="n">
        <v>0</v>
      </c>
      <c r="F9" s="5" t="n">
        <v>0</v>
      </c>
      <c r="G9" s="4">
        <f>C9+E9</f>
        <v/>
      </c>
      <c r="H9" s="5">
        <f>D9+F9</f>
        <v/>
      </c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5.75" customHeight="1">
      <c r="A10" s="3" t="inlineStr">
        <is>
          <t>Đỗ Quang Đẩu</t>
        </is>
      </c>
      <c r="B10" s="3" t="inlineStr">
        <is>
          <t>Hoàng Thanh Thủy</t>
        </is>
      </c>
      <c r="C10" s="4" t="n">
        <v>0</v>
      </c>
      <c r="D10" s="5" t="n">
        <v>0</v>
      </c>
      <c r="E10" s="4" t="n">
        <v>0</v>
      </c>
      <c r="F10" s="5" t="n">
        <v>0</v>
      </c>
      <c r="G10" s="4">
        <f>C10+E10</f>
        <v/>
      </c>
      <c r="H10" s="5">
        <f>D10+F10</f>
        <v/>
      </c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5.75" customHeight="1">
      <c r="A11" s="3" t="inlineStr">
        <is>
          <t>Đỗ Quang Đẩu</t>
        </is>
      </c>
      <c r="B11" s="3" t="inlineStr">
        <is>
          <t>Lê Thị Huyền Trân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>
        <f>C11+E11</f>
        <v/>
      </c>
      <c r="H11" s="5">
        <f>D11+F11</f>
        <v/>
      </c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5.75" customHeight="1">
      <c r="A12" s="3" t="inlineStr">
        <is>
          <t>Minh Châu</t>
        </is>
      </c>
      <c r="B12" s="3" t="inlineStr">
        <is>
          <t>Thái Thùy Linh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>
        <f>C12+E12</f>
        <v/>
      </c>
      <c r="H12" s="5">
        <f>D12+F12</f>
        <v/>
      </c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5.75" customHeight="1">
      <c r="A13" s="3" t="inlineStr">
        <is>
          <t>Minh Châu</t>
        </is>
      </c>
      <c r="B13" s="3" t="inlineStr">
        <is>
          <t>Đoàn Quốc Tâm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>
        <f>C13+E13</f>
        <v/>
      </c>
      <c r="H13" s="5">
        <f>D13+F13</f>
        <v/>
      </c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5.75" customHeight="1">
      <c r="A14" s="3" t="inlineStr">
        <is>
          <t>Minh Châu</t>
        </is>
      </c>
      <c r="B14" s="3" t="inlineStr">
        <is>
          <t>Phan Công Vũ Tài</t>
        </is>
      </c>
      <c r="C14" s="4" t="n">
        <v>0</v>
      </c>
      <c r="D14" s="5" t="n">
        <v>0</v>
      </c>
      <c r="E14" s="4" t="n">
        <v>0</v>
      </c>
      <c r="F14" s="5" t="n">
        <v>0</v>
      </c>
      <c r="G14" s="4">
        <f>C14+E14</f>
        <v/>
      </c>
      <c r="H14" s="5">
        <f>D14+F14</f>
        <v/>
      </c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5.75" customHeight="1">
      <c r="A15" s="3" t="inlineStr">
        <is>
          <t>Minh Châu</t>
        </is>
      </c>
      <c r="B15" s="3" t="inlineStr">
        <is>
          <t>Nguyễn Ngọc Thùy</t>
        </is>
      </c>
      <c r="C15" s="4" t="n">
        <v>0</v>
      </c>
      <c r="D15" s="5" t="n">
        <v>0</v>
      </c>
      <c r="E15" s="4" t="n">
        <v>0</v>
      </c>
      <c r="F15" s="5" t="n">
        <v>0</v>
      </c>
      <c r="G15" s="4">
        <f>C15+E15</f>
        <v/>
      </c>
      <c r="H15" s="5">
        <f>D15+F15</f>
        <v/>
      </c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5.75" customHeight="1">
      <c r="A16" s="3" t="inlineStr">
        <is>
          <t>Nam Hòa</t>
        </is>
      </c>
      <c r="B16" s="3" t="inlineStr">
        <is>
          <t>Trần Thị Ánh Nguyệt</t>
        </is>
      </c>
      <c r="C16" s="4" t="n">
        <v>0</v>
      </c>
      <c r="D16" s="5" t="n">
        <v>0</v>
      </c>
      <c r="E16" s="4" t="n">
        <v>0</v>
      </c>
      <c r="F16" s="5" t="n">
        <v>0</v>
      </c>
      <c r="G16" s="4">
        <f>C16+E16</f>
        <v/>
      </c>
      <c r="H16" s="5">
        <f>D16+F16</f>
        <v/>
      </c>
      <c r="I16" s="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5.75" customHeight="1">
      <c r="A17" s="3" t="inlineStr">
        <is>
          <t>Nam Hòa</t>
        </is>
      </c>
      <c r="B17" s="3" t="inlineStr">
        <is>
          <t>Nguyễn Thị Huyền Trang</t>
        </is>
      </c>
      <c r="C17" s="4" t="n">
        <v>0</v>
      </c>
      <c r="D17" s="5" t="n">
        <v>0</v>
      </c>
      <c r="E17" s="4" t="n">
        <v>0</v>
      </c>
      <c r="F17" s="5" t="n">
        <v>0</v>
      </c>
      <c r="G17" s="4">
        <f>C17+E17</f>
        <v/>
      </c>
      <c r="H17" s="5">
        <f>D17+F17</f>
        <v/>
      </c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5.75" customHeight="1">
      <c r="A18" s="3" t="inlineStr">
        <is>
          <t>Nam Hòa</t>
        </is>
      </c>
      <c r="B18" s="3" t="inlineStr">
        <is>
          <t>Dương Thị Huỳnh Như</t>
        </is>
      </c>
      <c r="C18" s="4" t="n">
        <v>0</v>
      </c>
      <c r="D18" s="5" t="n">
        <v>0</v>
      </c>
      <c r="E18" s="4" t="n">
        <v>0</v>
      </c>
      <c r="F18" s="5" t="n">
        <v>0</v>
      </c>
      <c r="G18" s="4">
        <f>C18+E18</f>
        <v/>
      </c>
      <c r="H18" s="5">
        <f>D18+F18</f>
        <v/>
      </c>
      <c r="I18" s="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5.75" customHeight="1">
      <c r="A19" s="3" t="inlineStr">
        <is>
          <t>Nam Hòa</t>
        </is>
      </c>
      <c r="B19" s="3" t="inlineStr">
        <is>
          <t>Bùi Thị Thanh Thủy</t>
        </is>
      </c>
      <c r="C19" s="4" t="n">
        <v>0</v>
      </c>
      <c r="D19" s="5" t="n">
        <v>0</v>
      </c>
      <c r="E19" s="4" t="n">
        <v>0</v>
      </c>
      <c r="F19" s="5" t="n">
        <v>0</v>
      </c>
      <c r="G19" s="4">
        <f>C19+E19</f>
        <v/>
      </c>
      <c r="H19" s="5">
        <f>D19+F19</f>
        <v/>
      </c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5.75" customHeight="1">
      <c r="A20" s="3" t="inlineStr">
        <is>
          <t>Nguyễn Chí Thanh</t>
        </is>
      </c>
      <c r="B20" s="3" t="inlineStr">
        <is>
          <t>Lê Thị Quỳnh Trâm</t>
        </is>
      </c>
      <c r="C20" s="4" t="n">
        <v>0</v>
      </c>
      <c r="D20" s="5" t="n">
        <v>0</v>
      </c>
      <c r="E20" s="4" t="n">
        <v>0</v>
      </c>
      <c r="F20" s="5" t="n">
        <v>0</v>
      </c>
      <c r="G20" s="4">
        <f>C20+E20</f>
        <v/>
      </c>
      <c r="H20" s="5">
        <f>D20+F20</f>
        <v/>
      </c>
      <c r="I20" s="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5.75" customHeight="1">
      <c r="A21" s="3" t="inlineStr">
        <is>
          <t>Nguyễn Chí Thanh</t>
        </is>
      </c>
      <c r="B21" s="3" t="inlineStr">
        <is>
          <t>Đỗ Thị Phương Thảo</t>
        </is>
      </c>
      <c r="C21" s="4" t="n">
        <v>0</v>
      </c>
      <c r="D21" s="5" t="n">
        <v>0</v>
      </c>
      <c r="E21" s="4" t="n">
        <v>0</v>
      </c>
      <c r="F21" s="5" t="n">
        <v>0</v>
      </c>
      <c r="G21" s="4">
        <f>C21+E21</f>
        <v/>
      </c>
      <c r="H21" s="5">
        <f>D21+F21</f>
        <v/>
      </c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5.75" customHeight="1">
      <c r="A22" s="3" t="inlineStr">
        <is>
          <t>Nguyễn Chí Thanh</t>
        </is>
      </c>
      <c r="B22" s="3" t="inlineStr">
        <is>
          <t>Nguyễn Thị Hồng Hạnh</t>
        </is>
      </c>
      <c r="C22" s="4" t="n">
        <v>0</v>
      </c>
      <c r="D22" s="5" t="n">
        <v>0</v>
      </c>
      <c r="E22" s="4" t="n">
        <v>0</v>
      </c>
      <c r="F22" s="5" t="n">
        <v>0</v>
      </c>
      <c r="G22" s="4">
        <f>C22+E22</f>
        <v/>
      </c>
      <c r="H22" s="5">
        <f>D22+F22</f>
        <v/>
      </c>
      <c r="I22" s="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5.75" customHeight="1">
      <c r="A23" s="3" t="inlineStr">
        <is>
          <t>Nguyễn Chí Thanh</t>
        </is>
      </c>
      <c r="B23" s="3" t="inlineStr">
        <is>
          <t>Trần Hoàng Khánh</t>
        </is>
      </c>
      <c r="C23" s="4" t="n">
        <v>0</v>
      </c>
      <c r="D23" s="5" t="n">
        <v>0</v>
      </c>
      <c r="E23" s="4" t="n">
        <v>0</v>
      </c>
      <c r="F23" s="5" t="n">
        <v>0</v>
      </c>
      <c r="G23" s="4">
        <f>C23+E23</f>
        <v/>
      </c>
      <c r="H23" s="5">
        <f>D23+F23</f>
        <v/>
      </c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5.75" customHeight="1">
      <c r="A24" s="3" t="inlineStr">
        <is>
          <t>Nguyễn Chí Thanh</t>
        </is>
      </c>
      <c r="B24" s="3" t="inlineStr">
        <is>
          <t>Lý Thục Mi</t>
        </is>
      </c>
      <c r="C24" s="4" t="n">
        <v>0</v>
      </c>
      <c r="D24" s="5" t="n">
        <v>0</v>
      </c>
      <c r="E24" s="4" t="n">
        <v>0</v>
      </c>
      <c r="F24" s="5" t="n">
        <v>0</v>
      </c>
      <c r="G24" s="4">
        <f>C24+E24</f>
        <v/>
      </c>
      <c r="H24" s="5">
        <f>D24+F24</f>
        <v/>
      </c>
      <c r="I24" s="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5.75" customHeight="1">
      <c r="A25" s="3" t="inlineStr">
        <is>
          <t>Nguyễn Thị Thập</t>
        </is>
      </c>
      <c r="B25" s="3" t="inlineStr">
        <is>
          <t>Trần Thành Đạt</t>
        </is>
      </c>
      <c r="C25" s="4" t="n">
        <v>0</v>
      </c>
      <c r="D25" s="5" t="n">
        <v>0</v>
      </c>
      <c r="E25" s="4" t="n">
        <v>0</v>
      </c>
      <c r="F25" s="5" t="n">
        <v>0</v>
      </c>
      <c r="G25" s="4">
        <f>C25+E25</f>
        <v/>
      </c>
      <c r="H25" s="5">
        <f>D25+F25</f>
        <v/>
      </c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5.75" customHeight="1">
      <c r="A26" s="3" t="inlineStr">
        <is>
          <t>Nguyễn Thị Thập</t>
        </is>
      </c>
      <c r="B26" s="3" t="inlineStr">
        <is>
          <t>Triệu Thị Ngọc Lý</t>
        </is>
      </c>
      <c r="C26" s="4" t="n">
        <v>0</v>
      </c>
      <c r="D26" s="5" t="n">
        <v>0</v>
      </c>
      <c r="E26" s="4" t="n">
        <v>0</v>
      </c>
      <c r="F26" s="5" t="n">
        <v>0</v>
      </c>
      <c r="G26" s="4">
        <f>C26+E26</f>
        <v/>
      </c>
      <c r="H26" s="5">
        <f>D26+F26</f>
        <v/>
      </c>
      <c r="I26" s="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5.75" customHeight="1">
      <c r="A27" s="3" t="inlineStr">
        <is>
          <t>Nguyễn Thị Thập</t>
        </is>
      </c>
      <c r="B27" s="3" t="inlineStr">
        <is>
          <t>Cao Trọng Nhân</t>
        </is>
      </c>
      <c r="C27" s="4" t="n">
        <v>0</v>
      </c>
      <c r="D27" s="5" t="n">
        <v>0</v>
      </c>
      <c r="E27" s="4" t="n">
        <v>0</v>
      </c>
      <c r="F27" s="5" t="n">
        <v>0</v>
      </c>
      <c r="G27" s="4">
        <f>C27+E27</f>
        <v/>
      </c>
      <c r="H27" s="5">
        <f>D27+F27</f>
        <v/>
      </c>
      <c r="I27" s="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5.75" customHeight="1">
      <c r="A28" s="3" t="inlineStr">
        <is>
          <t>Nguyễn Thị Thập</t>
        </is>
      </c>
      <c r="B28" s="3" t="inlineStr">
        <is>
          <t>Bùi Thị Bích Trâm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>
        <f>C28+E28</f>
        <v/>
      </c>
      <c r="H28" s="5">
        <f>D28+F28</f>
        <v/>
      </c>
      <c r="I28" s="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5.75" customHeight="1">
      <c r="A29" s="3" t="inlineStr">
        <is>
          <t>Nguyễn Văn Quá</t>
        </is>
      </c>
      <c r="B29" s="3" t="inlineStr">
        <is>
          <t>Hồ Ngọc Lý</t>
        </is>
      </c>
      <c r="C29" s="4" t="n">
        <v>0</v>
      </c>
      <c r="D29" s="5" t="n">
        <v>0</v>
      </c>
      <c r="E29" s="4" t="n">
        <v>0</v>
      </c>
      <c r="F29" s="5" t="n">
        <v>0</v>
      </c>
      <c r="G29" s="4">
        <f>C29+E29</f>
        <v/>
      </c>
      <c r="H29" s="5">
        <f>D29+F29</f>
        <v/>
      </c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5.75" customHeight="1">
      <c r="A30" s="3" t="inlineStr">
        <is>
          <t>Nguyễn Văn Quá</t>
        </is>
      </c>
      <c r="B30" s="3" t="inlineStr">
        <is>
          <t>Võ Ngọc Giàu Sang</t>
        </is>
      </c>
      <c r="C30" s="4" t="n">
        <v>0</v>
      </c>
      <c r="D30" s="5" t="n">
        <v>0</v>
      </c>
      <c r="E30" s="4" t="n">
        <v>0</v>
      </c>
      <c r="F30" s="5" t="n">
        <v>0</v>
      </c>
      <c r="G30" s="4">
        <f>C30+E30</f>
        <v/>
      </c>
      <c r="H30" s="5">
        <f>D30+F30</f>
        <v/>
      </c>
      <c r="I30" s="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5.75" customHeight="1">
      <c r="A31" s="3" t="inlineStr">
        <is>
          <t>Nguyễn Văn Quá</t>
        </is>
      </c>
      <c r="B31" s="3" t="inlineStr">
        <is>
          <t>Nguyễn Thị Thu Huyền</t>
        </is>
      </c>
      <c r="C31" s="4" t="n">
        <v>0</v>
      </c>
      <c r="D31" s="5" t="n">
        <v>0</v>
      </c>
      <c r="E31" s="4" t="n">
        <v>0</v>
      </c>
      <c r="F31" s="5" t="n">
        <v>0</v>
      </c>
      <c r="G31" s="4">
        <f>C31+E31</f>
        <v/>
      </c>
      <c r="H31" s="5">
        <f>D31+F31</f>
        <v/>
      </c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5.75" customHeight="1">
      <c r="A32" s="3" t="inlineStr">
        <is>
          <t>Nguyễn Văn Quá</t>
        </is>
      </c>
      <c r="B32" s="3" t="inlineStr">
        <is>
          <t>Nguyễn Thị Hương Giang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>
        <f>C32+E32</f>
        <v/>
      </c>
      <c r="H32" s="5">
        <f>D32+F32</f>
        <v/>
      </c>
      <c r="I32" s="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5.75" customHeight="1">
      <c r="A33" s="3" t="inlineStr">
        <is>
          <t>Rạch Bùng Binh</t>
        </is>
      </c>
      <c r="B33" s="3" t="inlineStr">
        <is>
          <t>Cù Thị Tường Vy</t>
        </is>
      </c>
      <c r="C33" s="4" t="n">
        <v>0</v>
      </c>
      <c r="D33" s="5" t="n">
        <v>0</v>
      </c>
      <c r="E33" s="4" t="n">
        <v>0</v>
      </c>
      <c r="F33" s="5" t="n">
        <v>0</v>
      </c>
      <c r="G33" s="4">
        <f>C33+E33</f>
        <v/>
      </c>
      <c r="H33" s="5">
        <f>D33+F33</f>
        <v/>
      </c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5.75" customHeight="1">
      <c r="A34" s="3" t="inlineStr">
        <is>
          <t>Rạch Bùng Binh</t>
        </is>
      </c>
      <c r="B34" s="3" t="inlineStr">
        <is>
          <t>Huỳnh Thị Huệ Hiền</t>
        </is>
      </c>
      <c r="C34" s="4" t="n">
        <v>0</v>
      </c>
      <c r="D34" s="5" t="n">
        <v>0</v>
      </c>
      <c r="E34" s="4" t="n">
        <v>0</v>
      </c>
      <c r="F34" s="5" t="n">
        <v>0</v>
      </c>
      <c r="G34" s="4">
        <f>C34+E34</f>
        <v/>
      </c>
      <c r="H34" s="5">
        <f>D34+F34</f>
        <v/>
      </c>
      <c r="I34" s="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5.75" customHeight="1">
      <c r="A35" s="3" t="inlineStr">
        <is>
          <t>Rạch Bùng Binh</t>
        </is>
      </c>
      <c r="B35" s="3" t="inlineStr">
        <is>
          <t>Ngô Thị Ngọc Thủy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>
        <f>C35+E35</f>
        <v/>
      </c>
      <c r="H35" s="5">
        <f>D35+F35</f>
        <v/>
      </c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5.75" customHeight="1">
      <c r="A36" s="3" t="inlineStr">
        <is>
          <t>Rạch Bùng Binh</t>
        </is>
      </c>
      <c r="B36" s="3" t="inlineStr">
        <is>
          <t>Nguyễn Thị Phúc Lộc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>
        <f>C36+E36</f>
        <v/>
      </c>
      <c r="H36" s="5">
        <f>D36+F36</f>
        <v/>
      </c>
      <c r="I36" s="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5.75" customHeight="1">
      <c r="A37" s="3" t="inlineStr">
        <is>
          <t>Rạch Bùng Binh</t>
        </is>
      </c>
      <c r="B37" s="3" t="inlineStr">
        <is>
          <t>Phạm Nguyễn Ngọc Quyền Trân</t>
        </is>
      </c>
      <c r="C37" s="4" t="n">
        <v>0</v>
      </c>
      <c r="D37" s="5" t="n">
        <v>0</v>
      </c>
      <c r="E37" s="4" t="n">
        <v>0</v>
      </c>
      <c r="F37" s="5" t="n">
        <v>0</v>
      </c>
      <c r="G37" s="4">
        <f>C37+E37</f>
        <v/>
      </c>
      <c r="H37" s="5">
        <f>D37+F37</f>
        <v/>
      </c>
      <c r="I37" s="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5.75" customHeight="1">
      <c r="A38" s="3" t="inlineStr">
        <is>
          <t>Lê Bình</t>
        </is>
      </c>
      <c r="B38" s="3" t="inlineStr">
        <is>
          <t>Hồ Thị Minh Hòa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>
        <f>C38+E38</f>
        <v/>
      </c>
      <c r="H38" s="5">
        <f>D38+F38</f>
        <v/>
      </c>
      <c r="I38" s="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5.75" customHeight="1">
      <c r="A39" s="3" t="inlineStr">
        <is>
          <t>Lê Bình</t>
        </is>
      </c>
      <c r="B39" s="3" t="inlineStr">
        <is>
          <t>Lê Thị Xuyến</t>
        </is>
      </c>
      <c r="C39" s="4" t="n">
        <v>0</v>
      </c>
      <c r="D39" s="5" t="n">
        <v>0</v>
      </c>
      <c r="E39" s="4" t="n">
        <v>0</v>
      </c>
      <c r="F39" s="5" t="n">
        <v>0</v>
      </c>
      <c r="G39" s="4">
        <f>C39+E39</f>
        <v/>
      </c>
      <c r="H39" s="5">
        <f>D39+F39</f>
        <v/>
      </c>
      <c r="I39" s="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5.75" customHeight="1">
      <c r="A40" s="3" t="inlineStr">
        <is>
          <t>Lê Bình</t>
        </is>
      </c>
      <c r="B40" s="3" t="inlineStr">
        <is>
          <t>Đinh Hoài Bảo</t>
        </is>
      </c>
      <c r="C40" s="4" t="n">
        <v>0</v>
      </c>
      <c r="D40" s="5" t="n">
        <v>0</v>
      </c>
      <c r="E40" s="4" t="n">
        <v>0</v>
      </c>
      <c r="F40" s="5" t="n">
        <v>0</v>
      </c>
      <c r="G40" s="4">
        <f>C40+E40</f>
        <v/>
      </c>
      <c r="H40" s="5">
        <f>D40+F40</f>
        <v/>
      </c>
      <c r="I40" s="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5.75" customHeight="1">
      <c r="A41" s="3" t="inlineStr">
        <is>
          <t>Lê Bình</t>
        </is>
      </c>
      <c r="B41" s="3" t="inlineStr">
        <is>
          <t>Hoàng Lâm Gia Bảo</t>
        </is>
      </c>
      <c r="C41" s="4" t="n">
        <v>0</v>
      </c>
      <c r="D41" s="5" t="n">
        <v>0</v>
      </c>
      <c r="E41" s="4" t="n">
        <v>0</v>
      </c>
      <c r="F41" s="5" t="n">
        <v>0</v>
      </c>
      <c r="G41" s="4">
        <f>C41+E41</f>
        <v/>
      </c>
      <c r="H41" s="5">
        <f>D41+F41</f>
        <v/>
      </c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5.75" customHeight="1">
      <c r="A42" s="3" t="inlineStr">
        <is>
          <t>Lê Bình</t>
        </is>
      </c>
      <c r="B42" s="3" t="inlineStr">
        <is>
          <t>Trần Thị Phương Thùy</t>
        </is>
      </c>
      <c r="C42" s="4" t="n">
        <v>0</v>
      </c>
      <c r="D42" s="5" t="n">
        <v>0</v>
      </c>
      <c r="E42" s="4" t="n">
        <v>0</v>
      </c>
      <c r="F42" s="5" t="n">
        <v>0</v>
      </c>
      <c r="G42" s="4">
        <f>C42+E42</f>
        <v/>
      </c>
      <c r="H42" s="5">
        <f>D42+F42</f>
        <v/>
      </c>
      <c r="I42" s="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5.75" customHeight="1">
      <c r="A43" s="3" t="inlineStr">
        <is>
          <t>Hàng Bông</t>
        </is>
      </c>
      <c r="B43" s="3" t="inlineStr">
        <is>
          <t>Đinh Thị Lan Anh</t>
        </is>
      </c>
      <c r="C43" s="4" t="n">
        <v>0</v>
      </c>
      <c r="D43" s="5" t="n">
        <v>0</v>
      </c>
      <c r="E43" s="4" t="n">
        <v>0</v>
      </c>
      <c r="F43" s="5" t="n">
        <v>0</v>
      </c>
      <c r="G43" s="4">
        <f>C43+E43</f>
        <v/>
      </c>
      <c r="H43" s="5">
        <f>D43+F43</f>
        <v/>
      </c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5.75" customHeight="1">
      <c r="A44" s="3" t="inlineStr">
        <is>
          <t>Hàng Bông</t>
        </is>
      </c>
      <c r="B44" s="3" t="inlineStr">
        <is>
          <t>Vũ Thanh Hằng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>
        <f>C44+E44</f>
        <v/>
      </c>
      <c r="H44" s="5">
        <f>D44+F44</f>
        <v/>
      </c>
      <c r="I44" s="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5.75" customHeight="1">
      <c r="A45" s="3" t="inlineStr">
        <is>
          <t>Hàng Bông</t>
        </is>
      </c>
      <c r="B45" s="3" t="inlineStr">
        <is>
          <t>Nguyễn Mạnh Tuấn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>
        <f>C45+E45</f>
        <v/>
      </c>
      <c r="H45" s="5">
        <f>D45+F45</f>
        <v/>
      </c>
      <c r="I45" s="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5.75" customHeight="1">
      <c r="A46" s="3" t="inlineStr">
        <is>
          <t>Hàng Bông</t>
        </is>
      </c>
      <c r="B46" s="3" t="inlineStr">
        <is>
          <t>Đinh Thị Khánh Ly</t>
        </is>
      </c>
      <c r="C46" s="4" t="n">
        <v>0</v>
      </c>
      <c r="D46" s="5" t="n">
        <v>0</v>
      </c>
      <c r="E46" s="4" t="n">
        <v>0</v>
      </c>
      <c r="F46" s="5" t="n">
        <v>0</v>
      </c>
      <c r="G46" s="4">
        <f>C46+E46</f>
        <v/>
      </c>
      <c r="H46" s="5">
        <f>D46+F46</f>
        <v/>
      </c>
      <c r="I46" s="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5.75" customHeight="1">
      <c r="A47" s="3" t="inlineStr">
        <is>
          <t>Hàng Bông</t>
        </is>
      </c>
      <c r="B47" s="3" t="inlineStr">
        <is>
          <t>Đỗ Thu Huệ</t>
        </is>
      </c>
      <c r="C47" s="4" t="n">
        <v>0</v>
      </c>
      <c r="D47" s="5" t="n">
        <v>0</v>
      </c>
      <c r="E47" s="4" t="n">
        <v>0</v>
      </c>
      <c r="F47" s="5" t="n">
        <v>0</v>
      </c>
      <c r="G47" s="4">
        <f>C47+E47</f>
        <v/>
      </c>
      <c r="H47" s="5">
        <f>D47+F47</f>
        <v/>
      </c>
      <c r="I47" s="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5.75" customHeight="1">
      <c r="A48" s="3" t="inlineStr">
        <is>
          <t>Đường Láng</t>
        </is>
      </c>
      <c r="B48" s="3" t="inlineStr">
        <is>
          <t>Hứa Thị Kim Thoa</t>
        </is>
      </c>
      <c r="C48" s="4" t="n">
        <v>0</v>
      </c>
      <c r="D48" s="5" t="n">
        <v>0</v>
      </c>
      <c r="E48" s="4" t="n">
        <v>0</v>
      </c>
      <c r="F48" s="5" t="n">
        <v>0</v>
      </c>
      <c r="G48" s="4">
        <f>C48+E48</f>
        <v/>
      </c>
      <c r="H48" s="5">
        <f>D48+F48</f>
        <v/>
      </c>
      <c r="I48" s="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5.75" customHeight="1">
      <c r="A49" s="3" t="inlineStr">
        <is>
          <t>Đường Láng</t>
        </is>
      </c>
      <c r="B49" s="3" t="inlineStr">
        <is>
          <t>Lê Thị Soạn</t>
        </is>
      </c>
      <c r="C49" s="4" t="n">
        <v>0</v>
      </c>
      <c r="D49" s="5" t="n">
        <v>0</v>
      </c>
      <c r="E49" s="4" t="n">
        <v>0</v>
      </c>
      <c r="F49" s="5" t="n">
        <v>0</v>
      </c>
      <c r="G49" s="4">
        <f>C49+E49</f>
        <v/>
      </c>
      <c r="H49" s="5">
        <f>D49+F49</f>
        <v/>
      </c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5.75" customHeight="1">
      <c r="A50" s="3" t="inlineStr">
        <is>
          <t>Đường Láng</t>
        </is>
      </c>
      <c r="B50" s="3" t="inlineStr">
        <is>
          <t>Nguyễn Thị Tâm</t>
        </is>
      </c>
      <c r="C50" s="4" t="n">
        <v>0</v>
      </c>
      <c r="D50" s="5" t="n">
        <v>0</v>
      </c>
      <c r="E50" s="4" t="n">
        <v>0</v>
      </c>
      <c r="F50" s="5" t="n">
        <v>0</v>
      </c>
      <c r="G50" s="4">
        <f>C50+E50</f>
        <v/>
      </c>
      <c r="H50" s="5">
        <f>D50+F50</f>
        <v/>
      </c>
      <c r="I50" s="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5.75" customHeight="1">
      <c r="A51" s="3" t="inlineStr">
        <is>
          <t>Đường Láng</t>
        </is>
      </c>
      <c r="B51" s="3" t="inlineStr">
        <is>
          <t>Nguyễn Thị Mai Duyên</t>
        </is>
      </c>
      <c r="C51" s="4" t="n">
        <v>0</v>
      </c>
      <c r="D51" s="5" t="n">
        <v>0</v>
      </c>
      <c r="E51" s="4" t="n">
        <v>0</v>
      </c>
      <c r="F51" s="5" t="n">
        <v>0</v>
      </c>
      <c r="G51" s="4">
        <f>C51+E51</f>
        <v/>
      </c>
      <c r="H51" s="5">
        <f>D51+F51</f>
        <v/>
      </c>
      <c r="I51" s="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5.75" customHeight="1">
      <c r="A52" s="3" t="inlineStr">
        <is>
          <t>Đường Láng</t>
        </is>
      </c>
      <c r="B52" s="3" t="inlineStr">
        <is>
          <t>Trần Ngọc Dung</t>
        </is>
      </c>
      <c r="C52" s="4" t="n">
        <v>0</v>
      </c>
      <c r="D52" s="5" t="n">
        <v>0</v>
      </c>
      <c r="E52" s="4" t="n">
        <v>0</v>
      </c>
      <c r="F52" s="5" t="n">
        <v>0</v>
      </c>
      <c r="G52" s="4">
        <f>C52+E52</f>
        <v/>
      </c>
      <c r="H52" s="5">
        <f>D52+F52</f>
        <v/>
      </c>
      <c r="I52" s="6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5" customWidth="1" min="2" max="2"/>
    <col width="13.11" customWidth="1" min="3" max="3"/>
    <col width="14.44" customWidth="1" min="4" max="4"/>
    <col width="14.44" customWidth="1" min="5" max="5"/>
    <col width="18.66" customWidth="1" min="6" max="6"/>
    <col width="15" customWidth="1" min="7" max="7"/>
    <col width="19.78" customWidth="1" min="8" max="8"/>
    <col width="14.44" customWidth="1" min="9" max="9"/>
    <col width="11.78" customWidth="1" min="10" max="10"/>
    <col width="11.22" customWidth="1" min="11" max="11"/>
    <col width="10.78" customWidth="1" min="12" max="12"/>
    <col width="11.22" customWidth="1" min="13" max="13"/>
    <col width="15.11" customWidth="1" min="14" max="14"/>
    <col width="10.78" customWidth="1" min="15" max="15"/>
    <col width="13" customWidth="1" min="16" max="16"/>
    <col width="13" customWidth="1" min="17" max="17"/>
    <col width="10.78" customWidth="1" min="18" max="18"/>
    <col width="13" customWidth="1" min="19" max="19"/>
    <col width="13" customWidth="1" min="20" max="20"/>
    <col width="15.66" customWidth="1" min="21" max="21"/>
    <col width="15.6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.66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7" t="inlineStr">
        <is>
          <t>Dữ liệu cập nhật đến ngày</t>
        </is>
      </c>
      <c r="C1" s="8">
        <f>data!J1</f>
        <v/>
      </c>
      <c r="O1" s="9" t="inlineStr">
        <is>
          <t xml:space="preserve">Mức hoành thành KPI </t>
        </is>
      </c>
      <c r="P1" s="10" t="n"/>
      <c r="Q1" s="10" t="n"/>
      <c r="R1" s="9" t="inlineStr">
        <is>
          <t xml:space="preserve">Mức hoành thành KPI </t>
        </is>
      </c>
      <c r="S1" s="10" t="n"/>
      <c r="T1" s="10" t="n"/>
    </row>
    <row r="2" ht="30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KPI trung bình bill</t>
        </is>
      </c>
      <c r="E2" s="12" t="inlineStr">
        <is>
          <t>Trung bình bill</t>
        </is>
      </c>
      <c r="F2" s="12" t="inlineStr">
        <is>
          <t>KPI doanh thu CK+Combo+NY3/ngày</t>
        </is>
      </c>
      <c r="G2" s="12" t="inlineStr">
        <is>
          <t>CK + Combo + NY3/ngày</t>
        </is>
      </c>
      <c r="H2" s="12" t="inlineStr">
        <is>
          <t>KPI Doanh thu/ngày (100%)</t>
        </is>
      </c>
      <c r="I2" s="12" t="inlineStr">
        <is>
          <t>Doanh thu thực/ngày</t>
        </is>
      </c>
      <c r="J2" s="13" t="inlineStr">
        <is>
          <t>% Hoàn thành KPI</t>
        </is>
      </c>
      <c r="K2" s="13" t="inlineStr">
        <is>
          <t>Thưởng KPI</t>
        </is>
      </c>
      <c r="L2" s="13" t="inlineStr">
        <is>
          <t>Hệ số * Dự án</t>
        </is>
      </c>
      <c r="M2" s="13" t="inlineStr">
        <is>
          <t>Thưởng Dự án</t>
        </is>
      </c>
      <c r="N2" s="13" t="inlineStr">
        <is>
          <t>Thưởng Dự án + KPI + HH</t>
        </is>
      </c>
      <c r="O2" s="14" t="n">
        <v>0.8</v>
      </c>
      <c r="P2" s="14" t="n">
        <v>0.9</v>
      </c>
      <c r="Q2" s="14" t="n">
        <v>1</v>
      </c>
      <c r="R2" s="14" t="n">
        <v>0.8</v>
      </c>
      <c r="S2" s="14" t="n">
        <v>0.9</v>
      </c>
      <c r="T2" s="14" t="n">
        <v>1</v>
      </c>
      <c r="U2" s="15" t="inlineStr">
        <is>
          <t>KPIs Doanh thu/ngày</t>
        </is>
      </c>
      <c r="V2" s="15" t="inlineStr">
        <is>
          <t>KPIs Doanh thu/tháng</t>
        </is>
      </c>
      <c r="W2" s="11" t="inlineStr">
        <is>
          <t>Số giao dịch off</t>
        </is>
      </c>
      <c r="X2" s="11" t="inlineStr">
        <is>
          <t>Doanh thu off</t>
        </is>
      </c>
      <c r="Y2" s="11" t="inlineStr">
        <is>
          <t>Trung bình bill off</t>
        </is>
      </c>
      <c r="Z2" s="13" t="inlineStr">
        <is>
          <t>Số giao dịch onl</t>
        </is>
      </c>
      <c r="AA2" s="13" t="inlineStr">
        <is>
          <t>Doanh thu onl</t>
        </is>
      </c>
      <c r="AB2" s="13" t="inlineStr">
        <is>
          <t>Trung bình bill onl</t>
        </is>
      </c>
      <c r="AC2" s="12" t="inlineStr">
        <is>
          <t>Tổng giao dịch</t>
        </is>
      </c>
      <c r="AD2" s="12" t="inlineStr">
        <is>
          <t>Doanh thu tổng</t>
        </is>
      </c>
      <c r="AE2" s="12" t="inlineStr">
        <is>
          <t>Trung bình Bill</t>
        </is>
      </c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" t="inlineStr">
        <is>
          <t>Trường Sa</t>
        </is>
      </c>
      <c r="B3" s="3" t="inlineStr">
        <is>
          <t>Nguyễn Trần Ngọc Phương</t>
        </is>
      </c>
      <c r="C3" s="6" t="inlineStr">
        <is>
          <t>Q.CHT</t>
        </is>
      </c>
      <c r="D3" s="5" t="n">
        <v>150000</v>
      </c>
      <c r="E3" s="5">
        <f>AE3</f>
        <v/>
      </c>
      <c r="F3" s="5">
        <f>IFERROR(ROUND(_xludf.LET(nt,$A3,nv,$B3,songay,DAY(EOMONTH($C$1,0)),doanhthungay,$I3,duan_nv,SUMIFS('Dự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" s="5">
        <f>IFERROR(SUMIF('Dự án T9'!$B:$B, $B3, 'Dự án T9'!$D:$D), 0)</f>
        <v/>
      </c>
      <c r="H3" s="5">
        <f>Q3</f>
        <v/>
      </c>
      <c r="I3" s="5">
        <f>(AD3/DAY($C$1))</f>
        <v/>
      </c>
      <c r="J3" s="16">
        <f>_xlfn.XLOOKUP(B3, 'kpi nhà thuốc'!A:A, 'kpi nhà thuốc'!F:F, (AD3/DAY($C$1))/U3)</f>
        <v/>
      </c>
      <c r="K3" s="5">
        <f>_xlfn.XLOOKUP(B3, 'kpi nhà thuốc'!$A:$A, 'kpi nhà thuốc'!$G:$G, IF(AND(OR(C3="DSXC", C3="DSCD", C3="DSBC", C3="DSTV", C3="Q.CHT", C3="BC"), G3&gt;=F3), AD3 * _xlfn.IFS(AND(I3&gt;=T3, E3&gt;=D3), 0.015, I3&gt;=T3, 0.013, AND(I3&gt;=S3, E3&gt;=D3), 0.013, I3&gt;=S3, 0.011, AND(I3&gt;=R3, E3&gt;=D3), 0.012, I3&gt;=R3, 0.010, TRUE, 0), 0))</f>
        <v/>
      </c>
      <c r="L3" s="6">
        <f>IF(C3="DSTV","", IF(J3&lt;0.6, 0.8, 1))</f>
        <v/>
      </c>
      <c r="M3" s="5">
        <f>IFERROR(SUMIF('Dự án T9'!$B:$B, $B3, 'Dự án T9'!$M:$M)*$L3, 0)</f>
        <v/>
      </c>
      <c r="N3" s="17">
        <f>N(K3)+M3</f>
        <v/>
      </c>
      <c r="O3" s="18">
        <f>CEILING(R3, 100000)</f>
        <v/>
      </c>
      <c r="P3" s="18">
        <f>CEILING(S3, 100000)</f>
        <v/>
      </c>
      <c r="Q3" s="18">
        <f>CEILING(T3, 100000)</f>
        <v/>
      </c>
      <c r="R3" s="18">
        <f>U3*$R$2</f>
        <v/>
      </c>
      <c r="S3" s="18">
        <f>U3*$S$2</f>
        <v/>
      </c>
      <c r="T3" s="18">
        <f>U3*$T$2</f>
        <v/>
      </c>
      <c r="U3" s="5">
        <f>V3/DAY($C$1)</f>
        <v/>
      </c>
      <c r="V3" s="5" t="n">
        <v>128000000</v>
      </c>
      <c r="W3" s="4">
        <f>IFERROR(SUMIFS(data!$C:$C, data!$A:$A, $A3, data!$B:$B, $B3), 0)</f>
        <v/>
      </c>
      <c r="X3" s="5">
        <f>IFERROR(SUMIF(data!$B:$B, $B3, data!$D:$D), 0)</f>
        <v/>
      </c>
      <c r="Y3" s="5">
        <f>IF(W3&gt;0, X3/W3, 0)</f>
        <v/>
      </c>
      <c r="Z3" s="4">
        <f>IFERROR(SUMIFS(data!$E:$E, data!$A:$A, $A3, data!$B:$B, $B3), 0)</f>
        <v/>
      </c>
      <c r="AA3" s="5">
        <f>IFERROR(SUMIF(data!$B:$B, $B3, data!$F:$F), 0)</f>
        <v/>
      </c>
      <c r="AB3" s="5">
        <f>IF(Z3&gt;0, AA3/Z3, 0)</f>
        <v/>
      </c>
      <c r="AC3" s="4">
        <f>W3+Z3</f>
        <v/>
      </c>
      <c r="AD3" s="5">
        <f>X3+AA3</f>
        <v/>
      </c>
      <c r="AE3" s="5">
        <f>IF(AC3&gt;0, AD3/AC3, 0)</f>
        <v/>
      </c>
      <c r="AF3" s="19" t="n"/>
      <c r="AG3" s="19" t="n"/>
      <c r="AH3" s="19" t="n"/>
      <c r="AI3" s="19" t="n"/>
      <c r="AJ3" s="19" t="n"/>
      <c r="AK3" s="19" t="n"/>
      <c r="AL3" s="19" t="n"/>
    </row>
    <row r="4" ht="13.8" customHeight="1">
      <c r="A4" s="3" t="inlineStr">
        <is>
          <t>Trường Sa</t>
        </is>
      </c>
      <c r="B4" s="3" t="inlineStr">
        <is>
          <t>Phạm Nguyễn Ngọc Quý</t>
        </is>
      </c>
      <c r="C4" s="6" t="inlineStr">
        <is>
          <t>DSXC</t>
        </is>
      </c>
      <c r="D4" s="5" t="n">
        <v>130000</v>
      </c>
      <c r="E4" s="5">
        <f>AE4</f>
        <v/>
      </c>
      <c r="F4" s="5">
        <f>IFERROR(ROUND(_xludf.LET(nt,$A4,nv,$B4,songay,DAY(EOMONTH($C$1,0)),doanhthungay,$I4,duan_nv,SUMIFS('Dự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" s="5">
        <f>IFERROR(SUMIF('Dự án T9'!$B:$B, $B4, 'Dự án T9'!$D:$D), 0)</f>
        <v/>
      </c>
      <c r="H4" s="5">
        <f>Q4</f>
        <v/>
      </c>
      <c r="I4" s="5">
        <f>(AD4/DAY($C$1))</f>
        <v/>
      </c>
      <c r="J4" s="16">
        <f>_xlfn.XLOOKUP(B4, 'kpi nhà thuốc'!A:A, 'kpi nhà thuốc'!F:F, (AD4/DAY($C$1))/U4)</f>
        <v/>
      </c>
      <c r="K4" s="5">
        <f>_xlfn.XLOOKUP(B4, 'kpi nhà thuốc'!$A:$A, 'kpi nhà thuốc'!$G:$G, IF(AND(OR(C4="DSXC", C4="DSCD", C4="DSBC", C4="DSTV", C4="Q.CHT", C4="BC"), G4&gt;=F4), AD4 * _xlfn.IFS(AND(I4&gt;=T4, E4&gt;=D4), 0.015, I4&gt;=T4, 0.013, AND(I4&gt;=S4, E4&gt;=D4), 0.013, I4&gt;=S4, 0.011, AND(I4&gt;=R4, E4&gt;=D4), 0.012, I4&gt;=R4, 0.010, TRUE, 0), 0))</f>
        <v/>
      </c>
      <c r="L4" s="6">
        <f>IF(C4="DSTV","", IF(J4&lt;0.6, 0.8, 1))</f>
        <v/>
      </c>
      <c r="M4" s="5">
        <f>IFERROR(SUMIF('Dự án T9'!$B:$B, $B4, 'Dự án T9'!$M:$M)*$L4, 0)</f>
        <v/>
      </c>
      <c r="N4" s="17">
        <f>N(K4)+M4</f>
        <v/>
      </c>
      <c r="O4" s="18">
        <f>CEILING(R4, 100000)</f>
        <v/>
      </c>
      <c r="P4" s="18">
        <f>CEILING(S4, 100000)</f>
        <v/>
      </c>
      <c r="Q4" s="18">
        <f>CEILING(T4, 100000)</f>
        <v/>
      </c>
      <c r="R4" s="18">
        <f>U4*$R$2</f>
        <v/>
      </c>
      <c r="S4" s="18">
        <f>U4*$S$2</f>
        <v/>
      </c>
      <c r="T4" s="18">
        <f>U4*$T$2</f>
        <v/>
      </c>
      <c r="U4" s="5">
        <f>V4/DAY($C$1)</f>
        <v/>
      </c>
      <c r="V4" s="5" t="n">
        <v>128000000</v>
      </c>
      <c r="W4" s="4">
        <f>IFERROR(SUMIFS(data!$C:$C, data!$A:$A, $A4, data!$B:$B, $B4), 0)</f>
        <v/>
      </c>
      <c r="X4" s="5">
        <f>IFERROR(SUMIF(data!$B:$B, $B4, data!$D:$D), 0)</f>
        <v/>
      </c>
      <c r="Y4" s="5">
        <f>IF(W4&gt;0, X4/W4, 0)</f>
        <v/>
      </c>
      <c r="Z4" s="4">
        <f>IFERROR(SUMIFS(data!$E:$E, data!$A:$A, $A4, data!$B:$B, $B4), 0)</f>
        <v/>
      </c>
      <c r="AA4" s="5">
        <f>IFERROR(SUMIF(data!$B:$B, $B4, data!$F:$F), 0)</f>
        <v/>
      </c>
      <c r="AB4" s="5">
        <f>IF(Z4&gt;0, AA4/Z4, 0)</f>
        <v/>
      </c>
      <c r="AC4" s="4">
        <f>W4+Z4</f>
        <v/>
      </c>
      <c r="AD4" s="5">
        <f>X4+AA4</f>
        <v/>
      </c>
      <c r="AE4" s="5">
        <f>IF(AC4&gt;0, AD4/AC4, 0)</f>
        <v/>
      </c>
      <c r="AF4" s="19" t="n"/>
      <c r="AG4" s="19" t="n"/>
      <c r="AH4" s="19" t="n"/>
      <c r="AI4" s="19" t="n"/>
      <c r="AJ4" s="19" t="n"/>
      <c r="AK4" s="19" t="n"/>
      <c r="AL4" s="19" t="n"/>
    </row>
    <row r="5" ht="13.8" customHeight="1">
      <c r="A5" s="3" t="inlineStr">
        <is>
          <t>Trường Sa</t>
        </is>
      </c>
      <c r="B5" s="3" t="inlineStr">
        <is>
          <t>Nguyễn Ngọc Anh Thư</t>
        </is>
      </c>
      <c r="C5" s="6" t="inlineStr">
        <is>
          <t>DSHV</t>
        </is>
      </c>
      <c r="D5" s="5" t="n">
        <v>100000</v>
      </c>
      <c r="E5" s="5">
        <f>AE5</f>
        <v/>
      </c>
      <c r="F5" s="5">
        <f>IFERROR(ROUND(_xludf.LET(nt,$A5,nv,$B5,songay,DAY(EOMONTH($C$1,0)),doanhthungay,$I5,duan_nv,SUMIFS('Dự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" s="5">
        <f>IFERROR(SUMIF('Dự án T9'!$B:$B, $B5, 'Dự án T9'!$D:$D), 0)</f>
        <v/>
      </c>
      <c r="H5" s="5">
        <f>Q5</f>
        <v/>
      </c>
      <c r="I5" s="5">
        <f>(AD5/DAY($C$1))</f>
        <v/>
      </c>
      <c r="J5" s="16">
        <f>_xlfn.XLOOKUP(B5, 'kpi nhà thuốc'!A:A, 'kpi nhà thuốc'!F:F, (AD5/DAY($C$1))/U5)</f>
        <v/>
      </c>
      <c r="K5" s="5">
        <f>_xlfn.XLOOKUP(B5, 'kpi nhà thuốc'!$A:$A, 'kpi nhà thuốc'!$G:$G, IF(AND(OR(C5="DSXC", C5="DSCD", C5="DSBC", C5="DSTV", C5="Q.CHT", C5="BC"), G5&gt;=F5), AD5 * _xlfn.IFS(AND(I5&gt;=T5, E5&gt;=D5), 0.015, I5&gt;=T5, 0.013, AND(I5&gt;=S5, E5&gt;=D5), 0.013, I5&gt;=S5, 0.011, AND(I5&gt;=R5, E5&gt;=D5), 0.012, I5&gt;=R5, 0.010, TRUE, 0), 0))</f>
        <v/>
      </c>
      <c r="L5" s="6">
        <f>IF(C5="DSTV","", IF(J5&lt;0.6, 0.8, 1))</f>
        <v/>
      </c>
      <c r="M5" s="5">
        <f>IFERROR(SUMIF('Dự án T9'!$B:$B, $B5, 'Dự án T9'!$M:$M)*$L5, 0)</f>
        <v/>
      </c>
      <c r="N5" s="17">
        <f>N(K5)+M5</f>
        <v/>
      </c>
      <c r="O5" s="18">
        <f>CEILING(R5, 100000)</f>
        <v/>
      </c>
      <c r="P5" s="18">
        <f>CEILING(S5, 100000)</f>
        <v/>
      </c>
      <c r="Q5" s="18">
        <f>CEILING(T5, 100000)</f>
        <v/>
      </c>
      <c r="R5" s="18">
        <f>U5*$R$2</f>
        <v/>
      </c>
      <c r="S5" s="18">
        <f>U5*$S$2</f>
        <v/>
      </c>
      <c r="T5" s="18">
        <f>U5*$T$2</f>
        <v/>
      </c>
      <c r="U5" s="5">
        <f>V5/DAY($C$1)</f>
        <v/>
      </c>
      <c r="V5" s="5" t="n">
        <v>128000000</v>
      </c>
      <c r="W5" s="4">
        <f>IFERROR(SUMIFS(data!$C:$C, data!$A:$A, $A5, data!$B:$B, $B5), 0)</f>
        <v/>
      </c>
      <c r="X5" s="5">
        <f>IFERROR(SUMIF(data!$B:$B, $B5, data!$D:$D), 0)</f>
        <v/>
      </c>
      <c r="Y5" s="5">
        <f>IF(W5&gt;0, X5/W5, 0)</f>
        <v/>
      </c>
      <c r="Z5" s="4">
        <f>IFERROR(SUMIFS(data!$E:$E, data!$A:$A, $A5, data!$B:$B, $B5), 0)</f>
        <v/>
      </c>
      <c r="AA5" s="5">
        <f>IFERROR(SUMIF(data!$B:$B, $B5, data!$F:$F), 0)</f>
        <v/>
      </c>
      <c r="AB5" s="5">
        <f>IF(Z5&gt;0, AA5/Z5, 0)</f>
        <v/>
      </c>
      <c r="AC5" s="4">
        <f>W5+Z5</f>
        <v/>
      </c>
      <c r="AD5" s="5">
        <f>X5+AA5</f>
        <v/>
      </c>
      <c r="AE5" s="5">
        <f>IF(AC5&gt;0, AD5/AC5, 0)</f>
        <v/>
      </c>
      <c r="AF5" s="19" t="n"/>
      <c r="AG5" s="19" t="n"/>
      <c r="AH5" s="19" t="n"/>
      <c r="AI5" s="19" t="n"/>
      <c r="AJ5" s="19" t="n"/>
      <c r="AK5" s="19" t="n"/>
      <c r="AL5" s="19" t="n"/>
    </row>
    <row r="6" ht="13.8" customHeight="1">
      <c r="A6" s="3" t="inlineStr">
        <is>
          <t>Trường Sa</t>
        </is>
      </c>
      <c r="B6" s="3" t="inlineStr">
        <is>
          <t>Trần Thị Kim Khánh</t>
        </is>
      </c>
      <c r="C6" s="6" t="inlineStr">
        <is>
          <t>DSCD</t>
        </is>
      </c>
      <c r="D6" s="5" t="n">
        <v>175000</v>
      </c>
      <c r="E6" s="5">
        <f>AE6</f>
        <v/>
      </c>
      <c r="F6" s="5">
        <f>IFERROR(ROUND(_xludf.LET(nt,$A6,nv,$B6,songay,DAY(EOMONTH($C$1,0)),doanhthungay,$I6,duan_nv,SUMIFS('Dự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6" s="5">
        <f>IFERROR(SUMIF('Dự án T9'!$B:$B, $B6, 'Dự án T9'!$D:$D), 0)</f>
        <v/>
      </c>
      <c r="H6" s="5">
        <f>Q6</f>
        <v/>
      </c>
      <c r="I6" s="5">
        <f>(AD6/DAY($C$1))</f>
        <v/>
      </c>
      <c r="J6" s="16">
        <f>_xlfn.XLOOKUP(B6, 'kpi nhà thuốc'!A:A, 'kpi nhà thuốc'!F:F, (AD6/DAY($C$1))/U6)</f>
        <v/>
      </c>
      <c r="K6" s="5">
        <f>_xlfn.XLOOKUP(B6, 'kpi nhà thuốc'!$A:$A, 'kpi nhà thuốc'!$G:$G, IF(AND(OR(C6="DSXC", C6="DSCD", C6="DSBC", C6="DSTV", C6="Q.CHT", C6="BC"), G6&gt;=F6), AD6 * _xlfn.IFS(AND(I6&gt;=T6, E6&gt;=D6), 0.015, I6&gt;=T6, 0.013, AND(I6&gt;=S6, E6&gt;=D6), 0.013, I6&gt;=S6, 0.011, AND(I6&gt;=R6, E6&gt;=D6), 0.012, I6&gt;=R6, 0.010, TRUE, 0), 0))</f>
        <v/>
      </c>
      <c r="L6" s="6">
        <f>IF(C6="DSTV","", IF(J6&lt;0.6, 0.8, 1))</f>
        <v/>
      </c>
      <c r="M6" s="5">
        <f>IFERROR(SUMIF('Dự án T9'!$B:$B, $B6, 'Dự án T9'!$M:$M)*$L6, 0)</f>
        <v/>
      </c>
      <c r="N6" s="17">
        <f>N(K6)+M6</f>
        <v/>
      </c>
      <c r="O6" s="18">
        <f>CEILING(R6, 100000)</f>
        <v/>
      </c>
      <c r="P6" s="18">
        <f>CEILING(S6, 100000)</f>
        <v/>
      </c>
      <c r="Q6" s="18">
        <f>CEILING(T6, 100000)</f>
        <v/>
      </c>
      <c r="R6" s="18">
        <f>U6*$R$2</f>
        <v/>
      </c>
      <c r="S6" s="18">
        <f>U6*$S$2</f>
        <v/>
      </c>
      <c r="T6" s="18">
        <f>U6*$T$2</f>
        <v/>
      </c>
      <c r="U6" s="5">
        <f>V6/DAY($C$1)</f>
        <v/>
      </c>
      <c r="V6" s="5" t="n">
        <v>128000000</v>
      </c>
      <c r="W6" s="4">
        <f>IFERROR(SUMIFS(data!$C:$C, data!$A:$A, $A6, data!$B:$B, $B6), 0)</f>
        <v/>
      </c>
      <c r="X6" s="5">
        <f>IFERROR(SUMIF(data!$B:$B, $B6, data!$D:$D), 0)</f>
        <v/>
      </c>
      <c r="Y6" s="5">
        <f>IF(W6&gt;0, X6/W6, 0)</f>
        <v/>
      </c>
      <c r="Z6" s="4">
        <f>IFERROR(SUMIFS(data!$E:$E, data!$A:$A, $A6, data!$B:$B, $B6), 0)</f>
        <v/>
      </c>
      <c r="AA6" s="5">
        <f>IFERROR(SUMIF(data!$B:$B, $B6, data!$F:$F), 0)</f>
        <v/>
      </c>
      <c r="AB6" s="5">
        <f>IF(Z6&gt;0, AA6/Z6, 0)</f>
        <v/>
      </c>
      <c r="AC6" s="4">
        <f>W6+Z6</f>
        <v/>
      </c>
      <c r="AD6" s="5">
        <f>X6+AA6</f>
        <v/>
      </c>
      <c r="AE6" s="5">
        <f>IF(AC6&gt;0, AD6/AC6, 0)</f>
        <v/>
      </c>
      <c r="AF6" s="19" t="n"/>
      <c r="AG6" s="19" t="n"/>
      <c r="AH6" s="19" t="n"/>
      <c r="AI6" s="19" t="n"/>
      <c r="AJ6" s="19" t="n"/>
      <c r="AK6" s="19" t="n"/>
      <c r="AL6" s="19" t="n"/>
    </row>
    <row r="7" ht="13.8" customHeight="1">
      <c r="A7" s="3" t="inlineStr">
        <is>
          <t>Trường Sa</t>
        </is>
      </c>
      <c r="B7" s="3" t="inlineStr">
        <is>
          <t>Trịnh Thị Phượng</t>
        </is>
      </c>
      <c r="C7" s="6" t="inlineStr">
        <is>
          <t>DSCD</t>
        </is>
      </c>
      <c r="D7" s="5" t="n">
        <v>175000</v>
      </c>
      <c r="E7" s="5">
        <f>AE7</f>
        <v/>
      </c>
      <c r="F7" s="5">
        <f>IFERROR(ROUND(_xludf.LET(nt,$A7,nv,$B7,songay,DAY(EOMONTH($C$1,0)),doanhthungay,$I7,duan_nv,SUMIFS('Dự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7" s="5">
        <f>IFERROR(SUMIF('Dự án T9'!$B:$B, $B7, 'Dự án T9'!$D:$D), 0)</f>
        <v/>
      </c>
      <c r="H7" s="5">
        <f>Q7</f>
        <v/>
      </c>
      <c r="I7" s="5">
        <f>(AD7/DAY($C$1))</f>
        <v/>
      </c>
      <c r="J7" s="16">
        <f>_xlfn.XLOOKUP(B7, 'kpi nhà thuốc'!A:A, 'kpi nhà thuốc'!F:F, (AD7/DAY($C$1))/U7)</f>
        <v/>
      </c>
      <c r="K7" s="5">
        <f>_xlfn.XLOOKUP(B7, 'kpi nhà thuốc'!$A:$A, 'kpi nhà thuốc'!$G:$G, IF(AND(OR(C7="DSXC", C7="DSCD", C7="DSBC", C7="DSTV", C7="Q.CHT", C7="BC"), G7&gt;=F7), AD7 * _xlfn.IFS(AND(I7&gt;=T7, E7&gt;=D7), 0.015, I7&gt;=T7, 0.013, AND(I7&gt;=S7, E7&gt;=D7), 0.013, I7&gt;=S7, 0.011, AND(I7&gt;=R7, E7&gt;=D7), 0.012, I7&gt;=R7, 0.010, TRUE, 0), 0))</f>
        <v/>
      </c>
      <c r="L7" s="6">
        <f>IF(C7="DSTV","", IF(J7&lt;0.6, 0.8, 1))</f>
        <v/>
      </c>
      <c r="M7" s="5">
        <f>IFERROR(SUMIF('Dự án T9'!$B:$B, $B7, 'Dự án T9'!$M:$M)*$L7, 0)</f>
        <v/>
      </c>
      <c r="N7" s="17">
        <f>N(K7)+M7</f>
        <v/>
      </c>
      <c r="O7" s="18">
        <f>CEILING(R7, 100000)</f>
        <v/>
      </c>
      <c r="P7" s="18">
        <f>CEILING(S7, 100000)</f>
        <v/>
      </c>
      <c r="Q7" s="18">
        <f>CEILING(T7, 100000)</f>
        <v/>
      </c>
      <c r="R7" s="18">
        <f>U7*$R$2</f>
        <v/>
      </c>
      <c r="S7" s="18">
        <f>U7*$S$2</f>
        <v/>
      </c>
      <c r="T7" s="18">
        <f>U7*$T$2</f>
        <v/>
      </c>
      <c r="U7" s="5">
        <f>V7/DAY($C$1)</f>
        <v/>
      </c>
      <c r="V7" s="5" t="n">
        <v>128000000</v>
      </c>
      <c r="W7" s="4">
        <f>IFERROR(SUMIFS(data!$C:$C, data!$A:$A, $A7, data!$B:$B, $B7), 0)</f>
        <v/>
      </c>
      <c r="X7" s="5">
        <f>IFERROR(SUMIF(data!$B:$B, $B7, data!$D:$D), 0)</f>
        <v/>
      </c>
      <c r="Y7" s="5">
        <f>IF(W7&gt;0, X7/W7, 0)</f>
        <v/>
      </c>
      <c r="Z7" s="4">
        <f>IFERROR(SUMIFS(data!$E:$E, data!$A:$A, $A7, data!$B:$B, $B7), 0)</f>
        <v/>
      </c>
      <c r="AA7" s="5">
        <f>IFERROR(SUMIF(data!$B:$B, $B7, data!$F:$F), 0)</f>
        <v/>
      </c>
      <c r="AB7" s="5">
        <f>IF(Z7&gt;0, AA7/Z7, 0)</f>
        <v/>
      </c>
      <c r="AC7" s="4">
        <f>W7+Z7</f>
        <v/>
      </c>
      <c r="AD7" s="5">
        <f>X7+AA7</f>
        <v/>
      </c>
      <c r="AE7" s="5">
        <f>IF(AC7&gt;0, AD7/AC7, 0)</f>
        <v/>
      </c>
      <c r="AF7" s="19" t="n"/>
      <c r="AG7" s="19" t="n"/>
      <c r="AH7" s="19" t="n"/>
      <c r="AI7" s="19" t="n"/>
      <c r="AJ7" s="19" t="n"/>
      <c r="AK7" s="19" t="n"/>
      <c r="AL7" s="19" t="n"/>
    </row>
    <row r="8" ht="13.8" customHeight="1">
      <c r="A8" s="3" t="inlineStr">
        <is>
          <t>Đỗ Quang Đẩu</t>
        </is>
      </c>
      <c r="B8" s="3" t="inlineStr">
        <is>
          <t>Phạm Thị Nghĩa Hương</t>
        </is>
      </c>
      <c r="C8" s="6" t="inlineStr">
        <is>
          <t>DSCD</t>
        </is>
      </c>
      <c r="D8" s="5" t="n">
        <v>187974</v>
      </c>
      <c r="E8" s="5">
        <f>AE8</f>
        <v/>
      </c>
      <c r="F8" s="5">
        <f>IFERROR(ROUND(_xludf.LET(nt,$A8,nv,$B8,songay,DAY(EOMONTH($C$1,0)),doanhthungay,$I8,duan_nv,SUMIFS('Dự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8" s="5">
        <f>IFERROR(SUMIF('Dự án T9'!$B:$B, $B8, 'Dự án T9'!$D:$D), 0)</f>
        <v/>
      </c>
      <c r="H8" s="5">
        <f>Q8</f>
        <v/>
      </c>
      <c r="I8" s="5">
        <f>(AD8/DAY($C$1))</f>
        <v/>
      </c>
      <c r="J8" s="16">
        <f>_xlfn.XLOOKUP(B8, 'kpi nhà thuốc'!A:A, 'kpi nhà thuốc'!F:F, (AD8/DAY($C$1))/U8)</f>
        <v/>
      </c>
      <c r="K8" s="5">
        <f>_xlfn.XLOOKUP(B8, 'kpi nhà thuốc'!$A:$A, 'kpi nhà thuốc'!$G:$G, IF(AND(OR(C8="DSXC", C8="DSCD", C8="DSBC", C8="DSTV", C8="Q.CHT", C8="BC"), G8&gt;=F8), AD8 * _xlfn.IFS(AND(I8&gt;=T8, E8&gt;=D8), 0.015, I8&gt;=T8, 0.013, AND(I8&gt;=S8, E8&gt;=D8), 0.013, I8&gt;=S8, 0.011, AND(I8&gt;=R8, E8&gt;=D8), 0.012, I8&gt;=R8, 0.010, TRUE, 0), 0))</f>
        <v/>
      </c>
      <c r="L8" s="6">
        <f>IF(C8="DSTV","", IF(J8&lt;0.6, 0.8, 1))</f>
        <v/>
      </c>
      <c r="M8" s="5">
        <f>IFERROR(SUMIF('Dự án T9'!$B:$B, $B8, 'Dự án T9'!$M:$M)*$L8, 0)</f>
        <v/>
      </c>
      <c r="N8" s="17">
        <f>N(K8)+M8</f>
        <v/>
      </c>
      <c r="O8" s="18">
        <f>CEILING(R8, 100000)</f>
        <v/>
      </c>
      <c r="P8" s="18">
        <f>CEILING(S8, 100000)</f>
        <v/>
      </c>
      <c r="Q8" s="18">
        <f>CEILING(T8, 100000)</f>
        <v/>
      </c>
      <c r="R8" s="18">
        <f>U8*$R$2</f>
        <v/>
      </c>
      <c r="S8" s="18">
        <f>U8*$S$2</f>
        <v/>
      </c>
      <c r="T8" s="18">
        <f>U8*$T$2</f>
        <v/>
      </c>
      <c r="U8" s="5">
        <f>V8/DAY($C$1)</f>
        <v/>
      </c>
      <c r="V8" s="5" t="n">
        <v>240000000</v>
      </c>
      <c r="W8" s="4">
        <f>IFERROR(SUMIFS(data!$C:$C, data!$A:$A, $A8, data!$B:$B, $B8), 0)</f>
        <v/>
      </c>
      <c r="X8" s="5">
        <f>IFERROR(SUMIF(data!$B:$B, $B8, data!$D:$D), 0)</f>
        <v/>
      </c>
      <c r="Y8" s="5">
        <f>IF(W8&gt;0, X8/W8, 0)</f>
        <v/>
      </c>
      <c r="Z8" s="4">
        <f>IFERROR(SUMIFS(data!$E:$E, data!$A:$A, $A8, data!$B:$B, $B8), 0)</f>
        <v/>
      </c>
      <c r="AA8" s="5">
        <f>IFERROR(SUMIF(data!$B:$B, $B8, data!$F:$F), 0)</f>
        <v/>
      </c>
      <c r="AB8" s="5">
        <f>IF(Z8&gt;0, AA8/Z8, 0)</f>
        <v/>
      </c>
      <c r="AC8" s="4">
        <f>W8+Z8</f>
        <v/>
      </c>
      <c r="AD8" s="5">
        <f>X8+AA8</f>
        <v/>
      </c>
      <c r="AE8" s="5">
        <f>IF(AC8&gt;0, AD8/AC8, 0)</f>
        <v/>
      </c>
      <c r="AF8" s="19" t="n"/>
      <c r="AG8" s="19" t="n"/>
      <c r="AH8" s="19" t="n"/>
      <c r="AI8" s="19" t="n"/>
      <c r="AJ8" s="19" t="n"/>
      <c r="AK8" s="19" t="n"/>
      <c r="AL8" s="19" t="n"/>
    </row>
    <row r="9" ht="13.8" customHeight="1">
      <c r="A9" s="3" t="inlineStr">
        <is>
          <t>Đỗ Quang Đẩu</t>
        </is>
      </c>
      <c r="B9" s="3" t="inlineStr">
        <is>
          <t>Trần Thiên Phát</t>
        </is>
      </c>
      <c r="C9" s="6" t="inlineStr">
        <is>
          <t>DSXC</t>
        </is>
      </c>
      <c r="D9" s="5" t="n">
        <v>204503</v>
      </c>
      <c r="E9" s="5">
        <f>AE9</f>
        <v/>
      </c>
      <c r="F9" s="5">
        <f>IFERROR(ROUND(_xludf.LET(nt,$A9,nv,$B9,songay,DAY(EOMONTH($C$1,0)),doanhthungay,$I9,duan_nv,SUMIFS('Dự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9" s="5">
        <f>IFERROR(SUMIF('Dự án T9'!$B:$B, $B9, 'Dự án T9'!$D:$D), 0)</f>
        <v/>
      </c>
      <c r="H9" s="5">
        <f>Q9</f>
        <v/>
      </c>
      <c r="I9" s="5">
        <f>(AD9/DAY($C$1))</f>
        <v/>
      </c>
      <c r="J9" s="16">
        <f>_xlfn.XLOOKUP(B9, 'kpi nhà thuốc'!A:A, 'kpi nhà thuốc'!F:F, (AD9/DAY($C$1))/U9)</f>
        <v/>
      </c>
      <c r="K9" s="5">
        <f>_xlfn.XLOOKUP(B9, 'kpi nhà thuốc'!$A:$A, 'kpi nhà thuốc'!$G:$G, IF(AND(OR(C9="DSXC", C9="DSCD", C9="DSBC", C9="DSTV", C9="Q.CHT", C9="BC"), G9&gt;=F9), AD9 * _xlfn.IFS(AND(I9&gt;=T9, E9&gt;=D9), 0.015, I9&gt;=T9, 0.013, AND(I9&gt;=S9, E9&gt;=D9), 0.013, I9&gt;=S9, 0.011, AND(I9&gt;=R9, E9&gt;=D9), 0.012, I9&gt;=R9, 0.010, TRUE, 0), 0))</f>
        <v/>
      </c>
      <c r="L9" s="6">
        <f>IF(C9="DSTV","", IF(J9&lt;0.6, 0.8, 1))</f>
        <v/>
      </c>
      <c r="M9" s="5">
        <f>IFERROR(SUMIF('Dự án T9'!$B:$B, $B9, 'Dự án T9'!$M:$M)*$L9, 0)</f>
        <v/>
      </c>
      <c r="N9" s="17">
        <f>N(K9)+M9</f>
        <v/>
      </c>
      <c r="O9" s="18">
        <f>CEILING(R9, 100000)</f>
        <v/>
      </c>
      <c r="P9" s="18">
        <f>CEILING(S9, 100000)</f>
        <v/>
      </c>
      <c r="Q9" s="18">
        <f>CEILING(T9, 100000)</f>
        <v/>
      </c>
      <c r="R9" s="18">
        <f>U9*$R$2</f>
        <v/>
      </c>
      <c r="S9" s="18">
        <f>U9*$S$2</f>
        <v/>
      </c>
      <c r="T9" s="18">
        <f>U9*$T$2</f>
        <v/>
      </c>
      <c r="U9" s="5">
        <f>V9/DAY($C$1)</f>
        <v/>
      </c>
      <c r="V9" s="5" t="n">
        <v>240000000</v>
      </c>
      <c r="W9" s="4">
        <f>IFERROR(SUMIFS(data!$C:$C, data!$A:$A, $A9, data!$B:$B, $B9), 0)</f>
        <v/>
      </c>
      <c r="X9" s="5">
        <f>IFERROR(SUMIF(data!$B:$B, $B9, data!$D:$D), 0)</f>
        <v/>
      </c>
      <c r="Y9" s="5">
        <f>IF(W9&gt;0, X9/W9, 0)</f>
        <v/>
      </c>
      <c r="Z9" s="4">
        <f>IFERROR(SUMIFS(data!$E:$E, data!$A:$A, $A9, data!$B:$B, $B9), 0)</f>
        <v/>
      </c>
      <c r="AA9" s="5">
        <f>IFERROR(SUMIF(data!$B:$B, $B9, data!$F:$F), 0)</f>
        <v/>
      </c>
      <c r="AB9" s="5">
        <f>IF(Z9&gt;0, AA9/Z9, 0)</f>
        <v/>
      </c>
      <c r="AC9" s="4">
        <f>W9+Z9</f>
        <v/>
      </c>
      <c r="AD9" s="5">
        <f>X9+AA9</f>
        <v/>
      </c>
      <c r="AE9" s="5">
        <f>IF(AC9&gt;0, AD9/AC9, 0)</f>
        <v/>
      </c>
      <c r="AF9" s="19" t="n"/>
      <c r="AG9" s="19" t="n"/>
      <c r="AH9" s="19" t="n"/>
      <c r="AI9" s="19" t="n"/>
      <c r="AJ9" s="19" t="n"/>
      <c r="AK9" s="19" t="n"/>
      <c r="AL9" s="19" t="n"/>
    </row>
    <row r="10" ht="13.8" customHeight="1">
      <c r="A10" s="3" t="inlineStr">
        <is>
          <t>Đỗ Quang Đẩu</t>
        </is>
      </c>
      <c r="B10" s="3" t="inlineStr">
        <is>
          <t>Ngô Thị Thanh Thắm</t>
        </is>
      </c>
      <c r="C10" s="6" t="inlineStr">
        <is>
          <t>CHT</t>
        </is>
      </c>
      <c r="D10" s="5" t="n">
        <v>346495</v>
      </c>
      <c r="E10" s="5">
        <f>AE10</f>
        <v/>
      </c>
      <c r="F10" s="5">
        <f>IFERROR(ROUND(_xludf.LET(nt,$A10,nv,$B10,songay,DAY(EOMONTH($C$1,0)),doanhthungay,$I10,duan_nv,SUMIFS('Dự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0" s="5">
        <f>IFERROR(SUMIF('Dự án T9'!$B:$B, $B10, 'Dự án T9'!$D:$D), 0)</f>
        <v/>
      </c>
      <c r="H10" s="5">
        <f>Q10</f>
        <v/>
      </c>
      <c r="I10" s="5">
        <f>(AD10/DAY($C$1))</f>
        <v/>
      </c>
      <c r="J10" s="16">
        <f>_xlfn.XLOOKUP(B10, 'kpi nhà thuốc'!A:A, 'kpi nhà thuốc'!F:F, (AD10/DAY($C$1))/U10)</f>
        <v/>
      </c>
      <c r="K10" s="5">
        <f>_xlfn.XLOOKUP(B10, 'kpi nhà thuốc'!$A:$A, 'kpi nhà thuốc'!$G:$G, IF(AND(OR(C10="DSXC", C10="DSCD", C10="DSBC", C10="DSTV", C10="Q.CHT", C10="BC"), G10&gt;=F10), AD10 * _xlfn.IFS(AND(I10&gt;=T10, E10&gt;=D10), 0.015, I10&gt;=T10, 0.013, AND(I10&gt;=S10, E10&gt;=D10), 0.013, I10&gt;=S10, 0.011, AND(I10&gt;=R10, E10&gt;=D10), 0.012, I10&gt;=R10, 0.010, TRUE, 0), 0))</f>
        <v/>
      </c>
      <c r="L10" s="6">
        <f>IF(C10="DSTV","", IF(J10&lt;0.6, 0.8, 1))</f>
        <v/>
      </c>
      <c r="M10" s="5">
        <f>IFERROR(SUMIF('Dự án T9'!$B:$B, $B10, 'Dự án T9'!$M:$M)*$L10, 0)</f>
        <v/>
      </c>
      <c r="N10" s="17">
        <f>N(K10)+M10</f>
        <v/>
      </c>
      <c r="O10" s="18">
        <f>CEILING(R10, 100000)</f>
        <v/>
      </c>
      <c r="P10" s="18">
        <f>CEILING(S10, 100000)</f>
        <v/>
      </c>
      <c r="Q10" s="18">
        <f>CEILING(T10, 100000)</f>
        <v/>
      </c>
      <c r="R10" s="18">
        <f>U10*$R$2</f>
        <v/>
      </c>
      <c r="S10" s="18">
        <f>U10*$S$2</f>
        <v/>
      </c>
      <c r="T10" s="18">
        <f>U10*$T$2</f>
        <v/>
      </c>
      <c r="U10" s="5">
        <f>V10/DAY($C$1)</f>
        <v/>
      </c>
      <c r="V10" s="5" t="n">
        <v>240000000</v>
      </c>
      <c r="W10" s="4">
        <f>IFERROR(SUMIFS(data!$C:$C, data!$A:$A, $A10, data!$B:$B, $B10), 0)</f>
        <v/>
      </c>
      <c r="X10" s="5">
        <f>IFERROR(SUMIF(data!$B:$B, $B10, data!$D:$D), 0)</f>
        <v/>
      </c>
      <c r="Y10" s="5">
        <f>IF(W10&gt;0, X10/W10, 0)</f>
        <v/>
      </c>
      <c r="Z10" s="4">
        <f>IFERROR(SUMIFS(data!$E:$E, data!$A:$A, $A10, data!$B:$B, $B10), 0)</f>
        <v/>
      </c>
      <c r="AA10" s="5">
        <f>IFERROR(SUMIF(data!$B:$B, $B10, data!$F:$F), 0)</f>
        <v/>
      </c>
      <c r="AB10" s="5">
        <f>IF(Z10&gt;0, AA10/Z10, 0)</f>
        <v/>
      </c>
      <c r="AC10" s="4">
        <f>W10+Z10</f>
        <v/>
      </c>
      <c r="AD10" s="5">
        <f>X10+AA10</f>
        <v/>
      </c>
      <c r="AE10" s="5">
        <f>IF(AC10&gt;0, AD10/AC10, 0)</f>
        <v/>
      </c>
      <c r="AF10" s="19" t="n"/>
      <c r="AG10" s="19" t="n"/>
      <c r="AH10" s="19" t="n"/>
      <c r="AI10" s="19" t="n"/>
      <c r="AJ10" s="19" t="n"/>
      <c r="AK10" s="19" t="n"/>
      <c r="AL10" s="19" t="n"/>
    </row>
    <row r="11" ht="13.8" customHeight="1">
      <c r="A11" s="3" t="inlineStr">
        <is>
          <t>Đỗ Quang Đẩu</t>
        </is>
      </c>
      <c r="B11" s="3" t="inlineStr">
        <is>
          <t>Hoàng Thanh Thủy</t>
        </is>
      </c>
      <c r="C11" s="6" t="inlineStr">
        <is>
          <t>DSXC</t>
        </is>
      </c>
      <c r="D11" s="5" t="n">
        <v>335470</v>
      </c>
      <c r="E11" s="5">
        <f>AE11</f>
        <v/>
      </c>
      <c r="F11" s="5">
        <f>IFERROR(ROUND(_xludf.LET(nt,$A11,nv,$B11,songay,DAY(EOMONTH($C$1,0)),doanhthungay,$I11,duan_nv,SUMIFS('Dự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1" s="5">
        <f>IFERROR(SUMIF('Dự án T9'!$B:$B, $B11, 'Dự án T9'!$D:$D), 0)</f>
        <v/>
      </c>
      <c r="H11" s="5">
        <f>Q11</f>
        <v/>
      </c>
      <c r="I11" s="5">
        <f>(AD11/DAY($C$1))</f>
        <v/>
      </c>
      <c r="J11" s="16">
        <f>_xlfn.XLOOKUP(B11, 'kpi nhà thuốc'!A:A, 'kpi nhà thuốc'!F:F, (AD11/DAY($C$1))/U11)</f>
        <v/>
      </c>
      <c r="K11" s="5">
        <f>_xlfn.XLOOKUP(B11, 'kpi nhà thuốc'!$A:$A, 'kpi nhà thuốc'!$G:$G, IF(AND(OR(C11="DSXC", C11="DSCD", C11="DSBC", C11="DSTV", C11="Q.CHT", C11="BC"), G11&gt;=F11), AD11 * _xlfn.IFS(AND(I11&gt;=T11, E11&gt;=D11), 0.015, I11&gt;=T11, 0.013, AND(I11&gt;=S11, E11&gt;=D11), 0.013, I11&gt;=S11, 0.011, AND(I11&gt;=R11, E11&gt;=D11), 0.012, I11&gt;=R11, 0.010, TRUE, 0), 0))</f>
        <v/>
      </c>
      <c r="L11" s="6">
        <f>IF(C11="DSTV","", IF(J11&lt;0.6, 0.8, 1))</f>
        <v/>
      </c>
      <c r="M11" s="5">
        <f>IFERROR(SUMIF('Dự án T9'!$B:$B, $B11, 'Dự án T9'!$M:$M)*$L11, 0)</f>
        <v/>
      </c>
      <c r="N11" s="17">
        <f>N(K11)+M11</f>
        <v/>
      </c>
      <c r="O11" s="18">
        <f>CEILING(R11, 100000)</f>
        <v/>
      </c>
      <c r="P11" s="18">
        <f>CEILING(S11, 100000)</f>
        <v/>
      </c>
      <c r="Q11" s="18">
        <f>CEILING(T11, 100000)</f>
        <v/>
      </c>
      <c r="R11" s="18">
        <f>U11*$R$2</f>
        <v/>
      </c>
      <c r="S11" s="18">
        <f>U11*$S$2</f>
        <v/>
      </c>
      <c r="T11" s="18">
        <f>U11*$T$2</f>
        <v/>
      </c>
      <c r="U11" s="5">
        <f>V11/DAY($C$1)</f>
        <v/>
      </c>
      <c r="V11" s="5" t="n">
        <v>240000000</v>
      </c>
      <c r="W11" s="4">
        <f>IFERROR(SUMIFS(data!$C:$C, data!$A:$A, $A11, data!$B:$B, $B11), 0)</f>
        <v/>
      </c>
      <c r="X11" s="5">
        <f>IFERROR(SUMIF(data!$B:$B, $B11, data!$D:$D), 0)</f>
        <v/>
      </c>
      <c r="Y11" s="5">
        <f>IF(W11&gt;0, X11/W11, 0)</f>
        <v/>
      </c>
      <c r="Z11" s="4">
        <f>IFERROR(SUMIFS(data!$E:$E, data!$A:$A, $A11, data!$B:$B, $B11), 0)</f>
        <v/>
      </c>
      <c r="AA11" s="5">
        <f>IFERROR(SUMIF(data!$B:$B, $B11, data!$F:$F), 0)</f>
        <v/>
      </c>
      <c r="AB11" s="5">
        <f>IF(Z11&gt;0, AA11/Z11, 0)</f>
        <v/>
      </c>
      <c r="AC11" s="4">
        <f>W11+Z11</f>
        <v/>
      </c>
      <c r="AD11" s="5">
        <f>X11+AA11</f>
        <v/>
      </c>
      <c r="AE11" s="5">
        <f>IF(AC11&gt;0, AD11/AC11, 0)</f>
        <v/>
      </c>
      <c r="AF11" s="19" t="n"/>
      <c r="AG11" s="19" t="n"/>
      <c r="AH11" s="19" t="n"/>
      <c r="AI11" s="19" t="n"/>
      <c r="AJ11" s="19" t="n"/>
      <c r="AK11" s="19" t="n"/>
      <c r="AL11" s="19" t="n"/>
    </row>
    <row r="12" ht="13.8" customHeight="1">
      <c r="A12" s="3" t="inlineStr">
        <is>
          <t>Đỗ Quang Đẩu</t>
        </is>
      </c>
      <c r="B12" s="3" t="inlineStr">
        <is>
          <t>Lê Thị Huyền Trân</t>
        </is>
      </c>
      <c r="C12" s="6" t="inlineStr">
        <is>
          <t>DSXC</t>
        </is>
      </c>
      <c r="D12" s="5" t="n">
        <v>187847</v>
      </c>
      <c r="E12" s="5">
        <f>AE12</f>
        <v/>
      </c>
      <c r="F12" s="5">
        <f>IFERROR(ROUND(_xludf.LET(nt,$A12,nv,$B12,songay,DAY(EOMONTH($C$1,0)),doanhthungay,$I12,duan_nv,SUMIFS('Dự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2" s="5">
        <f>IFERROR(SUMIF('Dự án T9'!$B:$B, $B12, 'Dự án T9'!$D:$D), 0)</f>
        <v/>
      </c>
      <c r="H12" s="5">
        <f>Q12</f>
        <v/>
      </c>
      <c r="I12" s="5">
        <f>(AD12/DAY($C$1))</f>
        <v/>
      </c>
      <c r="J12" s="16">
        <f>_xlfn.XLOOKUP(B12, 'kpi nhà thuốc'!A:A, 'kpi nhà thuốc'!F:F, (AD12/DAY($C$1))/U12)</f>
        <v/>
      </c>
      <c r="K12" s="5">
        <f>_xlfn.XLOOKUP(B12, 'kpi nhà thuốc'!$A:$A, 'kpi nhà thuốc'!$G:$G, IF(AND(OR(C12="DSXC", C12="DSCD", C12="DSBC", C12="DSTV", C12="Q.CHT", C12="BC"), G12&gt;=F12), AD12 * _xlfn.IFS(AND(I12&gt;=T12, E12&gt;=D12), 0.015, I12&gt;=T12, 0.013, AND(I12&gt;=S12, E12&gt;=D12), 0.013, I12&gt;=S12, 0.011, AND(I12&gt;=R12, E12&gt;=D12), 0.012, I12&gt;=R12, 0.010, TRUE, 0), 0))</f>
        <v/>
      </c>
      <c r="L12" s="6">
        <f>IF(C12="DSTV","", IF(J12&lt;0.6, 0.8, 1))</f>
        <v/>
      </c>
      <c r="M12" s="5">
        <f>IFERROR(SUMIF('Dự án T9'!$B:$B, $B12, 'Dự án T9'!$M:$M)*$L12, 0)</f>
        <v/>
      </c>
      <c r="N12" s="17">
        <f>N(K12)+M12</f>
        <v/>
      </c>
      <c r="O12" s="18">
        <f>CEILING(R12, 100000)</f>
        <v/>
      </c>
      <c r="P12" s="18">
        <f>CEILING(S12, 100000)</f>
        <v/>
      </c>
      <c r="Q12" s="18">
        <f>CEILING(T12, 100000)</f>
        <v/>
      </c>
      <c r="R12" s="18">
        <f>U12*$R$2</f>
        <v/>
      </c>
      <c r="S12" s="18">
        <f>U12*$S$2</f>
        <v/>
      </c>
      <c r="T12" s="18">
        <f>U12*$T$2</f>
        <v/>
      </c>
      <c r="U12" s="5">
        <f>V12/DAY($C$1)</f>
        <v/>
      </c>
      <c r="V12" s="5" t="n">
        <v>240000000</v>
      </c>
      <c r="W12" s="4">
        <f>IFERROR(SUMIFS(data!$C:$C, data!$A:$A, $A12, data!$B:$B, $B12), 0)</f>
        <v/>
      </c>
      <c r="X12" s="5">
        <f>IFERROR(SUMIF(data!$B:$B, $B12, data!$D:$D), 0)</f>
        <v/>
      </c>
      <c r="Y12" s="5">
        <f>IF(W12&gt;0, X12/W12, 0)</f>
        <v/>
      </c>
      <c r="Z12" s="4">
        <f>IFERROR(SUMIFS(data!$E:$E, data!$A:$A, $A12, data!$B:$B, $B12), 0)</f>
        <v/>
      </c>
      <c r="AA12" s="5">
        <f>IFERROR(SUMIF(data!$B:$B, $B12, data!$F:$F), 0)</f>
        <v/>
      </c>
      <c r="AB12" s="5">
        <f>IF(Z12&gt;0, AA12/Z12, 0)</f>
        <v/>
      </c>
      <c r="AC12" s="4">
        <f>W12+Z12</f>
        <v/>
      </c>
      <c r="AD12" s="5">
        <f>X12+AA12</f>
        <v/>
      </c>
      <c r="AE12" s="5">
        <f>IF(AC12&gt;0, AD12/AC12, 0)</f>
        <v/>
      </c>
      <c r="AF12" s="19" t="n"/>
      <c r="AG12" s="19" t="n"/>
      <c r="AH12" s="19" t="n"/>
      <c r="AI12" s="19" t="n"/>
      <c r="AJ12" s="19" t="n"/>
      <c r="AK12" s="19" t="n"/>
      <c r="AL12" s="19" t="n"/>
    </row>
    <row r="13" ht="13.8" customHeight="1">
      <c r="A13" s="3" t="inlineStr">
        <is>
          <t>Minh Châu</t>
        </is>
      </c>
      <c r="B13" s="3" t="inlineStr">
        <is>
          <t>Thái Thùy Linh</t>
        </is>
      </c>
      <c r="C13" s="6" t="inlineStr">
        <is>
          <t>CHT</t>
        </is>
      </c>
      <c r="D13" s="5" t="n">
        <v>100080</v>
      </c>
      <c r="E13" s="5">
        <f>AE13</f>
        <v/>
      </c>
      <c r="F13" s="5">
        <f>IFERROR(ROUND(_xludf.LET(nt,$A13,nv,$B13,songay,DAY(EOMONTH($C$1,0)),doanhthungay,$I13,duan_nv,SUMIFS('Dự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3" s="5">
        <f>IFERROR(SUMIF('Dự án T9'!$B:$B, $B13, 'Dự án T9'!$D:$D), 0)</f>
        <v/>
      </c>
      <c r="H13" s="5">
        <f>Q13</f>
        <v/>
      </c>
      <c r="I13" s="5">
        <f>(AD13/DAY($C$1))</f>
        <v/>
      </c>
      <c r="J13" s="16">
        <f>_xlfn.XLOOKUP(B13, 'kpi nhà thuốc'!A:A, 'kpi nhà thuốc'!F:F, (AD13/DAY($C$1))/U13)</f>
        <v/>
      </c>
      <c r="K13" s="5">
        <f>_xlfn.XLOOKUP(B13, 'kpi nhà thuốc'!$A:$A, 'kpi nhà thuốc'!$G:$G, IF(AND(OR(C13="DSXC", C13="DSCD", C13="DSBC", C13="DSTV", C13="Q.CHT", C13="BC"), G13&gt;=F13), AD13 * _xlfn.IFS(AND(I13&gt;=T13, E13&gt;=D13), 0.015, I13&gt;=T13, 0.013, AND(I13&gt;=S13, E13&gt;=D13), 0.013, I13&gt;=S13, 0.011, AND(I13&gt;=R13, E13&gt;=D13), 0.012, I13&gt;=R13, 0.010, TRUE, 0), 0))</f>
        <v/>
      </c>
      <c r="L13" s="6">
        <f>IF(C13="DSTV","", IF(J13&lt;0.6, 0.8, 1))</f>
        <v/>
      </c>
      <c r="M13" s="5">
        <f>IFERROR(SUMIF('Dự án T9'!$B:$B, $B13, 'Dự án T9'!$M:$M)*$L13, 0)</f>
        <v/>
      </c>
      <c r="N13" s="17">
        <f>N(K13)+M13</f>
        <v/>
      </c>
      <c r="O13" s="18">
        <f>CEILING(R13, 100000)</f>
        <v/>
      </c>
      <c r="P13" s="18">
        <f>CEILING(S13, 100000)</f>
        <v/>
      </c>
      <c r="Q13" s="18">
        <f>CEILING(T13, 100000)</f>
        <v/>
      </c>
      <c r="R13" s="18">
        <f>U13*$R$2</f>
        <v/>
      </c>
      <c r="S13" s="18">
        <f>U13*$S$2</f>
        <v/>
      </c>
      <c r="T13" s="18">
        <f>U13*$T$2</f>
        <v/>
      </c>
      <c r="U13" s="5">
        <f>V13/DAY($C$1)</f>
        <v/>
      </c>
      <c r="V13" s="5" t="n">
        <v>120000000</v>
      </c>
      <c r="W13" s="4">
        <f>IFERROR(SUMIFS(data!$C:$C, data!$A:$A, $A13, data!$B:$B, $B13), 0)</f>
        <v/>
      </c>
      <c r="X13" s="5">
        <f>IFERROR(SUMIF(data!$B:$B, $B13, data!$D:$D), 0)</f>
        <v/>
      </c>
      <c r="Y13" s="5">
        <f>IF(W13&gt;0, X13/W13, 0)</f>
        <v/>
      </c>
      <c r="Z13" s="4">
        <f>IFERROR(SUMIFS(data!$E:$E, data!$A:$A, $A13, data!$B:$B, $B13), 0)</f>
        <v/>
      </c>
      <c r="AA13" s="5">
        <f>IFERROR(SUMIF(data!$B:$B, $B13, data!$F:$F), 0)</f>
        <v/>
      </c>
      <c r="AB13" s="5">
        <f>IF(Z13&gt;0, AA13/Z13, 0)</f>
        <v/>
      </c>
      <c r="AC13" s="4">
        <f>W13+Z13</f>
        <v/>
      </c>
      <c r="AD13" s="5">
        <f>X13+AA13</f>
        <v/>
      </c>
      <c r="AE13" s="5">
        <f>IF(AC13&gt;0, AD13/AC13, 0)</f>
        <v/>
      </c>
      <c r="AF13" s="19" t="n"/>
      <c r="AG13" s="19" t="n"/>
      <c r="AH13" s="19" t="n"/>
      <c r="AI13" s="19" t="n"/>
      <c r="AJ13" s="19" t="n"/>
      <c r="AK13" s="19" t="n"/>
      <c r="AL13" s="19" t="n"/>
    </row>
    <row r="14" ht="13.8" customHeight="1">
      <c r="A14" s="3" t="inlineStr">
        <is>
          <t>Minh Châu</t>
        </is>
      </c>
      <c r="B14" s="3" t="inlineStr">
        <is>
          <t>Đoàn Quốc Tâm</t>
        </is>
      </c>
      <c r="C14" s="6" t="inlineStr">
        <is>
          <t>DSXC</t>
        </is>
      </c>
      <c r="D14" s="5" t="n">
        <v>99702</v>
      </c>
      <c r="E14" s="5">
        <f>AE14</f>
        <v/>
      </c>
      <c r="F14" s="5">
        <f>IFERROR(ROUND(_xludf.LET(nt,$A14,nv,$B14,songay,DAY(EOMONTH($C$1,0)),doanhthungay,$I14,duan_nv,SUMIFS('Dự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4" s="5">
        <f>IFERROR(SUMIF('Dự án T9'!$B:$B, $B14, 'Dự án T9'!$D:$D), 0)</f>
        <v/>
      </c>
      <c r="H14" s="5">
        <f>Q14</f>
        <v/>
      </c>
      <c r="I14" s="5">
        <f>(AD14/DAY($C$1))</f>
        <v/>
      </c>
      <c r="J14" s="16">
        <f>_xlfn.XLOOKUP(B14, 'kpi nhà thuốc'!A:A, 'kpi nhà thuốc'!F:F, (AD14/DAY($C$1))/U14)</f>
        <v/>
      </c>
      <c r="K14" s="5">
        <f>_xlfn.XLOOKUP(B14, 'kpi nhà thuốc'!$A:$A, 'kpi nhà thuốc'!$G:$G, IF(AND(OR(C14="DSXC", C14="DSCD", C14="DSBC", C14="DSTV", C14="Q.CHT", C14="BC"), G14&gt;=F14), AD14 * _xlfn.IFS(AND(I14&gt;=T14, E14&gt;=D14), 0.015, I14&gt;=T14, 0.013, AND(I14&gt;=S14, E14&gt;=D14), 0.013, I14&gt;=S14, 0.011, AND(I14&gt;=R14, E14&gt;=D14), 0.012, I14&gt;=R14, 0.010, TRUE, 0), 0))</f>
        <v/>
      </c>
      <c r="L14" s="6">
        <f>IF(C14="DSTV","", IF(J14&lt;0.6, 0.8, 1))</f>
        <v/>
      </c>
      <c r="M14" s="5">
        <f>IFERROR(SUMIF('Dự án T9'!$B:$B, $B14, 'Dự án T9'!$M:$M)*$L14, 0)</f>
        <v/>
      </c>
      <c r="N14" s="17">
        <f>N(K14)+M14</f>
        <v/>
      </c>
      <c r="O14" s="18">
        <f>CEILING(R14, 100000)</f>
        <v/>
      </c>
      <c r="P14" s="18">
        <f>CEILING(S14, 100000)</f>
        <v/>
      </c>
      <c r="Q14" s="18">
        <f>CEILING(T14, 100000)</f>
        <v/>
      </c>
      <c r="R14" s="18">
        <f>U14*$R$2</f>
        <v/>
      </c>
      <c r="S14" s="18">
        <f>U14*$S$2</f>
        <v/>
      </c>
      <c r="T14" s="18">
        <f>U14*$T$2</f>
        <v/>
      </c>
      <c r="U14" s="5">
        <f>V14/DAY($C$1)</f>
        <v/>
      </c>
      <c r="V14" s="5" t="n">
        <v>120000000</v>
      </c>
      <c r="W14" s="4">
        <f>IFERROR(SUMIFS(data!$C:$C, data!$A:$A, $A14, data!$B:$B, $B14), 0)</f>
        <v/>
      </c>
      <c r="X14" s="5">
        <f>IFERROR(SUMIF(data!$B:$B, $B14, data!$D:$D), 0)</f>
        <v/>
      </c>
      <c r="Y14" s="5">
        <f>IF(W14&gt;0, X14/W14, 0)</f>
        <v/>
      </c>
      <c r="Z14" s="4">
        <f>IFERROR(SUMIFS(data!$E:$E, data!$A:$A, $A14, data!$B:$B, $B14), 0)</f>
        <v/>
      </c>
      <c r="AA14" s="5">
        <f>IFERROR(SUMIF(data!$B:$B, $B14, data!$F:$F), 0)</f>
        <v/>
      </c>
      <c r="AB14" s="5">
        <f>IF(Z14&gt;0, AA14/Z14, 0)</f>
        <v/>
      </c>
      <c r="AC14" s="4">
        <f>W14+Z14</f>
        <v/>
      </c>
      <c r="AD14" s="5">
        <f>X14+AA14</f>
        <v/>
      </c>
      <c r="AE14" s="5">
        <f>IF(AC14&gt;0, AD14/AC14, 0)</f>
        <v/>
      </c>
      <c r="AF14" s="19" t="n"/>
      <c r="AG14" s="19" t="n"/>
      <c r="AH14" s="19" t="n"/>
      <c r="AI14" s="19" t="n"/>
      <c r="AJ14" s="19" t="n"/>
      <c r="AK14" s="19" t="n"/>
      <c r="AL14" s="19" t="n"/>
    </row>
    <row r="15" ht="13.8" customHeight="1">
      <c r="A15" s="3" t="inlineStr">
        <is>
          <t>Minh Châu</t>
        </is>
      </c>
      <c r="B15" s="3" t="inlineStr">
        <is>
          <t>Phan Công Vũ Tài</t>
        </is>
      </c>
      <c r="C15" s="6" t="inlineStr">
        <is>
          <t>DSXC</t>
        </is>
      </c>
      <c r="D15" s="5" t="n">
        <v>104765</v>
      </c>
      <c r="E15" s="5">
        <f>AE15</f>
        <v/>
      </c>
      <c r="F15" s="5">
        <f>IFERROR(ROUND(_xludf.LET(nt,$A15,nv,$B15,songay,DAY(EOMONTH($C$1,0)),doanhthungay,$I15,duan_nv,SUMIFS('Dự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5" s="5">
        <f>IFERROR(SUMIF('Dự án T9'!$B:$B, $B15, 'Dự án T9'!$D:$D), 0)</f>
        <v/>
      </c>
      <c r="H15" s="5">
        <f>Q15</f>
        <v/>
      </c>
      <c r="I15" s="5">
        <f>(AD15/DAY($C$1))</f>
        <v/>
      </c>
      <c r="J15" s="16">
        <f>_xlfn.XLOOKUP(B15, 'kpi nhà thuốc'!A:A, 'kpi nhà thuốc'!F:F, (AD15/DAY($C$1))/U15)</f>
        <v/>
      </c>
      <c r="K15" s="5">
        <f>_xlfn.XLOOKUP(B15, 'kpi nhà thuốc'!$A:$A, 'kpi nhà thuốc'!$G:$G, IF(AND(OR(C15="DSXC", C15="DSCD", C15="DSBC", C15="DSTV", C15="Q.CHT", C15="BC"), G15&gt;=F15), AD15 * _xlfn.IFS(AND(I15&gt;=T15, E15&gt;=D15), 0.015, I15&gt;=T15, 0.013, AND(I15&gt;=S15, E15&gt;=D15), 0.013, I15&gt;=S15, 0.011, AND(I15&gt;=R15, E15&gt;=D15), 0.012, I15&gt;=R15, 0.010, TRUE, 0), 0))</f>
        <v/>
      </c>
      <c r="L15" s="6">
        <f>IF(C15="DSTV","", IF(J15&lt;0.6, 0.8, 1))</f>
        <v/>
      </c>
      <c r="M15" s="5">
        <f>IFERROR(SUMIF('Dự án T9'!$B:$B, $B15, 'Dự án T9'!$M:$M)*$L15, 0)</f>
        <v/>
      </c>
      <c r="N15" s="17">
        <f>N(K15)+M15</f>
        <v/>
      </c>
      <c r="O15" s="18">
        <f>CEILING(R15, 100000)</f>
        <v/>
      </c>
      <c r="P15" s="18">
        <f>CEILING(S15, 100000)</f>
        <v/>
      </c>
      <c r="Q15" s="18">
        <f>CEILING(T15, 100000)</f>
        <v/>
      </c>
      <c r="R15" s="18">
        <f>U15*$R$2</f>
        <v/>
      </c>
      <c r="S15" s="18">
        <f>U15*$S$2</f>
        <v/>
      </c>
      <c r="T15" s="18">
        <f>U15*$T$2</f>
        <v/>
      </c>
      <c r="U15" s="5">
        <f>V15/DAY($C$1)</f>
        <v/>
      </c>
      <c r="V15" s="5" t="n">
        <v>170000000</v>
      </c>
      <c r="W15" s="4">
        <f>IFERROR(SUMIFS(data!$C:$C, data!$A:$A, $A15, data!$B:$B, $B15), 0)</f>
        <v/>
      </c>
      <c r="X15" s="5">
        <f>IFERROR(SUMIF(data!$B:$B, $B15, data!$D:$D), 0)</f>
        <v/>
      </c>
      <c r="Y15" s="5">
        <f>IF(W15&gt;0, X15/W15, 0)</f>
        <v/>
      </c>
      <c r="Z15" s="4">
        <f>IFERROR(SUMIFS(data!$E:$E, data!$A:$A, $A15, data!$B:$B, $B15), 0)</f>
        <v/>
      </c>
      <c r="AA15" s="5">
        <f>IFERROR(SUMIF(data!$B:$B, $B15, data!$F:$F), 0)</f>
        <v/>
      </c>
      <c r="AB15" s="5">
        <f>IF(Z15&gt;0, AA15/Z15, 0)</f>
        <v/>
      </c>
      <c r="AC15" s="4">
        <f>W15+Z15</f>
        <v/>
      </c>
      <c r="AD15" s="5">
        <f>X15+AA15</f>
        <v/>
      </c>
      <c r="AE15" s="5">
        <f>IF(AC15&gt;0, AD15/AC15, 0)</f>
        <v/>
      </c>
      <c r="AF15" s="19" t="n"/>
      <c r="AG15" s="19" t="n"/>
      <c r="AH15" s="19" t="n"/>
      <c r="AI15" s="19" t="n"/>
      <c r="AJ15" s="19" t="n"/>
      <c r="AK15" s="19" t="n"/>
      <c r="AL15" s="19" t="n"/>
    </row>
    <row r="16" ht="13.8" customHeight="1">
      <c r="A16" s="3" t="inlineStr">
        <is>
          <t>Minh Châu</t>
        </is>
      </c>
      <c r="B16" s="3" t="inlineStr">
        <is>
          <t>Nguyễn Ngọc Thùy</t>
        </is>
      </c>
      <c r="C16" s="6" t="inlineStr">
        <is>
          <t>DSHV</t>
        </is>
      </c>
      <c r="D16" s="5" t="n">
        <v>74966</v>
      </c>
      <c r="E16" s="5">
        <f>AE16</f>
        <v/>
      </c>
      <c r="F16" s="5">
        <f>IFERROR(ROUND(_xludf.LET(nt,$A16,nv,$B16,songay,DAY(EOMONTH($C$1,0)),doanhthungay,$I16,duan_nv,SUMIFS('Dự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6" s="5">
        <f>IFERROR(SUMIF('Dự án T9'!$B:$B, $B16, 'Dự án T9'!$D:$D), 0)</f>
        <v/>
      </c>
      <c r="H16" s="5">
        <f>Q16</f>
        <v/>
      </c>
      <c r="I16" s="5">
        <f>(AD16/DAY($C$1))</f>
        <v/>
      </c>
      <c r="J16" s="16">
        <f>_xlfn.XLOOKUP(B16, 'kpi nhà thuốc'!A:A, 'kpi nhà thuốc'!F:F, (AD16/DAY($C$1))/U16)</f>
        <v/>
      </c>
      <c r="K16" s="5">
        <f>_xlfn.XLOOKUP(B16, 'kpi nhà thuốc'!$A:$A, 'kpi nhà thuốc'!$G:$G, IF(AND(OR(C16="DSXC", C16="DSCD", C16="DSBC", C16="DSTV", C16="Q.CHT", C16="BC"), G16&gt;=F16), AD16 * _xlfn.IFS(AND(I16&gt;=T16, E16&gt;=D16), 0.015, I16&gt;=T16, 0.013, AND(I16&gt;=S16, E16&gt;=D16), 0.013, I16&gt;=S16, 0.011, AND(I16&gt;=R16, E16&gt;=D16), 0.012, I16&gt;=R16, 0.010, TRUE, 0), 0))</f>
        <v/>
      </c>
      <c r="L16" s="6">
        <f>IF(C16="DSTV","", IF(J16&lt;0.6, 0.8, 1))</f>
        <v/>
      </c>
      <c r="M16" s="5">
        <f>IFERROR(SUMIF('Dự án T9'!$B:$B, $B16, 'Dự án T9'!$M:$M)*$L16, 0)</f>
        <v/>
      </c>
      <c r="N16" s="17">
        <f>N(K16)+M16</f>
        <v/>
      </c>
      <c r="O16" s="18">
        <f>CEILING(R16, 100000)</f>
        <v/>
      </c>
      <c r="P16" s="18">
        <f>CEILING(S16, 100000)</f>
        <v/>
      </c>
      <c r="Q16" s="18">
        <f>CEILING(T16, 100000)</f>
        <v/>
      </c>
      <c r="R16" s="18">
        <f>U16*$R$2</f>
        <v/>
      </c>
      <c r="S16" s="18">
        <f>U16*$S$2</f>
        <v/>
      </c>
      <c r="T16" s="18">
        <f>U16*$T$2</f>
        <v/>
      </c>
      <c r="U16" s="5">
        <f>V16/DAY($C$1)</f>
        <v/>
      </c>
      <c r="V16" s="5" t="n">
        <v>50000000</v>
      </c>
      <c r="W16" s="4">
        <f>IFERROR(SUMIFS(data!$C:$C, data!$A:$A, $A16, data!$B:$B, $B16), 0)</f>
        <v/>
      </c>
      <c r="X16" s="5">
        <f>IFERROR(SUMIF(data!$B:$B, $B16, data!$D:$D), 0)</f>
        <v/>
      </c>
      <c r="Y16" s="5">
        <f>IF(W16&gt;0, X16/W16, 0)</f>
        <v/>
      </c>
      <c r="Z16" s="4">
        <f>IFERROR(SUMIFS(data!$E:$E, data!$A:$A, $A16, data!$B:$B, $B16), 0)</f>
        <v/>
      </c>
      <c r="AA16" s="5">
        <f>IFERROR(SUMIF(data!$B:$B, $B16, data!$F:$F), 0)</f>
        <v/>
      </c>
      <c r="AB16" s="5">
        <f>IF(Z16&gt;0, AA16/Z16, 0)</f>
        <v/>
      </c>
      <c r="AC16" s="4">
        <f>W16+Z16</f>
        <v/>
      </c>
      <c r="AD16" s="5">
        <f>X16+AA16</f>
        <v/>
      </c>
      <c r="AE16" s="5">
        <f>IF(AC16&gt;0, AD16/AC16, 0)</f>
        <v/>
      </c>
      <c r="AF16" s="19" t="n"/>
      <c r="AG16" s="19" t="n"/>
      <c r="AH16" s="19" t="n"/>
      <c r="AI16" s="19" t="n"/>
      <c r="AJ16" s="19" t="n"/>
      <c r="AK16" s="19" t="n"/>
      <c r="AL16" s="19" t="n"/>
    </row>
    <row r="17" ht="13.8" customHeight="1">
      <c r="A17" s="3" t="inlineStr">
        <is>
          <t>Nam Hòa</t>
        </is>
      </c>
      <c r="B17" s="3" t="inlineStr">
        <is>
          <t>Trần Thị Ánh Nguyệt</t>
        </is>
      </c>
      <c r="C17" s="6" t="inlineStr">
        <is>
          <t>DSCD</t>
        </is>
      </c>
      <c r="D17" s="5" t="n">
        <v>110000</v>
      </c>
      <c r="E17" s="5">
        <f>AE17</f>
        <v/>
      </c>
      <c r="F17" s="5">
        <f>IFERROR(ROUND(_xludf.LET(nt,$A17,nv,$B17,songay,DAY(EOMONTH($C$1,0)),doanhthungay,$I17,duan_nv,SUMIFS('Dự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7" s="5">
        <f>IFERROR(SUMIF('Dự án T9'!$B:$B, $B17, 'Dự án T9'!$D:$D), 0)</f>
        <v/>
      </c>
      <c r="H17" s="5">
        <f>Q17</f>
        <v/>
      </c>
      <c r="I17" s="5">
        <f>(AD17/DAY($C$1))</f>
        <v/>
      </c>
      <c r="J17" s="16">
        <f>_xlfn.XLOOKUP(B17, 'kpi nhà thuốc'!A:A, 'kpi nhà thuốc'!F:F, (AD17/DAY($C$1))/U17)</f>
        <v/>
      </c>
      <c r="K17" s="5">
        <f>_xlfn.XLOOKUP(B17, 'kpi nhà thuốc'!$A:$A, 'kpi nhà thuốc'!$G:$G, IF(AND(OR(C17="DSXC", C17="DSCD", C17="DSBC", C17="DSTV", C17="Q.CHT", C17="BC"), G17&gt;=F17), AD17 * _xlfn.IFS(AND(I17&gt;=T17, E17&gt;=D17), 0.015, I17&gt;=T17, 0.013, AND(I17&gt;=S17, E17&gt;=D17), 0.013, I17&gt;=S17, 0.011, AND(I17&gt;=R17, E17&gt;=D17), 0.012, I17&gt;=R17, 0.010, TRUE, 0), 0))</f>
        <v/>
      </c>
      <c r="L17" s="6">
        <f>IF(C17="DSTV","", IF(J17&lt;0.6, 0.8, 1))</f>
        <v/>
      </c>
      <c r="M17" s="5">
        <f>IFERROR(SUMIF('Dự án T9'!$B:$B, $B17, 'Dự án T9'!$M:$M)*$L17, 0)</f>
        <v/>
      </c>
      <c r="N17" s="17">
        <f>N(K17)+M17</f>
        <v/>
      </c>
      <c r="O17" s="18">
        <f>CEILING(R17, 100000)</f>
        <v/>
      </c>
      <c r="P17" s="18">
        <f>CEILING(S17, 100000)</f>
        <v/>
      </c>
      <c r="Q17" s="18">
        <f>CEILING(T17, 100000)</f>
        <v/>
      </c>
      <c r="R17" s="18">
        <f>U17*$R$2</f>
        <v/>
      </c>
      <c r="S17" s="18">
        <f>U17*$S$2</f>
        <v/>
      </c>
      <c r="T17" s="18">
        <f>U17*$T$2</f>
        <v/>
      </c>
      <c r="U17" s="5">
        <f>V17/DAY($C$1)</f>
        <v/>
      </c>
      <c r="V17" s="5" t="n">
        <v>80000000</v>
      </c>
      <c r="W17" s="4">
        <f>IFERROR(SUMIFS(data!$C:$C, data!$A:$A, $A17, data!$B:$B, $B17), 0)</f>
        <v/>
      </c>
      <c r="X17" s="5">
        <f>IFERROR(SUMIF(data!$B:$B, $B17, data!$D:$D), 0)</f>
        <v/>
      </c>
      <c r="Y17" s="5">
        <f>IF(W17&gt;0, X17/W17, 0)</f>
        <v/>
      </c>
      <c r="Z17" s="4">
        <f>IFERROR(SUMIFS(data!$E:$E, data!$A:$A, $A17, data!$B:$B, $B17), 0)</f>
        <v/>
      </c>
      <c r="AA17" s="5">
        <f>IFERROR(SUMIF(data!$B:$B, $B17, data!$F:$F), 0)</f>
        <v/>
      </c>
      <c r="AB17" s="5">
        <f>IF(Z17&gt;0, AA17/Z17, 0)</f>
        <v/>
      </c>
      <c r="AC17" s="4">
        <f>W17+Z17</f>
        <v/>
      </c>
      <c r="AD17" s="5">
        <f>X17+AA17</f>
        <v/>
      </c>
      <c r="AE17" s="5">
        <f>IF(AC17&gt;0, AD17/AC17, 0)</f>
        <v/>
      </c>
      <c r="AF17" s="19" t="n"/>
      <c r="AG17" s="19" t="n"/>
      <c r="AH17" s="19" t="n"/>
      <c r="AI17" s="19" t="n"/>
      <c r="AJ17" s="19" t="n"/>
      <c r="AK17" s="19" t="n"/>
      <c r="AL17" s="19" t="n"/>
    </row>
    <row r="18" ht="13.8" customHeight="1">
      <c r="A18" s="3" t="inlineStr">
        <is>
          <t>Nam Hòa</t>
        </is>
      </c>
      <c r="B18" s="3" t="inlineStr">
        <is>
          <t>Nguyễn Thị Huyền Trang</t>
        </is>
      </c>
      <c r="C18" s="6" t="inlineStr">
        <is>
          <t>DSXC</t>
        </is>
      </c>
      <c r="D18" s="5" t="n">
        <v>130000</v>
      </c>
      <c r="E18" s="5">
        <f>AE18</f>
        <v/>
      </c>
      <c r="F18" s="5">
        <f>IFERROR(ROUND(_xludf.LET(nt,$A18,nv,$B18,songay,DAY(EOMONTH($C$1,0)),doanhthungay,$I18,duan_nv,SUMIFS('Dự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8" s="5">
        <f>IFERROR(SUMIF('Dự án T9'!$B:$B, $B18, 'Dự án T9'!$D:$D), 0)</f>
        <v/>
      </c>
      <c r="H18" s="5">
        <f>Q18</f>
        <v/>
      </c>
      <c r="I18" s="5">
        <f>(AD18/DAY($C$1))</f>
        <v/>
      </c>
      <c r="J18" s="16">
        <f>_xlfn.XLOOKUP(B18, 'kpi nhà thuốc'!A:A, 'kpi nhà thuốc'!F:F, (AD18/DAY($C$1))/U18)</f>
        <v/>
      </c>
      <c r="K18" s="5">
        <f>_xlfn.XLOOKUP(B18, 'kpi nhà thuốc'!$A:$A, 'kpi nhà thuốc'!$G:$G, IF(AND(OR(C18="DSXC", C18="DSCD", C18="DSBC", C18="DSTV", C18="Q.CHT", C18="BC"), G18&gt;=F18), AD18 * _xlfn.IFS(AND(I18&gt;=T18, E18&gt;=D18), 0.015, I18&gt;=T18, 0.013, AND(I18&gt;=S18, E18&gt;=D18), 0.013, I18&gt;=S18, 0.011, AND(I18&gt;=R18, E18&gt;=D18), 0.012, I18&gt;=R18, 0.010, TRUE, 0), 0))</f>
        <v/>
      </c>
      <c r="L18" s="6">
        <f>IF(C18="DSTV","", IF(J18&lt;0.6, 0.8, 1))</f>
        <v/>
      </c>
      <c r="M18" s="5">
        <f>IFERROR(SUMIF('Dự án T9'!$B:$B, $B18, 'Dự án T9'!$M:$M)*$L18, 0)</f>
        <v/>
      </c>
      <c r="N18" s="17">
        <f>N(K18)+M18</f>
        <v/>
      </c>
      <c r="O18" s="18">
        <f>CEILING(R18, 100000)</f>
        <v/>
      </c>
      <c r="P18" s="18">
        <f>CEILING(S18, 100000)</f>
        <v/>
      </c>
      <c r="Q18" s="18">
        <f>CEILING(T18, 100000)</f>
        <v/>
      </c>
      <c r="R18" s="18">
        <f>U18*$R$2</f>
        <v/>
      </c>
      <c r="S18" s="18">
        <f>U18*$S$2</f>
        <v/>
      </c>
      <c r="T18" s="18">
        <f>U18*$T$2</f>
        <v/>
      </c>
      <c r="U18" s="5">
        <f>V18/DAY($C$1)</f>
        <v/>
      </c>
      <c r="V18" s="5" t="n">
        <v>80000000</v>
      </c>
      <c r="W18" s="4">
        <f>IFERROR(SUMIFS(data!$C:$C, data!$A:$A, $A18, data!$B:$B, $B18), 0)</f>
        <v/>
      </c>
      <c r="X18" s="5">
        <f>IFERROR(SUMIF(data!$B:$B, $B18, data!$D:$D), 0)</f>
        <v/>
      </c>
      <c r="Y18" s="5">
        <f>IF(W18&gt;0, X18/W18, 0)</f>
        <v/>
      </c>
      <c r="Z18" s="4">
        <f>IFERROR(SUMIFS(data!$E:$E, data!$A:$A, $A18, data!$B:$B, $B18), 0)</f>
        <v/>
      </c>
      <c r="AA18" s="5">
        <f>IFERROR(SUMIF(data!$B:$B, $B18, data!$F:$F), 0)</f>
        <v/>
      </c>
      <c r="AB18" s="5">
        <f>IF(Z18&gt;0, AA18/Z18, 0)</f>
        <v/>
      </c>
      <c r="AC18" s="4">
        <f>W18+Z18</f>
        <v/>
      </c>
      <c r="AD18" s="5">
        <f>X18+AA18</f>
        <v/>
      </c>
      <c r="AE18" s="5">
        <f>IF(AC18&gt;0, AD18/AC18, 0)</f>
        <v/>
      </c>
      <c r="AF18" s="19" t="n"/>
      <c r="AG18" s="19" t="n"/>
      <c r="AH18" s="19" t="n"/>
      <c r="AI18" s="19" t="n"/>
      <c r="AJ18" s="19" t="n"/>
      <c r="AK18" s="19" t="n"/>
      <c r="AL18" s="19" t="n"/>
    </row>
    <row r="19" ht="13.8" customHeight="1">
      <c r="A19" s="3" t="inlineStr">
        <is>
          <t>Nam Hòa</t>
        </is>
      </c>
      <c r="B19" s="3" t="inlineStr">
        <is>
          <t>Dương Thị Huỳnh Như</t>
        </is>
      </c>
      <c r="C19" s="6" t="inlineStr">
        <is>
          <t>DSCD (TV)</t>
        </is>
      </c>
      <c r="D19" s="5" t="n">
        <v>90000</v>
      </c>
      <c r="E19" s="5">
        <f>AE19</f>
        <v/>
      </c>
      <c r="F19" s="5">
        <f>IFERROR(ROUND(_xludf.LET(nt,$A19,nv,$B19,songay,DAY(EOMONTH($C$1,0)),doanhthungay,$I19,duan_nv,SUMIFS('Dự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19" s="5">
        <f>IFERROR(SUMIF('Dự án T9'!$B:$B, $B19, 'Dự án T9'!$D:$D), 0)</f>
        <v/>
      </c>
      <c r="H19" s="5">
        <f>Q19</f>
        <v/>
      </c>
      <c r="I19" s="5">
        <f>(AD19/DAY($C$1))</f>
        <v/>
      </c>
      <c r="J19" s="16">
        <f>_xlfn.XLOOKUP(B19, 'kpi nhà thuốc'!A:A, 'kpi nhà thuốc'!F:F, (AD19/DAY($C$1))/U19)</f>
        <v/>
      </c>
      <c r="K19" s="5">
        <f>_xlfn.XLOOKUP(B19, 'kpi nhà thuốc'!$A:$A, 'kpi nhà thuốc'!$G:$G, IF(AND(OR(C19="DSXC", C19="DSCD", C19="DSBC", C19="DSTV", C19="Q.CHT", C19="BC"), G19&gt;=F19), AD19 * _xlfn.IFS(AND(I19&gt;=T19, E19&gt;=D19), 0.015, I19&gt;=T19, 0.013, AND(I19&gt;=S19, E19&gt;=D19), 0.013, I19&gt;=S19, 0.011, AND(I19&gt;=R19, E19&gt;=D19), 0.012, I19&gt;=R19, 0.010, TRUE, 0), 0))</f>
        <v/>
      </c>
      <c r="L19" s="6">
        <f>IF(C19="DSTV","", IF(J19&lt;0.6, 0.8, 1))</f>
        <v/>
      </c>
      <c r="M19" s="5">
        <f>IFERROR(SUMIF('Dự án T9'!$B:$B, $B19, 'Dự án T9'!$M:$M)*$L19, 0)</f>
        <v/>
      </c>
      <c r="N19" s="17">
        <f>N(K19)+M19</f>
        <v/>
      </c>
      <c r="O19" s="18">
        <f>CEILING(R19, 100000)</f>
        <v/>
      </c>
      <c r="P19" s="18">
        <f>CEILING(S19, 100000)</f>
        <v/>
      </c>
      <c r="Q19" s="18">
        <f>CEILING(T19, 100000)</f>
        <v/>
      </c>
      <c r="R19" s="18">
        <f>U19*$R$2</f>
        <v/>
      </c>
      <c r="S19" s="18">
        <f>U19*$S$2</f>
        <v/>
      </c>
      <c r="T19" s="18">
        <f>U19*$T$2</f>
        <v/>
      </c>
      <c r="U19" s="5">
        <f>V19/DAY($C$1)</f>
        <v/>
      </c>
      <c r="V19" s="5" t="n">
        <v>60000000</v>
      </c>
      <c r="W19" s="4">
        <f>IFERROR(SUMIFS(data!$C:$C, data!$A:$A, $A19, data!$B:$B, $B19), 0)</f>
        <v/>
      </c>
      <c r="X19" s="5">
        <f>IFERROR(SUMIF(data!$B:$B, $B19, data!$D:$D), 0)</f>
        <v/>
      </c>
      <c r="Y19" s="5">
        <f>IF(W19&gt;0, X19/W19, 0)</f>
        <v/>
      </c>
      <c r="Z19" s="4">
        <f>IFERROR(SUMIFS(data!$E:$E, data!$A:$A, $A19, data!$B:$B, $B19), 0)</f>
        <v/>
      </c>
      <c r="AA19" s="5">
        <f>IFERROR(SUMIF(data!$B:$B, $B19, data!$F:$F), 0)</f>
        <v/>
      </c>
      <c r="AB19" s="5">
        <f>IF(Z19&gt;0, AA19/Z19, 0)</f>
        <v/>
      </c>
      <c r="AC19" s="4">
        <f>W19+Z19</f>
        <v/>
      </c>
      <c r="AD19" s="5">
        <f>X19+AA19</f>
        <v/>
      </c>
      <c r="AE19" s="5">
        <f>IF(AC19&gt;0, AD19/AC19, 0)</f>
        <v/>
      </c>
      <c r="AF19" s="19" t="n"/>
      <c r="AG19" s="19" t="n"/>
      <c r="AH19" s="19" t="n"/>
      <c r="AI19" s="19" t="n"/>
      <c r="AJ19" s="19" t="n"/>
      <c r="AK19" s="19" t="n"/>
      <c r="AL19" s="19" t="n"/>
    </row>
    <row r="20" ht="13.8" customHeight="1">
      <c r="A20" s="3" t="inlineStr">
        <is>
          <t>Nam Hòa</t>
        </is>
      </c>
      <c r="B20" s="3" t="inlineStr">
        <is>
          <t>Bùi Thị Thanh Thủy</t>
        </is>
      </c>
      <c r="C20" s="6" t="inlineStr">
        <is>
          <t>DSXC</t>
        </is>
      </c>
      <c r="D20" s="5" t="n">
        <v>130000</v>
      </c>
      <c r="E20" s="5">
        <f>AE20</f>
        <v/>
      </c>
      <c r="F20" s="5">
        <f>IFERROR(ROUND(_xludf.LET(nt,$A20,nv,$B20,songay,DAY(EOMONTH($C$1,0)),doanhthungay,$I20,duan_nv,SUMIFS('Dự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0" s="5">
        <f>IFERROR(SUMIF('Dự án T9'!$B:$B, $B20, 'Dự án T9'!$D:$D), 0)</f>
        <v/>
      </c>
      <c r="H20" s="5">
        <f>Q20</f>
        <v/>
      </c>
      <c r="I20" s="5">
        <f>(AD20/DAY($C$1))</f>
        <v/>
      </c>
      <c r="J20" s="16">
        <f>_xlfn.XLOOKUP(B20, 'kpi nhà thuốc'!A:A, 'kpi nhà thuốc'!F:F, (AD20/DAY($C$1))/U20)</f>
        <v/>
      </c>
      <c r="K20" s="5">
        <f>_xlfn.XLOOKUP(B20, 'kpi nhà thuốc'!$A:$A, 'kpi nhà thuốc'!$G:$G, IF(AND(OR(C20="DSXC", C20="DSCD", C20="DSBC", C20="DSTV", C20="Q.CHT", C20="BC"), G20&gt;=F20), AD20 * _xlfn.IFS(AND(I20&gt;=T20, E20&gt;=D20), 0.015, I20&gt;=T20, 0.013, AND(I20&gt;=S20, E20&gt;=D20), 0.013, I20&gt;=S20, 0.011, AND(I20&gt;=R20, E20&gt;=D20), 0.012, I20&gt;=R20, 0.010, TRUE, 0), 0))</f>
        <v/>
      </c>
      <c r="L20" s="6">
        <f>IF(C20="DSTV","", IF(J20&lt;0.6, 0.8, 1))</f>
        <v/>
      </c>
      <c r="M20" s="5">
        <f>IFERROR(SUMIF('Dự án T9'!$B:$B, $B20, 'Dự án T9'!$M:$M)*$L20, 0)</f>
        <v/>
      </c>
      <c r="N20" s="17">
        <f>N(K20)+M20</f>
        <v/>
      </c>
      <c r="O20" s="18">
        <f>CEILING(R20, 100000)</f>
        <v/>
      </c>
      <c r="P20" s="18">
        <f>CEILING(S20, 100000)</f>
        <v/>
      </c>
      <c r="Q20" s="18">
        <f>CEILING(T20, 100000)</f>
        <v/>
      </c>
      <c r="R20" s="18">
        <f>U20*$R$2</f>
        <v/>
      </c>
      <c r="S20" s="18">
        <f>U20*$S$2</f>
        <v/>
      </c>
      <c r="T20" s="18">
        <f>U20*$T$2</f>
        <v/>
      </c>
      <c r="U20" s="5">
        <f>V20/DAY($C$1)</f>
        <v/>
      </c>
      <c r="V20" s="5" t="n">
        <v>80000000</v>
      </c>
      <c r="W20" s="4">
        <f>IFERROR(SUMIFS(data!$C:$C, data!$A:$A, $A20, data!$B:$B, $B20), 0)</f>
        <v/>
      </c>
      <c r="X20" s="5">
        <f>IFERROR(SUMIF(data!$B:$B, $B20, data!$D:$D), 0)</f>
        <v/>
      </c>
      <c r="Y20" s="5">
        <f>IF(W20&gt;0, X20/W20, 0)</f>
        <v/>
      </c>
      <c r="Z20" s="4">
        <f>IFERROR(SUMIFS(data!$E:$E, data!$A:$A, $A20, data!$B:$B, $B20), 0)</f>
        <v/>
      </c>
      <c r="AA20" s="5">
        <f>IFERROR(SUMIF(data!$B:$B, $B20, data!$F:$F), 0)</f>
        <v/>
      </c>
      <c r="AB20" s="5">
        <f>IF(Z20&gt;0, AA20/Z20, 0)</f>
        <v/>
      </c>
      <c r="AC20" s="4">
        <f>W20+Z20</f>
        <v/>
      </c>
      <c r="AD20" s="5">
        <f>X20+AA20</f>
        <v/>
      </c>
      <c r="AE20" s="5">
        <f>IF(AC20&gt;0, AD20/AC20, 0)</f>
        <v/>
      </c>
      <c r="AF20" s="19" t="n"/>
      <c r="AG20" s="19" t="n"/>
      <c r="AH20" s="19" t="n"/>
      <c r="AI20" s="19" t="n"/>
      <c r="AJ20" s="19" t="n"/>
      <c r="AK20" s="19" t="n"/>
      <c r="AL20" s="19" t="n"/>
    </row>
    <row r="21" ht="13.8" customHeight="1">
      <c r="A21" s="3" t="inlineStr">
        <is>
          <t>Nguyễn Chí Thanh</t>
        </is>
      </c>
      <c r="B21" s="3" t="inlineStr">
        <is>
          <t>Lê Thị Quỳnh Trâm</t>
        </is>
      </c>
      <c r="C21" s="6" t="inlineStr">
        <is>
          <t>CHT</t>
        </is>
      </c>
      <c r="D21" s="5" t="n">
        <v>250000</v>
      </c>
      <c r="E21" s="5">
        <f>AE21</f>
        <v/>
      </c>
      <c r="F21" s="5">
        <f>IFERROR(ROUND(_xludf.LET(nt,$A21,nv,$B21,songay,DAY(EOMONTH($C$1,0)),doanhthungay,$I21,duan_nv,SUMIFS('Dự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1" s="5">
        <f>IFERROR(SUMIF('Dự án T9'!$B:$B, $B21, 'Dự án T9'!$D:$D), 0)</f>
        <v/>
      </c>
      <c r="H21" s="5">
        <f>Q21</f>
        <v/>
      </c>
      <c r="I21" s="5">
        <f>(AD21/DAY($C$1))</f>
        <v/>
      </c>
      <c r="J21" s="16">
        <f>_xlfn.XLOOKUP(B21, 'kpi nhà thuốc'!A:A, 'kpi nhà thuốc'!F:F, (AD21/DAY($C$1))/U21)</f>
        <v/>
      </c>
      <c r="K21" s="5">
        <f>_xlfn.XLOOKUP(B21, 'kpi nhà thuốc'!$A:$A, 'kpi nhà thuốc'!$G:$G, IF(AND(OR(C21="DSXC", C21="DSCD", C21="DSBC", C21="DSTV", C21="Q.CHT", C21="BC"), G21&gt;=F21), AD21 * _xlfn.IFS(AND(I21&gt;=T21, E21&gt;=D21), 0.015, I21&gt;=T21, 0.013, AND(I21&gt;=S21, E21&gt;=D21), 0.013, I21&gt;=S21, 0.011, AND(I21&gt;=R21, E21&gt;=D21), 0.012, I21&gt;=R21, 0.010, TRUE, 0), 0))</f>
        <v/>
      </c>
      <c r="L21" s="6">
        <f>IF(C21="DSTV","", IF(J21&lt;0.6, 0.8, 1))</f>
        <v/>
      </c>
      <c r="M21" s="5">
        <f>IFERROR(SUMIF('Dự án T9'!$B:$B, $B21, 'Dự án T9'!$M:$M)*$L21, 0)</f>
        <v/>
      </c>
      <c r="N21" s="17">
        <f>N(K21)+M21</f>
        <v/>
      </c>
      <c r="O21" s="18">
        <f>CEILING(R21, 100000)</f>
        <v/>
      </c>
      <c r="P21" s="18">
        <f>CEILING(S21, 100000)</f>
        <v/>
      </c>
      <c r="Q21" s="18">
        <f>CEILING(T21, 100000)</f>
        <v/>
      </c>
      <c r="R21" s="18">
        <f>U21*$R$2</f>
        <v/>
      </c>
      <c r="S21" s="18">
        <f>U21*$S$2</f>
        <v/>
      </c>
      <c r="T21" s="18">
        <f>U21*$T$2</f>
        <v/>
      </c>
      <c r="U21" s="5">
        <f>V21/DAY($C$1)</f>
        <v/>
      </c>
      <c r="V21" s="5" t="n">
        <v>112500000</v>
      </c>
      <c r="W21" s="4">
        <f>IFERROR(SUMIFS(data!$C:$C, data!$A:$A, $A21, data!$B:$B, $B21), 0)</f>
        <v/>
      </c>
      <c r="X21" s="5">
        <f>IFERROR(SUMIF(data!$B:$B, $B21, data!$D:$D), 0)</f>
        <v/>
      </c>
      <c r="Y21" s="5">
        <f>IF(W21&gt;0, X21/W21, 0)</f>
        <v/>
      </c>
      <c r="Z21" s="4">
        <f>IFERROR(SUMIFS(data!$E:$E, data!$A:$A, $A21, data!$B:$B, $B21), 0)</f>
        <v/>
      </c>
      <c r="AA21" s="5">
        <f>IFERROR(SUMIF(data!$B:$B, $B21, data!$F:$F), 0)</f>
        <v/>
      </c>
      <c r="AB21" s="5">
        <f>IF(Z21&gt;0, AA21/Z21, 0)</f>
        <v/>
      </c>
      <c r="AC21" s="4">
        <f>W21+Z21</f>
        <v/>
      </c>
      <c r="AD21" s="5">
        <f>X21+AA21</f>
        <v/>
      </c>
      <c r="AE21" s="5">
        <f>IF(AC21&gt;0, AD21/AC21, 0)</f>
        <v/>
      </c>
      <c r="AF21" s="19" t="n"/>
      <c r="AG21" s="19" t="n"/>
      <c r="AH21" s="19" t="n"/>
      <c r="AI21" s="19" t="n"/>
      <c r="AJ21" s="19" t="n"/>
      <c r="AK21" s="19" t="n"/>
      <c r="AL21" s="19" t="n"/>
    </row>
    <row r="22" ht="13.8" customHeight="1">
      <c r="A22" s="3" t="inlineStr">
        <is>
          <t>Nguyễn Chí Thanh</t>
        </is>
      </c>
      <c r="B22" s="3" t="inlineStr">
        <is>
          <t>Đỗ Thị Phương Thảo</t>
        </is>
      </c>
      <c r="C22" s="6" t="inlineStr">
        <is>
          <t>DSXC</t>
        </is>
      </c>
      <c r="D22" s="5" t="n">
        <v>112000</v>
      </c>
      <c r="E22" s="5">
        <f>AE22</f>
        <v/>
      </c>
      <c r="F22" s="5">
        <f>IFERROR(ROUND(_xludf.LET(nt,$A22,nv,$B22,songay,DAY(EOMONTH($C$1,0)),doanhthungay,$I22,duan_nv,SUMIFS('Dự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2" s="5">
        <f>IFERROR(SUMIF('Dự án T9'!$B:$B, $B22, 'Dự án T9'!$D:$D), 0)</f>
        <v/>
      </c>
      <c r="H22" s="5">
        <f>Q22</f>
        <v/>
      </c>
      <c r="I22" s="5">
        <f>(AD22/DAY($C$1))</f>
        <v/>
      </c>
      <c r="J22" s="16">
        <f>_xlfn.XLOOKUP(B22, 'kpi nhà thuốc'!A:A, 'kpi nhà thuốc'!F:F, (AD22/DAY($C$1))/U22)</f>
        <v/>
      </c>
      <c r="K22" s="5">
        <f>_xlfn.XLOOKUP(B22, 'kpi nhà thuốc'!$A:$A, 'kpi nhà thuốc'!$G:$G, IF(AND(OR(C22="DSXC", C22="DSCD", C22="DSBC", C22="DSTV", C22="Q.CHT", C22="BC"), G22&gt;=F22), AD22 * _xlfn.IFS(AND(I22&gt;=T22, E22&gt;=D22), 0.015, I22&gt;=T22, 0.013, AND(I22&gt;=S22, E22&gt;=D22), 0.013, I22&gt;=S22, 0.011, AND(I22&gt;=R22, E22&gt;=D22), 0.012, I22&gt;=R22, 0.010, TRUE, 0), 0))</f>
        <v/>
      </c>
      <c r="L22" s="6">
        <f>IF(C22="DSTV","", IF(J22&lt;0.6, 0.8, 1))</f>
        <v/>
      </c>
      <c r="M22" s="5">
        <f>IFERROR(SUMIF('Dự án T9'!$B:$B, $B22, 'Dự án T9'!$M:$M)*$L22, 0)</f>
        <v/>
      </c>
      <c r="N22" s="17">
        <f>N(K22)+M22</f>
        <v/>
      </c>
      <c r="O22" s="18">
        <f>CEILING(R22, 100000)</f>
        <v/>
      </c>
      <c r="P22" s="18">
        <f>CEILING(S22, 100000)</f>
        <v/>
      </c>
      <c r="Q22" s="18">
        <f>CEILING(T22, 100000)</f>
        <v/>
      </c>
      <c r="R22" s="18">
        <f>U22*$R$2</f>
        <v/>
      </c>
      <c r="S22" s="18">
        <f>U22*$S$2</f>
        <v/>
      </c>
      <c r="T22" s="18">
        <f>U22*$T$2</f>
        <v/>
      </c>
      <c r="U22" s="5">
        <f>V22/DAY($C$1)</f>
        <v/>
      </c>
      <c r="V22" s="5" t="n">
        <v>112500000</v>
      </c>
      <c r="W22" s="4">
        <f>IFERROR(SUMIFS(data!$C:$C, data!$A:$A, $A22, data!$B:$B, $B22), 0)</f>
        <v/>
      </c>
      <c r="X22" s="5">
        <f>IFERROR(SUMIF(data!$B:$B, $B22, data!$D:$D), 0)</f>
        <v/>
      </c>
      <c r="Y22" s="5">
        <f>IF(W22&gt;0, X22/W22, 0)</f>
        <v/>
      </c>
      <c r="Z22" s="4">
        <f>IFERROR(SUMIFS(data!$E:$E, data!$A:$A, $A22, data!$B:$B, $B22), 0)</f>
        <v/>
      </c>
      <c r="AA22" s="5">
        <f>IFERROR(SUMIF(data!$B:$B, $B22, data!$F:$F), 0)</f>
        <v/>
      </c>
      <c r="AB22" s="5">
        <f>IF(Z22&gt;0, AA22/Z22, 0)</f>
        <v/>
      </c>
      <c r="AC22" s="4">
        <f>W22+Z22</f>
        <v/>
      </c>
      <c r="AD22" s="5">
        <f>X22+AA22</f>
        <v/>
      </c>
      <c r="AE22" s="5">
        <f>IF(AC22&gt;0, AD22/AC22, 0)</f>
        <v/>
      </c>
      <c r="AF22" s="19" t="n"/>
      <c r="AG22" s="19" t="n"/>
      <c r="AH22" s="19" t="n"/>
      <c r="AI22" s="19" t="n"/>
      <c r="AJ22" s="19" t="n"/>
      <c r="AK22" s="19" t="n"/>
      <c r="AL22" s="19" t="n"/>
    </row>
    <row r="23" ht="13.8" customHeight="1">
      <c r="A23" s="3" t="inlineStr">
        <is>
          <t>Nguyễn Chí Thanh</t>
        </is>
      </c>
      <c r="B23" s="3" t="inlineStr">
        <is>
          <t>Nguyễn Thị Hồng Hạnh</t>
        </is>
      </c>
      <c r="C23" s="6" t="inlineStr">
        <is>
          <t>DSCD</t>
        </is>
      </c>
      <c r="D23" s="5" t="n">
        <v>103000</v>
      </c>
      <c r="E23" s="5">
        <f>AE23</f>
        <v/>
      </c>
      <c r="F23" s="5">
        <f>IFERROR(ROUND(_xludf.LET(nt,$A23,nv,$B23,songay,DAY(EOMONTH($C$1,0)),doanhthungay,$I23,duan_nv,SUMIFS('Dự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3" s="5">
        <f>IFERROR(SUMIF('Dự án T9'!$B:$B, $B23, 'Dự án T9'!$D:$D), 0)</f>
        <v/>
      </c>
      <c r="H23" s="5">
        <f>Q23</f>
        <v/>
      </c>
      <c r="I23" s="5">
        <f>(AD23/DAY($C$1))</f>
        <v/>
      </c>
      <c r="J23" s="16">
        <f>_xlfn.XLOOKUP(B23, 'kpi nhà thuốc'!A:A, 'kpi nhà thuốc'!F:F, (AD23/DAY($C$1))/U23)</f>
        <v/>
      </c>
      <c r="K23" s="5">
        <f>_xlfn.XLOOKUP(B23, 'kpi nhà thuốc'!$A:$A, 'kpi nhà thuốc'!$G:$G, IF(AND(OR(C23="DSXC", C23="DSCD", C23="DSBC", C23="DSTV", C23="Q.CHT", C23="BC"), G23&gt;=F23), AD23 * _xlfn.IFS(AND(I23&gt;=T23, E23&gt;=D23), 0.015, I23&gt;=T23, 0.013, AND(I23&gt;=S23, E23&gt;=D23), 0.013, I23&gt;=S23, 0.011, AND(I23&gt;=R23, E23&gt;=D23), 0.012, I23&gt;=R23, 0.010, TRUE, 0), 0))</f>
        <v/>
      </c>
      <c r="L23" s="6">
        <f>IF(C23="DSTV","", IF(J23&lt;0.6, 0.8, 1))</f>
        <v/>
      </c>
      <c r="M23" s="5">
        <f>IFERROR(SUMIF('Dự án T9'!$B:$B, $B23, 'Dự án T9'!$M:$M)*$L23, 0)</f>
        <v/>
      </c>
      <c r="N23" s="17">
        <f>N(K23)+M23</f>
        <v/>
      </c>
      <c r="O23" s="18">
        <f>CEILING(R23, 100000)</f>
        <v/>
      </c>
      <c r="P23" s="18">
        <f>CEILING(S23, 100000)</f>
        <v/>
      </c>
      <c r="Q23" s="18">
        <f>CEILING(T23, 100000)</f>
        <v/>
      </c>
      <c r="R23" s="18">
        <f>U23*$R$2</f>
        <v/>
      </c>
      <c r="S23" s="18">
        <f>U23*$S$2</f>
        <v/>
      </c>
      <c r="T23" s="18">
        <f>U23*$T$2</f>
        <v/>
      </c>
      <c r="U23" s="5">
        <f>V23/DAY($C$1)</f>
        <v/>
      </c>
      <c r="V23" s="5" t="n">
        <v>112500000</v>
      </c>
      <c r="W23" s="4">
        <f>IFERROR(SUMIFS(data!$C:$C, data!$A:$A, $A23, data!$B:$B, $B23), 0)</f>
        <v/>
      </c>
      <c r="X23" s="5">
        <f>IFERROR(SUMIF(data!$B:$B, $B23, data!$D:$D), 0)</f>
        <v/>
      </c>
      <c r="Y23" s="5">
        <f>IF(W23&gt;0, X23/W23, 0)</f>
        <v/>
      </c>
      <c r="Z23" s="4">
        <f>IFERROR(SUMIFS(data!$E:$E, data!$A:$A, $A23, data!$B:$B, $B23), 0)</f>
        <v/>
      </c>
      <c r="AA23" s="5">
        <f>IFERROR(SUMIF(data!$B:$B, $B23, data!$F:$F), 0)</f>
        <v/>
      </c>
      <c r="AB23" s="5">
        <f>IF(Z23&gt;0, AA23/Z23, 0)</f>
        <v/>
      </c>
      <c r="AC23" s="4">
        <f>W23+Z23</f>
        <v/>
      </c>
      <c r="AD23" s="5">
        <f>X23+AA23</f>
        <v/>
      </c>
      <c r="AE23" s="5">
        <f>IF(AC23&gt;0, AD23/AC23, 0)</f>
        <v/>
      </c>
      <c r="AF23" s="19" t="n"/>
      <c r="AG23" s="19" t="n"/>
      <c r="AH23" s="19" t="n"/>
      <c r="AI23" s="19" t="n"/>
      <c r="AJ23" s="19" t="n"/>
      <c r="AK23" s="19" t="n"/>
      <c r="AL23" s="19" t="n"/>
    </row>
    <row r="24" ht="13.8" customHeight="1">
      <c r="A24" s="3" t="inlineStr">
        <is>
          <t>Nguyễn Chí Thanh</t>
        </is>
      </c>
      <c r="B24" s="3" t="inlineStr">
        <is>
          <t>Trần Hoàng Khánh</t>
        </is>
      </c>
      <c r="C24" s="6" t="inlineStr">
        <is>
          <t>DSCD</t>
        </is>
      </c>
      <c r="D24" s="5" t="n">
        <v>100000</v>
      </c>
      <c r="E24" s="5">
        <f>AE24</f>
        <v/>
      </c>
      <c r="F24" s="5">
        <f>IFERROR(ROUND(_xludf.LET(nt,$A24,nv,$B24,songay,DAY(EOMONTH($C$1,0)),doanhthungay,$I24,duan_nv,SUMIFS('Dự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4" s="5">
        <f>IFERROR(SUMIF('Dự án T9'!$B:$B, $B24, 'Dự án T9'!$D:$D), 0)</f>
        <v/>
      </c>
      <c r="H24" s="5">
        <f>Q24</f>
        <v/>
      </c>
      <c r="I24" s="5">
        <f>(AD24/DAY($C$1))</f>
        <v/>
      </c>
      <c r="J24" s="16">
        <f>_xlfn.XLOOKUP(B24, 'kpi nhà thuốc'!A:A, 'kpi nhà thuốc'!F:F, (AD24/DAY($C$1))/U24)</f>
        <v/>
      </c>
      <c r="K24" s="5">
        <f>_xlfn.XLOOKUP(B24, 'kpi nhà thuốc'!$A:$A, 'kpi nhà thuốc'!$G:$G, IF(AND(OR(C24="DSXC", C24="DSCD", C24="DSBC", C24="DSTV", C24="Q.CHT", C24="BC"), G24&gt;=F24), AD24 * _xlfn.IFS(AND(I24&gt;=T24, E24&gt;=D24), 0.015, I24&gt;=T24, 0.013, AND(I24&gt;=S24, E24&gt;=D24), 0.013, I24&gt;=S24, 0.011, AND(I24&gt;=R24, E24&gt;=D24), 0.012, I24&gt;=R24, 0.010, TRUE, 0), 0))</f>
        <v/>
      </c>
      <c r="L24" s="6">
        <f>IF(C24="DSTV","", IF(J24&lt;0.6, 0.8, 1))</f>
        <v/>
      </c>
      <c r="M24" s="5">
        <f>IFERROR(SUMIF('Dự án T9'!$B:$B, $B24, 'Dự án T9'!$M:$M)*$L24, 0)</f>
        <v/>
      </c>
      <c r="N24" s="17">
        <f>N(K24)+M24</f>
        <v/>
      </c>
      <c r="O24" s="18">
        <f>CEILING(R24, 100000)</f>
        <v/>
      </c>
      <c r="P24" s="18">
        <f>CEILING(S24, 100000)</f>
        <v/>
      </c>
      <c r="Q24" s="18">
        <f>CEILING(T24, 100000)</f>
        <v/>
      </c>
      <c r="R24" s="18">
        <f>U24*$R$2</f>
        <v/>
      </c>
      <c r="S24" s="18">
        <f>U24*$S$2</f>
        <v/>
      </c>
      <c r="T24" s="18">
        <f>U24*$T$2</f>
        <v/>
      </c>
      <c r="U24" s="5">
        <f>V24/DAY($C$1)</f>
        <v/>
      </c>
      <c r="V24" s="5" t="n">
        <v>112500000</v>
      </c>
      <c r="W24" s="4">
        <f>IFERROR(SUMIFS(data!$C:$C, data!$A:$A, $A24, data!$B:$B, $B24), 0)</f>
        <v/>
      </c>
      <c r="X24" s="5">
        <f>IFERROR(SUMIF(data!$B:$B, $B24, data!$D:$D), 0)</f>
        <v/>
      </c>
      <c r="Y24" s="5">
        <f>IF(W24&gt;0, X24/W24, 0)</f>
        <v/>
      </c>
      <c r="Z24" s="4">
        <f>IFERROR(SUMIFS(data!$E:$E, data!$A:$A, $A24, data!$B:$B, $B24), 0)</f>
        <v/>
      </c>
      <c r="AA24" s="5">
        <f>IFERROR(SUMIF(data!$B:$B, $B24, data!$F:$F), 0)</f>
        <v/>
      </c>
      <c r="AB24" s="5">
        <f>IF(Z24&gt;0, AA24/Z24, 0)</f>
        <v/>
      </c>
      <c r="AC24" s="4">
        <f>W24+Z24</f>
        <v/>
      </c>
      <c r="AD24" s="5">
        <f>X24+AA24</f>
        <v/>
      </c>
      <c r="AE24" s="5">
        <f>IF(AC24&gt;0, AD24/AC24, 0)</f>
        <v/>
      </c>
      <c r="AF24" s="19" t="n"/>
      <c r="AG24" s="19" t="n"/>
      <c r="AH24" s="19" t="n"/>
      <c r="AI24" s="19" t="n"/>
      <c r="AJ24" s="19" t="n"/>
      <c r="AK24" s="19" t="n"/>
      <c r="AL24" s="19" t="n"/>
    </row>
    <row r="25" ht="13.8" customHeight="1">
      <c r="A25" s="3" t="inlineStr">
        <is>
          <t>Nguyễn Chí Thanh</t>
        </is>
      </c>
      <c r="B25" s="3" t="inlineStr">
        <is>
          <t>Lý Thục Mi</t>
        </is>
      </c>
      <c r="C25" s="6" t="inlineStr">
        <is>
          <t>DSXC (TV)</t>
        </is>
      </c>
      <c r="D25" s="5" t="n">
        <v>50000</v>
      </c>
      <c r="E25" s="5">
        <f>AE25</f>
        <v/>
      </c>
      <c r="F25" s="5">
        <f>IFERROR(ROUND(_xludf.LET(nt,$A25,nv,$B25,songay,DAY(EOMONTH($C$1,0)),doanhthungay,$I25,duan_nv,SUMIFS('Dự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5" s="5">
        <f>IFERROR(SUMIF('Dự án T9'!$B:$B, $B25, 'Dự án T9'!$D:$D), 0)</f>
        <v/>
      </c>
      <c r="H25" s="5">
        <f>Q25</f>
        <v/>
      </c>
      <c r="I25" s="5">
        <f>(AD25/DAY($C$1))</f>
        <v/>
      </c>
      <c r="J25" s="16">
        <f>_xlfn.XLOOKUP(B25, 'kpi nhà thuốc'!A:A, 'kpi nhà thuốc'!F:F, (AD25/DAY($C$1))/U25)</f>
        <v/>
      </c>
      <c r="K25" s="5">
        <f>_xlfn.XLOOKUP(B25, 'kpi nhà thuốc'!$A:$A, 'kpi nhà thuốc'!$G:$G, IF(AND(OR(C25="DSXC", C25="DSCD", C25="DSBC", C25="DSTV", C25="Q.CHT", C25="BC"), G25&gt;=F25), AD25 * _xlfn.IFS(AND(I25&gt;=T25, E25&gt;=D25), 0.015, I25&gt;=T25, 0.013, AND(I25&gt;=S25, E25&gt;=D25), 0.013, I25&gt;=S25, 0.011, AND(I25&gt;=R25, E25&gt;=D25), 0.012, I25&gt;=R25, 0.010, TRUE, 0), 0))</f>
        <v/>
      </c>
      <c r="L25" s="6">
        <f>IF(C25="DSTV","", IF(J25&lt;0.6, 0.8, 1))</f>
        <v/>
      </c>
      <c r="M25" s="5">
        <f>IFERROR(SUMIF('Dự án T9'!$B:$B, $B25, 'Dự án T9'!$M:$M)*$L25, 0)</f>
        <v/>
      </c>
      <c r="N25" s="17">
        <f>N(K25)+M25</f>
        <v/>
      </c>
      <c r="O25" s="18">
        <f>CEILING(R25, 100000)</f>
        <v/>
      </c>
      <c r="P25" s="18">
        <f>CEILING(S25, 100000)</f>
        <v/>
      </c>
      <c r="Q25" s="18">
        <f>CEILING(T25, 100000)</f>
        <v/>
      </c>
      <c r="R25" s="18">
        <f>U25*$R$2</f>
        <v/>
      </c>
      <c r="S25" s="18">
        <f>U25*$S$2</f>
        <v/>
      </c>
      <c r="T25" s="18">
        <f>U25*$T$2</f>
        <v/>
      </c>
      <c r="U25" s="5">
        <f>V25/DAY($C$1)</f>
        <v/>
      </c>
      <c r="V25" s="5" t="n">
        <v>70000000</v>
      </c>
      <c r="W25" s="4">
        <f>IFERROR(SUMIFS(data!$C:$C, data!$A:$A, $A25, data!$B:$B, $B25), 0)</f>
        <v/>
      </c>
      <c r="X25" s="5">
        <f>IFERROR(SUMIF(data!$B:$B, $B25, data!$D:$D), 0)</f>
        <v/>
      </c>
      <c r="Y25" s="5">
        <f>IF(W25&gt;0, X25/W25, 0)</f>
        <v/>
      </c>
      <c r="Z25" s="4">
        <f>IFERROR(SUMIFS(data!$E:$E, data!$A:$A, $A25, data!$B:$B, $B25), 0)</f>
        <v/>
      </c>
      <c r="AA25" s="5">
        <f>IFERROR(SUMIF(data!$B:$B, $B25, data!$F:$F), 0)</f>
        <v/>
      </c>
      <c r="AB25" s="5">
        <f>IF(Z25&gt;0, AA25/Z25, 0)</f>
        <v/>
      </c>
      <c r="AC25" s="4">
        <f>W25+Z25</f>
        <v/>
      </c>
      <c r="AD25" s="5">
        <f>X25+AA25</f>
        <v/>
      </c>
      <c r="AE25" s="5">
        <f>IF(AC25&gt;0, AD25/AC25, 0)</f>
        <v/>
      </c>
      <c r="AF25" s="19" t="n"/>
      <c r="AG25" s="19" t="n"/>
      <c r="AH25" s="19" t="n"/>
      <c r="AI25" s="19" t="n"/>
      <c r="AJ25" s="19" t="n"/>
      <c r="AK25" s="19" t="n"/>
      <c r="AL25" s="19" t="n"/>
    </row>
    <row r="26" ht="13.8" customHeight="1">
      <c r="A26" s="3" t="inlineStr">
        <is>
          <t>Nguyễn Thị Thập</t>
        </is>
      </c>
      <c r="B26" s="3" t="inlineStr">
        <is>
          <t>Trần Thành Đạt</t>
        </is>
      </c>
      <c r="C26" s="6" t="inlineStr">
        <is>
          <t>DSCD</t>
        </is>
      </c>
      <c r="D26" s="5" t="n">
        <v>120000</v>
      </c>
      <c r="E26" s="5">
        <f>AE26</f>
        <v/>
      </c>
      <c r="F26" s="5">
        <f>IFERROR(ROUND(_xludf.LET(nt,$A26,nv,$B26,songay,DAY(EOMONTH($C$1,0)),doanhthungay,$I26,duan_nv,SUMIFS('Dự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6" s="5">
        <f>IFERROR(SUMIF('Dự án T9'!$B:$B, $B26, 'Dự án T9'!$D:$D), 0)</f>
        <v/>
      </c>
      <c r="H26" s="5">
        <f>Q26</f>
        <v/>
      </c>
      <c r="I26" s="5">
        <f>(AD26/DAY($C$1))</f>
        <v/>
      </c>
      <c r="J26" s="16">
        <f>_xlfn.XLOOKUP(B26, 'kpi nhà thuốc'!A:A, 'kpi nhà thuốc'!F:F, (AD26/DAY($C$1))/U26)</f>
        <v/>
      </c>
      <c r="K26" s="5">
        <f>_xlfn.XLOOKUP(B26, 'kpi nhà thuốc'!$A:$A, 'kpi nhà thuốc'!$G:$G, IF(AND(OR(C26="DSXC", C26="DSCD", C26="DSBC", C26="DSTV", C26="Q.CHT", C26="BC"), G26&gt;=F26), AD26 * _xlfn.IFS(AND(I26&gt;=T26, E26&gt;=D26), 0.015, I26&gt;=T26, 0.013, AND(I26&gt;=S26, E26&gt;=D26), 0.013, I26&gt;=S26, 0.011, AND(I26&gt;=R26, E26&gt;=D26), 0.012, I26&gt;=R26, 0.010, TRUE, 0), 0))</f>
        <v/>
      </c>
      <c r="L26" s="6">
        <f>IF(C26="DSTV","", IF(J26&lt;0.6, 0.8, 1))</f>
        <v/>
      </c>
      <c r="M26" s="5">
        <f>IFERROR(SUMIF('Dự án T9'!$B:$B, $B26, 'Dự án T9'!$M:$M)*$L26, 0)</f>
        <v/>
      </c>
      <c r="N26" s="17">
        <f>N(K26)+M26</f>
        <v/>
      </c>
      <c r="O26" s="18">
        <f>CEILING(R26, 100000)</f>
        <v/>
      </c>
      <c r="P26" s="18">
        <f>CEILING(S26, 100000)</f>
        <v/>
      </c>
      <c r="Q26" s="18">
        <f>CEILING(T26, 100000)</f>
        <v/>
      </c>
      <c r="R26" s="18">
        <f>U26*$R$2</f>
        <v/>
      </c>
      <c r="S26" s="18">
        <f>U26*$S$2</f>
        <v/>
      </c>
      <c r="T26" s="18">
        <f>U26*$T$2</f>
        <v/>
      </c>
      <c r="U26" s="5">
        <f>V26/DAY($C$1)</f>
        <v/>
      </c>
      <c r="V26" s="5" t="n">
        <v>158000000</v>
      </c>
      <c r="W26" s="4">
        <f>IFERROR(SUMIFS(data!$C:$C, data!$A:$A, $A26, data!$B:$B, $B26), 0)</f>
        <v/>
      </c>
      <c r="X26" s="5">
        <f>IFERROR(SUMIF(data!$B:$B, $B26, data!$D:$D), 0)</f>
        <v/>
      </c>
      <c r="Y26" s="5">
        <f>IF(W26&gt;0, X26/W26, 0)</f>
        <v/>
      </c>
      <c r="Z26" s="4">
        <f>IFERROR(SUMIFS(data!$E:$E, data!$A:$A, $A26, data!$B:$B, $B26), 0)</f>
        <v/>
      </c>
      <c r="AA26" s="5">
        <f>IFERROR(SUMIF(data!$B:$B, $B26, data!$F:$F), 0)</f>
        <v/>
      </c>
      <c r="AB26" s="5">
        <f>IF(Z26&gt;0, AA26/Z26, 0)</f>
        <v/>
      </c>
      <c r="AC26" s="4">
        <f>W26+Z26</f>
        <v/>
      </c>
      <c r="AD26" s="5">
        <f>X26+AA26</f>
        <v/>
      </c>
      <c r="AE26" s="5">
        <f>IF(AC26&gt;0, AD26/AC26, 0)</f>
        <v/>
      </c>
      <c r="AF26" s="19" t="n"/>
      <c r="AG26" s="19" t="n"/>
      <c r="AH26" s="19" t="n"/>
      <c r="AI26" s="19" t="n"/>
      <c r="AJ26" s="19" t="n"/>
      <c r="AK26" s="19" t="n"/>
      <c r="AL26" s="19" t="n"/>
    </row>
    <row r="27" ht="13.8" customHeight="1">
      <c r="A27" s="3" t="inlineStr">
        <is>
          <t>Nguyễn Thị Thập</t>
        </is>
      </c>
      <c r="B27" s="3" t="inlineStr">
        <is>
          <t>Triệu Thị Ngọc Lý</t>
        </is>
      </c>
      <c r="C27" s="6" t="inlineStr">
        <is>
          <t>CHT</t>
        </is>
      </c>
      <c r="D27" s="5" t="n">
        <v>200000</v>
      </c>
      <c r="E27" s="5">
        <f>AE27</f>
        <v/>
      </c>
      <c r="F27" s="5">
        <f>IFERROR(ROUND(_xludf.LET(nt,$A27,nv,$B27,songay,DAY(EOMONTH($C$1,0)),doanhthungay,$I27,duan_nv,SUMIFS('Dự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7" s="5">
        <f>IFERROR(SUMIF('Dự án T9'!$B:$B, $B27, 'Dự án T9'!$D:$D), 0)</f>
        <v/>
      </c>
      <c r="H27" s="5">
        <f>Q27</f>
        <v/>
      </c>
      <c r="I27" s="5">
        <f>(AD27/DAY($C$1))</f>
        <v/>
      </c>
      <c r="J27" s="16">
        <f>_xlfn.XLOOKUP(B27, 'kpi nhà thuốc'!A:A, 'kpi nhà thuốc'!F:F, (AD27/DAY($C$1))/U27)</f>
        <v/>
      </c>
      <c r="K27" s="5">
        <f>_xlfn.XLOOKUP(B27, 'kpi nhà thuốc'!$A:$A, 'kpi nhà thuốc'!$G:$G, IF(AND(OR(C27="DSXC", C27="DSCD", C27="DSBC", C27="DSTV", C27="Q.CHT", C27="BC"), G27&gt;=F27), AD27 * _xlfn.IFS(AND(I27&gt;=T27, E27&gt;=D27), 0.015, I27&gt;=T27, 0.013, AND(I27&gt;=S27, E27&gt;=D27), 0.013, I27&gt;=S27, 0.011, AND(I27&gt;=R27, E27&gt;=D27), 0.012, I27&gt;=R27, 0.010, TRUE, 0), 0))</f>
        <v/>
      </c>
      <c r="L27" s="6">
        <f>IF(C27="DSTV","", IF(J27&lt;0.6, 0.8, 1))</f>
        <v/>
      </c>
      <c r="M27" s="5">
        <f>IFERROR(SUMIF('Dự án T9'!$B:$B, $B27, 'Dự án T9'!$M:$M)*$L27, 0)</f>
        <v/>
      </c>
      <c r="N27" s="17">
        <f>N(K27)+M27</f>
        <v/>
      </c>
      <c r="O27" s="18">
        <f>CEILING(R27, 100000)</f>
        <v/>
      </c>
      <c r="P27" s="18">
        <f>CEILING(S27, 100000)</f>
        <v/>
      </c>
      <c r="Q27" s="18">
        <f>CEILING(T27, 100000)</f>
        <v/>
      </c>
      <c r="R27" s="18">
        <f>U27*$R$2</f>
        <v/>
      </c>
      <c r="S27" s="18">
        <f>U27*$S$2</f>
        <v/>
      </c>
      <c r="T27" s="18">
        <f>U27*$T$2</f>
        <v/>
      </c>
      <c r="U27" s="5">
        <f>V27/DAY($C$1)</f>
        <v/>
      </c>
      <c r="V27" s="5" t="n">
        <v>158000000</v>
      </c>
      <c r="W27" s="4">
        <f>IFERROR(SUMIFS(data!$C:$C, data!$A:$A, $A27, data!$B:$B, $B27), 0)</f>
        <v/>
      </c>
      <c r="X27" s="5">
        <f>IFERROR(SUMIF(data!$B:$B, $B27, data!$D:$D), 0)</f>
        <v/>
      </c>
      <c r="Y27" s="5">
        <f>IF(W27&gt;0, X27/W27, 0)</f>
        <v/>
      </c>
      <c r="Z27" s="4">
        <f>IFERROR(SUMIFS(data!$E:$E, data!$A:$A, $A27, data!$B:$B, $B27), 0)</f>
        <v/>
      </c>
      <c r="AA27" s="5">
        <f>IFERROR(SUMIF(data!$B:$B, $B27, data!$F:$F), 0)</f>
        <v/>
      </c>
      <c r="AB27" s="5">
        <f>IF(Z27&gt;0, AA27/Z27, 0)</f>
        <v/>
      </c>
      <c r="AC27" s="4">
        <f>W27+Z27</f>
        <v/>
      </c>
      <c r="AD27" s="5">
        <f>X27+AA27</f>
        <v/>
      </c>
      <c r="AE27" s="5">
        <f>IF(AC27&gt;0, AD27/AC27, 0)</f>
        <v/>
      </c>
      <c r="AF27" s="19" t="n"/>
      <c r="AG27" s="19" t="n"/>
      <c r="AH27" s="19" t="n"/>
      <c r="AI27" s="19" t="n"/>
      <c r="AJ27" s="19" t="n"/>
      <c r="AK27" s="19" t="n"/>
      <c r="AL27" s="19" t="n"/>
    </row>
    <row r="28" ht="13.8" customHeight="1">
      <c r="A28" s="3" t="inlineStr">
        <is>
          <t>Nguyễn Thị Thập</t>
        </is>
      </c>
      <c r="B28" s="3" t="inlineStr">
        <is>
          <t>Cao Trọng Nhân</t>
        </is>
      </c>
      <c r="C28" s="6" t="inlineStr">
        <is>
          <t>DSCD</t>
        </is>
      </c>
      <c r="D28" s="5" t="n">
        <v>194000</v>
      </c>
      <c r="E28" s="5">
        <f>AE28</f>
        <v/>
      </c>
      <c r="F28" s="5">
        <f>IFERROR(ROUND(_xludf.LET(nt,$A28,nv,$B28,songay,DAY(EOMONTH($C$1,0)),doanhthungay,$I28,duan_nv,SUMIFS('Dự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8" s="5">
        <f>IFERROR(SUMIF('Dự án T9'!$B:$B, $B28, 'Dự án T9'!$D:$D), 0)</f>
        <v/>
      </c>
      <c r="H28" s="5">
        <f>Q28</f>
        <v/>
      </c>
      <c r="I28" s="5">
        <f>(AD28/DAY($C$1))</f>
        <v/>
      </c>
      <c r="J28" s="16">
        <f>_xlfn.XLOOKUP(B28, 'kpi nhà thuốc'!A:A, 'kpi nhà thuốc'!F:F, (AD28/DAY($C$1))/U28)</f>
        <v/>
      </c>
      <c r="K28" s="5">
        <f>_xlfn.XLOOKUP(B28, 'kpi nhà thuốc'!$A:$A, 'kpi nhà thuốc'!$G:$G, IF(AND(OR(C28="DSXC", C28="DSCD", C28="DSBC", C28="DSTV", C28="Q.CHT", C28="BC"), G28&gt;=F28), AD28 * _xlfn.IFS(AND(I28&gt;=T28, E28&gt;=D28), 0.015, I28&gt;=T28, 0.013, AND(I28&gt;=S28, E28&gt;=D28), 0.013, I28&gt;=S28, 0.011, AND(I28&gt;=R28, E28&gt;=D28), 0.012, I28&gt;=R28, 0.010, TRUE, 0), 0))</f>
        <v/>
      </c>
      <c r="L28" s="6">
        <f>IF(C28="DSTV","", IF(J28&lt;0.6, 0.8, 1))</f>
        <v/>
      </c>
      <c r="M28" s="5">
        <f>IFERROR(SUMIF('Dự án T9'!$B:$B, $B28, 'Dự án T9'!$M:$M)*$L28, 0)</f>
        <v/>
      </c>
      <c r="N28" s="17">
        <f>N(K28)+M28</f>
        <v/>
      </c>
      <c r="O28" s="18">
        <f>CEILING(R28, 100000)</f>
        <v/>
      </c>
      <c r="P28" s="18">
        <f>CEILING(S28, 100000)</f>
        <v/>
      </c>
      <c r="Q28" s="18">
        <f>CEILING(T28, 100000)</f>
        <v/>
      </c>
      <c r="R28" s="18">
        <f>U28*$R$2</f>
        <v/>
      </c>
      <c r="S28" s="18">
        <f>U28*$S$2</f>
        <v/>
      </c>
      <c r="T28" s="18">
        <f>U28*$T$2</f>
        <v/>
      </c>
      <c r="U28" s="5">
        <f>V28/DAY($C$1)</f>
        <v/>
      </c>
      <c r="V28" s="5" t="n">
        <v>158000000</v>
      </c>
      <c r="W28" s="4">
        <f>IFERROR(SUMIFS(data!$C:$C, data!$A:$A, $A28, data!$B:$B, $B28), 0)</f>
        <v/>
      </c>
      <c r="X28" s="5">
        <f>IFERROR(SUMIF(data!$B:$B, $B28, data!$D:$D), 0)</f>
        <v/>
      </c>
      <c r="Y28" s="5">
        <f>IF(W28&gt;0, X28/W28, 0)</f>
        <v/>
      </c>
      <c r="Z28" s="4">
        <f>IFERROR(SUMIFS(data!$E:$E, data!$A:$A, $A28, data!$B:$B, $B28), 0)</f>
        <v/>
      </c>
      <c r="AA28" s="5">
        <f>IFERROR(SUMIF(data!$B:$B, $B28, data!$F:$F), 0)</f>
        <v/>
      </c>
      <c r="AB28" s="5">
        <f>IF(Z28&gt;0, AA28/Z28, 0)</f>
        <v/>
      </c>
      <c r="AC28" s="4">
        <f>W28+Z28</f>
        <v/>
      </c>
      <c r="AD28" s="5">
        <f>X28+AA28</f>
        <v/>
      </c>
      <c r="AE28" s="5">
        <f>IF(AC28&gt;0, AD28/AC28, 0)</f>
        <v/>
      </c>
      <c r="AF28" s="19" t="n"/>
      <c r="AG28" s="19" t="n"/>
      <c r="AH28" s="19" t="n"/>
      <c r="AI28" s="19" t="n"/>
      <c r="AJ28" s="19" t="n"/>
      <c r="AK28" s="19" t="n"/>
      <c r="AL28" s="19" t="n"/>
    </row>
    <row r="29" ht="13.8" customHeight="1">
      <c r="A29" s="3" t="inlineStr">
        <is>
          <t>Nguyễn Thị Thập</t>
        </is>
      </c>
      <c r="B29" s="3" t="inlineStr">
        <is>
          <t>Bùi Thị Bích Trâm</t>
        </is>
      </c>
      <c r="C29" s="6" t="inlineStr">
        <is>
          <t>DSHV</t>
        </is>
      </c>
      <c r="D29" s="5" t="n">
        <v>250000</v>
      </c>
      <c r="E29" s="5">
        <f>AE29</f>
        <v/>
      </c>
      <c r="F29" s="5">
        <f>IFERROR(ROUND(_xludf.LET(nt,$A29,nv,$B29,songay,DAY(EOMONTH($C$1,0)),doanhthungay,$I29,duan_nv,SUMIFS('Dự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29" s="5">
        <f>IFERROR(SUMIF('Dự án T9'!$B:$B, $B29, 'Dự án T9'!$D:$D), 0)</f>
        <v/>
      </c>
      <c r="H29" s="5">
        <f>Q29</f>
        <v/>
      </c>
      <c r="I29" s="5">
        <f>(AD29/DAY($C$1))</f>
        <v/>
      </c>
      <c r="J29" s="16">
        <f>_xlfn.XLOOKUP(B29, 'kpi nhà thuốc'!A:A, 'kpi nhà thuốc'!F:F, (AD29/DAY($C$1))/U29)</f>
        <v/>
      </c>
      <c r="K29" s="5">
        <f>_xlfn.XLOOKUP(B29, 'kpi nhà thuốc'!$A:$A, 'kpi nhà thuốc'!$G:$G, IF(AND(OR(C29="DSXC", C29="DSCD", C29="DSBC", C29="DSTV", C29="Q.CHT", C29="BC"), G29&gt;=F29), AD29 * _xlfn.IFS(AND(I29&gt;=T29, E29&gt;=D29), 0.015, I29&gt;=T29, 0.013, AND(I29&gt;=S29, E29&gt;=D29), 0.013, I29&gt;=S29, 0.011, AND(I29&gt;=R29, E29&gt;=D29), 0.012, I29&gt;=R29, 0.010, TRUE, 0), 0))</f>
        <v/>
      </c>
      <c r="L29" s="6">
        <f>IF(C29="DSTV","", IF(J29&lt;0.6, 0.8, 1))</f>
        <v/>
      </c>
      <c r="M29" s="5">
        <f>IFERROR(SUMIF('Dự án T9'!$B:$B, $B29, 'Dự án T9'!$M:$M)*$L29, 0)</f>
        <v/>
      </c>
      <c r="N29" s="17">
        <f>N(K29)+M29</f>
        <v/>
      </c>
      <c r="O29" s="18">
        <f>CEILING(R29, 100000)</f>
        <v/>
      </c>
      <c r="P29" s="18">
        <f>CEILING(S29, 100000)</f>
        <v/>
      </c>
      <c r="Q29" s="18">
        <f>CEILING(T29, 100000)</f>
        <v/>
      </c>
      <c r="R29" s="18">
        <f>U29*$R$2</f>
        <v/>
      </c>
      <c r="S29" s="18">
        <f>U29*$S$2</f>
        <v/>
      </c>
      <c r="T29" s="18">
        <f>U29*$T$2</f>
        <v/>
      </c>
      <c r="U29" s="5">
        <f>V29/DAY($C$1)</f>
        <v/>
      </c>
      <c r="V29" s="5" t="n">
        <v>71000000</v>
      </c>
      <c r="W29" s="4">
        <f>IFERROR(SUMIFS(data!$C:$C, data!$A:$A, $A29, data!$B:$B, $B29), 0)</f>
        <v/>
      </c>
      <c r="X29" s="5">
        <f>IFERROR(SUMIF(data!$B:$B, $B29, data!$D:$D), 0)</f>
        <v/>
      </c>
      <c r="Y29" s="5">
        <f>IF(W29&gt;0, X29/W29, 0)</f>
        <v/>
      </c>
      <c r="Z29" s="4">
        <f>IFERROR(SUMIFS(data!$E:$E, data!$A:$A, $A29, data!$B:$B, $B29), 0)</f>
        <v/>
      </c>
      <c r="AA29" s="5">
        <f>IFERROR(SUMIF(data!$B:$B, $B29, data!$F:$F), 0)</f>
        <v/>
      </c>
      <c r="AB29" s="5">
        <f>IF(Z29&gt;0, AA29/Z29, 0)</f>
        <v/>
      </c>
      <c r="AC29" s="4">
        <f>W29+Z29</f>
        <v/>
      </c>
      <c r="AD29" s="5">
        <f>X29+AA29</f>
        <v/>
      </c>
      <c r="AE29" s="5">
        <f>IF(AC29&gt;0, AD29/AC29, 0)</f>
        <v/>
      </c>
      <c r="AF29" s="19" t="n"/>
      <c r="AG29" s="19" t="n"/>
      <c r="AH29" s="19" t="n"/>
      <c r="AI29" s="19" t="n"/>
      <c r="AJ29" s="19" t="n"/>
      <c r="AK29" s="19" t="n"/>
      <c r="AL29" s="19" t="n"/>
    </row>
    <row r="30" ht="13.8" customHeight="1">
      <c r="A30" s="3" t="inlineStr">
        <is>
          <t>Nguyễn Văn Quá</t>
        </is>
      </c>
      <c r="B30" s="3" t="inlineStr">
        <is>
          <t>Hồ Ngọc Lý</t>
        </is>
      </c>
      <c r="C30" s="6" t="inlineStr">
        <is>
          <t>DSCD</t>
        </is>
      </c>
      <c r="D30" s="5" t="n">
        <v>104000</v>
      </c>
      <c r="E30" s="5">
        <f>AE30</f>
        <v/>
      </c>
      <c r="F30" s="5">
        <f>IFERROR(ROUND(_xludf.LET(nt,$A30,nv,$B30,songay,DAY(EOMONTH($C$1,0)),doanhthungay,$I30,duan_nv,SUMIFS('Dự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0" s="5">
        <f>IFERROR(SUMIF('Dự án T9'!$B:$B, $B30, 'Dự án T9'!$D:$D), 0)</f>
        <v/>
      </c>
      <c r="H30" s="5">
        <f>Q30</f>
        <v/>
      </c>
      <c r="I30" s="5">
        <f>(AD30/DAY($C$1))</f>
        <v/>
      </c>
      <c r="J30" s="16">
        <f>_xlfn.XLOOKUP(B30, 'kpi nhà thuốc'!A:A, 'kpi nhà thuốc'!F:F, (AD30/DAY($C$1))/U30)</f>
        <v/>
      </c>
      <c r="K30" s="5">
        <f>_xlfn.XLOOKUP(B30, 'kpi nhà thuốc'!$A:$A, 'kpi nhà thuốc'!$G:$G, IF(AND(OR(C30="DSXC", C30="DSCD", C30="DSBC", C30="DSTV", C30="Q.CHT", C30="BC"), G30&gt;=F30), AD30 * _xlfn.IFS(AND(I30&gt;=T30, E30&gt;=D30), 0.015, I30&gt;=T30, 0.013, AND(I30&gt;=S30, E30&gt;=D30), 0.013, I30&gt;=S30, 0.011, AND(I30&gt;=R30, E30&gt;=D30), 0.012, I30&gt;=R30, 0.010, TRUE, 0), 0))</f>
        <v/>
      </c>
      <c r="L30" s="6">
        <f>IF(C30="DSTV","", IF(J30&lt;0.6, 0.8, 1))</f>
        <v/>
      </c>
      <c r="M30" s="5">
        <f>IFERROR(SUMIF('Dự án T9'!$B:$B, $B30, 'Dự án T9'!$M:$M)*$L30, 0)</f>
        <v/>
      </c>
      <c r="N30" s="17">
        <f>N(K30)+M30</f>
        <v/>
      </c>
      <c r="O30" s="18">
        <f>CEILING(R30, 100000)</f>
        <v/>
      </c>
      <c r="P30" s="18">
        <f>CEILING(S30, 100000)</f>
        <v/>
      </c>
      <c r="Q30" s="18">
        <f>CEILING(T30, 100000)</f>
        <v/>
      </c>
      <c r="R30" s="18">
        <f>U30*$R$2</f>
        <v/>
      </c>
      <c r="S30" s="18">
        <f>U30*$S$2</f>
        <v/>
      </c>
      <c r="T30" s="18">
        <f>U30*$T$2</f>
        <v/>
      </c>
      <c r="U30" s="5">
        <f>V30/DAY($C$1)</f>
        <v/>
      </c>
      <c r="V30" s="5" t="n">
        <v>87500000</v>
      </c>
      <c r="W30" s="4">
        <f>IFERROR(SUMIFS(data!$C:$C, data!$A:$A, $A30, data!$B:$B, $B30), 0)</f>
        <v/>
      </c>
      <c r="X30" s="5">
        <f>IFERROR(SUMIF(data!$B:$B, $B30, data!$D:$D), 0)</f>
        <v/>
      </c>
      <c r="Y30" s="5">
        <f>IF(W30&gt;0, X30/W30, 0)</f>
        <v/>
      </c>
      <c r="Z30" s="4">
        <f>IFERROR(SUMIFS(data!$E:$E, data!$A:$A, $A30, data!$B:$B, $B30), 0)</f>
        <v/>
      </c>
      <c r="AA30" s="5">
        <f>IFERROR(SUMIF(data!$B:$B, $B30, data!$F:$F), 0)</f>
        <v/>
      </c>
      <c r="AB30" s="5">
        <f>IF(Z30&gt;0, AA30/Z30, 0)</f>
        <v/>
      </c>
      <c r="AC30" s="4">
        <f>W30+Z30</f>
        <v/>
      </c>
      <c r="AD30" s="5">
        <f>X30+AA30</f>
        <v/>
      </c>
      <c r="AE30" s="5">
        <f>IF(AC30&gt;0, AD30/AC30, 0)</f>
        <v/>
      </c>
      <c r="AF30" s="19" t="n"/>
      <c r="AG30" s="19" t="n"/>
      <c r="AH30" s="19" t="n"/>
      <c r="AI30" s="19" t="n"/>
      <c r="AJ30" s="19" t="n"/>
      <c r="AK30" s="19" t="n"/>
      <c r="AL30" s="19" t="n"/>
    </row>
    <row r="31" ht="13.8" customHeight="1">
      <c r="A31" s="3" t="inlineStr">
        <is>
          <t>Nguyễn Văn Quá</t>
        </is>
      </c>
      <c r="B31" s="3" t="inlineStr">
        <is>
          <t>Võ Ngọc Giàu Sang</t>
        </is>
      </c>
      <c r="C31" s="6" t="inlineStr">
        <is>
          <t>DSCD</t>
        </is>
      </c>
      <c r="D31" s="5" t="n">
        <v>157000</v>
      </c>
      <c r="E31" s="5">
        <f>AE31</f>
        <v/>
      </c>
      <c r="F31" s="5">
        <f>IFERROR(ROUND(_xludf.LET(nt,$A31,nv,$B31,songay,DAY(EOMONTH($C$1,0)),doanhthungay,$I31,duan_nv,SUMIFS('Dự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1" s="5">
        <f>IFERROR(SUMIF('Dự án T9'!$B:$B, $B31, 'Dự án T9'!$D:$D), 0)</f>
        <v/>
      </c>
      <c r="H31" s="5">
        <f>Q31</f>
        <v/>
      </c>
      <c r="I31" s="5">
        <f>(AD31/DAY($C$1))</f>
        <v/>
      </c>
      <c r="J31" s="16">
        <f>_xlfn.XLOOKUP(B31, 'kpi nhà thuốc'!A:A, 'kpi nhà thuốc'!F:F, (AD31/DAY($C$1))/U31)</f>
        <v/>
      </c>
      <c r="K31" s="5">
        <f>_xlfn.XLOOKUP(B31, 'kpi nhà thuốc'!$A:$A, 'kpi nhà thuốc'!$G:$G, IF(AND(OR(C31="DSXC", C31="DSCD", C31="DSBC", C31="DSTV", C31="Q.CHT", C31="BC"), G31&gt;=F31), AD31 * _xlfn.IFS(AND(I31&gt;=T31, E31&gt;=D31), 0.015, I31&gt;=T31, 0.013, AND(I31&gt;=S31, E31&gt;=D31), 0.013, I31&gt;=S31, 0.011, AND(I31&gt;=R31, E31&gt;=D31), 0.012, I31&gt;=R31, 0.010, TRUE, 0), 0))</f>
        <v/>
      </c>
      <c r="L31" s="6">
        <f>IF(C31="DSTV","", IF(J31&lt;0.6, 0.8, 1))</f>
        <v/>
      </c>
      <c r="M31" s="5">
        <f>IFERROR(SUMIF('Dự án T9'!$B:$B, $B31, 'Dự án T9'!$M:$M)*$L31, 0)</f>
        <v/>
      </c>
      <c r="N31" s="17">
        <f>N(K31)+M31</f>
        <v/>
      </c>
      <c r="O31" s="18">
        <f>CEILING(R31, 100000)</f>
        <v/>
      </c>
      <c r="P31" s="18">
        <f>CEILING(S31, 100000)</f>
        <v/>
      </c>
      <c r="Q31" s="18">
        <f>CEILING(T31, 100000)</f>
        <v/>
      </c>
      <c r="R31" s="18">
        <f>U31*$R$2</f>
        <v/>
      </c>
      <c r="S31" s="18">
        <f>U31*$S$2</f>
        <v/>
      </c>
      <c r="T31" s="18">
        <f>U31*$T$2</f>
        <v/>
      </c>
      <c r="U31" s="5">
        <f>V31/DAY($C$1)</f>
        <v/>
      </c>
      <c r="V31" s="5" t="n">
        <v>87500000</v>
      </c>
      <c r="W31" s="4">
        <f>IFERROR(SUMIFS(data!$C:$C, data!$A:$A, $A31, data!$B:$B, $B31), 0)</f>
        <v/>
      </c>
      <c r="X31" s="5">
        <f>IFERROR(SUMIF(data!$B:$B, $B31, data!$D:$D), 0)</f>
        <v/>
      </c>
      <c r="Y31" s="5">
        <f>IF(W31&gt;0, X31/W31, 0)</f>
        <v/>
      </c>
      <c r="Z31" s="4">
        <f>IFERROR(SUMIFS(data!$E:$E, data!$A:$A, $A31, data!$B:$B, $B31), 0)</f>
        <v/>
      </c>
      <c r="AA31" s="5">
        <f>IFERROR(SUMIF(data!$B:$B, $B31, data!$F:$F), 0)</f>
        <v/>
      </c>
      <c r="AB31" s="5">
        <f>IF(Z31&gt;0, AA31/Z31, 0)</f>
        <v/>
      </c>
      <c r="AC31" s="4">
        <f>W31+Z31</f>
        <v/>
      </c>
      <c r="AD31" s="5">
        <f>X31+AA31</f>
        <v/>
      </c>
      <c r="AE31" s="5">
        <f>IF(AC31&gt;0, AD31/AC31, 0)</f>
        <v/>
      </c>
      <c r="AF31" s="19" t="n"/>
      <c r="AG31" s="19" t="n"/>
      <c r="AH31" s="19" t="n"/>
      <c r="AI31" s="19" t="n"/>
      <c r="AJ31" s="19" t="n"/>
      <c r="AK31" s="19" t="n"/>
      <c r="AL31" s="19" t="n"/>
    </row>
    <row r="32" ht="13.8" customHeight="1">
      <c r="A32" s="3" t="inlineStr">
        <is>
          <t>Nguyễn Văn Quá</t>
        </is>
      </c>
      <c r="B32" s="3" t="inlineStr">
        <is>
          <t>Nguyễn Thị Thu Huyền</t>
        </is>
      </c>
      <c r="C32" s="6" t="inlineStr">
        <is>
          <t>DSCD</t>
        </is>
      </c>
      <c r="D32" s="5" t="n">
        <v>170000</v>
      </c>
      <c r="E32" s="5">
        <f>AE32</f>
        <v/>
      </c>
      <c r="F32" s="5">
        <f>IFERROR(ROUND(_xludf.LET(nt,$A32,nv,$B32,songay,DAY(EOMONTH($C$1,0)),doanhthungay,$I32,duan_nv,SUMIFS('Dự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2" s="5">
        <f>IFERROR(SUMIF('Dự án T9'!$B:$B, $B32, 'Dự án T9'!$D:$D), 0)</f>
        <v/>
      </c>
      <c r="H32" s="5">
        <f>Q32</f>
        <v/>
      </c>
      <c r="I32" s="5">
        <f>(AD32/DAY($C$1))</f>
        <v/>
      </c>
      <c r="J32" s="16">
        <f>_xlfn.XLOOKUP(B32, 'kpi nhà thuốc'!A:A, 'kpi nhà thuốc'!F:F, (AD32/DAY($C$1))/U32)</f>
        <v/>
      </c>
      <c r="K32" s="5">
        <f>_xlfn.XLOOKUP(B32, 'kpi nhà thuốc'!$A:$A, 'kpi nhà thuốc'!$G:$G, IF(AND(OR(C32="DSXC", C32="DSCD", C32="DSBC", C32="DSTV", C32="Q.CHT", C32="BC"), G32&gt;=F32), AD32 * _xlfn.IFS(AND(I32&gt;=T32, E32&gt;=D32), 0.015, I32&gt;=T32, 0.013, AND(I32&gt;=S32, E32&gt;=D32), 0.013, I32&gt;=S32, 0.011, AND(I32&gt;=R32, E32&gt;=D32), 0.012, I32&gt;=R32, 0.010, TRUE, 0), 0))</f>
        <v/>
      </c>
      <c r="L32" s="6">
        <f>IF(C32="DSTV","", IF(J32&lt;0.6, 0.8, 1))</f>
        <v/>
      </c>
      <c r="M32" s="5">
        <f>IFERROR(SUMIF('Dự án T9'!$B:$B, $B32, 'Dự án T9'!$M:$M)*$L32, 0)</f>
        <v/>
      </c>
      <c r="N32" s="17">
        <f>N(K32)+M32</f>
        <v/>
      </c>
      <c r="O32" s="18">
        <f>CEILING(R32, 100000)</f>
        <v/>
      </c>
      <c r="P32" s="18">
        <f>CEILING(S32, 100000)</f>
        <v/>
      </c>
      <c r="Q32" s="18">
        <f>CEILING(T32, 100000)</f>
        <v/>
      </c>
      <c r="R32" s="18">
        <f>U32*$R$2</f>
        <v/>
      </c>
      <c r="S32" s="18">
        <f>U32*$S$2</f>
        <v/>
      </c>
      <c r="T32" s="18">
        <f>U32*$T$2</f>
        <v/>
      </c>
      <c r="U32" s="5">
        <f>V32/DAY($C$1)</f>
        <v/>
      </c>
      <c r="V32" s="5" t="n">
        <v>87500000</v>
      </c>
      <c r="W32" s="4">
        <f>IFERROR(SUMIFS(data!$C:$C, data!$A:$A, $A32, data!$B:$B, $B32), 0)</f>
        <v/>
      </c>
      <c r="X32" s="5">
        <f>IFERROR(SUMIF(data!$B:$B, $B32, data!$D:$D), 0)</f>
        <v/>
      </c>
      <c r="Y32" s="5">
        <f>IF(W32&gt;0, X32/W32, 0)</f>
        <v/>
      </c>
      <c r="Z32" s="4">
        <f>IFERROR(SUMIFS(data!$E:$E, data!$A:$A, $A32, data!$B:$B, $B32), 0)</f>
        <v/>
      </c>
      <c r="AA32" s="5">
        <f>IFERROR(SUMIF(data!$B:$B, $B32, data!$F:$F), 0)</f>
        <v/>
      </c>
      <c r="AB32" s="5">
        <f>IF(Z32&gt;0, AA32/Z32, 0)</f>
        <v/>
      </c>
      <c r="AC32" s="4">
        <f>W32+Z32</f>
        <v/>
      </c>
      <c r="AD32" s="5">
        <f>X32+AA32</f>
        <v/>
      </c>
      <c r="AE32" s="5">
        <f>IF(AC32&gt;0, AD32/AC32, 0)</f>
        <v/>
      </c>
      <c r="AF32" s="19" t="n"/>
      <c r="AG32" s="19" t="n"/>
      <c r="AH32" s="19" t="n"/>
      <c r="AI32" s="19" t="n"/>
      <c r="AJ32" s="19" t="n"/>
      <c r="AK32" s="19" t="n"/>
      <c r="AL32" s="19" t="n"/>
    </row>
    <row r="33" ht="13.8" customHeight="1">
      <c r="A33" s="3" t="inlineStr">
        <is>
          <t>Nguyễn Văn Quá</t>
        </is>
      </c>
      <c r="B33" s="3" t="inlineStr">
        <is>
          <t>Nguyễn Thị Hương Giang</t>
        </is>
      </c>
      <c r="C33" s="6" t="inlineStr">
        <is>
          <t>CHT</t>
        </is>
      </c>
      <c r="D33" s="5" t="n">
        <v>136000</v>
      </c>
      <c r="E33" s="5">
        <f>AE33</f>
        <v/>
      </c>
      <c r="F33" s="5">
        <f>IFERROR(ROUND(_xludf.LET(nt,$A33,nv,$B33,songay,DAY(EOMONTH($C$1,0)),doanhthungay,$I33,duan_nv,SUMIFS('Dự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3" s="5">
        <f>IFERROR(SUMIF('Dự án T9'!$B:$B, $B33, 'Dự án T9'!$D:$D), 0)</f>
        <v/>
      </c>
      <c r="H33" s="5">
        <f>Q33</f>
        <v/>
      </c>
      <c r="I33" s="5">
        <f>(AD33/DAY($C$1))</f>
        <v/>
      </c>
      <c r="J33" s="16">
        <f>_xlfn.XLOOKUP(B33, 'kpi nhà thuốc'!A:A, 'kpi nhà thuốc'!F:F, (AD33/DAY($C$1))/U33)</f>
        <v/>
      </c>
      <c r="K33" s="5">
        <f>_xlfn.XLOOKUP(B33, 'kpi nhà thuốc'!$A:$A, 'kpi nhà thuốc'!$G:$G, IF(AND(OR(C33="DSXC", C33="DSCD", C33="DSBC", C33="DSTV", C33="Q.CHT", C33="BC"), G33&gt;=F33), AD33 * _xlfn.IFS(AND(I33&gt;=T33, E33&gt;=D33), 0.015, I33&gt;=T33, 0.013, AND(I33&gt;=S33, E33&gt;=D33), 0.013, I33&gt;=S33, 0.011, AND(I33&gt;=R33, E33&gt;=D33), 0.012, I33&gt;=R33, 0.010, TRUE, 0), 0))</f>
        <v/>
      </c>
      <c r="L33" s="6">
        <f>IF(C33="DSTV","", IF(J33&lt;0.6, 0.8, 1))</f>
        <v/>
      </c>
      <c r="M33" s="5">
        <f>IFERROR(SUMIF('Dự án T9'!$B:$B, $B33, 'Dự án T9'!$M:$M)*$L33, 0)</f>
        <v/>
      </c>
      <c r="N33" s="17">
        <f>N(K33)+M33</f>
        <v/>
      </c>
      <c r="O33" s="18">
        <f>CEILING(R33, 100000)</f>
        <v/>
      </c>
      <c r="P33" s="18">
        <f>CEILING(S33, 100000)</f>
        <v/>
      </c>
      <c r="Q33" s="18">
        <f>CEILING(T33, 100000)</f>
        <v/>
      </c>
      <c r="R33" s="18">
        <f>U33*$R$2</f>
        <v/>
      </c>
      <c r="S33" s="18">
        <f>U33*$S$2</f>
        <v/>
      </c>
      <c r="T33" s="18">
        <f>U33*$T$2</f>
        <v/>
      </c>
      <c r="U33" s="5">
        <f>V33/DAY($C$1)</f>
        <v/>
      </c>
      <c r="V33" s="5" t="n">
        <v>87500000</v>
      </c>
      <c r="W33" s="4">
        <f>IFERROR(SUMIFS(data!$C:$C, data!$A:$A, $A33, data!$B:$B, $B33), 0)</f>
        <v/>
      </c>
      <c r="X33" s="5">
        <f>IFERROR(SUMIF(data!$B:$B, $B33, data!$D:$D), 0)</f>
        <v/>
      </c>
      <c r="Y33" s="5">
        <f>IF(W33&gt;0, X33/W33, 0)</f>
        <v/>
      </c>
      <c r="Z33" s="4">
        <f>IFERROR(SUMIFS(data!$E:$E, data!$A:$A, $A33, data!$B:$B, $B33), 0)</f>
        <v/>
      </c>
      <c r="AA33" s="5">
        <f>IFERROR(SUMIF(data!$B:$B, $B33, data!$F:$F), 0)</f>
        <v/>
      </c>
      <c r="AB33" s="5">
        <f>IF(Z33&gt;0, AA33/Z33, 0)</f>
        <v/>
      </c>
      <c r="AC33" s="4">
        <f>W33+Z33</f>
        <v/>
      </c>
      <c r="AD33" s="5">
        <f>X33+AA33</f>
        <v/>
      </c>
      <c r="AE33" s="5">
        <f>IF(AC33&gt;0, AD33/AC33, 0)</f>
        <v/>
      </c>
      <c r="AF33" s="19" t="n"/>
      <c r="AG33" s="19" t="n"/>
      <c r="AH33" s="19" t="n"/>
      <c r="AI33" s="19" t="n"/>
      <c r="AJ33" s="19" t="n"/>
      <c r="AK33" s="19" t="n"/>
      <c r="AL33" s="19" t="n"/>
    </row>
    <row r="34" ht="13.8" customHeight="1">
      <c r="A34" s="3" t="inlineStr">
        <is>
          <t>Rạch Bùng Binh</t>
        </is>
      </c>
      <c r="B34" s="3" t="inlineStr">
        <is>
          <t>Cù Thị Tường Vy</t>
        </is>
      </c>
      <c r="C34" s="6" t="inlineStr">
        <is>
          <t>DSCD</t>
        </is>
      </c>
      <c r="D34" s="5" t="n">
        <v>232315.330188679</v>
      </c>
      <c r="E34" s="5">
        <f>AE34</f>
        <v/>
      </c>
      <c r="F34" s="5">
        <f>IFERROR(ROUND(_xludf.LET(nt,$A34,nv,$B34,songay,DAY(EOMONTH($C$1,0)),doanhthungay,$I34,duan_nv,SUMIFS('Dự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4" s="5">
        <f>IFERROR(SUMIF('Dự án T9'!$B:$B, $B34, 'Dự án T9'!$D:$D), 0)</f>
        <v/>
      </c>
      <c r="H34" s="5">
        <f>Q34</f>
        <v/>
      </c>
      <c r="I34" s="5">
        <f>(AD34/DAY($C$1))</f>
        <v/>
      </c>
      <c r="J34" s="16">
        <f>_xlfn.XLOOKUP(B34, 'kpi nhà thuốc'!A:A, 'kpi nhà thuốc'!F:F, (AD34/DAY($C$1))/U34)</f>
        <v/>
      </c>
      <c r="K34" s="5">
        <f>_xlfn.XLOOKUP(B34, 'kpi nhà thuốc'!$A:$A, 'kpi nhà thuốc'!$G:$G, IF(AND(OR(C34="DSXC", C34="DSCD", C34="DSBC", C34="DSTV", C34="Q.CHT", C34="BC"), G34&gt;=F34), AD34 * _xlfn.IFS(AND(I34&gt;=T34, E34&gt;=D34), 0.015, I34&gt;=T34, 0.013, AND(I34&gt;=S34, E34&gt;=D34), 0.013, I34&gt;=S34, 0.011, AND(I34&gt;=R34, E34&gt;=D34), 0.012, I34&gt;=R34, 0.010, TRUE, 0), 0))</f>
        <v/>
      </c>
      <c r="L34" s="6">
        <f>IF(C34="DSTV","", IF(J34&lt;0.6, 0.8, 1))</f>
        <v/>
      </c>
      <c r="M34" s="5">
        <f>IFERROR(SUMIF('Dự án T9'!$B:$B, $B34, 'Dự án T9'!$M:$M)*$L34, 0)</f>
        <v/>
      </c>
      <c r="N34" s="17">
        <f>N(K34)+M34</f>
        <v/>
      </c>
      <c r="O34" s="18">
        <f>CEILING(R34, 100000)</f>
        <v/>
      </c>
      <c r="P34" s="18">
        <f>CEILING(S34, 100000)</f>
        <v/>
      </c>
      <c r="Q34" s="18">
        <f>CEILING(T34, 100000)</f>
        <v/>
      </c>
      <c r="R34" s="18">
        <f>U34*$R$2</f>
        <v/>
      </c>
      <c r="S34" s="18">
        <f>U34*$S$2</f>
        <v/>
      </c>
      <c r="T34" s="18">
        <f>U34*$T$2</f>
        <v/>
      </c>
      <c r="U34" s="5">
        <f>V34/DAY($C$1)</f>
        <v/>
      </c>
      <c r="V34" s="5" t="n">
        <v>120000000</v>
      </c>
      <c r="W34" s="4">
        <f>IFERROR(SUMIFS(data!$C:$C, data!$A:$A, $A34, data!$B:$B, $B34), 0)</f>
        <v/>
      </c>
      <c r="X34" s="5">
        <f>IFERROR(SUMIF(data!$B:$B, $B34, data!$D:$D), 0)</f>
        <v/>
      </c>
      <c r="Y34" s="5">
        <f>IF(W34&gt;0, X34/W34, 0)</f>
        <v/>
      </c>
      <c r="Z34" s="4">
        <f>IFERROR(SUMIFS(data!$E:$E, data!$A:$A, $A34, data!$B:$B, $B34), 0)</f>
        <v/>
      </c>
      <c r="AA34" s="5">
        <f>IFERROR(SUMIF(data!$B:$B, $B34, data!$F:$F), 0)</f>
        <v/>
      </c>
      <c r="AB34" s="5">
        <f>IF(Z34&gt;0, AA34/Z34, 0)</f>
        <v/>
      </c>
      <c r="AC34" s="4">
        <f>W34+Z34</f>
        <v/>
      </c>
      <c r="AD34" s="5">
        <f>X34+AA34</f>
        <v/>
      </c>
      <c r="AE34" s="5">
        <f>IF(AC34&gt;0, AD34/AC34, 0)</f>
        <v/>
      </c>
      <c r="AF34" s="19" t="n"/>
      <c r="AG34" s="19" t="n"/>
      <c r="AH34" s="19" t="n"/>
      <c r="AI34" s="19" t="n"/>
      <c r="AJ34" s="19" t="n"/>
      <c r="AK34" s="19" t="n"/>
      <c r="AL34" s="19" t="n"/>
    </row>
    <row r="35" ht="13.8" customHeight="1">
      <c r="A35" s="3" t="inlineStr">
        <is>
          <t>Rạch Bùng Binh</t>
        </is>
      </c>
      <c r="B35" s="3" t="inlineStr">
        <is>
          <t>Huỳnh Thị Huệ Hiền</t>
        </is>
      </c>
      <c r="C35" s="6" t="inlineStr">
        <is>
          <t>DSCD</t>
        </is>
      </c>
      <c r="D35" s="5" t="n">
        <v>100000</v>
      </c>
      <c r="E35" s="5">
        <f>AE35</f>
        <v/>
      </c>
      <c r="F35" s="5">
        <f>IFERROR(ROUND(_xludf.LET(nt,$A35,nv,$B35,songay,DAY(EOMONTH($C$1,0)),doanhthungay,$I35,duan_nv,SUMIFS('Dự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5" s="5">
        <f>IFERROR(SUMIF('Dự án T9'!$B:$B, $B35, 'Dự án T9'!$D:$D), 0)</f>
        <v/>
      </c>
      <c r="H35" s="5">
        <f>Q35</f>
        <v/>
      </c>
      <c r="I35" s="5">
        <f>(AD35/DAY($C$1))</f>
        <v/>
      </c>
      <c r="J35" s="16">
        <f>_xlfn.XLOOKUP(B35, 'kpi nhà thuốc'!A:A, 'kpi nhà thuốc'!F:F, (AD35/DAY($C$1))/U35)</f>
        <v/>
      </c>
      <c r="K35" s="5">
        <f>_xlfn.XLOOKUP(B35, 'kpi nhà thuốc'!$A:$A, 'kpi nhà thuốc'!$G:$G, IF(AND(OR(C35="DSXC", C35="DSCD", C35="DSBC", C35="DSTV", C35="Q.CHT", C35="BC"), G35&gt;=F35), AD35 * _xlfn.IFS(AND(I35&gt;=T35, E35&gt;=D35), 0.015, I35&gt;=T35, 0.013, AND(I35&gt;=S35, E35&gt;=D35), 0.013, I35&gt;=S35, 0.011, AND(I35&gt;=R35, E35&gt;=D35), 0.012, I35&gt;=R35, 0.010, TRUE, 0), 0))</f>
        <v/>
      </c>
      <c r="L35" s="6">
        <f>IF(C35="DSTV","", IF(J35&lt;0.6, 0.8, 1))</f>
        <v/>
      </c>
      <c r="M35" s="5">
        <f>IFERROR(SUMIF('Dự án T9'!$B:$B, $B35, 'Dự án T9'!$M:$M)*$L35, 0)</f>
        <v/>
      </c>
      <c r="N35" s="17">
        <f>N(K35)+M35</f>
        <v/>
      </c>
      <c r="O35" s="18">
        <f>CEILING(R35, 100000)</f>
        <v/>
      </c>
      <c r="P35" s="18">
        <f>CEILING(S35, 100000)</f>
        <v/>
      </c>
      <c r="Q35" s="18">
        <f>CEILING(T35, 100000)</f>
        <v/>
      </c>
      <c r="R35" s="18">
        <f>U35*$R$2</f>
        <v/>
      </c>
      <c r="S35" s="18">
        <f>U35*$S$2</f>
        <v/>
      </c>
      <c r="T35" s="18">
        <f>U35*$T$2</f>
        <v/>
      </c>
      <c r="U35" s="5">
        <f>V35/DAY($C$1)</f>
        <v/>
      </c>
      <c r="V35" s="5" t="n">
        <v>100000000</v>
      </c>
      <c r="W35" s="4">
        <f>IFERROR(SUMIFS(data!$C:$C, data!$A:$A, $A35, data!$B:$B, $B35), 0)</f>
        <v/>
      </c>
      <c r="X35" s="5">
        <f>IFERROR(SUMIF(data!$B:$B, $B35, data!$D:$D), 0)</f>
        <v/>
      </c>
      <c r="Y35" s="5">
        <f>IF(W35&gt;0, X35/W35, 0)</f>
        <v/>
      </c>
      <c r="Z35" s="4">
        <f>IFERROR(SUMIFS(data!$E:$E, data!$A:$A, $A35, data!$B:$B, $B35), 0)</f>
        <v/>
      </c>
      <c r="AA35" s="5">
        <f>IFERROR(SUMIF(data!$B:$B, $B35, data!$F:$F), 0)</f>
        <v/>
      </c>
      <c r="AB35" s="5">
        <f>IF(Z35&gt;0, AA35/Z35, 0)</f>
        <v/>
      </c>
      <c r="AC35" s="4">
        <f>W35+Z35</f>
        <v/>
      </c>
      <c r="AD35" s="5">
        <f>X35+AA35</f>
        <v/>
      </c>
      <c r="AE35" s="5">
        <f>IF(AC35&gt;0, AD35/AC35, 0)</f>
        <v/>
      </c>
      <c r="AF35" s="19" t="n"/>
      <c r="AG35" s="19" t="n"/>
      <c r="AH35" s="19" t="n"/>
      <c r="AI35" s="19" t="n"/>
      <c r="AJ35" s="19" t="n"/>
      <c r="AK35" s="19" t="n"/>
      <c r="AL35" s="19" t="n"/>
    </row>
    <row r="36" ht="13.8" customHeight="1">
      <c r="A36" s="3" t="inlineStr">
        <is>
          <t>Rạch Bùng Binh</t>
        </is>
      </c>
      <c r="B36" s="3" t="inlineStr">
        <is>
          <t>Ngô Thị Ngọc Thủy</t>
        </is>
      </c>
      <c r="C36" s="6" t="inlineStr">
        <is>
          <t>CHT</t>
        </is>
      </c>
      <c r="D36" s="5" t="n">
        <v>90000</v>
      </c>
      <c r="E36" s="5">
        <f>AE36</f>
        <v/>
      </c>
      <c r="F36" s="5">
        <f>IFERROR(ROUND(_xludf.LET(nt,$A36,nv,$B36,songay,DAY(EOMONTH($C$1,0)),doanhthungay,$I36,duan_nv,SUMIFS('Dự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6" s="5">
        <f>IFERROR(SUMIF('Dự án T9'!$B:$B, $B36, 'Dự án T9'!$D:$D), 0)</f>
        <v/>
      </c>
      <c r="H36" s="5">
        <f>Q36</f>
        <v/>
      </c>
      <c r="I36" s="5">
        <f>(AD36/DAY($C$1))</f>
        <v/>
      </c>
      <c r="J36" s="16">
        <f>_xlfn.XLOOKUP(B36, 'kpi nhà thuốc'!A:A, 'kpi nhà thuốc'!F:F, (AD36/DAY($C$1))/U36)</f>
        <v/>
      </c>
      <c r="K36" s="5">
        <f>_xlfn.XLOOKUP(B36, 'kpi nhà thuốc'!$A:$A, 'kpi nhà thuốc'!$G:$G, IF(AND(OR(C36="DSXC", C36="DSCD", C36="DSBC", C36="DSTV", C36="Q.CHT", C36="BC"), G36&gt;=F36), AD36 * _xlfn.IFS(AND(I36&gt;=T36, E36&gt;=D36), 0.015, I36&gt;=T36, 0.013, AND(I36&gt;=S36, E36&gt;=D36), 0.013, I36&gt;=S36, 0.011, AND(I36&gt;=R36, E36&gt;=D36), 0.012, I36&gt;=R36, 0.010, TRUE, 0), 0))</f>
        <v/>
      </c>
      <c r="L36" s="6">
        <f>IF(C36="DSTV","", IF(J36&lt;0.6, 0.8, 1))</f>
        <v/>
      </c>
      <c r="M36" s="5">
        <f>IFERROR(SUMIF('Dự án T9'!$B:$B, $B36, 'Dự án T9'!$M:$M)*$L36, 0)</f>
        <v/>
      </c>
      <c r="N36" s="17">
        <f>N(K36)+M36</f>
        <v/>
      </c>
      <c r="O36" s="18">
        <f>CEILING(R36, 100000)</f>
        <v/>
      </c>
      <c r="P36" s="18">
        <f>CEILING(S36, 100000)</f>
        <v/>
      </c>
      <c r="Q36" s="18">
        <f>CEILING(T36, 100000)</f>
        <v/>
      </c>
      <c r="R36" s="18">
        <f>U36*$R$2</f>
        <v/>
      </c>
      <c r="S36" s="18">
        <f>U36*$S$2</f>
        <v/>
      </c>
      <c r="T36" s="18">
        <f>U36*$T$2</f>
        <v/>
      </c>
      <c r="U36" s="5">
        <f>V36/DAY($C$1)</f>
        <v/>
      </c>
      <c r="V36" s="5" t="n">
        <v>40000000</v>
      </c>
      <c r="W36" s="4">
        <f>IFERROR(SUMIFS(data!$C:$C, data!$A:$A, $A36, data!$B:$B, $B36), 0)</f>
        <v/>
      </c>
      <c r="X36" s="5">
        <f>IFERROR(SUMIF(data!$B:$B, $B36, data!$D:$D), 0)</f>
        <v/>
      </c>
      <c r="Y36" s="5">
        <f>IF(W36&gt;0, X36/W36, 0)</f>
        <v/>
      </c>
      <c r="Z36" s="4">
        <f>IFERROR(SUMIFS(data!$E:$E, data!$A:$A, $A36, data!$B:$B, $B36), 0)</f>
        <v/>
      </c>
      <c r="AA36" s="5">
        <f>IFERROR(SUMIF(data!$B:$B, $B36, data!$F:$F), 0)</f>
        <v/>
      </c>
      <c r="AB36" s="5">
        <f>IF(Z36&gt;0, AA36/Z36, 0)</f>
        <v/>
      </c>
      <c r="AC36" s="4">
        <f>W36+Z36</f>
        <v/>
      </c>
      <c r="AD36" s="5">
        <f>X36+AA36</f>
        <v/>
      </c>
      <c r="AE36" s="5">
        <f>IF(AC36&gt;0, AD36/AC36, 0)</f>
        <v/>
      </c>
      <c r="AF36" s="19" t="n"/>
      <c r="AG36" s="19" t="n"/>
      <c r="AH36" s="19" t="n"/>
      <c r="AI36" s="19" t="n"/>
      <c r="AJ36" s="19" t="n"/>
      <c r="AK36" s="19" t="n"/>
      <c r="AL36" s="19" t="n"/>
    </row>
    <row r="37" ht="13.8" customHeight="1">
      <c r="A37" s="3" t="inlineStr">
        <is>
          <t>Rạch Bùng Binh</t>
        </is>
      </c>
      <c r="B37" s="3" t="inlineStr">
        <is>
          <t>Nguyễn Thị Phúc Lộc</t>
        </is>
      </c>
      <c r="C37" s="6" t="inlineStr">
        <is>
          <t>DSCD</t>
        </is>
      </c>
      <c r="D37" s="5" t="n">
        <v>85000</v>
      </c>
      <c r="E37" s="5">
        <f>AE37</f>
        <v/>
      </c>
      <c r="F37" s="5">
        <f>IFERROR(ROUND(_xludf.LET(nt,$A37,nv,$B37,songay,DAY(EOMONTH($C$1,0)),doanhthungay,$I37,duan_nv,SUMIFS('Dự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7" s="5">
        <f>IFERROR(SUMIF('Dự án T9'!$B:$B, $B37, 'Dự án T9'!$D:$D), 0)</f>
        <v/>
      </c>
      <c r="H37" s="5">
        <f>Q37</f>
        <v/>
      </c>
      <c r="I37" s="5">
        <f>(AD37/DAY($C$1))</f>
        <v/>
      </c>
      <c r="J37" s="16">
        <f>_xlfn.XLOOKUP(B37, 'kpi nhà thuốc'!A:A, 'kpi nhà thuốc'!F:F, (AD37/DAY($C$1))/U37)</f>
        <v/>
      </c>
      <c r="K37" s="5">
        <f>_xlfn.XLOOKUP(B37, 'kpi nhà thuốc'!$A:$A, 'kpi nhà thuốc'!$G:$G, IF(AND(OR(C37="DSXC", C37="DSCD", C37="DSBC", C37="DSTV", C37="Q.CHT", C37="BC"), G37&gt;=F37), AD37 * _xlfn.IFS(AND(I37&gt;=T37, E37&gt;=D37), 0.015, I37&gt;=T37, 0.013, AND(I37&gt;=S37, E37&gt;=D37), 0.013, I37&gt;=S37, 0.011, AND(I37&gt;=R37, E37&gt;=D37), 0.012, I37&gt;=R37, 0.010, TRUE, 0), 0))</f>
        <v/>
      </c>
      <c r="L37" s="6">
        <f>IF(C37="DSTV","", IF(J37&lt;0.6, 0.8, 1))</f>
        <v/>
      </c>
      <c r="M37" s="5">
        <f>IFERROR(SUMIF('Dự án T9'!$B:$B, $B37, 'Dự án T9'!$M:$M)*$L37, 0)</f>
        <v/>
      </c>
      <c r="N37" s="17">
        <f>N(K37)+M37</f>
        <v/>
      </c>
      <c r="O37" s="18">
        <f>CEILING(R37, 100000)</f>
        <v/>
      </c>
      <c r="P37" s="18">
        <f>CEILING(S37, 100000)</f>
        <v/>
      </c>
      <c r="Q37" s="18">
        <f>CEILING(T37, 100000)</f>
        <v/>
      </c>
      <c r="R37" s="18">
        <f>U37*$R$2</f>
        <v/>
      </c>
      <c r="S37" s="18">
        <f>U37*$S$2</f>
        <v/>
      </c>
      <c r="T37" s="18">
        <f>U37*$T$2</f>
        <v/>
      </c>
      <c r="U37" s="5">
        <f>V37/DAY($C$1)</f>
        <v/>
      </c>
      <c r="V37" s="5" t="n">
        <v>50000000</v>
      </c>
      <c r="W37" s="4">
        <f>IFERROR(SUMIFS(data!$C:$C, data!$A:$A, $A37, data!$B:$B, $B37), 0)</f>
        <v/>
      </c>
      <c r="X37" s="5">
        <f>IFERROR(SUMIF(data!$B:$B, $B37, data!$D:$D), 0)</f>
        <v/>
      </c>
      <c r="Y37" s="5">
        <f>IF(W37&gt;0, X37/W37, 0)</f>
        <v/>
      </c>
      <c r="Z37" s="4">
        <f>IFERROR(SUMIFS(data!$E:$E, data!$A:$A, $A37, data!$B:$B, $B37), 0)</f>
        <v/>
      </c>
      <c r="AA37" s="5">
        <f>IFERROR(SUMIF(data!$B:$B, $B37, data!$F:$F), 0)</f>
        <v/>
      </c>
      <c r="AB37" s="5">
        <f>IF(Z37&gt;0, AA37/Z37, 0)</f>
        <v/>
      </c>
      <c r="AC37" s="4">
        <f>W37+Z37</f>
        <v/>
      </c>
      <c r="AD37" s="5">
        <f>X37+AA37</f>
        <v/>
      </c>
      <c r="AE37" s="5">
        <f>IF(AC37&gt;0, AD37/AC37, 0)</f>
        <v/>
      </c>
      <c r="AF37" s="19" t="n"/>
      <c r="AG37" s="19" t="n"/>
      <c r="AH37" s="19" t="n"/>
      <c r="AI37" s="19" t="n"/>
      <c r="AJ37" s="19" t="n"/>
      <c r="AK37" s="19" t="n"/>
      <c r="AL37" s="19" t="n"/>
    </row>
    <row r="38" ht="13.8" customHeight="1">
      <c r="A38" s="3" t="inlineStr">
        <is>
          <t>Rạch Bùng Binh</t>
        </is>
      </c>
      <c r="B38" s="3" t="inlineStr">
        <is>
          <t>Phạm Nguyễn Ngọc Quyền Trân</t>
        </is>
      </c>
      <c r="C38" s="6" t="inlineStr">
        <is>
          <t>DSXC</t>
        </is>
      </c>
      <c r="D38" s="5" t="n">
        <v>175467.704918033</v>
      </c>
      <c r="E38" s="5">
        <f>AE38</f>
        <v/>
      </c>
      <c r="F38" s="5">
        <f>IFERROR(ROUND(_xludf.LET(nt,$A38,nv,$B38,songay,DAY(EOMONTH($C$1,0)),doanhthungay,$I38,duan_nv,SUMIFS('Dự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8" s="5">
        <f>IFERROR(SUMIF('Dự án T9'!$B:$B, $B38, 'Dự án T9'!$D:$D), 0)</f>
        <v/>
      </c>
      <c r="H38" s="5">
        <f>Q38</f>
        <v/>
      </c>
      <c r="I38" s="5">
        <f>(AD38/DAY($C$1))</f>
        <v/>
      </c>
      <c r="J38" s="16">
        <f>_xlfn.XLOOKUP(B38, 'kpi nhà thuốc'!A:A, 'kpi nhà thuốc'!F:F, (AD38/DAY($C$1))/U38)</f>
        <v/>
      </c>
      <c r="K38" s="5">
        <f>_xlfn.XLOOKUP(B38, 'kpi nhà thuốc'!$A:$A, 'kpi nhà thuốc'!$G:$G, IF(AND(OR(C38="DSXC", C38="DSCD", C38="DSBC", C38="DSTV", C38="Q.CHT", C38="BC"), G38&gt;=F38), AD38 * _xlfn.IFS(AND(I38&gt;=T38, E38&gt;=D38), 0.015, I38&gt;=T38, 0.013, AND(I38&gt;=S38, E38&gt;=D38), 0.013, I38&gt;=S38, 0.011, AND(I38&gt;=R38, E38&gt;=D38), 0.012, I38&gt;=R38, 0.010, TRUE, 0), 0))</f>
        <v/>
      </c>
      <c r="L38" s="6">
        <f>IF(C38="DSTV","", IF(J38&lt;0.6, 0.8, 1))</f>
        <v/>
      </c>
      <c r="M38" s="5">
        <f>IFERROR(SUMIF('Dự án T9'!$B:$B, $B38, 'Dự án T9'!$M:$M)*$L38, 0)</f>
        <v/>
      </c>
      <c r="N38" s="17">
        <f>N(K38)+M38</f>
        <v/>
      </c>
      <c r="O38" s="18">
        <f>CEILING(R38, 100000)</f>
        <v/>
      </c>
      <c r="P38" s="18">
        <f>CEILING(S38, 100000)</f>
        <v/>
      </c>
      <c r="Q38" s="18">
        <f>CEILING(T38, 100000)</f>
        <v/>
      </c>
      <c r="R38" s="18">
        <f>U38*$R$2</f>
        <v/>
      </c>
      <c r="S38" s="18">
        <f>U38*$S$2</f>
        <v/>
      </c>
      <c r="T38" s="18">
        <f>U38*$T$2</f>
        <v/>
      </c>
      <c r="U38" s="5">
        <f>V38/DAY($C$1)</f>
        <v/>
      </c>
      <c r="V38" s="5" t="n">
        <v>120000000</v>
      </c>
      <c r="W38" s="4">
        <f>IFERROR(SUMIFS(data!$C:$C, data!$A:$A, $A38, data!$B:$B, $B38), 0)</f>
        <v/>
      </c>
      <c r="X38" s="5">
        <f>IFERROR(SUMIF(data!$B:$B, $B38, data!$D:$D), 0)</f>
        <v/>
      </c>
      <c r="Y38" s="5">
        <f>IF(W38&gt;0, X38/W38, 0)</f>
        <v/>
      </c>
      <c r="Z38" s="4">
        <f>IFERROR(SUMIFS(data!$E:$E, data!$A:$A, $A38, data!$B:$B, $B38), 0)</f>
        <v/>
      </c>
      <c r="AA38" s="5">
        <f>IFERROR(SUMIF(data!$B:$B, $B38, data!$F:$F), 0)</f>
        <v/>
      </c>
      <c r="AB38" s="5">
        <f>IF(Z38&gt;0, AA38/Z38, 0)</f>
        <v/>
      </c>
      <c r="AC38" s="4">
        <f>W38+Z38</f>
        <v/>
      </c>
      <c r="AD38" s="5">
        <f>X38+AA38</f>
        <v/>
      </c>
      <c r="AE38" s="5">
        <f>IF(AC38&gt;0, AD38/AC38, 0)</f>
        <v/>
      </c>
      <c r="AF38" s="19" t="n"/>
      <c r="AG38" s="19" t="n"/>
      <c r="AH38" s="19" t="n"/>
      <c r="AI38" s="19" t="n"/>
      <c r="AJ38" s="19" t="n"/>
      <c r="AK38" s="19" t="n"/>
      <c r="AL38" s="19" t="n"/>
    </row>
    <row r="39" ht="13.8" customHeight="1">
      <c r="A39" s="3" t="inlineStr">
        <is>
          <t>Lê Bình</t>
        </is>
      </c>
      <c r="B39" s="3" t="inlineStr">
        <is>
          <t>Hồ Thị Minh Hòa</t>
        </is>
      </c>
      <c r="C39" s="6" t="inlineStr">
        <is>
          <t>CHT</t>
        </is>
      </c>
      <c r="D39" s="5" t="n">
        <v>150000</v>
      </c>
      <c r="E39" s="5">
        <f>AE39</f>
        <v/>
      </c>
      <c r="F39" s="5">
        <f>IFERROR(ROUND(_xludf.LET(nt,$A39,nv,$B39,songay,DAY(EOMONTH($C$1,0)),doanhthungay,$I39,duan_nv,SUMIFS('Dự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39" s="5">
        <f>IFERROR(SUMIF('Dự án T9'!$B:$B, $B39, 'Dự án T9'!$D:$D), 0)</f>
        <v/>
      </c>
      <c r="H39" s="5">
        <f>Q39</f>
        <v/>
      </c>
      <c r="I39" s="5">
        <f>(AD39/DAY($C$1))</f>
        <v/>
      </c>
      <c r="J39" s="16">
        <f>_xlfn.XLOOKUP(B39, 'kpi nhà thuốc'!A:A, 'kpi nhà thuốc'!F:F, (AD39/DAY($C$1))/U39)</f>
        <v/>
      </c>
      <c r="K39" s="5">
        <f>_xlfn.XLOOKUP(B39, 'kpi nhà thuốc'!$A:$A, 'kpi nhà thuốc'!$G:$G, IF(AND(OR(C39="DSXC", C39="DSCD", C39="DSBC", C39="DSTV", C39="Q.CHT", C39="BC"), G39&gt;=F39), AD39 * _xlfn.IFS(AND(I39&gt;=T39, E39&gt;=D39), 0.015, I39&gt;=T39, 0.013, AND(I39&gt;=S39, E39&gt;=D39), 0.013, I39&gt;=S39, 0.011, AND(I39&gt;=R39, E39&gt;=D39), 0.012, I39&gt;=R39, 0.010, TRUE, 0), 0))</f>
        <v/>
      </c>
      <c r="L39" s="6">
        <f>IF(C39="DSTV","", IF(J39&lt;0.6, 0.8, 1))</f>
        <v/>
      </c>
      <c r="M39" s="5">
        <f>IFERROR(SUMIF('Dự án T9'!$B:$B, $B39, 'Dự án T9'!$M:$M)*$L39, 0)</f>
        <v/>
      </c>
      <c r="N39" s="17">
        <f>N(K39)+M39</f>
        <v/>
      </c>
      <c r="O39" s="18">
        <f>CEILING(R39, 100000)</f>
        <v/>
      </c>
      <c r="P39" s="18">
        <f>CEILING(S39, 100000)</f>
        <v/>
      </c>
      <c r="Q39" s="18">
        <f>CEILING(T39, 100000)</f>
        <v/>
      </c>
      <c r="R39" s="18">
        <f>U39*$R$2</f>
        <v/>
      </c>
      <c r="S39" s="18">
        <f>U39*$S$2</f>
        <v/>
      </c>
      <c r="T39" s="18">
        <f>U39*$T$2</f>
        <v/>
      </c>
      <c r="U39" s="5">
        <f>V39/DAY($C$1)</f>
        <v/>
      </c>
      <c r="V39" s="5" t="n">
        <v>65100000</v>
      </c>
      <c r="W39" s="4">
        <f>IFERROR(SUMIFS(data!$C:$C, data!$A:$A, $A39, data!$B:$B, $B39), 0)</f>
        <v/>
      </c>
      <c r="X39" s="5">
        <f>IFERROR(SUMIF(data!$B:$B, $B39, data!$D:$D), 0)</f>
        <v/>
      </c>
      <c r="Y39" s="5">
        <f>IF(W39&gt;0, X39/W39, 0)</f>
        <v/>
      </c>
      <c r="Z39" s="4">
        <f>IFERROR(SUMIFS(data!$E:$E, data!$A:$A, $A39, data!$B:$B, $B39), 0)</f>
        <v/>
      </c>
      <c r="AA39" s="5">
        <f>IFERROR(SUMIF(data!$B:$B, $B39, data!$F:$F), 0)</f>
        <v/>
      </c>
      <c r="AB39" s="5">
        <f>IF(Z39&gt;0, AA39/Z39, 0)</f>
        <v/>
      </c>
      <c r="AC39" s="4">
        <f>W39+Z39</f>
        <v/>
      </c>
      <c r="AD39" s="5">
        <f>X39+AA39</f>
        <v/>
      </c>
      <c r="AE39" s="5">
        <f>IF(AC39&gt;0, AD39/AC39, 0)</f>
        <v/>
      </c>
      <c r="AF39" s="19" t="n"/>
      <c r="AG39" s="19" t="n"/>
      <c r="AH39" s="19" t="n"/>
      <c r="AI39" s="19" t="n"/>
      <c r="AJ39" s="19" t="n"/>
      <c r="AK39" s="19" t="n"/>
      <c r="AL39" s="19" t="n"/>
    </row>
    <row r="40" ht="13.8" customHeight="1">
      <c r="A40" s="3" t="inlineStr">
        <is>
          <t>Lê Bình</t>
        </is>
      </c>
      <c r="B40" s="3" t="inlineStr">
        <is>
          <t>Lê Thị Xuyến</t>
        </is>
      </c>
      <c r="C40" s="6" t="inlineStr">
        <is>
          <t>DSCD</t>
        </is>
      </c>
      <c r="D40" s="5" t="n">
        <v>150000</v>
      </c>
      <c r="E40" s="5">
        <f>AE40</f>
        <v/>
      </c>
      <c r="F40" s="5">
        <f>IFERROR(ROUND(_xludf.LET(nt,$A40,nv,$B40,songay,DAY(EOMONTH($C$1,0)),doanhthungay,$I40,duan_nv,SUMIFS('Dự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0" s="5">
        <f>IFERROR(SUMIF('Dự án T9'!$B:$B, $B40, 'Dự án T9'!$D:$D), 0)</f>
        <v/>
      </c>
      <c r="H40" s="5">
        <f>Q40</f>
        <v/>
      </c>
      <c r="I40" s="5">
        <f>(AD40/DAY($C$1))</f>
        <v/>
      </c>
      <c r="J40" s="16">
        <f>_xlfn.XLOOKUP(B40, 'kpi nhà thuốc'!A:A, 'kpi nhà thuốc'!F:F, (AD40/DAY($C$1))/U40)</f>
        <v/>
      </c>
      <c r="K40" s="5">
        <f>_xlfn.XLOOKUP(B40, 'kpi nhà thuốc'!$A:$A, 'kpi nhà thuốc'!$G:$G, IF(AND(OR(C40="DSXC", C40="DSCD", C40="DSBC", C40="DSTV", C40="Q.CHT", C40="BC"), G40&gt;=F40), AD40 * _xlfn.IFS(AND(I40&gt;=T40, E40&gt;=D40), 0.015, I40&gt;=T40, 0.013, AND(I40&gt;=S40, E40&gt;=D40), 0.013, I40&gt;=S40, 0.011, AND(I40&gt;=R40, E40&gt;=D40), 0.012, I40&gt;=R40, 0.010, TRUE, 0), 0))</f>
        <v/>
      </c>
      <c r="L40" s="6">
        <f>IF(C40="DSTV","", IF(J40&lt;0.6, 0.8, 1))</f>
        <v/>
      </c>
      <c r="M40" s="5">
        <f>IFERROR(SUMIF('Dự án T9'!$B:$B, $B40, 'Dự án T9'!$M:$M)*$L40, 0)</f>
        <v/>
      </c>
      <c r="N40" s="17">
        <f>N(K40)+M40</f>
        <v/>
      </c>
      <c r="O40" s="18">
        <f>CEILING(R40, 100000)</f>
        <v/>
      </c>
      <c r="P40" s="18">
        <f>CEILING(S40, 100000)</f>
        <v/>
      </c>
      <c r="Q40" s="18">
        <f>CEILING(T40, 100000)</f>
        <v/>
      </c>
      <c r="R40" s="18">
        <f>U40*$R$2</f>
        <v/>
      </c>
      <c r="S40" s="18">
        <f>U40*$S$2</f>
        <v/>
      </c>
      <c r="T40" s="18">
        <f>U40*$T$2</f>
        <v/>
      </c>
      <c r="U40" s="5">
        <f>V40/DAY($C$1)</f>
        <v/>
      </c>
      <c r="V40" s="5" t="n">
        <v>65100000</v>
      </c>
      <c r="W40" s="4">
        <f>IFERROR(SUMIFS(data!$C:$C, data!$A:$A, $A40, data!$B:$B, $B40), 0)</f>
        <v/>
      </c>
      <c r="X40" s="5">
        <f>IFERROR(SUMIF(data!$B:$B, $B40, data!$D:$D), 0)</f>
        <v/>
      </c>
      <c r="Y40" s="5">
        <f>IF(W40&gt;0, X40/W40, 0)</f>
        <v/>
      </c>
      <c r="Z40" s="4">
        <f>IFERROR(SUMIFS(data!$E:$E, data!$A:$A, $A40, data!$B:$B, $B40), 0)</f>
        <v/>
      </c>
      <c r="AA40" s="5">
        <f>IFERROR(SUMIF(data!$B:$B, $B40, data!$F:$F), 0)</f>
        <v/>
      </c>
      <c r="AB40" s="5">
        <f>IF(Z40&gt;0, AA40/Z40, 0)</f>
        <v/>
      </c>
      <c r="AC40" s="4">
        <f>W40+Z40</f>
        <v/>
      </c>
      <c r="AD40" s="5">
        <f>X40+AA40</f>
        <v/>
      </c>
      <c r="AE40" s="5">
        <f>IF(AC40&gt;0, AD40/AC40, 0)</f>
        <v/>
      </c>
      <c r="AF40" s="19" t="n"/>
      <c r="AG40" s="19" t="n"/>
      <c r="AH40" s="19" t="n"/>
      <c r="AI40" s="19" t="n"/>
      <c r="AJ40" s="19" t="n"/>
      <c r="AK40" s="19" t="n"/>
      <c r="AL40" s="19" t="n"/>
    </row>
    <row r="41" ht="13.8" customHeight="1">
      <c r="A41" s="3" t="inlineStr">
        <is>
          <t>Lê Bình</t>
        </is>
      </c>
      <c r="B41" s="3" t="inlineStr">
        <is>
          <t>Đinh Hoài Bảo</t>
        </is>
      </c>
      <c r="C41" s="6" t="inlineStr">
        <is>
          <t>DSXC (TV)</t>
        </is>
      </c>
      <c r="D41" s="5" t="n">
        <v>150000</v>
      </c>
      <c r="E41" s="5">
        <f>AE41</f>
        <v/>
      </c>
      <c r="F41" s="5">
        <f>IFERROR(ROUND(_xludf.LET(nt,$A41,nv,$B41,songay,DAY(EOMONTH($C$1,0)),doanhthungay,$I41,duan_nv,SUMIFS('Dự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1" s="5">
        <f>IFERROR(SUMIF('Dự án T9'!$B:$B, $B41, 'Dự án T9'!$D:$D), 0)</f>
        <v/>
      </c>
      <c r="H41" s="5">
        <f>Q41</f>
        <v/>
      </c>
      <c r="I41" s="5">
        <f>(AD41/DAY($C$1))</f>
        <v/>
      </c>
      <c r="J41" s="16">
        <f>_xlfn.XLOOKUP(B41, 'kpi nhà thuốc'!A:A, 'kpi nhà thuốc'!F:F, (AD41/DAY($C$1))/U41)</f>
        <v/>
      </c>
      <c r="K41" s="5">
        <f>_xlfn.XLOOKUP(B41, 'kpi nhà thuốc'!$A:$A, 'kpi nhà thuốc'!$G:$G, IF(AND(OR(C41="DSXC", C41="DSCD", C41="DSBC", C41="DSTV", C41="Q.CHT", C41="BC"), G41&gt;=F41), AD41 * _xlfn.IFS(AND(I41&gt;=T41, E41&gt;=D41), 0.015, I41&gt;=T41, 0.013, AND(I41&gt;=S41, E41&gt;=D41), 0.013, I41&gt;=S41, 0.011, AND(I41&gt;=R41, E41&gt;=D41), 0.012, I41&gt;=R41, 0.010, TRUE, 0), 0))</f>
        <v/>
      </c>
      <c r="L41" s="6">
        <f>IF(C41="DSTV","", IF(J41&lt;0.6, 0.8, 1))</f>
        <v/>
      </c>
      <c r="M41" s="5">
        <f>IFERROR(SUMIF('Dự án T9'!$B:$B, $B41, 'Dự án T9'!$M:$M)*$L41, 0)</f>
        <v/>
      </c>
      <c r="N41" s="17">
        <f>N(K41)+M41</f>
        <v/>
      </c>
      <c r="O41" s="18">
        <f>CEILING(R41, 100000)</f>
        <v/>
      </c>
      <c r="P41" s="18">
        <f>CEILING(S41, 100000)</f>
        <v/>
      </c>
      <c r="Q41" s="18">
        <f>CEILING(T41, 100000)</f>
        <v/>
      </c>
      <c r="R41" s="18">
        <f>U41*$R$2</f>
        <v/>
      </c>
      <c r="S41" s="18">
        <f>U41*$S$2</f>
        <v/>
      </c>
      <c r="T41" s="18">
        <f>U41*$T$2</f>
        <v/>
      </c>
      <c r="U41" s="5">
        <f>V41/DAY($C$1)</f>
        <v/>
      </c>
      <c r="V41" s="5" t="n">
        <v>65100000</v>
      </c>
      <c r="W41" s="4">
        <f>IFERROR(SUMIFS(data!$C:$C, data!$A:$A, $A41, data!$B:$B, $B41), 0)</f>
        <v/>
      </c>
      <c r="X41" s="5">
        <f>IFERROR(SUMIF(data!$B:$B, $B41, data!$D:$D), 0)</f>
        <v/>
      </c>
      <c r="Y41" s="5">
        <f>IF(W41&gt;0, X41/W41, 0)</f>
        <v/>
      </c>
      <c r="Z41" s="4">
        <f>IFERROR(SUMIFS(data!$E:$E, data!$A:$A, $A41, data!$B:$B, $B41), 0)</f>
        <v/>
      </c>
      <c r="AA41" s="5">
        <f>IFERROR(SUMIF(data!$B:$B, $B41, data!$F:$F), 0)</f>
        <v/>
      </c>
      <c r="AB41" s="5">
        <f>IF(Z41&gt;0, AA41/Z41, 0)</f>
        <v/>
      </c>
      <c r="AC41" s="4">
        <f>W41+Z41</f>
        <v/>
      </c>
      <c r="AD41" s="5">
        <f>X41+AA41</f>
        <v/>
      </c>
      <c r="AE41" s="5">
        <f>IF(AC41&gt;0, AD41/AC41, 0)</f>
        <v/>
      </c>
      <c r="AF41" s="19" t="n"/>
      <c r="AG41" s="19" t="n"/>
      <c r="AH41" s="19" t="n"/>
      <c r="AI41" s="19" t="n"/>
      <c r="AJ41" s="19" t="n"/>
      <c r="AK41" s="19" t="n"/>
      <c r="AL41" s="19" t="n"/>
    </row>
    <row r="42" ht="13.8" customHeight="1">
      <c r="A42" s="3" t="inlineStr">
        <is>
          <t>Lê Bình</t>
        </is>
      </c>
      <c r="B42" s="3" t="inlineStr">
        <is>
          <t>Hoàng Lâm Gia Bảo</t>
        </is>
      </c>
      <c r="C42" s="6" t="inlineStr">
        <is>
          <t>DSXC</t>
        </is>
      </c>
      <c r="D42" s="5" t="n">
        <v>150000</v>
      </c>
      <c r="E42" s="5">
        <f>AE42</f>
        <v/>
      </c>
      <c r="F42" s="5">
        <f>IFERROR(ROUND(_xludf.LET(nt,$A42,nv,$B42,songay,DAY(EOMONTH($C$1,0)),doanhthungay,$I42,duan_nv,SUMIFS('Dự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2" s="5">
        <f>IFERROR(SUMIF('Dự án T9'!$B:$B, $B42, 'Dự án T9'!$D:$D), 0)</f>
        <v/>
      </c>
      <c r="H42" s="5">
        <f>Q42</f>
        <v/>
      </c>
      <c r="I42" s="5">
        <f>(AD42/DAY($C$1))</f>
        <v/>
      </c>
      <c r="J42" s="16">
        <f>_xlfn.XLOOKUP(B42, 'kpi nhà thuốc'!A:A, 'kpi nhà thuốc'!F:F, (AD42/DAY($C$1))/U42)</f>
        <v/>
      </c>
      <c r="K42" s="5">
        <f>_xlfn.XLOOKUP(B42, 'kpi nhà thuốc'!$A:$A, 'kpi nhà thuốc'!$G:$G, IF(AND(OR(C42="DSXC", C42="DSCD", C42="DSBC", C42="DSTV", C42="Q.CHT", C42="BC"), G42&gt;=F42), AD42 * _xlfn.IFS(AND(I42&gt;=T42, E42&gt;=D42), 0.015, I42&gt;=T42, 0.013, AND(I42&gt;=S42, E42&gt;=D42), 0.013, I42&gt;=S42, 0.011, AND(I42&gt;=R42, E42&gt;=D42), 0.012, I42&gt;=R42, 0.010, TRUE, 0), 0))</f>
        <v/>
      </c>
      <c r="L42" s="6">
        <f>IF(C42="DSTV","", IF(J42&lt;0.6, 0.8, 1))</f>
        <v/>
      </c>
      <c r="M42" s="5">
        <f>IFERROR(SUMIF('Dự án T9'!$B:$B, $B42, 'Dự án T9'!$M:$M)*$L42, 0)</f>
        <v/>
      </c>
      <c r="N42" s="17">
        <f>N(K42)+M42</f>
        <v/>
      </c>
      <c r="O42" s="18">
        <f>CEILING(R42, 100000)</f>
        <v/>
      </c>
      <c r="P42" s="18">
        <f>CEILING(S42, 100000)</f>
        <v/>
      </c>
      <c r="Q42" s="18">
        <f>CEILING(T42, 100000)</f>
        <v/>
      </c>
      <c r="R42" s="18">
        <f>U42*$R$2</f>
        <v/>
      </c>
      <c r="S42" s="18">
        <f>U42*$S$2</f>
        <v/>
      </c>
      <c r="T42" s="18">
        <f>U42*$T$2</f>
        <v/>
      </c>
      <c r="U42" s="5">
        <f>V42/DAY($C$1)</f>
        <v/>
      </c>
      <c r="V42" s="5" t="n">
        <v>65100000</v>
      </c>
      <c r="W42" s="4">
        <f>IFERROR(SUMIFS(data!$C:$C, data!$A:$A, $A42, data!$B:$B, $B42), 0)</f>
        <v/>
      </c>
      <c r="X42" s="5">
        <f>IFERROR(SUMIF(data!$B:$B, $B42, data!$D:$D), 0)</f>
        <v/>
      </c>
      <c r="Y42" s="5">
        <f>IF(W42&gt;0, X42/W42, 0)</f>
        <v/>
      </c>
      <c r="Z42" s="4">
        <f>IFERROR(SUMIFS(data!$E:$E, data!$A:$A, $A42, data!$B:$B, $B42), 0)</f>
        <v/>
      </c>
      <c r="AA42" s="5">
        <f>IFERROR(SUMIF(data!$B:$B, $B42, data!$F:$F), 0)</f>
        <v/>
      </c>
      <c r="AB42" s="5">
        <f>IF(Z42&gt;0, AA42/Z42, 0)</f>
        <v/>
      </c>
      <c r="AC42" s="4">
        <f>W42+Z42</f>
        <v/>
      </c>
      <c r="AD42" s="5">
        <f>X42+AA42</f>
        <v/>
      </c>
      <c r="AE42" s="5">
        <f>IF(AC42&gt;0, AD42/AC42, 0)</f>
        <v/>
      </c>
      <c r="AF42" s="19" t="n"/>
      <c r="AG42" s="19" t="n"/>
      <c r="AH42" s="19" t="n"/>
      <c r="AI42" s="19" t="n"/>
      <c r="AJ42" s="19" t="n"/>
      <c r="AK42" s="19" t="n"/>
      <c r="AL42" s="19" t="n"/>
    </row>
    <row r="43" ht="13.8" customHeight="1">
      <c r="A43" s="3" t="inlineStr">
        <is>
          <t>Lê Bình</t>
        </is>
      </c>
      <c r="B43" s="3" t="inlineStr">
        <is>
          <t>Trần Thị Phương Thùy</t>
        </is>
      </c>
      <c r="C43" s="6" t="inlineStr">
        <is>
          <t>DSXC (TV)</t>
        </is>
      </c>
      <c r="D43" s="5" t="n">
        <v>150000</v>
      </c>
      <c r="E43" s="5">
        <f>AE43</f>
        <v/>
      </c>
      <c r="F43" s="5">
        <f>IFERROR(ROUND(_xludf.LET(nt,$A43,nv,$B43,songay,DAY(EOMONTH($C$1,0)),doanhthungay,$I43,duan_nv,SUMIFS('Dự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3" s="5">
        <f>IFERROR(SUMIF('Dự án T9'!$B:$B, $B43, 'Dự án T9'!$D:$D), 0)</f>
        <v/>
      </c>
      <c r="H43" s="5">
        <f>Q43</f>
        <v/>
      </c>
      <c r="I43" s="5">
        <f>(AD43/DAY($C$1))</f>
        <v/>
      </c>
      <c r="J43" s="16">
        <f>_xlfn.XLOOKUP(B43, 'kpi nhà thuốc'!A:A, 'kpi nhà thuốc'!F:F, (AD43/DAY($C$1))/U43)</f>
        <v/>
      </c>
      <c r="K43" s="5">
        <f>_xlfn.XLOOKUP(B43, 'kpi nhà thuốc'!$A:$A, 'kpi nhà thuốc'!$G:$G, IF(AND(OR(C43="DSXC", C43="DSCD", C43="DSBC", C43="DSTV", C43="Q.CHT", C43="BC"), G43&gt;=F43), AD43 * _xlfn.IFS(AND(I43&gt;=T43, E43&gt;=D43), 0.015, I43&gt;=T43, 0.013, AND(I43&gt;=S43, E43&gt;=D43), 0.013, I43&gt;=S43, 0.011, AND(I43&gt;=R43, E43&gt;=D43), 0.012, I43&gt;=R43, 0.010, TRUE, 0), 0))</f>
        <v/>
      </c>
      <c r="L43" s="6">
        <f>IF(C43="DSTV","", IF(J43&lt;0.6, 0.8, 1))</f>
        <v/>
      </c>
      <c r="M43" s="5">
        <f>IFERROR(SUMIF('Dự án T9'!$B:$B, $B43, 'Dự án T9'!$M:$M)*$L43, 0)</f>
        <v/>
      </c>
      <c r="N43" s="17">
        <f>N(K43)+M43</f>
        <v/>
      </c>
      <c r="O43" s="18">
        <f>CEILING(R43, 100000)</f>
        <v/>
      </c>
      <c r="P43" s="18">
        <f>CEILING(S43, 100000)</f>
        <v/>
      </c>
      <c r="Q43" s="18">
        <f>CEILING(T43, 100000)</f>
        <v/>
      </c>
      <c r="R43" s="18">
        <f>U43*$R$2</f>
        <v/>
      </c>
      <c r="S43" s="18">
        <f>U43*$S$2</f>
        <v/>
      </c>
      <c r="T43" s="18">
        <f>U43*$T$2</f>
        <v/>
      </c>
      <c r="U43" s="5">
        <f>V43/DAY($C$1)</f>
        <v/>
      </c>
      <c r="V43" s="5" t="n">
        <v>65100000</v>
      </c>
      <c r="W43" s="4">
        <f>IFERROR(SUMIFS(data!$C:$C, data!$A:$A, $A43, data!$B:$B, $B43), 0)</f>
        <v/>
      </c>
      <c r="X43" s="5">
        <f>IFERROR(SUMIF(data!$B:$B, $B43, data!$D:$D), 0)</f>
        <v/>
      </c>
      <c r="Y43" s="5">
        <f>IF(W43&gt;0, X43/W43, 0)</f>
        <v/>
      </c>
      <c r="Z43" s="4">
        <f>IFERROR(SUMIFS(data!$E:$E, data!$A:$A, $A43, data!$B:$B, $B43), 0)</f>
        <v/>
      </c>
      <c r="AA43" s="5">
        <f>IFERROR(SUMIF(data!$B:$B, $B43, data!$F:$F), 0)</f>
        <v/>
      </c>
      <c r="AB43" s="5">
        <f>IF(Z43&gt;0, AA43/Z43, 0)</f>
        <v/>
      </c>
      <c r="AC43" s="4">
        <f>W43+Z43</f>
        <v/>
      </c>
      <c r="AD43" s="5">
        <f>X43+AA43</f>
        <v/>
      </c>
      <c r="AE43" s="5">
        <f>IF(AC43&gt;0, AD43/AC43, 0)</f>
        <v/>
      </c>
      <c r="AF43" s="19" t="n"/>
      <c r="AG43" s="19" t="n"/>
      <c r="AH43" s="19" t="n"/>
      <c r="AI43" s="19" t="n"/>
      <c r="AJ43" s="19" t="n"/>
      <c r="AK43" s="19" t="n"/>
      <c r="AL43" s="19" t="n"/>
    </row>
    <row r="44" ht="13.8" customHeight="1">
      <c r="A44" s="3" t="inlineStr">
        <is>
          <t>Hàng Bông</t>
        </is>
      </c>
      <c r="B44" s="3" t="inlineStr">
        <is>
          <t>Đinh Thị Lan Anh</t>
        </is>
      </c>
      <c r="C44" s="6" t="inlineStr">
        <is>
          <t>CHT</t>
        </is>
      </c>
      <c r="D44" s="5" t="n">
        <v>187790</v>
      </c>
      <c r="E44" s="5">
        <f>AE44</f>
        <v/>
      </c>
      <c r="F44" s="5">
        <f>IFERROR(ROUND(_xludf.LET(nt,$A44,nv,$B44,songay,DAY(EOMONTH($C$1,0)),doanhthungay,$I44,duan_nv,SUMIFS('Dự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4" s="5">
        <f>IFERROR(SUMIF('Dự án T9'!$B:$B, $B44, 'Dự án T9'!$D:$D), 0)</f>
        <v/>
      </c>
      <c r="H44" s="5">
        <f>Q44</f>
        <v/>
      </c>
      <c r="I44" s="5">
        <f>(AD44/DAY($C$1))</f>
        <v/>
      </c>
      <c r="J44" s="16">
        <f>_xlfn.XLOOKUP(B44, 'kpi nhà thuốc'!A:A, 'kpi nhà thuốc'!F:F, (AD44/DAY($C$1))/U44)</f>
        <v/>
      </c>
      <c r="K44" s="5">
        <f>_xlfn.XLOOKUP(B44, 'kpi nhà thuốc'!$A:$A, 'kpi nhà thuốc'!$G:$G, IF(AND(OR(C44="DSXC", C44="DSCD", C44="DSBC", C44="DSTV", C44="Q.CHT", C44="BC"), G44&gt;=F44), AD44 * _xlfn.IFS(AND(I44&gt;=T44, E44&gt;=D44), 0.015, I44&gt;=T44, 0.013, AND(I44&gt;=S44, E44&gt;=D44), 0.013, I44&gt;=S44, 0.011, AND(I44&gt;=R44, E44&gt;=D44), 0.012, I44&gt;=R44, 0.010, TRUE, 0), 0))</f>
        <v/>
      </c>
      <c r="L44" s="6">
        <f>IF(C44="DSTV","", IF(J44&lt;0.6, 0.8, 1))</f>
        <v/>
      </c>
      <c r="M44" s="5">
        <f>IFERROR(SUMIF('Dự án T9'!$B:$B, $B44, 'Dự án T9'!$M:$M)*$L44, 0)</f>
        <v/>
      </c>
      <c r="N44" s="17">
        <f>N(K44)+M44</f>
        <v/>
      </c>
      <c r="O44" s="18">
        <f>CEILING(R44, 100000)</f>
        <v/>
      </c>
      <c r="P44" s="18">
        <f>CEILING(S44, 100000)</f>
        <v/>
      </c>
      <c r="Q44" s="18">
        <f>CEILING(T44, 100000)</f>
        <v/>
      </c>
      <c r="R44" s="18">
        <f>U44*$R$2</f>
        <v/>
      </c>
      <c r="S44" s="18">
        <f>U44*$S$2</f>
        <v/>
      </c>
      <c r="T44" s="18">
        <f>U44*$T$2</f>
        <v/>
      </c>
      <c r="U44" s="5">
        <f>V44/DAY($C$1)</f>
        <v/>
      </c>
      <c r="V44" s="5" t="n">
        <v>250000000</v>
      </c>
      <c r="W44" s="4">
        <f>IFERROR(SUMIFS(data!$C:$C, data!$A:$A, $A44, data!$B:$B, $B44), 0)</f>
        <v/>
      </c>
      <c r="X44" s="5">
        <f>IFERROR(SUMIF(data!$B:$B, $B44, data!$D:$D), 0)</f>
        <v/>
      </c>
      <c r="Y44" s="5">
        <f>IF(W44&gt;0, X44/W44, 0)</f>
        <v/>
      </c>
      <c r="Z44" s="4">
        <f>IFERROR(SUMIFS(data!$E:$E, data!$A:$A, $A44, data!$B:$B, $B44), 0)</f>
        <v/>
      </c>
      <c r="AA44" s="5">
        <f>IFERROR(SUMIF(data!$B:$B, $B44, data!$F:$F), 0)</f>
        <v/>
      </c>
      <c r="AB44" s="5">
        <f>IF(Z44&gt;0, AA44/Z44, 0)</f>
        <v/>
      </c>
      <c r="AC44" s="4">
        <f>W44+Z44</f>
        <v/>
      </c>
      <c r="AD44" s="5">
        <f>X44+AA44</f>
        <v/>
      </c>
      <c r="AE44" s="5">
        <f>IF(AC44&gt;0, AD44/AC44, 0)</f>
        <v/>
      </c>
      <c r="AF44" s="19" t="n"/>
      <c r="AG44" s="19" t="n"/>
      <c r="AH44" s="19" t="n"/>
      <c r="AI44" s="19" t="n"/>
      <c r="AJ44" s="19" t="n"/>
      <c r="AK44" s="19" t="n"/>
      <c r="AL44" s="19" t="n"/>
    </row>
    <row r="45" ht="13.8" customHeight="1">
      <c r="A45" s="3" t="inlineStr">
        <is>
          <t>Hàng Bông</t>
        </is>
      </c>
      <c r="B45" s="3" t="inlineStr">
        <is>
          <t>Vũ Thanh Hằng</t>
        </is>
      </c>
      <c r="C45" s="6" t="inlineStr">
        <is>
          <t>BC</t>
        </is>
      </c>
      <c r="D45" s="5" t="n">
        <v>326285</v>
      </c>
      <c r="E45" s="5">
        <f>AE45</f>
        <v/>
      </c>
      <c r="F45" s="5">
        <f>IFERROR(ROUND(_xludf.LET(nt,$A45,nv,$B45,songay,DAY(EOMONTH($C$1,0)),doanhthungay,$I45,duan_nv,SUMIFS('Dự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5" s="5">
        <f>IFERROR(SUMIF('Dự án T9'!$B:$B, $B45, 'Dự án T9'!$D:$D), 0)</f>
        <v/>
      </c>
      <c r="H45" s="5">
        <f>Q45</f>
        <v/>
      </c>
      <c r="I45" s="5">
        <f>(AD45/DAY($C$1))</f>
        <v/>
      </c>
      <c r="J45" s="16">
        <f>_xlfn.XLOOKUP(B45, 'kpi nhà thuốc'!A:A, 'kpi nhà thuốc'!F:F, (AD45/DAY($C$1))/U45)</f>
        <v/>
      </c>
      <c r="K45" s="5">
        <f>_xlfn.XLOOKUP(B45, 'kpi nhà thuốc'!$A:$A, 'kpi nhà thuốc'!$G:$G, IF(AND(OR(C45="DSXC", C45="DSCD", C45="DSBC", C45="DSTV", C45="Q.CHT", C45="BC"), G45&gt;=F45), AD45 * _xlfn.IFS(AND(I45&gt;=T45, E45&gt;=D45), 0.015, I45&gt;=T45, 0.013, AND(I45&gt;=S45, E45&gt;=D45), 0.013, I45&gt;=S45, 0.011, AND(I45&gt;=R45, E45&gt;=D45), 0.012, I45&gt;=R45, 0.010, TRUE, 0), 0))</f>
        <v/>
      </c>
      <c r="L45" s="6">
        <f>IF(C45="DSTV","", IF(J45&lt;0.6, 0.8, 1))</f>
        <v/>
      </c>
      <c r="M45" s="5">
        <f>IFERROR(SUMIF('Dự án T9'!$B:$B, $B45, 'Dự án T9'!$M:$M)*$L45, 0)</f>
        <v/>
      </c>
      <c r="N45" s="17">
        <f>N(K45)+M45</f>
        <v/>
      </c>
      <c r="O45" s="18">
        <f>CEILING(R45, 100000)</f>
        <v/>
      </c>
      <c r="P45" s="18">
        <f>CEILING(S45, 100000)</f>
        <v/>
      </c>
      <c r="Q45" s="18">
        <f>CEILING(T45, 100000)</f>
        <v/>
      </c>
      <c r="R45" s="18">
        <f>U45*$R$2</f>
        <v/>
      </c>
      <c r="S45" s="18">
        <f>U45*$S$2</f>
        <v/>
      </c>
      <c r="T45" s="18">
        <f>U45*$T$2</f>
        <v/>
      </c>
      <c r="U45" s="5">
        <f>V45/DAY($C$1)</f>
        <v/>
      </c>
      <c r="V45" s="5" t="n">
        <v>300000000</v>
      </c>
      <c r="W45" s="4">
        <f>IFERROR(SUMIFS(data!$C:$C, data!$A:$A, $A45, data!$B:$B, $B45), 0)</f>
        <v/>
      </c>
      <c r="X45" s="5">
        <f>IFERROR(SUMIF(data!$B:$B, $B45, data!$D:$D), 0)</f>
        <v/>
      </c>
      <c r="Y45" s="5">
        <f>IF(W45&gt;0, X45/W45, 0)</f>
        <v/>
      </c>
      <c r="Z45" s="4">
        <f>IFERROR(SUMIFS(data!$E:$E, data!$A:$A, $A45, data!$B:$B, $B45), 0)</f>
        <v/>
      </c>
      <c r="AA45" s="5">
        <f>IFERROR(SUMIF(data!$B:$B, $B45, data!$F:$F), 0)</f>
        <v/>
      </c>
      <c r="AB45" s="5">
        <f>IF(Z45&gt;0, AA45/Z45, 0)</f>
        <v/>
      </c>
      <c r="AC45" s="4">
        <f>W45+Z45</f>
        <v/>
      </c>
      <c r="AD45" s="5">
        <f>X45+AA45</f>
        <v/>
      </c>
      <c r="AE45" s="5">
        <f>IF(AC45&gt;0, AD45/AC45, 0)</f>
        <v/>
      </c>
      <c r="AF45" s="19" t="n"/>
      <c r="AG45" s="19" t="n"/>
      <c r="AH45" s="19" t="n"/>
      <c r="AI45" s="19" t="n"/>
      <c r="AJ45" s="19" t="n"/>
      <c r="AK45" s="19" t="n"/>
      <c r="AL45" s="19" t="n"/>
    </row>
    <row r="46" ht="13.8" customHeight="1">
      <c r="A46" s="3" t="inlineStr">
        <is>
          <t>Hàng Bông</t>
        </is>
      </c>
      <c r="B46" s="3" t="inlineStr">
        <is>
          <t>Nguyễn Mạnh Tuấn</t>
        </is>
      </c>
      <c r="C46" s="6" t="inlineStr">
        <is>
          <t>BC</t>
        </is>
      </c>
      <c r="D46" s="5" t="n">
        <v>173037</v>
      </c>
      <c r="E46" s="5">
        <f>AE46</f>
        <v/>
      </c>
      <c r="F46" s="5">
        <f>IFERROR(ROUND(_xludf.LET(nt,$A46,nv,$B46,songay,DAY(EOMONTH($C$1,0)),doanhthungay,$I46,duan_nv,SUMIFS('Dự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6" s="5">
        <f>IFERROR(SUMIF('Dự án T9'!$B:$B, $B46, 'Dự án T9'!$D:$D), 0)</f>
        <v/>
      </c>
      <c r="H46" s="5">
        <f>Q46</f>
        <v/>
      </c>
      <c r="I46" s="5">
        <f>(AD46/DAY($C$1))</f>
        <v/>
      </c>
      <c r="J46" s="16">
        <f>_xlfn.XLOOKUP(B46, 'kpi nhà thuốc'!A:A, 'kpi nhà thuốc'!F:F, (AD46/DAY($C$1))/U46)</f>
        <v/>
      </c>
      <c r="K46" s="5">
        <f>_xlfn.XLOOKUP(B46, 'kpi nhà thuốc'!$A:$A, 'kpi nhà thuốc'!$G:$G, IF(AND(OR(C46="DSXC", C46="DSCD", C46="DSBC", C46="DSTV", C46="Q.CHT", C46="BC"), G46&gt;=F46), AD46 * _xlfn.IFS(AND(I46&gt;=T46, E46&gt;=D46), 0.015, I46&gt;=T46, 0.013, AND(I46&gt;=S46, E46&gt;=D46), 0.013, I46&gt;=S46, 0.011, AND(I46&gt;=R46, E46&gt;=D46), 0.012, I46&gt;=R46, 0.010, TRUE, 0), 0))</f>
        <v/>
      </c>
      <c r="L46" s="6">
        <f>IF(C46="DSTV","", IF(J46&lt;0.6, 0.8, 1))</f>
        <v/>
      </c>
      <c r="M46" s="5">
        <f>IFERROR(SUMIF('Dự án T9'!$B:$B, $B46, 'Dự án T9'!$M:$M)*$L46, 0)</f>
        <v/>
      </c>
      <c r="N46" s="17">
        <f>N(K46)+M46</f>
        <v/>
      </c>
      <c r="O46" s="18">
        <f>CEILING(R46, 100000)</f>
        <v/>
      </c>
      <c r="P46" s="18">
        <f>CEILING(S46, 100000)</f>
        <v/>
      </c>
      <c r="Q46" s="18">
        <f>CEILING(T46, 100000)</f>
        <v/>
      </c>
      <c r="R46" s="18">
        <f>U46*$R$2</f>
        <v/>
      </c>
      <c r="S46" s="18">
        <f>U46*$S$2</f>
        <v/>
      </c>
      <c r="T46" s="18">
        <f>U46*$T$2</f>
        <v/>
      </c>
      <c r="U46" s="5">
        <f>V46/DAY($C$1)</f>
        <v/>
      </c>
      <c r="V46" s="5" t="n">
        <v>250000000</v>
      </c>
      <c r="W46" s="4">
        <f>IFERROR(SUMIFS(data!$C:$C, data!$A:$A, $A46, data!$B:$B, $B46), 0)</f>
        <v/>
      </c>
      <c r="X46" s="5">
        <f>IFERROR(SUMIF(data!$B:$B, $B46, data!$D:$D), 0)</f>
        <v/>
      </c>
      <c r="Y46" s="5">
        <f>IF(W46&gt;0, X46/W46, 0)</f>
        <v/>
      </c>
      <c r="Z46" s="4">
        <f>IFERROR(SUMIFS(data!$E:$E, data!$A:$A, $A46, data!$B:$B, $B46), 0)</f>
        <v/>
      </c>
      <c r="AA46" s="5">
        <f>IFERROR(SUMIF(data!$B:$B, $B46, data!$F:$F), 0)</f>
        <v/>
      </c>
      <c r="AB46" s="5">
        <f>IF(Z46&gt;0, AA46/Z46, 0)</f>
        <v/>
      </c>
      <c r="AC46" s="4">
        <f>W46+Z46</f>
        <v/>
      </c>
      <c r="AD46" s="5">
        <f>X46+AA46</f>
        <v/>
      </c>
      <c r="AE46" s="5">
        <f>IF(AC46&gt;0, AD46/AC46, 0)</f>
        <v/>
      </c>
      <c r="AF46" s="19" t="n"/>
      <c r="AG46" s="19" t="n"/>
      <c r="AH46" s="19" t="n"/>
      <c r="AI46" s="19" t="n"/>
      <c r="AJ46" s="19" t="n"/>
      <c r="AK46" s="19" t="n"/>
      <c r="AL46" s="19" t="n"/>
    </row>
    <row r="47" ht="13.8" customHeight="1">
      <c r="A47" s="3" t="inlineStr">
        <is>
          <t>Hàng Bông</t>
        </is>
      </c>
      <c r="B47" s="3" t="inlineStr">
        <is>
          <t>Đinh Thị Khánh Ly</t>
        </is>
      </c>
      <c r="C47" s="6" t="inlineStr">
        <is>
          <t>BC</t>
        </is>
      </c>
      <c r="D47" s="5" t="n">
        <v>245749</v>
      </c>
      <c r="E47" s="5">
        <f>AE47</f>
        <v/>
      </c>
      <c r="F47" s="5">
        <f>IFERROR(ROUND(_xludf.LET(nt,$A47,nv,$B47,songay,DAY(EOMONTH($C$1,0)),doanhthungay,$I47,duan_nv,SUMIFS('Dự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7" s="5">
        <f>IFERROR(SUMIF('Dự án T9'!$B:$B, $B47, 'Dự án T9'!$D:$D), 0)</f>
        <v/>
      </c>
      <c r="H47" s="5">
        <f>Q47</f>
        <v/>
      </c>
      <c r="I47" s="5">
        <f>(AD47/DAY($C$1))</f>
        <v/>
      </c>
      <c r="J47" s="16">
        <f>_xlfn.XLOOKUP(B47, 'kpi nhà thuốc'!A:A, 'kpi nhà thuốc'!F:F, (AD47/DAY($C$1))/U47)</f>
        <v/>
      </c>
      <c r="K47" s="5">
        <f>_xlfn.XLOOKUP(B47, 'kpi nhà thuốc'!$A:$A, 'kpi nhà thuốc'!$G:$G, IF(AND(OR(C47="DSXC", C47="DSCD", C47="DSBC", C47="DSTV", C47="Q.CHT", C47="BC"), G47&gt;=F47), AD47 * _xlfn.IFS(AND(I47&gt;=T47, E47&gt;=D47), 0.015, I47&gt;=T47, 0.013, AND(I47&gt;=S47, E47&gt;=D47), 0.013, I47&gt;=S47, 0.011, AND(I47&gt;=R47, E47&gt;=D47), 0.012, I47&gt;=R47, 0.010, TRUE, 0), 0))</f>
        <v/>
      </c>
      <c r="L47" s="6">
        <f>IF(C47="DSTV","", IF(J47&lt;0.6, 0.8, 1))</f>
        <v/>
      </c>
      <c r="M47" s="5">
        <f>IFERROR(SUMIF('Dự án T9'!$B:$B, $B47, 'Dự án T9'!$M:$M)*$L47, 0)</f>
        <v/>
      </c>
      <c r="N47" s="17">
        <f>N(K47)+M47</f>
        <v/>
      </c>
      <c r="O47" s="18">
        <f>CEILING(R47, 100000)</f>
        <v/>
      </c>
      <c r="P47" s="18">
        <f>CEILING(S47, 100000)</f>
        <v/>
      </c>
      <c r="Q47" s="18">
        <f>CEILING(T47, 100000)</f>
        <v/>
      </c>
      <c r="R47" s="18">
        <f>U47*$R$2</f>
        <v/>
      </c>
      <c r="S47" s="18">
        <f>U47*$S$2</f>
        <v/>
      </c>
      <c r="T47" s="18">
        <f>U47*$T$2</f>
        <v/>
      </c>
      <c r="U47" s="5">
        <f>V47/DAY($C$1)</f>
        <v/>
      </c>
      <c r="V47" s="5" t="n">
        <v>300000000</v>
      </c>
      <c r="W47" s="4">
        <f>IFERROR(SUMIFS(data!$C:$C, data!$A:$A, $A47, data!$B:$B, $B47), 0)</f>
        <v/>
      </c>
      <c r="X47" s="5">
        <f>IFERROR(SUMIF(data!$B:$B, $B47, data!$D:$D), 0)</f>
        <v/>
      </c>
      <c r="Y47" s="5">
        <f>IF(W47&gt;0, X47/W47, 0)</f>
        <v/>
      </c>
      <c r="Z47" s="4">
        <f>IFERROR(SUMIFS(data!$E:$E, data!$A:$A, $A47, data!$B:$B, $B47), 0)</f>
        <v/>
      </c>
      <c r="AA47" s="5">
        <f>IFERROR(SUMIF(data!$B:$B, $B47, data!$F:$F), 0)</f>
        <v/>
      </c>
      <c r="AB47" s="5">
        <f>IF(Z47&gt;0, AA47/Z47, 0)</f>
        <v/>
      </c>
      <c r="AC47" s="4">
        <f>W47+Z47</f>
        <v/>
      </c>
      <c r="AD47" s="5">
        <f>X47+AA47</f>
        <v/>
      </c>
      <c r="AE47" s="5">
        <f>IF(AC47&gt;0, AD47/AC47, 0)</f>
        <v/>
      </c>
      <c r="AF47" s="19" t="n"/>
      <c r="AG47" s="19" t="n"/>
      <c r="AH47" s="19" t="n"/>
      <c r="AI47" s="19" t="n"/>
      <c r="AJ47" s="19" t="n"/>
      <c r="AK47" s="19" t="n"/>
      <c r="AL47" s="19" t="n"/>
    </row>
    <row r="48" ht="13.8" customHeight="1">
      <c r="A48" s="3" t="inlineStr">
        <is>
          <t>Hàng Bông</t>
        </is>
      </c>
      <c r="B48" s="3" t="inlineStr">
        <is>
          <t>Đỗ Thu Huệ</t>
        </is>
      </c>
      <c r="C48" s="6" t="inlineStr">
        <is>
          <t>DSXC (TV)</t>
        </is>
      </c>
      <c r="D48" s="5" t="n">
        <v>150000</v>
      </c>
      <c r="E48" s="5">
        <f>AE48</f>
        <v/>
      </c>
      <c r="F48" s="5">
        <f>IFERROR(ROUND(_xludf.LET(nt,$A48,nv,$B48,songay,DAY(EOMONTH($C$1,0)),doanhthungay,$I48,duan_nv,SUMIFS('Dự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8" s="5">
        <f>IFERROR(SUMIF('Dự án T9'!$B:$B, $B48, 'Dự án T9'!$D:$D), 0)</f>
        <v/>
      </c>
      <c r="H48" s="5">
        <f>Q48</f>
        <v/>
      </c>
      <c r="I48" s="5">
        <f>(AD48/DAY($C$1))</f>
        <v/>
      </c>
      <c r="J48" s="16">
        <f>_xlfn.XLOOKUP(B48, 'kpi nhà thuốc'!A:A, 'kpi nhà thuốc'!F:F, (AD48/DAY($C$1))/U48)</f>
        <v/>
      </c>
      <c r="K48" s="5">
        <f>_xlfn.XLOOKUP(B48, 'kpi nhà thuốc'!$A:$A, 'kpi nhà thuốc'!$G:$G, IF(AND(OR(C48="DSXC", C48="DSCD", C48="DSBC", C48="DSTV", C48="Q.CHT", C48="BC"), G48&gt;=F48), AD48 * _xlfn.IFS(AND(I48&gt;=T48, E48&gt;=D48), 0.015, I48&gt;=T48, 0.013, AND(I48&gt;=S48, E48&gt;=D48), 0.013, I48&gt;=S48, 0.011, AND(I48&gt;=R48, E48&gt;=D48), 0.012, I48&gt;=R48, 0.010, TRUE, 0), 0))</f>
        <v/>
      </c>
      <c r="L48" s="6">
        <f>IF(C48="DSTV","", IF(J48&lt;0.6, 0.8, 1))</f>
        <v/>
      </c>
      <c r="M48" s="5">
        <f>IFERROR(SUMIF('Dự án T9'!$B:$B, $B48, 'Dự án T9'!$M:$M)*$L48, 0)</f>
        <v/>
      </c>
      <c r="N48" s="17">
        <f>N(K48)+M48</f>
        <v/>
      </c>
      <c r="O48" s="18">
        <f>CEILING(R48, 100000)</f>
        <v/>
      </c>
      <c r="P48" s="18">
        <f>CEILING(S48, 100000)</f>
        <v/>
      </c>
      <c r="Q48" s="18">
        <f>CEILING(T48, 100000)</f>
        <v/>
      </c>
      <c r="R48" s="18">
        <f>U48*$R$2</f>
        <v/>
      </c>
      <c r="S48" s="18">
        <f>U48*$S$2</f>
        <v/>
      </c>
      <c r="T48" s="18">
        <f>U48*$T$2</f>
        <v/>
      </c>
      <c r="U48" s="5">
        <f>V48/DAY($C$1)</f>
        <v/>
      </c>
      <c r="V48" s="5" t="n">
        <v>250000000</v>
      </c>
      <c r="W48" s="4">
        <f>IFERROR(SUMIFS(data!$C:$C, data!$A:$A, $A48, data!$B:$B, $B48), 0)</f>
        <v/>
      </c>
      <c r="X48" s="5">
        <f>IFERROR(SUMIF(data!$B:$B, $B48, data!$D:$D), 0)</f>
        <v/>
      </c>
      <c r="Y48" s="5">
        <f>IF(W48&gt;0, X48/W48, 0)</f>
        <v/>
      </c>
      <c r="Z48" s="4">
        <f>IFERROR(SUMIFS(data!$E:$E, data!$A:$A, $A48, data!$B:$B, $B48), 0)</f>
        <v/>
      </c>
      <c r="AA48" s="5">
        <f>IFERROR(SUMIF(data!$B:$B, $B48, data!$F:$F), 0)</f>
        <v/>
      </c>
      <c r="AB48" s="5">
        <f>IF(Z48&gt;0, AA48/Z48, 0)</f>
        <v/>
      </c>
      <c r="AC48" s="4">
        <f>W48+Z48</f>
        <v/>
      </c>
      <c r="AD48" s="5">
        <f>X48+AA48</f>
        <v/>
      </c>
      <c r="AE48" s="5">
        <f>IF(AC48&gt;0, AD48/AC48, 0)</f>
        <v/>
      </c>
      <c r="AF48" s="19" t="n"/>
      <c r="AG48" s="19" t="n"/>
      <c r="AH48" s="19" t="n"/>
      <c r="AI48" s="19" t="n"/>
      <c r="AJ48" s="19" t="n"/>
      <c r="AK48" s="19" t="n"/>
      <c r="AL48" s="19" t="n"/>
    </row>
    <row r="49" ht="13.8" customHeight="1">
      <c r="A49" s="3" t="inlineStr">
        <is>
          <t>Đường Láng</t>
        </is>
      </c>
      <c r="B49" s="3" t="inlineStr">
        <is>
          <t>Hứa Thị Kim Thoa</t>
        </is>
      </c>
      <c r="C49" s="6" t="inlineStr">
        <is>
          <t>CHT</t>
        </is>
      </c>
      <c r="D49" s="5" t="n">
        <v>166214</v>
      </c>
      <c r="E49" s="5">
        <f>AE49</f>
        <v/>
      </c>
      <c r="F49" s="5">
        <f>IFERROR(ROUND(_xludf.LET(nt,$A49,nv,$B49,songay,DAY(EOMONTH($C$1,0)),doanhthungay,$I49,duan_nv,SUMIFS('Dự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49" s="5">
        <f>IFERROR(SUMIF('Dự án T9'!$B:$B, $B49, 'Dự án T9'!$D:$D), 0)</f>
        <v/>
      </c>
      <c r="H49" s="5">
        <f>Q49</f>
        <v/>
      </c>
      <c r="I49" s="5">
        <f>(AD49/DAY($C$1))</f>
        <v/>
      </c>
      <c r="J49" s="16">
        <f>_xlfn.XLOOKUP(B49, 'kpi nhà thuốc'!A:A, 'kpi nhà thuốc'!F:F, (AD49/DAY($C$1))/U49)</f>
        <v/>
      </c>
      <c r="K49" s="5">
        <f>_xlfn.XLOOKUP(B49, 'kpi nhà thuốc'!$A:$A, 'kpi nhà thuốc'!$G:$G, IF(AND(OR(C49="DSXC", C49="DSCD", C49="DSBC", C49="DSTV", C49="Q.CHT", C49="BC"), G49&gt;=F49), AD49 * _xlfn.IFS(AND(I49&gt;=T49, E49&gt;=D49), 0.015, I49&gt;=T49, 0.013, AND(I49&gt;=S49, E49&gt;=D49), 0.013, I49&gt;=S49, 0.011, AND(I49&gt;=R49, E49&gt;=D49), 0.012, I49&gt;=R49, 0.010, TRUE, 0), 0))</f>
        <v/>
      </c>
      <c r="L49" s="6">
        <f>IF(C49="DSTV","", IF(J49&lt;0.6, 0.8, 1))</f>
        <v/>
      </c>
      <c r="M49" s="5">
        <f>IFERROR(SUMIF('Dự án T9'!$B:$B, $B49, 'Dự án T9'!$M:$M)*$L49, 0)</f>
        <v/>
      </c>
      <c r="N49" s="17">
        <f>N(K49)+M49</f>
        <v/>
      </c>
      <c r="O49" s="18">
        <f>CEILING(R49, 100000)</f>
        <v/>
      </c>
      <c r="P49" s="18">
        <f>CEILING(S49, 100000)</f>
        <v/>
      </c>
      <c r="Q49" s="18">
        <f>CEILING(T49, 100000)</f>
        <v/>
      </c>
      <c r="R49" s="18">
        <f>U49*$R$2</f>
        <v/>
      </c>
      <c r="S49" s="18">
        <f>U49*$S$2</f>
        <v/>
      </c>
      <c r="T49" s="18">
        <f>U49*$T$2</f>
        <v/>
      </c>
      <c r="U49" s="5">
        <f>V49/DAY($C$1)</f>
        <v/>
      </c>
      <c r="V49" s="5" t="n">
        <v>100000000</v>
      </c>
      <c r="W49" s="4">
        <f>IFERROR(SUMIFS(data!$C:$C, data!$A:$A, $A49, data!$B:$B, $B49), 0)</f>
        <v/>
      </c>
      <c r="X49" s="5">
        <f>IFERROR(SUMIF(data!$B:$B, $B49, data!$D:$D), 0)</f>
        <v/>
      </c>
      <c r="Y49" s="5">
        <f>IF(W49&gt;0, X49/W49, 0)</f>
        <v/>
      </c>
      <c r="Z49" s="4">
        <f>IFERROR(SUMIFS(data!$E:$E, data!$A:$A, $A49, data!$B:$B, $B49), 0)</f>
        <v/>
      </c>
      <c r="AA49" s="5">
        <f>IFERROR(SUMIF(data!$B:$B, $B49, data!$F:$F), 0)</f>
        <v/>
      </c>
      <c r="AB49" s="5">
        <f>IF(Z49&gt;0, AA49/Z49, 0)</f>
        <v/>
      </c>
      <c r="AC49" s="4">
        <f>W49+Z49</f>
        <v/>
      </c>
      <c r="AD49" s="5">
        <f>X49+AA49</f>
        <v/>
      </c>
      <c r="AE49" s="5">
        <f>IF(AC49&gt;0, AD49/AC49, 0)</f>
        <v/>
      </c>
      <c r="AF49" s="19" t="n"/>
      <c r="AG49" s="19" t="n"/>
      <c r="AH49" s="19" t="n"/>
      <c r="AI49" s="19" t="n"/>
      <c r="AJ49" s="19" t="n"/>
      <c r="AK49" s="19" t="n"/>
      <c r="AL49" s="19" t="n"/>
    </row>
    <row r="50" ht="13.8" customHeight="1">
      <c r="A50" s="3" t="inlineStr">
        <is>
          <t>Đường Láng</t>
        </is>
      </c>
      <c r="B50" s="3" t="inlineStr">
        <is>
          <t>Lê Thị Soạn</t>
        </is>
      </c>
      <c r="C50" s="6" t="inlineStr">
        <is>
          <t>BC</t>
        </is>
      </c>
      <c r="D50" s="5" t="n">
        <v>130639</v>
      </c>
      <c r="E50" s="5">
        <f>AE50</f>
        <v/>
      </c>
      <c r="F50" s="5">
        <f>IFERROR(ROUND(_xludf.LET(nt,$A50,nv,$B50,songay,DAY(EOMONTH($C$1,0)),doanhthungay,$I50,duan_nv,SUMIFS('Dự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0" s="5">
        <f>IFERROR(SUMIF('Dự án T9'!$B:$B, $B50, 'Dự án T9'!$D:$D), 0)</f>
        <v/>
      </c>
      <c r="H50" s="5">
        <f>Q50</f>
        <v/>
      </c>
      <c r="I50" s="5">
        <f>(AD50/DAY($C$1))</f>
        <v/>
      </c>
      <c r="J50" s="16">
        <f>_xlfn.XLOOKUP(B50, 'kpi nhà thuốc'!A:A, 'kpi nhà thuốc'!F:F, (AD50/DAY($C$1))/U50)</f>
        <v/>
      </c>
      <c r="K50" s="5">
        <f>_xlfn.XLOOKUP(B50, 'kpi nhà thuốc'!$A:$A, 'kpi nhà thuốc'!$G:$G, IF(AND(OR(C50="DSXC", C50="DSCD", C50="DSBC", C50="DSTV", C50="Q.CHT", C50="BC"), G50&gt;=F50), AD50 * _xlfn.IFS(AND(I50&gt;=T50, E50&gt;=D50), 0.015, I50&gt;=T50, 0.013, AND(I50&gt;=S50, E50&gt;=D50), 0.013, I50&gt;=S50, 0.011, AND(I50&gt;=R50, E50&gt;=D50), 0.012, I50&gt;=R50, 0.010, TRUE, 0), 0))</f>
        <v/>
      </c>
      <c r="L50" s="6">
        <f>IF(C50="DSTV","", IF(J50&lt;0.6, 0.8, 1))</f>
        <v/>
      </c>
      <c r="M50" s="5">
        <f>IFERROR(SUMIF('Dự án T9'!$B:$B, $B50, 'Dự án T9'!$M:$M)*$L50, 0)</f>
        <v/>
      </c>
      <c r="N50" s="17">
        <f>N(K50)+M50</f>
        <v/>
      </c>
      <c r="O50" s="18">
        <f>CEILING(R50, 100000)</f>
        <v/>
      </c>
      <c r="P50" s="18">
        <f>CEILING(S50, 100000)</f>
        <v/>
      </c>
      <c r="Q50" s="18">
        <f>CEILING(T50, 100000)</f>
        <v/>
      </c>
      <c r="R50" s="18">
        <f>U50*$R$2</f>
        <v/>
      </c>
      <c r="S50" s="18">
        <f>U50*$S$2</f>
        <v/>
      </c>
      <c r="T50" s="18">
        <f>U50*$T$2</f>
        <v/>
      </c>
      <c r="U50" s="5">
        <f>V50/DAY($C$1)</f>
        <v/>
      </c>
      <c r="V50" s="5" t="n">
        <v>260000000</v>
      </c>
      <c r="W50" s="4">
        <f>IFERROR(SUMIFS(data!$C:$C, data!$A:$A, $A50, data!$B:$B, $B50), 0)</f>
        <v/>
      </c>
      <c r="X50" s="5">
        <f>IFERROR(SUMIF(data!$B:$B, $B50, data!$D:$D), 0)</f>
        <v/>
      </c>
      <c r="Y50" s="5">
        <f>IF(W50&gt;0, X50/W50, 0)</f>
        <v/>
      </c>
      <c r="Z50" s="4">
        <f>IFERROR(SUMIFS(data!$E:$E, data!$A:$A, $A50, data!$B:$B, $B50), 0)</f>
        <v/>
      </c>
      <c r="AA50" s="5">
        <f>IFERROR(SUMIF(data!$B:$B, $B50, data!$F:$F), 0)</f>
        <v/>
      </c>
      <c r="AB50" s="5">
        <f>IF(Z50&gt;0, AA50/Z50, 0)</f>
        <v/>
      </c>
      <c r="AC50" s="4">
        <f>W50+Z50</f>
        <v/>
      </c>
      <c r="AD50" s="5">
        <f>X50+AA50</f>
        <v/>
      </c>
      <c r="AE50" s="5">
        <f>IF(AC50&gt;0, AD50/AC50, 0)</f>
        <v/>
      </c>
      <c r="AF50" s="19" t="n"/>
      <c r="AG50" s="19" t="n"/>
      <c r="AH50" s="19" t="n"/>
      <c r="AI50" s="19" t="n"/>
      <c r="AJ50" s="19" t="n"/>
      <c r="AK50" s="19" t="n"/>
      <c r="AL50" s="19" t="n"/>
    </row>
    <row r="51" ht="13.8" customHeight="1">
      <c r="A51" s="3" t="inlineStr">
        <is>
          <t>Đường Láng</t>
        </is>
      </c>
      <c r="B51" s="3" t="inlineStr">
        <is>
          <t>Nguyễn Thị Tâm</t>
        </is>
      </c>
      <c r="C51" s="6" t="inlineStr">
        <is>
          <t>BC</t>
        </is>
      </c>
      <c r="D51" s="5" t="n">
        <v>171564</v>
      </c>
      <c r="E51" s="5">
        <f>AE51</f>
        <v/>
      </c>
      <c r="F51" s="5">
        <f>IFERROR(ROUND(_xludf.LET(nt,$A51,nv,$B51,songay,DAY(EOMONTH($C$1,0)),doanhthungay,$I51,duan_nv,SUMIFS('Dự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1" s="5">
        <f>IFERROR(SUMIF('Dự án T9'!$B:$B, $B51, 'Dự án T9'!$D:$D), 0)</f>
        <v/>
      </c>
      <c r="H51" s="5">
        <f>Q51</f>
        <v/>
      </c>
      <c r="I51" s="5">
        <f>(AD51/DAY($C$1))</f>
        <v/>
      </c>
      <c r="J51" s="16">
        <f>_xlfn.XLOOKUP(B51, 'kpi nhà thuốc'!A:A, 'kpi nhà thuốc'!F:F, (AD51/DAY($C$1))/U51)</f>
        <v/>
      </c>
      <c r="K51" s="5">
        <f>_xlfn.XLOOKUP(B51, 'kpi nhà thuốc'!$A:$A, 'kpi nhà thuốc'!$G:$G, IF(AND(OR(C51="DSXC", C51="DSCD", C51="DSBC", C51="DSTV", C51="Q.CHT", C51="BC"), G51&gt;=F51), AD51 * _xlfn.IFS(AND(I51&gt;=T51, E51&gt;=D51), 0.015, I51&gt;=T51, 0.013, AND(I51&gt;=S51, E51&gt;=D51), 0.013, I51&gt;=S51, 0.011, AND(I51&gt;=R51, E51&gt;=D51), 0.012, I51&gt;=R51, 0.010, TRUE, 0), 0))</f>
        <v/>
      </c>
      <c r="L51" s="6">
        <f>IF(C51="DSTV","", IF(J51&lt;0.6, 0.8, 1))</f>
        <v/>
      </c>
      <c r="M51" s="5">
        <f>IFERROR(SUMIF('Dự án T9'!$B:$B, $B51, 'Dự án T9'!$M:$M)*$L51, 0)</f>
        <v/>
      </c>
      <c r="N51" s="17">
        <f>N(K51)+M51</f>
        <v/>
      </c>
      <c r="O51" s="18">
        <f>CEILING(R51, 100000)</f>
        <v/>
      </c>
      <c r="P51" s="18">
        <f>CEILING(S51, 100000)</f>
        <v/>
      </c>
      <c r="Q51" s="18">
        <f>CEILING(T51, 100000)</f>
        <v/>
      </c>
      <c r="R51" s="18">
        <f>U51*$R$2</f>
        <v/>
      </c>
      <c r="S51" s="18">
        <f>U51*$S$2</f>
        <v/>
      </c>
      <c r="T51" s="18">
        <f>U51*$T$2</f>
        <v/>
      </c>
      <c r="U51" s="5">
        <f>V51/DAY($C$1)</f>
        <v/>
      </c>
      <c r="V51" s="5" t="n">
        <v>240000000</v>
      </c>
      <c r="W51" s="4">
        <f>IFERROR(SUMIFS(data!$C:$C, data!$A:$A, $A51, data!$B:$B, $B51), 0)</f>
        <v/>
      </c>
      <c r="X51" s="5">
        <f>IFERROR(SUMIF(data!$B:$B, $B51, data!$D:$D), 0)</f>
        <v/>
      </c>
      <c r="Y51" s="5">
        <f>IF(W51&gt;0, X51/W51, 0)</f>
        <v/>
      </c>
      <c r="Z51" s="4">
        <f>IFERROR(SUMIFS(data!$E:$E, data!$A:$A, $A51, data!$B:$B, $B51), 0)</f>
        <v/>
      </c>
      <c r="AA51" s="5">
        <f>IFERROR(SUMIF(data!$B:$B, $B51, data!$F:$F), 0)</f>
        <v/>
      </c>
      <c r="AB51" s="5">
        <f>IF(Z51&gt;0, AA51/Z51, 0)</f>
        <v/>
      </c>
      <c r="AC51" s="4">
        <f>W51+Z51</f>
        <v/>
      </c>
      <c r="AD51" s="5">
        <f>X51+AA51</f>
        <v/>
      </c>
      <c r="AE51" s="5">
        <f>IF(AC51&gt;0, AD51/AC51, 0)</f>
        <v/>
      </c>
      <c r="AF51" s="19" t="n"/>
      <c r="AG51" s="19" t="n"/>
      <c r="AH51" s="19" t="n"/>
      <c r="AI51" s="19" t="n"/>
      <c r="AJ51" s="19" t="n"/>
      <c r="AK51" s="19" t="n"/>
      <c r="AL51" s="19" t="n"/>
    </row>
    <row r="52" ht="13.8" customHeight="1">
      <c r="A52" s="3" t="inlineStr">
        <is>
          <t>Đường Láng</t>
        </is>
      </c>
      <c r="B52" s="3" t="inlineStr">
        <is>
          <t>Nguyễn Thị Mai Duyên</t>
        </is>
      </c>
      <c r="C52" s="6" t="inlineStr">
        <is>
          <t>BC</t>
        </is>
      </c>
      <c r="D52" s="5" t="n">
        <v>220069</v>
      </c>
      <c r="E52" s="5">
        <f>AE52</f>
        <v/>
      </c>
      <c r="F52" s="5">
        <f>IFERROR(ROUND(_xludf.LET(nt,$A52,nv,$B52,songay,DAY(EOMONTH($C$1,0)),doanhthungay,$I52,duan_nv,SUMIFS('Dự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2" s="5">
        <f>IFERROR(SUMIF('Dự án T9'!$B:$B, $B52, 'Dự án T9'!$D:$D), 0)</f>
        <v/>
      </c>
      <c r="H52" s="5">
        <f>Q52</f>
        <v/>
      </c>
      <c r="I52" s="5">
        <f>(AD52/DAY($C$1))</f>
        <v/>
      </c>
      <c r="J52" s="16">
        <f>_xlfn.XLOOKUP(B52, 'kpi nhà thuốc'!A:A, 'kpi nhà thuốc'!F:F, (AD52/DAY($C$1))/U52)</f>
        <v/>
      </c>
      <c r="K52" s="5">
        <f>_xlfn.XLOOKUP(B52, 'kpi nhà thuốc'!$A:$A, 'kpi nhà thuốc'!$G:$G, IF(AND(OR(C52="DSXC", C52="DSCD", C52="DSBC", C52="DSTV", C52="Q.CHT", C52="BC"), G52&gt;=F52), AD52 * _xlfn.IFS(AND(I52&gt;=T52, E52&gt;=D52), 0.015, I52&gt;=T52, 0.013, AND(I52&gt;=S52, E52&gt;=D52), 0.013, I52&gt;=S52, 0.011, AND(I52&gt;=R52, E52&gt;=D52), 0.012, I52&gt;=R52, 0.010, TRUE, 0), 0))</f>
        <v/>
      </c>
      <c r="L52" s="6">
        <f>IF(C52="DSTV","", IF(J52&lt;0.6, 0.8, 1))</f>
        <v/>
      </c>
      <c r="M52" s="5">
        <f>IFERROR(SUMIF('Dự án T9'!$B:$B, $B52, 'Dự án T9'!$M:$M)*$L52, 0)</f>
        <v/>
      </c>
      <c r="N52" s="17">
        <f>N(K52)+M52</f>
        <v/>
      </c>
      <c r="O52" s="18">
        <f>CEILING(R52, 100000)</f>
        <v/>
      </c>
      <c r="P52" s="18">
        <f>CEILING(S52, 100000)</f>
        <v/>
      </c>
      <c r="Q52" s="18">
        <f>CEILING(T52, 100000)</f>
        <v/>
      </c>
      <c r="R52" s="18">
        <f>U52*$R$2</f>
        <v/>
      </c>
      <c r="S52" s="18">
        <f>U52*$S$2</f>
        <v/>
      </c>
      <c r="T52" s="18">
        <f>U52*$T$2</f>
        <v/>
      </c>
      <c r="U52" s="5">
        <f>V52/DAY($C$1)</f>
        <v/>
      </c>
      <c r="V52" s="5" t="n">
        <v>260000000</v>
      </c>
      <c r="W52" s="4">
        <f>IFERROR(SUMIFS(data!$C:$C, data!$A:$A, $A52, data!$B:$B, $B52), 0)</f>
        <v/>
      </c>
      <c r="X52" s="5">
        <f>IFERROR(SUMIF(data!$B:$B, $B52, data!$D:$D), 0)</f>
        <v/>
      </c>
      <c r="Y52" s="5">
        <f>IF(W52&gt;0, X52/W52, 0)</f>
        <v/>
      </c>
      <c r="Z52" s="4">
        <f>IFERROR(SUMIFS(data!$E:$E, data!$A:$A, $A52, data!$B:$B, $B52), 0)</f>
        <v/>
      </c>
      <c r="AA52" s="5">
        <f>IFERROR(SUMIF(data!$B:$B, $B52, data!$F:$F), 0)</f>
        <v/>
      </c>
      <c r="AB52" s="5">
        <f>IF(Z52&gt;0, AA52/Z52, 0)</f>
        <v/>
      </c>
      <c r="AC52" s="4">
        <f>W52+Z52</f>
        <v/>
      </c>
      <c r="AD52" s="5">
        <f>X52+AA52</f>
        <v/>
      </c>
      <c r="AE52" s="5">
        <f>IF(AC52&gt;0, AD52/AC52, 0)</f>
        <v/>
      </c>
      <c r="AF52" s="19" t="n"/>
      <c r="AG52" s="19" t="n"/>
      <c r="AH52" s="19" t="n"/>
      <c r="AI52" s="19" t="n"/>
      <c r="AJ52" s="19" t="n"/>
      <c r="AK52" s="19" t="n"/>
      <c r="AL52" s="19" t="n"/>
    </row>
    <row r="53" ht="13.8" customHeight="1">
      <c r="A53" s="3" t="inlineStr">
        <is>
          <t>Đường Láng</t>
        </is>
      </c>
      <c r="B53" s="3" t="inlineStr">
        <is>
          <t>Trần Ngọc Dung</t>
        </is>
      </c>
      <c r="C53" s="6" t="inlineStr">
        <is>
          <t>BC</t>
        </is>
      </c>
      <c r="D53" s="5" t="n">
        <v>217055</v>
      </c>
      <c r="E53" s="5">
        <f>AE53</f>
        <v/>
      </c>
      <c r="F53" s="5">
        <f>IFERROR(ROUND(_xludf.LET(nt,$A53,nv,$B53,songay,DAY(EOMONTH($C$1,0)),doanhthungay,$I53,duan_nv,SUMIFS('Dự án T9'!$D:$D,'Dự án T9'!$A:$A,nt,'Dự án T9'!$B:$B,nv),duan_nt,SUMIFS('Dự án T9'!$D:$D,'Dự án T9'!$A:$A,nt),tyle,duan_nv/duan_nt,muc2_ngay,_xlfn.XLOOKUP(nt,'kpi nhà thuốc'!$B:$B,'kpi nhà thuốc'!$P:$P),muc3_ngay,_xlfn.XLOOKUP(nt,'kpi nhà thuốc'!$B:$B,'kpi nhà thuốc'!$T:$T),hangdiem1,_xlfn.XLOOKUP(nt,'kpi nhà thuốc'!$B:$B,'kpi nhà thuốc'!$I:$I),hangdiem2,_xlfn.XLOOKUP(nt,'kpi nhà thuốc'!$B:$B,'kpi nhà thuốc'!$N:$N),hangdiem3,_xlfn.XLOOKUP(nt,'kpi nhà thuốc'!$B:$B,'kpi nhà thuốc'!$R:$R),_xludf.SWITCH(TRUE,doanhthungay&gt;=muc3_ngay,hangdiem3,doanhthungay&gt;=muc2_ngay,hangdiem2,TRUE,hangdiem1)/songay*tyle),-3),0)</f>
        <v/>
      </c>
      <c r="G53" s="5">
        <f>IFERROR(SUMIF('Dự án T9'!$B:$B, $B53, 'Dự án T9'!$D:$D), 0)</f>
        <v/>
      </c>
      <c r="H53" s="5">
        <f>Q53</f>
        <v/>
      </c>
      <c r="I53" s="5">
        <f>(AD53/DAY($C$1))</f>
        <v/>
      </c>
      <c r="J53" s="16">
        <f>_xlfn.XLOOKUP(B53, 'kpi nhà thuốc'!A:A, 'kpi nhà thuốc'!F:F, (AD53/DAY($C$1))/U53)</f>
        <v/>
      </c>
      <c r="K53" s="5">
        <f>_xlfn.XLOOKUP(B53, 'kpi nhà thuốc'!$A:$A, 'kpi nhà thuốc'!$G:$G, IF(AND(OR(C53="DSXC", C53="DSCD", C53="DSBC", C53="DSTV", C53="Q.CHT", C53="BC"), G53&gt;=F53), AD53 * _xlfn.IFS(AND(I53&gt;=T53, E53&gt;=D53), 0.015, I53&gt;=T53, 0.013, AND(I53&gt;=S53, E53&gt;=D53), 0.013, I53&gt;=S53, 0.011, AND(I53&gt;=R53, E53&gt;=D53), 0.012, I53&gt;=R53, 0.010, TRUE, 0), 0))</f>
        <v/>
      </c>
      <c r="L53" s="6">
        <f>IF(C53="DSTV","", IF(J53&lt;0.6, 0.8, 1))</f>
        <v/>
      </c>
      <c r="M53" s="5">
        <f>IFERROR(SUMIF('Dự án T9'!$B:$B, $B53, 'Dự án T9'!$M:$M)*$L53, 0)</f>
        <v/>
      </c>
      <c r="N53" s="17">
        <f>N(K53)+M53</f>
        <v/>
      </c>
      <c r="O53" s="18">
        <f>CEILING(R53, 100000)</f>
        <v/>
      </c>
      <c r="P53" s="18">
        <f>CEILING(S53, 100000)</f>
        <v/>
      </c>
      <c r="Q53" s="18">
        <f>CEILING(T53, 100000)</f>
        <v/>
      </c>
      <c r="R53" s="18">
        <f>U53*$R$2</f>
        <v/>
      </c>
      <c r="S53" s="18">
        <f>U53*$S$2</f>
        <v/>
      </c>
      <c r="T53" s="18">
        <f>U53*$T$2</f>
        <v/>
      </c>
      <c r="U53" s="5">
        <f>V53/DAY($C$1)</f>
        <v/>
      </c>
      <c r="V53" s="5" t="n">
        <v>240000000</v>
      </c>
      <c r="W53" s="4">
        <f>IFERROR(SUMIFS(data!$C:$C, data!$A:$A, $A53, data!$B:$B, $B53), 0)</f>
        <v/>
      </c>
      <c r="X53" s="5">
        <f>IFERROR(SUMIF(data!$B:$B, $B53, data!$D:$D), 0)</f>
        <v/>
      </c>
      <c r="Y53" s="5">
        <f>IF(W53&gt;0, X53/W53, 0)</f>
        <v/>
      </c>
      <c r="Z53" s="4">
        <f>IFERROR(SUMIFS(data!$E:$E, data!$A:$A, $A53, data!$B:$B, $B53), 0)</f>
        <v/>
      </c>
      <c r="AA53" s="5">
        <f>IFERROR(SUMIF(data!$B:$B, $B53, data!$F:$F), 0)</f>
        <v/>
      </c>
      <c r="AB53" s="5">
        <f>IF(Z53&gt;0, AA53/Z53, 0)</f>
        <v/>
      </c>
      <c r="AC53" s="4">
        <f>W53+Z53</f>
        <v/>
      </c>
      <c r="AD53" s="5">
        <f>X53+AA53</f>
        <v/>
      </c>
      <c r="AE53" s="5">
        <f>IF(AC53&gt;0, AD53/AC53, 0)</f>
        <v/>
      </c>
      <c r="AF53" s="19" t="n"/>
      <c r="AG53" s="19" t="n"/>
      <c r="AH53" s="19" t="n"/>
      <c r="AI53" s="19" t="n"/>
      <c r="AJ53" s="19" t="n"/>
      <c r="AK53" s="19" t="n"/>
      <c r="AL53" s="19" t="n"/>
    </row>
  </sheetData>
  <mergeCells count="3">
    <mergeCell ref="R1:T1"/>
    <mergeCell ref="O1:Q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.89" customWidth="1" min="1" max="1"/>
    <col width="15" customWidth="1" min="2" max="2"/>
    <col width="16.11" customWidth="1" min="3" max="3"/>
    <col width="15.66" customWidth="1" min="4" max="4"/>
    <col width="16.11" customWidth="1" min="5" max="5"/>
    <col width="13.11" customWidth="1" min="6" max="6"/>
    <col width="13" customWidth="1" min="7" max="7"/>
    <col width="12.78" customWidth="1" min="8" max="8"/>
    <col width="12.66" customWidth="1" min="9" max="9"/>
    <col width="13" customWidth="1" min="10" max="10"/>
    <col width="12.66" customWidth="1" min="11" max="11"/>
    <col width="12.6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.89" customWidth="1" min="22" max="22"/>
    <col width="14.25" customWidth="1" min="23" max="23"/>
    <col width="12.6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0.25" customHeight="1">
      <c r="D1" s="8" t="inlineStr">
        <is>
          <t>Dữ liệu cập nhật đến ngày</t>
        </is>
      </c>
      <c r="F1" s="8">
        <f>'kpi dược sĩ'!$C$1</f>
        <v/>
      </c>
      <c r="T1" s="8">
        <f>'kpi dược sĩ'!$C$1</f>
        <v/>
      </c>
    </row>
    <row r="2" ht="39.75" customHeight="1">
      <c r="A2" s="20" t="inlineStr">
        <is>
          <t>Cửa hàng trưởng</t>
        </is>
      </c>
      <c r="B2" s="20" t="inlineStr">
        <is>
          <t>Nhà thuốc</t>
        </is>
      </c>
      <c r="C2" s="20" t="inlineStr">
        <is>
          <t>KPI doanh thu (tháng)</t>
        </is>
      </c>
      <c r="D2" s="21" t="inlineStr">
        <is>
          <t>Doanh thu thực tế (tháng)</t>
        </is>
      </c>
      <c r="E2" s="21" t="inlineStr">
        <is>
          <t>Doanh thu thực tế (ngày)</t>
        </is>
      </c>
      <c r="F2" s="20" t="inlineStr">
        <is>
          <t>Tỷ lệ đạt KPIs</t>
        </is>
      </c>
      <c r="G2" s="20" t="inlineStr">
        <is>
          <t>Thưởng CHT</t>
        </is>
      </c>
      <c r="H2" s="22" t="inlineStr">
        <is>
          <t>KPIs mức 1</t>
        </is>
      </c>
      <c r="I2" s="22" t="inlineStr">
        <is>
          <t>KPIs hàng điểm mức 1</t>
        </is>
      </c>
      <c r="J2" s="22" t="inlineStr">
        <is>
          <t>KPIs mức 1/tháng</t>
        </is>
      </c>
      <c r="K2" s="22" t="inlineStr">
        <is>
          <t>KPIs mức 1/ngày</t>
        </is>
      </c>
      <c r="L2" s="22" t="inlineStr">
        <is>
          <t>KPIs mức 1/ngày</t>
        </is>
      </c>
      <c r="M2" s="12" t="inlineStr">
        <is>
          <t>KPIs mức 2</t>
        </is>
      </c>
      <c r="N2" s="12" t="inlineStr">
        <is>
          <t>KPIs hàng điểm mức 2</t>
        </is>
      </c>
      <c r="O2" s="12" t="inlineStr">
        <is>
          <t>KPIs mức 2/tháng</t>
        </is>
      </c>
      <c r="P2" s="12" t="inlineStr">
        <is>
          <t>KPIs mức 2/ngày</t>
        </is>
      </c>
      <c r="Q2" s="20" t="inlineStr">
        <is>
          <t>KPIs mức 3</t>
        </is>
      </c>
      <c r="R2" s="20" t="inlineStr">
        <is>
          <t>KPIs hàng điểm mức 3</t>
        </is>
      </c>
      <c r="S2" s="20" t="inlineStr">
        <is>
          <t>KPIs mức 3/tháng</t>
        </is>
      </c>
      <c r="T2" s="20" t="inlineStr">
        <is>
          <t>KPIs mức 3/ngày</t>
        </is>
      </c>
      <c r="U2" s="15" t="inlineStr">
        <is>
          <t>Doanh thu hàng điểm</t>
        </is>
      </c>
      <c r="V2" s="21" t="inlineStr">
        <is>
          <t>Hàng điểm/ Doanh thu tổng</t>
        </is>
      </c>
      <c r="W2" s="21" t="inlineStr">
        <is>
          <t>Xét Đạt KPI</t>
        </is>
      </c>
      <c r="X2" s="21" t="inlineStr">
        <is>
          <t>Số giao dịch off</t>
        </is>
      </c>
      <c r="Y2" s="21" t="inlineStr">
        <is>
          <t>Doanh thu off</t>
        </is>
      </c>
      <c r="Z2" s="21" t="inlineStr">
        <is>
          <t>Tbbill off</t>
        </is>
      </c>
      <c r="AA2" s="23" t="inlineStr">
        <is>
          <t>Số giao dịch onl</t>
        </is>
      </c>
      <c r="AB2" s="23" t="inlineStr">
        <is>
          <t>Doanh thu onl</t>
        </is>
      </c>
      <c r="AC2" s="23" t="inlineStr">
        <is>
          <t>Tbbill onl</t>
        </is>
      </c>
      <c r="AD2" s="24" t="inlineStr">
        <is>
          <t>Tổng giao dịch</t>
        </is>
      </c>
      <c r="AE2" s="24" t="inlineStr">
        <is>
          <t>Doanh thu tổng</t>
        </is>
      </c>
      <c r="AF2" s="24" t="inlineStr">
        <is>
          <t>Trung bình Bill</t>
        </is>
      </c>
      <c r="AG2" s="1" t="n"/>
      <c r="AH2" s="1" t="n"/>
      <c r="AI2" s="1" t="n"/>
      <c r="AJ2" s="1" t="n"/>
      <c r="AK2" s="1" t="n"/>
      <c r="AL2" s="1" t="n"/>
    </row>
    <row r="3" ht="15.75" customHeight="1">
      <c r="A3" s="3" t="inlineStr">
        <is>
          <t>Nguyễn Trần Ngọc Phương</t>
        </is>
      </c>
      <c r="B3" s="6" t="inlineStr">
        <is>
          <t>Trường Sa</t>
        </is>
      </c>
      <c r="C3" s="5" t="n">
        <v>640000000</v>
      </c>
      <c r="D3" s="5">
        <f>AE3</f>
        <v/>
      </c>
      <c r="E3" s="5">
        <f>D3/DAY('kpi dược sĩ'!$C$1)</f>
        <v/>
      </c>
      <c r="F3" s="25">
        <f>E3/T3</f>
        <v/>
      </c>
      <c r="G3" s="26">
        <f>IF(W3&lt;&gt;"Đạt", 0, IF(E3&gt;=T3, D3*0.5%+1000000, IF(E3&gt;=P3, D3*0.4%+700000, IF(E3&gt;=K3, D3*0.35%+500000, 0))))</f>
        <v/>
      </c>
      <c r="H3" s="18" t="n">
        <v>0.8</v>
      </c>
      <c r="I3" s="5">
        <f>J3*0.25</f>
        <v/>
      </c>
      <c r="J3" s="5">
        <f>C3*H3</f>
        <v/>
      </c>
      <c r="K3" s="5">
        <f>T3*H3</f>
        <v/>
      </c>
      <c r="L3" s="5">
        <f>CEILING(K3, 100000)</f>
        <v/>
      </c>
      <c r="M3" s="18" t="n">
        <v>0.9</v>
      </c>
      <c r="N3" s="5">
        <f>O3*0.25</f>
        <v/>
      </c>
      <c r="O3" s="5">
        <f>C3*M3</f>
        <v/>
      </c>
      <c r="P3" s="5">
        <f>T3*M3</f>
        <v/>
      </c>
      <c r="Q3" s="18" t="n">
        <v>1</v>
      </c>
      <c r="R3" s="5">
        <f>S3*0.25</f>
        <v/>
      </c>
      <c r="S3" s="5">
        <f>C3*Q3</f>
        <v/>
      </c>
      <c r="T3" s="5">
        <f>C3/DAY($T$1)</f>
        <v/>
      </c>
      <c r="U3" s="5">
        <f>SUMIF('Dự án T9'!$A:$A, B3, 'Dự án T9'!D:D)*DAY($F$1)</f>
        <v/>
      </c>
      <c r="V3" s="25">
        <f>U3/D3</f>
        <v/>
      </c>
      <c r="W3" s="6">
        <f>IF(OR(F3="", V3=""), "", IF(AND(F3&gt;=80%, V3&gt;=25%), "Đạt", "Không đạt"))</f>
        <v/>
      </c>
      <c r="X3" s="4">
        <f>SUMIF(data!$A:$A, B3, data!$C:$C)</f>
        <v/>
      </c>
      <c r="Y3" s="5">
        <f>SUMIF(data!$A:$A, B3, data!$D:$D)</f>
        <v/>
      </c>
      <c r="Z3" s="5">
        <f>IF(X3&gt;0, Y3/X3, 0)</f>
        <v/>
      </c>
      <c r="AA3" s="4">
        <f>SUMIF(data!$A:$A, B3, data!$E:$E)</f>
        <v/>
      </c>
      <c r="AB3" s="5">
        <f>SUMIF(data!$A:$A, B3, data!$F:$F)</f>
        <v/>
      </c>
      <c r="AC3" s="5">
        <f>IF(AA3&gt;0, AB3/AA3, 0)</f>
        <v/>
      </c>
      <c r="AD3" s="4">
        <f>X3+AA3</f>
        <v/>
      </c>
      <c r="AE3" s="5">
        <f>Y3+AB3</f>
        <v/>
      </c>
      <c r="AF3" s="5">
        <f>IF(AD3&gt;0, AE3/AD3, 0)</f>
        <v/>
      </c>
      <c r="AG3" s="19" t="n"/>
      <c r="AH3" s="19" t="n"/>
      <c r="AI3" s="19" t="n"/>
      <c r="AJ3" s="19" t="n"/>
      <c r="AK3" s="19" t="n"/>
      <c r="AL3" s="19" t="n"/>
    </row>
    <row r="4" ht="15.75" customHeight="1">
      <c r="A4" s="3" t="inlineStr">
        <is>
          <t>Ngô Thị Thanh Thắm</t>
        </is>
      </c>
      <c r="B4" s="6" t="inlineStr">
        <is>
          <t>Đỗ Quang Đẩu</t>
        </is>
      </c>
      <c r="C4" s="5" t="n">
        <v>1200000000</v>
      </c>
      <c r="D4" s="5">
        <f>AE4</f>
        <v/>
      </c>
      <c r="E4" s="5">
        <f>D4/DAY('kpi dược sĩ'!$C$1)</f>
        <v/>
      </c>
      <c r="F4" s="25">
        <f>E4/T4</f>
        <v/>
      </c>
      <c r="G4" s="26">
        <f>IF(W4&lt;&gt;"Đạt", 0, IF(E4&gt;=T4, D4*0.5%+1000000, IF(E4&gt;=P4, D4*0.4%+700000, IF(E4&gt;=K4, D4*0.35%+500000, 0))))</f>
        <v/>
      </c>
      <c r="H4" s="18" t="n">
        <v>0.8</v>
      </c>
      <c r="I4" s="5">
        <f>J4*0.25</f>
        <v/>
      </c>
      <c r="J4" s="5">
        <f>C4*H4</f>
        <v/>
      </c>
      <c r="K4" s="5">
        <f>T4*H4</f>
        <v/>
      </c>
      <c r="L4" s="5">
        <f>CEILING(K4, 100000)</f>
        <v/>
      </c>
      <c r="M4" s="18" t="n">
        <v>0.9</v>
      </c>
      <c r="N4" s="5">
        <f>O4*0.25</f>
        <v/>
      </c>
      <c r="O4" s="5">
        <f>C4*M4</f>
        <v/>
      </c>
      <c r="P4" s="5">
        <f>T4*M4</f>
        <v/>
      </c>
      <c r="Q4" s="18" t="n">
        <v>1</v>
      </c>
      <c r="R4" s="5">
        <f>S4*0.25</f>
        <v/>
      </c>
      <c r="S4" s="5">
        <f>C4*Q4</f>
        <v/>
      </c>
      <c r="T4" s="5">
        <f>C4/DAY($T$1)</f>
        <v/>
      </c>
      <c r="U4" s="5">
        <f>SUMIF('Dự án T9'!$A:$A, B4, 'Dự án T9'!D:D)*DAY($F$1)</f>
        <v/>
      </c>
      <c r="V4" s="25">
        <f>U4/D4</f>
        <v/>
      </c>
      <c r="W4" s="6">
        <f>IF(OR(F4="", V4=""), "", IF(AND(F4&gt;=80%, V4&gt;=25%), "Đạt", "Không đạt"))</f>
        <v/>
      </c>
      <c r="X4" s="4">
        <f>SUMIF(data!$A:$A, B4, data!$C:$C)</f>
        <v/>
      </c>
      <c r="Y4" s="5">
        <f>SUMIF(data!$A:$A, B4, data!$D:$D)</f>
        <v/>
      </c>
      <c r="Z4" s="5">
        <f>IF(X4&gt;0, Y4/X4, 0)</f>
        <v/>
      </c>
      <c r="AA4" s="4">
        <f>SUMIF(data!$A:$A, B4, data!$E:$E)</f>
        <v/>
      </c>
      <c r="AB4" s="5">
        <f>SUMIF(data!$A:$A, B4, data!$F:$F)</f>
        <v/>
      </c>
      <c r="AC4" s="5">
        <f>IF(AA4&gt;0, AB4/AA4, 0)</f>
        <v/>
      </c>
      <c r="AD4" s="4">
        <f>X4+AA4</f>
        <v/>
      </c>
      <c r="AE4" s="5">
        <f>Y4+AB4</f>
        <v/>
      </c>
      <c r="AF4" s="5">
        <f>IF(AD4&gt;0, AE4/AD4, 0)</f>
        <v/>
      </c>
      <c r="AG4" s="19" t="n"/>
      <c r="AH4" s="19" t="n"/>
      <c r="AI4" s="19" t="n"/>
      <c r="AJ4" s="19" t="n"/>
      <c r="AK4" s="19" t="n"/>
      <c r="AL4" s="19" t="n"/>
    </row>
    <row r="5" ht="15.75" customHeight="1">
      <c r="A5" s="3" t="inlineStr">
        <is>
          <t>Thái Thùy Linh</t>
        </is>
      </c>
      <c r="B5" s="6" t="inlineStr">
        <is>
          <t>Minh Châu</t>
        </is>
      </c>
      <c r="C5" s="5" t="n">
        <v>460000000</v>
      </c>
      <c r="D5" s="5">
        <f>AE5</f>
        <v/>
      </c>
      <c r="E5" s="5">
        <f>D5/DAY('kpi dược sĩ'!$C$1)</f>
        <v/>
      </c>
      <c r="F5" s="25">
        <f>E5/T5</f>
        <v/>
      </c>
      <c r="G5" s="26">
        <f>IF(W5&lt;&gt;"Đạt", 0, IF(E5&gt;=T5, D5*0.5%+1000000, IF(E5&gt;=P5, D5*0.4%+700000, IF(E5&gt;=K5, D5*0.35%+500000, 0))))</f>
        <v/>
      </c>
      <c r="H5" s="18" t="n">
        <v>0.8</v>
      </c>
      <c r="I5" s="5">
        <f>J5*0.25</f>
        <v/>
      </c>
      <c r="J5" s="5">
        <f>C5*H5</f>
        <v/>
      </c>
      <c r="K5" s="5">
        <f>T5*H5</f>
        <v/>
      </c>
      <c r="L5" s="5">
        <f>CEILING(K5, 100000)</f>
        <v/>
      </c>
      <c r="M5" s="18" t="n">
        <v>0.9</v>
      </c>
      <c r="N5" s="5">
        <f>O5*0.25</f>
        <v/>
      </c>
      <c r="O5" s="5">
        <f>C5*M5</f>
        <v/>
      </c>
      <c r="P5" s="5">
        <f>T5*M5</f>
        <v/>
      </c>
      <c r="Q5" s="18" t="n">
        <v>1</v>
      </c>
      <c r="R5" s="5">
        <f>S5*0.25</f>
        <v/>
      </c>
      <c r="S5" s="5">
        <f>C5*Q5</f>
        <v/>
      </c>
      <c r="T5" s="5">
        <f>C5/DAY($T$1)</f>
        <v/>
      </c>
      <c r="U5" s="5">
        <f>SUMIF('Dự án T9'!$A:$A, B5, 'Dự án T9'!D:D)*DAY($F$1)</f>
        <v/>
      </c>
      <c r="V5" s="25">
        <f>U5/D5</f>
        <v/>
      </c>
      <c r="W5" s="6">
        <f>IF(OR(F5="", V5=""), "", IF(AND(F5&gt;=80%, V5&gt;=25%), "Đạt", "Không đạt"))</f>
        <v/>
      </c>
      <c r="X5" s="4">
        <f>SUMIF(data!$A:$A, B5, data!$C:$C)</f>
        <v/>
      </c>
      <c r="Y5" s="5">
        <f>SUMIF(data!$A:$A, B5, data!$D:$D)</f>
        <v/>
      </c>
      <c r="Z5" s="5">
        <f>IF(X5&gt;0, Y5/X5, 0)</f>
        <v/>
      </c>
      <c r="AA5" s="4">
        <f>SUMIF(data!$A:$A, B5, data!$E:$E)</f>
        <v/>
      </c>
      <c r="AB5" s="5">
        <f>SUMIF(data!$A:$A, B5, data!$F:$F)</f>
        <v/>
      </c>
      <c r="AC5" s="5">
        <f>IF(AA5&gt;0, AB5/AA5, 0)</f>
        <v/>
      </c>
      <c r="AD5" s="4">
        <f>X5+AA5</f>
        <v/>
      </c>
      <c r="AE5" s="5">
        <f>Y5+AB5</f>
        <v/>
      </c>
      <c r="AF5" s="5">
        <f>IF(AD5&gt;0, AE5/AD5, 0)</f>
        <v/>
      </c>
      <c r="AG5" s="19" t="n"/>
      <c r="AH5" s="19" t="n"/>
      <c r="AI5" s="19" t="n"/>
      <c r="AJ5" s="19" t="n"/>
      <c r="AK5" s="19" t="n"/>
      <c r="AL5" s="19" t="n"/>
    </row>
    <row r="6" ht="15.75" customHeight="1">
      <c r="A6" s="3" t="inlineStr">
        <is>
          <t>Vũ Ngọc Thanh Thảo</t>
        </is>
      </c>
      <c r="B6" s="6" t="inlineStr">
        <is>
          <t>Nam Hòa</t>
        </is>
      </c>
      <c r="C6" s="5" t="n">
        <v>300000000</v>
      </c>
      <c r="D6" s="5">
        <f>AE6</f>
        <v/>
      </c>
      <c r="E6" s="5">
        <f>D6/DAY('kpi dược sĩ'!$C$1)</f>
        <v/>
      </c>
      <c r="F6" s="25">
        <f>E6/T6</f>
        <v/>
      </c>
      <c r="G6" s="26">
        <f>IF(W6&lt;&gt;"Đạt", 0, IF(E6&gt;=T6, D6*0.5%+1000000, IF(E6&gt;=P6, D6*0.4%+700000, IF(E6&gt;=K6, D6*0.35%+500000, 0))))</f>
        <v/>
      </c>
      <c r="H6" s="18" t="n">
        <v>0.8</v>
      </c>
      <c r="I6" s="5">
        <f>J6*0.25</f>
        <v/>
      </c>
      <c r="J6" s="5">
        <f>C6*H6</f>
        <v/>
      </c>
      <c r="K6" s="5">
        <f>T6*H6</f>
        <v/>
      </c>
      <c r="L6" s="5">
        <f>CEILING(K6, 100000)</f>
        <v/>
      </c>
      <c r="M6" s="18" t="n">
        <v>0.9</v>
      </c>
      <c r="N6" s="5">
        <f>O6*0.25</f>
        <v/>
      </c>
      <c r="O6" s="5">
        <f>C6*M6</f>
        <v/>
      </c>
      <c r="P6" s="5">
        <f>T6*M6</f>
        <v/>
      </c>
      <c r="Q6" s="18" t="n">
        <v>1</v>
      </c>
      <c r="R6" s="5">
        <f>S6*0.25</f>
        <v/>
      </c>
      <c r="S6" s="5">
        <f>C6*Q6</f>
        <v/>
      </c>
      <c r="T6" s="5">
        <f>C6/DAY($T$1)</f>
        <v/>
      </c>
      <c r="U6" s="5">
        <f>SUMIF('Dự án T9'!$A:$A, B6, 'Dự án T9'!D:D)*DAY($F$1)</f>
        <v/>
      </c>
      <c r="V6" s="25">
        <f>U6/D6</f>
        <v/>
      </c>
      <c r="W6" s="6">
        <f>IF(OR(F6="", V6=""), "", IF(AND(F6&gt;=80%, V6&gt;=25%), "Đạt", "Không đạt"))</f>
        <v/>
      </c>
      <c r="X6" s="4">
        <f>SUMIF(data!$A:$A, B6, data!$C:$C)</f>
        <v/>
      </c>
      <c r="Y6" s="5">
        <f>SUMIF(data!$A:$A, B6, data!$D:$D)</f>
        <v/>
      </c>
      <c r="Z6" s="5">
        <f>IF(X6&gt;0, Y6/X6, 0)</f>
        <v/>
      </c>
      <c r="AA6" s="4">
        <f>SUMIF(data!$A:$A, B6, data!$E:$E)</f>
        <v/>
      </c>
      <c r="AB6" s="5">
        <f>SUMIF(data!$A:$A, B6, data!$F:$F)</f>
        <v/>
      </c>
      <c r="AC6" s="5">
        <f>IF(AA6&gt;0, AB6/AA6, 0)</f>
        <v/>
      </c>
      <c r="AD6" s="4">
        <f>X6+AA6</f>
        <v/>
      </c>
      <c r="AE6" s="5">
        <f>Y6+AB6</f>
        <v/>
      </c>
      <c r="AF6" s="5">
        <f>IF(AD6&gt;0, AE6/AD6, 0)</f>
        <v/>
      </c>
      <c r="AG6" s="19" t="n"/>
      <c r="AH6" s="19" t="n"/>
      <c r="AI6" s="19" t="n"/>
      <c r="AJ6" s="19" t="n"/>
      <c r="AK6" s="19" t="n"/>
      <c r="AL6" s="19" t="n"/>
    </row>
    <row r="7" ht="15.75" customHeight="1">
      <c r="A7" s="3" t="inlineStr">
        <is>
          <t>Lê Thị Quỳnh Trâm</t>
        </is>
      </c>
      <c r="B7" s="6" t="inlineStr">
        <is>
          <t>Nguyễn Chí Thanh</t>
        </is>
      </c>
      <c r="C7" s="5" t="n">
        <v>520000000</v>
      </c>
      <c r="D7" s="5">
        <f>AE7</f>
        <v/>
      </c>
      <c r="E7" s="5">
        <f>D7/DAY('kpi dược sĩ'!$C$1)</f>
        <v/>
      </c>
      <c r="F7" s="25">
        <f>E7/T7</f>
        <v/>
      </c>
      <c r="G7" s="26">
        <f>IF(W7&lt;&gt;"Đạt", 0, IF(E7&gt;=T7, D7*0.5%+1000000, IF(E7&gt;=P7, D7*0.4%+700000, IF(E7&gt;=K7, D7*0.35%+500000, 0))))</f>
        <v/>
      </c>
      <c r="H7" s="18" t="n">
        <v>0.8</v>
      </c>
      <c r="I7" s="5">
        <f>J7*0.25</f>
        <v/>
      </c>
      <c r="J7" s="5">
        <f>C7*H7</f>
        <v/>
      </c>
      <c r="K7" s="5">
        <f>T7*H7</f>
        <v/>
      </c>
      <c r="L7" s="5">
        <f>CEILING(K7, 100000)</f>
        <v/>
      </c>
      <c r="M7" s="18" t="n">
        <v>0.9</v>
      </c>
      <c r="N7" s="5">
        <f>O7*0.25</f>
        <v/>
      </c>
      <c r="O7" s="5">
        <f>C7*M7</f>
        <v/>
      </c>
      <c r="P7" s="5">
        <f>T7*M7</f>
        <v/>
      </c>
      <c r="Q7" s="18" t="n">
        <v>1</v>
      </c>
      <c r="R7" s="5">
        <f>S7*0.25</f>
        <v/>
      </c>
      <c r="S7" s="5">
        <f>C7*Q7</f>
        <v/>
      </c>
      <c r="T7" s="5">
        <f>C7/DAY($T$1)</f>
        <v/>
      </c>
      <c r="U7" s="5">
        <f>SUMIF('Dự án T9'!$A:$A, B7, 'Dự án T9'!D:D)*DAY($F$1)</f>
        <v/>
      </c>
      <c r="V7" s="25">
        <f>U7/D7</f>
        <v/>
      </c>
      <c r="W7" s="6">
        <f>IF(OR(F7="", V7=""), "", IF(AND(F7&gt;=80%, V7&gt;=25%), "Đạt", "Không đạt"))</f>
        <v/>
      </c>
      <c r="X7" s="4">
        <f>SUMIF(data!$A:$A, B7, data!$C:$C)</f>
        <v/>
      </c>
      <c r="Y7" s="5">
        <f>SUMIF(data!$A:$A, B7, data!$D:$D)</f>
        <v/>
      </c>
      <c r="Z7" s="5">
        <f>IF(X7&gt;0, Y7/X7, 0)</f>
        <v/>
      </c>
      <c r="AA7" s="4">
        <f>SUMIF(data!$A:$A, B7, data!$E:$E)</f>
        <v/>
      </c>
      <c r="AB7" s="5">
        <f>SUMIF(data!$A:$A, B7, data!$F:$F)</f>
        <v/>
      </c>
      <c r="AC7" s="5">
        <f>IF(AA7&gt;0, AB7/AA7, 0)</f>
        <v/>
      </c>
      <c r="AD7" s="4">
        <f>X7+AA7</f>
        <v/>
      </c>
      <c r="AE7" s="5">
        <f>Y7+AB7</f>
        <v/>
      </c>
      <c r="AF7" s="5">
        <f>IF(AD7&gt;0, AE7/AD7, 0)</f>
        <v/>
      </c>
      <c r="AG7" s="19" t="n"/>
      <c r="AH7" s="19" t="n"/>
      <c r="AI7" s="19" t="n"/>
      <c r="AJ7" s="19" t="n"/>
      <c r="AK7" s="19" t="n"/>
      <c r="AL7" s="19" t="n"/>
    </row>
    <row r="8" ht="15.75" customHeight="1">
      <c r="A8" s="3" t="inlineStr">
        <is>
          <t>Triệu Thị Ngọc Lý</t>
        </is>
      </c>
      <c r="B8" s="6" t="inlineStr">
        <is>
          <t>Nguyễn Thị Thập</t>
        </is>
      </c>
      <c r="C8" s="5" t="n">
        <v>545000000</v>
      </c>
      <c r="D8" s="5">
        <f>AE8</f>
        <v/>
      </c>
      <c r="E8" s="5">
        <f>D8/DAY('kpi dược sĩ'!$C$1)</f>
        <v/>
      </c>
      <c r="F8" s="25">
        <f>E8/T8</f>
        <v/>
      </c>
      <c r="G8" s="26">
        <f>IF(W8&lt;&gt;"Đạt", 0, IF(E8&gt;=T8, D8*0.5%+1000000, IF(E8&gt;=P8, D8*0.4%+700000, IF(E8&gt;=K8, D8*0.35%+500000, 0))))</f>
        <v/>
      </c>
      <c r="H8" s="18" t="n">
        <v>0.8</v>
      </c>
      <c r="I8" s="5">
        <f>J8*0.25</f>
        <v/>
      </c>
      <c r="J8" s="5">
        <f>C8*H8</f>
        <v/>
      </c>
      <c r="K8" s="5">
        <f>T8*H8</f>
        <v/>
      </c>
      <c r="L8" s="5">
        <f>CEILING(K8, 100000)</f>
        <v/>
      </c>
      <c r="M8" s="18" t="n">
        <v>0.9</v>
      </c>
      <c r="N8" s="5">
        <f>O8*0.25</f>
        <v/>
      </c>
      <c r="O8" s="5">
        <f>C8*M8</f>
        <v/>
      </c>
      <c r="P8" s="5">
        <f>T8*M8</f>
        <v/>
      </c>
      <c r="Q8" s="18" t="n">
        <v>1</v>
      </c>
      <c r="R8" s="5">
        <f>S8*0.25</f>
        <v/>
      </c>
      <c r="S8" s="5">
        <f>C8*Q8</f>
        <v/>
      </c>
      <c r="T8" s="5">
        <f>C8/DAY($T$1)</f>
        <v/>
      </c>
      <c r="U8" s="5">
        <f>SUMIF('Dự án T9'!$A:$A, B8, 'Dự án T9'!D:D)*DAY($F$1)</f>
        <v/>
      </c>
      <c r="V8" s="25">
        <f>U8/D8</f>
        <v/>
      </c>
      <c r="W8" s="6">
        <f>IF(OR(F8="", V8=""), "", IF(AND(F8&gt;=80%, V8&gt;=25%), "Đạt", "Không đạt"))</f>
        <v/>
      </c>
      <c r="X8" s="4">
        <f>SUMIF(data!$A:$A, B8, data!$C:$C)</f>
        <v/>
      </c>
      <c r="Y8" s="5">
        <f>SUMIF(data!$A:$A, B8, data!$D:$D)</f>
        <v/>
      </c>
      <c r="Z8" s="5">
        <f>IF(X8&gt;0, Y8/X8, 0)</f>
        <v/>
      </c>
      <c r="AA8" s="4">
        <f>SUMIF(data!$A:$A, B8, data!$E:$E)</f>
        <v/>
      </c>
      <c r="AB8" s="5">
        <f>SUMIF(data!$A:$A, B8, data!$F:$F)</f>
        <v/>
      </c>
      <c r="AC8" s="5">
        <f>IF(AA8&gt;0, AB8/AA8, 0)</f>
        <v/>
      </c>
      <c r="AD8" s="4">
        <f>X8+AA8</f>
        <v/>
      </c>
      <c r="AE8" s="5">
        <f>Y8+AB8</f>
        <v/>
      </c>
      <c r="AF8" s="5">
        <f>IF(AD8&gt;0, AE8/AD8, 0)</f>
        <v/>
      </c>
      <c r="AG8" s="19" t="n"/>
      <c r="AH8" s="19" t="n"/>
      <c r="AI8" s="19" t="n"/>
      <c r="AJ8" s="19" t="n"/>
      <c r="AK8" s="19" t="n"/>
      <c r="AL8" s="19" t="n"/>
    </row>
    <row r="9" ht="15.75" customHeight="1">
      <c r="A9" s="3" t="inlineStr">
        <is>
          <t>Nguyễn Thị Hương Giang</t>
        </is>
      </c>
      <c r="B9" s="6" t="inlineStr">
        <is>
          <t>Nguyễn Văn Quá</t>
        </is>
      </c>
      <c r="C9" s="5" t="n">
        <v>350000000</v>
      </c>
      <c r="D9" s="5">
        <f>AE9</f>
        <v/>
      </c>
      <c r="E9" s="5">
        <f>D9/DAY('kpi dược sĩ'!$C$1)</f>
        <v/>
      </c>
      <c r="F9" s="25">
        <f>E9/T9</f>
        <v/>
      </c>
      <c r="G9" s="26">
        <f>IF(W9&lt;&gt;"Đạt", 0, IF(E9&gt;=T9, D9*0.5%+1000000, IF(E9&gt;=P9, D9*0.4%+700000, IF(E9&gt;=K9, D9*0.35%+500000, 0))))</f>
        <v/>
      </c>
      <c r="H9" s="18" t="n">
        <v>0.8</v>
      </c>
      <c r="I9" s="5">
        <f>J9*0.25</f>
        <v/>
      </c>
      <c r="J9" s="5">
        <f>C9*H9</f>
        <v/>
      </c>
      <c r="K9" s="5">
        <f>T9*H9</f>
        <v/>
      </c>
      <c r="L9" s="5">
        <f>CEILING(K9, 100000)</f>
        <v/>
      </c>
      <c r="M9" s="18" t="n">
        <v>0.9</v>
      </c>
      <c r="N9" s="5">
        <f>O9*0.25</f>
        <v/>
      </c>
      <c r="O9" s="5">
        <f>C9*M9</f>
        <v/>
      </c>
      <c r="P9" s="5">
        <f>T9*M9</f>
        <v/>
      </c>
      <c r="Q9" s="18" t="n">
        <v>1</v>
      </c>
      <c r="R9" s="5">
        <f>S9*0.25</f>
        <v/>
      </c>
      <c r="S9" s="5">
        <f>C9*Q9</f>
        <v/>
      </c>
      <c r="T9" s="5">
        <f>C9/DAY($T$1)</f>
        <v/>
      </c>
      <c r="U9" s="5">
        <f>SUMIF('Dự án T9'!$A:$A, B9, 'Dự án T9'!D:D)*DAY($F$1)</f>
        <v/>
      </c>
      <c r="V9" s="25">
        <f>U9/D9</f>
        <v/>
      </c>
      <c r="W9" s="6">
        <f>IF(OR(F9="", V9=""), "", IF(AND(F9&gt;=80%, V9&gt;=25%), "Đạt", "Không đạt"))</f>
        <v/>
      </c>
      <c r="X9" s="4">
        <f>SUMIF(data!$A:$A, B9, data!$C:$C)</f>
        <v/>
      </c>
      <c r="Y9" s="5">
        <f>SUMIF(data!$A:$A, B9, data!$D:$D)</f>
        <v/>
      </c>
      <c r="Z9" s="5">
        <f>IF(X9&gt;0, Y9/X9, 0)</f>
        <v/>
      </c>
      <c r="AA9" s="4">
        <f>SUMIF(data!$A:$A, B9, data!$E:$E)</f>
        <v/>
      </c>
      <c r="AB9" s="5">
        <f>SUMIF(data!$A:$A, B9, data!$F:$F)</f>
        <v/>
      </c>
      <c r="AC9" s="5">
        <f>IF(AA9&gt;0, AB9/AA9, 0)</f>
        <v/>
      </c>
      <c r="AD9" s="4">
        <f>X9+AA9</f>
        <v/>
      </c>
      <c r="AE9" s="5">
        <f>Y9+AB9</f>
        <v/>
      </c>
      <c r="AF9" s="5">
        <f>IF(AD9&gt;0, AE9/AD9, 0)</f>
        <v/>
      </c>
      <c r="AG9" s="19" t="n"/>
      <c r="AH9" s="19" t="n"/>
      <c r="AI9" s="19" t="n"/>
      <c r="AJ9" s="19" t="n"/>
      <c r="AK9" s="19" t="n"/>
      <c r="AL9" s="19" t="n"/>
    </row>
    <row r="10" ht="15.75" customHeight="1">
      <c r="A10" s="3" t="inlineStr">
        <is>
          <t>Ngô Thị Ngọc Thủy</t>
        </is>
      </c>
      <c r="B10" s="6" t="inlineStr">
        <is>
          <t>Rạch Bùng Binh</t>
        </is>
      </c>
      <c r="C10" s="5" t="n">
        <v>430000000</v>
      </c>
      <c r="D10" s="5">
        <f>AE10</f>
        <v/>
      </c>
      <c r="E10" s="5">
        <f>D10/DAY('kpi dược sĩ'!$C$1)</f>
        <v/>
      </c>
      <c r="F10" s="25">
        <f>E10/T10</f>
        <v/>
      </c>
      <c r="G10" s="26">
        <f>IF(W10&lt;&gt;"Đạt", 0, IF(E10&gt;=T10, D10*0.5%+1000000, IF(E10&gt;=P10, D10*0.4%+700000, IF(E10&gt;=K10, D10*0.35%+500000, 0))))</f>
        <v/>
      </c>
      <c r="H10" s="18" t="n">
        <v>0.8</v>
      </c>
      <c r="I10" s="5">
        <f>J10*0.25</f>
        <v/>
      </c>
      <c r="J10" s="5">
        <f>C10*H10</f>
        <v/>
      </c>
      <c r="K10" s="5">
        <f>T10*H10</f>
        <v/>
      </c>
      <c r="L10" s="5">
        <f>CEILING(K10, 100000)</f>
        <v/>
      </c>
      <c r="M10" s="18" t="n">
        <v>0.9</v>
      </c>
      <c r="N10" s="5">
        <f>O10*0.25</f>
        <v/>
      </c>
      <c r="O10" s="5">
        <f>C10*M10</f>
        <v/>
      </c>
      <c r="P10" s="5">
        <f>T10*M10</f>
        <v/>
      </c>
      <c r="Q10" s="18" t="n">
        <v>1</v>
      </c>
      <c r="R10" s="5">
        <f>S10*0.25</f>
        <v/>
      </c>
      <c r="S10" s="5">
        <f>C10*Q10</f>
        <v/>
      </c>
      <c r="T10" s="5">
        <f>C10/DAY($T$1)</f>
        <v/>
      </c>
      <c r="U10" s="5">
        <f>SUMIF('Dự án T9'!$A:$A, B10, 'Dự án T9'!D:D)*DAY($F$1)</f>
        <v/>
      </c>
      <c r="V10" s="25">
        <f>U10/D10</f>
        <v/>
      </c>
      <c r="W10" s="6">
        <f>IF(OR(F10="", V10=""), "", IF(AND(F10&gt;=80%, V10&gt;=25%), "Đạt", "Không đạt"))</f>
        <v/>
      </c>
      <c r="X10" s="4">
        <f>SUMIF(data!$A:$A, B10, data!$C:$C)</f>
        <v/>
      </c>
      <c r="Y10" s="5">
        <f>SUMIF(data!$A:$A, B10, data!$D:$D)</f>
        <v/>
      </c>
      <c r="Z10" s="5">
        <f>IF(X10&gt;0, Y10/X10, 0)</f>
        <v/>
      </c>
      <c r="AA10" s="4">
        <f>SUMIF(data!$A:$A, B10, data!$E:$E)</f>
        <v/>
      </c>
      <c r="AB10" s="5">
        <f>SUMIF(data!$A:$A, B10, data!$F:$F)</f>
        <v/>
      </c>
      <c r="AC10" s="5">
        <f>IF(AA10&gt;0, AB10/AA10, 0)</f>
        <v/>
      </c>
      <c r="AD10" s="4">
        <f>X10+AA10</f>
        <v/>
      </c>
      <c r="AE10" s="5">
        <f>Y10+AB10</f>
        <v/>
      </c>
      <c r="AF10" s="5">
        <f>IF(AD10&gt;0, AE10/AD10, 0)</f>
        <v/>
      </c>
      <c r="AG10" s="19" t="n"/>
      <c r="AH10" s="19" t="n"/>
      <c r="AI10" s="19" t="n"/>
      <c r="AJ10" s="19" t="n"/>
      <c r="AK10" s="19" t="n"/>
      <c r="AL10" s="19" t="n"/>
    </row>
    <row r="11" ht="15.75" customHeight="1">
      <c r="A11" s="3" t="inlineStr">
        <is>
          <t>Hồ Thị Minh Hòa</t>
        </is>
      </c>
      <c r="B11" s="6" t="inlineStr">
        <is>
          <t>Lê Bình</t>
        </is>
      </c>
      <c r="C11" s="5" t="n">
        <v>325500000</v>
      </c>
      <c r="D11" s="5">
        <f>AE11</f>
        <v/>
      </c>
      <c r="E11" s="5">
        <f>D11/DAY('kpi dược sĩ'!$C$1)</f>
        <v/>
      </c>
      <c r="F11" s="25">
        <f>E11/T11</f>
        <v/>
      </c>
      <c r="G11" s="26">
        <f>IF(W11&lt;&gt;"Đạt", 0, IF(E11&gt;=T11, D11*0.5%+1000000, IF(E11&gt;=P11, D11*0.4%+700000, IF(E11&gt;=K11, D11*0.35%+500000, 0))))</f>
        <v/>
      </c>
      <c r="H11" s="18" t="n">
        <v>0.8</v>
      </c>
      <c r="I11" s="5">
        <f>J11*0.25</f>
        <v/>
      </c>
      <c r="J11" s="5">
        <f>C11*H11</f>
        <v/>
      </c>
      <c r="K11" s="5">
        <f>T11*H11</f>
        <v/>
      </c>
      <c r="L11" s="5">
        <f>CEILING(K11, 100000)</f>
        <v/>
      </c>
      <c r="M11" s="18" t="n">
        <v>0.9</v>
      </c>
      <c r="N11" s="5">
        <f>O11*0.25</f>
        <v/>
      </c>
      <c r="O11" s="5">
        <f>C11*M11</f>
        <v/>
      </c>
      <c r="P11" s="5">
        <f>T11*M11</f>
        <v/>
      </c>
      <c r="Q11" s="18" t="n">
        <v>1</v>
      </c>
      <c r="R11" s="5">
        <f>S11*0.25</f>
        <v/>
      </c>
      <c r="S11" s="5">
        <f>C11*Q11</f>
        <v/>
      </c>
      <c r="T11" s="5">
        <f>C11/DAY($T$1)</f>
        <v/>
      </c>
      <c r="U11" s="5">
        <f>SUMIF('Dự án T9'!$A:$A, B11, 'Dự án T9'!D:D)*DAY($F$1)</f>
        <v/>
      </c>
      <c r="V11" s="25">
        <f>U11/D11</f>
        <v/>
      </c>
      <c r="W11" s="6">
        <f>IF(OR(F11="", V11=""), "", IF(AND(F11&gt;=80%, V11&gt;=25%), "Đạt", "Không đạt"))</f>
        <v/>
      </c>
      <c r="X11" s="4">
        <f>SUMIF(data!$A:$A, B11, data!$C:$C)</f>
        <v/>
      </c>
      <c r="Y11" s="5">
        <f>SUMIF(data!$A:$A, B11, data!$D:$D)</f>
        <v/>
      </c>
      <c r="Z11" s="5">
        <f>IF(X11&gt;0, Y11/X11, 0)</f>
        <v/>
      </c>
      <c r="AA11" s="4">
        <f>SUMIF(data!$A:$A, B11, data!$E:$E)</f>
        <v/>
      </c>
      <c r="AB11" s="5">
        <f>SUMIF(data!$A:$A, B11, data!$F:$F)</f>
        <v/>
      </c>
      <c r="AC11" s="5">
        <f>IF(AA11&gt;0, AB11/AA11, 0)</f>
        <v/>
      </c>
      <c r="AD11" s="4">
        <f>X11+AA11</f>
        <v/>
      </c>
      <c r="AE11" s="5">
        <f>Y11+AB11</f>
        <v/>
      </c>
      <c r="AF11" s="5">
        <f>IF(AD11&gt;0, AE11/AD11, 0)</f>
        <v/>
      </c>
      <c r="AG11" s="19" t="n"/>
      <c r="AH11" s="19" t="n"/>
      <c r="AI11" s="19" t="n"/>
      <c r="AJ11" s="19" t="n"/>
      <c r="AK11" s="19" t="n"/>
      <c r="AL11" s="19" t="n"/>
    </row>
    <row r="12" ht="15.75" customHeight="1">
      <c r="A12" s="3" t="inlineStr">
        <is>
          <t>Đinh Thị Lan Anh</t>
        </is>
      </c>
      <c r="B12" s="6" t="inlineStr">
        <is>
          <t>Hàng Bông</t>
        </is>
      </c>
      <c r="C12" s="5" t="n">
        <v>1350000000</v>
      </c>
      <c r="D12" s="5">
        <f>AE12</f>
        <v/>
      </c>
      <c r="E12" s="5">
        <f>D12/DAY('kpi dược sĩ'!$C$1)</f>
        <v/>
      </c>
      <c r="F12" s="25">
        <f>E12/T12</f>
        <v/>
      </c>
      <c r="G12" s="26">
        <f>IF(W12&lt;&gt;"Đạt", 0, IF(E12&gt;=T12, D12*0.5%+1000000, IF(E12&gt;=P12, D12*0.4%+700000, IF(E12&gt;=K12, D12*0.35%+500000, 0))))</f>
        <v/>
      </c>
      <c r="H12" s="18" t="n">
        <v>0.8</v>
      </c>
      <c r="I12" s="5">
        <f>J12*0.25</f>
        <v/>
      </c>
      <c r="J12" s="5">
        <f>C12*H12</f>
        <v/>
      </c>
      <c r="K12" s="5">
        <f>T12*H12</f>
        <v/>
      </c>
      <c r="L12" s="5">
        <f>CEILING(K12, 100000)</f>
        <v/>
      </c>
      <c r="M12" s="18" t="n">
        <v>0.9</v>
      </c>
      <c r="N12" s="5">
        <f>O12*0.25</f>
        <v/>
      </c>
      <c r="O12" s="5">
        <f>C12*M12</f>
        <v/>
      </c>
      <c r="P12" s="5">
        <f>T12*M12</f>
        <v/>
      </c>
      <c r="Q12" s="18" t="n">
        <v>1</v>
      </c>
      <c r="R12" s="5">
        <f>S12*0.25</f>
        <v/>
      </c>
      <c r="S12" s="5">
        <f>C12*Q12</f>
        <v/>
      </c>
      <c r="T12" s="5">
        <f>C12/DAY($T$1)</f>
        <v/>
      </c>
      <c r="U12" s="5">
        <f>SUMIF('Dự án T9'!$A:$A, B12, 'Dự án T9'!D:D)*DAY($F$1)</f>
        <v/>
      </c>
      <c r="V12" s="25">
        <f>U12/D12</f>
        <v/>
      </c>
      <c r="W12" s="6">
        <f>IF(OR(F12="", V12=""), "", IF(AND(F12&gt;=80%, V12&gt;=25%), "Đạt", "Không đạt"))</f>
        <v/>
      </c>
      <c r="X12" s="4">
        <f>SUMIF(data!$A:$A, B12, data!$C:$C)</f>
        <v/>
      </c>
      <c r="Y12" s="5">
        <f>SUMIF(data!$A:$A, B12, data!$D:$D)</f>
        <v/>
      </c>
      <c r="Z12" s="5">
        <f>IF(X12&gt;0, Y12/X12, 0)</f>
        <v/>
      </c>
      <c r="AA12" s="4">
        <f>SUMIF(data!$A:$A, B12, data!$E:$E)</f>
        <v/>
      </c>
      <c r="AB12" s="5">
        <f>SUMIF(data!$A:$A, B12, data!$F:$F)</f>
        <v/>
      </c>
      <c r="AC12" s="5">
        <f>IF(AA12&gt;0, AB12/AA12, 0)</f>
        <v/>
      </c>
      <c r="AD12" s="4">
        <f>X12+AA12</f>
        <v/>
      </c>
      <c r="AE12" s="5">
        <f>Y12+AB12</f>
        <v/>
      </c>
      <c r="AF12" s="5">
        <f>IF(AD12&gt;0, AE12/AD12, 0)</f>
        <v/>
      </c>
      <c r="AG12" s="19" t="n"/>
      <c r="AH12" s="19" t="n"/>
      <c r="AI12" s="19" t="n"/>
      <c r="AJ12" s="19" t="n"/>
      <c r="AK12" s="19" t="n"/>
      <c r="AL12" s="19" t="n"/>
    </row>
    <row r="13" ht="15.75" customHeight="1">
      <c r="A13" s="3" t="inlineStr">
        <is>
          <t>Hứa Thị Kim Thoa</t>
        </is>
      </c>
      <c r="B13" s="6" t="inlineStr">
        <is>
          <t>Đường Láng</t>
        </is>
      </c>
      <c r="C13" s="5" t="n">
        <v>1100000000</v>
      </c>
      <c r="D13" s="5">
        <f>AE13</f>
        <v/>
      </c>
      <c r="E13" s="5">
        <f>D13/DAY('kpi dược sĩ'!$C$1)</f>
        <v/>
      </c>
      <c r="F13" s="25">
        <f>E13/T13</f>
        <v/>
      </c>
      <c r="G13" s="26">
        <f>IF(W13&lt;&gt;"Đạt", 0, IF(E13&gt;=T13, D13*0.5%+1000000, IF(E13&gt;=P13, D13*0.4%+700000, IF(E13&gt;=K13, D13*0.35%+500000, 0))))</f>
        <v/>
      </c>
      <c r="H13" s="18" t="n">
        <v>0.8</v>
      </c>
      <c r="I13" s="5">
        <f>J13*0.25</f>
        <v/>
      </c>
      <c r="J13" s="5">
        <f>C13*H13</f>
        <v/>
      </c>
      <c r="K13" s="5">
        <f>T13*H13</f>
        <v/>
      </c>
      <c r="L13" s="5">
        <f>CEILING(K13, 100000)</f>
        <v/>
      </c>
      <c r="M13" s="18" t="n">
        <v>0.9</v>
      </c>
      <c r="N13" s="5">
        <f>O13*0.25</f>
        <v/>
      </c>
      <c r="O13" s="5">
        <f>C13*M13</f>
        <v/>
      </c>
      <c r="P13" s="5">
        <f>T13*M13</f>
        <v/>
      </c>
      <c r="Q13" s="18" t="n">
        <v>1</v>
      </c>
      <c r="R13" s="5">
        <f>S13*0.25</f>
        <v/>
      </c>
      <c r="S13" s="5">
        <f>C13*Q13</f>
        <v/>
      </c>
      <c r="T13" s="5">
        <f>C13/DAY($T$1)</f>
        <v/>
      </c>
      <c r="U13" s="5">
        <f>SUMIF('Dự án T9'!$A:$A, B13, 'Dự án T9'!D:D)*DAY($F$1)</f>
        <v/>
      </c>
      <c r="V13" s="25">
        <f>U13/D13</f>
        <v/>
      </c>
      <c r="W13" s="6">
        <f>IF(OR(F13="", V13=""), "", IF(AND(F13&gt;=80%, V13&gt;=25%), "Đạt", "Không đạt"))</f>
        <v/>
      </c>
      <c r="X13" s="4">
        <f>SUMIF(data!$A:$A, B13, data!$C:$C)</f>
        <v/>
      </c>
      <c r="Y13" s="5">
        <f>SUMIF(data!$A:$A, B13, data!$D:$D)</f>
        <v/>
      </c>
      <c r="Z13" s="5">
        <f>IF(X13&gt;0, Y13/X13, 0)</f>
        <v/>
      </c>
      <c r="AA13" s="4">
        <f>SUMIF(data!$A:$A, B13, data!$E:$E)</f>
        <v/>
      </c>
      <c r="AB13" s="5">
        <f>SUMIF(data!$A:$A, B13, data!$F:$F)</f>
        <v/>
      </c>
      <c r="AC13" s="5">
        <f>IF(AA13&gt;0, AB13/AA13, 0)</f>
        <v/>
      </c>
      <c r="AD13" s="4">
        <f>X13+AA13</f>
        <v/>
      </c>
      <c r="AE13" s="5">
        <f>Y13+AB13</f>
        <v/>
      </c>
      <c r="AF13" s="5">
        <f>IF(AD13&gt;0, AE13/AD13, 0)</f>
        <v/>
      </c>
      <c r="AG13" s="19" t="n"/>
      <c r="AH13" s="19" t="n"/>
      <c r="AI13" s="19" t="n"/>
      <c r="AJ13" s="19" t="n"/>
      <c r="AK13" s="19" t="n"/>
      <c r="AL13" s="19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0.78" customWidth="1" min="2" max="2"/>
    <col width="13" customWidth="1" min="3" max="3"/>
    <col width="14.22" customWidth="1" min="4" max="4"/>
    <col width="13" customWidth="1" min="5" max="5"/>
    <col width="13" customWidth="1" min="6" max="6"/>
    <col width="13" customWidth="1" min="7" max="7"/>
    <col width="13" customWidth="1" min="8" max="8"/>
    <col width="15.44" customWidth="1" min="9" max="9"/>
    <col width="14.22" customWidth="1" min="10" max="10"/>
    <col width="13" customWidth="1" min="11" max="11"/>
    <col width="13" customWidth="1" min="12" max="12"/>
    <col width="14.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27">
        <f>'kpi dược sĩ'!$C$1</f>
        <v/>
      </c>
      <c r="B1" s="10" t="n"/>
      <c r="C1" s="10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</row>
    <row r="2" ht="33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3" t="inlineStr">
        <is>
          <t>CK + Combo + NY3/ngày</t>
        </is>
      </c>
      <c r="E2" s="13" t="inlineStr">
        <is>
          <t>NY3</t>
        </is>
      </c>
      <c r="F2" s="13" t="inlineStr">
        <is>
          <t>Chiết khấu</t>
        </is>
      </c>
      <c r="G2" s="13" t="inlineStr">
        <is>
          <t>Combo Liều</t>
        </is>
      </c>
      <c r="H2" s="13" t="inlineStr">
        <is>
          <t>Chiết khấu/ngày</t>
        </is>
      </c>
      <c r="I2" s="13" t="inlineStr">
        <is>
          <t>Combo Liều/ngày</t>
        </is>
      </c>
      <c r="J2" s="13" t="inlineStr">
        <is>
          <t>Thưởng dự án</t>
        </is>
      </c>
      <c r="K2" s="13" t="inlineStr">
        <is>
          <t>Thưởng thêm</t>
        </is>
      </c>
      <c r="L2" s="13" t="inlineStr">
        <is>
          <t>Thưởng dự án Hot Bill HN</t>
        </is>
      </c>
      <c r="M2" s="13" t="inlineStr">
        <is>
          <t>Total dự án</t>
        </is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29" t="inlineStr">
        <is>
          <t>Trường Sa</t>
        </is>
      </c>
      <c r="B3" s="30" t="inlineStr">
        <is>
          <t>Nguyễn Trần Ngọc Phương</t>
        </is>
      </c>
      <c r="C3" s="6" t="inlineStr">
        <is>
          <t>Q.CHT</t>
        </is>
      </c>
      <c r="D3" s="5">
        <f>SUM(E3:G3)/DAY($A$1)</f>
        <v/>
      </c>
      <c r="E3" s="5" t="n">
        <v>0</v>
      </c>
      <c r="F3" s="5" t="n">
        <v>0</v>
      </c>
      <c r="G3" s="5" t="n">
        <v>0</v>
      </c>
      <c r="H3" s="5">
        <f>F3/DAY($A$1)</f>
        <v/>
      </c>
      <c r="I3" s="5">
        <f>G3/DAY($A$1)</f>
        <v/>
      </c>
      <c r="J3" s="5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5">
        <f>IF(AND($J3=0, IF(OR($A3="Hàng Bông",$A3="Đường Láng"),$D3&gt;=2000000,$D3&gt;=950000)), 500000, 0)</f>
        <v/>
      </c>
      <c r="L3" s="5">
        <f>IFERROR(SUMIF('Hot Bill HN'!$D:$D, $B3, 'Hot Bill HN'!$G:$G), 0)</f>
        <v/>
      </c>
      <c r="M3" s="31">
        <f>$J3+$K3+$L3</f>
        <v/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3.8" customHeight="1">
      <c r="A4" s="29" t="inlineStr">
        <is>
          <t>Trường Sa</t>
        </is>
      </c>
      <c r="B4" s="30" t="inlineStr">
        <is>
          <t>Phạm Nguyễn Ngọc Quý</t>
        </is>
      </c>
      <c r="C4" s="6" t="inlineStr">
        <is>
          <t>DSXC</t>
        </is>
      </c>
      <c r="D4" s="5">
        <f>SUM(E4:G4)/DAY($A$1)</f>
        <v/>
      </c>
      <c r="E4" s="5" t="n">
        <v>0</v>
      </c>
      <c r="F4" s="5" t="n">
        <v>0</v>
      </c>
      <c r="G4" s="5" t="n">
        <v>0</v>
      </c>
      <c r="H4" s="5">
        <f>F4/DAY($A$1)</f>
        <v/>
      </c>
      <c r="I4" s="5">
        <f>G4/DAY($A$1)</f>
        <v/>
      </c>
      <c r="J4" s="5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5">
        <f>IF(AND($J4=0, IF(OR($A4="Hàng Bông",$A4="Đường Láng"),$D4&gt;=2000000,$D4&gt;=950000)), 500000, 0)</f>
        <v/>
      </c>
      <c r="L4" s="5">
        <f>IFERROR(SUMIF('Hot Bill HN'!$D:$D, $B4, 'Hot Bill HN'!$G:$G), 0)</f>
        <v/>
      </c>
      <c r="M4" s="31">
        <f>$J4+$K4+$L4</f>
        <v/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3.8" customHeight="1">
      <c r="A5" s="29" t="inlineStr">
        <is>
          <t>Trường Sa</t>
        </is>
      </c>
      <c r="B5" s="30" t="inlineStr">
        <is>
          <t>Nguyễn Ngọc Anh Thư</t>
        </is>
      </c>
      <c r="C5" s="6" t="inlineStr">
        <is>
          <t>DSHV</t>
        </is>
      </c>
      <c r="D5" s="5">
        <f>SUM(E5:G5)/DAY($A$1)</f>
        <v/>
      </c>
      <c r="E5" s="5" t="n">
        <v>0</v>
      </c>
      <c r="F5" s="5" t="n">
        <v>0</v>
      </c>
      <c r="G5" s="5" t="n">
        <v>0</v>
      </c>
      <c r="H5" s="5">
        <f>F5/DAY($A$1)</f>
        <v/>
      </c>
      <c r="I5" s="5">
        <f>G5/DAY($A$1)</f>
        <v/>
      </c>
      <c r="J5" s="5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5">
        <f>IF(AND($J5=0, IF(OR($A5="Hàng Bông",$A5="Đường Láng"),$D5&gt;=2000000,$D5&gt;=950000)), 500000, 0)</f>
        <v/>
      </c>
      <c r="L5" s="5">
        <f>IFERROR(SUMIF('Hot Bill HN'!$D:$D, $B5, 'Hot Bill HN'!$G:$G), 0)</f>
        <v/>
      </c>
      <c r="M5" s="31">
        <f>$J5+$K5+$L5</f>
        <v/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3.8" customHeight="1">
      <c r="A6" s="29" t="inlineStr">
        <is>
          <t>Trường Sa</t>
        </is>
      </c>
      <c r="B6" s="30" t="inlineStr">
        <is>
          <t>Trần Thị Kim Khánh</t>
        </is>
      </c>
      <c r="C6" s="6" t="inlineStr">
        <is>
          <t>DSCD</t>
        </is>
      </c>
      <c r="D6" s="5">
        <f>SUM(E6:G6)/DAY($A$1)</f>
        <v/>
      </c>
      <c r="E6" s="5" t="n">
        <v>0</v>
      </c>
      <c r="F6" s="5" t="n">
        <v>0</v>
      </c>
      <c r="G6" s="5" t="n">
        <v>0</v>
      </c>
      <c r="H6" s="5">
        <f>F6/DAY($A$1)</f>
        <v/>
      </c>
      <c r="I6" s="5">
        <f>G6/DAY($A$1)</f>
        <v/>
      </c>
      <c r="J6" s="5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5">
        <f>IF(AND($J6=0, IF(OR($A6="Hàng Bông",$A6="Đường Láng"),$D6&gt;=2000000,$D6&gt;=950000)), 500000, 0)</f>
        <v/>
      </c>
      <c r="L6" s="5">
        <f>IFERROR(SUMIF('Hot Bill HN'!$D:$D, $B6, 'Hot Bill HN'!$G:$G), 0)</f>
        <v/>
      </c>
      <c r="M6" s="31">
        <f>$J6+$K6+$L6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3.8" customHeight="1">
      <c r="A7" s="29" t="inlineStr">
        <is>
          <t>Trường Sa</t>
        </is>
      </c>
      <c r="B7" s="30" t="inlineStr">
        <is>
          <t>Trịnh Thị Phượng</t>
        </is>
      </c>
      <c r="C7" s="6" t="inlineStr">
        <is>
          <t>DSCD</t>
        </is>
      </c>
      <c r="D7" s="5">
        <f>SUM(E7:G7)/DAY($A$1)</f>
        <v/>
      </c>
      <c r="E7" s="5" t="n">
        <v>0</v>
      </c>
      <c r="F7" s="5" t="n">
        <v>0</v>
      </c>
      <c r="G7" s="5" t="n">
        <v>0</v>
      </c>
      <c r="H7" s="5">
        <f>F7/DAY($A$1)</f>
        <v/>
      </c>
      <c r="I7" s="5">
        <f>G7/DAY($A$1)</f>
        <v/>
      </c>
      <c r="J7" s="5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5">
        <f>IF(AND($J7=0, IF(OR($A7="Hàng Bông",$A7="Đường Láng"),$D7&gt;=2000000,$D7&gt;=950000)), 500000, 0)</f>
        <v/>
      </c>
      <c r="L7" s="5">
        <f>IFERROR(SUMIF('Hot Bill HN'!$D:$D, $B7, 'Hot Bill HN'!$G:$G), 0)</f>
        <v/>
      </c>
      <c r="M7" s="31">
        <f>$J7+$K7+$L7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3.8" customHeight="1">
      <c r="A8" s="29" t="inlineStr">
        <is>
          <t>Đỗ Quang Đẩu</t>
        </is>
      </c>
      <c r="B8" s="30" t="inlineStr">
        <is>
          <t>Phạm Thị Nghĩa Hương</t>
        </is>
      </c>
      <c r="C8" s="6" t="inlineStr">
        <is>
          <t>DSCD</t>
        </is>
      </c>
      <c r="D8" s="5">
        <f>SUM(E8:G8)/DAY($A$1)</f>
        <v/>
      </c>
      <c r="E8" s="5" t="n">
        <v>0</v>
      </c>
      <c r="F8" s="5" t="n">
        <v>0</v>
      </c>
      <c r="G8" s="5" t="n">
        <v>0</v>
      </c>
      <c r="H8" s="5">
        <f>F8/DAY($A$1)</f>
        <v/>
      </c>
      <c r="I8" s="5">
        <f>G8/DAY($A$1)</f>
        <v/>
      </c>
      <c r="J8" s="5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5">
        <f>IF(AND($J8=0, IF(OR($A8="Hàng Bông",$A8="Đường Láng"),$D8&gt;=2000000,$D8&gt;=950000)), 500000, 0)</f>
        <v/>
      </c>
      <c r="L8" s="5">
        <f>IFERROR(SUMIF('Hot Bill HN'!$D:$D, $B8, 'Hot Bill HN'!$G:$G), 0)</f>
        <v/>
      </c>
      <c r="M8" s="31">
        <f>$J8+$K8+$L8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3.8" customHeight="1">
      <c r="A9" s="29" t="inlineStr">
        <is>
          <t>Đỗ Quang Đẩu</t>
        </is>
      </c>
      <c r="B9" s="30" t="inlineStr">
        <is>
          <t>Trần Thiên Phát</t>
        </is>
      </c>
      <c r="C9" s="6" t="inlineStr">
        <is>
          <t>DSXC</t>
        </is>
      </c>
      <c r="D9" s="5">
        <f>SUM(E9:G9)/DAY($A$1)</f>
        <v/>
      </c>
      <c r="E9" s="5" t="n">
        <v>0</v>
      </c>
      <c r="F9" s="5" t="n">
        <v>0</v>
      </c>
      <c r="G9" s="5" t="n">
        <v>0</v>
      </c>
      <c r="H9" s="5">
        <f>F9/DAY($A$1)</f>
        <v/>
      </c>
      <c r="I9" s="5">
        <f>G9/DAY($A$1)</f>
        <v/>
      </c>
      <c r="J9" s="5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5">
        <f>IF(AND($J9=0, IF(OR($A9="Hàng Bông",$A9="Đường Láng"),$D9&gt;=2000000,$D9&gt;=950000)), 500000, 0)</f>
        <v/>
      </c>
      <c r="L9" s="5">
        <f>IFERROR(SUMIF('Hot Bill HN'!$D:$D, $B9, 'Hot Bill HN'!$G:$G), 0)</f>
        <v/>
      </c>
      <c r="M9" s="31">
        <f>$J9+$K9+$L9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3.8" customHeight="1">
      <c r="A10" s="29" t="inlineStr">
        <is>
          <t>Đỗ Quang Đẩu</t>
        </is>
      </c>
      <c r="B10" s="30" t="inlineStr">
        <is>
          <t>Ngô Thị Thanh Thắm</t>
        </is>
      </c>
      <c r="C10" s="6" t="inlineStr">
        <is>
          <t>CHT</t>
        </is>
      </c>
      <c r="D10" s="5">
        <f>SUM(E10:G10)/DAY($A$1)</f>
        <v/>
      </c>
      <c r="E10" s="5" t="n">
        <v>0</v>
      </c>
      <c r="F10" s="5" t="n">
        <v>0</v>
      </c>
      <c r="G10" s="5" t="n">
        <v>0</v>
      </c>
      <c r="H10" s="5">
        <f>F10/DAY($A$1)</f>
        <v/>
      </c>
      <c r="I10" s="5">
        <f>G10/DAY($A$1)</f>
        <v/>
      </c>
      <c r="J10" s="5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5">
        <f>IF(AND($J10=0, IF(OR($A10="Hàng Bông",$A10="Đường Láng"),$D10&gt;=2000000,$D10&gt;=950000)), 500000, 0)</f>
        <v/>
      </c>
      <c r="L10" s="5">
        <f>IFERROR(SUMIF('Hot Bill HN'!$D:$D, $B10, 'Hot Bill HN'!$G:$G), 0)</f>
        <v/>
      </c>
      <c r="M10" s="31">
        <f>$J10+$K10+$L10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3.8" customHeight="1">
      <c r="A11" s="29" t="inlineStr">
        <is>
          <t>Đỗ Quang Đẩu</t>
        </is>
      </c>
      <c r="B11" s="30" t="inlineStr">
        <is>
          <t>Hoàng Thanh Thủy</t>
        </is>
      </c>
      <c r="C11" s="6" t="inlineStr">
        <is>
          <t>DSXC</t>
        </is>
      </c>
      <c r="D11" s="5">
        <f>SUM(E11:G11)/DAY($A$1)</f>
        <v/>
      </c>
      <c r="E11" s="5" t="n">
        <v>0</v>
      </c>
      <c r="F11" s="5" t="n">
        <v>0</v>
      </c>
      <c r="G11" s="5" t="n">
        <v>0</v>
      </c>
      <c r="H11" s="5">
        <f>F11/DAY($A$1)</f>
        <v/>
      </c>
      <c r="I11" s="5">
        <f>G11/DAY($A$1)</f>
        <v/>
      </c>
      <c r="J11" s="5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5">
        <f>IF(AND($J11=0, IF(OR($A11="Hàng Bông",$A11="Đường Láng"),$D11&gt;=2000000,$D11&gt;=950000)), 500000, 0)</f>
        <v/>
      </c>
      <c r="L11" s="5">
        <f>IFERROR(SUMIF('Hot Bill HN'!$D:$D, $B11, 'Hot Bill HN'!$G:$G), 0)</f>
        <v/>
      </c>
      <c r="M11" s="31">
        <f>$J11+$K11+$L11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3.8" customHeight="1">
      <c r="A12" s="29" t="inlineStr">
        <is>
          <t>Đỗ Quang Đẩu</t>
        </is>
      </c>
      <c r="B12" s="30" t="inlineStr">
        <is>
          <t>Lê Thị Huyền Trân</t>
        </is>
      </c>
      <c r="C12" s="6" t="inlineStr">
        <is>
          <t>DSXC</t>
        </is>
      </c>
      <c r="D12" s="5">
        <f>SUM(E12:G12)/DAY($A$1)</f>
        <v/>
      </c>
      <c r="E12" s="5" t="n">
        <v>0</v>
      </c>
      <c r="F12" s="5" t="n">
        <v>0</v>
      </c>
      <c r="G12" s="5" t="n">
        <v>0</v>
      </c>
      <c r="H12" s="5">
        <f>F12/DAY($A$1)</f>
        <v/>
      </c>
      <c r="I12" s="5">
        <f>G12/DAY($A$1)</f>
        <v/>
      </c>
      <c r="J12" s="5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5">
        <f>IF(AND($J12=0, IF(OR($A12="Hàng Bông",$A12="Đường Láng"),$D12&gt;=2000000,$D12&gt;=950000)), 500000, 0)</f>
        <v/>
      </c>
      <c r="L12" s="5">
        <f>IFERROR(SUMIF('Hot Bill HN'!$D:$D, $B12, 'Hot Bill HN'!$G:$G), 0)</f>
        <v/>
      </c>
      <c r="M12" s="31">
        <f>$J12+$K12+$L12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3.8" customHeight="1">
      <c r="A13" s="29" t="inlineStr">
        <is>
          <t>Minh Châu</t>
        </is>
      </c>
      <c r="B13" s="30" t="inlineStr">
        <is>
          <t>Thái Thùy Linh</t>
        </is>
      </c>
      <c r="C13" s="6" t="inlineStr">
        <is>
          <t>CHT</t>
        </is>
      </c>
      <c r="D13" s="5">
        <f>SUM(E13:G13)/DAY($A$1)</f>
        <v/>
      </c>
      <c r="E13" s="5" t="n">
        <v>0</v>
      </c>
      <c r="F13" s="5" t="n">
        <v>0</v>
      </c>
      <c r="G13" s="5" t="n">
        <v>0</v>
      </c>
      <c r="H13" s="5">
        <f>F13/DAY($A$1)</f>
        <v/>
      </c>
      <c r="I13" s="5">
        <f>G13/DAY($A$1)</f>
        <v/>
      </c>
      <c r="J13" s="5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5">
        <f>IF(AND($J13=0, IF(OR($A13="Hàng Bông",$A13="Đường Láng"),$D13&gt;=2000000,$D13&gt;=950000)), 500000, 0)</f>
        <v/>
      </c>
      <c r="L13" s="5">
        <f>IFERROR(SUMIF('Hot Bill HN'!$D:$D, $B13, 'Hot Bill HN'!$G:$G), 0)</f>
        <v/>
      </c>
      <c r="M13" s="31">
        <f>$J13+$K13+$L13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3.8" customHeight="1">
      <c r="A14" s="29" t="inlineStr">
        <is>
          <t>Minh Châu</t>
        </is>
      </c>
      <c r="B14" s="30" t="inlineStr">
        <is>
          <t>Đoàn Quốc Tâm</t>
        </is>
      </c>
      <c r="C14" s="6" t="inlineStr">
        <is>
          <t>DSXC</t>
        </is>
      </c>
      <c r="D14" s="5">
        <f>SUM(E14:G14)/DAY($A$1)</f>
        <v/>
      </c>
      <c r="E14" s="5" t="n">
        <v>0</v>
      </c>
      <c r="F14" s="5" t="n">
        <v>0</v>
      </c>
      <c r="G14" s="5" t="n">
        <v>0</v>
      </c>
      <c r="H14" s="5">
        <f>F14/DAY($A$1)</f>
        <v/>
      </c>
      <c r="I14" s="5">
        <f>G14/DAY($A$1)</f>
        <v/>
      </c>
      <c r="J14" s="5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5">
        <f>IF(AND($J14=0, IF(OR($A14="Hàng Bông",$A14="Đường Láng"),$D14&gt;=2000000,$D14&gt;=950000)), 500000, 0)</f>
        <v/>
      </c>
      <c r="L14" s="5">
        <f>IFERROR(SUMIF('Hot Bill HN'!$D:$D, $B14, 'Hot Bill HN'!$G:$G), 0)</f>
        <v/>
      </c>
      <c r="M14" s="31">
        <f>$J14+$K14+$L14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3.8" customHeight="1">
      <c r="A15" s="29" t="inlineStr">
        <is>
          <t>Minh Châu</t>
        </is>
      </c>
      <c r="B15" s="30" t="inlineStr">
        <is>
          <t>Phan Công Vũ Tài</t>
        </is>
      </c>
      <c r="C15" s="6" t="inlineStr">
        <is>
          <t>DSXC</t>
        </is>
      </c>
      <c r="D15" s="5">
        <f>SUM(E15:G15)/DAY($A$1)</f>
        <v/>
      </c>
      <c r="E15" s="5" t="n">
        <v>0</v>
      </c>
      <c r="F15" s="5" t="n">
        <v>0</v>
      </c>
      <c r="G15" s="5" t="n">
        <v>0</v>
      </c>
      <c r="H15" s="5">
        <f>F15/DAY($A$1)</f>
        <v/>
      </c>
      <c r="I15" s="5">
        <f>G15/DAY($A$1)</f>
        <v/>
      </c>
      <c r="J15" s="5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5">
        <f>IF(AND($J15=0, IF(OR($A15="Hàng Bông",$A15="Đường Láng"),$D15&gt;=2000000,$D15&gt;=950000)), 500000, 0)</f>
        <v/>
      </c>
      <c r="L15" s="5">
        <f>IFERROR(SUMIF('Hot Bill HN'!$D:$D, $B15, 'Hot Bill HN'!$G:$G), 0)</f>
        <v/>
      </c>
      <c r="M15" s="31">
        <f>$J15+$K15+$L15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3.8" customHeight="1">
      <c r="A16" s="29" t="inlineStr">
        <is>
          <t>Minh Châu</t>
        </is>
      </c>
      <c r="B16" s="30" t="inlineStr">
        <is>
          <t>Nguyễn Ngọc Thùy</t>
        </is>
      </c>
      <c r="C16" s="6" t="inlineStr">
        <is>
          <t>DSHV</t>
        </is>
      </c>
      <c r="D16" s="5">
        <f>SUM(E16:G16)/DAY($A$1)</f>
        <v/>
      </c>
      <c r="E16" s="5" t="n">
        <v>0</v>
      </c>
      <c r="F16" s="5" t="n">
        <v>0</v>
      </c>
      <c r="G16" s="5" t="n">
        <v>0</v>
      </c>
      <c r="H16" s="5">
        <f>F16/DAY($A$1)</f>
        <v/>
      </c>
      <c r="I16" s="5">
        <f>G16/DAY($A$1)</f>
        <v/>
      </c>
      <c r="J16" s="5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5">
        <f>IF(AND($J16=0, IF(OR($A16="Hàng Bông",$A16="Đường Láng"),$D16&gt;=2000000,$D16&gt;=950000)), 500000, 0)</f>
        <v/>
      </c>
      <c r="L16" s="5">
        <f>IFERROR(SUMIF('Hot Bill HN'!$D:$D, $B16, 'Hot Bill HN'!$G:$G), 0)</f>
        <v/>
      </c>
      <c r="M16" s="31">
        <f>$J16+$K16+$L16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3.8" customHeight="1">
      <c r="A17" s="29" t="inlineStr">
        <is>
          <t>Nam Hòa</t>
        </is>
      </c>
      <c r="B17" s="30" t="inlineStr">
        <is>
          <t>Trần Thị Ánh Nguyệt</t>
        </is>
      </c>
      <c r="C17" s="6" t="inlineStr">
        <is>
          <t>DSCD</t>
        </is>
      </c>
      <c r="D17" s="5">
        <f>SUM(E17:G17)/DAY($A$1)</f>
        <v/>
      </c>
      <c r="E17" s="5" t="n">
        <v>0</v>
      </c>
      <c r="F17" s="5" t="n">
        <v>0</v>
      </c>
      <c r="G17" s="5" t="n">
        <v>0</v>
      </c>
      <c r="H17" s="5">
        <f>F17/DAY($A$1)</f>
        <v/>
      </c>
      <c r="I17" s="5">
        <f>G17/DAY($A$1)</f>
        <v/>
      </c>
      <c r="J17" s="5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5">
        <f>IF(AND($J17=0, IF(OR($A17="Hàng Bông",$A17="Đường Láng"),$D17&gt;=2000000,$D17&gt;=950000)), 500000, 0)</f>
        <v/>
      </c>
      <c r="L17" s="5">
        <f>IFERROR(SUMIF('Hot Bill HN'!$D:$D, $B17, 'Hot Bill HN'!$G:$G), 0)</f>
        <v/>
      </c>
      <c r="M17" s="31">
        <f>$J17+$K17+$L17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3.8" customHeight="1">
      <c r="A18" s="29" t="inlineStr">
        <is>
          <t>Nam Hòa</t>
        </is>
      </c>
      <c r="B18" s="30" t="inlineStr">
        <is>
          <t>Nguyễn Thị Huyền Trang</t>
        </is>
      </c>
      <c r="C18" s="6" t="inlineStr">
        <is>
          <t>DSXC</t>
        </is>
      </c>
      <c r="D18" s="5">
        <f>SUM(E18:G18)/DAY($A$1)</f>
        <v/>
      </c>
      <c r="E18" s="5" t="n">
        <v>0</v>
      </c>
      <c r="F18" s="5" t="n">
        <v>0</v>
      </c>
      <c r="G18" s="5" t="n">
        <v>0</v>
      </c>
      <c r="H18" s="5">
        <f>F18/DAY($A$1)</f>
        <v/>
      </c>
      <c r="I18" s="5">
        <f>G18/DAY($A$1)</f>
        <v/>
      </c>
      <c r="J18" s="5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5">
        <f>IF(AND($J18=0, IF(OR($A18="Hàng Bông",$A18="Đường Láng"),$D18&gt;=2000000,$D18&gt;=950000)), 500000, 0)</f>
        <v/>
      </c>
      <c r="L18" s="5">
        <f>IFERROR(SUMIF('Hot Bill HN'!$D:$D, $B18, 'Hot Bill HN'!$G:$G), 0)</f>
        <v/>
      </c>
      <c r="M18" s="31">
        <f>$J18+$K18+$L18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3.8" customHeight="1">
      <c r="A19" s="29" t="inlineStr">
        <is>
          <t>Nam Hòa</t>
        </is>
      </c>
      <c r="B19" s="30" t="inlineStr">
        <is>
          <t>Dương Thị Huỳnh Như</t>
        </is>
      </c>
      <c r="C19" s="6" t="inlineStr">
        <is>
          <t>DSCD (TV)</t>
        </is>
      </c>
      <c r="D19" s="5">
        <f>SUM(E19:G19)/DAY($A$1)</f>
        <v/>
      </c>
      <c r="E19" s="5" t="n">
        <v>0</v>
      </c>
      <c r="F19" s="5" t="n">
        <v>0</v>
      </c>
      <c r="G19" s="5" t="n">
        <v>0</v>
      </c>
      <c r="H19" s="5">
        <f>F19/DAY($A$1)</f>
        <v/>
      </c>
      <c r="I19" s="5">
        <f>G19/DAY($A$1)</f>
        <v/>
      </c>
      <c r="J19" s="5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5">
        <f>IF(AND($J19=0, IF(OR($A19="Hàng Bông",$A19="Đường Láng"),$D19&gt;=2000000,$D19&gt;=950000)), 500000, 0)</f>
        <v/>
      </c>
      <c r="L19" s="5">
        <f>IFERROR(SUMIF('Hot Bill HN'!$D:$D, $B19, 'Hot Bill HN'!$G:$G), 0)</f>
        <v/>
      </c>
      <c r="M19" s="31">
        <f>$J19+$K19+$L19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3.8" customHeight="1">
      <c r="A20" s="29" t="inlineStr">
        <is>
          <t>Nam Hòa</t>
        </is>
      </c>
      <c r="B20" s="30" t="inlineStr">
        <is>
          <t>Bùi Thị Thanh Thủy</t>
        </is>
      </c>
      <c r="C20" s="6" t="inlineStr">
        <is>
          <t>DSXC</t>
        </is>
      </c>
      <c r="D20" s="5">
        <f>SUM(E20:G20)/DAY($A$1)</f>
        <v/>
      </c>
      <c r="E20" s="5" t="n">
        <v>0</v>
      </c>
      <c r="F20" s="5" t="n">
        <v>0</v>
      </c>
      <c r="G20" s="5" t="n">
        <v>0</v>
      </c>
      <c r="H20" s="5">
        <f>F20/DAY($A$1)</f>
        <v/>
      </c>
      <c r="I20" s="5">
        <f>G20/DAY($A$1)</f>
        <v/>
      </c>
      <c r="J20" s="5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5">
        <f>IF(AND($J20=0, IF(OR($A20="Hàng Bông",$A20="Đường Láng"),$D20&gt;=2000000,$D20&gt;=950000)), 500000, 0)</f>
        <v/>
      </c>
      <c r="L20" s="5">
        <f>IFERROR(SUMIF('Hot Bill HN'!$D:$D, $B20, 'Hot Bill HN'!$G:$G), 0)</f>
        <v/>
      </c>
      <c r="M20" s="31">
        <f>$J20+$K20+$L20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3.8" customHeight="1">
      <c r="A21" s="29" t="inlineStr">
        <is>
          <t>Nguyễn Chí Thanh</t>
        </is>
      </c>
      <c r="B21" s="30" t="inlineStr">
        <is>
          <t>Lê Thị Quỳnh Trâm</t>
        </is>
      </c>
      <c r="C21" s="6" t="inlineStr">
        <is>
          <t>CHT</t>
        </is>
      </c>
      <c r="D21" s="5">
        <f>SUM(E21:G21)/DAY($A$1)</f>
        <v/>
      </c>
      <c r="E21" s="5" t="n">
        <v>0</v>
      </c>
      <c r="F21" s="5" t="n">
        <v>0</v>
      </c>
      <c r="G21" s="5" t="n">
        <v>0</v>
      </c>
      <c r="H21" s="5">
        <f>F21/DAY($A$1)</f>
        <v/>
      </c>
      <c r="I21" s="5">
        <f>G21/DAY($A$1)</f>
        <v/>
      </c>
      <c r="J21" s="5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5">
        <f>IF(AND($J21=0, IF(OR($A21="Hàng Bông",$A21="Đường Láng"),$D21&gt;=2000000,$D21&gt;=950000)), 500000, 0)</f>
        <v/>
      </c>
      <c r="L21" s="5">
        <f>IFERROR(SUMIF('Hot Bill HN'!$D:$D, $B21, 'Hot Bill HN'!$G:$G), 0)</f>
        <v/>
      </c>
      <c r="M21" s="31">
        <f>$J21+$K21+$L21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3.8" customHeight="1">
      <c r="A22" s="29" t="inlineStr">
        <is>
          <t>Nguyễn Chí Thanh</t>
        </is>
      </c>
      <c r="B22" s="30" t="inlineStr">
        <is>
          <t>Đỗ Thị Phương Thảo</t>
        </is>
      </c>
      <c r="C22" s="6" t="inlineStr">
        <is>
          <t>DSXC</t>
        </is>
      </c>
      <c r="D22" s="5">
        <f>SUM(E22:G22)/DAY($A$1)</f>
        <v/>
      </c>
      <c r="E22" s="5" t="n">
        <v>0</v>
      </c>
      <c r="F22" s="5" t="n">
        <v>0</v>
      </c>
      <c r="G22" s="5" t="n">
        <v>0</v>
      </c>
      <c r="H22" s="5">
        <f>F22/DAY($A$1)</f>
        <v/>
      </c>
      <c r="I22" s="5">
        <f>G22/DAY($A$1)</f>
        <v/>
      </c>
      <c r="J22" s="5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5">
        <f>IF(AND($J22=0, IF(OR($A22="Hàng Bông",$A22="Đường Láng"),$D22&gt;=2000000,$D22&gt;=950000)), 500000, 0)</f>
        <v/>
      </c>
      <c r="L22" s="5">
        <f>IFERROR(SUMIF('Hot Bill HN'!$D:$D, $B22, 'Hot Bill HN'!$G:$G), 0)</f>
        <v/>
      </c>
      <c r="M22" s="31">
        <f>$J22+$K22+$L22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3.8" customHeight="1">
      <c r="A23" s="29" t="inlineStr">
        <is>
          <t>Nguyễn Chí Thanh</t>
        </is>
      </c>
      <c r="B23" s="30" t="inlineStr">
        <is>
          <t>Nguyễn Thị Hồng Hạnh</t>
        </is>
      </c>
      <c r="C23" s="6" t="inlineStr">
        <is>
          <t>DSCD</t>
        </is>
      </c>
      <c r="D23" s="5">
        <f>SUM(E23:G23)/DAY($A$1)</f>
        <v/>
      </c>
      <c r="E23" s="5" t="n">
        <v>0</v>
      </c>
      <c r="F23" s="5" t="n">
        <v>0</v>
      </c>
      <c r="G23" s="5" t="n">
        <v>0</v>
      </c>
      <c r="H23" s="5">
        <f>F23/DAY($A$1)</f>
        <v/>
      </c>
      <c r="I23" s="5">
        <f>G23/DAY($A$1)</f>
        <v/>
      </c>
      <c r="J23" s="5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5">
        <f>IF(AND($J23=0, IF(OR($A23="Hàng Bông",$A23="Đường Láng"),$D23&gt;=2000000,$D23&gt;=950000)), 500000, 0)</f>
        <v/>
      </c>
      <c r="L23" s="5">
        <f>IFERROR(SUMIF('Hot Bill HN'!$D:$D, $B23, 'Hot Bill HN'!$G:$G), 0)</f>
        <v/>
      </c>
      <c r="M23" s="31">
        <f>$J23+$K23+$L23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3.8" customHeight="1">
      <c r="A24" s="29" t="inlineStr">
        <is>
          <t>Nguyễn Chí Thanh</t>
        </is>
      </c>
      <c r="B24" s="30" t="inlineStr">
        <is>
          <t>Trần Hoàng Khánh</t>
        </is>
      </c>
      <c r="C24" s="6" t="inlineStr">
        <is>
          <t>DSCD</t>
        </is>
      </c>
      <c r="D24" s="5">
        <f>SUM(E24:G24)/DAY($A$1)</f>
        <v/>
      </c>
      <c r="E24" s="5" t="n">
        <v>0</v>
      </c>
      <c r="F24" s="5" t="n">
        <v>0</v>
      </c>
      <c r="G24" s="5" t="n">
        <v>0</v>
      </c>
      <c r="H24" s="5">
        <f>F24/DAY($A$1)</f>
        <v/>
      </c>
      <c r="I24" s="5">
        <f>G24/DAY($A$1)</f>
        <v/>
      </c>
      <c r="J24" s="5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5">
        <f>IF(AND($J24=0, IF(OR($A24="Hàng Bông",$A24="Đường Láng"),$D24&gt;=2000000,$D24&gt;=950000)), 500000, 0)</f>
        <v/>
      </c>
      <c r="L24" s="5">
        <f>IFERROR(SUMIF('Hot Bill HN'!$D:$D, $B24, 'Hot Bill HN'!$G:$G), 0)</f>
        <v/>
      </c>
      <c r="M24" s="31">
        <f>$J24+$K24+$L24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3.8" customHeight="1">
      <c r="A25" s="29" t="inlineStr">
        <is>
          <t>Nguyễn Chí Thanh</t>
        </is>
      </c>
      <c r="B25" s="30" t="inlineStr">
        <is>
          <t>Lý Thục Mi</t>
        </is>
      </c>
      <c r="C25" s="6" t="inlineStr">
        <is>
          <t>DSXC (TV)</t>
        </is>
      </c>
      <c r="D25" s="5">
        <f>SUM(E25:G25)/DAY($A$1)</f>
        <v/>
      </c>
      <c r="E25" s="5" t="n">
        <v>0</v>
      </c>
      <c r="F25" s="5" t="n">
        <v>0</v>
      </c>
      <c r="G25" s="5" t="n">
        <v>0</v>
      </c>
      <c r="H25" s="5">
        <f>F25/DAY($A$1)</f>
        <v/>
      </c>
      <c r="I25" s="5">
        <f>G25/DAY($A$1)</f>
        <v/>
      </c>
      <c r="J25" s="5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5">
        <f>IF(AND($J25=0, IF(OR($A25="Hàng Bông",$A25="Đường Láng"),$D25&gt;=2000000,$D25&gt;=950000)), 500000, 0)</f>
        <v/>
      </c>
      <c r="L25" s="5">
        <f>IFERROR(SUMIF('Hot Bill HN'!$D:$D, $B25, 'Hot Bill HN'!$G:$G), 0)</f>
        <v/>
      </c>
      <c r="M25" s="31">
        <f>$J25+$K25+$L25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3.8" customHeight="1">
      <c r="A26" s="29" t="inlineStr">
        <is>
          <t>Nguyễn Thị Thập</t>
        </is>
      </c>
      <c r="B26" s="30" t="inlineStr">
        <is>
          <t>Trần Thành Đạt</t>
        </is>
      </c>
      <c r="C26" s="6" t="inlineStr">
        <is>
          <t>DSCD</t>
        </is>
      </c>
      <c r="D26" s="5">
        <f>SUM(E26:G26)/DAY($A$1)</f>
        <v/>
      </c>
      <c r="E26" s="5" t="n">
        <v>0</v>
      </c>
      <c r="F26" s="5" t="n">
        <v>0</v>
      </c>
      <c r="G26" s="5" t="n">
        <v>0</v>
      </c>
      <c r="H26" s="5">
        <f>F26/DAY($A$1)</f>
        <v/>
      </c>
      <c r="I26" s="5">
        <f>G26/DAY($A$1)</f>
        <v/>
      </c>
      <c r="J26" s="5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5">
        <f>IF(AND($J26=0, IF(OR($A26="Hàng Bông",$A26="Đường Láng"),$D26&gt;=2000000,$D26&gt;=950000)), 500000, 0)</f>
        <v/>
      </c>
      <c r="L26" s="5">
        <f>IFERROR(SUMIF('Hot Bill HN'!$D:$D, $B26, 'Hot Bill HN'!$G:$G), 0)</f>
        <v/>
      </c>
      <c r="M26" s="31">
        <f>$J26+$K26+$L26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3.8" customHeight="1">
      <c r="A27" s="29" t="inlineStr">
        <is>
          <t>Nguyễn Thị Thập</t>
        </is>
      </c>
      <c r="B27" s="30" t="inlineStr">
        <is>
          <t>Triệu Thị Ngọc Lý</t>
        </is>
      </c>
      <c r="C27" s="6" t="inlineStr">
        <is>
          <t>CHT</t>
        </is>
      </c>
      <c r="D27" s="5">
        <f>SUM(E27:G27)/DAY($A$1)</f>
        <v/>
      </c>
      <c r="E27" s="5" t="n">
        <v>0</v>
      </c>
      <c r="F27" s="5" t="n">
        <v>0</v>
      </c>
      <c r="G27" s="5" t="n">
        <v>0</v>
      </c>
      <c r="H27" s="5">
        <f>F27/DAY($A$1)</f>
        <v/>
      </c>
      <c r="I27" s="5">
        <f>G27/DAY($A$1)</f>
        <v/>
      </c>
      <c r="J27" s="5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5">
        <f>IF(AND($J27=0, IF(OR($A27="Hàng Bông",$A27="Đường Láng"),$D27&gt;=2000000,$D27&gt;=950000)), 500000, 0)</f>
        <v/>
      </c>
      <c r="L27" s="5">
        <f>IFERROR(SUMIF('Hot Bill HN'!$D:$D, $B27, 'Hot Bill HN'!$G:$G), 0)</f>
        <v/>
      </c>
      <c r="M27" s="31">
        <f>$J27+$K27+$L27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3.8" customHeight="1">
      <c r="A28" s="29" t="inlineStr">
        <is>
          <t>Nguyễn Thị Thập</t>
        </is>
      </c>
      <c r="B28" s="30" t="inlineStr">
        <is>
          <t>Cao Trọng Nhân</t>
        </is>
      </c>
      <c r="C28" s="6" t="inlineStr">
        <is>
          <t>DSCD</t>
        </is>
      </c>
      <c r="D28" s="5">
        <f>SUM(E28:G28)/DAY($A$1)</f>
        <v/>
      </c>
      <c r="E28" s="5" t="n">
        <v>0</v>
      </c>
      <c r="F28" s="5" t="n">
        <v>0</v>
      </c>
      <c r="G28" s="5" t="n">
        <v>0</v>
      </c>
      <c r="H28" s="5">
        <f>F28/DAY($A$1)</f>
        <v/>
      </c>
      <c r="I28" s="5">
        <f>G28/DAY($A$1)</f>
        <v/>
      </c>
      <c r="J28" s="5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5">
        <f>IF(AND($J28=0, IF(OR($A28="Hàng Bông",$A28="Đường Láng"),$D28&gt;=2000000,$D28&gt;=950000)), 500000, 0)</f>
        <v/>
      </c>
      <c r="L28" s="5">
        <f>IFERROR(SUMIF('Hot Bill HN'!$D:$D, $B28, 'Hot Bill HN'!$G:$G), 0)</f>
        <v/>
      </c>
      <c r="M28" s="31">
        <f>$J28+$K28+$L28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3.8" customHeight="1">
      <c r="A29" s="29" t="inlineStr">
        <is>
          <t>Nguyễn Thị Thập</t>
        </is>
      </c>
      <c r="B29" s="30" t="inlineStr">
        <is>
          <t>Bùi Thị Bích Trâm</t>
        </is>
      </c>
      <c r="C29" s="6" t="inlineStr">
        <is>
          <t>DSHV</t>
        </is>
      </c>
      <c r="D29" s="5">
        <f>SUM(E29:G29)/DAY($A$1)</f>
        <v/>
      </c>
      <c r="E29" s="5" t="n">
        <v>0</v>
      </c>
      <c r="F29" s="5" t="n">
        <v>0</v>
      </c>
      <c r="G29" s="5" t="n">
        <v>0</v>
      </c>
      <c r="H29" s="5">
        <f>F29/DAY($A$1)</f>
        <v/>
      </c>
      <c r="I29" s="5">
        <f>G29/DAY($A$1)</f>
        <v/>
      </c>
      <c r="J29" s="5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5">
        <f>IF(AND($J29=0, IF(OR($A29="Hàng Bông",$A29="Đường Láng"),$D29&gt;=2000000,$D29&gt;=950000)), 500000, 0)</f>
        <v/>
      </c>
      <c r="L29" s="5">
        <f>IFERROR(SUMIF('Hot Bill HN'!$D:$D, $B29, 'Hot Bill HN'!$G:$G), 0)</f>
        <v/>
      </c>
      <c r="M29" s="31">
        <f>$J29+$K29+$L29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3.8" customHeight="1">
      <c r="A30" s="29" t="inlineStr">
        <is>
          <t>Nguyễn Văn Quá</t>
        </is>
      </c>
      <c r="B30" s="30" t="inlineStr">
        <is>
          <t>Hồ Ngọc Lý</t>
        </is>
      </c>
      <c r="C30" s="6" t="inlineStr">
        <is>
          <t>DSCD</t>
        </is>
      </c>
      <c r="D30" s="5">
        <f>SUM(E30:G30)/DAY($A$1)</f>
        <v/>
      </c>
      <c r="E30" s="5" t="n">
        <v>0</v>
      </c>
      <c r="F30" s="5" t="n">
        <v>0</v>
      </c>
      <c r="G30" s="5" t="n">
        <v>0</v>
      </c>
      <c r="H30" s="5">
        <f>F30/DAY($A$1)</f>
        <v/>
      </c>
      <c r="I30" s="5">
        <f>G30/DAY($A$1)</f>
        <v/>
      </c>
      <c r="J30" s="5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5">
        <f>IF(AND($J30=0, IF(OR($A30="Hàng Bông",$A30="Đường Láng"),$D30&gt;=2000000,$D30&gt;=950000)), 500000, 0)</f>
        <v/>
      </c>
      <c r="L30" s="5">
        <f>IFERROR(SUMIF('Hot Bill HN'!$D:$D, $B30, 'Hot Bill HN'!$G:$G), 0)</f>
        <v/>
      </c>
      <c r="M30" s="31">
        <f>$J30+$K30+$L30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3.8" customHeight="1">
      <c r="A31" s="29" t="inlineStr">
        <is>
          <t>Nguyễn Văn Quá</t>
        </is>
      </c>
      <c r="B31" s="30" t="inlineStr">
        <is>
          <t>Võ Ngọc Giàu Sang</t>
        </is>
      </c>
      <c r="C31" s="6" t="inlineStr">
        <is>
          <t>DSCD</t>
        </is>
      </c>
      <c r="D31" s="5">
        <f>SUM(E31:G31)/DAY($A$1)</f>
        <v/>
      </c>
      <c r="E31" s="5" t="n">
        <v>0</v>
      </c>
      <c r="F31" s="5" t="n">
        <v>0</v>
      </c>
      <c r="G31" s="5" t="n">
        <v>0</v>
      </c>
      <c r="H31" s="5">
        <f>F31/DAY($A$1)</f>
        <v/>
      </c>
      <c r="I31" s="5">
        <f>G31/DAY($A$1)</f>
        <v/>
      </c>
      <c r="J31" s="5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5">
        <f>IF(AND($J31=0, IF(OR($A31="Hàng Bông",$A31="Đường Láng"),$D31&gt;=2000000,$D31&gt;=950000)), 500000, 0)</f>
        <v/>
      </c>
      <c r="L31" s="5">
        <f>IFERROR(SUMIF('Hot Bill HN'!$D:$D, $B31, 'Hot Bill HN'!$G:$G), 0)</f>
        <v/>
      </c>
      <c r="M31" s="31">
        <f>$J31+$K31+$L31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3.8" customHeight="1">
      <c r="A32" s="29" t="inlineStr">
        <is>
          <t>Nguyễn Văn Quá</t>
        </is>
      </c>
      <c r="B32" s="30" t="inlineStr">
        <is>
          <t>Nguyễn Thị Thu Huyền</t>
        </is>
      </c>
      <c r="C32" s="6" t="inlineStr">
        <is>
          <t>DSCD</t>
        </is>
      </c>
      <c r="D32" s="5">
        <f>SUM(E32:G32)/DAY($A$1)</f>
        <v/>
      </c>
      <c r="E32" s="5" t="n">
        <v>0</v>
      </c>
      <c r="F32" s="5" t="n">
        <v>0</v>
      </c>
      <c r="G32" s="5" t="n">
        <v>0</v>
      </c>
      <c r="H32" s="5">
        <f>F32/DAY($A$1)</f>
        <v/>
      </c>
      <c r="I32" s="5">
        <f>G32/DAY($A$1)</f>
        <v/>
      </c>
      <c r="J32" s="5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5">
        <f>IF(AND($J32=0, IF(OR($A32="Hàng Bông",$A32="Đường Láng"),$D32&gt;=2000000,$D32&gt;=950000)), 500000, 0)</f>
        <v/>
      </c>
      <c r="L32" s="5">
        <f>IFERROR(SUMIF('Hot Bill HN'!$D:$D, $B32, 'Hot Bill HN'!$G:$G), 0)</f>
        <v/>
      </c>
      <c r="M32" s="31">
        <f>$J32+$K32+$L32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3.8" customHeight="1">
      <c r="A33" s="29" t="inlineStr">
        <is>
          <t>Nguyễn Văn Quá</t>
        </is>
      </c>
      <c r="B33" s="30" t="inlineStr">
        <is>
          <t>Nguyễn Thị Hương Giang</t>
        </is>
      </c>
      <c r="C33" s="6" t="inlineStr">
        <is>
          <t>CHT</t>
        </is>
      </c>
      <c r="D33" s="5">
        <f>SUM(E33:G33)/DAY($A$1)</f>
        <v/>
      </c>
      <c r="E33" s="5" t="n">
        <v>0</v>
      </c>
      <c r="F33" s="5" t="n">
        <v>0</v>
      </c>
      <c r="G33" s="5" t="n">
        <v>0</v>
      </c>
      <c r="H33" s="5">
        <f>F33/DAY($A$1)</f>
        <v/>
      </c>
      <c r="I33" s="5">
        <f>G33/DAY($A$1)</f>
        <v/>
      </c>
      <c r="J33" s="5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5">
        <f>IF(AND($J33=0, IF(OR($A33="Hàng Bông",$A33="Đường Láng"),$D33&gt;=2000000,$D33&gt;=950000)), 500000, 0)</f>
        <v/>
      </c>
      <c r="L33" s="5">
        <f>IFERROR(SUMIF('Hot Bill HN'!$D:$D, $B33, 'Hot Bill HN'!$G:$G), 0)</f>
        <v/>
      </c>
      <c r="M33" s="31">
        <f>$J33+$K33+$L33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3.8" customHeight="1">
      <c r="A34" s="29" t="inlineStr">
        <is>
          <t>Rạch Bùng Binh</t>
        </is>
      </c>
      <c r="B34" s="30" t="inlineStr">
        <is>
          <t>Cù Thị Tường Vy</t>
        </is>
      </c>
      <c r="C34" s="6" t="inlineStr">
        <is>
          <t>DSCD</t>
        </is>
      </c>
      <c r="D34" s="5">
        <f>SUM(E34:G34)/DAY($A$1)</f>
        <v/>
      </c>
      <c r="E34" s="5" t="n">
        <v>0</v>
      </c>
      <c r="F34" s="5" t="n">
        <v>0</v>
      </c>
      <c r="G34" s="5" t="n">
        <v>0</v>
      </c>
      <c r="H34" s="5">
        <f>F34/DAY($A$1)</f>
        <v/>
      </c>
      <c r="I34" s="5">
        <f>G34/DAY($A$1)</f>
        <v/>
      </c>
      <c r="J34" s="5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5">
        <f>IF(AND($J34=0, IF(OR($A34="Hàng Bông",$A34="Đường Láng"),$D34&gt;=2000000,$D34&gt;=950000)), 500000, 0)</f>
        <v/>
      </c>
      <c r="L34" s="5">
        <f>IFERROR(SUMIF('Hot Bill HN'!$D:$D, $B34, 'Hot Bill HN'!$G:$G), 0)</f>
        <v/>
      </c>
      <c r="M34" s="31">
        <f>$J34+$K34+$L34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3.8" customHeight="1">
      <c r="A35" s="29" t="inlineStr">
        <is>
          <t>Rạch Bùng Binh</t>
        </is>
      </c>
      <c r="B35" s="30" t="inlineStr">
        <is>
          <t>Huỳnh Thị Huệ Hiền</t>
        </is>
      </c>
      <c r="C35" s="6" t="inlineStr">
        <is>
          <t>DSCD</t>
        </is>
      </c>
      <c r="D35" s="5">
        <f>SUM(E35:G35)/DAY($A$1)</f>
        <v/>
      </c>
      <c r="E35" s="5" t="n">
        <v>0</v>
      </c>
      <c r="F35" s="5" t="n">
        <v>0</v>
      </c>
      <c r="G35" s="5" t="n">
        <v>0</v>
      </c>
      <c r="H35" s="5">
        <f>F35/DAY($A$1)</f>
        <v/>
      </c>
      <c r="I35" s="5">
        <f>G35/DAY($A$1)</f>
        <v/>
      </c>
      <c r="J35" s="5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5">
        <f>IF(AND($J35=0, IF(OR($A35="Hàng Bông",$A35="Đường Láng"),$D35&gt;=2000000,$D35&gt;=950000)), 500000, 0)</f>
        <v/>
      </c>
      <c r="L35" s="5">
        <f>IFERROR(SUMIF('Hot Bill HN'!$D:$D, $B35, 'Hot Bill HN'!$G:$G), 0)</f>
        <v/>
      </c>
      <c r="M35" s="31">
        <f>$J35+$K35+$L35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3.8" customHeight="1">
      <c r="A36" s="29" t="inlineStr">
        <is>
          <t>Rạch Bùng Binh</t>
        </is>
      </c>
      <c r="B36" s="30" t="inlineStr">
        <is>
          <t>Ngô Thị Ngọc Thủy</t>
        </is>
      </c>
      <c r="C36" s="6" t="inlineStr">
        <is>
          <t>CHT</t>
        </is>
      </c>
      <c r="D36" s="5">
        <f>SUM(E36:G36)/DAY($A$1)</f>
        <v/>
      </c>
      <c r="E36" s="5" t="n">
        <v>0</v>
      </c>
      <c r="F36" s="5" t="n">
        <v>0</v>
      </c>
      <c r="G36" s="5" t="n">
        <v>0</v>
      </c>
      <c r="H36" s="5">
        <f>F36/DAY($A$1)</f>
        <v/>
      </c>
      <c r="I36" s="5">
        <f>G36/DAY($A$1)</f>
        <v/>
      </c>
      <c r="J36" s="5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5">
        <f>IF(AND($J36=0, IF(OR($A36="Hàng Bông",$A36="Đường Láng"),$D36&gt;=2000000,$D36&gt;=950000)), 500000, 0)</f>
        <v/>
      </c>
      <c r="L36" s="5">
        <f>IFERROR(SUMIF('Hot Bill HN'!$D:$D, $B36, 'Hot Bill HN'!$G:$G), 0)</f>
        <v/>
      </c>
      <c r="M36" s="31">
        <f>$J36+$K36+$L36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3.8" customHeight="1">
      <c r="A37" s="29" t="inlineStr">
        <is>
          <t>Rạch Bùng Binh</t>
        </is>
      </c>
      <c r="B37" s="30" t="inlineStr">
        <is>
          <t>Nguyễn Thị Phúc Lộc</t>
        </is>
      </c>
      <c r="C37" s="6" t="inlineStr">
        <is>
          <t>DSCD</t>
        </is>
      </c>
      <c r="D37" s="5">
        <f>SUM(E37:G37)/DAY($A$1)</f>
        <v/>
      </c>
      <c r="E37" s="5" t="n">
        <v>0</v>
      </c>
      <c r="F37" s="5" t="n">
        <v>0</v>
      </c>
      <c r="G37" s="5" t="n">
        <v>0</v>
      </c>
      <c r="H37" s="5">
        <f>F37/DAY($A$1)</f>
        <v/>
      </c>
      <c r="I37" s="5">
        <f>G37/DAY($A$1)</f>
        <v/>
      </c>
      <c r="J37" s="5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5">
        <f>IF(AND($J37=0, IF(OR($A37="Hàng Bông",$A37="Đường Láng"),$D37&gt;=2000000,$D37&gt;=950000)), 500000, 0)</f>
        <v/>
      </c>
      <c r="L37" s="5">
        <f>IFERROR(SUMIF('Hot Bill HN'!$D:$D, $B37, 'Hot Bill HN'!$G:$G), 0)</f>
        <v/>
      </c>
      <c r="M37" s="31">
        <f>$J37+$K37+$L37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3.8" customHeight="1">
      <c r="A38" s="29" t="inlineStr">
        <is>
          <t>Rạch Bùng Binh</t>
        </is>
      </c>
      <c r="B38" s="30" t="inlineStr">
        <is>
          <t>Phạm Nguyễn Ngọc Quyền Trân</t>
        </is>
      </c>
      <c r="C38" s="6" t="inlineStr">
        <is>
          <t>DSXC</t>
        </is>
      </c>
      <c r="D38" s="5">
        <f>SUM(E38:G38)/DAY($A$1)</f>
        <v/>
      </c>
      <c r="E38" s="5" t="n">
        <v>0</v>
      </c>
      <c r="F38" s="5" t="n">
        <v>0</v>
      </c>
      <c r="G38" s="5" t="n">
        <v>0</v>
      </c>
      <c r="H38" s="5">
        <f>F38/DAY($A$1)</f>
        <v/>
      </c>
      <c r="I38" s="5">
        <f>G38/DAY($A$1)</f>
        <v/>
      </c>
      <c r="J38" s="5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5">
        <f>IF(AND($J38=0, IF(OR($A38="Hàng Bông",$A38="Đường Láng"),$D38&gt;=2000000,$D38&gt;=950000)), 500000, 0)</f>
        <v/>
      </c>
      <c r="L38" s="5">
        <f>IFERROR(SUMIF('Hot Bill HN'!$D:$D, $B38, 'Hot Bill HN'!$G:$G), 0)</f>
        <v/>
      </c>
      <c r="M38" s="31">
        <f>$J38+$K38+$L38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3.8" customHeight="1">
      <c r="A39" s="29" t="inlineStr">
        <is>
          <t>Lê Bình</t>
        </is>
      </c>
      <c r="B39" s="30" t="inlineStr">
        <is>
          <t>Hồ Thị Minh Hòa</t>
        </is>
      </c>
      <c r="C39" s="6" t="inlineStr">
        <is>
          <t>CHT</t>
        </is>
      </c>
      <c r="D39" s="5">
        <f>SUM(E39:G39)/DAY($A$1)</f>
        <v/>
      </c>
      <c r="E39" s="5" t="n">
        <v>0</v>
      </c>
      <c r="F39" s="5" t="n">
        <v>0</v>
      </c>
      <c r="G39" s="5" t="n">
        <v>0</v>
      </c>
      <c r="H39" s="5">
        <f>F39/DAY($A$1)</f>
        <v/>
      </c>
      <c r="I39" s="5">
        <f>G39/DAY($A$1)</f>
        <v/>
      </c>
      <c r="J39" s="5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5">
        <f>IF(AND($J39=0, IF(OR($A39="Hàng Bông",$A39="Đường Láng"),$D39&gt;=2000000,$D39&gt;=950000)), 500000, 0)</f>
        <v/>
      </c>
      <c r="L39" s="5">
        <f>IFERROR(SUMIF('Hot Bill HN'!$D:$D, $B39, 'Hot Bill HN'!$G:$G), 0)</f>
        <v/>
      </c>
      <c r="M39" s="31">
        <f>$J39+$K39+$L39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3.8" customHeight="1">
      <c r="A40" s="29" t="inlineStr">
        <is>
          <t>Lê Bình</t>
        </is>
      </c>
      <c r="B40" s="30" t="inlineStr">
        <is>
          <t>Lê Thị Xuyến</t>
        </is>
      </c>
      <c r="C40" s="6" t="inlineStr">
        <is>
          <t>DSCD</t>
        </is>
      </c>
      <c r="D40" s="5">
        <f>SUM(E40:G40)/DAY($A$1)</f>
        <v/>
      </c>
      <c r="E40" s="5" t="n">
        <v>0</v>
      </c>
      <c r="F40" s="5" t="n">
        <v>0</v>
      </c>
      <c r="G40" s="5" t="n">
        <v>0</v>
      </c>
      <c r="H40" s="5">
        <f>F40/DAY($A$1)</f>
        <v/>
      </c>
      <c r="I40" s="5">
        <f>G40/DAY($A$1)</f>
        <v/>
      </c>
      <c r="J40" s="5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5">
        <f>IF(AND($J40=0, IF(OR($A40="Hàng Bông",$A40="Đường Láng"),$D40&gt;=2000000,$D40&gt;=950000)), 500000, 0)</f>
        <v/>
      </c>
      <c r="L40" s="5">
        <f>IFERROR(SUMIF('Hot Bill HN'!$D:$D, $B40, 'Hot Bill HN'!$G:$G), 0)</f>
        <v/>
      </c>
      <c r="M40" s="31">
        <f>$J40+$K40+$L40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3.8" customHeight="1">
      <c r="A41" s="29" t="inlineStr">
        <is>
          <t>Lê Bình</t>
        </is>
      </c>
      <c r="B41" s="30" t="inlineStr">
        <is>
          <t>Đinh Hoài Bảo</t>
        </is>
      </c>
      <c r="C41" s="6" t="inlineStr">
        <is>
          <t>DSXC (TV)</t>
        </is>
      </c>
      <c r="D41" s="5">
        <f>SUM(E41:G41)/DAY($A$1)</f>
        <v/>
      </c>
      <c r="E41" s="5" t="n">
        <v>0</v>
      </c>
      <c r="F41" s="5" t="n">
        <v>0</v>
      </c>
      <c r="G41" s="5" t="n">
        <v>0</v>
      </c>
      <c r="H41" s="5">
        <f>F41/DAY($A$1)</f>
        <v/>
      </c>
      <c r="I41" s="5">
        <f>G41/DAY($A$1)</f>
        <v/>
      </c>
      <c r="J41" s="5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5">
        <f>IF(AND($J41=0, IF(OR($A41="Hàng Bông",$A41="Đường Láng"),$D41&gt;=2000000,$D41&gt;=950000)), 500000, 0)</f>
        <v/>
      </c>
      <c r="L41" s="5">
        <f>IFERROR(SUMIF('Hot Bill HN'!$D:$D, $B41, 'Hot Bill HN'!$G:$G), 0)</f>
        <v/>
      </c>
      <c r="M41" s="31">
        <f>$J41+$K41+$L41</f>
        <v/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3.8" customHeight="1">
      <c r="A42" s="29" t="inlineStr">
        <is>
          <t>Lê Bình</t>
        </is>
      </c>
      <c r="B42" s="30" t="inlineStr">
        <is>
          <t>Hoàng Lâm Gia Bảo</t>
        </is>
      </c>
      <c r="C42" s="6" t="inlineStr">
        <is>
          <t>DSXC</t>
        </is>
      </c>
      <c r="D42" s="5">
        <f>SUM(E42:G42)/DAY($A$1)</f>
        <v/>
      </c>
      <c r="E42" s="5" t="n">
        <v>0</v>
      </c>
      <c r="F42" s="5" t="n">
        <v>0</v>
      </c>
      <c r="G42" s="5" t="n">
        <v>0</v>
      </c>
      <c r="H42" s="5">
        <f>F42/DAY($A$1)</f>
        <v/>
      </c>
      <c r="I42" s="5">
        <f>G42/DAY($A$1)</f>
        <v/>
      </c>
      <c r="J42" s="5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5">
        <f>IF(AND($J42=0, IF(OR($A42="Hàng Bông",$A42="Đường Láng"),$D42&gt;=2000000,$D42&gt;=950000)), 500000, 0)</f>
        <v/>
      </c>
      <c r="L42" s="5">
        <f>IFERROR(SUMIF('Hot Bill HN'!$D:$D, $B42, 'Hot Bill HN'!$G:$G), 0)</f>
        <v/>
      </c>
      <c r="M42" s="31">
        <f>$J42+$K42+$L42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3.8" customHeight="1">
      <c r="A43" s="29" t="inlineStr">
        <is>
          <t>Lê Bình</t>
        </is>
      </c>
      <c r="B43" s="30" t="inlineStr">
        <is>
          <t>Trần Thị Phương Thùy</t>
        </is>
      </c>
      <c r="C43" s="6" t="inlineStr">
        <is>
          <t>DSXC (TV)</t>
        </is>
      </c>
      <c r="D43" s="5">
        <f>SUM(E43:G43)/DAY($A$1)</f>
        <v/>
      </c>
      <c r="E43" s="5" t="n">
        <v>0</v>
      </c>
      <c r="F43" s="5" t="n">
        <v>0</v>
      </c>
      <c r="G43" s="5" t="n">
        <v>0</v>
      </c>
      <c r="H43" s="5">
        <f>F43/DAY($A$1)</f>
        <v/>
      </c>
      <c r="I43" s="5">
        <f>G43/DAY($A$1)</f>
        <v/>
      </c>
      <c r="J43" s="5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5">
        <f>IF(AND($J43=0, IF(OR($A43="Hàng Bông",$A43="Đường Láng"),$D43&gt;=2000000,$D43&gt;=950000)), 500000, 0)</f>
        <v/>
      </c>
      <c r="L43" s="5">
        <f>IFERROR(SUMIF('Hot Bill HN'!$D:$D, $B43, 'Hot Bill HN'!$G:$G), 0)</f>
        <v/>
      </c>
      <c r="M43" s="31">
        <f>$J43+$K43+$L43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3.8" customHeight="1">
      <c r="A44" s="29" t="inlineStr">
        <is>
          <t>Hàng Bông</t>
        </is>
      </c>
      <c r="B44" s="30" t="inlineStr">
        <is>
          <t>Đinh Thị Lan Anh</t>
        </is>
      </c>
      <c r="C44" s="6" t="inlineStr">
        <is>
          <t>CHT</t>
        </is>
      </c>
      <c r="D44" s="5">
        <f>SUM(E44:G44)/DAY($A$1)</f>
        <v/>
      </c>
      <c r="E44" s="5" t="n">
        <v>0</v>
      </c>
      <c r="F44" s="5" t="n">
        <v>0</v>
      </c>
      <c r="G44" s="5" t="n">
        <v>0</v>
      </c>
      <c r="H44" s="5">
        <f>F44/DAY($A$1)</f>
        <v/>
      </c>
      <c r="I44" s="5">
        <f>G44/DAY($A$1)</f>
        <v/>
      </c>
      <c r="J44" s="5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5">
        <f>IF(AND($J44=0, IF(OR($A44="Hàng Bông",$A44="Đường Láng"),$D44&gt;=2000000,$D44&gt;=950000)), 500000, 0)</f>
        <v/>
      </c>
      <c r="L44" s="5">
        <f>IFERROR(SUMIF('Hot Bill HN'!$D:$D, $B44, 'Hot Bill HN'!$G:$G), 0)</f>
        <v/>
      </c>
      <c r="M44" s="31">
        <f>$J44+$K44+$L44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3.8" customHeight="1">
      <c r="A45" s="29" t="inlineStr">
        <is>
          <t>Hàng Bông</t>
        </is>
      </c>
      <c r="B45" s="30" t="inlineStr">
        <is>
          <t>Vũ Thanh Hằng</t>
        </is>
      </c>
      <c r="C45" s="6" t="inlineStr">
        <is>
          <t>BC</t>
        </is>
      </c>
      <c r="D45" s="5">
        <f>SUM(E45:G45)/DAY($A$1)</f>
        <v/>
      </c>
      <c r="E45" s="5" t="n">
        <v>0</v>
      </c>
      <c r="F45" s="5" t="n">
        <v>0</v>
      </c>
      <c r="G45" s="5" t="n">
        <v>0</v>
      </c>
      <c r="H45" s="5">
        <f>F45/DAY($A$1)</f>
        <v/>
      </c>
      <c r="I45" s="5">
        <f>G45/DAY($A$1)</f>
        <v/>
      </c>
      <c r="J45" s="5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5">
        <f>IF(AND($J45=0, IF(OR($A45="Hàng Bông",$A45="Đường Láng"),$D45&gt;=2000000,$D45&gt;=950000)), 500000, 0)</f>
        <v/>
      </c>
      <c r="L45" s="5">
        <f>IFERROR(SUMIF('Hot Bill HN'!$D:$D, $B45, 'Hot Bill HN'!$G:$G), 0)</f>
        <v/>
      </c>
      <c r="M45" s="31">
        <f>$J45+$K45+$L45</f>
        <v/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3.8" customHeight="1">
      <c r="A46" s="29" t="inlineStr">
        <is>
          <t>Hàng Bông</t>
        </is>
      </c>
      <c r="B46" s="30" t="inlineStr">
        <is>
          <t>Nguyễn Mạnh Tuấn</t>
        </is>
      </c>
      <c r="C46" s="6" t="inlineStr">
        <is>
          <t>BC</t>
        </is>
      </c>
      <c r="D46" s="5">
        <f>SUM(E46:G46)/DAY($A$1)</f>
        <v/>
      </c>
      <c r="E46" s="5" t="n">
        <v>0</v>
      </c>
      <c r="F46" s="5" t="n">
        <v>0</v>
      </c>
      <c r="G46" s="5" t="n">
        <v>0</v>
      </c>
      <c r="H46" s="5">
        <f>F46/DAY($A$1)</f>
        <v/>
      </c>
      <c r="I46" s="5">
        <f>G46/DAY($A$1)</f>
        <v/>
      </c>
      <c r="J46" s="5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5">
        <f>IF(AND($J46=0, IF(OR($A46="Hàng Bông",$A46="Đường Láng"),$D46&gt;=2000000,$D46&gt;=950000)), 500000, 0)</f>
        <v/>
      </c>
      <c r="L46" s="5">
        <f>IFERROR(SUMIF('Hot Bill HN'!$D:$D, $B46, 'Hot Bill HN'!$G:$G), 0)</f>
        <v/>
      </c>
      <c r="M46" s="31">
        <f>$J46+$K46+$L46</f>
        <v/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3.8" customHeight="1">
      <c r="A47" s="29" t="inlineStr">
        <is>
          <t>Hàng Bông</t>
        </is>
      </c>
      <c r="B47" s="30" t="inlineStr">
        <is>
          <t>Đinh Thị Khánh Ly</t>
        </is>
      </c>
      <c r="C47" s="6" t="inlineStr">
        <is>
          <t>BC</t>
        </is>
      </c>
      <c r="D47" s="5">
        <f>SUM(E47:G47)/DAY($A$1)</f>
        <v/>
      </c>
      <c r="E47" s="5" t="n">
        <v>0</v>
      </c>
      <c r="F47" s="5" t="n">
        <v>0</v>
      </c>
      <c r="G47" s="5" t="n">
        <v>0</v>
      </c>
      <c r="H47" s="5">
        <f>F47/DAY($A$1)</f>
        <v/>
      </c>
      <c r="I47" s="5">
        <f>G47/DAY($A$1)</f>
        <v/>
      </c>
      <c r="J47" s="5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5">
        <f>IF(AND($J47=0, IF(OR($A47="Hàng Bông",$A47="Đường Láng"),$D47&gt;=2000000,$D47&gt;=950000)), 500000, 0)</f>
        <v/>
      </c>
      <c r="L47" s="5">
        <f>IFERROR(SUMIF('Hot Bill HN'!$D:$D, $B47, 'Hot Bill HN'!$G:$G), 0)</f>
        <v/>
      </c>
      <c r="M47" s="31">
        <f>$J47+$K47+$L47</f>
        <v/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3.8" customHeight="1">
      <c r="A48" s="29" t="inlineStr">
        <is>
          <t>Hàng Bông</t>
        </is>
      </c>
      <c r="B48" s="30" t="inlineStr">
        <is>
          <t>Đỗ Thu Huệ</t>
        </is>
      </c>
      <c r="C48" s="6" t="inlineStr">
        <is>
          <t>DSXC (TV)</t>
        </is>
      </c>
      <c r="D48" s="5">
        <f>SUM(E48:G48)/DAY($A$1)</f>
        <v/>
      </c>
      <c r="E48" s="5" t="n">
        <v>0</v>
      </c>
      <c r="F48" s="5" t="n">
        <v>0</v>
      </c>
      <c r="G48" s="5" t="n">
        <v>0</v>
      </c>
      <c r="H48" s="5">
        <f>F48/DAY($A$1)</f>
        <v/>
      </c>
      <c r="I48" s="5">
        <f>G48/DAY($A$1)</f>
        <v/>
      </c>
      <c r="J48" s="5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5">
        <f>IF(AND($J48=0, IF(OR($A48="Hàng Bông",$A48="Đường Láng"),$D48&gt;=2000000,$D48&gt;=950000)), 500000, 0)</f>
        <v/>
      </c>
      <c r="L48" s="5">
        <f>IFERROR(SUMIF('Hot Bill HN'!$D:$D, $B48, 'Hot Bill HN'!$G:$G), 0)</f>
        <v/>
      </c>
      <c r="M48" s="31">
        <f>$J48+$K48+$L48</f>
        <v/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3.8" customHeight="1">
      <c r="A49" s="29" t="inlineStr">
        <is>
          <t>Đường Láng</t>
        </is>
      </c>
      <c r="B49" s="30" t="inlineStr">
        <is>
          <t>Hứa Thị Kim Thoa</t>
        </is>
      </c>
      <c r="C49" s="6" t="inlineStr">
        <is>
          <t>CHT</t>
        </is>
      </c>
      <c r="D49" s="5">
        <f>SUM(E49:G49)/DAY($A$1)</f>
        <v/>
      </c>
      <c r="E49" s="5" t="n">
        <v>0</v>
      </c>
      <c r="F49" s="5" t="n">
        <v>0</v>
      </c>
      <c r="G49" s="5" t="n">
        <v>0</v>
      </c>
      <c r="H49" s="5">
        <f>F49/DAY($A$1)</f>
        <v/>
      </c>
      <c r="I49" s="5">
        <f>G49/DAY($A$1)</f>
        <v/>
      </c>
      <c r="J49" s="5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5">
        <f>IF(AND($J49=0, IF(OR($A49="Hàng Bông",$A49="Đường Láng"),$D49&gt;=2000000,$D49&gt;=950000)), 500000, 0)</f>
        <v/>
      </c>
      <c r="L49" s="5">
        <f>IFERROR(SUMIF('Hot Bill HN'!$D:$D, $B49, 'Hot Bill HN'!$G:$G), 0)</f>
        <v/>
      </c>
      <c r="M49" s="31">
        <f>$J49+$K49+$L49</f>
        <v/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3.8" customHeight="1">
      <c r="A50" s="29" t="inlineStr">
        <is>
          <t>Đường Láng</t>
        </is>
      </c>
      <c r="B50" s="30" t="inlineStr">
        <is>
          <t>Lê Thị Soạn</t>
        </is>
      </c>
      <c r="C50" s="6" t="inlineStr">
        <is>
          <t>BC</t>
        </is>
      </c>
      <c r="D50" s="5">
        <f>SUM(E50:G50)/DAY($A$1)</f>
        <v/>
      </c>
      <c r="E50" s="5" t="n">
        <v>0</v>
      </c>
      <c r="F50" s="5" t="n">
        <v>0</v>
      </c>
      <c r="G50" s="5" t="n">
        <v>0</v>
      </c>
      <c r="H50" s="5">
        <f>F50/DAY($A$1)</f>
        <v/>
      </c>
      <c r="I50" s="5">
        <f>G50/DAY($A$1)</f>
        <v/>
      </c>
      <c r="J50" s="5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5">
        <f>IF(AND($J50=0, IF(OR($A50="Hàng Bông",$A50="Đường Láng"),$D50&gt;=2000000,$D50&gt;=950000)), 500000, 0)</f>
        <v/>
      </c>
      <c r="L50" s="5">
        <f>IFERROR(SUMIF('Hot Bill HN'!$D:$D, $B50, 'Hot Bill HN'!$G:$G), 0)</f>
        <v/>
      </c>
      <c r="M50" s="31">
        <f>$J50+$K50+$L50</f>
        <v/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3.8" customHeight="1">
      <c r="A51" s="29" t="inlineStr">
        <is>
          <t>Đường Láng</t>
        </is>
      </c>
      <c r="B51" s="30" t="inlineStr">
        <is>
          <t>Nguyễn Thị Tâm</t>
        </is>
      </c>
      <c r="C51" s="6" t="inlineStr">
        <is>
          <t>BC</t>
        </is>
      </c>
      <c r="D51" s="5">
        <f>SUM(E51:G51)/DAY($A$1)</f>
        <v/>
      </c>
      <c r="E51" s="5" t="n">
        <v>0</v>
      </c>
      <c r="F51" s="5" t="n">
        <v>0</v>
      </c>
      <c r="G51" s="5" t="n">
        <v>0</v>
      </c>
      <c r="H51" s="5">
        <f>F51/DAY($A$1)</f>
        <v/>
      </c>
      <c r="I51" s="5">
        <f>G51/DAY($A$1)</f>
        <v/>
      </c>
      <c r="J51" s="5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5">
        <f>IF(AND($J51=0, IF(OR($A51="Hàng Bông",$A51="Đường Láng"),$D51&gt;=2000000,$D51&gt;=950000)), 500000, 0)</f>
        <v/>
      </c>
      <c r="L51" s="5">
        <f>IFERROR(SUMIF('Hot Bill HN'!$D:$D, $B51, 'Hot Bill HN'!$G:$G), 0)</f>
        <v/>
      </c>
      <c r="M51" s="31">
        <f>$J51+$K51+$L51</f>
        <v/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3.8" customHeight="1">
      <c r="A52" s="29" t="inlineStr">
        <is>
          <t>Đường Láng</t>
        </is>
      </c>
      <c r="B52" s="30" t="inlineStr">
        <is>
          <t>Nguyễn Thị Mai Duyên</t>
        </is>
      </c>
      <c r="C52" s="6" t="inlineStr">
        <is>
          <t>BC</t>
        </is>
      </c>
      <c r="D52" s="5">
        <f>SUM(E52:G52)/DAY($A$1)</f>
        <v/>
      </c>
      <c r="E52" s="5" t="n">
        <v>0</v>
      </c>
      <c r="F52" s="5" t="n">
        <v>0</v>
      </c>
      <c r="G52" s="5" t="n">
        <v>0</v>
      </c>
      <c r="H52" s="5">
        <f>F52/DAY($A$1)</f>
        <v/>
      </c>
      <c r="I52" s="5">
        <f>G52/DAY($A$1)</f>
        <v/>
      </c>
      <c r="J52" s="5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5">
        <f>IF(AND($J52=0, IF(OR($A52="Hàng Bông",$A52="Đường Láng"),$D52&gt;=2000000,$D52&gt;=950000)), 500000, 0)</f>
        <v/>
      </c>
      <c r="L52" s="5">
        <f>IFERROR(SUMIF('Hot Bill HN'!$D:$D, $B52, 'Hot Bill HN'!$G:$G), 0)</f>
        <v/>
      </c>
      <c r="M52" s="31">
        <f>$J52+$K52+$L52</f>
        <v/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 ht="13.8" customHeight="1">
      <c r="A53" s="29" t="inlineStr">
        <is>
          <t>Đường Láng</t>
        </is>
      </c>
      <c r="B53" s="30" t="inlineStr">
        <is>
          <t>Trần Ngọc Dung</t>
        </is>
      </c>
      <c r="C53" s="6" t="inlineStr">
        <is>
          <t>BC</t>
        </is>
      </c>
      <c r="D53" s="5">
        <f>SUM(E53:G53)/DAY($A$1)</f>
        <v/>
      </c>
      <c r="E53" s="5" t="n">
        <v>0</v>
      </c>
      <c r="F53" s="5" t="n">
        <v>0</v>
      </c>
      <c r="G53" s="5" t="n">
        <v>0</v>
      </c>
      <c r="H53" s="5">
        <f>F53/DAY($A$1)</f>
        <v/>
      </c>
      <c r="I53" s="5">
        <f>G53/DAY($A$1)</f>
        <v/>
      </c>
      <c r="J53" s="5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5">
        <f>IF(AND($J53=0, IF(OR($A53="Hàng Bông",$A53="Đường Láng"),$D53&gt;=2000000,$D53&gt;=950000)), 500000, 0)</f>
        <v/>
      </c>
      <c r="L53" s="5">
        <f>IFERROR(SUMIF('Hot Bill HN'!$D:$D, $B53, 'Hot Bill HN'!$G:$G), 0)</f>
        <v/>
      </c>
      <c r="M53" s="31">
        <f>$J53+$K53+$L53</f>
        <v/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8" customWidth="1" min="2" max="2"/>
    <col width="16.75" customWidth="1" min="3" max="3"/>
    <col width="18.38" customWidth="1" min="4" max="4"/>
    <col width="16.25" customWidth="1" min="5" max="5"/>
    <col width="29.5" customWidth="1" min="6" max="6"/>
    <col width="19.5" customWidth="1" min="7" max="7"/>
    <col width="62.5" customWidth="1" min="8" max="8"/>
  </cols>
  <sheetData>
    <row r="1" ht="12.75" customHeight="1">
      <c r="A1" s="32" t="inlineStr">
        <is>
          <t>Mã hóa đơn</t>
        </is>
      </c>
      <c r="B1" s="32" t="inlineStr">
        <is>
          <t>Thời gian</t>
        </is>
      </c>
      <c r="C1" s="32" t="inlineStr">
        <is>
          <t>Chi nhánh</t>
        </is>
      </c>
      <c r="D1" s="32" t="inlineStr">
        <is>
          <t>Tên Dược Sĩ</t>
        </is>
      </c>
      <c r="E1" s="32" t="inlineStr">
        <is>
          <t>Số lượng SP CK</t>
        </is>
      </c>
      <c r="F1" s="32" t="inlineStr">
        <is>
          <t>Doanh thu nhóm CK+CKHN</t>
        </is>
      </c>
      <c r="G1" s="32" t="inlineStr">
        <is>
          <t>Tiền Thưởng (VNĐ)</t>
        </is>
      </c>
      <c r="H1" s="32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2026-09-10T05:34:12Z</dcterms:created>
  <dcterms:modified xsi:type="dcterms:W3CDTF">2026-09-10T05:34:13Z</dcterms:modified>
</cp:coreProperties>
</file>