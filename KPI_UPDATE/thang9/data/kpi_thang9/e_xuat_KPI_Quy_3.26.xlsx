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edigo user 08.admin.000\Desktop\KPI\"/>
    </mc:Choice>
  </mc:AlternateContent>
  <xr:revisionPtr revIDLastSave="0" documentId="13_ncr:1_{A20B0CEB-99AA-4B8F-AE1F-E84F21D1E81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KPI" sheetId="1" r:id="rId1"/>
    <sheet name="T8.26" sheetId="2" r:id="rId2"/>
    <sheet name="T9.2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3" l="1"/>
  <c r="S7" i="3"/>
  <c r="T2" i="2"/>
  <c r="S6" i="2"/>
  <c r="S2" i="2"/>
  <c r="Q24" i="1"/>
  <c r="O25" i="1"/>
  <c r="O24" i="1"/>
  <c r="N10" i="1"/>
  <c r="N11" i="1"/>
  <c r="N12" i="1"/>
  <c r="N13" i="1"/>
  <c r="N14" i="1"/>
  <c r="H18" i="1"/>
  <c r="G18" i="1"/>
  <c r="L18" i="1" s="1"/>
  <c r="C18" i="1"/>
  <c r="N18" i="1" s="1"/>
  <c r="B18" i="1"/>
  <c r="N9" i="1"/>
  <c r="L9" i="1"/>
  <c r="K9" i="1"/>
  <c r="J9" i="1"/>
  <c r="I9" i="1"/>
  <c r="F9" i="1"/>
  <c r="E9" i="1"/>
  <c r="D9" i="1"/>
  <c r="N8" i="1"/>
  <c r="L8" i="1"/>
  <c r="N7" i="1"/>
  <c r="L7" i="1"/>
  <c r="N6" i="1"/>
  <c r="L6" i="1"/>
  <c r="N5" i="1"/>
  <c r="L5" i="1"/>
  <c r="N4" i="1"/>
  <c r="L4" i="1"/>
  <c r="N3" i="1"/>
  <c r="O3" i="1" s="1"/>
  <c r="L3" i="1"/>
  <c r="T2" i="3" l="1"/>
  <c r="O7" i="1"/>
  <c r="O5" i="1"/>
  <c r="O4" i="1"/>
  <c r="O9" i="1"/>
  <c r="O8" i="1"/>
  <c r="O6" i="1"/>
  <c r="N21" i="1"/>
  <c r="N22" i="1"/>
  <c r="P9" i="1"/>
  <c r="M9" i="1"/>
  <c r="P8" i="1"/>
  <c r="M8" i="1"/>
  <c r="P7" i="1"/>
  <c r="M7" i="1"/>
  <c r="P6" i="1"/>
  <c r="M6" i="1"/>
  <c r="P5" i="1"/>
  <c r="M5" i="1"/>
  <c r="P4" i="1"/>
  <c r="M4" i="1"/>
  <c r="P3" i="1"/>
  <c r="M3" i="1"/>
  <c r="Q22" i="1" l="1"/>
</calcChain>
</file>

<file path=xl/sharedStrings.xml><?xml version="1.0" encoding="utf-8"?>
<sst xmlns="http://schemas.openxmlformats.org/spreadsheetml/2006/main" count="137" uniqueCount="66">
  <si>
    <t>Tháng</t>
  </si>
  <si>
    <t>NT Hàng Bông 247</t>
  </si>
  <si>
    <t>NT Đường Láng 247</t>
  </si>
  <si>
    <t>Hà Nội</t>
  </si>
  <si>
    <t>growth 2025</t>
  </si>
  <si>
    <t>growth 2026</t>
  </si>
  <si>
    <t>2025/2026</t>
  </si>
  <si>
    <t>25/26</t>
  </si>
  <si>
    <t>Q2.26</t>
  </si>
  <si>
    <t>Q2.25</t>
  </si>
  <si>
    <t>Quý 3.25</t>
  </si>
  <si>
    <t>Q3.25</t>
  </si>
  <si>
    <t>Q3.26</t>
  </si>
  <si>
    <t>theo Cty</t>
  </si>
  <si>
    <t>mức đề xuất mới</t>
  </si>
  <si>
    <t xml:space="preserve">% tăng </t>
  </si>
  <si>
    <t>BÔNG</t>
  </si>
  <si>
    <t>LÁNG</t>
  </si>
  <si>
    <t>HÀ NỘI</t>
  </si>
  <si>
    <t>T8</t>
  </si>
  <si>
    <t>T9</t>
  </si>
  <si>
    <t xml:space="preserve">Tổng </t>
  </si>
  <si>
    <t xml:space="preserve">ĐỀ XUẤT KPI </t>
  </si>
  <si>
    <t>Nhà thuốc</t>
  </si>
  <si>
    <t>Nhân viên</t>
  </si>
  <si>
    <t>Chức danh</t>
  </si>
  <si>
    <t>CK + Combo + NY3/ngày</t>
  </si>
  <si>
    <t>Hàng Bông</t>
  </si>
  <si>
    <t>CHT</t>
  </si>
  <si>
    <t>Đinh Thị Lan Anh</t>
  </si>
  <si>
    <t>BC</t>
  </si>
  <si>
    <t>Vũ Thanh Hằng</t>
  </si>
  <si>
    <t>Nguyễn Mạnh Tuấn</t>
  </si>
  <si>
    <t>Đinh Thị Khánh Ly</t>
  </si>
  <si>
    <t>Đường Láng</t>
  </si>
  <si>
    <t>Hứa Thị Kim Thoa</t>
  </si>
  <si>
    <t>Lê Thị Soạn</t>
  </si>
  <si>
    <t>Nguyễn Thị Tâm</t>
  </si>
  <si>
    <t>Nguyễn Thị Mai Duyên</t>
  </si>
  <si>
    <t>Trần Ngọc Dung</t>
  </si>
  <si>
    <t>Trung bình bill</t>
  </si>
  <si>
    <t>KPI doanh thu CK+Combo+NY3/ngày</t>
  </si>
  <si>
    <t>KPI Doanh thu/ngày (100%)</t>
  </si>
  <si>
    <t>Doanh thu thực/ngày</t>
  </si>
  <si>
    <t>% Hoàn thành KPI</t>
  </si>
  <si>
    <t>Thưởng KPI</t>
  </si>
  <si>
    <t>Hệ số * Dự án</t>
  </si>
  <si>
    <t>Thưởng Dự án</t>
  </si>
  <si>
    <t>Thưởng Dự án + KPI + HH</t>
  </si>
  <si>
    <t>Tổng giao dịch</t>
  </si>
  <si>
    <t>Doanh thu tổng</t>
  </si>
  <si>
    <t>Trung bình Bill</t>
  </si>
  <si>
    <t>2.250.000.000</t>
  </si>
  <si>
    <t>2.450.000.000</t>
  </si>
  <si>
    <t>4.700.000.000</t>
  </si>
  <si>
    <t>Tháng 8</t>
  </si>
  <si>
    <t>NT tháng 8</t>
  </si>
  <si>
    <t>KPIs Doanh thu/tháng</t>
  </si>
  <si>
    <t>TỔNG</t>
  </si>
  <si>
    <t>T7</t>
  </si>
  <si>
    <t>KPI HN</t>
  </si>
  <si>
    <t>KPIs Doanh thu/tháng 8</t>
  </si>
  <si>
    <t>DSXC (TV)</t>
  </si>
  <si>
    <t>Đỗ Thu Huệ</t>
  </si>
  <si>
    <t>Tháng 9</t>
  </si>
  <si>
    <t>NT tháng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</si>
</sst>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473821"/>
      <name val="Times New Roman"/>
      <family val="1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E6B8A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4" fontId="0" fillId="0" borderId="0" xfId="0" applyNumberFormat="1"/>
    <xf numFmtId="9" fontId="0" fillId="0" borderId="0" xfId="0" applyNumberFormat="1"/>
    <xf numFmtId="4" fontId="0" fillId="5" borderId="0" xfId="0" applyNumberFormat="1" applyFill="1"/>
    <xf numFmtId="10" fontId="0" fillId="5" borderId="0" xfId="0" applyNumberFormat="1" applyFill="1"/>
    <xf numFmtId="10" fontId="0" fillId="0" borderId="0" xfId="0" applyNumberFormat="1"/>
    <xf numFmtId="4" fontId="0" fillId="3" borderId="0" xfId="1" applyNumberFormat="1" applyFont="1" applyFill="1"/>
    <xf numFmtId="9" fontId="0" fillId="0" borderId="0" xfId="2" applyFont="1" applyAlignment="1"/>
    <xf numFmtId="4" fontId="0" fillId="3" borderId="0" xfId="0" applyNumberFormat="1" applyFill="1"/>
    <xf numFmtId="10" fontId="0" fillId="3" borderId="0" xfId="0" applyNumberFormat="1" applyFill="1"/>
    <xf numFmtId="4" fontId="0" fillId="2" borderId="0" xfId="0" applyNumberFormat="1" applyFill="1"/>
    <xf numFmtId="10" fontId="0" fillId="2" borderId="0" xfId="0" applyNumberFormat="1" applyFill="1"/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0" fillId="0" borderId="1" xfId="0" applyBorder="1"/>
    <xf numFmtId="0" fontId="0" fillId="6" borderId="0" xfId="0" applyFill="1"/>
    <xf numFmtId="4" fontId="0" fillId="0" borderId="1" xfId="0" applyNumberFormat="1" applyBorder="1"/>
    <xf numFmtId="4" fontId="0" fillId="4" borderId="1" xfId="0" applyNumberFormat="1" applyFill="1" applyBorder="1"/>
    <xf numFmtId="10" fontId="0" fillId="0" borderId="1" xfId="0" applyNumberFormat="1" applyBorder="1"/>
    <xf numFmtId="0" fontId="0" fillId="7" borderId="1" xfId="0" applyFill="1" applyBorder="1"/>
    <xf numFmtId="0" fontId="3" fillId="8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3" fontId="4" fillId="11" borderId="1" xfId="0" applyNumberFormat="1" applyFont="1" applyFill="1" applyBorder="1" applyAlignment="1">
      <alignment horizontal="center" wrapText="1"/>
    </xf>
    <xf numFmtId="3" fontId="4" fillId="0" borderId="1" xfId="0" applyNumberFormat="1" applyFont="1" applyBorder="1" applyAlignment="1">
      <alignment horizontal="center" wrapText="1"/>
    </xf>
    <xf numFmtId="9" fontId="4" fillId="11" borderId="1" xfId="0" applyNumberFormat="1" applyFont="1" applyFill="1" applyBorder="1" applyAlignment="1">
      <alignment horizontal="center" wrapText="1"/>
    </xf>
    <xf numFmtId="3" fontId="4" fillId="9" borderId="1" xfId="0" applyNumberFormat="1" applyFont="1" applyFill="1" applyBorder="1" applyAlignment="1">
      <alignment horizontal="center" wrapText="1"/>
    </xf>
    <xf numFmtId="3" fontId="4" fillId="12" borderId="1" xfId="0" applyNumberFormat="1" applyFont="1" applyFill="1" applyBorder="1" applyAlignment="1">
      <alignment horizontal="center" wrapText="1"/>
    </xf>
    <xf numFmtId="9" fontId="4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4" fillId="9" borderId="1" xfId="0" applyFont="1" applyFill="1" applyBorder="1" applyAlignment="1">
      <alignment horizontal="center" wrapText="1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4" borderId="1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4" fontId="0" fillId="7" borderId="1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2" borderId="1" xfId="0" applyFill="1" applyBorder="1"/>
    <xf numFmtId="3" fontId="0" fillId="0" borderId="4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3" fontId="4" fillId="0" borderId="3" xfId="0" applyNumberFormat="1" applyFont="1" applyBorder="1" applyAlignment="1">
      <alignment horizont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wrapText="1"/>
    </xf>
    <xf numFmtId="9" fontId="4" fillId="5" borderId="1" xfId="0" applyNumberFormat="1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opLeftCell="A16" workbookViewId="0">
      <selection activeCell="D31" sqref="D31"/>
    </sheetView>
  </sheetViews>
  <sheetFormatPr defaultRowHeight="15" x14ac:dyDescent="0.25"/>
  <cols>
    <col min="1" max="1" width="6.7109375" customWidth="1"/>
    <col min="2" max="3" width="18" customWidth="1"/>
    <col min="4" max="4" width="14" customWidth="1"/>
    <col min="7" max="8" width="17.85546875" customWidth="1"/>
    <col min="12" max="12" width="17" customWidth="1"/>
    <col min="14" max="14" width="17.7109375" customWidth="1"/>
    <col min="15" max="15" width="15.42578125" bestFit="1" customWidth="1"/>
    <col min="16" max="16" width="16.85546875" customWidth="1"/>
  </cols>
  <sheetData>
    <row r="1" spans="1:16" x14ac:dyDescent="0.25">
      <c r="B1" s="47" t="s">
        <v>1</v>
      </c>
      <c r="C1" s="47"/>
      <c r="D1" s="47"/>
      <c r="E1" s="47"/>
      <c r="F1" s="47"/>
      <c r="G1" s="47" t="s">
        <v>2</v>
      </c>
      <c r="H1" s="47"/>
      <c r="I1" s="47"/>
      <c r="J1" s="47"/>
      <c r="K1" s="47"/>
      <c r="L1" s="47" t="s">
        <v>3</v>
      </c>
      <c r="M1" s="47"/>
      <c r="N1" s="47"/>
      <c r="O1" s="47"/>
      <c r="P1" s="47"/>
    </row>
    <row r="2" spans="1:16" x14ac:dyDescent="0.25">
      <c r="A2" s="1" t="s">
        <v>0</v>
      </c>
      <c r="B2" s="2">
        <v>2025</v>
      </c>
      <c r="C2" s="3">
        <v>2026</v>
      </c>
      <c r="D2" s="4" t="s">
        <v>4</v>
      </c>
      <c r="E2" s="4" t="s">
        <v>5</v>
      </c>
      <c r="F2" s="4" t="s">
        <v>6</v>
      </c>
      <c r="G2" s="2">
        <v>2025</v>
      </c>
      <c r="H2" s="3">
        <v>2026</v>
      </c>
      <c r="I2" s="4" t="s">
        <v>4</v>
      </c>
      <c r="J2" s="4" t="s">
        <v>5</v>
      </c>
      <c r="K2" s="4" t="s">
        <v>6</v>
      </c>
      <c r="L2" s="5">
        <v>26</v>
      </c>
      <c r="M2" s="5"/>
      <c r="N2" s="5">
        <v>25</v>
      </c>
      <c r="O2" s="5"/>
      <c r="P2" s="5" t="s">
        <v>7</v>
      </c>
    </row>
    <row r="3" spans="1:16" x14ac:dyDescent="0.25">
      <c r="A3">
        <v>1</v>
      </c>
      <c r="B3" s="6">
        <v>707416515</v>
      </c>
      <c r="C3" s="6">
        <v>1080586603</v>
      </c>
      <c r="D3" s="6"/>
      <c r="E3" s="6"/>
      <c r="F3" s="7">
        <v>0.52751113394631455</v>
      </c>
      <c r="G3" s="6">
        <v>342289198</v>
      </c>
      <c r="H3" s="6">
        <v>845313359</v>
      </c>
      <c r="I3" s="6"/>
      <c r="J3" s="6"/>
      <c r="K3" s="7">
        <v>1.469588184316585</v>
      </c>
      <c r="L3" s="8">
        <f t="shared" ref="L3:L6" si="0">C3+H3</f>
        <v>1925899962</v>
      </c>
      <c r="M3" s="9">
        <f t="shared" ref="M3:M7" si="1">L3/L2-1</f>
        <v>74073074.461538464</v>
      </c>
      <c r="N3" s="6">
        <f t="shared" ref="N3:N14" si="2">B3+G3</f>
        <v>1049705713</v>
      </c>
      <c r="O3" s="10">
        <f t="shared" ref="O3:O8" si="3">N3/N2-1</f>
        <v>41988227.520000003</v>
      </c>
      <c r="P3" s="10">
        <f t="shared" ref="P3:P8" si="4">L3/N3-1</f>
        <v>0.83470465879040145</v>
      </c>
    </row>
    <row r="4" spans="1:16" x14ac:dyDescent="0.25">
      <c r="A4">
        <v>2</v>
      </c>
      <c r="B4" s="6">
        <v>529649392</v>
      </c>
      <c r="C4" s="6">
        <v>1001142108</v>
      </c>
      <c r="D4" s="7">
        <v>-0.25129060352796539</v>
      </c>
      <c r="E4" s="7">
        <v>-7.3519785253158498E-2</v>
      </c>
      <c r="F4" s="7">
        <v>0.89019778578354347</v>
      </c>
      <c r="G4" s="6">
        <v>327954450</v>
      </c>
      <c r="H4" s="6">
        <v>560822561</v>
      </c>
      <c r="I4" s="7">
        <v>-4.1879054564847862E-2</v>
      </c>
      <c r="J4" s="7">
        <v>-0.33655069445081376</v>
      </c>
      <c r="K4" s="7">
        <v>0.71006236079431151</v>
      </c>
      <c r="L4" s="8">
        <f t="shared" si="0"/>
        <v>1561964669</v>
      </c>
      <c r="M4" s="9">
        <f t="shared" si="1"/>
        <v>-0.18896894967590228</v>
      </c>
      <c r="N4" s="6">
        <f t="shared" si="2"/>
        <v>857603842</v>
      </c>
      <c r="O4" s="10">
        <f t="shared" si="3"/>
        <v>-0.18300545440586735</v>
      </c>
      <c r="P4" s="10">
        <f t="shared" si="4"/>
        <v>0.82131258339208801</v>
      </c>
    </row>
    <row r="5" spans="1:16" x14ac:dyDescent="0.25">
      <c r="A5">
        <v>3</v>
      </c>
      <c r="B5" s="6">
        <v>599230229</v>
      </c>
      <c r="C5" s="6">
        <v>1230268936</v>
      </c>
      <c r="D5" s="7">
        <v>0.13137150358514904</v>
      </c>
      <c r="E5" s="7">
        <v>0.22886543895125033</v>
      </c>
      <c r="F5" s="7">
        <v>1.0530822319379354</v>
      </c>
      <c r="G5" s="6">
        <v>421541399</v>
      </c>
      <c r="H5" s="6">
        <v>700723442</v>
      </c>
      <c r="I5" s="7">
        <v>0.28536569331503192</v>
      </c>
      <c r="J5" s="7">
        <v>0.24945658525317427</v>
      </c>
      <c r="K5" s="7">
        <v>0.66228855258887642</v>
      </c>
      <c r="L5" s="8">
        <f t="shared" si="0"/>
        <v>1930992378</v>
      </c>
      <c r="M5" s="9">
        <f t="shared" si="1"/>
        <v>0.2362586787806531</v>
      </c>
      <c r="N5" s="6">
        <f t="shared" si="2"/>
        <v>1020771628</v>
      </c>
      <c r="O5" s="10">
        <f t="shared" si="3"/>
        <v>0.19026009214170481</v>
      </c>
      <c r="P5" s="10">
        <f t="shared" si="4"/>
        <v>0.8916987159835128</v>
      </c>
    </row>
    <row r="6" spans="1:16" x14ac:dyDescent="0.25">
      <c r="A6">
        <v>4</v>
      </c>
      <c r="B6" s="6">
        <v>685984828</v>
      </c>
      <c r="C6" s="6">
        <v>1185875497</v>
      </c>
      <c r="D6" s="7">
        <v>0.14477673989307371</v>
      </c>
      <c r="E6" s="7">
        <v>-3.608433709164216E-2</v>
      </c>
      <c r="F6" s="7">
        <v>0.72871971594100615</v>
      </c>
      <c r="G6" s="6">
        <v>451226490</v>
      </c>
      <c r="H6" s="6">
        <v>688732999</v>
      </c>
      <c r="I6" s="7">
        <v>7.0420345594573552E-2</v>
      </c>
      <c r="J6" s="7">
        <v>-1.7111519725638069E-2</v>
      </c>
      <c r="K6" s="7">
        <v>0.52635763693749449</v>
      </c>
      <c r="L6" s="8">
        <f t="shared" si="0"/>
        <v>1874608496</v>
      </c>
      <c r="M6" s="9">
        <f t="shared" si="1"/>
        <v>-2.919943270744485E-2</v>
      </c>
      <c r="N6" s="6">
        <f t="shared" si="2"/>
        <v>1137211318</v>
      </c>
      <c r="O6" s="10">
        <f t="shared" si="3"/>
        <v>0.11407026489180594</v>
      </c>
      <c r="P6" s="10">
        <f t="shared" si="4"/>
        <v>0.64842581702128288</v>
      </c>
    </row>
    <row r="7" spans="1:16" x14ac:dyDescent="0.25">
      <c r="A7">
        <v>5</v>
      </c>
      <c r="B7" s="6">
        <v>581559387</v>
      </c>
      <c r="C7" s="6">
        <v>1048116975</v>
      </c>
      <c r="D7" s="7">
        <v>-0.15222704167445522</v>
      </c>
      <c r="E7" s="7">
        <v>-0.11616609192828276</v>
      </c>
      <c r="F7" s="7">
        <v>0.802252699258726</v>
      </c>
      <c r="G7" s="6">
        <v>520193168</v>
      </c>
      <c r="H7" s="6">
        <v>701362108</v>
      </c>
      <c r="I7" s="7">
        <v>0.15284270655297738</v>
      </c>
      <c r="J7" s="7">
        <v>1.8336727031137867E-2</v>
      </c>
      <c r="K7" s="7">
        <v>0.3482724325206823</v>
      </c>
      <c r="L7" s="8">
        <f>C7+H7</f>
        <v>1749479083</v>
      </c>
      <c r="M7" s="9">
        <f t="shared" si="1"/>
        <v>-6.6749624397306695E-2</v>
      </c>
      <c r="N7" s="6">
        <f t="shared" si="2"/>
        <v>1101752555</v>
      </c>
      <c r="O7" s="10">
        <f t="shared" si="3"/>
        <v>-3.1180452074959009E-2</v>
      </c>
      <c r="P7" s="10">
        <f t="shared" si="4"/>
        <v>0.58790562822883574</v>
      </c>
    </row>
    <row r="8" spans="1:16" x14ac:dyDescent="0.25">
      <c r="A8">
        <v>6</v>
      </c>
      <c r="B8" s="6">
        <v>282710922</v>
      </c>
      <c r="C8" s="6">
        <v>857831255</v>
      </c>
      <c r="D8" s="7">
        <v>-0.5138743723863235</v>
      </c>
      <c r="E8" s="7">
        <v>-0.18155007936971923</v>
      </c>
      <c r="F8" s="7">
        <v>2.0343053212496685</v>
      </c>
      <c r="G8" s="6">
        <v>546123957</v>
      </c>
      <c r="H8" s="6">
        <v>653117318</v>
      </c>
      <c r="I8" s="7">
        <v>4.984838439862016E-2</v>
      </c>
      <c r="J8" s="7">
        <v>-6.8787277569891225E-2</v>
      </c>
      <c r="K8" s="7">
        <v>0.19591405875644452</v>
      </c>
      <c r="L8" s="8">
        <f>C8+H8</f>
        <v>1510948573</v>
      </c>
      <c r="M8" s="9">
        <f>L8/L7-1</f>
        <v>-0.13634373358209506</v>
      </c>
      <c r="N8" s="6">
        <f t="shared" si="2"/>
        <v>828834879</v>
      </c>
      <c r="O8" s="10">
        <f t="shared" si="3"/>
        <v>-0.24771231503974134</v>
      </c>
      <c r="P8" s="10">
        <f t="shared" si="4"/>
        <v>0.82297899290022514</v>
      </c>
    </row>
    <row r="9" spans="1:16" x14ac:dyDescent="0.25">
      <c r="A9">
        <v>7</v>
      </c>
      <c r="B9" s="6">
        <v>470631958</v>
      </c>
      <c r="C9" s="11">
        <v>930861000</v>
      </c>
      <c r="D9" s="12">
        <f t="shared" ref="D9:E9" si="5">B9/B8-1</f>
        <v>0.66471091626237211</v>
      </c>
      <c r="E9" s="12">
        <f t="shared" si="5"/>
        <v>8.5132996232458291E-2</v>
      </c>
      <c r="F9" s="12">
        <f t="shared" ref="F9" si="6">C9/B9-1</f>
        <v>0.97789585721248451</v>
      </c>
      <c r="G9" s="6">
        <v>494881777</v>
      </c>
      <c r="H9" s="11">
        <v>638000000</v>
      </c>
      <c r="I9" s="12">
        <f t="shared" ref="I9:J9" si="7">G9/G8-1</f>
        <v>-9.382884479466258E-2</v>
      </c>
      <c r="J9" s="12">
        <f t="shared" si="7"/>
        <v>-2.3146405068989462E-2</v>
      </c>
      <c r="K9" s="12">
        <f t="shared" ref="K9" si="8">H9/G9-1</f>
        <v>0.28919679335858839</v>
      </c>
      <c r="L9" s="13">
        <f>C9+H9</f>
        <v>1568861000</v>
      </c>
      <c r="M9" s="14">
        <f>L9/L8-1</f>
        <v>3.8328522912606022E-2</v>
      </c>
      <c r="N9" s="15">
        <f>B9+G9</f>
        <v>965513735</v>
      </c>
      <c r="O9" s="16">
        <f>N9/N8-1</f>
        <v>0.16490480729395074</v>
      </c>
      <c r="P9" s="10">
        <f>L9/N9-1</f>
        <v>0.62489765098991579</v>
      </c>
    </row>
    <row r="10" spans="1:16" x14ac:dyDescent="0.25">
      <c r="A10">
        <v>8</v>
      </c>
      <c r="B10" s="6">
        <v>574089563</v>
      </c>
      <c r="C10" s="6">
        <v>0</v>
      </c>
      <c r="D10" s="7">
        <v>0.21982698633482944</v>
      </c>
      <c r="E10" s="7" t="e">
        <v>#DIV/0!</v>
      </c>
      <c r="F10" s="7">
        <v>-1</v>
      </c>
      <c r="G10" s="6">
        <v>492042962</v>
      </c>
      <c r="H10" s="6">
        <v>0</v>
      </c>
      <c r="I10" s="7">
        <v>-5.7363498353264486E-3</v>
      </c>
      <c r="J10" s="7" t="e">
        <v>#DIV/0!</v>
      </c>
      <c r="K10" s="7">
        <v>-1</v>
      </c>
      <c r="N10" s="6">
        <f t="shared" si="2"/>
        <v>1066132525</v>
      </c>
    </row>
    <row r="11" spans="1:16" x14ac:dyDescent="0.25">
      <c r="A11">
        <v>9</v>
      </c>
      <c r="B11" s="6">
        <v>694660398</v>
      </c>
      <c r="C11" s="6">
        <v>0</v>
      </c>
      <c r="D11" s="7">
        <v>0.2100209492921925</v>
      </c>
      <c r="E11" s="7" t="e">
        <v>#DIV/0!</v>
      </c>
      <c r="F11" s="7">
        <v>-1</v>
      </c>
      <c r="G11" s="6">
        <v>516743207</v>
      </c>
      <c r="H11" s="6">
        <v>0</v>
      </c>
      <c r="I11" s="7">
        <v>5.019936653417667E-2</v>
      </c>
      <c r="J11" s="7" t="e">
        <v>#DIV/0!</v>
      </c>
      <c r="K11" s="7">
        <v>-1</v>
      </c>
      <c r="N11" s="15">
        <f t="shared" si="2"/>
        <v>1211403605</v>
      </c>
    </row>
    <row r="12" spans="1:16" x14ac:dyDescent="0.25">
      <c r="A12">
        <v>10</v>
      </c>
      <c r="B12" s="6">
        <v>795684237</v>
      </c>
      <c r="C12" s="6">
        <v>0</v>
      </c>
      <c r="D12" s="7">
        <v>0.14542910361790917</v>
      </c>
      <c r="E12" s="7" t="e">
        <v>#DIV/0!</v>
      </c>
      <c r="F12" s="7">
        <v>-1</v>
      </c>
      <c r="G12" s="6">
        <v>605490117</v>
      </c>
      <c r="H12" s="6">
        <v>0</v>
      </c>
      <c r="I12" s="7">
        <v>0.17174277048599884</v>
      </c>
      <c r="J12" s="7" t="e">
        <v>#DIV/0!</v>
      </c>
      <c r="K12" s="7">
        <v>-1</v>
      </c>
      <c r="N12" s="6">
        <f t="shared" si="2"/>
        <v>1401174354</v>
      </c>
    </row>
    <row r="13" spans="1:16" x14ac:dyDescent="0.25">
      <c r="A13">
        <v>11</v>
      </c>
      <c r="B13" s="6">
        <v>1143778513</v>
      </c>
      <c r="C13" s="6">
        <v>0</v>
      </c>
      <c r="D13" s="7">
        <v>0.43747790871468517</v>
      </c>
      <c r="E13" s="7" t="e">
        <v>#DIV/0!</v>
      </c>
      <c r="F13" s="7">
        <v>-1</v>
      </c>
      <c r="G13" s="6">
        <v>814686927</v>
      </c>
      <c r="H13" s="6">
        <v>0</v>
      </c>
      <c r="I13" s="7">
        <v>0.34549995801170108</v>
      </c>
      <c r="J13" s="7" t="e">
        <v>#DIV/0!</v>
      </c>
      <c r="K13" s="7">
        <v>-1</v>
      </c>
      <c r="N13" s="15">
        <f t="shared" si="2"/>
        <v>1958465440</v>
      </c>
    </row>
    <row r="14" spans="1:16" x14ac:dyDescent="0.25">
      <c r="A14">
        <v>12</v>
      </c>
      <c r="B14" s="6">
        <v>1127136304</v>
      </c>
      <c r="C14" s="6">
        <v>0</v>
      </c>
      <c r="D14" s="7">
        <v>-1.4550202518098909E-2</v>
      </c>
      <c r="E14" s="7" t="e">
        <v>#DIV/0!</v>
      </c>
      <c r="F14" s="7">
        <v>-1</v>
      </c>
      <c r="G14" s="6">
        <v>789266740</v>
      </c>
      <c r="H14" s="6">
        <v>0</v>
      </c>
      <c r="I14" s="7">
        <v>-3.1202399544579928E-2</v>
      </c>
      <c r="J14" s="7" t="e">
        <v>#DIV/0!</v>
      </c>
      <c r="K14" s="7">
        <v>-1</v>
      </c>
      <c r="N14" s="6">
        <f t="shared" si="2"/>
        <v>1916403044</v>
      </c>
    </row>
    <row r="16" spans="1:16" x14ac:dyDescent="0.25">
      <c r="B16" s="48" t="s">
        <v>16</v>
      </c>
      <c r="C16" s="48"/>
      <c r="G16" s="48" t="s">
        <v>17</v>
      </c>
      <c r="H16" s="48"/>
      <c r="L16" s="49" t="s">
        <v>18</v>
      </c>
      <c r="M16" s="49"/>
      <c r="N16" s="49"/>
    </row>
    <row r="17" spans="1:17" x14ac:dyDescent="0.25">
      <c r="B17" s="21" t="s">
        <v>10</v>
      </c>
      <c r="C17" s="21" t="s">
        <v>8</v>
      </c>
      <c r="E17" s="10"/>
      <c r="G17" s="25" t="s">
        <v>11</v>
      </c>
      <c r="H17" s="21" t="s">
        <v>8</v>
      </c>
      <c r="L17" s="21" t="s">
        <v>11</v>
      </c>
      <c r="M17" s="21"/>
      <c r="N17" s="21" t="s">
        <v>8</v>
      </c>
    </row>
    <row r="18" spans="1:17" x14ac:dyDescent="0.25">
      <c r="B18" s="23">
        <f>SUM(B9:B11)</f>
        <v>1739381919</v>
      </c>
      <c r="C18" s="23">
        <f>SUM(C6:C8)</f>
        <v>3091823727</v>
      </c>
      <c r="G18" s="23">
        <f>SUM(G9:G11)</f>
        <v>1503667946</v>
      </c>
      <c r="H18" s="23">
        <f>SUM(H6:H8)</f>
        <v>2043212425</v>
      </c>
      <c r="L18" s="23">
        <f>B18+G18</f>
        <v>3243049865</v>
      </c>
      <c r="M18" s="21"/>
      <c r="N18" s="23">
        <f>C18+H18</f>
        <v>5135036152</v>
      </c>
    </row>
    <row r="20" spans="1:17" x14ac:dyDescent="0.25">
      <c r="M20" s="22">
        <v>2026</v>
      </c>
      <c r="N20" s="18" t="s">
        <v>12</v>
      </c>
      <c r="O20" s="18" t="s">
        <v>15</v>
      </c>
      <c r="P20" s="18"/>
      <c r="Q20" s="18" t="s">
        <v>7</v>
      </c>
    </row>
    <row r="21" spans="1:17" x14ac:dyDescent="0.25">
      <c r="A21" s="17"/>
      <c r="B21" s="17" t="s">
        <v>16</v>
      </c>
      <c r="C21" s="17" t="s">
        <v>17</v>
      </c>
      <c r="D21" s="17" t="s">
        <v>58</v>
      </c>
      <c r="G21" s="50" t="s">
        <v>22</v>
      </c>
      <c r="H21" s="51"/>
      <c r="N21" s="18">
        <f>N18*1.175</f>
        <v>6033667478.6000004</v>
      </c>
      <c r="O21" s="19">
        <v>0.17499999999999999</v>
      </c>
      <c r="P21" s="18" t="s">
        <v>13</v>
      </c>
      <c r="Q21" s="18"/>
    </row>
    <row r="22" spans="1:17" x14ac:dyDescent="0.25">
      <c r="A22" s="17" t="s">
        <v>19</v>
      </c>
      <c r="B22" s="52">
        <v>1270</v>
      </c>
      <c r="C22" s="52">
        <v>980</v>
      </c>
      <c r="D22" s="52">
        <v>2250</v>
      </c>
      <c r="G22" s="26" t="s">
        <v>19</v>
      </c>
      <c r="H22" s="26" t="s">
        <v>52</v>
      </c>
      <c r="N22" s="18">
        <f>N18*1.14</f>
        <v>5853941213.2799997</v>
      </c>
      <c r="O22" s="20">
        <v>0.14000000000000001</v>
      </c>
      <c r="P22" s="18" t="s">
        <v>14</v>
      </c>
      <c r="Q22" s="19">
        <f>N22/L18-1</f>
        <v>0.80507283482056469</v>
      </c>
    </row>
    <row r="23" spans="1:17" x14ac:dyDescent="0.25">
      <c r="A23" s="17" t="s">
        <v>20</v>
      </c>
      <c r="B23" s="52">
        <v>1350</v>
      </c>
      <c r="C23" s="52">
        <v>1100</v>
      </c>
      <c r="D23" s="52">
        <v>2450</v>
      </c>
      <c r="G23" s="26" t="s">
        <v>20</v>
      </c>
      <c r="H23" s="26" t="s">
        <v>53</v>
      </c>
    </row>
    <row r="24" spans="1:17" x14ac:dyDescent="0.25">
      <c r="A24" s="17" t="s">
        <v>59</v>
      </c>
      <c r="B24" s="52">
        <v>1010</v>
      </c>
      <c r="C24" s="52">
        <v>700</v>
      </c>
      <c r="D24" s="52"/>
      <c r="G24" s="26" t="s">
        <v>21</v>
      </c>
      <c r="H24" s="26" t="s">
        <v>54</v>
      </c>
      <c r="M24" s="22">
        <v>2025</v>
      </c>
      <c r="N24" s="17" t="s">
        <v>11</v>
      </c>
      <c r="O24" s="24">
        <f>SUM(N9:N11)</f>
        <v>3243049865</v>
      </c>
      <c r="P24" s="17"/>
      <c r="Q24" s="46">
        <f>O24/O25-1</f>
        <v>5.712601352541391E-2</v>
      </c>
    </row>
    <row r="25" spans="1:17" x14ac:dyDescent="0.25">
      <c r="A25" s="17"/>
      <c r="B25" s="52">
        <v>1258</v>
      </c>
      <c r="C25" s="52">
        <v>950</v>
      </c>
      <c r="D25" s="52"/>
      <c r="N25" s="17" t="s">
        <v>9</v>
      </c>
      <c r="O25" s="24">
        <f>SUM(N6:N8)</f>
        <v>3067798752</v>
      </c>
      <c r="P25" s="17"/>
      <c r="Q25" s="46"/>
    </row>
    <row r="28" spans="1:17" ht="23.25" customHeight="1" x14ac:dyDescent="0.25"/>
    <row r="29" spans="1:17" ht="17.25" customHeight="1" x14ac:dyDescent="0.25"/>
    <row r="30" spans="1:17" ht="17.25" customHeight="1" x14ac:dyDescent="0.25"/>
    <row r="31" spans="1:17" ht="17.25" customHeight="1" x14ac:dyDescent="0.25"/>
  </sheetData>
  <mergeCells count="8">
    <mergeCell ref="Q24:Q25"/>
    <mergeCell ref="B1:F1"/>
    <mergeCell ref="G1:K1"/>
    <mergeCell ref="L1:P1"/>
    <mergeCell ref="B16:C16"/>
    <mergeCell ref="G16:H16"/>
    <mergeCell ref="L16:N16"/>
    <mergeCell ref="G21:H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4633-5DC4-4CE6-B7ED-5A28E53C5A15}">
  <dimension ref="A1:T10"/>
  <sheetViews>
    <sheetView workbookViewId="0">
      <selection sqref="A1:XFD10"/>
    </sheetView>
  </sheetViews>
  <sheetFormatPr defaultRowHeight="15" x14ac:dyDescent="0.25"/>
  <cols>
    <col min="1" max="1" width="20.42578125" customWidth="1"/>
    <col min="2" max="2" width="24.28515625" customWidth="1"/>
    <col min="3" max="3" width="7.5703125" customWidth="1"/>
    <col min="5" max="5" width="0" hidden="1" customWidth="1"/>
    <col min="6" max="6" width="15.140625" customWidth="1"/>
    <col min="7" max="8" width="0" hidden="1" customWidth="1"/>
    <col min="10" max="10" width="14.28515625" hidden="1" customWidth="1"/>
    <col min="11" max="11" width="2.7109375" hidden="1" customWidth="1"/>
    <col min="12" max="12" width="0" hidden="1" customWidth="1"/>
    <col min="13" max="13" width="14.5703125" customWidth="1"/>
    <col min="15" max="15" width="17.42578125" customWidth="1"/>
    <col min="16" max="16" width="0" hidden="1" customWidth="1"/>
    <col min="17" max="17" width="18.28515625" customWidth="1"/>
    <col min="18" max="19" width="14.28515625" customWidth="1"/>
    <col min="20" max="20" width="12.7109375" bestFit="1" customWidth="1"/>
  </cols>
  <sheetData>
    <row r="1" spans="1:20" ht="74.25" customHeight="1" x14ac:dyDescent="0.25">
      <c r="A1" s="27" t="s">
        <v>23</v>
      </c>
      <c r="B1" s="27" t="s">
        <v>24</v>
      </c>
      <c r="C1" s="27" t="s">
        <v>25</v>
      </c>
      <c r="D1" s="28" t="s">
        <v>40</v>
      </c>
      <c r="E1" s="28" t="s">
        <v>41</v>
      </c>
      <c r="F1" s="28" t="s">
        <v>26</v>
      </c>
      <c r="G1" s="28" t="s">
        <v>42</v>
      </c>
      <c r="H1" s="28" t="s">
        <v>43</v>
      </c>
      <c r="I1" s="29" t="s">
        <v>44</v>
      </c>
      <c r="J1" s="29" t="s">
        <v>45</v>
      </c>
      <c r="K1" s="29" t="s">
        <v>46</v>
      </c>
      <c r="L1" s="29" t="s">
        <v>47</v>
      </c>
      <c r="M1" s="29" t="s">
        <v>48</v>
      </c>
      <c r="N1" s="28" t="s">
        <v>49</v>
      </c>
      <c r="O1" s="28" t="s">
        <v>50</v>
      </c>
      <c r="P1" s="28" t="s">
        <v>51</v>
      </c>
      <c r="Q1" s="30" t="s">
        <v>57</v>
      </c>
      <c r="R1" s="28" t="s">
        <v>55</v>
      </c>
      <c r="S1" s="28" t="s">
        <v>56</v>
      </c>
      <c r="T1" s="28" t="s">
        <v>60</v>
      </c>
    </row>
    <row r="2" spans="1:20" x14ac:dyDescent="0.25">
      <c r="A2" s="31" t="s">
        <v>27</v>
      </c>
      <c r="B2" s="32" t="s">
        <v>29</v>
      </c>
      <c r="C2" s="33" t="s">
        <v>28</v>
      </c>
      <c r="D2" s="34">
        <v>254044</v>
      </c>
      <c r="E2" s="35">
        <v>2151000</v>
      </c>
      <c r="F2" s="34">
        <v>3950507</v>
      </c>
      <c r="G2" s="35">
        <v>8800000</v>
      </c>
      <c r="H2" s="35">
        <v>8739101</v>
      </c>
      <c r="I2" s="36">
        <v>1</v>
      </c>
      <c r="J2" s="35">
        <v>3932596</v>
      </c>
      <c r="K2" s="31">
        <v>1</v>
      </c>
      <c r="L2" s="35">
        <v>2000000</v>
      </c>
      <c r="M2" s="37">
        <v>5932596</v>
      </c>
      <c r="N2" s="35">
        <v>1032</v>
      </c>
      <c r="O2" s="35">
        <v>262173034</v>
      </c>
      <c r="P2" s="35">
        <v>254044</v>
      </c>
      <c r="Q2" s="35">
        <v>270000000</v>
      </c>
      <c r="R2" s="35">
        <v>270000000</v>
      </c>
      <c r="S2" s="42">
        <f>SUM(R2:R5)</f>
        <v>1270000000</v>
      </c>
      <c r="T2" s="44">
        <f>SUM(S2:S10)</f>
        <v>2250000000</v>
      </c>
    </row>
    <row r="3" spans="1:20" x14ac:dyDescent="0.25">
      <c r="A3" s="31" t="s">
        <v>27</v>
      </c>
      <c r="B3" s="32" t="s">
        <v>31</v>
      </c>
      <c r="C3" s="33" t="s">
        <v>30</v>
      </c>
      <c r="D3" s="34">
        <v>291791</v>
      </c>
      <c r="E3" s="35">
        <v>2594000</v>
      </c>
      <c r="F3" s="34">
        <v>4764573</v>
      </c>
      <c r="G3" s="35">
        <v>9100000</v>
      </c>
      <c r="H3" s="38">
        <v>9959802</v>
      </c>
      <c r="I3" s="36">
        <v>1.1000000000000001</v>
      </c>
      <c r="J3" s="35">
        <v>4481911</v>
      </c>
      <c r="K3" s="31">
        <v>1</v>
      </c>
      <c r="L3" s="35">
        <v>2000000</v>
      </c>
      <c r="M3" s="37">
        <v>6481911</v>
      </c>
      <c r="N3" s="35">
        <v>1024</v>
      </c>
      <c r="O3" s="35">
        <v>298794056</v>
      </c>
      <c r="P3" s="35">
        <v>291791</v>
      </c>
      <c r="Q3" s="35">
        <v>280000000</v>
      </c>
      <c r="R3" s="35">
        <v>350000000</v>
      </c>
      <c r="S3" s="43"/>
      <c r="T3" s="45"/>
    </row>
    <row r="4" spans="1:20" x14ac:dyDescent="0.25">
      <c r="A4" s="31" t="s">
        <v>27</v>
      </c>
      <c r="B4" s="32" t="s">
        <v>32</v>
      </c>
      <c r="C4" s="33" t="s">
        <v>30</v>
      </c>
      <c r="D4" s="35">
        <v>167786</v>
      </c>
      <c r="E4" s="35">
        <v>1280000</v>
      </c>
      <c r="F4" s="34">
        <v>2351672</v>
      </c>
      <c r="G4" s="35">
        <v>8100000</v>
      </c>
      <c r="H4" s="35">
        <v>5475431</v>
      </c>
      <c r="I4" s="39">
        <v>0.68</v>
      </c>
      <c r="J4" s="40"/>
      <c r="K4" s="31">
        <v>1</v>
      </c>
      <c r="L4" s="35">
        <v>500000</v>
      </c>
      <c r="M4" s="37">
        <v>500000</v>
      </c>
      <c r="N4" s="31">
        <v>979</v>
      </c>
      <c r="O4" s="35">
        <v>164262930</v>
      </c>
      <c r="P4" s="35">
        <v>167786</v>
      </c>
      <c r="Q4" s="35">
        <v>250000000</v>
      </c>
      <c r="R4" s="35">
        <v>300000000</v>
      </c>
      <c r="S4" s="43"/>
      <c r="T4" s="45"/>
    </row>
    <row r="5" spans="1:20" x14ac:dyDescent="0.25">
      <c r="A5" s="31" t="s">
        <v>27</v>
      </c>
      <c r="B5" s="32" t="s">
        <v>33</v>
      </c>
      <c r="C5" s="33" t="s">
        <v>30</v>
      </c>
      <c r="D5" s="34">
        <v>277347</v>
      </c>
      <c r="E5" s="35">
        <v>2091000</v>
      </c>
      <c r="F5" s="34">
        <v>3840972</v>
      </c>
      <c r="G5" s="35">
        <v>9100000</v>
      </c>
      <c r="H5" s="35">
        <v>8680972</v>
      </c>
      <c r="I5" s="36">
        <v>0.96</v>
      </c>
      <c r="J5" s="35">
        <v>3385579</v>
      </c>
      <c r="K5" s="31">
        <v>1</v>
      </c>
      <c r="L5" s="35">
        <v>1200000</v>
      </c>
      <c r="M5" s="37">
        <v>4585579</v>
      </c>
      <c r="N5" s="31">
        <v>939</v>
      </c>
      <c r="O5" s="35">
        <v>260429169</v>
      </c>
      <c r="P5" s="35">
        <v>277347</v>
      </c>
      <c r="Q5" s="35">
        <v>280000000</v>
      </c>
      <c r="R5" s="35">
        <v>350000000</v>
      </c>
      <c r="S5" s="43"/>
      <c r="T5" s="45"/>
    </row>
    <row r="6" spans="1:20" x14ac:dyDescent="0.25">
      <c r="A6" s="31" t="s">
        <v>34</v>
      </c>
      <c r="B6" s="32" t="s">
        <v>35</v>
      </c>
      <c r="C6" s="33" t="s">
        <v>28</v>
      </c>
      <c r="D6" s="35">
        <v>111697</v>
      </c>
      <c r="E6" s="35">
        <v>374000</v>
      </c>
      <c r="F6" s="34">
        <v>665414</v>
      </c>
      <c r="G6" s="35">
        <v>4200000</v>
      </c>
      <c r="H6" s="35">
        <v>1224940</v>
      </c>
      <c r="I6" s="39">
        <v>0.75</v>
      </c>
      <c r="J6" s="31">
        <v>0</v>
      </c>
      <c r="K6" s="31">
        <v>1</v>
      </c>
      <c r="L6" s="31">
        <v>0</v>
      </c>
      <c r="M6" s="41">
        <v>0</v>
      </c>
      <c r="N6" s="31">
        <v>329</v>
      </c>
      <c r="O6" s="35">
        <v>36748200</v>
      </c>
      <c r="P6" s="35">
        <v>111697</v>
      </c>
      <c r="Q6" s="35">
        <v>130000000</v>
      </c>
      <c r="R6" s="35">
        <v>120000000</v>
      </c>
      <c r="S6" s="42">
        <f>SUM(R6:R10)</f>
        <v>980000000</v>
      </c>
      <c r="T6" s="45"/>
    </row>
    <row r="7" spans="1:20" x14ac:dyDescent="0.25">
      <c r="A7" s="31" t="s">
        <v>34</v>
      </c>
      <c r="B7" s="32" t="s">
        <v>36</v>
      </c>
      <c r="C7" s="33" t="s">
        <v>30</v>
      </c>
      <c r="D7" s="35">
        <v>128314</v>
      </c>
      <c r="E7" s="35">
        <v>2022000</v>
      </c>
      <c r="F7" s="34">
        <v>3594666</v>
      </c>
      <c r="G7" s="35">
        <v>7100000</v>
      </c>
      <c r="H7" s="35">
        <v>6052134</v>
      </c>
      <c r="I7" s="36">
        <v>0.85</v>
      </c>
      <c r="J7" s="35">
        <v>1815640</v>
      </c>
      <c r="K7" s="31">
        <v>1</v>
      </c>
      <c r="L7" s="35">
        <v>2000000</v>
      </c>
      <c r="M7" s="37">
        <v>3815640</v>
      </c>
      <c r="N7" s="35">
        <v>1415</v>
      </c>
      <c r="O7" s="35">
        <v>181564010</v>
      </c>
      <c r="P7" s="35">
        <v>128314</v>
      </c>
      <c r="Q7" s="35">
        <v>220000000</v>
      </c>
      <c r="R7" s="35">
        <v>230000000</v>
      </c>
      <c r="S7" s="43"/>
      <c r="T7" s="45"/>
    </row>
    <row r="8" spans="1:20" x14ac:dyDescent="0.25">
      <c r="A8" s="31" t="s">
        <v>34</v>
      </c>
      <c r="B8" s="32" t="s">
        <v>37</v>
      </c>
      <c r="C8" s="33" t="s">
        <v>30</v>
      </c>
      <c r="D8" s="34">
        <v>213994</v>
      </c>
      <c r="E8" s="35">
        <v>1154000</v>
      </c>
      <c r="F8" s="34">
        <v>2050816</v>
      </c>
      <c r="G8" s="35">
        <v>6200000</v>
      </c>
      <c r="H8" s="35">
        <v>5342723</v>
      </c>
      <c r="I8" s="36">
        <v>0.87</v>
      </c>
      <c r="J8" s="35">
        <v>1923380</v>
      </c>
      <c r="K8" s="31">
        <v>1</v>
      </c>
      <c r="L8" s="35">
        <v>500000</v>
      </c>
      <c r="M8" s="37">
        <v>2423380</v>
      </c>
      <c r="N8" s="31">
        <v>749</v>
      </c>
      <c r="O8" s="35">
        <v>160281690</v>
      </c>
      <c r="P8" s="35">
        <v>213994</v>
      </c>
      <c r="Q8" s="35">
        <v>190000000</v>
      </c>
      <c r="R8" s="35">
        <v>200000000</v>
      </c>
      <c r="S8" s="43"/>
      <c r="T8" s="45"/>
    </row>
    <row r="9" spans="1:20" ht="15.75" customHeight="1" x14ac:dyDescent="0.25">
      <c r="A9" s="31" t="s">
        <v>34</v>
      </c>
      <c r="B9" s="32" t="s">
        <v>38</v>
      </c>
      <c r="C9" s="33" t="s">
        <v>30</v>
      </c>
      <c r="D9" s="35">
        <v>206605</v>
      </c>
      <c r="E9" s="35">
        <v>1553000</v>
      </c>
      <c r="F9" s="34">
        <v>2760221</v>
      </c>
      <c r="G9" s="35">
        <v>7100000</v>
      </c>
      <c r="H9" s="35">
        <v>6335877</v>
      </c>
      <c r="I9" s="36">
        <v>0.89</v>
      </c>
      <c r="J9" s="35">
        <v>1900763</v>
      </c>
      <c r="K9" s="31">
        <v>1</v>
      </c>
      <c r="L9" s="35">
        <v>500000</v>
      </c>
      <c r="M9" s="37">
        <v>2400763</v>
      </c>
      <c r="N9" s="31">
        <v>920</v>
      </c>
      <c r="O9" s="35">
        <v>190076315</v>
      </c>
      <c r="P9" s="35">
        <v>206605</v>
      </c>
      <c r="Q9" s="35">
        <v>220000000</v>
      </c>
      <c r="R9" s="35">
        <v>230000000</v>
      </c>
      <c r="S9" s="43"/>
      <c r="T9" s="45"/>
    </row>
    <row r="10" spans="1:20" x14ac:dyDescent="0.25">
      <c r="A10" s="31" t="s">
        <v>34</v>
      </c>
      <c r="B10" s="32" t="s">
        <v>39</v>
      </c>
      <c r="C10" s="33" t="s">
        <v>30</v>
      </c>
      <c r="D10" s="35">
        <v>135660</v>
      </c>
      <c r="E10" s="35">
        <v>1026000</v>
      </c>
      <c r="F10" s="34">
        <v>1824243</v>
      </c>
      <c r="G10" s="35">
        <v>6200000</v>
      </c>
      <c r="H10" s="35">
        <v>4671218</v>
      </c>
      <c r="I10" s="39">
        <v>0.76</v>
      </c>
      <c r="J10" s="40"/>
      <c r="K10" s="31">
        <v>1</v>
      </c>
      <c r="L10" s="31">
        <v>0</v>
      </c>
      <c r="M10" s="41">
        <v>0</v>
      </c>
      <c r="N10" s="35">
        <v>1033</v>
      </c>
      <c r="O10" s="35">
        <v>140136550</v>
      </c>
      <c r="P10" s="35">
        <v>135660</v>
      </c>
      <c r="Q10" s="35">
        <v>190000000</v>
      </c>
      <c r="R10" s="35">
        <v>200000000</v>
      </c>
      <c r="S10" s="43"/>
      <c r="T10" s="45"/>
    </row>
  </sheetData>
  <mergeCells count="3">
    <mergeCell ref="S2:S5"/>
    <mergeCell ref="S6:S10"/>
    <mergeCell ref="T2:T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6BC2-D721-4D27-97AF-9602F34B29B8}">
  <dimension ref="A1:T11"/>
  <sheetViews>
    <sheetView tabSelected="1" workbookViewId="0">
      <pane xSplit="2" topLeftCell="G1" activePane="topRight" state="frozen"/>
      <selection pane="topRight" activeCell="S7" sqref="S7:S11"/>
    </sheetView>
  </sheetViews>
  <sheetFormatPr defaultRowHeight="15" x14ac:dyDescent="0.25"/>
  <cols>
    <col min="1" max="1" width="7.7109375" customWidth="1"/>
    <col min="2" max="2" width="16.85546875" customWidth="1"/>
    <col min="5" max="5" width="14.42578125" customWidth="1"/>
    <col min="7" max="8" width="13" customWidth="1"/>
    <col min="15" max="15" width="13.7109375" customWidth="1"/>
    <col min="17" max="20" width="15.42578125" customWidth="1"/>
  </cols>
  <sheetData>
    <row r="1" spans="1:20" ht="74.25" customHeight="1" x14ac:dyDescent="0.25">
      <c r="A1" s="27" t="s">
        <v>23</v>
      </c>
      <c r="B1" s="27" t="s">
        <v>24</v>
      </c>
      <c r="C1" s="27" t="s">
        <v>25</v>
      </c>
      <c r="D1" s="58" t="s">
        <v>40</v>
      </c>
      <c r="E1" s="58" t="s">
        <v>41</v>
      </c>
      <c r="F1" s="58" t="s">
        <v>26</v>
      </c>
      <c r="G1" s="58" t="s">
        <v>42</v>
      </c>
      <c r="H1" s="58" t="s">
        <v>43</v>
      </c>
      <c r="I1" s="59" t="s">
        <v>44</v>
      </c>
      <c r="J1" s="59" t="s">
        <v>45</v>
      </c>
      <c r="K1" s="59" t="s">
        <v>46</v>
      </c>
      <c r="L1" s="59" t="s">
        <v>47</v>
      </c>
      <c r="M1" s="59" t="s">
        <v>48</v>
      </c>
      <c r="N1" s="58" t="s">
        <v>49</v>
      </c>
      <c r="O1" s="58" t="s">
        <v>50</v>
      </c>
      <c r="P1" s="58" t="s">
        <v>51</v>
      </c>
      <c r="Q1" s="30" t="s">
        <v>61</v>
      </c>
      <c r="R1" s="28" t="s">
        <v>64</v>
      </c>
      <c r="S1" s="28" t="s">
        <v>65</v>
      </c>
      <c r="T1" s="28" t="s">
        <v>60</v>
      </c>
    </row>
    <row r="2" spans="1:20" ht="15" customHeight="1" x14ac:dyDescent="0.25">
      <c r="A2" s="31" t="s">
        <v>27</v>
      </c>
      <c r="B2" s="32" t="s">
        <v>29</v>
      </c>
      <c r="C2" s="56" t="s">
        <v>28</v>
      </c>
      <c r="D2" s="34">
        <v>187790</v>
      </c>
      <c r="E2" s="35">
        <v>1352000</v>
      </c>
      <c r="F2" s="34">
        <v>2758481</v>
      </c>
      <c r="G2" s="35">
        <v>8800000</v>
      </c>
      <c r="H2" s="35">
        <v>4560616</v>
      </c>
      <c r="I2" s="36">
        <v>0.81</v>
      </c>
      <c r="J2" s="35">
        <v>3740243</v>
      </c>
      <c r="K2" s="31">
        <v>1</v>
      </c>
      <c r="L2" s="35">
        <v>600000</v>
      </c>
      <c r="M2" s="37">
        <v>4340243</v>
      </c>
      <c r="N2" s="31">
        <v>680</v>
      </c>
      <c r="O2" s="35">
        <v>127697243</v>
      </c>
      <c r="P2" s="35">
        <v>187790</v>
      </c>
      <c r="Q2" s="57">
        <v>270000000</v>
      </c>
      <c r="R2" s="35">
        <v>250000000</v>
      </c>
      <c r="S2" s="53">
        <f>SUM(R2:R6)</f>
        <v>1350000000</v>
      </c>
      <c r="T2" s="44">
        <f>SUM(S2:S11)</f>
        <v>2450000000</v>
      </c>
    </row>
    <row r="3" spans="1:20" ht="15" customHeight="1" x14ac:dyDescent="0.25">
      <c r="A3" s="31" t="s">
        <v>27</v>
      </c>
      <c r="B3" s="32" t="s">
        <v>31</v>
      </c>
      <c r="C3" s="56" t="s">
        <v>30</v>
      </c>
      <c r="D3" s="34">
        <v>326285</v>
      </c>
      <c r="E3" s="35">
        <v>3959000</v>
      </c>
      <c r="F3" s="34">
        <v>8078077</v>
      </c>
      <c r="G3" s="35">
        <v>11300000</v>
      </c>
      <c r="H3" s="38">
        <v>11466598</v>
      </c>
      <c r="I3" s="36">
        <v>1.02</v>
      </c>
      <c r="J3" s="35">
        <v>4815971</v>
      </c>
      <c r="K3" s="31">
        <v>1</v>
      </c>
      <c r="L3" s="35">
        <v>1400000</v>
      </c>
      <c r="M3" s="37">
        <v>6215971</v>
      </c>
      <c r="N3" s="31">
        <v>984</v>
      </c>
      <c r="O3" s="35">
        <v>321064757</v>
      </c>
      <c r="P3" s="35">
        <v>326285</v>
      </c>
      <c r="Q3" s="57">
        <v>350000000</v>
      </c>
      <c r="R3" s="35">
        <v>300000000</v>
      </c>
      <c r="S3" s="54"/>
      <c r="T3" s="45"/>
    </row>
    <row r="4" spans="1:20" ht="15" customHeight="1" x14ac:dyDescent="0.25">
      <c r="A4" s="31" t="s">
        <v>27</v>
      </c>
      <c r="B4" s="32" t="s">
        <v>32</v>
      </c>
      <c r="C4" s="56" t="s">
        <v>30</v>
      </c>
      <c r="D4" s="35">
        <v>173037</v>
      </c>
      <c r="E4" s="35">
        <v>1071000</v>
      </c>
      <c r="F4" s="34">
        <v>2185630</v>
      </c>
      <c r="G4" s="35">
        <v>9700000</v>
      </c>
      <c r="H4" s="35">
        <v>6890584</v>
      </c>
      <c r="I4" s="39">
        <v>0.71</v>
      </c>
      <c r="J4" s="40"/>
      <c r="K4" s="31">
        <v>1</v>
      </c>
      <c r="L4" s="35">
        <v>600000</v>
      </c>
      <c r="M4" s="37">
        <v>600000</v>
      </c>
      <c r="N4" s="35">
        <v>1115</v>
      </c>
      <c r="O4" s="35">
        <v>192936340</v>
      </c>
      <c r="P4" s="35">
        <v>173037</v>
      </c>
      <c r="Q4" s="57">
        <v>300000000</v>
      </c>
      <c r="R4" s="35">
        <v>250000000</v>
      </c>
      <c r="S4" s="54"/>
      <c r="T4" s="45"/>
    </row>
    <row r="5" spans="1:20" ht="15" customHeight="1" x14ac:dyDescent="0.25">
      <c r="A5" s="31" t="s">
        <v>27</v>
      </c>
      <c r="B5" s="32" t="s">
        <v>33</v>
      </c>
      <c r="C5" s="56" t="s">
        <v>30</v>
      </c>
      <c r="D5" s="34">
        <v>245749</v>
      </c>
      <c r="E5" s="35">
        <v>1812000</v>
      </c>
      <c r="F5" s="34">
        <v>3697575</v>
      </c>
      <c r="G5" s="35">
        <v>11300000</v>
      </c>
      <c r="H5" s="35">
        <v>10145907</v>
      </c>
      <c r="I5" s="36">
        <v>0.9</v>
      </c>
      <c r="J5" s="35">
        <v>3409025</v>
      </c>
      <c r="K5" s="31">
        <v>1</v>
      </c>
      <c r="L5" s="35">
        <v>850000</v>
      </c>
      <c r="M5" s="37">
        <v>4259025</v>
      </c>
      <c r="N5" s="35">
        <v>1156</v>
      </c>
      <c r="O5" s="35">
        <v>284085385</v>
      </c>
      <c r="P5" s="35">
        <v>245749</v>
      </c>
      <c r="Q5" s="57">
        <v>350000000</v>
      </c>
      <c r="R5" s="35">
        <v>300000000</v>
      </c>
      <c r="S5" s="54"/>
      <c r="T5" s="45"/>
    </row>
    <row r="6" spans="1:20" ht="15" customHeight="1" x14ac:dyDescent="0.25">
      <c r="A6" s="31" t="s">
        <v>27</v>
      </c>
      <c r="B6" s="32" t="s">
        <v>63</v>
      </c>
      <c r="C6" t="s">
        <v>62</v>
      </c>
      <c r="D6" s="60"/>
      <c r="E6" s="60"/>
      <c r="F6" s="60"/>
      <c r="G6" s="60"/>
      <c r="H6" s="60"/>
      <c r="I6" s="61"/>
      <c r="J6" s="60"/>
      <c r="K6" s="62"/>
      <c r="L6" s="60"/>
      <c r="M6" s="60"/>
      <c r="N6" s="60"/>
      <c r="O6" s="35"/>
      <c r="P6" s="35"/>
      <c r="Q6" s="57"/>
      <c r="R6" s="35">
        <v>250000000</v>
      </c>
      <c r="S6" s="55"/>
      <c r="T6" s="45"/>
    </row>
    <row r="7" spans="1:20" ht="15" customHeight="1" x14ac:dyDescent="0.25">
      <c r="A7" s="31" t="s">
        <v>34</v>
      </c>
      <c r="B7" s="32" t="s">
        <v>35</v>
      </c>
      <c r="C7" s="56" t="s">
        <v>28</v>
      </c>
      <c r="D7" s="34">
        <v>166214</v>
      </c>
      <c r="E7" s="35">
        <v>158000</v>
      </c>
      <c r="F7" s="34">
        <v>268286</v>
      </c>
      <c r="G7" s="35">
        <v>3900000</v>
      </c>
      <c r="H7" s="35">
        <v>1044771</v>
      </c>
      <c r="I7" s="39">
        <v>0.79</v>
      </c>
      <c r="J7" s="31">
        <v>0</v>
      </c>
      <c r="K7" s="31">
        <v>1</v>
      </c>
      <c r="L7" s="31">
        <v>0</v>
      </c>
      <c r="M7" s="41">
        <v>0</v>
      </c>
      <c r="N7" s="31">
        <v>176</v>
      </c>
      <c r="O7" s="35">
        <v>29253600</v>
      </c>
      <c r="P7" s="35">
        <v>166214</v>
      </c>
      <c r="Q7" s="57">
        <v>120000000</v>
      </c>
      <c r="R7" s="35">
        <v>100000000</v>
      </c>
      <c r="S7" s="44">
        <f>SUM(R7:R11)</f>
        <v>1100000000</v>
      </c>
      <c r="T7" s="45"/>
    </row>
    <row r="8" spans="1:20" ht="15" customHeight="1" x14ac:dyDescent="0.25">
      <c r="A8" s="31" t="s">
        <v>34</v>
      </c>
      <c r="B8" s="32" t="s">
        <v>36</v>
      </c>
      <c r="C8" s="56" t="s">
        <v>30</v>
      </c>
      <c r="D8" s="35">
        <v>130639</v>
      </c>
      <c r="E8" s="35">
        <v>2021000</v>
      </c>
      <c r="F8" s="34">
        <v>3421012</v>
      </c>
      <c r="G8" s="35">
        <v>7500000</v>
      </c>
      <c r="H8" s="35">
        <v>6032708</v>
      </c>
      <c r="I8" s="36">
        <v>0.81</v>
      </c>
      <c r="J8" s="35">
        <v>1689158</v>
      </c>
      <c r="K8" s="31">
        <v>1</v>
      </c>
      <c r="L8" s="35">
        <v>1250000</v>
      </c>
      <c r="M8" s="37">
        <v>2939158</v>
      </c>
      <c r="N8" s="35">
        <v>1293</v>
      </c>
      <c r="O8" s="35">
        <v>168915816</v>
      </c>
      <c r="P8" s="35">
        <v>130639</v>
      </c>
      <c r="Q8" s="57">
        <v>230000000</v>
      </c>
      <c r="R8" s="35">
        <v>260000000</v>
      </c>
      <c r="S8" s="45"/>
      <c r="T8" s="45"/>
    </row>
    <row r="9" spans="1:20" ht="15" customHeight="1" x14ac:dyDescent="0.25">
      <c r="A9" s="31" t="s">
        <v>34</v>
      </c>
      <c r="B9" s="32" t="s">
        <v>37</v>
      </c>
      <c r="C9" s="56" t="s">
        <v>30</v>
      </c>
      <c r="D9" s="35">
        <v>171564</v>
      </c>
      <c r="E9" s="35">
        <v>1702000</v>
      </c>
      <c r="F9" s="34">
        <v>2881221</v>
      </c>
      <c r="G9" s="35">
        <v>6500000</v>
      </c>
      <c r="H9" s="35">
        <v>5943460</v>
      </c>
      <c r="I9" s="36">
        <v>0.92</v>
      </c>
      <c r="J9" s="35">
        <v>1830586</v>
      </c>
      <c r="K9" s="31">
        <v>1</v>
      </c>
      <c r="L9" s="35">
        <v>600000</v>
      </c>
      <c r="M9" s="37">
        <v>2430586</v>
      </c>
      <c r="N9" s="31">
        <v>970</v>
      </c>
      <c r="O9" s="35">
        <v>166416886</v>
      </c>
      <c r="P9" s="35">
        <v>171564</v>
      </c>
      <c r="Q9" s="57">
        <v>200000000</v>
      </c>
      <c r="R9" s="35">
        <v>240000000</v>
      </c>
      <c r="S9" s="45"/>
      <c r="T9" s="45"/>
    </row>
    <row r="10" spans="1:20" ht="15.75" customHeight="1" x14ac:dyDescent="0.25">
      <c r="A10" s="31" t="s">
        <v>34</v>
      </c>
      <c r="B10" s="32" t="s">
        <v>38</v>
      </c>
      <c r="C10" s="56" t="s">
        <v>30</v>
      </c>
      <c r="D10" s="35">
        <v>220069</v>
      </c>
      <c r="E10" s="35">
        <v>1990000</v>
      </c>
      <c r="F10" s="34">
        <v>3368581</v>
      </c>
      <c r="G10" s="35">
        <v>7500000</v>
      </c>
      <c r="H10" s="35">
        <v>7285855</v>
      </c>
      <c r="I10" s="36">
        <v>0.98</v>
      </c>
      <c r="J10" s="35">
        <v>2244043</v>
      </c>
      <c r="K10" s="31">
        <v>1</v>
      </c>
      <c r="L10" s="35">
        <v>1400000</v>
      </c>
      <c r="M10" s="37">
        <v>3644043</v>
      </c>
      <c r="N10" s="31">
        <v>927</v>
      </c>
      <c r="O10" s="35">
        <v>204003927</v>
      </c>
      <c r="P10" s="35">
        <v>220069</v>
      </c>
      <c r="Q10" s="57">
        <v>230000000</v>
      </c>
      <c r="R10" s="35">
        <v>260000000</v>
      </c>
      <c r="S10" s="45"/>
      <c r="T10" s="45"/>
    </row>
    <row r="11" spans="1:20" ht="15" customHeight="1" x14ac:dyDescent="0.25">
      <c r="A11" s="31" t="s">
        <v>34</v>
      </c>
      <c r="B11" s="32" t="s">
        <v>39</v>
      </c>
      <c r="C11" s="56" t="s">
        <v>30</v>
      </c>
      <c r="D11" s="34">
        <v>217055</v>
      </c>
      <c r="E11" s="35">
        <v>451000</v>
      </c>
      <c r="F11" s="34">
        <v>763078</v>
      </c>
      <c r="G11" s="35">
        <v>6500000</v>
      </c>
      <c r="H11" s="35">
        <v>4705435</v>
      </c>
      <c r="I11" s="39">
        <v>0.73</v>
      </c>
      <c r="J11" s="40"/>
      <c r="K11" s="31">
        <v>1</v>
      </c>
      <c r="L11" s="31">
        <v>0</v>
      </c>
      <c r="M11" s="41">
        <v>0</v>
      </c>
      <c r="N11" s="31">
        <v>607</v>
      </c>
      <c r="O11" s="35">
        <v>131752180</v>
      </c>
      <c r="P11" s="35">
        <v>217055</v>
      </c>
      <c r="Q11" s="57">
        <v>200000000</v>
      </c>
      <c r="R11" s="35">
        <v>240000000</v>
      </c>
      <c r="S11" s="45"/>
      <c r="T11" s="45"/>
    </row>
  </sheetData>
  <mergeCells count="3">
    <mergeCell ref="T2:T11"/>
    <mergeCell ref="S7:S11"/>
    <mergeCell ref="S2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</vt:lpstr>
      <vt:lpstr>T8.26</vt:lpstr>
      <vt:lpstr>T9.26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Medigo user 08</dc:creator>
  <cp:lastModifiedBy>Medigo user 08</cp:lastModifiedBy>
  <dcterms:created xsi:type="dcterms:W3CDTF">2015-06-05T18:17:20Z</dcterms:created>
  <dcterms:modified xsi:type="dcterms:W3CDTF">2026-08-31T06:04:14Z</dcterms:modified>
</cp:coreProperties>
</file>