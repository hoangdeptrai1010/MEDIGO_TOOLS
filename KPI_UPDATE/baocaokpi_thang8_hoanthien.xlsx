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8" sheetId="4" state="visible" r:id="rId4"/>
    <sheet name="Hot Bill HN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yyyy-mm-dd h:mm:ss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  <font>
      <name val="Arial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/>
    </xf>
    <xf numFmtId="0" fontId="4" fillId="14" borderId="2" applyAlignment="1" pivotButton="0" quotePrefix="0" xfId="0">
      <alignment horizontal="center"/>
    </xf>
    <xf numFmtId="3" fontId="4" fillId="14" borderId="2" applyAlignment="1" pivotButton="0" quotePrefix="0" xfId="0">
      <alignment horizontal="right"/>
    </xf>
    <xf numFmtId="0" fontId="4" fillId="14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9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5" fillId="12" borderId="2" applyAlignment="1" pivotButton="0" quotePrefix="0" xfId="0">
      <alignment horizontal="center"/>
    </xf>
    <xf numFmtId="3" fontId="6" fillId="13" borderId="2" applyAlignment="1" pivotButton="0" quotePrefix="0" xfId="0">
      <alignment horizontal="right"/>
    </xf>
    <xf numFmtId="3" fontId="4" fillId="0" borderId="2" applyAlignment="1" pivotButton="0" quotePrefix="0" xfId="0">
      <alignment horizontal="center"/>
    </xf>
    <xf numFmtId="3" fontId="4" fillId="14" borderId="2" applyAlignment="1" pivotButton="0" quotePrefix="0" xfId="0">
      <alignment horizontal="center"/>
    </xf>
    <xf numFmtId="164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5" fontId="4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5" fontId="4" fillId="14" borderId="2" applyAlignment="1" pivotButton="0" quotePrefix="0" xfId="0">
      <alignment horizontal="center"/>
    </xf>
    <xf numFmtId="0" fontId="5" fillId="14" borderId="2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7" fillId="16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9" fontId="7" fillId="19" borderId="3" applyAlignment="1" pivotButton="0" quotePrefix="0" xfId="0">
      <alignment horizontal="center" vertical="center" wrapText="1"/>
    </xf>
    <xf numFmtId="0" fontId="7" fillId="20" borderId="3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/>
    </xf>
    <xf numFmtId="3" fontId="7" fillId="18" borderId="2" applyAlignment="1" pivotButton="0" quotePrefix="0" xfId="0">
      <alignment horizontal="right" vertical="center"/>
    </xf>
    <xf numFmtId="9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7" fillId="21" borderId="3" applyAlignment="1" pivotButton="0" quotePrefix="0" xfId="0">
      <alignment horizontal="center" vertical="center" wrapText="1"/>
    </xf>
    <xf numFmtId="0" fontId="7" fillId="22" borderId="3" applyAlignment="1" pivotButton="0" quotePrefix="0" xfId="0">
      <alignment horizontal="center" vertical="center" wrapText="1"/>
    </xf>
    <xf numFmtId="0" fontId="7" fillId="23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0" fontId="7" fillId="25" borderId="3" applyAlignment="1" pivotButton="0" quotePrefix="0" xfId="0">
      <alignment horizontal="center" vertical="center" wrapText="1"/>
    </xf>
    <xf numFmtId="10" fontId="8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164" fontId="10" fillId="16" borderId="0" pivotButton="0" quotePrefix="0" xfId="0"/>
    <xf numFmtId="0" fontId="0" fillId="18" borderId="0" pivotButton="0" quotePrefix="0" xfId="0"/>
    <xf numFmtId="0" fontId="8" fillId="26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left" vertical="center"/>
    </xf>
    <xf numFmtId="3" fontId="7" fillId="26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5"/>
  <sheetViews>
    <sheetView showGridLines="1" workbookViewId="0">
      <selection activeCell="A1" sqref="A1"/>
    </sheetView>
  </sheetViews>
  <sheetFormatPr baseColWidth="8" defaultRowHeight="15"/>
  <cols>
    <col width="16.33" customWidth="1" min="1" max="1"/>
    <col width="23.89" customWidth="1" min="2" max="2"/>
    <col width="18.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.78" customWidth="1" min="9" max="9"/>
    <col width="13.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7.75" customHeight="1">
      <c r="A1" s="37" t="inlineStr">
        <is>
          <t>Nhà thuốc</t>
        </is>
      </c>
      <c r="B1" s="37" t="inlineStr">
        <is>
          <t>Tên nhân viên</t>
        </is>
      </c>
      <c r="C1" s="37" t="inlineStr">
        <is>
          <t>Số giao dịch off</t>
        </is>
      </c>
      <c r="D1" s="37" t="inlineStr">
        <is>
          <t>Doanh thu off</t>
        </is>
      </c>
      <c r="E1" s="37" t="inlineStr">
        <is>
          <t>Số giao dịch onl</t>
        </is>
      </c>
      <c r="F1" s="37" t="inlineStr">
        <is>
          <t>Doanh thu onl</t>
        </is>
      </c>
      <c r="G1" s="37" t="inlineStr">
        <is>
          <t>Tổng giao dịch</t>
        </is>
      </c>
      <c r="H1" s="37" t="inlineStr">
        <is>
          <t>Doanh thu tổng</t>
        </is>
      </c>
      <c r="I1" s="37" t="n"/>
      <c r="J1" s="38" t="n">
        <v>46244</v>
      </c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</row>
    <row r="2" ht="15.75" customHeight="1">
      <c r="A2" s="39" t="inlineStr">
        <is>
          <t>Hàng Bông</t>
        </is>
      </c>
      <c r="B2" s="39" t="inlineStr">
        <is>
          <t>Nguyễn Mạnh Tuấn</t>
        </is>
      </c>
      <c r="C2" s="40" t="n">
        <v>189</v>
      </c>
      <c r="D2" s="41" t="n">
        <v>39636120</v>
      </c>
      <c r="E2" s="40" t="n">
        <v>105</v>
      </c>
      <c r="F2" s="41" t="n">
        <v>19335000</v>
      </c>
      <c r="G2" s="40" t="n">
        <v>294</v>
      </c>
      <c r="H2" s="41" t="n">
        <v>58971120</v>
      </c>
      <c r="I2" s="42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</row>
    <row r="3" ht="15.75" customHeight="1">
      <c r="A3" s="39" t="inlineStr">
        <is>
          <t>Hàng Bông</t>
        </is>
      </c>
      <c r="B3" s="39" t="inlineStr">
        <is>
          <t>Vũ Thanh Hằng</t>
        </is>
      </c>
      <c r="C3" s="40" t="n">
        <v>291</v>
      </c>
      <c r="D3" s="41" t="n">
        <v>96198960</v>
      </c>
      <c r="E3" s="40" t="n">
        <v>78</v>
      </c>
      <c r="F3" s="41" t="n">
        <v>24633300</v>
      </c>
      <c r="G3" s="40" t="n">
        <v>369</v>
      </c>
      <c r="H3" s="41" t="n">
        <v>120832260</v>
      </c>
      <c r="I3" s="42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</row>
    <row r="4" ht="15.75" customHeight="1">
      <c r="A4" s="39" t="inlineStr">
        <is>
          <t>Hàng Bông</t>
        </is>
      </c>
      <c r="B4" s="39" t="inlineStr">
        <is>
          <t>Đinh Thị Khánh Ly</t>
        </is>
      </c>
      <c r="C4" s="40" t="n">
        <v>457</v>
      </c>
      <c r="D4" s="41" t="n">
        <v>114122670</v>
      </c>
      <c r="E4" s="40" t="n">
        <v>122</v>
      </c>
      <c r="F4" s="41" t="n">
        <v>29387520</v>
      </c>
      <c r="G4" s="40" t="n">
        <v>579</v>
      </c>
      <c r="H4" s="41" t="n">
        <v>143510190</v>
      </c>
      <c r="I4" s="42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</row>
    <row r="5" ht="15.75" customHeight="1">
      <c r="A5" s="39" t="inlineStr">
        <is>
          <t>Hàng Bông</t>
        </is>
      </c>
      <c r="B5" s="39" t="inlineStr">
        <is>
          <t>Đinh Thị Lan Anh</t>
        </is>
      </c>
      <c r="C5" s="40" t="n">
        <v>232</v>
      </c>
      <c r="D5" s="41" t="n">
        <v>40092210</v>
      </c>
      <c r="E5" s="40" t="n">
        <v>45</v>
      </c>
      <c r="F5" s="41" t="n">
        <v>9655900</v>
      </c>
      <c r="G5" s="40" t="n">
        <v>277</v>
      </c>
      <c r="H5" s="41" t="n">
        <v>49748110</v>
      </c>
      <c r="I5" s="42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</row>
    <row r="6" ht="15.75" customHeight="1">
      <c r="A6" s="39" t="inlineStr">
        <is>
          <t>Lê Bình</t>
        </is>
      </c>
      <c r="B6" s="39" t="inlineStr">
        <is>
          <t>Hoàng Lâm Gia Bảo</t>
        </is>
      </c>
      <c r="C6" s="40" t="n">
        <v>98</v>
      </c>
      <c r="D6" s="41" t="n">
        <v>10853100</v>
      </c>
      <c r="E6" s="40" t="n">
        <v>35</v>
      </c>
      <c r="F6" s="41" t="n">
        <v>6323800</v>
      </c>
      <c r="G6" s="40" t="n">
        <v>133</v>
      </c>
      <c r="H6" s="41" t="n">
        <v>17176900</v>
      </c>
      <c r="I6" s="42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</row>
    <row r="7" ht="15.75" customHeight="1">
      <c r="A7" s="39" t="inlineStr">
        <is>
          <t>Lê Bình</t>
        </is>
      </c>
      <c r="B7" s="39" t="inlineStr">
        <is>
          <t>Hồ Thị Minh Hòa</t>
        </is>
      </c>
      <c r="C7" s="40" t="n">
        <v>82</v>
      </c>
      <c r="D7" s="41" t="n">
        <v>9714300</v>
      </c>
      <c r="E7" s="40" t="n">
        <v>35</v>
      </c>
      <c r="F7" s="41" t="n">
        <v>6755520</v>
      </c>
      <c r="G7" s="40" t="n">
        <v>117</v>
      </c>
      <c r="H7" s="41" t="n">
        <v>16469820</v>
      </c>
      <c r="I7" s="42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</row>
    <row r="8" ht="15.75" customHeight="1">
      <c r="A8" s="39" t="inlineStr">
        <is>
          <t>Lê Bình</t>
        </is>
      </c>
      <c r="B8" s="39" t="inlineStr">
        <is>
          <t>Đinh Hoài Bảo</t>
        </is>
      </c>
      <c r="C8" s="40" t="n">
        <v>142</v>
      </c>
      <c r="D8" s="41" t="n">
        <v>10502600</v>
      </c>
      <c r="E8" s="40" t="n">
        <v>73</v>
      </c>
      <c r="F8" s="41" t="n">
        <v>11321850</v>
      </c>
      <c r="G8" s="40" t="n">
        <v>215</v>
      </c>
      <c r="H8" s="41" t="n">
        <v>21824450</v>
      </c>
      <c r="I8" s="42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</row>
    <row r="9" ht="15.75" customHeight="1">
      <c r="A9" s="39" t="inlineStr">
        <is>
          <t>Minh Châu</t>
        </is>
      </c>
      <c r="B9" s="39" t="inlineStr">
        <is>
          <t>Phan Công Vũ Tài</t>
        </is>
      </c>
      <c r="C9" s="40" t="n">
        <v>270</v>
      </c>
      <c r="D9" s="41" t="n">
        <v>24320200</v>
      </c>
      <c r="E9" s="40" t="n">
        <v>45</v>
      </c>
      <c r="F9" s="41" t="n">
        <v>7240600</v>
      </c>
      <c r="G9" s="40" t="n">
        <v>315</v>
      </c>
      <c r="H9" s="41" t="n">
        <v>31560800</v>
      </c>
      <c r="I9" s="42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</row>
    <row r="10" ht="15.75" customHeight="1">
      <c r="A10" s="39" t="inlineStr">
        <is>
          <t>Minh Châu</t>
        </is>
      </c>
      <c r="B10" s="39" t="inlineStr">
        <is>
          <t>Thái Thùy Linh</t>
        </is>
      </c>
      <c r="C10" s="40" t="n">
        <v>178</v>
      </c>
      <c r="D10" s="41" t="n">
        <v>14565000</v>
      </c>
      <c r="E10" s="40" t="n">
        <v>23</v>
      </c>
      <c r="F10" s="41" t="n">
        <v>4635700</v>
      </c>
      <c r="G10" s="40" t="n">
        <v>201</v>
      </c>
      <c r="H10" s="41" t="n">
        <v>19200700</v>
      </c>
      <c r="I10" s="42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</row>
    <row r="11" ht="15.75" customHeight="1">
      <c r="A11" s="39" t="inlineStr">
        <is>
          <t>Minh Châu</t>
        </is>
      </c>
      <c r="B11" s="39" t="inlineStr">
        <is>
          <t>Trịnh Thị Phượng</t>
        </is>
      </c>
      <c r="C11" s="40" t="n">
        <v>263</v>
      </c>
      <c r="D11" s="41" t="n">
        <v>21466900</v>
      </c>
      <c r="E11" s="40" t="n">
        <v>28</v>
      </c>
      <c r="F11" s="41" t="n">
        <v>3104300</v>
      </c>
      <c r="G11" s="40" t="n">
        <v>291</v>
      </c>
      <c r="H11" s="41" t="n">
        <v>24571200</v>
      </c>
      <c r="I11" s="42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</row>
    <row r="12" ht="15.75" customHeight="1">
      <c r="A12" s="39" t="inlineStr">
        <is>
          <t>Minh Châu</t>
        </is>
      </c>
      <c r="B12" s="39" t="inlineStr">
        <is>
          <t>Đoàn Quốc Tâm</t>
        </is>
      </c>
      <c r="C12" s="40" t="n">
        <v>270</v>
      </c>
      <c r="D12" s="41" t="n">
        <v>20899000</v>
      </c>
      <c r="E12" s="40" t="n">
        <v>64</v>
      </c>
      <c r="F12" s="41" t="n">
        <v>8884600</v>
      </c>
      <c r="G12" s="40" t="n">
        <v>334</v>
      </c>
      <c r="H12" s="41" t="n">
        <v>29783600</v>
      </c>
      <c r="I12" s="42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</row>
    <row r="13" ht="15.75" customHeight="1">
      <c r="A13" s="39" t="inlineStr">
        <is>
          <t>Nam Hòa</t>
        </is>
      </c>
      <c r="B13" s="39" t="inlineStr">
        <is>
          <t>Bùi Thị Thanh Thủy</t>
        </is>
      </c>
      <c r="C13" s="40" t="n">
        <v>84</v>
      </c>
      <c r="D13" s="41" t="n">
        <v>4062300</v>
      </c>
      <c r="E13" s="40" t="n">
        <v>37</v>
      </c>
      <c r="F13" s="41" t="n">
        <v>9341550</v>
      </c>
      <c r="G13" s="40" t="n">
        <v>121</v>
      </c>
      <c r="H13" s="41" t="n">
        <v>13403850</v>
      </c>
      <c r="I13" s="42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</row>
    <row r="14" ht="15.75" customHeight="1">
      <c r="A14" s="39" t="inlineStr">
        <is>
          <t>Nam Hòa</t>
        </is>
      </c>
      <c r="B14" s="39" t="inlineStr">
        <is>
          <t>Nguyễn Thị Huyền Trang</t>
        </is>
      </c>
      <c r="C14" s="40" t="n">
        <v>81</v>
      </c>
      <c r="D14" s="41" t="n">
        <v>4582400</v>
      </c>
      <c r="E14" s="40" t="n">
        <v>23</v>
      </c>
      <c r="F14" s="41" t="n">
        <v>3041400</v>
      </c>
      <c r="G14" s="40" t="n">
        <v>104</v>
      </c>
      <c r="H14" s="41" t="n">
        <v>7623800</v>
      </c>
      <c r="I14" s="42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</row>
    <row r="15" ht="15.75" customHeight="1">
      <c r="A15" s="39" t="inlineStr">
        <is>
          <t>Nam Hòa</t>
        </is>
      </c>
      <c r="B15" s="39" t="inlineStr">
        <is>
          <t>Nguyễn Trí Nghĩa</t>
        </is>
      </c>
      <c r="C15" s="40" t="n">
        <v>5</v>
      </c>
      <c r="D15" s="41" t="n">
        <v>451000</v>
      </c>
      <c r="E15" s="40" t="n"/>
      <c r="F15" s="41" t="n"/>
      <c r="G15" s="40" t="n">
        <v>5</v>
      </c>
      <c r="H15" s="41" t="n">
        <v>451000</v>
      </c>
      <c r="I15" s="42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</row>
    <row r="16" ht="15.75" customHeight="1">
      <c r="A16" s="39" t="inlineStr">
        <is>
          <t>Nam Hòa</t>
        </is>
      </c>
      <c r="B16" s="39" t="inlineStr">
        <is>
          <t>Phan Công Vũ Tài</t>
        </is>
      </c>
      <c r="C16" s="40" t="n">
        <v>5</v>
      </c>
      <c r="D16" s="41" t="n">
        <v>670000</v>
      </c>
      <c r="E16" s="40" t="n"/>
      <c r="F16" s="41" t="n"/>
      <c r="G16" s="40" t="n">
        <v>5</v>
      </c>
      <c r="H16" s="41" t="n">
        <v>670000</v>
      </c>
      <c r="I16" s="42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</row>
    <row r="17" ht="15.75" customHeight="1">
      <c r="A17" s="39" t="inlineStr">
        <is>
          <t>Nam Hòa</t>
        </is>
      </c>
      <c r="B17" s="39" t="inlineStr">
        <is>
          <t>Thanh Thảo</t>
        </is>
      </c>
      <c r="C17" s="40" t="n">
        <v>1</v>
      </c>
      <c r="D17" s="41" t="n">
        <v>28000</v>
      </c>
      <c r="E17" s="40" t="n"/>
      <c r="F17" s="41" t="n"/>
      <c r="G17" s="40" t="n">
        <v>1</v>
      </c>
      <c r="H17" s="41" t="n">
        <v>28000</v>
      </c>
      <c r="I17" s="42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</row>
    <row r="18" ht="15.75" customHeight="1">
      <c r="A18" s="39" t="inlineStr">
        <is>
          <t>Nam Hòa</t>
        </is>
      </c>
      <c r="B18" s="39" t="inlineStr">
        <is>
          <t>Trần Thị Ánh Nguyệt</t>
        </is>
      </c>
      <c r="C18" s="40" t="n">
        <v>259</v>
      </c>
      <c r="D18" s="41" t="n">
        <v>19912400</v>
      </c>
      <c r="E18" s="40" t="n">
        <v>71</v>
      </c>
      <c r="F18" s="41" t="n">
        <v>14465500</v>
      </c>
      <c r="G18" s="40" t="n">
        <v>330</v>
      </c>
      <c r="H18" s="41" t="n">
        <v>34377900</v>
      </c>
      <c r="I18" s="42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</row>
    <row r="19" ht="15.75" customHeight="1">
      <c r="A19" s="39" t="inlineStr">
        <is>
          <t>Nam Hòa</t>
        </is>
      </c>
      <c r="B19" s="39" t="inlineStr">
        <is>
          <t>Đỗ Thị Kim Tiến</t>
        </is>
      </c>
      <c r="C19" s="40" t="n">
        <v>120</v>
      </c>
      <c r="D19" s="41" t="n">
        <v>10038100</v>
      </c>
      <c r="E19" s="40" t="n">
        <v>31</v>
      </c>
      <c r="F19" s="41" t="n">
        <v>4734900</v>
      </c>
      <c r="G19" s="40" t="n">
        <v>151</v>
      </c>
      <c r="H19" s="41" t="n">
        <v>14773000</v>
      </c>
      <c r="I19" s="42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</row>
    <row r="20" ht="15.75" customHeight="1">
      <c r="A20" s="39" t="inlineStr">
        <is>
          <t>Nguyễn Chí Thanh</t>
        </is>
      </c>
      <c r="B20" s="39" t="inlineStr">
        <is>
          <t>Lê Thị Quỳnh Trâm</t>
        </is>
      </c>
      <c r="C20" s="40" t="n">
        <v>98</v>
      </c>
      <c r="D20" s="41" t="n">
        <v>6196900</v>
      </c>
      <c r="E20" s="40" t="n">
        <v>69</v>
      </c>
      <c r="F20" s="41" t="n">
        <v>15945300</v>
      </c>
      <c r="G20" s="40" t="n">
        <v>167</v>
      </c>
      <c r="H20" s="41" t="n">
        <v>22142200</v>
      </c>
      <c r="I20" s="42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</row>
    <row r="21" ht="15.75" customHeight="1">
      <c r="A21" s="39" t="inlineStr">
        <is>
          <t>Nguyễn Chí Thanh</t>
        </is>
      </c>
      <c r="B21" s="39" t="inlineStr">
        <is>
          <t>Nguyễn Thị Hồng Hạnh</t>
        </is>
      </c>
      <c r="C21" s="40" t="n">
        <v>214</v>
      </c>
      <c r="D21" s="41" t="n">
        <v>16276800</v>
      </c>
      <c r="E21" s="40" t="n">
        <v>20</v>
      </c>
      <c r="F21" s="41" t="n">
        <v>2583900</v>
      </c>
      <c r="G21" s="40" t="n">
        <v>234</v>
      </c>
      <c r="H21" s="41" t="n">
        <v>18860700</v>
      </c>
      <c r="I21" s="42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</row>
    <row r="22" ht="15.75" customHeight="1">
      <c r="A22" s="39" t="inlineStr">
        <is>
          <t>Nguyễn Chí Thanh</t>
        </is>
      </c>
      <c r="B22" s="39" t="inlineStr">
        <is>
          <t>Nguyễn Trí Nghĩa</t>
        </is>
      </c>
      <c r="C22" s="40" t="n">
        <v>93</v>
      </c>
      <c r="D22" s="41" t="n">
        <v>4340800</v>
      </c>
      <c r="E22" s="40" t="n">
        <v>14</v>
      </c>
      <c r="F22" s="41" t="n">
        <v>1063100</v>
      </c>
      <c r="G22" s="40" t="n">
        <v>107</v>
      </c>
      <c r="H22" s="41" t="n">
        <v>5403900</v>
      </c>
      <c r="I22" s="42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</row>
    <row r="23" ht="15.75" customHeight="1">
      <c r="A23" s="39" t="inlineStr">
        <is>
          <t>Nguyễn Chí Thanh</t>
        </is>
      </c>
      <c r="B23" s="39" t="inlineStr">
        <is>
          <t>Trần Hoàng Khánh</t>
        </is>
      </c>
      <c r="C23" s="40" t="n">
        <v>289</v>
      </c>
      <c r="D23" s="41" t="n">
        <v>19347200</v>
      </c>
      <c r="E23" s="40" t="n">
        <v>66</v>
      </c>
      <c r="F23" s="41" t="n">
        <v>6917900</v>
      </c>
      <c r="G23" s="40" t="n">
        <v>355</v>
      </c>
      <c r="H23" s="41" t="n">
        <v>26265100</v>
      </c>
      <c r="I23" s="42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</row>
    <row r="24" ht="15.75" customHeight="1">
      <c r="A24" s="39" t="inlineStr">
        <is>
          <t>Nguyễn Chí Thanh</t>
        </is>
      </c>
      <c r="B24" s="39" t="inlineStr">
        <is>
          <t>Đỗ Thị Phương Thảo</t>
        </is>
      </c>
      <c r="C24" s="40" t="n">
        <v>116</v>
      </c>
      <c r="D24" s="41" t="n">
        <v>12809525</v>
      </c>
      <c r="E24" s="40" t="n">
        <v>74</v>
      </c>
      <c r="F24" s="41" t="n">
        <v>16090400</v>
      </c>
      <c r="G24" s="40" t="n">
        <v>190</v>
      </c>
      <c r="H24" s="41" t="n">
        <v>28899925</v>
      </c>
      <c r="I24" s="42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</row>
    <row r="25" ht="15.75" customHeight="1">
      <c r="A25" s="39" t="inlineStr">
        <is>
          <t>Nguyễn Thị Thập</t>
        </is>
      </c>
      <c r="B25" s="39" t="inlineStr">
        <is>
          <t>Cao Trọng Nhân</t>
        </is>
      </c>
      <c r="C25" s="40" t="n">
        <v>222</v>
      </c>
      <c r="D25" s="41" t="n">
        <v>18344100</v>
      </c>
      <c r="E25" s="40" t="n">
        <v>114</v>
      </c>
      <c r="F25" s="41" t="n">
        <v>26551400</v>
      </c>
      <c r="G25" s="40" t="n">
        <v>336</v>
      </c>
      <c r="H25" s="41" t="n">
        <v>44895500</v>
      </c>
      <c r="I25" s="42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</row>
    <row r="26" ht="15.75" customHeight="1">
      <c r="A26" s="39" t="inlineStr">
        <is>
          <t>Nguyễn Thị Thập</t>
        </is>
      </c>
      <c r="B26" s="39" t="inlineStr">
        <is>
          <t>Nguyễn Trí Nghĩa</t>
        </is>
      </c>
      <c r="C26" s="40" t="n">
        <v>118</v>
      </c>
      <c r="D26" s="41" t="n">
        <v>7306400</v>
      </c>
      <c r="E26" s="40" t="n">
        <v>93</v>
      </c>
      <c r="F26" s="41" t="n">
        <v>15372400</v>
      </c>
      <c r="G26" s="40" t="n">
        <v>211</v>
      </c>
      <c r="H26" s="41" t="n">
        <v>22678800</v>
      </c>
      <c r="I26" s="42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</row>
    <row r="27" ht="15.75" customHeight="1">
      <c r="A27" s="39" t="inlineStr">
        <is>
          <t>Nguyễn Thị Thập</t>
        </is>
      </c>
      <c r="B27" s="39" t="inlineStr">
        <is>
          <t>Triệu Thị Ngọc Lý</t>
        </is>
      </c>
      <c r="C27" s="40" t="n">
        <v>106</v>
      </c>
      <c r="D27" s="41" t="n">
        <v>7807300</v>
      </c>
      <c r="E27" s="40" t="n">
        <v>106</v>
      </c>
      <c r="F27" s="41" t="n">
        <v>33740100</v>
      </c>
      <c r="G27" s="40" t="n">
        <v>212</v>
      </c>
      <c r="H27" s="41" t="n">
        <v>41547400</v>
      </c>
      <c r="I27" s="42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</row>
    <row r="28" ht="15.75" customHeight="1">
      <c r="A28" s="39" t="inlineStr">
        <is>
          <t>Nguyễn Thị Thập</t>
        </is>
      </c>
      <c r="B28" s="39" t="inlineStr">
        <is>
          <t>Trần Thành Đạt</t>
        </is>
      </c>
      <c r="C28" s="40" t="n">
        <v>193</v>
      </c>
      <c r="D28" s="41" t="n">
        <v>11607800</v>
      </c>
      <c r="E28" s="40" t="n">
        <v>77</v>
      </c>
      <c r="F28" s="41" t="n">
        <v>30478100</v>
      </c>
      <c r="G28" s="40" t="n">
        <v>270</v>
      </c>
      <c r="H28" s="41" t="n">
        <v>42085900</v>
      </c>
      <c r="I28" s="42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</row>
    <row r="29" ht="15.75" customHeight="1">
      <c r="A29" s="39" t="inlineStr">
        <is>
          <t>Nguyễn Văn Quá</t>
        </is>
      </c>
      <c r="B29" s="39" t="inlineStr">
        <is>
          <t>Hồ Ngọc Lý</t>
        </is>
      </c>
      <c r="C29" s="40" t="n">
        <v>176</v>
      </c>
      <c r="D29" s="41" t="n">
        <v>13479200</v>
      </c>
      <c r="E29" s="40" t="n">
        <v>23</v>
      </c>
      <c r="F29" s="41" t="n">
        <v>2573200</v>
      </c>
      <c r="G29" s="40" t="n">
        <v>199</v>
      </c>
      <c r="H29" s="41" t="n">
        <v>16052400</v>
      </c>
      <c r="I29" s="42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</row>
    <row r="30" ht="15.75" customHeight="1">
      <c r="A30" s="39" t="inlineStr">
        <is>
          <t>Nguyễn Văn Quá</t>
        </is>
      </c>
      <c r="B30" s="39" t="inlineStr">
        <is>
          <t>Nguyễn Thị Hương Giang</t>
        </is>
      </c>
      <c r="C30" s="40" t="n">
        <v>251</v>
      </c>
      <c r="D30" s="41" t="n">
        <v>16201100</v>
      </c>
      <c r="E30" s="40" t="n">
        <v>43</v>
      </c>
      <c r="F30" s="41" t="n">
        <v>6176100</v>
      </c>
      <c r="G30" s="40" t="n">
        <v>294</v>
      </c>
      <c r="H30" s="41" t="n">
        <v>22377200</v>
      </c>
      <c r="I30" s="42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</row>
    <row r="31" ht="15.75" customHeight="1">
      <c r="A31" s="39" t="inlineStr">
        <is>
          <t>Nguyễn Văn Quá</t>
        </is>
      </c>
      <c r="B31" s="39" t="inlineStr">
        <is>
          <t>Nguyễn Thị Thu Huyền</t>
        </is>
      </c>
      <c r="C31" s="40" t="n">
        <v>377</v>
      </c>
      <c r="D31" s="41" t="n">
        <v>23684400</v>
      </c>
      <c r="E31" s="40" t="n">
        <v>80</v>
      </c>
      <c r="F31" s="41" t="n">
        <v>12387400</v>
      </c>
      <c r="G31" s="40" t="n">
        <v>457</v>
      </c>
      <c r="H31" s="41" t="n">
        <v>36071800</v>
      </c>
      <c r="I31" s="42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</row>
    <row r="32" ht="15.75" customHeight="1">
      <c r="A32" s="39" t="inlineStr">
        <is>
          <t>Nguyễn Văn Quá</t>
        </is>
      </c>
      <c r="B32" s="39" t="inlineStr">
        <is>
          <t>Phan Công Vũ Tài</t>
        </is>
      </c>
      <c r="C32" s="40" t="n">
        <v>7</v>
      </c>
      <c r="D32" s="41" t="n">
        <v>918000</v>
      </c>
      <c r="E32" s="40" t="n">
        <v>1</v>
      </c>
      <c r="F32" s="41" t="n">
        <v>20000</v>
      </c>
      <c r="G32" s="40" t="n">
        <v>8</v>
      </c>
      <c r="H32" s="41" t="n">
        <v>938000</v>
      </c>
      <c r="I32" s="42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</row>
    <row r="33" ht="15.75" customHeight="1">
      <c r="A33" s="39" t="inlineStr">
        <is>
          <t>Nguyễn Văn Quá</t>
        </is>
      </c>
      <c r="B33" s="39" t="inlineStr">
        <is>
          <t>Võ Ngọc Giàu Sang</t>
        </is>
      </c>
      <c r="C33" s="40" t="n">
        <v>143</v>
      </c>
      <c r="D33" s="41" t="n">
        <v>8631750</v>
      </c>
      <c r="E33" s="40" t="n">
        <v>41</v>
      </c>
      <c r="F33" s="41" t="n">
        <v>7332550</v>
      </c>
      <c r="G33" s="40" t="n">
        <v>184</v>
      </c>
      <c r="H33" s="41" t="n">
        <v>15964300</v>
      </c>
      <c r="I33" s="42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</row>
    <row r="34" ht="15.75" customHeight="1">
      <c r="A34" s="39" t="inlineStr">
        <is>
          <t>Rạch Bùng Binh</t>
        </is>
      </c>
      <c r="B34" s="39" t="inlineStr">
        <is>
          <t>Cù Thị Tường Vy</t>
        </is>
      </c>
      <c r="C34" s="40" t="n">
        <v>82</v>
      </c>
      <c r="D34" s="41" t="n">
        <v>8484600</v>
      </c>
      <c r="E34" s="40" t="n">
        <v>47</v>
      </c>
      <c r="F34" s="41" t="n">
        <v>16005600</v>
      </c>
      <c r="G34" s="40" t="n">
        <v>129</v>
      </c>
      <c r="H34" s="41" t="n">
        <v>24490200</v>
      </c>
      <c r="I34" s="42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</row>
    <row r="35" ht="15.75" customHeight="1">
      <c r="A35" s="39" t="inlineStr">
        <is>
          <t>Rạch Bùng Binh</t>
        </is>
      </c>
      <c r="B35" s="39" t="inlineStr">
        <is>
          <t>Huỳnh Thị Huệ Hiền</t>
        </is>
      </c>
      <c r="C35" s="40" t="n">
        <v>100</v>
      </c>
      <c r="D35" s="41" t="n">
        <v>8771600</v>
      </c>
      <c r="E35" s="40" t="n">
        <v>23</v>
      </c>
      <c r="F35" s="41" t="n">
        <v>2781000</v>
      </c>
      <c r="G35" s="40" t="n">
        <v>123</v>
      </c>
      <c r="H35" s="41" t="n">
        <v>11552600</v>
      </c>
      <c r="I35" s="42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</row>
    <row r="36" ht="15.75" customHeight="1">
      <c r="A36" s="39" t="inlineStr">
        <is>
          <t>Rạch Bùng Binh</t>
        </is>
      </c>
      <c r="B36" s="39" t="inlineStr">
        <is>
          <t>Ngô Thị Ngọc Thủy</t>
        </is>
      </c>
      <c r="C36" s="40" t="n">
        <v>235</v>
      </c>
      <c r="D36" s="41" t="n">
        <v>16312700</v>
      </c>
      <c r="E36" s="40" t="n">
        <v>68</v>
      </c>
      <c r="F36" s="41" t="n">
        <v>8372600</v>
      </c>
      <c r="G36" s="40" t="n">
        <v>303</v>
      </c>
      <c r="H36" s="41" t="n">
        <v>24685300</v>
      </c>
      <c r="I36" s="42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</row>
    <row r="37" ht="15.75" customHeight="1">
      <c r="A37" s="39" t="inlineStr">
        <is>
          <t>Rạch Bùng Binh</t>
        </is>
      </c>
      <c r="B37" s="39" t="inlineStr">
        <is>
          <t>Phạm Nguyễn Ngọc Quyền Trân</t>
        </is>
      </c>
      <c r="C37" s="40" t="n">
        <v>146</v>
      </c>
      <c r="D37" s="41" t="n">
        <v>11174000</v>
      </c>
      <c r="E37" s="40" t="n">
        <v>88</v>
      </c>
      <c r="F37" s="41" t="n">
        <v>34917900</v>
      </c>
      <c r="G37" s="40" t="n">
        <v>234</v>
      </c>
      <c r="H37" s="41" t="n">
        <v>46091900</v>
      </c>
      <c r="I37" s="42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</row>
    <row r="38" ht="15.75" customHeight="1">
      <c r="A38" s="39" t="inlineStr">
        <is>
          <t>Trường Sa</t>
        </is>
      </c>
      <c r="B38" s="39" t="inlineStr">
        <is>
          <t>Hồ Thị Minh Hòa</t>
        </is>
      </c>
      <c r="C38" s="40" t="n">
        <v>20</v>
      </c>
      <c r="D38" s="41" t="n">
        <v>1503600</v>
      </c>
      <c r="E38" s="40" t="n">
        <v>14</v>
      </c>
      <c r="F38" s="41" t="n">
        <v>2401800</v>
      </c>
      <c r="G38" s="40" t="n">
        <v>34</v>
      </c>
      <c r="H38" s="41" t="n">
        <v>3905400</v>
      </c>
      <c r="I38" s="42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</row>
    <row r="39" ht="15.75" customHeight="1">
      <c r="A39" s="39" t="inlineStr">
        <is>
          <t>Trường Sa</t>
        </is>
      </c>
      <c r="B39" s="39" t="inlineStr">
        <is>
          <t>Medigo</t>
        </is>
      </c>
      <c r="C39" s="40" t="n"/>
      <c r="D39" s="41" t="n"/>
      <c r="E39" s="40" t="n">
        <v>1</v>
      </c>
      <c r="F39" s="41" t="n">
        <v>40000</v>
      </c>
      <c r="G39" s="40" t="n">
        <v>1</v>
      </c>
      <c r="H39" s="41" t="n">
        <v>40000</v>
      </c>
      <c r="I39" s="42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</row>
    <row r="40" ht="15.75" customHeight="1">
      <c r="A40" s="39" t="inlineStr">
        <is>
          <t>Trường Sa</t>
        </is>
      </c>
      <c r="B40" s="39" t="inlineStr">
        <is>
          <t>Nguyễn Trần Ngọc Phương</t>
        </is>
      </c>
      <c r="C40" s="40" t="n">
        <v>173</v>
      </c>
      <c r="D40" s="41" t="n">
        <v>13524200</v>
      </c>
      <c r="E40" s="40" t="n">
        <v>89</v>
      </c>
      <c r="F40" s="41" t="n">
        <v>13101600</v>
      </c>
      <c r="G40" s="40" t="n">
        <v>262</v>
      </c>
      <c r="H40" s="41" t="n">
        <v>26625800</v>
      </c>
      <c r="I40" s="42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</row>
    <row r="41" ht="15.75" customHeight="1">
      <c r="A41" s="39" t="inlineStr">
        <is>
          <t>Trường Sa</t>
        </is>
      </c>
      <c r="B41" s="39" t="inlineStr">
        <is>
          <t>Ngô Trần Tuyết Vy</t>
        </is>
      </c>
      <c r="C41" s="40" t="n">
        <v>255</v>
      </c>
      <c r="D41" s="41" t="n">
        <v>15509600</v>
      </c>
      <c r="E41" s="40" t="n">
        <v>157</v>
      </c>
      <c r="F41" s="41" t="n">
        <v>26477700</v>
      </c>
      <c r="G41" s="40" t="n">
        <v>412</v>
      </c>
      <c r="H41" s="41" t="n">
        <v>41987300</v>
      </c>
      <c r="I41" s="42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</row>
    <row r="42" ht="15.75" customHeight="1">
      <c r="A42" s="39" t="inlineStr">
        <is>
          <t>Trường Sa</t>
        </is>
      </c>
      <c r="B42" s="39" t="inlineStr">
        <is>
          <t>Phạm Nguyễn Ngọc Quý</t>
        </is>
      </c>
      <c r="C42" s="40" t="n">
        <v>139</v>
      </c>
      <c r="D42" s="41" t="n">
        <v>11180100</v>
      </c>
      <c r="E42" s="40" t="n">
        <v>63</v>
      </c>
      <c r="F42" s="41" t="n">
        <v>8428150</v>
      </c>
      <c r="G42" s="40" t="n">
        <v>202</v>
      </c>
      <c r="H42" s="41" t="n">
        <v>19608250</v>
      </c>
      <c r="I42" s="42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</row>
    <row r="43" ht="15.75" customHeight="1">
      <c r="A43" s="39" t="inlineStr">
        <is>
          <t>Trường Sa</t>
        </is>
      </c>
      <c r="B43" s="39" t="inlineStr">
        <is>
          <t>Trần Thị Kim Khánh</t>
        </is>
      </c>
      <c r="C43" s="40" t="n">
        <v>168</v>
      </c>
      <c r="D43" s="41" t="n">
        <v>14610900</v>
      </c>
      <c r="E43" s="40" t="n">
        <v>124</v>
      </c>
      <c r="F43" s="41" t="n">
        <v>24086100</v>
      </c>
      <c r="G43" s="40" t="n">
        <v>292</v>
      </c>
      <c r="H43" s="41" t="n">
        <v>38697000</v>
      </c>
      <c r="I43" s="42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</row>
    <row r="44" ht="15.75" customHeight="1">
      <c r="A44" s="39" t="inlineStr">
        <is>
          <t>Trường Sa</t>
        </is>
      </c>
      <c r="B44" s="39" t="inlineStr">
        <is>
          <t>Trịnh Thị Phượng</t>
        </is>
      </c>
      <c r="C44" s="40" t="n">
        <v>19</v>
      </c>
      <c r="D44" s="41" t="n">
        <v>1535000</v>
      </c>
      <c r="E44" s="40" t="n">
        <v>4</v>
      </c>
      <c r="F44" s="41" t="n">
        <v>689000</v>
      </c>
      <c r="G44" s="40" t="n">
        <v>23</v>
      </c>
      <c r="H44" s="41" t="n">
        <v>2224000</v>
      </c>
      <c r="I44" s="42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</row>
    <row r="45" ht="15.75" customHeight="1">
      <c r="A45" s="39" t="inlineStr">
        <is>
          <t>Đường Láng</t>
        </is>
      </c>
      <c r="B45" s="39" t="inlineStr">
        <is>
          <t>Hứa Thị Kim Thoa</t>
        </is>
      </c>
      <c r="C45" s="40" t="n">
        <v>64</v>
      </c>
      <c r="D45" s="41" t="n">
        <v>6554300</v>
      </c>
      <c r="E45" s="40" t="n">
        <v>12</v>
      </c>
      <c r="F45" s="41" t="n">
        <v>1017500</v>
      </c>
      <c r="G45" s="40" t="n">
        <v>76</v>
      </c>
      <c r="H45" s="41" t="n">
        <v>7571800</v>
      </c>
      <c r="I45" s="42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</row>
    <row r="46" ht="15.75" customHeight="1">
      <c r="A46" s="39" t="inlineStr">
        <is>
          <t>Đường Láng</t>
        </is>
      </c>
      <c r="B46" s="39" t="inlineStr">
        <is>
          <t>Lê Thị Soạn</t>
        </is>
      </c>
      <c r="C46" s="40" t="n">
        <v>271</v>
      </c>
      <c r="D46" s="41" t="n">
        <v>33194701</v>
      </c>
      <c r="E46" s="40" t="n">
        <v>198</v>
      </c>
      <c r="F46" s="41" t="n">
        <v>27633600</v>
      </c>
      <c r="G46" s="40" t="n">
        <v>469</v>
      </c>
      <c r="H46" s="41" t="n">
        <v>60828301</v>
      </c>
      <c r="I46" s="42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</row>
    <row r="47" ht="15.75" customHeight="1">
      <c r="A47" s="39" t="inlineStr">
        <is>
          <t>Đường Láng</t>
        </is>
      </c>
      <c r="B47" s="39" t="inlineStr">
        <is>
          <t>Nguyễn Thị Mai Duyên</t>
        </is>
      </c>
      <c r="C47" s="40" t="n">
        <v>184</v>
      </c>
      <c r="D47" s="41" t="n">
        <v>22172140</v>
      </c>
      <c r="E47" s="40" t="n">
        <v>204</v>
      </c>
      <c r="F47" s="41" t="n">
        <v>48202967</v>
      </c>
      <c r="G47" s="40" t="n">
        <v>388</v>
      </c>
      <c r="H47" s="41" t="n">
        <v>70375107</v>
      </c>
      <c r="I47" s="42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</row>
    <row r="48" ht="15.75" customHeight="1">
      <c r="A48" s="39" t="inlineStr">
        <is>
          <t>Đường Láng</t>
        </is>
      </c>
      <c r="B48" s="39" t="inlineStr">
        <is>
          <t>Nguyễn Thị Tâm</t>
        </is>
      </c>
      <c r="C48" s="40" t="n">
        <v>216</v>
      </c>
      <c r="D48" s="41" t="n">
        <v>30217000</v>
      </c>
      <c r="E48" s="40" t="n">
        <v>148</v>
      </c>
      <c r="F48" s="41" t="n">
        <v>41141400</v>
      </c>
      <c r="G48" s="40" t="n">
        <v>364</v>
      </c>
      <c r="H48" s="41" t="n">
        <v>71358400</v>
      </c>
      <c r="I48" s="42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</row>
    <row r="49" ht="15.75" customHeight="1">
      <c r="A49" s="39" t="inlineStr">
        <is>
          <t>Đường Láng</t>
        </is>
      </c>
      <c r="B49" s="39" t="inlineStr">
        <is>
          <t>Trần Ngọc Dung</t>
        </is>
      </c>
      <c r="C49" s="40" t="n">
        <v>52</v>
      </c>
      <c r="D49" s="41" t="n">
        <v>5972280</v>
      </c>
      <c r="E49" s="40" t="n">
        <v>86</v>
      </c>
      <c r="F49" s="41" t="n">
        <v>18123200</v>
      </c>
      <c r="G49" s="40" t="n">
        <v>138</v>
      </c>
      <c r="H49" s="41" t="n">
        <v>24095480</v>
      </c>
      <c r="I49" s="42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</row>
    <row r="50" ht="15.75" customHeight="1">
      <c r="A50" s="39" t="inlineStr">
        <is>
          <t>Đỗ Quang Đẩu</t>
        </is>
      </c>
      <c r="B50" s="39" t="inlineStr">
        <is>
          <t>Hoàng Lâm Gia Bảo</t>
        </is>
      </c>
      <c r="C50" s="40" t="n">
        <v>1</v>
      </c>
      <c r="D50" s="41" t="n">
        <v>1264600</v>
      </c>
      <c r="E50" s="40" t="n"/>
      <c r="F50" s="41" t="n"/>
      <c r="G50" s="40" t="n">
        <v>1</v>
      </c>
      <c r="H50" s="41" t="n">
        <v>1264600</v>
      </c>
      <c r="I50" s="42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</row>
    <row r="51" ht="15.75" customHeight="1">
      <c r="A51" s="39" t="inlineStr">
        <is>
          <t>Đỗ Quang Đẩu</t>
        </is>
      </c>
      <c r="B51" s="39" t="inlineStr">
        <is>
          <t>Hoàng Thanh Thủy</t>
        </is>
      </c>
      <c r="C51" s="40" t="n">
        <v>180</v>
      </c>
      <c r="D51" s="41" t="n">
        <v>78575840</v>
      </c>
      <c r="E51" s="40" t="n">
        <v>65</v>
      </c>
      <c r="F51" s="41" t="n">
        <v>23037049</v>
      </c>
      <c r="G51" s="40" t="n">
        <v>245</v>
      </c>
      <c r="H51" s="41" t="n">
        <v>101612889</v>
      </c>
      <c r="I51" s="42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</row>
    <row r="52" ht="15.75" customHeight="1">
      <c r="A52" s="39" t="inlineStr">
        <is>
          <t>Đỗ Quang Đẩu</t>
        </is>
      </c>
      <c r="B52" s="39" t="inlineStr">
        <is>
          <t>Lê Thị Huyền Trân</t>
        </is>
      </c>
      <c r="C52" s="40" t="n">
        <v>205</v>
      </c>
      <c r="D52" s="41" t="n">
        <v>43178300</v>
      </c>
      <c r="E52" s="40" t="n">
        <v>54</v>
      </c>
      <c r="F52" s="41" t="n">
        <v>8204200</v>
      </c>
      <c r="G52" s="40" t="n">
        <v>259</v>
      </c>
      <c r="H52" s="41" t="n">
        <v>51382500</v>
      </c>
      <c r="I52" s="42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</row>
    <row r="53" ht="15.75" customHeight="1">
      <c r="A53" s="39" t="inlineStr">
        <is>
          <t>Đỗ Quang Đẩu</t>
        </is>
      </c>
      <c r="B53" s="39" t="inlineStr">
        <is>
          <t>Ngô Thị Thanh Thắm</t>
        </is>
      </c>
      <c r="C53" s="40" t="n">
        <v>223</v>
      </c>
      <c r="D53" s="41" t="n">
        <v>65558900</v>
      </c>
      <c r="E53" s="40" t="n">
        <v>53</v>
      </c>
      <c r="F53" s="41" t="n">
        <v>13740401</v>
      </c>
      <c r="G53" s="40" t="n">
        <v>276</v>
      </c>
      <c r="H53" s="41" t="n">
        <v>79299301</v>
      </c>
      <c r="I53" s="42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</row>
    <row r="54" ht="15.75" customHeight="1">
      <c r="A54" s="39" t="inlineStr">
        <is>
          <t>Đỗ Quang Đẩu</t>
        </is>
      </c>
      <c r="B54" s="39" t="inlineStr">
        <is>
          <t>Phạm Thị Nghĩa Hương</t>
        </is>
      </c>
      <c r="C54" s="40" t="n">
        <v>179</v>
      </c>
      <c r="D54" s="41" t="n">
        <v>36768700</v>
      </c>
      <c r="E54" s="40" t="n">
        <v>33</v>
      </c>
      <c r="F54" s="41" t="n">
        <v>3567200</v>
      </c>
      <c r="G54" s="40" t="n">
        <v>212</v>
      </c>
      <c r="H54" s="41" t="n">
        <v>40335900</v>
      </c>
      <c r="I54" s="42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</row>
    <row r="55" ht="15.75" customHeight="1">
      <c r="A55" s="39" t="inlineStr">
        <is>
          <t>Đỗ Quang Đẩu</t>
        </is>
      </c>
      <c r="B55" s="39" t="inlineStr">
        <is>
          <t>Trần Thiên Phát</t>
        </is>
      </c>
      <c r="C55" s="40" t="n">
        <v>201</v>
      </c>
      <c r="D55" s="41" t="n">
        <v>52110000</v>
      </c>
      <c r="E55" s="40" t="n">
        <v>51</v>
      </c>
      <c r="F55" s="41" t="n">
        <v>5957800</v>
      </c>
      <c r="G55" s="40" t="n">
        <v>252</v>
      </c>
      <c r="H55" s="41" t="n">
        <v>58067800</v>
      </c>
      <c r="I55" s="42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7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5" customWidth="1" min="2" max="2"/>
    <col width="13.11" customWidth="1" min="3" max="3"/>
    <col width="14.44" customWidth="1" min="4" max="4"/>
    <col width="14.44" customWidth="1" min="5" max="5"/>
    <col width="18.66" customWidth="1" min="6" max="6"/>
    <col width="15" customWidth="1" min="7" max="7"/>
    <col width="19.78" customWidth="1" min="8" max="8"/>
    <col width="14.44" customWidth="1" min="9" max="9"/>
    <col width="11.78" customWidth="1" min="10" max="10"/>
    <col width="11.22" customWidth="1" min="11" max="11"/>
    <col width="10.78" customWidth="1" min="12" max="12"/>
    <col width="11.22" customWidth="1" min="13" max="13"/>
    <col width="15.11" customWidth="1" min="14" max="14"/>
    <col width="10.78" customWidth="1" min="15" max="15"/>
    <col width="13" customWidth="1" min="16" max="16"/>
    <col width="13" customWidth="1" min="17" max="17"/>
    <col width="10.78" customWidth="1" min="18" max="18"/>
    <col width="13" customWidth="1" min="19" max="19"/>
    <col width="13" customWidth="1" min="20" max="20"/>
    <col width="15.66" customWidth="1" min="21" max="21"/>
    <col width="15.6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.66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43" t="inlineStr">
        <is>
          <t>Dữ liệu cập nhật đến ngày</t>
        </is>
      </c>
      <c r="C1" s="44">
        <f>data!J1</f>
        <v/>
      </c>
      <c r="O1" s="45" t="inlineStr">
        <is>
          <t xml:space="preserve">Mức hoành thành KPI </t>
        </is>
      </c>
      <c r="P1" s="46" t="n"/>
      <c r="Q1" s="46" t="n"/>
      <c r="R1" s="45" t="inlineStr">
        <is>
          <t xml:space="preserve">Mức hoành thành KPI </t>
        </is>
      </c>
      <c r="S1" s="46" t="n"/>
      <c r="T1" s="46" t="n"/>
    </row>
    <row r="2" ht="30.75" customHeight="1">
      <c r="A2" s="47" t="inlineStr">
        <is>
          <t>Nhà thuốc</t>
        </is>
      </c>
      <c r="B2" s="47" t="inlineStr">
        <is>
          <t>Nhân viên</t>
        </is>
      </c>
      <c r="C2" s="47" t="inlineStr">
        <is>
          <t>Chức danh</t>
        </is>
      </c>
      <c r="D2" s="48" t="inlineStr">
        <is>
          <t>KPI trung bình bill</t>
        </is>
      </c>
      <c r="E2" s="48" t="inlineStr">
        <is>
          <t>Trung bình bill</t>
        </is>
      </c>
      <c r="F2" s="48" t="inlineStr">
        <is>
          <t>KPI doanh thu CK+Combo+NY3/ngày</t>
        </is>
      </c>
      <c r="G2" s="48" t="inlineStr">
        <is>
          <t>CK + Combo + NY3/ngày</t>
        </is>
      </c>
      <c r="H2" s="48" t="inlineStr">
        <is>
          <t>KPI Doanh thu/ngày (100%)</t>
        </is>
      </c>
      <c r="I2" s="48" t="inlineStr">
        <is>
          <t>Doanh thu thực/ngày</t>
        </is>
      </c>
      <c r="J2" s="49" t="inlineStr">
        <is>
          <t>% Hoàn thành KPI</t>
        </is>
      </c>
      <c r="K2" s="49" t="inlineStr">
        <is>
          <t>Thưởng KPI</t>
        </is>
      </c>
      <c r="L2" s="49" t="inlineStr">
        <is>
          <t>Hệ số * Dự án</t>
        </is>
      </c>
      <c r="M2" s="49" t="inlineStr">
        <is>
          <t>Thưởng Dự án</t>
        </is>
      </c>
      <c r="N2" s="49" t="inlineStr">
        <is>
          <t>Thưởng Dự án + KPI + HH</t>
        </is>
      </c>
      <c r="O2" s="50" t="n">
        <v>0.8</v>
      </c>
      <c r="P2" s="50" t="n">
        <v>0.9</v>
      </c>
      <c r="Q2" s="50" t="n">
        <v>1</v>
      </c>
      <c r="R2" s="50" t="n">
        <v>0.8</v>
      </c>
      <c r="S2" s="50" t="n">
        <v>0.9</v>
      </c>
      <c r="T2" s="50" t="n">
        <v>1</v>
      </c>
      <c r="U2" s="51" t="inlineStr">
        <is>
          <t>KPIs Doanh thu/ngày</t>
        </is>
      </c>
      <c r="V2" s="51" t="inlineStr">
        <is>
          <t>KPIs Doanh thu/tháng</t>
        </is>
      </c>
      <c r="W2" s="47" t="inlineStr">
        <is>
          <t>Số giao dịch off</t>
        </is>
      </c>
      <c r="X2" s="47" t="inlineStr">
        <is>
          <t>Doanh thu off</t>
        </is>
      </c>
      <c r="Y2" s="47" t="inlineStr">
        <is>
          <t>Trung bình bill off</t>
        </is>
      </c>
      <c r="Z2" s="49" t="inlineStr">
        <is>
          <t>Số giao dịch onl</t>
        </is>
      </c>
      <c r="AA2" s="49" t="inlineStr">
        <is>
          <t>Doanh thu onl</t>
        </is>
      </c>
      <c r="AB2" s="49" t="inlineStr">
        <is>
          <t>Trung bình bill onl</t>
        </is>
      </c>
      <c r="AC2" s="48" t="inlineStr">
        <is>
          <t>Tổng giao dịch</t>
        </is>
      </c>
      <c r="AD2" s="48" t="inlineStr">
        <is>
          <t>Doanh thu tổng</t>
        </is>
      </c>
      <c r="AE2" s="48" t="inlineStr">
        <is>
          <t>Trung bình Bill</t>
        </is>
      </c>
      <c r="AF2" s="48" t="n"/>
      <c r="AG2" s="48" t="n"/>
      <c r="AH2" s="48" t="n"/>
      <c r="AI2" s="48" t="n"/>
      <c r="AJ2" s="48" t="n"/>
      <c r="AK2" s="48" t="n"/>
      <c r="AL2" s="48" t="n"/>
    </row>
    <row r="3" ht="13.8" customHeight="1">
      <c r="A3" s="39" t="inlineStr">
        <is>
          <t>Trường Sa</t>
        </is>
      </c>
      <c r="B3" s="39" t="inlineStr">
        <is>
          <t>Nguyễn Trần Ngọc Phương</t>
        </is>
      </c>
      <c r="C3" s="42" t="inlineStr">
        <is>
          <t>Q.CHT</t>
        </is>
      </c>
      <c r="D3" s="41" t="n">
        <v>150000</v>
      </c>
      <c r="E3" s="41">
        <f>AE3</f>
        <v/>
      </c>
      <c r="F3" s="41" t="n">
        <v>21000</v>
      </c>
      <c r="G3" s="41">
        <f>IFERROR(SUMIF('Dự án T8'!$B:$B, $B3, 'Dự án T8'!$D:$D), 0)</f>
        <v/>
      </c>
      <c r="H3" s="41">
        <f>Q3</f>
        <v/>
      </c>
      <c r="I3" s="41">
        <f>(AD3/DAY($C$1))</f>
        <v/>
      </c>
      <c r="J3" s="52">
        <f>I3/H3</f>
        <v/>
      </c>
      <c r="K3" s="41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42">
        <f>IF(C3="DSTV","", IF(J3&lt;0.6, 0.8, 1))</f>
        <v/>
      </c>
      <c r="M3" s="41">
        <f>IFERROR(SUMIF('Dự án T8'!$B:$B, $B3, 'Dự án T8'!$M:$M)*$L3, 0)</f>
        <v/>
      </c>
      <c r="N3" s="53">
        <f>N(K3)+M3</f>
        <v/>
      </c>
      <c r="O3" s="54">
        <f>CEILING(R3, 100000)</f>
        <v/>
      </c>
      <c r="P3" s="54">
        <f>CEILING(S3, 100000)</f>
        <v/>
      </c>
      <c r="Q3" s="54">
        <f>CEILING(T3, 100000)</f>
        <v/>
      </c>
      <c r="R3" s="54">
        <f>U3*$R$2</f>
        <v/>
      </c>
      <c r="S3" s="54">
        <f>U3*$S$2</f>
        <v/>
      </c>
      <c r="T3" s="54">
        <f>U3*$T$2</f>
        <v/>
      </c>
      <c r="U3" s="41">
        <f>V3/DAY($C$1)</f>
        <v/>
      </c>
      <c r="V3" s="41" t="n">
        <v>110000000</v>
      </c>
      <c r="W3" s="40">
        <f>IFERROR(SUMIFS(data!$C:$C, data!$A:$A, $A3, data!$B:$B, $B3), 0)</f>
        <v/>
      </c>
      <c r="X3" s="41">
        <f>IFERROR(SUMIF(data!$B:$B, $B3, data!$D:$D), 0)</f>
        <v/>
      </c>
      <c r="Y3" s="41">
        <f>IF(W3&gt;0, X3/W3, 0)</f>
        <v/>
      </c>
      <c r="Z3" s="40">
        <f>IFERROR(SUMIFS(data!$E:$E, data!$A:$A, $A3, data!$B:$B, $B3), 0)</f>
        <v/>
      </c>
      <c r="AA3" s="41">
        <f>IFERROR(SUMIF(data!$B:$B, $B3, data!$F:$F), 0)</f>
        <v/>
      </c>
      <c r="AB3" s="41">
        <f>IF(Z3&gt;0, AA3/Z3, 0)</f>
        <v/>
      </c>
      <c r="AC3" s="40">
        <f>W3+Z3</f>
        <v/>
      </c>
      <c r="AD3" s="41">
        <f>X3+AA3</f>
        <v/>
      </c>
      <c r="AE3" s="41">
        <f>IF(AC3&gt;0, AD3/AC3, 0)</f>
        <v/>
      </c>
      <c r="AF3" s="55" t="n"/>
      <c r="AG3" s="55" t="n"/>
      <c r="AH3" s="55" t="n"/>
      <c r="AI3" s="55" t="n"/>
      <c r="AJ3" s="55" t="n"/>
      <c r="AK3" s="55" t="n"/>
      <c r="AL3" s="55" t="n"/>
    </row>
    <row r="4" ht="13.8" customHeight="1">
      <c r="A4" s="39" t="inlineStr">
        <is>
          <t>Trường Sa</t>
        </is>
      </c>
      <c r="B4" s="39" t="inlineStr">
        <is>
          <t>Phạm Nguyễn Ngọc Quý</t>
        </is>
      </c>
      <c r="C4" s="42" t="inlineStr">
        <is>
          <t>DSXC</t>
        </is>
      </c>
      <c r="D4" s="41" t="n">
        <v>175000</v>
      </c>
      <c r="E4" s="41">
        <f>AE4</f>
        <v/>
      </c>
      <c r="F4" s="41" t="n">
        <v>19000</v>
      </c>
      <c r="G4" s="41">
        <f>IFERROR(SUMIF('Dự án T8'!$B:$B, $B4, 'Dự án T8'!$D:$D), 0)</f>
        <v/>
      </c>
      <c r="H4" s="41">
        <f>Q4</f>
        <v/>
      </c>
      <c r="I4" s="41">
        <f>(AD4/DAY($C$1))</f>
        <v/>
      </c>
      <c r="J4" s="52">
        <f>I4/H4</f>
        <v/>
      </c>
      <c r="K4" s="41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42">
        <f>IF(C4="DSTV","", IF(J4&lt;0.6, 0.8, 1))</f>
        <v/>
      </c>
      <c r="M4" s="41">
        <f>IFERROR(SUMIF('Dự án T8'!$B:$B, $B4, 'Dự án T8'!$M:$M)*$L4, 0)</f>
        <v/>
      </c>
      <c r="N4" s="53">
        <f>N(K4)+M4</f>
        <v/>
      </c>
      <c r="O4" s="54">
        <f>CEILING(R4, 100000)</f>
        <v/>
      </c>
      <c r="P4" s="54">
        <f>CEILING(S4, 100000)</f>
        <v/>
      </c>
      <c r="Q4" s="54">
        <f>CEILING(T4, 100000)</f>
        <v/>
      </c>
      <c r="R4" s="54">
        <f>U4*$R$2</f>
        <v/>
      </c>
      <c r="S4" s="54">
        <f>U4*$S$2</f>
        <v/>
      </c>
      <c r="T4" s="54">
        <f>U4*$T$2</f>
        <v/>
      </c>
      <c r="U4" s="41">
        <f>V4/DAY($C$1)</f>
        <v/>
      </c>
      <c r="V4" s="41" t="n">
        <v>115000000</v>
      </c>
      <c r="W4" s="40">
        <f>IFERROR(SUMIFS(data!$C:$C, data!$A:$A, $A4, data!$B:$B, $B4), 0)</f>
        <v/>
      </c>
      <c r="X4" s="41">
        <f>IFERROR(SUMIF(data!$B:$B, $B4, data!$D:$D), 0)</f>
        <v/>
      </c>
      <c r="Y4" s="41">
        <f>IF(W4&gt;0, X4/W4, 0)</f>
        <v/>
      </c>
      <c r="Z4" s="40">
        <f>IFERROR(SUMIFS(data!$E:$E, data!$A:$A, $A4, data!$B:$B, $B4), 0)</f>
        <v/>
      </c>
      <c r="AA4" s="41">
        <f>IFERROR(SUMIF(data!$B:$B, $B4, data!$F:$F), 0)</f>
        <v/>
      </c>
      <c r="AB4" s="41">
        <f>IF(Z4&gt;0, AA4/Z4, 0)</f>
        <v/>
      </c>
      <c r="AC4" s="40">
        <f>W4+Z4</f>
        <v/>
      </c>
      <c r="AD4" s="41">
        <f>X4+AA4</f>
        <v/>
      </c>
      <c r="AE4" s="41">
        <f>IF(AC4&gt;0, AD4/AC4, 0)</f>
        <v/>
      </c>
      <c r="AF4" s="55" t="n"/>
      <c r="AG4" s="55" t="n"/>
      <c r="AH4" s="55" t="n"/>
      <c r="AI4" s="55" t="n"/>
      <c r="AJ4" s="55" t="n"/>
      <c r="AK4" s="55" t="n"/>
      <c r="AL4" s="55" t="n"/>
    </row>
    <row r="5" ht="13.8" customHeight="1">
      <c r="A5" s="39" t="inlineStr">
        <is>
          <t>Trường Sa</t>
        </is>
      </c>
      <c r="B5" s="39" t="inlineStr">
        <is>
          <t>Nguyễn Ngọc Anh Thư</t>
        </is>
      </c>
      <c r="C5" s="42" t="inlineStr">
        <is>
          <t>DSCD (TV)</t>
        </is>
      </c>
      <c r="D5" s="41" t="n">
        <v>150000</v>
      </c>
      <c r="E5" s="41">
        <f>AE5</f>
        <v/>
      </c>
      <c r="F5" s="41" t="n">
        <v>0</v>
      </c>
      <c r="G5" s="41">
        <f>IFERROR(SUMIF('Dự án T8'!$B:$B, $B5, 'Dự án T8'!$D:$D), 0)</f>
        <v/>
      </c>
      <c r="H5" s="41">
        <f>Q5</f>
        <v/>
      </c>
      <c r="I5" s="41">
        <f>(AD5/DAY($C$1))</f>
        <v/>
      </c>
      <c r="J5" s="52">
        <f>I5/H5</f>
        <v/>
      </c>
      <c r="K5" s="41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42">
        <f>IF(C5="DSTV","", IF(J5&lt;0.6, 0.8, 1))</f>
        <v/>
      </c>
      <c r="M5" s="41">
        <f>IFERROR(SUMIF('Dự án T8'!$B:$B, $B5, 'Dự án T8'!$M:$M)*$L5, 0)</f>
        <v/>
      </c>
      <c r="N5" s="53">
        <f>N(K5)+M5</f>
        <v/>
      </c>
      <c r="O5" s="54">
        <f>CEILING(R5, 100000)</f>
        <v/>
      </c>
      <c r="P5" s="54">
        <f>CEILING(S5, 100000)</f>
        <v/>
      </c>
      <c r="Q5" s="54">
        <f>CEILING(T5, 100000)</f>
        <v/>
      </c>
      <c r="R5" s="54">
        <f>U5*$R$2</f>
        <v/>
      </c>
      <c r="S5" s="54">
        <f>U5*$S$2</f>
        <v/>
      </c>
      <c r="T5" s="54">
        <f>U5*$T$2</f>
        <v/>
      </c>
      <c r="U5" s="41">
        <f>V5/DAY($C$1)</f>
        <v/>
      </c>
      <c r="V5" s="41" t="n">
        <v>95000000</v>
      </c>
      <c r="W5" s="40">
        <f>IFERROR(SUMIFS(data!$C:$C, data!$A:$A, $A5, data!$B:$B, $B5), 0)</f>
        <v/>
      </c>
      <c r="X5" s="41">
        <f>IFERROR(SUMIF(data!$B:$B, $B5, data!$D:$D), 0)</f>
        <v/>
      </c>
      <c r="Y5" s="41">
        <f>IF(W5&gt;0, X5/W5, 0)</f>
        <v/>
      </c>
      <c r="Z5" s="40">
        <f>IFERROR(SUMIFS(data!$E:$E, data!$A:$A, $A5, data!$B:$B, $B5), 0)</f>
        <v/>
      </c>
      <c r="AA5" s="41">
        <f>IFERROR(SUMIF(data!$B:$B, $B5, data!$F:$F), 0)</f>
        <v/>
      </c>
      <c r="AB5" s="41">
        <f>IF(Z5&gt;0, AA5/Z5, 0)</f>
        <v/>
      </c>
      <c r="AC5" s="40">
        <f>W5+Z5</f>
        <v/>
      </c>
      <c r="AD5" s="41">
        <f>X5+AA5</f>
        <v/>
      </c>
      <c r="AE5" s="41">
        <f>IF(AC5&gt;0, AD5/AC5, 0)</f>
        <v/>
      </c>
      <c r="AF5" s="55" t="n"/>
      <c r="AG5" s="55" t="n"/>
      <c r="AH5" s="55" t="n"/>
      <c r="AI5" s="55" t="n"/>
      <c r="AJ5" s="55" t="n"/>
      <c r="AK5" s="55" t="n"/>
      <c r="AL5" s="55" t="n"/>
    </row>
    <row r="6" ht="13.8" customHeight="1">
      <c r="A6" s="39" t="inlineStr">
        <is>
          <t>Trường Sa</t>
        </is>
      </c>
      <c r="B6" s="39" t="inlineStr">
        <is>
          <t>Trần Thị Kim Khánh</t>
        </is>
      </c>
      <c r="C6" s="42" t="inlineStr">
        <is>
          <t>DSXC</t>
        </is>
      </c>
      <c r="D6" s="41" t="n">
        <v>112000</v>
      </c>
      <c r="E6" s="41">
        <f>AE6</f>
        <v/>
      </c>
      <c r="F6" s="41" t="n">
        <v>34000</v>
      </c>
      <c r="G6" s="41">
        <f>IFERROR(SUMIF('Dự án T8'!$B:$B, $B6, 'Dự án T8'!$D:$D), 0)</f>
        <v/>
      </c>
      <c r="H6" s="41">
        <f>Q6</f>
        <v/>
      </c>
      <c r="I6" s="41">
        <f>(AD6/DAY($C$1))</f>
        <v/>
      </c>
      <c r="J6" s="52">
        <f>I6/H6</f>
        <v/>
      </c>
      <c r="K6" s="41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42">
        <f>IF(C6="DSTV","", IF(J6&lt;0.6, 0.8, 1))</f>
        <v/>
      </c>
      <c r="M6" s="41">
        <f>IFERROR(SUMIF('Dự án T8'!$B:$B, $B6, 'Dự án T8'!$M:$M)*$L6, 0)</f>
        <v/>
      </c>
      <c r="N6" s="53">
        <f>N(K6)+M6</f>
        <v/>
      </c>
      <c r="O6" s="54">
        <f>CEILING(R6, 100000)</f>
        <v/>
      </c>
      <c r="P6" s="54">
        <f>CEILING(S6, 100000)</f>
        <v/>
      </c>
      <c r="Q6" s="54">
        <f>CEILING(T6, 100000)</f>
        <v/>
      </c>
      <c r="R6" s="54">
        <f>U6*$R$2</f>
        <v/>
      </c>
      <c r="S6" s="54">
        <f>U6*$S$2</f>
        <v/>
      </c>
      <c r="T6" s="54">
        <f>U6*$T$2</f>
        <v/>
      </c>
      <c r="U6" s="41">
        <f>V6/DAY($C$1)</f>
        <v/>
      </c>
      <c r="V6" s="41" t="n">
        <v>115000000</v>
      </c>
      <c r="W6" s="40">
        <f>IFERROR(SUMIFS(data!$C:$C, data!$A:$A, $A6, data!$B:$B, $B6), 0)</f>
        <v/>
      </c>
      <c r="X6" s="41">
        <f>IFERROR(SUMIF(data!$B:$B, $B6, data!$D:$D), 0)</f>
        <v/>
      </c>
      <c r="Y6" s="41">
        <f>IF(W6&gt;0, X6/W6, 0)</f>
        <v/>
      </c>
      <c r="Z6" s="40">
        <f>IFERROR(SUMIFS(data!$E:$E, data!$A:$A, $A6, data!$B:$B, $B6), 0)</f>
        <v/>
      </c>
      <c r="AA6" s="41">
        <f>IFERROR(SUMIF(data!$B:$B, $B6, data!$F:$F), 0)</f>
        <v/>
      </c>
      <c r="AB6" s="41">
        <f>IF(Z6&gt;0, AA6/Z6, 0)</f>
        <v/>
      </c>
      <c r="AC6" s="40">
        <f>W6+Z6</f>
        <v/>
      </c>
      <c r="AD6" s="41">
        <f>X6+AA6</f>
        <v/>
      </c>
      <c r="AE6" s="41">
        <f>IF(AC6&gt;0, AD6/AC6, 0)</f>
        <v/>
      </c>
      <c r="AF6" s="55" t="n"/>
      <c r="AG6" s="55" t="n"/>
      <c r="AH6" s="55" t="n"/>
      <c r="AI6" s="55" t="n"/>
      <c r="AJ6" s="55" t="n"/>
      <c r="AK6" s="55" t="n"/>
      <c r="AL6" s="55" t="n"/>
    </row>
    <row r="7" ht="13.8" customHeight="1">
      <c r="A7" s="39" t="inlineStr">
        <is>
          <t>Trường Sa</t>
        </is>
      </c>
      <c r="B7" s="39" t="inlineStr">
        <is>
          <t>Ngô Trần Tuyết Vy</t>
        </is>
      </c>
      <c r="C7" s="42" t="inlineStr">
        <is>
          <t>DSXC</t>
        </is>
      </c>
      <c r="D7" s="41" t="n">
        <v>130000</v>
      </c>
      <c r="E7" s="41">
        <f>AE7</f>
        <v/>
      </c>
      <c r="F7" s="41" t="n">
        <v>33000</v>
      </c>
      <c r="G7" s="41">
        <f>IFERROR(SUMIF('Dự án T8'!$B:$B, $B7, 'Dự án T8'!$D:$D), 0)</f>
        <v/>
      </c>
      <c r="H7" s="41">
        <f>Q7</f>
        <v/>
      </c>
      <c r="I7" s="41">
        <f>(AD7/DAY($C$1))</f>
        <v/>
      </c>
      <c r="J7" s="52">
        <f>I7/H7</f>
        <v/>
      </c>
      <c r="K7" s="41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42">
        <f>IF(C7="DSTV","", IF(J7&lt;0.6, 0.8, 1))</f>
        <v/>
      </c>
      <c r="M7" s="41">
        <f>IFERROR(SUMIF('Dự án T8'!$B:$B, $B7, 'Dự án T8'!$M:$M)*$L7, 0)</f>
        <v/>
      </c>
      <c r="N7" s="53">
        <f>N(K7)+M7</f>
        <v/>
      </c>
      <c r="O7" s="54">
        <f>CEILING(R7, 100000)</f>
        <v/>
      </c>
      <c r="P7" s="54">
        <f>CEILING(S7, 100000)</f>
        <v/>
      </c>
      <c r="Q7" s="54">
        <f>CEILING(T7, 100000)</f>
        <v/>
      </c>
      <c r="R7" s="54">
        <f>U7*$R$2</f>
        <v/>
      </c>
      <c r="S7" s="54">
        <f>U7*$S$2</f>
        <v/>
      </c>
      <c r="T7" s="54">
        <f>U7*$T$2</f>
        <v/>
      </c>
      <c r="U7" s="41">
        <f>V7/DAY($C$1)</f>
        <v/>
      </c>
      <c r="V7" s="41" t="n">
        <v>100000000</v>
      </c>
      <c r="W7" s="40">
        <f>IFERROR(SUMIFS(data!$C:$C, data!$A:$A, $A7, data!$B:$B, $B7), 0)</f>
        <v/>
      </c>
      <c r="X7" s="41">
        <f>IFERROR(SUMIF(data!$B:$B, $B7, data!$D:$D), 0)</f>
        <v/>
      </c>
      <c r="Y7" s="41">
        <f>IF(W7&gt;0, X7/W7, 0)</f>
        <v/>
      </c>
      <c r="Z7" s="40">
        <f>IFERROR(SUMIFS(data!$E:$E, data!$A:$A, $A7, data!$B:$B, $B7), 0)</f>
        <v/>
      </c>
      <c r="AA7" s="41">
        <f>IFERROR(SUMIF(data!$B:$B, $B7, data!$F:$F), 0)</f>
        <v/>
      </c>
      <c r="AB7" s="41">
        <f>IF(Z7&gt;0, AA7/Z7, 0)</f>
        <v/>
      </c>
      <c r="AC7" s="40">
        <f>W7+Z7</f>
        <v/>
      </c>
      <c r="AD7" s="41">
        <f>X7+AA7</f>
        <v/>
      </c>
      <c r="AE7" s="41">
        <f>IF(AC7&gt;0, AD7/AC7, 0)</f>
        <v/>
      </c>
      <c r="AF7" s="55" t="n"/>
      <c r="AG7" s="55" t="n"/>
      <c r="AH7" s="55" t="n"/>
      <c r="AI7" s="55" t="n"/>
      <c r="AJ7" s="55" t="n"/>
      <c r="AK7" s="55" t="n"/>
      <c r="AL7" s="55" t="n"/>
    </row>
    <row r="8" ht="13.8" customHeight="1">
      <c r="A8" s="39" t="inlineStr">
        <is>
          <t>Đỗ Quang Đẩu</t>
        </is>
      </c>
      <c r="B8" s="39" t="inlineStr">
        <is>
          <t>Phạm Thị Nghĩa Hương</t>
        </is>
      </c>
      <c r="C8" s="42" t="inlineStr">
        <is>
          <t>DSCD</t>
        </is>
      </c>
      <c r="D8" s="41" t="n">
        <v>232000</v>
      </c>
      <c r="E8" s="41">
        <f>AE8</f>
        <v/>
      </c>
      <c r="F8" s="41" t="n">
        <v>28000</v>
      </c>
      <c r="G8" s="41">
        <f>IFERROR(SUMIF('Dự án T8'!$B:$B, $B8, 'Dự án T8'!$D:$D), 0)</f>
        <v/>
      </c>
      <c r="H8" s="41">
        <f>Q8</f>
        <v/>
      </c>
      <c r="I8" s="41">
        <f>(AD8/DAY($C$1))</f>
        <v/>
      </c>
      <c r="J8" s="52">
        <f>I8/H8</f>
        <v/>
      </c>
      <c r="K8" s="41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42">
        <f>IF(C8="DSTV","", IF(J8&lt;0.6, 0.8, 1))</f>
        <v/>
      </c>
      <c r="M8" s="41">
        <f>IFERROR(SUMIF('Dự án T8'!$B:$B, $B8, 'Dự án T8'!$M:$M)*$L8, 0)</f>
        <v/>
      </c>
      <c r="N8" s="53">
        <f>N(K8)+M8</f>
        <v/>
      </c>
      <c r="O8" s="54">
        <f>CEILING(R8, 100000)</f>
        <v/>
      </c>
      <c r="P8" s="54">
        <f>CEILING(S8, 100000)</f>
        <v/>
      </c>
      <c r="Q8" s="54">
        <f>CEILING(T8, 100000)</f>
        <v/>
      </c>
      <c r="R8" s="54">
        <f>U8*$R$2</f>
        <v/>
      </c>
      <c r="S8" s="54">
        <f>U8*$S$2</f>
        <v/>
      </c>
      <c r="T8" s="54">
        <f>U8*$T$2</f>
        <v/>
      </c>
      <c r="U8" s="41">
        <f>V8/DAY($C$1)</f>
        <v/>
      </c>
      <c r="V8" s="41" t="n">
        <v>200000000</v>
      </c>
      <c r="W8" s="40">
        <f>IFERROR(SUMIFS(data!$C:$C, data!$A:$A, $A8, data!$B:$B, $B8), 0)</f>
        <v/>
      </c>
      <c r="X8" s="41">
        <f>IFERROR(SUMIF(data!$B:$B, $B8, data!$D:$D), 0)</f>
        <v/>
      </c>
      <c r="Y8" s="41">
        <f>IF(W8&gt;0, X8/W8, 0)</f>
        <v/>
      </c>
      <c r="Z8" s="40">
        <f>IFERROR(SUMIFS(data!$E:$E, data!$A:$A, $A8, data!$B:$B, $B8), 0)</f>
        <v/>
      </c>
      <c r="AA8" s="41">
        <f>IFERROR(SUMIF(data!$B:$B, $B8, data!$F:$F), 0)</f>
        <v/>
      </c>
      <c r="AB8" s="41">
        <f>IF(Z8&gt;0, AA8/Z8, 0)</f>
        <v/>
      </c>
      <c r="AC8" s="40">
        <f>W8+Z8</f>
        <v/>
      </c>
      <c r="AD8" s="41">
        <f>X8+AA8</f>
        <v/>
      </c>
      <c r="AE8" s="41">
        <f>IF(AC8&gt;0, AD8/AC8, 0)</f>
        <v/>
      </c>
      <c r="AF8" s="55" t="n"/>
      <c r="AG8" s="55" t="n"/>
      <c r="AH8" s="55" t="n"/>
      <c r="AI8" s="55" t="n"/>
      <c r="AJ8" s="55" t="n"/>
      <c r="AK8" s="55" t="n"/>
      <c r="AL8" s="55" t="n"/>
    </row>
    <row r="9" ht="13.8" customHeight="1">
      <c r="A9" s="39" t="inlineStr">
        <is>
          <t>Đỗ Quang Đẩu</t>
        </is>
      </c>
      <c r="B9" s="39" t="inlineStr">
        <is>
          <t>Trần Thiên Phát</t>
        </is>
      </c>
      <c r="C9" s="42" t="inlineStr">
        <is>
          <t>DSCD</t>
        </is>
      </c>
      <c r="D9" s="41" t="n">
        <v>132000</v>
      </c>
      <c r="E9" s="41">
        <f>AE9</f>
        <v/>
      </c>
      <c r="F9" s="41" t="n">
        <v>51000</v>
      </c>
      <c r="G9" s="41">
        <f>IFERROR(SUMIF('Dự án T8'!$B:$B, $B9, 'Dự án T8'!$D:$D), 0)</f>
        <v/>
      </c>
      <c r="H9" s="41">
        <f>Q9</f>
        <v/>
      </c>
      <c r="I9" s="41">
        <f>(AD9/DAY($C$1))</f>
        <v/>
      </c>
      <c r="J9" s="52">
        <f>I9/H9</f>
        <v/>
      </c>
      <c r="K9" s="41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42">
        <f>IF(C9="DSTV","", IF(J9&lt;0.6, 0.8, 1))</f>
        <v/>
      </c>
      <c r="M9" s="41">
        <f>IFERROR(SUMIF('Dự án T8'!$B:$B, $B9, 'Dự án T8'!$M:$M)*$L9, 0)</f>
        <v/>
      </c>
      <c r="N9" s="53">
        <f>N(K9)+M9</f>
        <v/>
      </c>
      <c r="O9" s="54">
        <f>CEILING(R9, 100000)</f>
        <v/>
      </c>
      <c r="P9" s="54">
        <f>CEILING(S9, 100000)</f>
        <v/>
      </c>
      <c r="Q9" s="54">
        <f>CEILING(T9, 100000)</f>
        <v/>
      </c>
      <c r="R9" s="54">
        <f>U9*$R$2</f>
        <v/>
      </c>
      <c r="S9" s="54">
        <f>U9*$S$2</f>
        <v/>
      </c>
      <c r="T9" s="54">
        <f>U9*$T$2</f>
        <v/>
      </c>
      <c r="U9" s="41">
        <f>V9/DAY($C$1)</f>
        <v/>
      </c>
      <c r="V9" s="41" t="n">
        <v>200000000</v>
      </c>
      <c r="W9" s="40">
        <f>IFERROR(SUMIFS(data!$C:$C, data!$A:$A, $A9, data!$B:$B, $B9), 0)</f>
        <v/>
      </c>
      <c r="X9" s="41">
        <f>IFERROR(SUMIF(data!$B:$B, $B9, data!$D:$D), 0)</f>
        <v/>
      </c>
      <c r="Y9" s="41">
        <f>IF(W9&gt;0, X9/W9, 0)</f>
        <v/>
      </c>
      <c r="Z9" s="40">
        <f>IFERROR(SUMIFS(data!$E:$E, data!$A:$A, $A9, data!$B:$B, $B9), 0)</f>
        <v/>
      </c>
      <c r="AA9" s="41">
        <f>IFERROR(SUMIF(data!$B:$B, $B9, data!$F:$F), 0)</f>
        <v/>
      </c>
      <c r="AB9" s="41">
        <f>IF(Z9&gt;0, AA9/Z9, 0)</f>
        <v/>
      </c>
      <c r="AC9" s="40">
        <f>W9+Z9</f>
        <v/>
      </c>
      <c r="AD9" s="41">
        <f>X9+AA9</f>
        <v/>
      </c>
      <c r="AE9" s="41">
        <f>IF(AC9&gt;0, AD9/AC9, 0)</f>
        <v/>
      </c>
      <c r="AF9" s="55" t="n"/>
      <c r="AG9" s="55" t="n"/>
      <c r="AH9" s="55" t="n"/>
      <c r="AI9" s="55" t="n"/>
      <c r="AJ9" s="55" t="n"/>
      <c r="AK9" s="55" t="n"/>
      <c r="AL9" s="55" t="n"/>
    </row>
    <row r="10" ht="13.8" customHeight="1">
      <c r="A10" s="39" t="inlineStr">
        <is>
          <t>Đỗ Quang Đẩu</t>
        </is>
      </c>
      <c r="B10" s="39" t="inlineStr">
        <is>
          <t>Ngô Thị Thanh Thắm</t>
        </is>
      </c>
      <c r="C10" s="42" t="inlineStr">
        <is>
          <t>CHT</t>
        </is>
      </c>
      <c r="D10" s="41" t="n">
        <v>159000</v>
      </c>
      <c r="E10" s="41">
        <f>AE10</f>
        <v/>
      </c>
      <c r="F10" s="41" t="n">
        <v>31000</v>
      </c>
      <c r="G10" s="41">
        <f>IFERROR(SUMIF('Dự án T8'!$B:$B, $B10, 'Dự án T8'!$D:$D), 0)</f>
        <v/>
      </c>
      <c r="H10" s="41">
        <f>Q10</f>
        <v/>
      </c>
      <c r="I10" s="41">
        <f>(AD10/DAY($C$1))</f>
        <v/>
      </c>
      <c r="J10" s="52">
        <f>I10/H10</f>
        <v/>
      </c>
      <c r="K10" s="41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42">
        <f>IF(C10="DSTV","", IF(J10&lt;0.6, 0.8, 1))</f>
        <v/>
      </c>
      <c r="M10" s="41">
        <f>IFERROR(SUMIF('Dự án T8'!$B:$B, $B10, 'Dự án T8'!$M:$M)*$L10, 0)</f>
        <v/>
      </c>
      <c r="N10" s="53">
        <f>N(K10)+M10</f>
        <v/>
      </c>
      <c r="O10" s="54">
        <f>CEILING(R10, 100000)</f>
        <v/>
      </c>
      <c r="P10" s="54">
        <f>CEILING(S10, 100000)</f>
        <v/>
      </c>
      <c r="Q10" s="54">
        <f>CEILING(T10, 100000)</f>
        <v/>
      </c>
      <c r="R10" s="54">
        <f>U10*$R$2</f>
        <v/>
      </c>
      <c r="S10" s="54">
        <f>U10*$S$2</f>
        <v/>
      </c>
      <c r="T10" s="54">
        <f>U10*$T$2</f>
        <v/>
      </c>
      <c r="U10" s="41">
        <f>V10/DAY($C$1)</f>
        <v/>
      </c>
      <c r="V10" s="41" t="n">
        <v>240000000</v>
      </c>
      <c r="W10" s="40">
        <f>IFERROR(SUMIFS(data!$C:$C, data!$A:$A, $A10, data!$B:$B, $B10), 0)</f>
        <v/>
      </c>
      <c r="X10" s="41">
        <f>IFERROR(SUMIF(data!$B:$B, $B10, data!$D:$D), 0)</f>
        <v/>
      </c>
      <c r="Y10" s="41">
        <f>IF(W10&gt;0, X10/W10, 0)</f>
        <v/>
      </c>
      <c r="Z10" s="40">
        <f>IFERROR(SUMIFS(data!$E:$E, data!$A:$A, $A10, data!$B:$B, $B10), 0)</f>
        <v/>
      </c>
      <c r="AA10" s="41">
        <f>IFERROR(SUMIF(data!$B:$B, $B10, data!$F:$F), 0)</f>
        <v/>
      </c>
      <c r="AB10" s="41">
        <f>IF(Z10&gt;0, AA10/Z10, 0)</f>
        <v/>
      </c>
      <c r="AC10" s="40">
        <f>W10+Z10</f>
        <v/>
      </c>
      <c r="AD10" s="41">
        <f>X10+AA10</f>
        <v/>
      </c>
      <c r="AE10" s="41">
        <f>IF(AC10&gt;0, AD10/AC10, 0)</f>
        <v/>
      </c>
      <c r="AF10" s="55" t="n"/>
      <c r="AG10" s="55" t="n"/>
      <c r="AH10" s="55" t="n"/>
      <c r="AI10" s="55" t="n"/>
      <c r="AJ10" s="55" t="n"/>
      <c r="AK10" s="55" t="n"/>
      <c r="AL10" s="55" t="n"/>
    </row>
    <row r="11" ht="13.8" customHeight="1">
      <c r="A11" s="39" t="inlineStr">
        <is>
          <t>Đỗ Quang Đẩu</t>
        </is>
      </c>
      <c r="B11" s="39" t="inlineStr">
        <is>
          <t>Hoàng Thanh Thủy</t>
        </is>
      </c>
      <c r="C11" s="42" t="inlineStr">
        <is>
          <t>DSXC</t>
        </is>
      </c>
      <c r="D11" s="41" t="n">
        <v>207000</v>
      </c>
      <c r="E11" s="41">
        <f>AE11</f>
        <v/>
      </c>
      <c r="F11" s="41" t="n">
        <v>39000</v>
      </c>
      <c r="G11" s="41">
        <f>IFERROR(SUMIF('Dự án T8'!$B:$B, $B11, 'Dự án T8'!$D:$D), 0)</f>
        <v/>
      </c>
      <c r="H11" s="41">
        <f>Q11</f>
        <v/>
      </c>
      <c r="I11" s="41">
        <f>(AD11/DAY($C$1))</f>
        <v/>
      </c>
      <c r="J11" s="52">
        <f>I11/H11</f>
        <v/>
      </c>
      <c r="K11" s="41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42">
        <f>IF(C11="DSTV","", IF(J11&lt;0.6, 0.8, 1))</f>
        <v/>
      </c>
      <c r="M11" s="41">
        <f>IFERROR(SUMIF('Dự án T8'!$B:$B, $B11, 'Dự án T8'!$M:$M)*$L11, 0)</f>
        <v/>
      </c>
      <c r="N11" s="53">
        <f>N(K11)+M11</f>
        <v/>
      </c>
      <c r="O11" s="54">
        <f>CEILING(R11, 100000)</f>
        <v/>
      </c>
      <c r="P11" s="54">
        <f>CEILING(S11, 100000)</f>
        <v/>
      </c>
      <c r="Q11" s="54">
        <f>CEILING(T11, 100000)</f>
        <v/>
      </c>
      <c r="R11" s="54">
        <f>U11*$R$2</f>
        <v/>
      </c>
      <c r="S11" s="54">
        <f>U11*$S$2</f>
        <v/>
      </c>
      <c r="T11" s="54">
        <f>U11*$T$2</f>
        <v/>
      </c>
      <c r="U11" s="41">
        <f>V11/DAY($C$1)</f>
        <v/>
      </c>
      <c r="V11" s="41" t="n">
        <v>230000000</v>
      </c>
      <c r="W11" s="40">
        <f>IFERROR(SUMIFS(data!$C:$C, data!$A:$A, $A11, data!$B:$B, $B11), 0)</f>
        <v/>
      </c>
      <c r="X11" s="41">
        <f>IFERROR(SUMIF(data!$B:$B, $B11, data!$D:$D), 0)</f>
        <v/>
      </c>
      <c r="Y11" s="41">
        <f>IF(W11&gt;0, X11/W11, 0)</f>
        <v/>
      </c>
      <c r="Z11" s="40">
        <f>IFERROR(SUMIFS(data!$E:$E, data!$A:$A, $A11, data!$B:$B, $B11), 0)</f>
        <v/>
      </c>
      <c r="AA11" s="41">
        <f>IFERROR(SUMIF(data!$B:$B, $B11, data!$F:$F), 0)</f>
        <v/>
      </c>
      <c r="AB11" s="41">
        <f>IF(Z11&gt;0, AA11/Z11, 0)</f>
        <v/>
      </c>
      <c r="AC11" s="40">
        <f>W11+Z11</f>
        <v/>
      </c>
      <c r="AD11" s="41">
        <f>X11+AA11</f>
        <v/>
      </c>
      <c r="AE11" s="41">
        <f>IF(AC11&gt;0, AD11/AC11, 0)</f>
        <v/>
      </c>
      <c r="AF11" s="55" t="n"/>
      <c r="AG11" s="55" t="n"/>
      <c r="AH11" s="55" t="n"/>
      <c r="AI11" s="55" t="n"/>
      <c r="AJ11" s="55" t="n"/>
      <c r="AK11" s="55" t="n"/>
      <c r="AL11" s="55" t="n"/>
    </row>
    <row r="12" ht="13.8" customHeight="1">
      <c r="A12" s="39" t="inlineStr">
        <is>
          <t>Đỗ Quang Đẩu</t>
        </is>
      </c>
      <c r="B12" s="39" t="inlineStr">
        <is>
          <t>Lê Thị Huyền Trân</t>
        </is>
      </c>
      <c r="C12" s="42" t="inlineStr">
        <is>
          <t>DSXC</t>
        </is>
      </c>
      <c r="D12" s="41" t="n">
        <v>250000</v>
      </c>
      <c r="E12" s="41">
        <f>AE12</f>
        <v/>
      </c>
      <c r="F12" s="41" t="n">
        <v>40000</v>
      </c>
      <c r="G12" s="41">
        <f>IFERROR(SUMIF('Dự án T8'!$B:$B, $B12, 'Dự án T8'!$D:$D), 0)</f>
        <v/>
      </c>
      <c r="H12" s="41">
        <f>Q12</f>
        <v/>
      </c>
      <c r="I12" s="41">
        <f>(AD12/DAY($C$1))</f>
        <v/>
      </c>
      <c r="J12" s="52">
        <f>I12/H12</f>
        <v/>
      </c>
      <c r="K12" s="41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42">
        <f>IF(C12="DSTV","", IF(J12&lt;0.6, 0.8, 1))</f>
        <v/>
      </c>
      <c r="M12" s="41">
        <f>IFERROR(SUMIF('Dự án T8'!$B:$B, $B12, 'Dự án T8'!$M:$M)*$L12, 0)</f>
        <v/>
      </c>
      <c r="N12" s="53">
        <f>N(K12)+M12</f>
        <v/>
      </c>
      <c r="O12" s="54">
        <f>CEILING(R12, 100000)</f>
        <v/>
      </c>
      <c r="P12" s="54">
        <f>CEILING(S12, 100000)</f>
        <v/>
      </c>
      <c r="Q12" s="54">
        <f>CEILING(T12, 100000)</f>
        <v/>
      </c>
      <c r="R12" s="54">
        <f>U12*$R$2</f>
        <v/>
      </c>
      <c r="S12" s="54">
        <f>U12*$S$2</f>
        <v/>
      </c>
      <c r="T12" s="54">
        <f>U12*$T$2</f>
        <v/>
      </c>
      <c r="U12" s="41">
        <f>V12/DAY($C$1)</f>
        <v/>
      </c>
      <c r="V12" s="41" t="n">
        <v>230000000</v>
      </c>
      <c r="W12" s="40">
        <f>IFERROR(SUMIFS(data!$C:$C, data!$A:$A, $A12, data!$B:$B, $B12), 0)</f>
        <v/>
      </c>
      <c r="X12" s="41">
        <f>IFERROR(SUMIF(data!$B:$B, $B12, data!$D:$D), 0)</f>
        <v/>
      </c>
      <c r="Y12" s="41">
        <f>IF(W12&gt;0, X12/W12, 0)</f>
        <v/>
      </c>
      <c r="Z12" s="40">
        <f>IFERROR(SUMIFS(data!$E:$E, data!$A:$A, $A12, data!$B:$B, $B12), 0)</f>
        <v/>
      </c>
      <c r="AA12" s="41">
        <f>IFERROR(SUMIF(data!$B:$B, $B12, data!$F:$F), 0)</f>
        <v/>
      </c>
      <c r="AB12" s="41">
        <f>IF(Z12&gt;0, AA12/Z12, 0)</f>
        <v/>
      </c>
      <c r="AC12" s="40">
        <f>W12+Z12</f>
        <v/>
      </c>
      <c r="AD12" s="41">
        <f>X12+AA12</f>
        <v/>
      </c>
      <c r="AE12" s="41">
        <f>IF(AC12&gt;0, AD12/AC12, 0)</f>
        <v/>
      </c>
      <c r="AF12" s="55" t="n"/>
      <c r="AG12" s="55" t="n"/>
      <c r="AH12" s="55" t="n"/>
      <c r="AI12" s="55" t="n"/>
      <c r="AJ12" s="55" t="n"/>
      <c r="AK12" s="55" t="n"/>
      <c r="AL12" s="55" t="n"/>
    </row>
    <row r="13" ht="13.8" customHeight="1">
      <c r="A13" s="39" t="inlineStr">
        <is>
          <t>Minh Châu</t>
        </is>
      </c>
      <c r="B13" s="39" t="inlineStr">
        <is>
          <t>Thái Thùy Linh</t>
        </is>
      </c>
      <c r="C13" s="42" t="inlineStr">
        <is>
          <t>CHT</t>
        </is>
      </c>
      <c r="D13" s="41" t="n">
        <v>112000</v>
      </c>
      <c r="E13" s="41">
        <f>AE13</f>
        <v/>
      </c>
      <c r="F13" s="41" t="n">
        <v>2000</v>
      </c>
      <c r="G13" s="41">
        <f>IFERROR(SUMIF('Dự án T8'!$B:$B, $B13, 'Dự án T8'!$D:$D), 0)</f>
        <v/>
      </c>
      <c r="H13" s="41">
        <f>Q13</f>
        <v/>
      </c>
      <c r="I13" s="41">
        <f>(AD13/DAY($C$1))</f>
        <v/>
      </c>
      <c r="J13" s="52">
        <f>I13/H13</f>
        <v/>
      </c>
      <c r="K13" s="41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42">
        <f>IF(C13="DSTV","", IF(J13&lt;0.6, 0.8, 1))</f>
        <v/>
      </c>
      <c r="M13" s="41">
        <f>IFERROR(SUMIF('Dự án T8'!$B:$B, $B13, 'Dự án T8'!$M:$M)*$L13, 0)</f>
        <v/>
      </c>
      <c r="N13" s="53">
        <f>N(K13)+M13</f>
        <v/>
      </c>
      <c r="O13" s="54">
        <f>CEILING(R13, 100000)</f>
        <v/>
      </c>
      <c r="P13" s="54">
        <f>CEILING(S13, 100000)</f>
        <v/>
      </c>
      <c r="Q13" s="54">
        <f>CEILING(T13, 100000)</f>
        <v/>
      </c>
      <c r="R13" s="54">
        <f>U13*$R$2</f>
        <v/>
      </c>
      <c r="S13" s="54">
        <f>U13*$S$2</f>
        <v/>
      </c>
      <c r="T13" s="54">
        <f>U13*$T$2</f>
        <v/>
      </c>
      <c r="U13" s="41">
        <f>V13/DAY($C$1)</f>
        <v/>
      </c>
      <c r="V13" s="41" t="n">
        <v>120000000</v>
      </c>
      <c r="W13" s="40">
        <f>IFERROR(SUMIFS(data!$C:$C, data!$A:$A, $A13, data!$B:$B, $B13), 0)</f>
        <v/>
      </c>
      <c r="X13" s="41">
        <f>IFERROR(SUMIF(data!$B:$B, $B13, data!$D:$D), 0)</f>
        <v/>
      </c>
      <c r="Y13" s="41">
        <f>IF(W13&gt;0, X13/W13, 0)</f>
        <v/>
      </c>
      <c r="Z13" s="40">
        <f>IFERROR(SUMIFS(data!$E:$E, data!$A:$A, $A13, data!$B:$B, $B13), 0)</f>
        <v/>
      </c>
      <c r="AA13" s="41">
        <f>IFERROR(SUMIF(data!$B:$B, $B13, data!$F:$F), 0)</f>
        <v/>
      </c>
      <c r="AB13" s="41">
        <f>IF(Z13&gt;0, AA13/Z13, 0)</f>
        <v/>
      </c>
      <c r="AC13" s="40">
        <f>W13+Z13</f>
        <v/>
      </c>
      <c r="AD13" s="41">
        <f>X13+AA13</f>
        <v/>
      </c>
      <c r="AE13" s="41">
        <f>IF(AC13&gt;0, AD13/AC13, 0)</f>
        <v/>
      </c>
      <c r="AF13" s="55" t="n"/>
      <c r="AG13" s="55" t="n"/>
      <c r="AH13" s="55" t="n"/>
      <c r="AI13" s="55" t="n"/>
      <c r="AJ13" s="55" t="n"/>
      <c r="AK13" s="55" t="n"/>
      <c r="AL13" s="55" t="n"/>
    </row>
    <row r="14" ht="13.8" customHeight="1">
      <c r="A14" s="39" t="inlineStr">
        <is>
          <t>Minh Châu</t>
        </is>
      </c>
      <c r="B14" s="39" t="inlineStr">
        <is>
          <t>Đoàn Quốc Tâm</t>
        </is>
      </c>
      <c r="C14" s="42" t="inlineStr">
        <is>
          <t>DSXC</t>
        </is>
      </c>
      <c r="D14" s="41" t="n">
        <v>103000</v>
      </c>
      <c r="E14" s="41">
        <f>AE14</f>
        <v/>
      </c>
      <c r="F14" s="41" t="n">
        <v>3000</v>
      </c>
      <c r="G14" s="41">
        <f>IFERROR(SUMIF('Dự án T8'!$B:$B, $B14, 'Dự án T8'!$D:$D), 0)</f>
        <v/>
      </c>
      <c r="H14" s="41">
        <f>Q14</f>
        <v/>
      </c>
      <c r="I14" s="41">
        <f>(AD14/DAY($C$1))</f>
        <v/>
      </c>
      <c r="J14" s="52">
        <f>I14/H14</f>
        <v/>
      </c>
      <c r="K14" s="41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42">
        <f>IF(C14="DSTV","", IF(J14&lt;0.6, 0.8, 1))</f>
        <v/>
      </c>
      <c r="M14" s="41">
        <f>IFERROR(SUMIF('Dự án T8'!$B:$B, $B14, 'Dự án T8'!$M:$M)*$L14, 0)</f>
        <v/>
      </c>
      <c r="N14" s="53">
        <f>N(K14)+M14</f>
        <v/>
      </c>
      <c r="O14" s="54">
        <f>CEILING(R14, 100000)</f>
        <v/>
      </c>
      <c r="P14" s="54">
        <f>CEILING(S14, 100000)</f>
        <v/>
      </c>
      <c r="Q14" s="54">
        <f>CEILING(T14, 100000)</f>
        <v/>
      </c>
      <c r="R14" s="54">
        <f>U14*$R$2</f>
        <v/>
      </c>
      <c r="S14" s="54">
        <f>U14*$S$2</f>
        <v/>
      </c>
      <c r="T14" s="54">
        <f>U14*$T$2</f>
        <v/>
      </c>
      <c r="U14" s="41">
        <f>V14/DAY($C$1)</f>
        <v/>
      </c>
      <c r="V14" s="41" t="n">
        <v>120000000</v>
      </c>
      <c r="W14" s="40">
        <f>IFERROR(SUMIFS(data!$C:$C, data!$A:$A, $A14, data!$B:$B, $B14), 0)</f>
        <v/>
      </c>
      <c r="X14" s="41">
        <f>IFERROR(SUMIF(data!$B:$B, $B14, data!$D:$D), 0)</f>
        <v/>
      </c>
      <c r="Y14" s="41">
        <f>IF(W14&gt;0, X14/W14, 0)</f>
        <v/>
      </c>
      <c r="Z14" s="40">
        <f>IFERROR(SUMIFS(data!$E:$E, data!$A:$A, $A14, data!$B:$B, $B14), 0)</f>
        <v/>
      </c>
      <c r="AA14" s="41">
        <f>IFERROR(SUMIF(data!$B:$B, $B14, data!$F:$F), 0)</f>
        <v/>
      </c>
      <c r="AB14" s="41">
        <f>IF(Z14&gt;0, AA14/Z14, 0)</f>
        <v/>
      </c>
      <c r="AC14" s="40">
        <f>W14+Z14</f>
        <v/>
      </c>
      <c r="AD14" s="41">
        <f>X14+AA14</f>
        <v/>
      </c>
      <c r="AE14" s="41">
        <f>IF(AC14&gt;0, AD14/AC14, 0)</f>
        <v/>
      </c>
      <c r="AF14" s="55" t="n"/>
      <c r="AG14" s="55" t="n"/>
      <c r="AH14" s="55" t="n"/>
      <c r="AI14" s="55" t="n"/>
      <c r="AJ14" s="55" t="n"/>
      <c r="AK14" s="55" t="n"/>
      <c r="AL14" s="55" t="n"/>
    </row>
    <row r="15" ht="13.8" customHeight="1">
      <c r="A15" s="39" t="inlineStr">
        <is>
          <t>Minh Châu</t>
        </is>
      </c>
      <c r="B15" s="39" t="inlineStr">
        <is>
          <t>Phan Công Vũ Tài</t>
        </is>
      </c>
      <c r="C15" s="42" t="inlineStr">
        <is>
          <t>DSXC</t>
        </is>
      </c>
      <c r="D15" s="41" t="n">
        <v>100000</v>
      </c>
      <c r="E15" s="41">
        <f>AE15</f>
        <v/>
      </c>
      <c r="F15" s="41" t="n">
        <v>5000</v>
      </c>
      <c r="G15" s="41">
        <f>IFERROR(SUMIF('Dự án T8'!$B:$B, $B15, 'Dự án T8'!$D:$D), 0)</f>
        <v/>
      </c>
      <c r="H15" s="41">
        <f>Q15</f>
        <v/>
      </c>
      <c r="I15" s="41">
        <f>(AD15/DAY($C$1))</f>
        <v/>
      </c>
      <c r="J15" s="52">
        <f>I15/H15</f>
        <v/>
      </c>
      <c r="K15" s="41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42">
        <f>IF(C15="DSTV","", IF(J15&lt;0.6, 0.8, 1))</f>
        <v/>
      </c>
      <c r="M15" s="41">
        <f>IFERROR(SUMIF('Dự án T8'!$B:$B, $B15, 'Dự án T8'!$M:$M)*$L15, 0)</f>
        <v/>
      </c>
      <c r="N15" s="53">
        <f>N(K15)+M15</f>
        <v/>
      </c>
      <c r="O15" s="54">
        <f>CEILING(R15, 100000)</f>
        <v/>
      </c>
      <c r="P15" s="54">
        <f>CEILING(S15, 100000)</f>
        <v/>
      </c>
      <c r="Q15" s="54">
        <f>CEILING(T15, 100000)</f>
        <v/>
      </c>
      <c r="R15" s="54">
        <f>U15*$R$2</f>
        <v/>
      </c>
      <c r="S15" s="54">
        <f>U15*$S$2</f>
        <v/>
      </c>
      <c r="T15" s="54">
        <f>U15*$T$2</f>
        <v/>
      </c>
      <c r="U15" s="41">
        <f>V15/DAY($C$1)</f>
        <v/>
      </c>
      <c r="V15" s="41" t="n">
        <v>120000000</v>
      </c>
      <c r="W15" s="40">
        <f>IFERROR(SUMIFS(data!$C:$C, data!$A:$A, $A15, data!$B:$B, $B15), 0)</f>
        <v/>
      </c>
      <c r="X15" s="41">
        <f>IFERROR(SUMIF(data!$B:$B, $B15, data!$D:$D), 0)</f>
        <v/>
      </c>
      <c r="Y15" s="41">
        <f>IF(W15&gt;0, X15/W15, 0)</f>
        <v/>
      </c>
      <c r="Z15" s="40">
        <f>IFERROR(SUMIFS(data!$E:$E, data!$A:$A, $A15, data!$B:$B, $B15), 0)</f>
        <v/>
      </c>
      <c r="AA15" s="41">
        <f>IFERROR(SUMIF(data!$B:$B, $B15, data!$F:$F), 0)</f>
        <v/>
      </c>
      <c r="AB15" s="41">
        <f>IF(Z15&gt;0, AA15/Z15, 0)</f>
        <v/>
      </c>
      <c r="AC15" s="40">
        <f>W15+Z15</f>
        <v/>
      </c>
      <c r="AD15" s="41">
        <f>X15+AA15</f>
        <v/>
      </c>
      <c r="AE15" s="41">
        <f>IF(AC15&gt;0, AD15/AC15, 0)</f>
        <v/>
      </c>
      <c r="AF15" s="55" t="n"/>
      <c r="AG15" s="55" t="n"/>
      <c r="AH15" s="55" t="n"/>
      <c r="AI15" s="55" t="n"/>
      <c r="AJ15" s="55" t="n"/>
      <c r="AK15" s="55" t="n"/>
      <c r="AL15" s="55" t="n"/>
    </row>
    <row r="16" ht="13.8" customHeight="1">
      <c r="A16" s="39" t="inlineStr">
        <is>
          <t>Minh Châu</t>
        </is>
      </c>
      <c r="B16" s="39" t="inlineStr">
        <is>
          <t>Nguyễn Ngọc Thùy</t>
        </is>
      </c>
      <c r="C16" s="42" t="inlineStr">
        <is>
          <t>DSHV</t>
        </is>
      </c>
      <c r="D16" s="41" t="n">
        <v>100000</v>
      </c>
      <c r="E16" s="41">
        <f>AE16</f>
        <v/>
      </c>
      <c r="F16" s="41" t="n">
        <v>0</v>
      </c>
      <c r="G16" s="41">
        <f>IFERROR(SUMIF('Dự án T8'!$B:$B, $B16, 'Dự án T8'!$D:$D), 0)</f>
        <v/>
      </c>
      <c r="H16" s="41">
        <f>Q16</f>
        <v/>
      </c>
      <c r="I16" s="41">
        <f>(AD16/DAY($C$1))</f>
        <v/>
      </c>
      <c r="J16" s="52">
        <f>I16/H16</f>
        <v/>
      </c>
      <c r="K16" s="41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42">
        <f>IF(C16="DSTV","", IF(J16&lt;0.6, 0.8, 1))</f>
        <v/>
      </c>
      <c r="M16" s="41">
        <f>IFERROR(SUMIF('Dự án T8'!$B:$B, $B16, 'Dự án T8'!$M:$M)*$L16, 0)</f>
        <v/>
      </c>
      <c r="N16" s="53">
        <f>N(K16)+M16</f>
        <v/>
      </c>
      <c r="O16" s="54">
        <f>CEILING(R16, 100000)</f>
        <v/>
      </c>
      <c r="P16" s="54">
        <f>CEILING(S16, 100000)</f>
        <v/>
      </c>
      <c r="Q16" s="54">
        <f>CEILING(T16, 100000)</f>
        <v/>
      </c>
      <c r="R16" s="54">
        <f>U16*$R$2</f>
        <v/>
      </c>
      <c r="S16" s="54">
        <f>U16*$S$2</f>
        <v/>
      </c>
      <c r="T16" s="54">
        <f>U16*$T$2</f>
        <v/>
      </c>
      <c r="U16" s="41">
        <f>V16/DAY($C$1)</f>
        <v/>
      </c>
      <c r="V16" s="41" t="n">
        <v>100000000</v>
      </c>
      <c r="W16" s="40">
        <f>IFERROR(SUMIFS(data!$C:$C, data!$A:$A, $A16, data!$B:$B, $B16), 0)</f>
        <v/>
      </c>
      <c r="X16" s="41">
        <f>IFERROR(SUMIF(data!$B:$B, $B16, data!$D:$D), 0)</f>
        <v/>
      </c>
      <c r="Y16" s="41">
        <f>IF(W16&gt;0, X16/W16, 0)</f>
        <v/>
      </c>
      <c r="Z16" s="40">
        <f>IFERROR(SUMIFS(data!$E:$E, data!$A:$A, $A16, data!$B:$B, $B16), 0)</f>
        <v/>
      </c>
      <c r="AA16" s="41">
        <f>IFERROR(SUMIF(data!$B:$B, $B16, data!$F:$F), 0)</f>
        <v/>
      </c>
      <c r="AB16" s="41">
        <f>IF(Z16&gt;0, AA16/Z16, 0)</f>
        <v/>
      </c>
      <c r="AC16" s="40">
        <f>W16+Z16</f>
        <v/>
      </c>
      <c r="AD16" s="41">
        <f>X16+AA16</f>
        <v/>
      </c>
      <c r="AE16" s="41">
        <f>IF(AC16&gt;0, AD16/AC16, 0)</f>
        <v/>
      </c>
      <c r="AF16" s="55" t="n"/>
      <c r="AG16" s="55" t="n"/>
      <c r="AH16" s="55" t="n"/>
      <c r="AI16" s="55" t="n"/>
      <c r="AJ16" s="55" t="n"/>
      <c r="AK16" s="55" t="n"/>
      <c r="AL16" s="55" t="n"/>
    </row>
    <row r="17" ht="13.8" customHeight="1">
      <c r="A17" s="39" t="inlineStr">
        <is>
          <t>Trường Sa</t>
        </is>
      </c>
      <c r="B17" s="39" t="inlineStr">
        <is>
          <t>Trịnh Thị Phượng</t>
        </is>
      </c>
      <c r="C17" s="42" t="inlineStr">
        <is>
          <t>DSCD</t>
        </is>
      </c>
      <c r="D17" s="41" t="n">
        <v>150000</v>
      </c>
      <c r="E17" s="41">
        <f>AE17</f>
        <v/>
      </c>
      <c r="F17" s="41" t="n">
        <v>2000</v>
      </c>
      <c r="G17" s="41">
        <f>IFERROR(SUMIF('Dự án T8'!$B:$B, $B17, 'Dự án T8'!$D:$D), 0)</f>
        <v/>
      </c>
      <c r="H17" s="41">
        <f>Q17</f>
        <v/>
      </c>
      <c r="I17" s="41">
        <f>(AD17/DAY($C$1))</f>
        <v/>
      </c>
      <c r="J17" s="52">
        <f>I17/H17</f>
        <v/>
      </c>
      <c r="K17" s="41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42">
        <f>IF(C17="DSTV","", IF(J17&lt;0.6, 0.8, 1))</f>
        <v/>
      </c>
      <c r="M17" s="41">
        <f>IFERROR(SUMIF('Dự án T8'!$B:$B, $B17, 'Dự án T8'!$M:$M)*$L17, 0)</f>
        <v/>
      </c>
      <c r="N17" s="53">
        <f>N(K17)+M17</f>
        <v/>
      </c>
      <c r="O17" s="54">
        <f>CEILING(R17, 100000)</f>
        <v/>
      </c>
      <c r="P17" s="54">
        <f>CEILING(S17, 100000)</f>
        <v/>
      </c>
      <c r="Q17" s="54">
        <f>CEILING(T17, 100000)</f>
        <v/>
      </c>
      <c r="R17" s="54">
        <f>U17*$R$2</f>
        <v/>
      </c>
      <c r="S17" s="54">
        <f>U17*$S$2</f>
        <v/>
      </c>
      <c r="T17" s="54">
        <f>U17*$T$2</f>
        <v/>
      </c>
      <c r="U17" s="41">
        <f>V17/DAY($C$1)</f>
        <v/>
      </c>
      <c r="V17" s="41" t="n">
        <v>115000000</v>
      </c>
      <c r="W17" s="40">
        <f>IFERROR(SUMIFS(data!$C:$C, data!$A:$A, $A17, data!$B:$B, $B17), 0)</f>
        <v/>
      </c>
      <c r="X17" s="41">
        <f>IFERROR(SUMIF(data!$B:$B, $B17, data!$D:$D), 0)</f>
        <v/>
      </c>
      <c r="Y17" s="41">
        <f>IF(W17&gt;0, X17/W17, 0)</f>
        <v/>
      </c>
      <c r="Z17" s="40">
        <f>IFERROR(SUMIFS(data!$E:$E, data!$A:$A, $A17, data!$B:$B, $B17), 0)</f>
        <v/>
      </c>
      <c r="AA17" s="41">
        <f>IFERROR(SUMIF(data!$B:$B, $B17, data!$F:$F), 0)</f>
        <v/>
      </c>
      <c r="AB17" s="41">
        <f>IF(Z17&gt;0, AA17/Z17, 0)</f>
        <v/>
      </c>
      <c r="AC17" s="40">
        <f>W17+Z17</f>
        <v/>
      </c>
      <c r="AD17" s="41">
        <f>X17+AA17</f>
        <v/>
      </c>
      <c r="AE17" s="41">
        <f>IF(AC17&gt;0, AD17/AC17, 0)</f>
        <v/>
      </c>
      <c r="AF17" s="55" t="n"/>
      <c r="AG17" s="55" t="n"/>
      <c r="AH17" s="55" t="n"/>
      <c r="AI17" s="55" t="n"/>
      <c r="AJ17" s="55" t="n"/>
      <c r="AK17" s="55" t="n"/>
      <c r="AL17" s="55" t="n"/>
    </row>
    <row r="18" ht="13.8" customHeight="1">
      <c r="A18" s="39" t="inlineStr">
        <is>
          <t>Nam Hòa</t>
        </is>
      </c>
      <c r="B18" s="39" t="inlineStr">
        <is>
          <t>Trần Thị Ánh Nguyệt</t>
        </is>
      </c>
      <c r="C18" s="42" t="inlineStr">
        <is>
          <t>DSCD</t>
        </is>
      </c>
      <c r="D18" s="41" t="n">
        <v>120000</v>
      </c>
      <c r="E18" s="41">
        <f>AE18</f>
        <v/>
      </c>
      <c r="F18" s="41" t="n">
        <v>28000</v>
      </c>
      <c r="G18" s="41">
        <f>IFERROR(SUMIF('Dự án T8'!$B:$B, $B18, 'Dự án T8'!$D:$D), 0)</f>
        <v/>
      </c>
      <c r="H18" s="41">
        <f>Q18</f>
        <v/>
      </c>
      <c r="I18" s="41">
        <f>(AD18/DAY($C$1))</f>
        <v/>
      </c>
      <c r="J18" s="52">
        <f>I18/H18</f>
        <v/>
      </c>
      <c r="K18" s="41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42">
        <f>IF(C18="DSTV","", IF(J18&lt;0.6, 0.8, 1))</f>
        <v/>
      </c>
      <c r="M18" s="41">
        <f>IFERROR(SUMIF('Dự án T8'!$B:$B, $B18, 'Dự án T8'!$M:$M)*$L18, 0)</f>
        <v/>
      </c>
      <c r="N18" s="53">
        <f>N(K18)+M18</f>
        <v/>
      </c>
      <c r="O18" s="54">
        <f>CEILING(R18, 100000)</f>
        <v/>
      </c>
      <c r="P18" s="54">
        <f>CEILING(S18, 100000)</f>
        <v/>
      </c>
      <c r="Q18" s="54">
        <f>CEILING(T18, 100000)</f>
        <v/>
      </c>
      <c r="R18" s="54">
        <f>U18*$R$2</f>
        <v/>
      </c>
      <c r="S18" s="54">
        <f>U18*$S$2</f>
        <v/>
      </c>
      <c r="T18" s="54">
        <f>U18*$T$2</f>
        <v/>
      </c>
      <c r="U18" s="41">
        <f>V18/DAY($C$1)</f>
        <v/>
      </c>
      <c r="V18" s="41" t="n">
        <v>100000000</v>
      </c>
      <c r="W18" s="40">
        <f>IFERROR(SUMIFS(data!$C:$C, data!$A:$A, $A18, data!$B:$B, $B18), 0)</f>
        <v/>
      </c>
      <c r="X18" s="41">
        <f>IFERROR(SUMIF(data!$B:$B, $B18, data!$D:$D), 0)</f>
        <v/>
      </c>
      <c r="Y18" s="41">
        <f>IF(W18&gt;0, X18/W18, 0)</f>
        <v/>
      </c>
      <c r="Z18" s="40">
        <f>IFERROR(SUMIFS(data!$E:$E, data!$A:$A, $A18, data!$B:$B, $B18), 0)</f>
        <v/>
      </c>
      <c r="AA18" s="41">
        <f>IFERROR(SUMIF(data!$B:$B, $B18, data!$F:$F), 0)</f>
        <v/>
      </c>
      <c r="AB18" s="41">
        <f>IF(Z18&gt;0, AA18/Z18, 0)</f>
        <v/>
      </c>
      <c r="AC18" s="40">
        <f>W18+Z18</f>
        <v/>
      </c>
      <c r="AD18" s="41">
        <f>X18+AA18</f>
        <v/>
      </c>
      <c r="AE18" s="41">
        <f>IF(AC18&gt;0, AD18/AC18, 0)</f>
        <v/>
      </c>
      <c r="AF18" s="55" t="n"/>
      <c r="AG18" s="55" t="n"/>
      <c r="AH18" s="55" t="n"/>
      <c r="AI18" s="55" t="n"/>
      <c r="AJ18" s="55" t="n"/>
      <c r="AK18" s="55" t="n"/>
      <c r="AL18" s="55" t="n"/>
    </row>
    <row r="19" ht="13.8" customHeight="1">
      <c r="A19" s="39" t="inlineStr">
        <is>
          <t>Nam Hòa</t>
        </is>
      </c>
      <c r="B19" s="39" t="inlineStr">
        <is>
          <t>Nguyễn Thị Huyền Trang</t>
        </is>
      </c>
      <c r="C19" s="42" t="inlineStr">
        <is>
          <t>DSXC (TV)</t>
        </is>
      </c>
      <c r="D19" s="41" t="n">
        <v>150000</v>
      </c>
      <c r="E19" s="41">
        <f>AE19</f>
        <v/>
      </c>
      <c r="F19" s="41" t="n">
        <v>5000</v>
      </c>
      <c r="G19" s="41">
        <f>IFERROR(SUMIF('Dự án T8'!$B:$B, $B19, 'Dự án T8'!$D:$D), 0)</f>
        <v/>
      </c>
      <c r="H19" s="41">
        <f>Q19</f>
        <v/>
      </c>
      <c r="I19" s="41">
        <f>(AD19/DAY($C$1))</f>
        <v/>
      </c>
      <c r="J19" s="52">
        <f>I19/H19</f>
        <v/>
      </c>
      <c r="K19" s="41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42">
        <f>IF(C19="DSTV","", IF(J19&lt;0.6, 0.8, 1))</f>
        <v/>
      </c>
      <c r="M19" s="41">
        <f>IFERROR(SUMIF('Dự án T8'!$B:$B, $B19, 'Dự án T8'!$M:$M)*$L19, 0)</f>
        <v/>
      </c>
      <c r="N19" s="53">
        <f>N(K19)+M19</f>
        <v/>
      </c>
      <c r="O19" s="54">
        <f>CEILING(R19, 100000)</f>
        <v/>
      </c>
      <c r="P19" s="54">
        <f>CEILING(S19, 100000)</f>
        <v/>
      </c>
      <c r="Q19" s="54">
        <f>CEILING(T19, 100000)</f>
        <v/>
      </c>
      <c r="R19" s="54">
        <f>U19*$R$2</f>
        <v/>
      </c>
      <c r="S19" s="54">
        <f>U19*$S$2</f>
        <v/>
      </c>
      <c r="T19" s="54">
        <f>U19*$T$2</f>
        <v/>
      </c>
      <c r="U19" s="41">
        <f>V19/DAY($C$1)</f>
        <v/>
      </c>
      <c r="V19" s="41" t="n">
        <v>60000000</v>
      </c>
      <c r="W19" s="40">
        <f>IFERROR(SUMIFS(data!$C:$C, data!$A:$A, $A19, data!$B:$B, $B19), 0)</f>
        <v/>
      </c>
      <c r="X19" s="41">
        <f>IFERROR(SUMIF(data!$B:$B, $B19, data!$D:$D), 0)</f>
        <v/>
      </c>
      <c r="Y19" s="41">
        <f>IF(W19&gt;0, X19/W19, 0)</f>
        <v/>
      </c>
      <c r="Z19" s="40">
        <f>IFERROR(SUMIFS(data!$E:$E, data!$A:$A, $A19, data!$B:$B, $B19), 0)</f>
        <v/>
      </c>
      <c r="AA19" s="41">
        <f>IFERROR(SUMIF(data!$B:$B, $B19, data!$F:$F), 0)</f>
        <v/>
      </c>
      <c r="AB19" s="41">
        <f>IF(Z19&gt;0, AA19/Z19, 0)</f>
        <v/>
      </c>
      <c r="AC19" s="40">
        <f>W19+Z19</f>
        <v/>
      </c>
      <c r="AD19" s="41">
        <f>X19+AA19</f>
        <v/>
      </c>
      <c r="AE19" s="41">
        <f>IF(AC19&gt;0, AD19/AC19, 0)</f>
        <v/>
      </c>
      <c r="AF19" s="55" t="n"/>
      <c r="AG19" s="55" t="n"/>
      <c r="AH19" s="55" t="n"/>
      <c r="AI19" s="55" t="n"/>
      <c r="AJ19" s="55" t="n"/>
      <c r="AK19" s="55" t="n"/>
      <c r="AL19" s="55" t="n"/>
    </row>
    <row r="20" ht="13.8" customHeight="1">
      <c r="A20" s="39" t="inlineStr">
        <is>
          <t>Nam Hòa</t>
        </is>
      </c>
      <c r="B20" s="39" t="inlineStr">
        <is>
          <t>Đỗ Thị Kim Tiến</t>
        </is>
      </c>
      <c r="C20" s="42" t="inlineStr">
        <is>
          <t>DSCD (TV)</t>
        </is>
      </c>
      <c r="D20" s="41" t="n">
        <v>150000</v>
      </c>
      <c r="E20" s="41">
        <f>AE20</f>
        <v/>
      </c>
      <c r="F20" s="41" t="n">
        <v>11000</v>
      </c>
      <c r="G20" s="41">
        <f>IFERROR(SUMIF('Dự án T8'!$B:$B, $B20, 'Dự án T8'!$D:$D), 0)</f>
        <v/>
      </c>
      <c r="H20" s="41">
        <f>Q20</f>
        <v/>
      </c>
      <c r="I20" s="41">
        <f>(AD20/DAY($C$1))</f>
        <v/>
      </c>
      <c r="J20" s="52">
        <f>I20/H20</f>
        <v/>
      </c>
      <c r="K20" s="41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42">
        <f>IF(C20="DSTV","", IF(J20&lt;0.6, 0.8, 1))</f>
        <v/>
      </c>
      <c r="M20" s="41">
        <f>IFERROR(SUMIF('Dự án T8'!$B:$B, $B20, 'Dự án T8'!$M:$M)*$L20, 0)</f>
        <v/>
      </c>
      <c r="N20" s="53">
        <f>N(K20)+M20</f>
        <v/>
      </c>
      <c r="O20" s="54">
        <f>CEILING(R20, 100000)</f>
        <v/>
      </c>
      <c r="P20" s="54">
        <f>CEILING(S20, 100000)</f>
        <v/>
      </c>
      <c r="Q20" s="54">
        <f>CEILING(T20, 100000)</f>
        <v/>
      </c>
      <c r="R20" s="54">
        <f>U20*$R$2</f>
        <v/>
      </c>
      <c r="S20" s="54">
        <f>U20*$S$2</f>
        <v/>
      </c>
      <c r="T20" s="54">
        <f>U20*$T$2</f>
        <v/>
      </c>
      <c r="U20" s="41">
        <f>V20/DAY($C$1)</f>
        <v/>
      </c>
      <c r="V20" s="41" t="n">
        <v>60000000</v>
      </c>
      <c r="W20" s="40">
        <f>IFERROR(SUMIFS(data!$C:$C, data!$A:$A, $A20, data!$B:$B, $B20), 0)</f>
        <v/>
      </c>
      <c r="X20" s="41">
        <f>IFERROR(SUMIF(data!$B:$B, $B20, data!$D:$D), 0)</f>
        <v/>
      </c>
      <c r="Y20" s="41">
        <f>IF(W20&gt;0, X20/W20, 0)</f>
        <v/>
      </c>
      <c r="Z20" s="40">
        <f>IFERROR(SUMIFS(data!$E:$E, data!$A:$A, $A20, data!$B:$B, $B20), 0)</f>
        <v/>
      </c>
      <c r="AA20" s="41">
        <f>IFERROR(SUMIF(data!$B:$B, $B20, data!$F:$F), 0)</f>
        <v/>
      </c>
      <c r="AB20" s="41">
        <f>IF(Z20&gt;0, AA20/Z20, 0)</f>
        <v/>
      </c>
      <c r="AC20" s="40">
        <f>W20+Z20</f>
        <v/>
      </c>
      <c r="AD20" s="41">
        <f>X20+AA20</f>
        <v/>
      </c>
      <c r="AE20" s="41">
        <f>IF(AC20&gt;0, AD20/AC20, 0)</f>
        <v/>
      </c>
      <c r="AF20" s="55" t="n"/>
      <c r="AG20" s="55" t="n"/>
      <c r="AH20" s="55" t="n"/>
      <c r="AI20" s="55" t="n"/>
      <c r="AJ20" s="55" t="n"/>
      <c r="AK20" s="55" t="n"/>
      <c r="AL20" s="55" t="n"/>
    </row>
    <row r="21" ht="13.8" customHeight="1">
      <c r="A21" s="39" t="inlineStr">
        <is>
          <t>Nam Hòa</t>
        </is>
      </c>
      <c r="B21" s="39" t="inlineStr">
        <is>
          <t>Dương Thị Huỳnh Như</t>
        </is>
      </c>
      <c r="C21" s="42" t="inlineStr">
        <is>
          <t>DSCD (TV)</t>
        </is>
      </c>
      <c r="D21" s="41" t="n">
        <v>150000</v>
      </c>
      <c r="E21" s="41">
        <f>AE21</f>
        <v/>
      </c>
      <c r="F21" s="41" t="n">
        <v>0</v>
      </c>
      <c r="G21" s="41">
        <f>IFERROR(SUMIF('Dự án T8'!$B:$B, $B21, 'Dự án T8'!$D:$D), 0)</f>
        <v/>
      </c>
      <c r="H21" s="41">
        <f>Q21</f>
        <v/>
      </c>
      <c r="I21" s="41">
        <f>(AD21/DAY($C$1))</f>
        <v/>
      </c>
      <c r="J21" s="52">
        <f>I21/H21</f>
        <v/>
      </c>
      <c r="K21" s="41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42">
        <f>IF(C21="DSTV","", IF(J21&lt;0.6, 0.8, 1))</f>
        <v/>
      </c>
      <c r="M21" s="41">
        <f>IFERROR(SUMIF('Dự án T8'!$B:$B, $B21, 'Dự án T8'!$M:$M)*$L21, 0)</f>
        <v/>
      </c>
      <c r="N21" s="53">
        <f>N(K21)+M21</f>
        <v/>
      </c>
      <c r="O21" s="54">
        <f>CEILING(R21, 100000)</f>
        <v/>
      </c>
      <c r="P21" s="54">
        <f>CEILING(S21, 100000)</f>
        <v/>
      </c>
      <c r="Q21" s="54">
        <f>CEILING(T21, 100000)</f>
        <v/>
      </c>
      <c r="R21" s="54">
        <f>U21*$R$2</f>
        <v/>
      </c>
      <c r="S21" s="54">
        <f>U21*$S$2</f>
        <v/>
      </c>
      <c r="T21" s="54">
        <f>U21*$T$2</f>
        <v/>
      </c>
      <c r="U21" s="41">
        <f>V21/DAY($C$1)</f>
        <v/>
      </c>
      <c r="V21" s="41" t="n">
        <v>50000000</v>
      </c>
      <c r="W21" s="40">
        <f>IFERROR(SUMIFS(data!$C:$C, data!$A:$A, $A21, data!$B:$B, $B21), 0)</f>
        <v/>
      </c>
      <c r="X21" s="41">
        <f>IFERROR(SUMIF(data!$B:$B, $B21, data!$D:$D), 0)</f>
        <v/>
      </c>
      <c r="Y21" s="41">
        <f>IF(W21&gt;0, X21/W21, 0)</f>
        <v/>
      </c>
      <c r="Z21" s="40">
        <f>IFERROR(SUMIFS(data!$E:$E, data!$A:$A, $A21, data!$B:$B, $B21), 0)</f>
        <v/>
      </c>
      <c r="AA21" s="41">
        <f>IFERROR(SUMIF(data!$B:$B, $B21, data!$F:$F), 0)</f>
        <v/>
      </c>
      <c r="AB21" s="41">
        <f>IF(Z21&gt;0, AA21/Z21, 0)</f>
        <v/>
      </c>
      <c r="AC21" s="40">
        <f>W21+Z21</f>
        <v/>
      </c>
      <c r="AD21" s="41">
        <f>X21+AA21</f>
        <v/>
      </c>
      <c r="AE21" s="41">
        <f>IF(AC21&gt;0, AD21/AC21, 0)</f>
        <v/>
      </c>
      <c r="AF21" s="55" t="n"/>
      <c r="AG21" s="55" t="n"/>
      <c r="AH21" s="55" t="n"/>
      <c r="AI21" s="55" t="n"/>
      <c r="AJ21" s="55" t="n"/>
      <c r="AK21" s="55" t="n"/>
      <c r="AL21" s="55" t="n"/>
    </row>
    <row r="22" ht="13.8" customHeight="1">
      <c r="A22" s="39" t="inlineStr">
        <is>
          <t>Nam Hòa</t>
        </is>
      </c>
      <c r="B22" s="39" t="inlineStr">
        <is>
          <t>Bùi Thị Thanh Thủy</t>
        </is>
      </c>
      <c r="C22" s="42" t="inlineStr">
        <is>
          <t>DSXC (TV)</t>
        </is>
      </c>
      <c r="D22" s="41" t="n">
        <v>150000</v>
      </c>
      <c r="E22" s="41">
        <f>AE22</f>
        <v/>
      </c>
      <c r="F22" s="41" t="n">
        <v>6000</v>
      </c>
      <c r="G22" s="41">
        <f>IFERROR(SUMIF('Dự án T8'!$B:$B, $B22, 'Dự án T8'!$D:$D), 0)</f>
        <v/>
      </c>
      <c r="H22" s="41">
        <f>Q22</f>
        <v/>
      </c>
      <c r="I22" s="41">
        <f>(AD22/DAY($C$1))</f>
        <v/>
      </c>
      <c r="J22" s="52">
        <f>I22/H22</f>
        <v/>
      </c>
      <c r="K22" s="41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42">
        <f>IF(C22="DSTV","", IF(J22&lt;0.6, 0.8, 1))</f>
        <v/>
      </c>
      <c r="M22" s="41">
        <f>IFERROR(SUMIF('Dự án T8'!$B:$B, $B22, 'Dự án T8'!$M:$M)*$L22, 0)</f>
        <v/>
      </c>
      <c r="N22" s="53">
        <f>N(K22)+M22</f>
        <v/>
      </c>
      <c r="O22" s="54">
        <f>CEILING(R22, 100000)</f>
        <v/>
      </c>
      <c r="P22" s="54">
        <f>CEILING(S22, 100000)</f>
        <v/>
      </c>
      <c r="Q22" s="54">
        <f>CEILING(T22, 100000)</f>
        <v/>
      </c>
      <c r="R22" s="54">
        <f>U22*$R$2</f>
        <v/>
      </c>
      <c r="S22" s="54">
        <f>U22*$S$2</f>
        <v/>
      </c>
      <c r="T22" s="54">
        <f>U22*$T$2</f>
        <v/>
      </c>
      <c r="U22" s="41">
        <f>V22/DAY($C$1)</f>
        <v/>
      </c>
      <c r="V22" s="41" t="n">
        <v>60000000</v>
      </c>
      <c r="W22" s="40">
        <f>IFERROR(SUMIFS(data!$C:$C, data!$A:$A, $A22, data!$B:$B, $B22), 0)</f>
        <v/>
      </c>
      <c r="X22" s="41">
        <f>IFERROR(SUMIF(data!$B:$B, $B22, data!$D:$D), 0)</f>
        <v/>
      </c>
      <c r="Y22" s="41">
        <f>IF(W22&gt;0, X22/W22, 0)</f>
        <v/>
      </c>
      <c r="Z22" s="40">
        <f>IFERROR(SUMIFS(data!$E:$E, data!$A:$A, $A22, data!$B:$B, $B22), 0)</f>
        <v/>
      </c>
      <c r="AA22" s="41">
        <f>IFERROR(SUMIF(data!$B:$B, $B22, data!$F:$F), 0)</f>
        <v/>
      </c>
      <c r="AB22" s="41">
        <f>IF(Z22&gt;0, AA22/Z22, 0)</f>
        <v/>
      </c>
      <c r="AC22" s="40">
        <f>W22+Z22</f>
        <v/>
      </c>
      <c r="AD22" s="41">
        <f>X22+AA22</f>
        <v/>
      </c>
      <c r="AE22" s="41">
        <f>IF(AC22&gt;0, AD22/AC22, 0)</f>
        <v/>
      </c>
      <c r="AF22" s="55" t="n"/>
      <c r="AG22" s="55" t="n"/>
      <c r="AH22" s="55" t="n"/>
      <c r="AI22" s="55" t="n"/>
      <c r="AJ22" s="55" t="n"/>
      <c r="AK22" s="55" t="n"/>
      <c r="AL22" s="55" t="n"/>
    </row>
    <row r="23" ht="13.8" customHeight="1">
      <c r="A23" s="39" t="inlineStr">
        <is>
          <t>Nguyễn Chí Thanh</t>
        </is>
      </c>
      <c r="B23" s="39" t="inlineStr">
        <is>
          <t>Lê Thị Quỳnh Trâm</t>
        </is>
      </c>
      <c r="C23" s="42" t="inlineStr">
        <is>
          <t>CHT</t>
        </is>
      </c>
      <c r="D23" s="41" t="n">
        <v>194000</v>
      </c>
      <c r="E23" s="41">
        <f>AE23</f>
        <v/>
      </c>
      <c r="F23" s="41" t="n">
        <v>11000</v>
      </c>
      <c r="G23" s="41">
        <f>IFERROR(SUMIF('Dự án T8'!$B:$B, $B23, 'Dự án T8'!$D:$D), 0)</f>
        <v/>
      </c>
      <c r="H23" s="41">
        <f>Q23</f>
        <v/>
      </c>
      <c r="I23" s="41">
        <f>(AD23/DAY($C$1))</f>
        <v/>
      </c>
      <c r="J23" s="52">
        <f>I23/H23</f>
        <v/>
      </c>
      <c r="K23" s="41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42">
        <f>IF(C23="DSTV","", IF(J23&lt;0.6, 0.8, 1))</f>
        <v/>
      </c>
      <c r="M23" s="41">
        <f>IFERROR(SUMIF('Dự án T8'!$B:$B, $B23, 'Dự án T8'!$M:$M)*$L23, 0)</f>
        <v/>
      </c>
      <c r="N23" s="53">
        <f>N(K23)+M23</f>
        <v/>
      </c>
      <c r="O23" s="54">
        <f>CEILING(R23, 100000)</f>
        <v/>
      </c>
      <c r="P23" s="54">
        <f>CEILING(S23, 100000)</f>
        <v/>
      </c>
      <c r="Q23" s="54">
        <f>CEILING(T23, 100000)</f>
        <v/>
      </c>
      <c r="R23" s="54">
        <f>U23*$R$2</f>
        <v/>
      </c>
      <c r="S23" s="54">
        <f>U23*$S$2</f>
        <v/>
      </c>
      <c r="T23" s="54">
        <f>U23*$T$2</f>
        <v/>
      </c>
      <c r="U23" s="41">
        <f>V23/DAY($C$1)</f>
        <v/>
      </c>
      <c r="V23" s="41" t="n">
        <v>120000000</v>
      </c>
      <c r="W23" s="40">
        <f>IFERROR(SUMIFS(data!$C:$C, data!$A:$A, $A23, data!$B:$B, $B23), 0)</f>
        <v/>
      </c>
      <c r="X23" s="41">
        <f>IFERROR(SUMIF(data!$B:$B, $B23, data!$D:$D), 0)</f>
        <v/>
      </c>
      <c r="Y23" s="41">
        <f>IF(W23&gt;0, X23/W23, 0)</f>
        <v/>
      </c>
      <c r="Z23" s="40">
        <f>IFERROR(SUMIFS(data!$E:$E, data!$A:$A, $A23, data!$B:$B, $B23), 0)</f>
        <v/>
      </c>
      <c r="AA23" s="41">
        <f>IFERROR(SUMIF(data!$B:$B, $B23, data!$F:$F), 0)</f>
        <v/>
      </c>
      <c r="AB23" s="41">
        <f>IF(Z23&gt;0, AA23/Z23, 0)</f>
        <v/>
      </c>
      <c r="AC23" s="40">
        <f>W23+Z23</f>
        <v/>
      </c>
      <c r="AD23" s="41">
        <f>X23+AA23</f>
        <v/>
      </c>
      <c r="AE23" s="41">
        <f>IF(AC23&gt;0, AD23/AC23, 0)</f>
        <v/>
      </c>
      <c r="AF23" s="55" t="n"/>
      <c r="AG23" s="55" t="n"/>
      <c r="AH23" s="55" t="n"/>
      <c r="AI23" s="55" t="n"/>
      <c r="AJ23" s="55" t="n"/>
      <c r="AK23" s="55" t="n"/>
      <c r="AL23" s="55" t="n"/>
    </row>
    <row r="24" ht="13.8" customHeight="1">
      <c r="A24" s="39" t="inlineStr">
        <is>
          <t>Nguyễn Chí Thanh</t>
        </is>
      </c>
      <c r="B24" s="39" t="inlineStr">
        <is>
          <t>Đỗ Thị Phương Thảo</t>
        </is>
      </c>
      <c r="C24" s="42" t="inlineStr">
        <is>
          <t>DSXC</t>
        </is>
      </c>
      <c r="D24" s="41" t="n">
        <v>250000</v>
      </c>
      <c r="E24" s="41">
        <f>AE24</f>
        <v/>
      </c>
      <c r="F24" s="41" t="n">
        <v>15000</v>
      </c>
      <c r="G24" s="41">
        <f>IFERROR(SUMIF('Dự án T8'!$B:$B, $B24, 'Dự án T8'!$D:$D), 0)</f>
        <v/>
      </c>
      <c r="H24" s="41">
        <f>Q24</f>
        <v/>
      </c>
      <c r="I24" s="41">
        <f>(AD24/DAY($C$1))</f>
        <v/>
      </c>
      <c r="J24" s="52">
        <f>I24/H24</f>
        <v/>
      </c>
      <c r="K24" s="41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42">
        <f>IF(C24="DSTV","", IF(J24&lt;0.6, 0.8, 1))</f>
        <v/>
      </c>
      <c r="M24" s="41">
        <f>IFERROR(SUMIF('Dự án T8'!$B:$B, $B24, 'Dự án T8'!$M:$M)*$L24, 0)</f>
        <v/>
      </c>
      <c r="N24" s="53">
        <f>N(K24)+M24</f>
        <v/>
      </c>
      <c r="O24" s="54">
        <f>CEILING(R24, 100000)</f>
        <v/>
      </c>
      <c r="P24" s="54">
        <f>CEILING(S24, 100000)</f>
        <v/>
      </c>
      <c r="Q24" s="54">
        <f>CEILING(T24, 100000)</f>
        <v/>
      </c>
      <c r="R24" s="54">
        <f>U24*$R$2</f>
        <v/>
      </c>
      <c r="S24" s="54">
        <f>U24*$S$2</f>
        <v/>
      </c>
      <c r="T24" s="54">
        <f>U24*$T$2</f>
        <v/>
      </c>
      <c r="U24" s="41">
        <f>V24/DAY($C$1)</f>
        <v/>
      </c>
      <c r="V24" s="41" t="n">
        <v>120000000</v>
      </c>
      <c r="W24" s="40">
        <f>IFERROR(SUMIFS(data!$C:$C, data!$A:$A, $A24, data!$B:$B, $B24), 0)</f>
        <v/>
      </c>
      <c r="X24" s="41">
        <f>IFERROR(SUMIF(data!$B:$B, $B24, data!$D:$D), 0)</f>
        <v/>
      </c>
      <c r="Y24" s="41">
        <f>IF(W24&gt;0, X24/W24, 0)</f>
        <v/>
      </c>
      <c r="Z24" s="40">
        <f>IFERROR(SUMIFS(data!$E:$E, data!$A:$A, $A24, data!$B:$B, $B24), 0)</f>
        <v/>
      </c>
      <c r="AA24" s="41">
        <f>IFERROR(SUMIF(data!$B:$B, $B24, data!$F:$F), 0)</f>
        <v/>
      </c>
      <c r="AB24" s="41">
        <f>IF(Z24&gt;0, AA24/Z24, 0)</f>
        <v/>
      </c>
      <c r="AC24" s="40">
        <f>W24+Z24</f>
        <v/>
      </c>
      <c r="AD24" s="41">
        <f>X24+AA24</f>
        <v/>
      </c>
      <c r="AE24" s="41">
        <f>IF(AC24&gt;0, AD24/AC24, 0)</f>
        <v/>
      </c>
      <c r="AF24" s="55" t="n"/>
      <c r="AG24" s="55" t="n"/>
      <c r="AH24" s="55" t="n"/>
      <c r="AI24" s="55" t="n"/>
      <c r="AJ24" s="55" t="n"/>
      <c r="AK24" s="55" t="n"/>
      <c r="AL24" s="55" t="n"/>
    </row>
    <row r="25" ht="13.8" customHeight="1">
      <c r="A25" s="39" t="inlineStr">
        <is>
          <t>Nguyễn Chí Thanh</t>
        </is>
      </c>
      <c r="B25" s="39" t="inlineStr">
        <is>
          <t>Nguyễn Thị Hồng Hạnh</t>
        </is>
      </c>
      <c r="C25" s="42" t="inlineStr">
        <is>
          <t>DSCD</t>
        </is>
      </c>
      <c r="D25" s="41" t="n">
        <v>104000</v>
      </c>
      <c r="E25" s="41">
        <f>AE25</f>
        <v/>
      </c>
      <c r="F25" s="41" t="n">
        <v>23000</v>
      </c>
      <c r="G25" s="41">
        <f>IFERROR(SUMIF('Dự án T8'!$B:$B, $B25, 'Dự án T8'!$D:$D), 0)</f>
        <v/>
      </c>
      <c r="H25" s="41">
        <f>Q25</f>
        <v/>
      </c>
      <c r="I25" s="41">
        <f>(AD25/DAY($C$1))</f>
        <v/>
      </c>
      <c r="J25" s="52">
        <f>I25/H25</f>
        <v/>
      </c>
      <c r="K25" s="41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42">
        <f>IF(C25="DSTV","", IF(J25&lt;0.6, 0.8, 1))</f>
        <v/>
      </c>
      <c r="M25" s="41">
        <f>IFERROR(SUMIF('Dự án T8'!$B:$B, $B25, 'Dự án T8'!$M:$M)*$L25, 0)</f>
        <v/>
      </c>
      <c r="N25" s="53">
        <f>N(K25)+M25</f>
        <v/>
      </c>
      <c r="O25" s="54">
        <f>CEILING(R25, 100000)</f>
        <v/>
      </c>
      <c r="P25" s="54">
        <f>CEILING(S25, 100000)</f>
        <v/>
      </c>
      <c r="Q25" s="54">
        <f>CEILING(T25, 100000)</f>
        <v/>
      </c>
      <c r="R25" s="54">
        <f>U25*$R$2</f>
        <v/>
      </c>
      <c r="S25" s="54">
        <f>U25*$S$2</f>
        <v/>
      </c>
      <c r="T25" s="54">
        <f>U25*$T$2</f>
        <v/>
      </c>
      <c r="U25" s="41">
        <f>V25/DAY($C$1)</f>
        <v/>
      </c>
      <c r="V25" s="41" t="n">
        <v>120000000</v>
      </c>
      <c r="W25" s="40">
        <f>IFERROR(SUMIFS(data!$C:$C, data!$A:$A, $A25, data!$B:$B, $B25), 0)</f>
        <v/>
      </c>
      <c r="X25" s="41">
        <f>IFERROR(SUMIF(data!$B:$B, $B25, data!$D:$D), 0)</f>
        <v/>
      </c>
      <c r="Y25" s="41">
        <f>IF(W25&gt;0, X25/W25, 0)</f>
        <v/>
      </c>
      <c r="Z25" s="40">
        <f>IFERROR(SUMIFS(data!$E:$E, data!$A:$A, $A25, data!$B:$B, $B25), 0)</f>
        <v/>
      </c>
      <c r="AA25" s="41">
        <f>IFERROR(SUMIF(data!$B:$B, $B25, data!$F:$F), 0)</f>
        <v/>
      </c>
      <c r="AB25" s="41">
        <f>IF(Z25&gt;0, AA25/Z25, 0)</f>
        <v/>
      </c>
      <c r="AC25" s="40">
        <f>W25+Z25</f>
        <v/>
      </c>
      <c r="AD25" s="41">
        <f>X25+AA25</f>
        <v/>
      </c>
      <c r="AE25" s="41">
        <f>IF(AC25&gt;0, AD25/AC25, 0)</f>
        <v/>
      </c>
      <c r="AF25" s="55" t="n"/>
      <c r="AG25" s="55" t="n"/>
      <c r="AH25" s="55" t="n"/>
      <c r="AI25" s="55" t="n"/>
      <c r="AJ25" s="55" t="n"/>
      <c r="AK25" s="55" t="n"/>
      <c r="AL25" s="55" t="n"/>
    </row>
    <row r="26" ht="13.8" customHeight="1">
      <c r="A26" s="39" t="inlineStr">
        <is>
          <t>Nguyễn Chí Thanh</t>
        </is>
      </c>
      <c r="B26" s="39" t="inlineStr">
        <is>
          <t>Trần Hoàng Khánh</t>
        </is>
      </c>
      <c r="C26" s="42" t="inlineStr">
        <is>
          <t>DSCD</t>
        </is>
      </c>
      <c r="D26" s="41" t="n">
        <v>157000</v>
      </c>
      <c r="E26" s="41">
        <f>AE26</f>
        <v/>
      </c>
      <c r="F26" s="41" t="n">
        <v>37000</v>
      </c>
      <c r="G26" s="41">
        <f>IFERROR(SUMIF('Dự án T8'!$B:$B, $B26, 'Dự án T8'!$D:$D), 0)</f>
        <v/>
      </c>
      <c r="H26" s="41">
        <f>Q26</f>
        <v/>
      </c>
      <c r="I26" s="41">
        <f>(AD26/DAY($C$1))</f>
        <v/>
      </c>
      <c r="J26" s="52">
        <f>I26/H26</f>
        <v/>
      </c>
      <c r="K26" s="41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42">
        <f>IF(C26="DSTV","", IF(J26&lt;0.6, 0.8, 1))</f>
        <v/>
      </c>
      <c r="M26" s="41">
        <f>IFERROR(SUMIF('Dự án T8'!$B:$B, $B26, 'Dự án T8'!$M:$M)*$L26, 0)</f>
        <v/>
      </c>
      <c r="N26" s="53">
        <f>N(K26)+M26</f>
        <v/>
      </c>
      <c r="O26" s="54">
        <f>CEILING(R26, 100000)</f>
        <v/>
      </c>
      <c r="P26" s="54">
        <f>CEILING(S26, 100000)</f>
        <v/>
      </c>
      <c r="Q26" s="54">
        <f>CEILING(T26, 100000)</f>
        <v/>
      </c>
      <c r="R26" s="54">
        <f>U26*$R$2</f>
        <v/>
      </c>
      <c r="S26" s="54">
        <f>U26*$S$2</f>
        <v/>
      </c>
      <c r="T26" s="54">
        <f>U26*$T$2</f>
        <v/>
      </c>
      <c r="U26" s="41">
        <f>V26/DAY($C$1)</f>
        <v/>
      </c>
      <c r="V26" s="41" t="n">
        <v>120000000</v>
      </c>
      <c r="W26" s="40">
        <f>IFERROR(SUMIFS(data!$C:$C, data!$A:$A, $A26, data!$B:$B, $B26), 0)</f>
        <v/>
      </c>
      <c r="X26" s="41">
        <f>IFERROR(SUMIF(data!$B:$B, $B26, data!$D:$D), 0)</f>
        <v/>
      </c>
      <c r="Y26" s="41">
        <f>IF(W26&gt;0, X26/W26, 0)</f>
        <v/>
      </c>
      <c r="Z26" s="40">
        <f>IFERROR(SUMIFS(data!$E:$E, data!$A:$A, $A26, data!$B:$B, $B26), 0)</f>
        <v/>
      </c>
      <c r="AA26" s="41">
        <f>IFERROR(SUMIF(data!$B:$B, $B26, data!$F:$F), 0)</f>
        <v/>
      </c>
      <c r="AB26" s="41">
        <f>IF(Z26&gt;0, AA26/Z26, 0)</f>
        <v/>
      </c>
      <c r="AC26" s="40">
        <f>W26+Z26</f>
        <v/>
      </c>
      <c r="AD26" s="41">
        <f>X26+AA26</f>
        <v/>
      </c>
      <c r="AE26" s="41">
        <f>IF(AC26&gt;0, AD26/AC26, 0)</f>
        <v/>
      </c>
      <c r="AF26" s="55" t="n"/>
      <c r="AG26" s="55" t="n"/>
      <c r="AH26" s="55" t="n"/>
      <c r="AI26" s="55" t="n"/>
      <c r="AJ26" s="55" t="n"/>
      <c r="AK26" s="55" t="n"/>
      <c r="AL26" s="55" t="n"/>
    </row>
    <row r="27" ht="13.8" customHeight="1">
      <c r="A27" s="39" t="inlineStr">
        <is>
          <t>Nguyễn Chí Thanh</t>
        </is>
      </c>
      <c r="B27" s="39" t="inlineStr">
        <is>
          <t>Lý Thục Mi</t>
        </is>
      </c>
      <c r="C27" s="42" t="inlineStr">
        <is>
          <t>DSXC (TV)</t>
        </is>
      </c>
      <c r="D27" s="41" t="n">
        <v>150000</v>
      </c>
      <c r="E27" s="41">
        <f>AE27</f>
        <v/>
      </c>
      <c r="F27" s="41" t="n">
        <v>0</v>
      </c>
      <c r="G27" s="41">
        <f>IFERROR(SUMIF('Dự án T8'!$B:$B, $B27, 'Dự án T8'!$D:$D), 0)</f>
        <v/>
      </c>
      <c r="H27" s="41">
        <f>Q27</f>
        <v/>
      </c>
      <c r="I27" s="41">
        <f>(AD27/DAY($C$1))</f>
        <v/>
      </c>
      <c r="J27" s="52">
        <f>I27/H27</f>
        <v/>
      </c>
      <c r="K27" s="41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42">
        <f>IF(C27="DSTV","", IF(J27&lt;0.6, 0.8, 1))</f>
        <v/>
      </c>
      <c r="M27" s="41">
        <f>IFERROR(SUMIF('Dự án T8'!$B:$B, $B27, 'Dự án T8'!$M:$M)*$L27, 0)</f>
        <v/>
      </c>
      <c r="N27" s="53">
        <f>N(K27)+M27</f>
        <v/>
      </c>
      <c r="O27" s="54">
        <f>CEILING(R27, 100000)</f>
        <v/>
      </c>
      <c r="P27" s="54">
        <f>CEILING(S27, 100000)</f>
        <v/>
      </c>
      <c r="Q27" s="54">
        <f>CEILING(T27, 100000)</f>
        <v/>
      </c>
      <c r="R27" s="54">
        <f>U27*$R$2</f>
        <v/>
      </c>
      <c r="S27" s="54">
        <f>U27*$S$2</f>
        <v/>
      </c>
      <c r="T27" s="54">
        <f>U27*$T$2</f>
        <v/>
      </c>
      <c r="U27" s="41">
        <f>V27/DAY($C$1)</f>
        <v/>
      </c>
      <c r="V27" s="41" t="n">
        <v>70000000</v>
      </c>
      <c r="W27" s="40">
        <f>IFERROR(SUMIFS(data!$C:$C, data!$A:$A, $A27, data!$B:$B, $B27), 0)</f>
        <v/>
      </c>
      <c r="X27" s="41">
        <f>IFERROR(SUMIF(data!$B:$B, $B27, data!$D:$D), 0)</f>
        <v/>
      </c>
      <c r="Y27" s="41">
        <f>IF(W27&gt;0, X27/W27, 0)</f>
        <v/>
      </c>
      <c r="Z27" s="40">
        <f>IFERROR(SUMIFS(data!$E:$E, data!$A:$A, $A27, data!$B:$B, $B27), 0)</f>
        <v/>
      </c>
      <c r="AA27" s="41">
        <f>IFERROR(SUMIF(data!$B:$B, $B27, data!$F:$F), 0)</f>
        <v/>
      </c>
      <c r="AB27" s="41">
        <f>IF(Z27&gt;0, AA27/Z27, 0)</f>
        <v/>
      </c>
      <c r="AC27" s="40">
        <f>W27+Z27</f>
        <v/>
      </c>
      <c r="AD27" s="41">
        <f>X27+AA27</f>
        <v/>
      </c>
      <c r="AE27" s="41">
        <f>IF(AC27&gt;0, AD27/AC27, 0)</f>
        <v/>
      </c>
      <c r="AF27" s="55" t="n"/>
      <c r="AG27" s="55" t="n"/>
      <c r="AH27" s="55" t="n"/>
      <c r="AI27" s="55" t="n"/>
      <c r="AJ27" s="55" t="n"/>
      <c r="AK27" s="55" t="n"/>
      <c r="AL27" s="55" t="n"/>
    </row>
    <row r="28" ht="13.8" customHeight="1">
      <c r="A28" s="39" t="inlineStr">
        <is>
          <t>Nguyễn Thị Thập</t>
        </is>
      </c>
      <c r="B28" s="39" t="inlineStr">
        <is>
          <t>Trần Thành Đạt</t>
        </is>
      </c>
      <c r="C28" s="42" t="inlineStr">
        <is>
          <t>DSCD</t>
        </is>
      </c>
      <c r="D28" s="41" t="n">
        <v>170000</v>
      </c>
      <c r="E28" s="41">
        <f>AE28</f>
        <v/>
      </c>
      <c r="F28" s="41" t="n">
        <v>15000</v>
      </c>
      <c r="G28" s="41">
        <f>IFERROR(SUMIF('Dự án T8'!$B:$B, $B28, 'Dự án T8'!$D:$D), 0)</f>
        <v/>
      </c>
      <c r="H28" s="41">
        <f>Q28</f>
        <v/>
      </c>
      <c r="I28" s="41">
        <f>(AD28/DAY($C$1))</f>
        <v/>
      </c>
      <c r="J28" s="52">
        <f>I28/H28</f>
        <v/>
      </c>
      <c r="K28" s="41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42">
        <f>IF(C28="DSTV","", IF(J28&lt;0.6, 0.8, 1))</f>
        <v/>
      </c>
      <c r="M28" s="41">
        <f>IFERROR(SUMIF('Dự án T8'!$B:$B, $B28, 'Dự án T8'!$M:$M)*$L28, 0)</f>
        <v/>
      </c>
      <c r="N28" s="53">
        <f>N(K28)+M28</f>
        <v/>
      </c>
      <c r="O28" s="54">
        <f>CEILING(R28, 100000)</f>
        <v/>
      </c>
      <c r="P28" s="54">
        <f>CEILING(S28, 100000)</f>
        <v/>
      </c>
      <c r="Q28" s="54">
        <f>CEILING(T28, 100000)</f>
        <v/>
      </c>
      <c r="R28" s="54">
        <f>U28*$R$2</f>
        <v/>
      </c>
      <c r="S28" s="54">
        <f>U28*$S$2</f>
        <v/>
      </c>
      <c r="T28" s="54">
        <f>U28*$T$2</f>
        <v/>
      </c>
      <c r="U28" s="41">
        <f>V28/DAY($C$1)</f>
        <v/>
      </c>
      <c r="V28" s="41" t="n">
        <v>140000000</v>
      </c>
      <c r="W28" s="40">
        <f>IFERROR(SUMIFS(data!$C:$C, data!$A:$A, $A28, data!$B:$B, $B28), 0)</f>
        <v/>
      </c>
      <c r="X28" s="41">
        <f>IFERROR(SUMIF(data!$B:$B, $B28, data!$D:$D), 0)</f>
        <v/>
      </c>
      <c r="Y28" s="41">
        <f>IF(W28&gt;0, X28/W28, 0)</f>
        <v/>
      </c>
      <c r="Z28" s="40">
        <f>IFERROR(SUMIFS(data!$E:$E, data!$A:$A, $A28, data!$B:$B, $B28), 0)</f>
        <v/>
      </c>
      <c r="AA28" s="41">
        <f>IFERROR(SUMIF(data!$B:$B, $B28, data!$F:$F), 0)</f>
        <v/>
      </c>
      <c r="AB28" s="41">
        <f>IF(Z28&gt;0, AA28/Z28, 0)</f>
        <v/>
      </c>
      <c r="AC28" s="40">
        <f>W28+Z28</f>
        <v/>
      </c>
      <c r="AD28" s="41">
        <f>X28+AA28</f>
        <v/>
      </c>
      <c r="AE28" s="41">
        <f>IF(AC28&gt;0, AD28/AC28, 0)</f>
        <v/>
      </c>
      <c r="AF28" s="55" t="n"/>
      <c r="AG28" s="55" t="n"/>
      <c r="AH28" s="55" t="n"/>
      <c r="AI28" s="55" t="n"/>
      <c r="AJ28" s="55" t="n"/>
      <c r="AK28" s="55" t="n"/>
      <c r="AL28" s="55" t="n"/>
    </row>
    <row r="29" ht="13.8" customHeight="1">
      <c r="A29" s="39" t="inlineStr">
        <is>
          <t>Nguyễn Thị Thập</t>
        </is>
      </c>
      <c r="B29" s="39" t="inlineStr">
        <is>
          <t>Triệu Thị Ngọc Lý</t>
        </is>
      </c>
      <c r="C29" s="42" t="inlineStr">
        <is>
          <t>CHT</t>
        </is>
      </c>
      <c r="D29" s="41" t="n">
        <v>136000</v>
      </c>
      <c r="E29" s="41">
        <f>AE29</f>
        <v/>
      </c>
      <c r="F29" s="41" t="n">
        <v>22000</v>
      </c>
      <c r="G29" s="41">
        <f>IFERROR(SUMIF('Dự án T8'!$B:$B, $B29, 'Dự án T8'!$D:$D), 0)</f>
        <v/>
      </c>
      <c r="H29" s="41">
        <f>Q29</f>
        <v/>
      </c>
      <c r="I29" s="41">
        <f>(AD29/DAY($C$1))</f>
        <v/>
      </c>
      <c r="J29" s="52">
        <f>I29/H29</f>
        <v/>
      </c>
      <c r="K29" s="41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42">
        <f>IF(C29="DSTV","", IF(J29&lt;0.6, 0.8, 1))</f>
        <v/>
      </c>
      <c r="M29" s="41">
        <f>IFERROR(SUMIF('Dự án T8'!$B:$B, $B29, 'Dự án T8'!$M:$M)*$L29, 0)</f>
        <v/>
      </c>
      <c r="N29" s="53">
        <f>N(K29)+M29</f>
        <v/>
      </c>
      <c r="O29" s="54">
        <f>CEILING(R29, 100000)</f>
        <v/>
      </c>
      <c r="P29" s="54">
        <f>CEILING(S29, 100000)</f>
        <v/>
      </c>
      <c r="Q29" s="54">
        <f>CEILING(T29, 100000)</f>
        <v/>
      </c>
      <c r="R29" s="54">
        <f>U29*$R$2</f>
        <v/>
      </c>
      <c r="S29" s="54">
        <f>U29*$S$2</f>
        <v/>
      </c>
      <c r="T29" s="54">
        <f>U29*$T$2</f>
        <v/>
      </c>
      <c r="U29" s="41">
        <f>V29/DAY($C$1)</f>
        <v/>
      </c>
      <c r="V29" s="41" t="n">
        <v>140000000</v>
      </c>
      <c r="W29" s="40">
        <f>IFERROR(SUMIFS(data!$C:$C, data!$A:$A, $A29, data!$B:$B, $B29), 0)</f>
        <v/>
      </c>
      <c r="X29" s="41">
        <f>IFERROR(SUMIF(data!$B:$B, $B29, data!$D:$D), 0)</f>
        <v/>
      </c>
      <c r="Y29" s="41">
        <f>IF(W29&gt;0, X29/W29, 0)</f>
        <v/>
      </c>
      <c r="Z29" s="40">
        <f>IFERROR(SUMIFS(data!$E:$E, data!$A:$A, $A29, data!$B:$B, $B29), 0)</f>
        <v/>
      </c>
      <c r="AA29" s="41">
        <f>IFERROR(SUMIF(data!$B:$B, $B29, data!$F:$F), 0)</f>
        <v/>
      </c>
      <c r="AB29" s="41">
        <f>IF(Z29&gt;0, AA29/Z29, 0)</f>
        <v/>
      </c>
      <c r="AC29" s="40">
        <f>W29+Z29</f>
        <v/>
      </c>
      <c r="AD29" s="41">
        <f>X29+AA29</f>
        <v/>
      </c>
      <c r="AE29" s="41">
        <f>IF(AC29&gt;0, AD29/AC29, 0)</f>
        <v/>
      </c>
      <c r="AF29" s="55" t="n"/>
      <c r="AG29" s="55" t="n"/>
      <c r="AH29" s="55" t="n"/>
      <c r="AI29" s="55" t="n"/>
      <c r="AJ29" s="55" t="n"/>
      <c r="AK29" s="55" t="n"/>
      <c r="AL29" s="55" t="n"/>
    </row>
    <row r="30" ht="13.8" customHeight="1">
      <c r="A30" s="39" t="inlineStr">
        <is>
          <t>Nguyễn Thị Thập</t>
        </is>
      </c>
      <c r="B30" s="39" t="inlineStr">
        <is>
          <t>Cao Trọng Nhân</t>
        </is>
      </c>
      <c r="C30" s="42" t="inlineStr">
        <is>
          <t>DSCD</t>
        </is>
      </c>
      <c r="D30" s="41" t="n">
        <v>104000</v>
      </c>
      <c r="E30" s="41">
        <f>AE30</f>
        <v/>
      </c>
      <c r="F30" s="41" t="n">
        <v>50000</v>
      </c>
      <c r="G30" s="41">
        <f>IFERROR(SUMIF('Dự án T8'!$B:$B, $B30, 'Dự án T8'!$D:$D), 0)</f>
        <v/>
      </c>
      <c r="H30" s="41">
        <f>Q30</f>
        <v/>
      </c>
      <c r="I30" s="41">
        <f>(AD30/DAY($C$1))</f>
        <v/>
      </c>
      <c r="J30" s="52">
        <f>I30/H30</f>
        <v/>
      </c>
      <c r="K30" s="41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42">
        <f>IF(C30="DSTV","", IF(J30&lt;0.6, 0.8, 1))</f>
        <v/>
      </c>
      <c r="M30" s="41">
        <f>IFERROR(SUMIF('Dự án T8'!$B:$B, $B30, 'Dự án T8'!$M:$M)*$L30, 0)</f>
        <v/>
      </c>
      <c r="N30" s="53">
        <f>N(K30)+M30</f>
        <v/>
      </c>
      <c r="O30" s="54">
        <f>CEILING(R30, 100000)</f>
        <v/>
      </c>
      <c r="P30" s="54">
        <f>CEILING(S30, 100000)</f>
        <v/>
      </c>
      <c r="Q30" s="54">
        <f>CEILING(T30, 100000)</f>
        <v/>
      </c>
      <c r="R30" s="54">
        <f>U30*$R$2</f>
        <v/>
      </c>
      <c r="S30" s="54">
        <f>U30*$S$2</f>
        <v/>
      </c>
      <c r="T30" s="54">
        <f>U30*$T$2</f>
        <v/>
      </c>
      <c r="U30" s="41">
        <f>V30/DAY($C$1)</f>
        <v/>
      </c>
      <c r="V30" s="41" t="n">
        <v>140000000</v>
      </c>
      <c r="W30" s="40">
        <f>IFERROR(SUMIFS(data!$C:$C, data!$A:$A, $A30, data!$B:$B, $B30), 0)</f>
        <v/>
      </c>
      <c r="X30" s="41">
        <f>IFERROR(SUMIF(data!$B:$B, $B30, data!$D:$D), 0)</f>
        <v/>
      </c>
      <c r="Y30" s="41">
        <f>IF(W30&gt;0, X30/W30, 0)</f>
        <v/>
      </c>
      <c r="Z30" s="40">
        <f>IFERROR(SUMIFS(data!$E:$E, data!$A:$A, $A30, data!$B:$B, $B30), 0)</f>
        <v/>
      </c>
      <c r="AA30" s="41">
        <f>IFERROR(SUMIF(data!$B:$B, $B30, data!$F:$F), 0)</f>
        <v/>
      </c>
      <c r="AB30" s="41">
        <f>IF(Z30&gt;0, AA30/Z30, 0)</f>
        <v/>
      </c>
      <c r="AC30" s="40">
        <f>W30+Z30</f>
        <v/>
      </c>
      <c r="AD30" s="41">
        <f>X30+AA30</f>
        <v/>
      </c>
      <c r="AE30" s="41">
        <f>IF(AC30&gt;0, AD30/AC30, 0)</f>
        <v/>
      </c>
      <c r="AF30" s="55" t="n"/>
      <c r="AG30" s="55" t="n"/>
      <c r="AH30" s="55" t="n"/>
      <c r="AI30" s="55" t="n"/>
      <c r="AJ30" s="55" t="n"/>
      <c r="AK30" s="55" t="n"/>
      <c r="AL30" s="55" t="n"/>
    </row>
    <row r="31" ht="13.8" customHeight="1">
      <c r="A31" s="39" t="inlineStr">
        <is>
          <t>Nguyễn Thị Thập</t>
        </is>
      </c>
      <c r="B31" s="39" t="inlineStr">
        <is>
          <t>Bùi Thị Bích Trâm</t>
        </is>
      </c>
      <c r="C31" s="42" t="inlineStr">
        <is>
          <t>DSHV</t>
        </is>
      </c>
      <c r="D31" s="41" t="n">
        <v>104000</v>
      </c>
      <c r="E31" s="41">
        <f>AE31</f>
        <v/>
      </c>
      <c r="F31" s="41" t="n">
        <v>0</v>
      </c>
      <c r="G31" s="41">
        <f>IFERROR(SUMIF('Dự án T8'!$B:$B, $B31, 'Dự án T8'!$D:$D), 0)</f>
        <v/>
      </c>
      <c r="H31" s="41">
        <f>Q31</f>
        <v/>
      </c>
      <c r="I31" s="41">
        <f>(AD31/DAY($C$1))</f>
        <v/>
      </c>
      <c r="J31" s="52">
        <f>I31/H31</f>
        <v/>
      </c>
      <c r="K31" s="41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42">
        <f>IF(C31="DSTV","", IF(J31&lt;0.6, 0.8, 1))</f>
        <v/>
      </c>
      <c r="M31" s="41">
        <f>IFERROR(SUMIF('Dự án T8'!$B:$B, $B31, 'Dự án T8'!$M:$M)*$L31, 0)</f>
        <v/>
      </c>
      <c r="N31" s="53">
        <f>N(K31)+M31</f>
        <v/>
      </c>
      <c r="O31" s="54">
        <f>CEILING(R31, 100000)</f>
        <v/>
      </c>
      <c r="P31" s="54">
        <f>CEILING(S31, 100000)</f>
        <v/>
      </c>
      <c r="Q31" s="54">
        <f>CEILING(T31, 100000)</f>
        <v/>
      </c>
      <c r="R31" s="54">
        <f>U31*$R$2</f>
        <v/>
      </c>
      <c r="S31" s="54">
        <f>U31*$S$2</f>
        <v/>
      </c>
      <c r="T31" s="54">
        <f>U31*$T$2</f>
        <v/>
      </c>
      <c r="U31" s="41">
        <f>V31/DAY($C$1)</f>
        <v/>
      </c>
      <c r="V31" s="41" t="n">
        <v>70000000</v>
      </c>
      <c r="W31" s="40">
        <f>IFERROR(SUMIFS(data!$C:$C, data!$A:$A, $A31, data!$B:$B, $B31), 0)</f>
        <v/>
      </c>
      <c r="X31" s="41">
        <f>IFERROR(SUMIF(data!$B:$B, $B31, data!$D:$D), 0)</f>
        <v/>
      </c>
      <c r="Y31" s="41">
        <f>IF(W31&gt;0, X31/W31, 0)</f>
        <v/>
      </c>
      <c r="Z31" s="40">
        <f>IFERROR(SUMIFS(data!$E:$E, data!$A:$A, $A31, data!$B:$B, $B31), 0)</f>
        <v/>
      </c>
      <c r="AA31" s="41">
        <f>IFERROR(SUMIF(data!$B:$B, $B31, data!$F:$F), 0)</f>
        <v/>
      </c>
      <c r="AB31" s="41">
        <f>IF(Z31&gt;0, AA31/Z31, 0)</f>
        <v/>
      </c>
      <c r="AC31" s="40">
        <f>W31+Z31</f>
        <v/>
      </c>
      <c r="AD31" s="41">
        <f>X31+AA31</f>
        <v/>
      </c>
      <c r="AE31" s="41">
        <f>IF(AC31&gt;0, AD31/AC31, 0)</f>
        <v/>
      </c>
      <c r="AF31" s="55" t="n"/>
      <c r="AG31" s="55" t="n"/>
      <c r="AH31" s="55" t="n"/>
      <c r="AI31" s="55" t="n"/>
      <c r="AJ31" s="55" t="n"/>
      <c r="AK31" s="55" t="n"/>
      <c r="AL31" s="55" t="n"/>
    </row>
    <row r="32" ht="13.8" customHeight="1">
      <c r="A32" s="39" t="inlineStr">
        <is>
          <t>Nguyễn Văn Quá</t>
        </is>
      </c>
      <c r="B32" s="39" t="inlineStr">
        <is>
          <t>Hồ Ngọc Lý</t>
        </is>
      </c>
      <c r="C32" s="42" t="inlineStr">
        <is>
          <t>DSCD</t>
        </is>
      </c>
      <c r="D32" s="41" t="n">
        <v>115000</v>
      </c>
      <c r="E32" s="41">
        <f>AE32</f>
        <v/>
      </c>
      <c r="F32" s="41" t="n">
        <v>16000</v>
      </c>
      <c r="G32" s="41">
        <f>IFERROR(SUMIF('Dự án T8'!$B:$B, $B32, 'Dự án T8'!$D:$D), 0)</f>
        <v/>
      </c>
      <c r="H32" s="41">
        <f>Q32</f>
        <v/>
      </c>
      <c r="I32" s="41">
        <f>(AD32/DAY($C$1))</f>
        <v/>
      </c>
      <c r="J32" s="52">
        <f>I32/H32</f>
        <v/>
      </c>
      <c r="K32" s="41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42">
        <f>IF(C32="DSTV","", IF(J32&lt;0.6, 0.8, 1))</f>
        <v/>
      </c>
      <c r="M32" s="41">
        <f>IFERROR(SUMIF('Dự án T8'!$B:$B, $B32, 'Dự án T8'!$M:$M)*$L32, 0)</f>
        <v/>
      </c>
      <c r="N32" s="53">
        <f>N(K32)+M32</f>
        <v/>
      </c>
      <c r="O32" s="54">
        <f>CEILING(R32, 100000)</f>
        <v/>
      </c>
      <c r="P32" s="54">
        <f>CEILING(S32, 100000)</f>
        <v/>
      </c>
      <c r="Q32" s="54">
        <f>CEILING(T32, 100000)</f>
        <v/>
      </c>
      <c r="R32" s="54">
        <f>U32*$R$2</f>
        <v/>
      </c>
      <c r="S32" s="54">
        <f>U32*$S$2</f>
        <v/>
      </c>
      <c r="T32" s="54">
        <f>U32*$T$2</f>
        <v/>
      </c>
      <c r="U32" s="41">
        <f>V32/DAY($C$1)</f>
        <v/>
      </c>
      <c r="V32" s="41" t="n">
        <v>100000000</v>
      </c>
      <c r="W32" s="40">
        <f>IFERROR(SUMIFS(data!$C:$C, data!$A:$A, $A32, data!$B:$B, $B32), 0)</f>
        <v/>
      </c>
      <c r="X32" s="41">
        <f>IFERROR(SUMIF(data!$B:$B, $B32, data!$D:$D), 0)</f>
        <v/>
      </c>
      <c r="Y32" s="41">
        <f>IF(W32&gt;0, X32/W32, 0)</f>
        <v/>
      </c>
      <c r="Z32" s="40">
        <f>IFERROR(SUMIFS(data!$E:$E, data!$A:$A, $A32, data!$B:$B, $B32), 0)</f>
        <v/>
      </c>
      <c r="AA32" s="41">
        <f>IFERROR(SUMIF(data!$B:$B, $B32, data!$F:$F), 0)</f>
        <v/>
      </c>
      <c r="AB32" s="41">
        <f>IF(Z32&gt;0, AA32/Z32, 0)</f>
        <v/>
      </c>
      <c r="AC32" s="40">
        <f>W32+Z32</f>
        <v/>
      </c>
      <c r="AD32" s="41">
        <f>X32+AA32</f>
        <v/>
      </c>
      <c r="AE32" s="41">
        <f>IF(AC32&gt;0, AD32/AC32, 0)</f>
        <v/>
      </c>
      <c r="AF32" s="55" t="n"/>
      <c r="AG32" s="55" t="n"/>
      <c r="AH32" s="55" t="n"/>
      <c r="AI32" s="55" t="n"/>
      <c r="AJ32" s="55" t="n"/>
      <c r="AK32" s="55" t="n"/>
      <c r="AL32" s="55" t="n"/>
    </row>
    <row r="33" ht="13.8" customHeight="1">
      <c r="A33" s="39" t="inlineStr">
        <is>
          <t>Nguyễn Văn Quá</t>
        </is>
      </c>
      <c r="B33" s="39" t="inlineStr">
        <is>
          <t>Võ Ngọc Giàu Sang</t>
        </is>
      </c>
      <c r="C33" s="42" t="inlineStr">
        <is>
          <t>CHT</t>
        </is>
      </c>
      <c r="D33" s="41" t="n">
        <v>102000</v>
      </c>
      <c r="E33" s="41">
        <f>AE33</f>
        <v/>
      </c>
      <c r="F33" s="41" t="n">
        <v>13000</v>
      </c>
      <c r="G33" s="41">
        <f>IFERROR(SUMIF('Dự án T8'!$B:$B, $B33, 'Dự án T8'!$D:$D), 0)</f>
        <v/>
      </c>
      <c r="H33" s="41">
        <f>Q33</f>
        <v/>
      </c>
      <c r="I33" s="41">
        <f>(AD33/DAY($C$1))</f>
        <v/>
      </c>
      <c r="J33" s="52">
        <f>I33/H33</f>
        <v/>
      </c>
      <c r="K33" s="41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42">
        <f>IF(C33="DSTV","", IF(J33&lt;0.6, 0.8, 1))</f>
        <v/>
      </c>
      <c r="M33" s="41">
        <f>IFERROR(SUMIF('Dự án T8'!$B:$B, $B33, 'Dự án T8'!$M:$M)*$L33, 0)</f>
        <v/>
      </c>
      <c r="N33" s="53">
        <f>N(K33)+M33</f>
        <v/>
      </c>
      <c r="O33" s="54">
        <f>CEILING(R33, 100000)</f>
        <v/>
      </c>
      <c r="P33" s="54">
        <f>CEILING(S33, 100000)</f>
        <v/>
      </c>
      <c r="Q33" s="54">
        <f>CEILING(T33, 100000)</f>
        <v/>
      </c>
      <c r="R33" s="54">
        <f>U33*$R$2</f>
        <v/>
      </c>
      <c r="S33" s="54">
        <f>U33*$S$2</f>
        <v/>
      </c>
      <c r="T33" s="54">
        <f>U33*$T$2</f>
        <v/>
      </c>
      <c r="U33" s="41">
        <f>V33/DAY($C$1)</f>
        <v/>
      </c>
      <c r="V33" s="41" t="n">
        <v>100000000</v>
      </c>
      <c r="W33" s="40">
        <f>IFERROR(SUMIFS(data!$C:$C, data!$A:$A, $A33, data!$B:$B, $B33), 0)</f>
        <v/>
      </c>
      <c r="X33" s="41">
        <f>IFERROR(SUMIF(data!$B:$B, $B33, data!$D:$D), 0)</f>
        <v/>
      </c>
      <c r="Y33" s="41">
        <f>IF(W33&gt;0, X33/W33, 0)</f>
        <v/>
      </c>
      <c r="Z33" s="40">
        <f>IFERROR(SUMIFS(data!$E:$E, data!$A:$A, $A33, data!$B:$B, $B33), 0)</f>
        <v/>
      </c>
      <c r="AA33" s="41">
        <f>IFERROR(SUMIF(data!$B:$B, $B33, data!$F:$F), 0)</f>
        <v/>
      </c>
      <c r="AB33" s="41">
        <f>IF(Z33&gt;0, AA33/Z33, 0)</f>
        <v/>
      </c>
      <c r="AC33" s="40">
        <f>W33+Z33</f>
        <v/>
      </c>
      <c r="AD33" s="41">
        <f>X33+AA33</f>
        <v/>
      </c>
      <c r="AE33" s="41">
        <f>IF(AC33&gt;0, AD33/AC33, 0)</f>
        <v/>
      </c>
      <c r="AF33" s="55" t="n"/>
      <c r="AG33" s="55" t="n"/>
      <c r="AH33" s="55" t="n"/>
      <c r="AI33" s="55" t="n"/>
      <c r="AJ33" s="55" t="n"/>
      <c r="AK33" s="55" t="n"/>
      <c r="AL33" s="55" t="n"/>
    </row>
    <row r="34" ht="13.8" customHeight="1">
      <c r="A34" s="39" t="inlineStr">
        <is>
          <t>Nguyễn Văn Quá</t>
        </is>
      </c>
      <c r="B34" s="39" t="inlineStr">
        <is>
          <t>Nguyễn Thị Thu Huyền</t>
        </is>
      </c>
      <c r="C34" s="42" t="inlineStr">
        <is>
          <t>DSCD</t>
        </is>
      </c>
      <c r="D34" s="41" t="n">
        <v>107000</v>
      </c>
      <c r="E34" s="41">
        <f>AE34</f>
        <v/>
      </c>
      <c r="F34" s="41" t="n">
        <v>31000</v>
      </c>
      <c r="G34" s="41">
        <f>IFERROR(SUMIF('Dự án T8'!$B:$B, $B34, 'Dự án T8'!$D:$D), 0)</f>
        <v/>
      </c>
      <c r="H34" s="41">
        <f>Q34</f>
        <v/>
      </c>
      <c r="I34" s="41">
        <f>(AD34/DAY($C$1))</f>
        <v/>
      </c>
      <c r="J34" s="52">
        <f>I34/H34</f>
        <v/>
      </c>
      <c r="K34" s="41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42">
        <f>IF(C34="DSTV","", IF(J34&lt;0.6, 0.8, 1))</f>
        <v/>
      </c>
      <c r="M34" s="41">
        <f>IFERROR(SUMIF('Dự án T8'!$B:$B, $B34, 'Dự án T8'!$M:$M)*$L34, 0)</f>
        <v/>
      </c>
      <c r="N34" s="53">
        <f>N(K34)+M34</f>
        <v/>
      </c>
      <c r="O34" s="54">
        <f>CEILING(R34, 100000)</f>
        <v/>
      </c>
      <c r="P34" s="54">
        <f>CEILING(S34, 100000)</f>
        <v/>
      </c>
      <c r="Q34" s="54">
        <f>CEILING(T34, 100000)</f>
        <v/>
      </c>
      <c r="R34" s="54">
        <f>U34*$R$2</f>
        <v/>
      </c>
      <c r="S34" s="54">
        <f>U34*$S$2</f>
        <v/>
      </c>
      <c r="T34" s="54">
        <f>U34*$T$2</f>
        <v/>
      </c>
      <c r="U34" s="41">
        <f>V34/DAY($C$1)</f>
        <v/>
      </c>
      <c r="V34" s="41" t="n">
        <v>100000000</v>
      </c>
      <c r="W34" s="40">
        <f>IFERROR(SUMIFS(data!$C:$C, data!$A:$A, $A34, data!$B:$B, $B34), 0)</f>
        <v/>
      </c>
      <c r="X34" s="41">
        <f>IFERROR(SUMIF(data!$B:$B, $B34, data!$D:$D), 0)</f>
        <v/>
      </c>
      <c r="Y34" s="41">
        <f>IF(W34&gt;0, X34/W34, 0)</f>
        <v/>
      </c>
      <c r="Z34" s="40">
        <f>IFERROR(SUMIFS(data!$E:$E, data!$A:$A, $A34, data!$B:$B, $B34), 0)</f>
        <v/>
      </c>
      <c r="AA34" s="41">
        <f>IFERROR(SUMIF(data!$B:$B, $B34, data!$F:$F), 0)</f>
        <v/>
      </c>
      <c r="AB34" s="41">
        <f>IF(Z34&gt;0, AA34/Z34, 0)</f>
        <v/>
      </c>
      <c r="AC34" s="40">
        <f>W34+Z34</f>
        <v/>
      </c>
      <c r="AD34" s="41">
        <f>X34+AA34</f>
        <v/>
      </c>
      <c r="AE34" s="41">
        <f>IF(AC34&gt;0, AD34/AC34, 0)</f>
        <v/>
      </c>
      <c r="AF34" s="55" t="n"/>
      <c r="AG34" s="55" t="n"/>
      <c r="AH34" s="55" t="n"/>
      <c r="AI34" s="55" t="n"/>
      <c r="AJ34" s="55" t="n"/>
      <c r="AK34" s="55" t="n"/>
      <c r="AL34" s="55" t="n"/>
    </row>
    <row r="35" ht="13.8" customHeight="1">
      <c r="A35" s="39" t="inlineStr">
        <is>
          <t>Nguyễn Văn Quá</t>
        </is>
      </c>
      <c r="B35" s="39" t="inlineStr">
        <is>
          <t>Nguyễn Thị Hương Giang</t>
        </is>
      </c>
      <c r="C35" s="42" t="inlineStr">
        <is>
          <t>DSXC</t>
        </is>
      </c>
      <c r="D35" s="41" t="n">
        <v>105000</v>
      </c>
      <c r="E35" s="41">
        <f>AE35</f>
        <v/>
      </c>
      <c r="F35" s="41" t="n">
        <v>16000</v>
      </c>
      <c r="G35" s="41">
        <f>IFERROR(SUMIF('Dự án T8'!$B:$B, $B35, 'Dự án T8'!$D:$D), 0)</f>
        <v/>
      </c>
      <c r="H35" s="41">
        <f>Q35</f>
        <v/>
      </c>
      <c r="I35" s="41">
        <f>(AD35/DAY($C$1))</f>
        <v/>
      </c>
      <c r="J35" s="52">
        <f>I35/H35</f>
        <v/>
      </c>
      <c r="K35" s="41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42">
        <f>IF(C35="DSTV","", IF(J35&lt;0.6, 0.8, 1))</f>
        <v/>
      </c>
      <c r="M35" s="41">
        <f>IFERROR(SUMIF('Dự án T8'!$B:$B, $B35, 'Dự án T8'!$M:$M)*$L35, 0)</f>
        <v/>
      </c>
      <c r="N35" s="53">
        <f>N(K35)+M35</f>
        <v/>
      </c>
      <c r="O35" s="54">
        <f>CEILING(R35, 100000)</f>
        <v/>
      </c>
      <c r="P35" s="54">
        <f>CEILING(S35, 100000)</f>
        <v/>
      </c>
      <c r="Q35" s="54">
        <f>CEILING(T35, 100000)</f>
        <v/>
      </c>
      <c r="R35" s="54">
        <f>U35*$R$2</f>
        <v/>
      </c>
      <c r="S35" s="54">
        <f>U35*$S$2</f>
        <v/>
      </c>
      <c r="T35" s="54">
        <f>U35*$T$2</f>
        <v/>
      </c>
      <c r="U35" s="41">
        <f>V35/DAY($C$1)</f>
        <v/>
      </c>
      <c r="V35" s="41" t="n">
        <v>100000000</v>
      </c>
      <c r="W35" s="40">
        <f>IFERROR(SUMIFS(data!$C:$C, data!$A:$A, $A35, data!$B:$B, $B35), 0)</f>
        <v/>
      </c>
      <c r="X35" s="41">
        <f>IFERROR(SUMIF(data!$B:$B, $B35, data!$D:$D), 0)</f>
        <v/>
      </c>
      <c r="Y35" s="41">
        <f>IF(W35&gt;0, X35/W35, 0)</f>
        <v/>
      </c>
      <c r="Z35" s="40">
        <f>IFERROR(SUMIFS(data!$E:$E, data!$A:$A, $A35, data!$B:$B, $B35), 0)</f>
        <v/>
      </c>
      <c r="AA35" s="41">
        <f>IFERROR(SUMIF(data!$B:$B, $B35, data!$F:$F), 0)</f>
        <v/>
      </c>
      <c r="AB35" s="41">
        <f>IF(Z35&gt;0, AA35/Z35, 0)</f>
        <v/>
      </c>
      <c r="AC35" s="40">
        <f>W35+Z35</f>
        <v/>
      </c>
      <c r="AD35" s="41">
        <f>X35+AA35</f>
        <v/>
      </c>
      <c r="AE35" s="41">
        <f>IF(AC35&gt;0, AD35/AC35, 0)</f>
        <v/>
      </c>
      <c r="AF35" s="55" t="n"/>
      <c r="AG35" s="55" t="n"/>
      <c r="AH35" s="55" t="n"/>
      <c r="AI35" s="55" t="n"/>
      <c r="AJ35" s="55" t="n"/>
      <c r="AK35" s="55" t="n"/>
      <c r="AL35" s="55" t="n"/>
    </row>
    <row r="36" ht="13.8" customHeight="1">
      <c r="A36" s="39" t="inlineStr">
        <is>
          <t>Rạch Bùng Binh</t>
        </is>
      </c>
      <c r="B36" s="39" t="inlineStr">
        <is>
          <t>Cù Thị Tường Vy</t>
        </is>
      </c>
      <c r="C36" s="42" t="inlineStr">
        <is>
          <t>CHT</t>
        </is>
      </c>
      <c r="D36" s="41" t="n">
        <v>120000</v>
      </c>
      <c r="E36" s="41">
        <f>AE36</f>
        <v/>
      </c>
      <c r="F36" s="41" t="n">
        <v>24000</v>
      </c>
      <c r="G36" s="41">
        <f>IFERROR(SUMIF('Dự án T8'!$B:$B, $B36, 'Dự án T8'!$D:$D), 0)</f>
        <v/>
      </c>
      <c r="H36" s="41">
        <f>Q36</f>
        <v/>
      </c>
      <c r="I36" s="41">
        <f>(AD36/DAY($C$1))</f>
        <v/>
      </c>
      <c r="J36" s="52">
        <f>I36/H36</f>
        <v/>
      </c>
      <c r="K36" s="41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42">
        <f>IF(C36="DSTV","", IF(J36&lt;0.6, 0.8, 1))</f>
        <v/>
      </c>
      <c r="M36" s="41">
        <f>IFERROR(SUMIF('Dự án T8'!$B:$B, $B36, 'Dự án T8'!$M:$M)*$L36, 0)</f>
        <v/>
      </c>
      <c r="N36" s="53">
        <f>N(K36)+M36</f>
        <v/>
      </c>
      <c r="O36" s="54">
        <f>CEILING(R36, 100000)</f>
        <v/>
      </c>
      <c r="P36" s="54">
        <f>CEILING(S36, 100000)</f>
        <v/>
      </c>
      <c r="Q36" s="54">
        <f>CEILING(T36, 100000)</f>
        <v/>
      </c>
      <c r="R36" s="54">
        <f>U36*$R$2</f>
        <v/>
      </c>
      <c r="S36" s="54">
        <f>U36*$S$2</f>
        <v/>
      </c>
      <c r="T36" s="54">
        <f>U36*$T$2</f>
        <v/>
      </c>
      <c r="U36" s="41">
        <f>V36/DAY($C$1)</f>
        <v/>
      </c>
      <c r="V36" s="41" t="n">
        <v>140000000</v>
      </c>
      <c r="W36" s="40">
        <f>IFERROR(SUMIFS(data!$C:$C, data!$A:$A, $A36, data!$B:$B, $B36), 0)</f>
        <v/>
      </c>
      <c r="X36" s="41">
        <f>IFERROR(SUMIF(data!$B:$B, $B36, data!$D:$D), 0)</f>
        <v/>
      </c>
      <c r="Y36" s="41">
        <f>IF(W36&gt;0, X36/W36, 0)</f>
        <v/>
      </c>
      <c r="Z36" s="40">
        <f>IFERROR(SUMIFS(data!$E:$E, data!$A:$A, $A36, data!$B:$B, $B36), 0)</f>
        <v/>
      </c>
      <c r="AA36" s="41">
        <f>IFERROR(SUMIF(data!$B:$B, $B36, data!$F:$F), 0)</f>
        <v/>
      </c>
      <c r="AB36" s="41">
        <f>IF(Z36&gt;0, AA36/Z36, 0)</f>
        <v/>
      </c>
      <c r="AC36" s="40">
        <f>W36+Z36</f>
        <v/>
      </c>
      <c r="AD36" s="41">
        <f>X36+AA36</f>
        <v/>
      </c>
      <c r="AE36" s="41">
        <f>IF(AC36&gt;0, AD36/AC36, 0)</f>
        <v/>
      </c>
      <c r="AF36" s="55" t="n"/>
      <c r="AG36" s="55" t="n"/>
      <c r="AH36" s="55" t="n"/>
      <c r="AI36" s="55" t="n"/>
      <c r="AJ36" s="55" t="n"/>
      <c r="AK36" s="55" t="n"/>
      <c r="AL36" s="55" t="n"/>
    </row>
    <row r="37" ht="13.8" customHeight="1">
      <c r="A37" s="39" t="inlineStr">
        <is>
          <t>Rạch Bùng Binh</t>
        </is>
      </c>
      <c r="B37" s="39" t="inlineStr">
        <is>
          <t>Huỳnh Thị Huệ Hiền</t>
        </is>
      </c>
      <c r="C37" s="42" t="inlineStr">
        <is>
          <t>DSCD</t>
        </is>
      </c>
      <c r="D37" s="41" t="n">
        <v>100000</v>
      </c>
      <c r="E37" s="41">
        <f>AE37</f>
        <v/>
      </c>
      <c r="F37" s="41" t="n">
        <v>19000</v>
      </c>
      <c r="G37" s="41">
        <f>IFERROR(SUMIF('Dự án T8'!$B:$B, $B37, 'Dự án T8'!$D:$D), 0)</f>
        <v/>
      </c>
      <c r="H37" s="41">
        <f>Q37</f>
        <v/>
      </c>
      <c r="I37" s="41">
        <f>(AD37/DAY($C$1))</f>
        <v/>
      </c>
      <c r="J37" s="52">
        <f>I37/H37</f>
        <v/>
      </c>
      <c r="K37" s="41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42">
        <f>IF(C37="DSTV","", IF(J37&lt;0.6, 0.8, 1))</f>
        <v/>
      </c>
      <c r="M37" s="41">
        <f>IFERROR(SUMIF('Dự án T8'!$B:$B, $B37, 'Dự án T8'!$M:$M)*$L37, 0)</f>
        <v/>
      </c>
      <c r="N37" s="53">
        <f>N(K37)+M37</f>
        <v/>
      </c>
      <c r="O37" s="54">
        <f>CEILING(R37, 100000)</f>
        <v/>
      </c>
      <c r="P37" s="54">
        <f>CEILING(S37, 100000)</f>
        <v/>
      </c>
      <c r="Q37" s="54">
        <f>CEILING(T37, 100000)</f>
        <v/>
      </c>
      <c r="R37" s="54">
        <f>U37*$R$2</f>
        <v/>
      </c>
      <c r="S37" s="54">
        <f>U37*$S$2</f>
        <v/>
      </c>
      <c r="T37" s="54">
        <f>U37*$T$2</f>
        <v/>
      </c>
      <c r="U37" s="41">
        <f>V37/DAY($C$1)</f>
        <v/>
      </c>
      <c r="V37" s="41" t="n">
        <v>110000000</v>
      </c>
      <c r="W37" s="40">
        <f>IFERROR(SUMIFS(data!$C:$C, data!$A:$A, $A37, data!$B:$B, $B37), 0)</f>
        <v/>
      </c>
      <c r="X37" s="41">
        <f>IFERROR(SUMIF(data!$B:$B, $B37, data!$D:$D), 0)</f>
        <v/>
      </c>
      <c r="Y37" s="41">
        <f>IF(W37&gt;0, X37/W37, 0)</f>
        <v/>
      </c>
      <c r="Z37" s="40">
        <f>IFERROR(SUMIFS(data!$E:$E, data!$A:$A, $A37, data!$B:$B, $B37), 0)</f>
        <v/>
      </c>
      <c r="AA37" s="41">
        <f>IFERROR(SUMIF(data!$B:$B, $B37, data!$F:$F), 0)</f>
        <v/>
      </c>
      <c r="AB37" s="41">
        <f>IF(Z37&gt;0, AA37/Z37, 0)</f>
        <v/>
      </c>
      <c r="AC37" s="40">
        <f>W37+Z37</f>
        <v/>
      </c>
      <c r="AD37" s="41">
        <f>X37+AA37</f>
        <v/>
      </c>
      <c r="AE37" s="41">
        <f>IF(AC37&gt;0, AD37/AC37, 0)</f>
        <v/>
      </c>
      <c r="AF37" s="55" t="n"/>
      <c r="AG37" s="55" t="n"/>
      <c r="AH37" s="55" t="n"/>
      <c r="AI37" s="55" t="n"/>
      <c r="AJ37" s="55" t="n"/>
      <c r="AK37" s="55" t="n"/>
      <c r="AL37" s="55" t="n"/>
    </row>
    <row r="38" ht="13.8" customHeight="1">
      <c r="A38" s="39" t="inlineStr">
        <is>
          <t>Rạch Bùng Binh</t>
        </is>
      </c>
      <c r="B38" s="39" t="inlineStr">
        <is>
          <t>Ngô Thị Ngọc Thủy</t>
        </is>
      </c>
      <c r="C38" s="42" t="inlineStr">
        <is>
          <t>DSXC (TV)</t>
        </is>
      </c>
      <c r="D38" s="41" t="n">
        <v>100000</v>
      </c>
      <c r="E38" s="41">
        <f>AE38</f>
        <v/>
      </c>
      <c r="F38" s="41" t="n">
        <v>40000</v>
      </c>
      <c r="G38" s="41">
        <f>IFERROR(SUMIF('Dự án T8'!$B:$B, $B38, 'Dự án T8'!$D:$D), 0)</f>
        <v/>
      </c>
      <c r="H38" s="41">
        <f>Q38</f>
        <v/>
      </c>
      <c r="I38" s="41">
        <f>(AD38/DAY($C$1))</f>
        <v/>
      </c>
      <c r="J38" s="52">
        <f>I38/H38</f>
        <v/>
      </c>
      <c r="K38" s="41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42">
        <f>IF(C38="DSTV","", IF(J38&lt;0.6, 0.8, 1))</f>
        <v/>
      </c>
      <c r="M38" s="41">
        <f>IFERROR(SUMIF('Dự án T8'!$B:$B, $B38, 'Dự án T8'!$M:$M)*$L38, 0)</f>
        <v/>
      </c>
      <c r="N38" s="53">
        <f>N(K38)+M38</f>
        <v/>
      </c>
      <c r="O38" s="54">
        <f>CEILING(R38, 100000)</f>
        <v/>
      </c>
      <c r="P38" s="54">
        <f>CEILING(S38, 100000)</f>
        <v/>
      </c>
      <c r="Q38" s="54">
        <f>CEILING(T38, 100000)</f>
        <v/>
      </c>
      <c r="R38" s="54">
        <f>U38*$R$2</f>
        <v/>
      </c>
      <c r="S38" s="54">
        <f>U38*$S$2</f>
        <v/>
      </c>
      <c r="T38" s="54">
        <f>U38*$T$2</f>
        <v/>
      </c>
      <c r="U38" s="41">
        <f>V38/DAY($C$1)</f>
        <v/>
      </c>
      <c r="V38" s="41" t="n">
        <v>40000000</v>
      </c>
      <c r="W38" s="40">
        <f>IFERROR(SUMIFS(data!$C:$C, data!$A:$A, $A38, data!$B:$B, $B38), 0)</f>
        <v/>
      </c>
      <c r="X38" s="41">
        <f>IFERROR(SUMIF(data!$B:$B, $B38, data!$D:$D), 0)</f>
        <v/>
      </c>
      <c r="Y38" s="41">
        <f>IF(W38&gt;0, X38/W38, 0)</f>
        <v/>
      </c>
      <c r="Z38" s="40">
        <f>IFERROR(SUMIFS(data!$E:$E, data!$A:$A, $A38, data!$B:$B, $B38), 0)</f>
        <v/>
      </c>
      <c r="AA38" s="41">
        <f>IFERROR(SUMIF(data!$B:$B, $B38, data!$F:$F), 0)</f>
        <v/>
      </c>
      <c r="AB38" s="41">
        <f>IF(Z38&gt;0, AA38/Z38, 0)</f>
        <v/>
      </c>
      <c r="AC38" s="40">
        <f>W38+Z38</f>
        <v/>
      </c>
      <c r="AD38" s="41">
        <f>X38+AA38</f>
        <v/>
      </c>
      <c r="AE38" s="41">
        <f>IF(AC38&gt;0, AD38/AC38, 0)</f>
        <v/>
      </c>
      <c r="AF38" s="55" t="n"/>
      <c r="AG38" s="55" t="n"/>
      <c r="AH38" s="55" t="n"/>
      <c r="AI38" s="55" t="n"/>
      <c r="AJ38" s="55" t="n"/>
      <c r="AK38" s="55" t="n"/>
      <c r="AL38" s="55" t="n"/>
    </row>
    <row r="39" ht="13.8" customHeight="1">
      <c r="A39" s="39" t="inlineStr">
        <is>
          <t>Rạch Bùng Binh</t>
        </is>
      </c>
      <c r="B39" s="39" t="inlineStr">
        <is>
          <t>Nguyễn Thị Phúc Lộc</t>
        </is>
      </c>
      <c r="C39" s="42" t="inlineStr">
        <is>
          <t>DSCD (TV)</t>
        </is>
      </c>
      <c r="D39" s="41" t="n">
        <v>106000</v>
      </c>
      <c r="E39" s="41">
        <f>AE39</f>
        <v/>
      </c>
      <c r="F39" s="41" t="n">
        <v>0</v>
      </c>
      <c r="G39" s="41">
        <f>IFERROR(SUMIF('Dự án T8'!$B:$B, $B39, 'Dự án T8'!$D:$D), 0)</f>
        <v/>
      </c>
      <c r="H39" s="41">
        <f>Q39</f>
        <v/>
      </c>
      <c r="I39" s="41">
        <f>(AD39/DAY($C$1))</f>
        <v/>
      </c>
      <c r="J39" s="52">
        <f>I39/H39</f>
        <v/>
      </c>
      <c r="K39" s="41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42">
        <f>IF(C39="DSTV","", IF(J39&lt;0.6, 0.8, 1))</f>
        <v/>
      </c>
      <c r="M39" s="41">
        <f>IFERROR(SUMIF('Dự án T8'!$B:$B, $B39, 'Dự án T8'!$M:$M)*$L39, 0)</f>
        <v/>
      </c>
      <c r="N39" s="53">
        <f>N(K39)+M39</f>
        <v/>
      </c>
      <c r="O39" s="54">
        <f>CEILING(R39, 100000)</f>
        <v/>
      </c>
      <c r="P39" s="54">
        <f>CEILING(S39, 100000)</f>
        <v/>
      </c>
      <c r="Q39" s="54">
        <f>CEILING(T39, 100000)</f>
        <v/>
      </c>
      <c r="R39" s="54">
        <f>U39*$R$2</f>
        <v/>
      </c>
      <c r="S39" s="54">
        <f>U39*$S$2</f>
        <v/>
      </c>
      <c r="T39" s="54">
        <f>U39*$T$2</f>
        <v/>
      </c>
      <c r="U39" s="41">
        <f>V39/DAY($C$1)</f>
        <v/>
      </c>
      <c r="V39" s="41" t="n">
        <v>55000000</v>
      </c>
      <c r="W39" s="40">
        <f>IFERROR(SUMIFS(data!$C:$C, data!$A:$A, $A39, data!$B:$B, $B39), 0)</f>
        <v/>
      </c>
      <c r="X39" s="41">
        <f>IFERROR(SUMIF(data!$B:$B, $B39, data!$D:$D), 0)</f>
        <v/>
      </c>
      <c r="Y39" s="41">
        <f>IF(W39&gt;0, X39/W39, 0)</f>
        <v/>
      </c>
      <c r="Z39" s="40">
        <f>IFERROR(SUMIFS(data!$E:$E, data!$A:$A, $A39, data!$B:$B, $B39), 0)</f>
        <v/>
      </c>
      <c r="AA39" s="41">
        <f>IFERROR(SUMIF(data!$B:$B, $B39, data!$F:$F), 0)</f>
        <v/>
      </c>
      <c r="AB39" s="41">
        <f>IF(Z39&gt;0, AA39/Z39, 0)</f>
        <v/>
      </c>
      <c r="AC39" s="40">
        <f>W39+Z39</f>
        <v/>
      </c>
      <c r="AD39" s="41">
        <f>X39+AA39</f>
        <v/>
      </c>
      <c r="AE39" s="41">
        <f>IF(AC39&gt;0, AD39/AC39, 0)</f>
        <v/>
      </c>
      <c r="AF39" s="55" t="n"/>
      <c r="AG39" s="55" t="n"/>
      <c r="AH39" s="55" t="n"/>
      <c r="AI39" s="55" t="n"/>
      <c r="AJ39" s="55" t="n"/>
      <c r="AK39" s="55" t="n"/>
      <c r="AL39" s="55" t="n"/>
    </row>
    <row r="40" ht="13.8" customHeight="1">
      <c r="A40" s="39" t="inlineStr">
        <is>
          <t>Rạch Bùng Binh</t>
        </is>
      </c>
      <c r="B40" s="39" t="inlineStr">
        <is>
          <t>Phạm Nguyễn Ngọc Quyền Trân</t>
        </is>
      </c>
      <c r="C40" s="42" t="inlineStr">
        <is>
          <t>DSXC</t>
        </is>
      </c>
      <c r="D40" s="41" t="n">
        <v>245000</v>
      </c>
      <c r="E40" s="41">
        <f>AE40</f>
        <v/>
      </c>
      <c r="F40" s="41" t="n">
        <v>29000</v>
      </c>
      <c r="G40" s="41">
        <f>IFERROR(SUMIF('Dự án T8'!$B:$B, $B40, 'Dự án T8'!$D:$D), 0)</f>
        <v/>
      </c>
      <c r="H40" s="41">
        <f>Q40</f>
        <v/>
      </c>
      <c r="I40" s="41">
        <f>(AD40/DAY($C$1))</f>
        <v/>
      </c>
      <c r="J40" s="52">
        <f>I40/H40</f>
        <v/>
      </c>
      <c r="K40" s="41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42">
        <f>IF(C40="DSTV","", IF(J40&lt;0.6, 0.8, 1))</f>
        <v/>
      </c>
      <c r="M40" s="41">
        <f>IFERROR(SUMIF('Dự án T8'!$B:$B, $B40, 'Dự án T8'!$M:$M)*$L40, 0)</f>
        <v/>
      </c>
      <c r="N40" s="53">
        <f>N(K40)+M40</f>
        <v/>
      </c>
      <c r="O40" s="54">
        <f>CEILING(R40, 100000)</f>
        <v/>
      </c>
      <c r="P40" s="54">
        <f>CEILING(S40, 100000)</f>
        <v/>
      </c>
      <c r="Q40" s="54">
        <f>CEILING(T40, 100000)</f>
        <v/>
      </c>
      <c r="R40" s="54">
        <f>U40*$R$2</f>
        <v/>
      </c>
      <c r="S40" s="54">
        <f>U40*$S$2</f>
        <v/>
      </c>
      <c r="T40" s="54">
        <f>U40*$T$2</f>
        <v/>
      </c>
      <c r="U40" s="41">
        <f>V40/DAY($C$1)</f>
        <v/>
      </c>
      <c r="V40" s="41" t="n">
        <v>130000000</v>
      </c>
      <c r="W40" s="40">
        <f>IFERROR(SUMIFS(data!$C:$C, data!$A:$A, $A40, data!$B:$B, $B40), 0)</f>
        <v/>
      </c>
      <c r="X40" s="41">
        <f>IFERROR(SUMIF(data!$B:$B, $B40, data!$D:$D), 0)</f>
        <v/>
      </c>
      <c r="Y40" s="41">
        <f>IF(W40&gt;0, X40/W40, 0)</f>
        <v/>
      </c>
      <c r="Z40" s="40">
        <f>IFERROR(SUMIFS(data!$E:$E, data!$A:$A, $A40, data!$B:$B, $B40), 0)</f>
        <v/>
      </c>
      <c r="AA40" s="41">
        <f>IFERROR(SUMIF(data!$B:$B, $B40, data!$F:$F), 0)</f>
        <v/>
      </c>
      <c r="AB40" s="41">
        <f>IF(Z40&gt;0, AA40/Z40, 0)</f>
        <v/>
      </c>
      <c r="AC40" s="40">
        <f>W40+Z40</f>
        <v/>
      </c>
      <c r="AD40" s="41">
        <f>X40+AA40</f>
        <v/>
      </c>
      <c r="AE40" s="41">
        <f>IF(AC40&gt;0, AD40/AC40, 0)</f>
        <v/>
      </c>
      <c r="AF40" s="55" t="n"/>
      <c r="AG40" s="55" t="n"/>
      <c r="AH40" s="55" t="n"/>
      <c r="AI40" s="55" t="n"/>
      <c r="AJ40" s="55" t="n"/>
      <c r="AK40" s="55" t="n"/>
      <c r="AL40" s="55" t="n"/>
    </row>
    <row r="41" ht="13.8" customHeight="1">
      <c r="A41" s="39" t="inlineStr">
        <is>
          <t>Lê Bình</t>
        </is>
      </c>
      <c r="B41" s="39" t="inlineStr">
        <is>
          <t>Hồ Thị Minh Hòa</t>
        </is>
      </c>
      <c r="C41" s="42" t="inlineStr">
        <is>
          <t>CHT</t>
        </is>
      </c>
      <c r="D41" s="41" t="n">
        <v>150000</v>
      </c>
      <c r="E41" s="41">
        <f>AE41</f>
        <v/>
      </c>
      <c r="F41" s="41" t="n">
        <v>30000</v>
      </c>
      <c r="G41" s="41">
        <f>IFERROR(SUMIF('Dự án T8'!$B:$B, $B41, 'Dự án T8'!$D:$D), 0)</f>
        <v/>
      </c>
      <c r="H41" s="41">
        <f>Q41</f>
        <v/>
      </c>
      <c r="I41" s="41">
        <f>(AD41/DAY($C$1))</f>
        <v/>
      </c>
      <c r="J41" s="52">
        <f>I41/H41</f>
        <v/>
      </c>
      <c r="K41" s="41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42">
        <f>IF(C41="DSTV","", IF(J41&lt;0.6, 0.8, 1))</f>
        <v/>
      </c>
      <c r="M41" s="41">
        <f>IFERROR(SUMIF('Dự án T8'!$B:$B, $B41, 'Dự án T8'!$M:$M)*$L41, 0)</f>
        <v/>
      </c>
      <c r="N41" s="53">
        <f>N(K41)+M41</f>
        <v/>
      </c>
      <c r="O41" s="54">
        <f>CEILING(R41, 100000)</f>
        <v/>
      </c>
      <c r="P41" s="54">
        <f>CEILING(S41, 100000)</f>
        <v/>
      </c>
      <c r="Q41" s="54">
        <f>CEILING(T41, 100000)</f>
        <v/>
      </c>
      <c r="R41" s="54">
        <f>U41*$R$2</f>
        <v/>
      </c>
      <c r="S41" s="54">
        <f>U41*$S$2</f>
        <v/>
      </c>
      <c r="T41" s="54">
        <f>U41*$T$2</f>
        <v/>
      </c>
      <c r="U41" s="41">
        <f>V41/DAY($C$1)</f>
        <v/>
      </c>
      <c r="V41" s="41" t="n">
        <v>85500000</v>
      </c>
      <c r="W41" s="40">
        <f>IFERROR(SUMIFS(data!$C:$C, data!$A:$A, $A41, data!$B:$B, $B41), 0)</f>
        <v/>
      </c>
      <c r="X41" s="41">
        <f>IFERROR(SUMIF(data!$B:$B, $B41, data!$D:$D), 0)</f>
        <v/>
      </c>
      <c r="Y41" s="41">
        <f>IF(W41&gt;0, X41/W41, 0)</f>
        <v/>
      </c>
      <c r="Z41" s="40">
        <f>IFERROR(SUMIFS(data!$E:$E, data!$A:$A, $A41, data!$B:$B, $B41), 0)</f>
        <v/>
      </c>
      <c r="AA41" s="41">
        <f>IFERROR(SUMIF(data!$B:$B, $B41, data!$F:$F), 0)</f>
        <v/>
      </c>
      <c r="AB41" s="41">
        <f>IF(Z41&gt;0, AA41/Z41, 0)</f>
        <v/>
      </c>
      <c r="AC41" s="40">
        <f>W41+Z41</f>
        <v/>
      </c>
      <c r="AD41" s="41">
        <f>X41+AA41</f>
        <v/>
      </c>
      <c r="AE41" s="41">
        <f>IF(AC41&gt;0, AD41/AC41, 0)</f>
        <v/>
      </c>
      <c r="AF41" s="55" t="n"/>
      <c r="AG41" s="55" t="n"/>
      <c r="AH41" s="55" t="n"/>
      <c r="AI41" s="55" t="n"/>
      <c r="AJ41" s="55" t="n"/>
      <c r="AK41" s="55" t="n"/>
      <c r="AL41" s="55" t="n"/>
    </row>
    <row r="42" ht="13.8" customHeight="1">
      <c r="A42" s="39" t="inlineStr">
        <is>
          <t>Lê Bình</t>
        </is>
      </c>
      <c r="B42" s="39" t="inlineStr">
        <is>
          <t>Lê Thị Xuyến</t>
        </is>
      </c>
      <c r="C42" s="42" t="inlineStr">
        <is>
          <t>DSCD (TV)</t>
        </is>
      </c>
      <c r="D42" s="41" t="n">
        <v>150000</v>
      </c>
      <c r="E42" s="41">
        <f>AE42</f>
        <v/>
      </c>
      <c r="F42" s="41" t="n">
        <v>0</v>
      </c>
      <c r="G42" s="41">
        <f>IFERROR(SUMIF('Dự án T8'!$B:$B, $B42, 'Dự án T8'!$D:$D), 0)</f>
        <v/>
      </c>
      <c r="H42" s="41">
        <f>Q42</f>
        <v/>
      </c>
      <c r="I42" s="41">
        <f>(AD42/DAY($C$1))</f>
        <v/>
      </c>
      <c r="J42" s="52">
        <f>I42/H42</f>
        <v/>
      </c>
      <c r="K42" s="41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42">
        <f>IF(C42="DSTV","", IF(J42&lt;0.6, 0.8, 1))</f>
        <v/>
      </c>
      <c r="M42" s="41">
        <f>IFERROR(SUMIF('Dự án T8'!$B:$B, $B42, 'Dự án T8'!$M:$M)*$L42, 0)</f>
        <v/>
      </c>
      <c r="N42" s="53">
        <f>N(K42)+M42</f>
        <v/>
      </c>
      <c r="O42" s="54">
        <f>CEILING(R42, 100000)</f>
        <v/>
      </c>
      <c r="P42" s="54">
        <f>CEILING(S42, 100000)</f>
        <v/>
      </c>
      <c r="Q42" s="54">
        <f>CEILING(T42, 100000)</f>
        <v/>
      </c>
      <c r="R42" s="54">
        <f>U42*$R$2</f>
        <v/>
      </c>
      <c r="S42" s="54">
        <f>U42*$S$2</f>
        <v/>
      </c>
      <c r="T42" s="54">
        <f>U42*$T$2</f>
        <v/>
      </c>
      <c r="U42" s="41">
        <f>V42/DAY($C$1)</f>
        <v/>
      </c>
      <c r="V42" s="41" t="n">
        <v>80000000</v>
      </c>
      <c r="W42" s="40">
        <f>IFERROR(SUMIFS(data!$C:$C, data!$A:$A, $A42, data!$B:$B, $B42), 0)</f>
        <v/>
      </c>
      <c r="X42" s="41">
        <f>IFERROR(SUMIF(data!$B:$B, $B42, data!$D:$D), 0)</f>
        <v/>
      </c>
      <c r="Y42" s="41">
        <f>IF(W42&gt;0, X42/W42, 0)</f>
        <v/>
      </c>
      <c r="Z42" s="40">
        <f>IFERROR(SUMIFS(data!$E:$E, data!$A:$A, $A42, data!$B:$B, $B42), 0)</f>
        <v/>
      </c>
      <c r="AA42" s="41">
        <f>IFERROR(SUMIF(data!$B:$B, $B42, data!$F:$F), 0)</f>
        <v/>
      </c>
      <c r="AB42" s="41">
        <f>IF(Z42&gt;0, AA42/Z42, 0)</f>
        <v/>
      </c>
      <c r="AC42" s="40">
        <f>W42+Z42</f>
        <v/>
      </c>
      <c r="AD42" s="41">
        <f>X42+AA42</f>
        <v/>
      </c>
      <c r="AE42" s="41">
        <f>IF(AC42&gt;0, AD42/AC42, 0)</f>
        <v/>
      </c>
      <c r="AF42" s="55" t="n"/>
      <c r="AG42" s="55" t="n"/>
      <c r="AH42" s="55" t="n"/>
      <c r="AI42" s="55" t="n"/>
      <c r="AJ42" s="55" t="n"/>
      <c r="AK42" s="55" t="n"/>
      <c r="AL42" s="55" t="n"/>
    </row>
    <row r="43" ht="13.8" customHeight="1">
      <c r="A43" s="39" t="inlineStr">
        <is>
          <t>Lê Bình</t>
        </is>
      </c>
      <c r="B43" s="39" t="inlineStr">
        <is>
          <t>Đinh Hoài Bảo</t>
        </is>
      </c>
      <c r="C43" s="42" t="inlineStr">
        <is>
          <t>DSCD (TV)</t>
        </is>
      </c>
      <c r="D43" s="41" t="n">
        <v>150000</v>
      </c>
      <c r="E43" s="41">
        <f>AE43</f>
        <v/>
      </c>
      <c r="F43" s="41" t="n">
        <v>33000</v>
      </c>
      <c r="G43" s="41">
        <f>IFERROR(SUMIF('Dự án T8'!$B:$B, $B43, 'Dự án T8'!$D:$D), 0)</f>
        <v/>
      </c>
      <c r="H43" s="41">
        <f>Q43</f>
        <v/>
      </c>
      <c r="I43" s="41">
        <f>(AD43/DAY($C$1))</f>
        <v/>
      </c>
      <c r="J43" s="52">
        <f>I43/H43</f>
        <v/>
      </c>
      <c r="K43" s="41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42">
        <f>IF(C43="DSTV","", IF(J43&lt;0.6, 0.8, 1))</f>
        <v/>
      </c>
      <c r="M43" s="41">
        <f>IFERROR(SUMIF('Dự án T8'!$B:$B, $B43, 'Dự án T8'!$M:$M)*$L43, 0)</f>
        <v/>
      </c>
      <c r="N43" s="53">
        <f>N(K43)+M43</f>
        <v/>
      </c>
      <c r="O43" s="54">
        <f>CEILING(R43, 100000)</f>
        <v/>
      </c>
      <c r="P43" s="54">
        <f>CEILING(S43, 100000)</f>
        <v/>
      </c>
      <c r="Q43" s="54">
        <f>CEILING(T43, 100000)</f>
        <v/>
      </c>
      <c r="R43" s="54">
        <f>U43*$R$2</f>
        <v/>
      </c>
      <c r="S43" s="54">
        <f>U43*$S$2</f>
        <v/>
      </c>
      <c r="T43" s="54">
        <f>U43*$T$2</f>
        <v/>
      </c>
      <c r="U43" s="41">
        <f>V43/DAY($C$1)</f>
        <v/>
      </c>
      <c r="V43" s="41" t="n">
        <v>80000000</v>
      </c>
      <c r="W43" s="40">
        <f>IFERROR(SUMIFS(data!$C:$C, data!$A:$A, $A43, data!$B:$B, $B43), 0)</f>
        <v/>
      </c>
      <c r="X43" s="41">
        <f>IFERROR(SUMIF(data!$B:$B, $B43, data!$D:$D), 0)</f>
        <v/>
      </c>
      <c r="Y43" s="41">
        <f>IF(W43&gt;0, X43/W43, 0)</f>
        <v/>
      </c>
      <c r="Z43" s="40">
        <f>IFERROR(SUMIFS(data!$E:$E, data!$A:$A, $A43, data!$B:$B, $B43), 0)</f>
        <v/>
      </c>
      <c r="AA43" s="41">
        <f>IFERROR(SUMIF(data!$B:$B, $B43, data!$F:$F), 0)</f>
        <v/>
      </c>
      <c r="AB43" s="41">
        <f>IF(Z43&gt;0, AA43/Z43, 0)</f>
        <v/>
      </c>
      <c r="AC43" s="40">
        <f>W43+Z43</f>
        <v/>
      </c>
      <c r="AD43" s="41">
        <f>X43+AA43</f>
        <v/>
      </c>
      <c r="AE43" s="41">
        <f>IF(AC43&gt;0, AD43/AC43, 0)</f>
        <v/>
      </c>
      <c r="AF43" s="55" t="n"/>
      <c r="AG43" s="55" t="n"/>
      <c r="AH43" s="55" t="n"/>
      <c r="AI43" s="55" t="n"/>
      <c r="AJ43" s="55" t="n"/>
      <c r="AK43" s="55" t="n"/>
      <c r="AL43" s="55" t="n"/>
    </row>
    <row r="44" ht="13.8" customHeight="1">
      <c r="A44" s="39" t="inlineStr">
        <is>
          <t>Lê Bình</t>
        </is>
      </c>
      <c r="B44" s="39" t="inlineStr">
        <is>
          <t>Hoàng Lâm Gia Bảo</t>
        </is>
      </c>
      <c r="C44" s="42" t="inlineStr">
        <is>
          <t>DSXC</t>
        </is>
      </c>
      <c r="D44" s="41" t="n">
        <v>245000</v>
      </c>
      <c r="E44" s="41">
        <f>AE44</f>
        <v/>
      </c>
      <c r="F44" s="41" t="n">
        <v>20000</v>
      </c>
      <c r="G44" s="41">
        <f>IFERROR(SUMIF('Dự án T8'!$B:$B, $B44, 'Dự án T8'!$D:$D), 0)</f>
        <v/>
      </c>
      <c r="H44" s="41">
        <f>Q44</f>
        <v/>
      </c>
      <c r="I44" s="41">
        <f>(AD44/DAY($C$1))</f>
        <v/>
      </c>
      <c r="J44" s="52">
        <f>I44/H44</f>
        <v/>
      </c>
      <c r="K44" s="41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42">
        <f>IF(C44="DSTV","", IF(J44&lt;0.6, 0.8, 1))</f>
        <v/>
      </c>
      <c r="M44" s="41">
        <f>IFERROR(SUMIF('Dự án T8'!$B:$B, $B44, 'Dự án T8'!$M:$M)*$L44, 0)</f>
        <v/>
      </c>
      <c r="N44" s="53">
        <f>N(K44)+M44</f>
        <v/>
      </c>
      <c r="O44" s="54">
        <f>CEILING(R44, 100000)</f>
        <v/>
      </c>
      <c r="P44" s="54">
        <f>CEILING(S44, 100000)</f>
        <v/>
      </c>
      <c r="Q44" s="54">
        <f>CEILING(T44, 100000)</f>
        <v/>
      </c>
      <c r="R44" s="54">
        <f>U44*$R$2</f>
        <v/>
      </c>
      <c r="S44" s="54">
        <f>U44*$S$2</f>
        <v/>
      </c>
      <c r="T44" s="54">
        <f>U44*$T$2</f>
        <v/>
      </c>
      <c r="U44" s="41">
        <f>V44/DAY($C$1)</f>
        <v/>
      </c>
      <c r="V44" s="41" t="n">
        <v>80000000</v>
      </c>
      <c r="W44" s="40">
        <f>IFERROR(SUMIFS(data!$C:$C, data!$A:$A, $A44, data!$B:$B, $B44), 0)</f>
        <v/>
      </c>
      <c r="X44" s="41">
        <f>IFERROR(SUMIF(data!$B:$B, $B44, data!$D:$D), 0)</f>
        <v/>
      </c>
      <c r="Y44" s="41">
        <f>IF(W44&gt;0, X44/W44, 0)</f>
        <v/>
      </c>
      <c r="Z44" s="40">
        <f>IFERROR(SUMIFS(data!$E:$E, data!$A:$A, $A44, data!$B:$B, $B44), 0)</f>
        <v/>
      </c>
      <c r="AA44" s="41">
        <f>IFERROR(SUMIF(data!$B:$B, $B44, data!$F:$F), 0)</f>
        <v/>
      </c>
      <c r="AB44" s="41">
        <f>IF(Z44&gt;0, AA44/Z44, 0)</f>
        <v/>
      </c>
      <c r="AC44" s="40">
        <f>W44+Z44</f>
        <v/>
      </c>
      <c r="AD44" s="41">
        <f>X44+AA44</f>
        <v/>
      </c>
      <c r="AE44" s="41">
        <f>IF(AC44&gt;0, AD44/AC44, 0)</f>
        <v/>
      </c>
      <c r="AF44" s="55" t="n"/>
      <c r="AG44" s="55" t="n"/>
      <c r="AH44" s="55" t="n"/>
      <c r="AI44" s="55" t="n"/>
      <c r="AJ44" s="55" t="n"/>
      <c r="AK44" s="55" t="n"/>
      <c r="AL44" s="55" t="n"/>
    </row>
    <row r="45" ht="13.8" customHeight="1">
      <c r="A45" s="39" t="inlineStr">
        <is>
          <t>Lê Bình</t>
        </is>
      </c>
      <c r="B45" s="39" t="inlineStr">
        <is>
          <t>Trần Thị Phương Thùy</t>
        </is>
      </c>
      <c r="C45" s="42" t="inlineStr">
        <is>
          <t>DSHV</t>
        </is>
      </c>
      <c r="D45" s="41" t="n">
        <v>150000</v>
      </c>
      <c r="E45" s="41">
        <f>AE45</f>
        <v/>
      </c>
      <c r="F45" s="41" t="n">
        <v>0</v>
      </c>
      <c r="G45" s="41">
        <f>IFERROR(SUMIF('Dự án T8'!$B:$B, $B45, 'Dự án T8'!$D:$D), 0)</f>
        <v/>
      </c>
      <c r="H45" s="41">
        <f>Q45</f>
        <v/>
      </c>
      <c r="I45" s="41">
        <f>(AD45/DAY($C$1))</f>
        <v/>
      </c>
      <c r="J45" s="52">
        <f>I45/H45</f>
        <v/>
      </c>
      <c r="K45" s="41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42">
        <f>IF(C45="DSTV","", IF(J45&lt;0.6, 0.8, 1))</f>
        <v/>
      </c>
      <c r="M45" s="41">
        <f>IFERROR(SUMIF('Dự án T8'!$B:$B, $B45, 'Dự án T8'!$M:$M)*$L45, 0)</f>
        <v/>
      </c>
      <c r="N45" s="53">
        <f>N(K45)+M45</f>
        <v/>
      </c>
      <c r="O45" s="54">
        <f>CEILING(R45, 100000)</f>
        <v/>
      </c>
      <c r="P45" s="54">
        <f>CEILING(S45, 100000)</f>
        <v/>
      </c>
      <c r="Q45" s="54">
        <f>CEILING(T45, 100000)</f>
        <v/>
      </c>
      <c r="R45" s="54">
        <f>U45*$R$2</f>
        <v/>
      </c>
      <c r="S45" s="54">
        <f>U45*$S$2</f>
        <v/>
      </c>
      <c r="T45" s="54">
        <f>U45*$T$2</f>
        <v/>
      </c>
      <c r="U45" s="41">
        <f>V45/DAY($C$1)</f>
        <v/>
      </c>
      <c r="V45" s="41" t="n">
        <v>55000000</v>
      </c>
      <c r="W45" s="40">
        <f>IFERROR(SUMIFS(data!$C:$C, data!$A:$A, $A45, data!$B:$B, $B45), 0)</f>
        <v/>
      </c>
      <c r="X45" s="41">
        <f>IFERROR(SUMIF(data!$B:$B, $B45, data!$D:$D), 0)</f>
        <v/>
      </c>
      <c r="Y45" s="41">
        <f>IF(W45&gt;0, X45/W45, 0)</f>
        <v/>
      </c>
      <c r="Z45" s="40">
        <f>IFERROR(SUMIFS(data!$E:$E, data!$A:$A, $A45, data!$B:$B, $B45), 0)</f>
        <v/>
      </c>
      <c r="AA45" s="41">
        <f>IFERROR(SUMIF(data!$B:$B, $B45, data!$F:$F), 0)</f>
        <v/>
      </c>
      <c r="AB45" s="41">
        <f>IF(Z45&gt;0, AA45/Z45, 0)</f>
        <v/>
      </c>
      <c r="AC45" s="40">
        <f>W45+Z45</f>
        <v/>
      </c>
      <c r="AD45" s="41">
        <f>X45+AA45</f>
        <v/>
      </c>
      <c r="AE45" s="41">
        <f>IF(AC45&gt;0, AD45/AC45, 0)</f>
        <v/>
      </c>
      <c r="AF45" s="55" t="n"/>
      <c r="AG45" s="55" t="n"/>
      <c r="AH45" s="55" t="n"/>
      <c r="AI45" s="55" t="n"/>
      <c r="AJ45" s="55" t="n"/>
      <c r="AK45" s="55" t="n"/>
      <c r="AL45" s="55" t="n"/>
    </row>
    <row r="46" ht="13.8" customHeight="1">
      <c r="A46" s="39" t="inlineStr">
        <is>
          <t>Hàng Bông</t>
        </is>
      </c>
      <c r="B46" s="39" t="inlineStr">
        <is>
          <t>Đinh Thị Lan Anh</t>
        </is>
      </c>
      <c r="C46" s="42" t="inlineStr">
        <is>
          <t>CHT</t>
        </is>
      </c>
      <c r="D46" s="41" t="n">
        <v>254044</v>
      </c>
      <c r="E46" s="41">
        <f>AE46</f>
        <v/>
      </c>
      <c r="F46" s="41" t="n">
        <v>3170000</v>
      </c>
      <c r="G46" s="41">
        <f>IFERROR(SUMIF('Dự án T8'!$B:$B, $B46, 'Dự án T8'!$D:$D), 0)</f>
        <v/>
      </c>
      <c r="H46" s="41">
        <f>Q46</f>
        <v/>
      </c>
      <c r="I46" s="41">
        <f>(AD46/DAY($C$1))</f>
        <v/>
      </c>
      <c r="J46" s="52">
        <f>I46/H46</f>
        <v/>
      </c>
      <c r="K46" s="41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42">
        <f>IF(C46="DSTV","", IF(J46&lt;0.6, 0.8, 1))</f>
        <v/>
      </c>
      <c r="M46" s="41">
        <f>IFERROR(SUMIF('Dự án T8'!$B:$B, $B46, 'Dự án T8'!$M:$M)*$L46, 0)</f>
        <v/>
      </c>
      <c r="N46" s="53">
        <f>N(K46)+M46</f>
        <v/>
      </c>
      <c r="O46" s="54">
        <f>CEILING(R46, 100000)</f>
        <v/>
      </c>
      <c r="P46" s="54">
        <f>CEILING(S46, 100000)</f>
        <v/>
      </c>
      <c r="Q46" s="54">
        <f>CEILING(T46, 100000)</f>
        <v/>
      </c>
      <c r="R46" s="54">
        <f>U46*$R$2</f>
        <v/>
      </c>
      <c r="S46" s="54">
        <f>U46*$S$2</f>
        <v/>
      </c>
      <c r="T46" s="54">
        <f>U46*$T$2</f>
        <v/>
      </c>
      <c r="U46" s="41">
        <f>V46/DAY($C$1)</f>
        <v/>
      </c>
      <c r="V46" s="41" t="n">
        <v>272800000</v>
      </c>
      <c r="W46" s="40">
        <f>IFERROR(SUMIFS(data!$C:$C, data!$A:$A, $A46, data!$B:$B, $B46), 0)</f>
        <v/>
      </c>
      <c r="X46" s="41">
        <f>IFERROR(SUMIF(data!$B:$B, $B46, data!$D:$D), 0)</f>
        <v/>
      </c>
      <c r="Y46" s="41">
        <f>IF(W46&gt;0, X46/W46, 0)</f>
        <v/>
      </c>
      <c r="Z46" s="40">
        <f>IFERROR(SUMIFS(data!$E:$E, data!$A:$A, $A46, data!$B:$B, $B46), 0)</f>
        <v/>
      </c>
      <c r="AA46" s="41">
        <f>IFERROR(SUMIF(data!$B:$B, $B46, data!$F:$F), 0)</f>
        <v/>
      </c>
      <c r="AB46" s="41">
        <f>IF(Z46&gt;0, AA46/Z46, 0)</f>
        <v/>
      </c>
      <c r="AC46" s="40">
        <f>W46+Z46</f>
        <v/>
      </c>
      <c r="AD46" s="41">
        <f>X46+AA46</f>
        <v/>
      </c>
      <c r="AE46" s="41">
        <f>IF(AC46&gt;0, AD46/AC46, 0)</f>
        <v/>
      </c>
      <c r="AF46" s="55" t="n"/>
      <c r="AG46" s="55" t="n"/>
      <c r="AH46" s="55" t="n"/>
      <c r="AI46" s="55" t="n"/>
      <c r="AJ46" s="55" t="n"/>
      <c r="AK46" s="55" t="n"/>
      <c r="AL46" s="55" t="n"/>
    </row>
    <row r="47" ht="13.8" customHeight="1">
      <c r="A47" s="39" t="inlineStr">
        <is>
          <t>Hàng Bông</t>
        </is>
      </c>
      <c r="B47" s="39" t="inlineStr">
        <is>
          <t>Vũ Thanh Hằng</t>
        </is>
      </c>
      <c r="C47" s="42" t="inlineStr">
        <is>
          <t>BC</t>
        </is>
      </c>
      <c r="D47" s="41" t="n">
        <v>291791</v>
      </c>
      <c r="E47" s="41">
        <f>AE47</f>
        <v/>
      </c>
      <c r="F47" s="41" t="n">
        <v>4595000</v>
      </c>
      <c r="G47" s="41">
        <f>IFERROR(SUMIF('Dự án T8'!$B:$B, $B47, 'Dự án T8'!$D:$D), 0)</f>
        <v/>
      </c>
      <c r="H47" s="41">
        <f>Q47</f>
        <v/>
      </c>
      <c r="I47" s="41">
        <f>(AD47/DAY($C$1))</f>
        <v/>
      </c>
      <c r="J47" s="52">
        <f>I47/H47</f>
        <v/>
      </c>
      <c r="K47" s="41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42">
        <f>IF(C47="DSTV","", IF(J47&lt;0.6, 0.8, 1))</f>
        <v/>
      </c>
      <c r="M47" s="41">
        <f>IFERROR(SUMIF('Dự án T8'!$B:$B, $B47, 'Dự án T8'!$M:$M)*$L47, 0)</f>
        <v/>
      </c>
      <c r="N47" s="53">
        <f>N(K47)+M47</f>
        <v/>
      </c>
      <c r="O47" s="54">
        <f>CEILING(R47, 100000)</f>
        <v/>
      </c>
      <c r="P47" s="54">
        <f>CEILING(S47, 100000)</f>
        <v/>
      </c>
      <c r="Q47" s="54">
        <f>CEILING(T47, 100000)</f>
        <v/>
      </c>
      <c r="R47" s="54">
        <f>U47*$R$2</f>
        <v/>
      </c>
      <c r="S47" s="54">
        <f>U47*$S$2</f>
        <v/>
      </c>
      <c r="T47" s="54">
        <f>U47*$T$2</f>
        <v/>
      </c>
      <c r="U47" s="41">
        <f>V47/DAY($C$1)</f>
        <v/>
      </c>
      <c r="V47" s="41" t="n">
        <v>282100000</v>
      </c>
      <c r="W47" s="40">
        <f>IFERROR(SUMIFS(data!$C:$C, data!$A:$A, $A47, data!$B:$B, $B47), 0)</f>
        <v/>
      </c>
      <c r="X47" s="41">
        <f>IFERROR(SUMIF(data!$B:$B, $B47, data!$D:$D), 0)</f>
        <v/>
      </c>
      <c r="Y47" s="41">
        <f>IF(W47&gt;0, X47/W47, 0)</f>
        <v/>
      </c>
      <c r="Z47" s="40">
        <f>IFERROR(SUMIFS(data!$E:$E, data!$A:$A, $A47, data!$B:$B, $B47), 0)</f>
        <v/>
      </c>
      <c r="AA47" s="41">
        <f>IFERROR(SUMIF(data!$B:$B, $B47, data!$F:$F), 0)</f>
        <v/>
      </c>
      <c r="AB47" s="41">
        <f>IF(Z47&gt;0, AA47/Z47, 0)</f>
        <v/>
      </c>
      <c r="AC47" s="40">
        <f>W47+Z47</f>
        <v/>
      </c>
      <c r="AD47" s="41">
        <f>X47+AA47</f>
        <v/>
      </c>
      <c r="AE47" s="41">
        <f>IF(AC47&gt;0, AD47/AC47, 0)</f>
        <v/>
      </c>
      <c r="AF47" s="55" t="n"/>
      <c r="AG47" s="55" t="n"/>
      <c r="AH47" s="55" t="n"/>
      <c r="AI47" s="55" t="n"/>
      <c r="AJ47" s="55" t="n"/>
      <c r="AK47" s="55" t="n"/>
      <c r="AL47" s="55" t="n"/>
    </row>
    <row r="48" ht="13.8" customHeight="1">
      <c r="A48" s="39" t="inlineStr">
        <is>
          <t>Hàng Bông</t>
        </is>
      </c>
      <c r="B48" s="39" t="inlineStr">
        <is>
          <t>Nguyễn Mạnh Tuấn</t>
        </is>
      </c>
      <c r="C48" s="42" t="inlineStr">
        <is>
          <t>BC</t>
        </is>
      </c>
      <c r="D48" s="41" t="n">
        <v>167786</v>
      </c>
      <c r="E48" s="41">
        <f>AE48</f>
        <v/>
      </c>
      <c r="F48" s="41" t="n">
        <v>1662000</v>
      </c>
      <c r="G48" s="41">
        <f>IFERROR(SUMIF('Dự án T8'!$B:$B, $B48, 'Dự án T8'!$D:$D), 0)</f>
        <v/>
      </c>
      <c r="H48" s="41">
        <f>Q48</f>
        <v/>
      </c>
      <c r="I48" s="41">
        <f>(AD48/DAY($C$1))</f>
        <v/>
      </c>
      <c r="J48" s="52">
        <f>I48/H48</f>
        <v/>
      </c>
      <c r="K48" s="41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42">
        <f>IF(C48="DSTV","", IF(J48&lt;0.6, 0.8, 1))</f>
        <v/>
      </c>
      <c r="M48" s="41">
        <f>IFERROR(SUMIF('Dự án T8'!$B:$B, $B48, 'Dự án T8'!$M:$M)*$L48, 0)</f>
        <v/>
      </c>
      <c r="N48" s="53">
        <f>N(K48)+M48</f>
        <v/>
      </c>
      <c r="O48" s="54">
        <f>CEILING(R48, 100000)</f>
        <v/>
      </c>
      <c r="P48" s="54">
        <f>CEILING(S48, 100000)</f>
        <v/>
      </c>
      <c r="Q48" s="54">
        <f>CEILING(T48, 100000)</f>
        <v/>
      </c>
      <c r="R48" s="54">
        <f>U48*$R$2</f>
        <v/>
      </c>
      <c r="S48" s="54">
        <f>U48*$S$2</f>
        <v/>
      </c>
      <c r="T48" s="54">
        <f>U48*$T$2</f>
        <v/>
      </c>
      <c r="U48" s="41">
        <f>V48/DAY($C$1)</f>
        <v/>
      </c>
      <c r="V48" s="41" t="n">
        <v>251100000</v>
      </c>
      <c r="W48" s="40">
        <f>IFERROR(SUMIFS(data!$C:$C, data!$A:$A, $A48, data!$B:$B, $B48), 0)</f>
        <v/>
      </c>
      <c r="X48" s="41">
        <f>IFERROR(SUMIF(data!$B:$B, $B48, data!$D:$D), 0)</f>
        <v/>
      </c>
      <c r="Y48" s="41">
        <f>IF(W48&gt;0, X48/W48, 0)</f>
        <v/>
      </c>
      <c r="Z48" s="40">
        <f>IFERROR(SUMIFS(data!$E:$E, data!$A:$A, $A48, data!$B:$B, $B48), 0)</f>
        <v/>
      </c>
      <c r="AA48" s="41">
        <f>IFERROR(SUMIF(data!$B:$B, $B48, data!$F:$F), 0)</f>
        <v/>
      </c>
      <c r="AB48" s="41">
        <f>IF(Z48&gt;0, AA48/Z48, 0)</f>
        <v/>
      </c>
      <c r="AC48" s="40">
        <f>W48+Z48</f>
        <v/>
      </c>
      <c r="AD48" s="41">
        <f>X48+AA48</f>
        <v/>
      </c>
      <c r="AE48" s="41">
        <f>IF(AC48&gt;0, AD48/AC48, 0)</f>
        <v/>
      </c>
      <c r="AF48" s="55" t="n"/>
      <c r="AG48" s="55" t="n"/>
      <c r="AH48" s="55" t="n"/>
      <c r="AI48" s="55" t="n"/>
      <c r="AJ48" s="55" t="n"/>
      <c r="AK48" s="55" t="n"/>
      <c r="AL48" s="55" t="n"/>
    </row>
    <row r="49" ht="13.8" customHeight="1">
      <c r="A49" s="39" t="inlineStr">
        <is>
          <t>Hàng Bông</t>
        </is>
      </c>
      <c r="B49" s="39" t="inlineStr">
        <is>
          <t>Đinh Thị Khánh Ly</t>
        </is>
      </c>
      <c r="C49" s="42" t="inlineStr">
        <is>
          <t>BC</t>
        </is>
      </c>
      <c r="D49" s="41" t="n">
        <v>277347</v>
      </c>
      <c r="E49" s="41">
        <f>AE49</f>
        <v/>
      </c>
      <c r="F49" s="41" t="n">
        <v>5388000</v>
      </c>
      <c r="G49" s="41">
        <f>IFERROR(SUMIF('Dự án T8'!$B:$B, $B49, 'Dự án T8'!$D:$D), 0)</f>
        <v/>
      </c>
      <c r="H49" s="41">
        <f>Q49</f>
        <v/>
      </c>
      <c r="I49" s="41">
        <f>(AD49/DAY($C$1))</f>
        <v/>
      </c>
      <c r="J49" s="52">
        <f>I49/H49</f>
        <v/>
      </c>
      <c r="K49" s="41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42">
        <f>IF(C49="DSTV","", IF(J49&lt;0.6, 0.8, 1))</f>
        <v/>
      </c>
      <c r="M49" s="41">
        <f>IFERROR(SUMIF('Dự án T8'!$B:$B, $B49, 'Dự án T8'!$M:$M)*$L49, 0)</f>
        <v/>
      </c>
      <c r="N49" s="53">
        <f>N(K49)+M49</f>
        <v/>
      </c>
      <c r="O49" s="54">
        <f>CEILING(R49, 100000)</f>
        <v/>
      </c>
      <c r="P49" s="54">
        <f>CEILING(S49, 100000)</f>
        <v/>
      </c>
      <c r="Q49" s="54">
        <f>CEILING(T49, 100000)</f>
        <v/>
      </c>
      <c r="R49" s="54">
        <f>U49*$R$2</f>
        <v/>
      </c>
      <c r="S49" s="54">
        <f>U49*$S$2</f>
        <v/>
      </c>
      <c r="T49" s="54">
        <f>U49*$T$2</f>
        <v/>
      </c>
      <c r="U49" s="41">
        <f>V49/DAY($C$1)</f>
        <v/>
      </c>
      <c r="V49" s="41" t="n">
        <v>282100000</v>
      </c>
      <c r="W49" s="40">
        <f>IFERROR(SUMIFS(data!$C:$C, data!$A:$A, $A49, data!$B:$B, $B49), 0)</f>
        <v/>
      </c>
      <c r="X49" s="41">
        <f>IFERROR(SUMIF(data!$B:$B, $B49, data!$D:$D), 0)</f>
        <v/>
      </c>
      <c r="Y49" s="41">
        <f>IF(W49&gt;0, X49/W49, 0)</f>
        <v/>
      </c>
      <c r="Z49" s="40">
        <f>IFERROR(SUMIFS(data!$E:$E, data!$A:$A, $A49, data!$B:$B, $B49), 0)</f>
        <v/>
      </c>
      <c r="AA49" s="41">
        <f>IFERROR(SUMIF(data!$B:$B, $B49, data!$F:$F), 0)</f>
        <v/>
      </c>
      <c r="AB49" s="41">
        <f>IF(Z49&gt;0, AA49/Z49, 0)</f>
        <v/>
      </c>
      <c r="AC49" s="40">
        <f>W49+Z49</f>
        <v/>
      </c>
      <c r="AD49" s="41">
        <f>X49+AA49</f>
        <v/>
      </c>
      <c r="AE49" s="41">
        <f>IF(AC49&gt;0, AD49/AC49, 0)</f>
        <v/>
      </c>
      <c r="AF49" s="55" t="n"/>
      <c r="AG49" s="55" t="n"/>
      <c r="AH49" s="55" t="n"/>
      <c r="AI49" s="55" t="n"/>
      <c r="AJ49" s="55" t="n"/>
      <c r="AK49" s="55" t="n"/>
      <c r="AL49" s="55" t="n"/>
    </row>
    <row r="50" ht="13.8" customHeight="1">
      <c r="A50" s="39" t="inlineStr">
        <is>
          <t>Đường Láng</t>
        </is>
      </c>
      <c r="B50" s="39" t="inlineStr">
        <is>
          <t>Hứa Thị Kim Thoa</t>
        </is>
      </c>
      <c r="C50" s="42" t="inlineStr">
        <is>
          <t>CHT</t>
        </is>
      </c>
      <c r="D50" s="41" t="n">
        <v>111697</v>
      </c>
      <c r="E50" s="41">
        <f>AE50</f>
        <v/>
      </c>
      <c r="F50" s="41" t="n">
        <v>451000</v>
      </c>
      <c r="G50" s="41">
        <f>IFERROR(SUMIF('Dự án T8'!$B:$B, $B50, 'Dự án T8'!$D:$D), 0)</f>
        <v/>
      </c>
      <c r="H50" s="41">
        <f>Q50</f>
        <v/>
      </c>
      <c r="I50" s="41">
        <f>(AD50/DAY($C$1))</f>
        <v/>
      </c>
      <c r="J50" s="52">
        <f>I50/H50</f>
        <v/>
      </c>
      <c r="K50" s="41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42">
        <f>IF(C50="DSTV","", IF(J50&lt;0.6, 0.8, 1))</f>
        <v/>
      </c>
      <c r="M50" s="41">
        <f>IFERROR(SUMIF('Dự án T8'!$B:$B, $B50, 'Dự án T8'!$M:$M)*$L50, 0)</f>
        <v/>
      </c>
      <c r="N50" s="53">
        <f>N(K50)+M50</f>
        <v/>
      </c>
      <c r="O50" s="54">
        <f>CEILING(R50, 100000)</f>
        <v/>
      </c>
      <c r="P50" s="54">
        <f>CEILING(S50, 100000)</f>
        <v/>
      </c>
      <c r="Q50" s="54">
        <f>CEILING(T50, 100000)</f>
        <v/>
      </c>
      <c r="R50" s="54">
        <f>U50*$R$2</f>
        <v/>
      </c>
      <c r="S50" s="54">
        <f>U50*$S$2</f>
        <v/>
      </c>
      <c r="T50" s="54">
        <f>U50*$T$2</f>
        <v/>
      </c>
      <c r="U50" s="41">
        <f>V50/DAY($C$1)</f>
        <v/>
      </c>
      <c r="V50" s="41" t="n">
        <v>130200000</v>
      </c>
      <c r="W50" s="40">
        <f>IFERROR(SUMIFS(data!$C:$C, data!$A:$A, $A50, data!$B:$B, $B50), 0)</f>
        <v/>
      </c>
      <c r="X50" s="41">
        <f>IFERROR(SUMIF(data!$B:$B, $B50, data!$D:$D), 0)</f>
        <v/>
      </c>
      <c r="Y50" s="41">
        <f>IF(W50&gt;0, X50/W50, 0)</f>
        <v/>
      </c>
      <c r="Z50" s="40">
        <f>IFERROR(SUMIFS(data!$E:$E, data!$A:$A, $A50, data!$B:$B, $B50), 0)</f>
        <v/>
      </c>
      <c r="AA50" s="41">
        <f>IFERROR(SUMIF(data!$B:$B, $B50, data!$F:$F), 0)</f>
        <v/>
      </c>
      <c r="AB50" s="41">
        <f>IF(Z50&gt;0, AA50/Z50, 0)</f>
        <v/>
      </c>
      <c r="AC50" s="40">
        <f>W50+Z50</f>
        <v/>
      </c>
      <c r="AD50" s="41">
        <f>X50+AA50</f>
        <v/>
      </c>
      <c r="AE50" s="41">
        <f>IF(AC50&gt;0, AD50/AC50, 0)</f>
        <v/>
      </c>
      <c r="AF50" s="55" t="n"/>
      <c r="AG50" s="55" t="n"/>
      <c r="AH50" s="55" t="n"/>
      <c r="AI50" s="55" t="n"/>
      <c r="AJ50" s="55" t="n"/>
      <c r="AK50" s="55" t="n"/>
      <c r="AL50" s="55" t="n"/>
    </row>
    <row r="51" ht="13.8" customHeight="1">
      <c r="A51" s="39" t="inlineStr">
        <is>
          <t>Đường Láng</t>
        </is>
      </c>
      <c r="B51" s="39" t="inlineStr">
        <is>
          <t>Lê Thị Soạn</t>
        </is>
      </c>
      <c r="C51" s="42" t="inlineStr">
        <is>
          <t>BC</t>
        </is>
      </c>
      <c r="D51" s="41" t="n">
        <v>128314</v>
      </c>
      <c r="E51" s="41">
        <f>AE51</f>
        <v/>
      </c>
      <c r="F51" s="41" t="n">
        <v>4035000</v>
      </c>
      <c r="G51" s="41">
        <f>IFERROR(SUMIF('Dự án T8'!$B:$B, $B51, 'Dự án T8'!$D:$D), 0)</f>
        <v/>
      </c>
      <c r="H51" s="41">
        <f>Q51</f>
        <v/>
      </c>
      <c r="I51" s="41">
        <f>(AD51/DAY($C$1))</f>
        <v/>
      </c>
      <c r="J51" s="52">
        <f>I51/H51</f>
        <v/>
      </c>
      <c r="K51" s="41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42">
        <f>IF(C51="DSTV","", IF(J51&lt;0.6, 0.8, 1))</f>
        <v/>
      </c>
      <c r="M51" s="41">
        <f>IFERROR(SUMIF('Dự án T8'!$B:$B, $B51, 'Dự án T8'!$M:$M)*$L51, 0)</f>
        <v/>
      </c>
      <c r="N51" s="53">
        <f>N(K51)+M51</f>
        <v/>
      </c>
      <c r="O51" s="54">
        <f>CEILING(R51, 100000)</f>
        <v/>
      </c>
      <c r="P51" s="54">
        <f>CEILING(S51, 100000)</f>
        <v/>
      </c>
      <c r="Q51" s="54">
        <f>CEILING(T51, 100000)</f>
        <v/>
      </c>
      <c r="R51" s="54">
        <f>U51*$R$2</f>
        <v/>
      </c>
      <c r="S51" s="54">
        <f>U51*$S$2</f>
        <v/>
      </c>
      <c r="T51" s="54">
        <f>U51*$T$2</f>
        <v/>
      </c>
      <c r="U51" s="41">
        <f>V51/DAY($C$1)</f>
        <v/>
      </c>
      <c r="V51" s="41" t="n">
        <v>220100000</v>
      </c>
      <c r="W51" s="40">
        <f>IFERROR(SUMIFS(data!$C:$C, data!$A:$A, $A51, data!$B:$B, $B51), 0)</f>
        <v/>
      </c>
      <c r="X51" s="41">
        <f>IFERROR(SUMIF(data!$B:$B, $B51, data!$D:$D), 0)</f>
        <v/>
      </c>
      <c r="Y51" s="41">
        <f>IF(W51&gt;0, X51/W51, 0)</f>
        <v/>
      </c>
      <c r="Z51" s="40">
        <f>IFERROR(SUMIFS(data!$E:$E, data!$A:$A, $A51, data!$B:$B, $B51), 0)</f>
        <v/>
      </c>
      <c r="AA51" s="41">
        <f>IFERROR(SUMIF(data!$B:$B, $B51, data!$F:$F), 0)</f>
        <v/>
      </c>
      <c r="AB51" s="41">
        <f>IF(Z51&gt;0, AA51/Z51, 0)</f>
        <v/>
      </c>
      <c r="AC51" s="40">
        <f>W51+Z51</f>
        <v/>
      </c>
      <c r="AD51" s="41">
        <f>X51+AA51</f>
        <v/>
      </c>
      <c r="AE51" s="41">
        <f>IF(AC51&gt;0, AD51/AC51, 0)</f>
        <v/>
      </c>
      <c r="AF51" s="55" t="n"/>
      <c r="AG51" s="55" t="n"/>
      <c r="AH51" s="55" t="n"/>
      <c r="AI51" s="55" t="n"/>
      <c r="AJ51" s="55" t="n"/>
      <c r="AK51" s="55" t="n"/>
      <c r="AL51" s="55" t="n"/>
    </row>
    <row r="52" ht="13.8" customHeight="1">
      <c r="A52" s="39" t="inlineStr">
        <is>
          <t>Đường Láng</t>
        </is>
      </c>
      <c r="B52" s="39" t="inlineStr">
        <is>
          <t>Nguyễn Thị Tâm</t>
        </is>
      </c>
      <c r="C52" s="42" t="inlineStr">
        <is>
          <t>BC</t>
        </is>
      </c>
      <c r="D52" s="41" t="n">
        <v>213994</v>
      </c>
      <c r="E52" s="41">
        <f>AE52</f>
        <v/>
      </c>
      <c r="F52" s="41" t="n">
        <v>3873000</v>
      </c>
      <c r="G52" s="41">
        <f>IFERROR(SUMIF('Dự án T8'!$B:$B, $B52, 'Dự án T8'!$D:$D), 0)</f>
        <v/>
      </c>
      <c r="H52" s="41">
        <f>Q52</f>
        <v/>
      </c>
      <c r="I52" s="41">
        <f>(AD52/DAY($C$1))</f>
        <v/>
      </c>
      <c r="J52" s="52">
        <f>I52/H52</f>
        <v/>
      </c>
      <c r="K52" s="41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42">
        <f>IF(C52="DSTV","", IF(J52&lt;0.6, 0.8, 1))</f>
        <v/>
      </c>
      <c r="M52" s="41">
        <f>IFERROR(SUMIF('Dự án T8'!$B:$B, $B52, 'Dự án T8'!$M:$M)*$L52, 0)</f>
        <v/>
      </c>
      <c r="N52" s="53">
        <f>N(K52)+M52</f>
        <v/>
      </c>
      <c r="O52" s="54">
        <f>CEILING(R52, 100000)</f>
        <v/>
      </c>
      <c r="P52" s="54">
        <f>CEILING(S52, 100000)</f>
        <v/>
      </c>
      <c r="Q52" s="54">
        <f>CEILING(T52, 100000)</f>
        <v/>
      </c>
      <c r="R52" s="54">
        <f>U52*$R$2</f>
        <v/>
      </c>
      <c r="S52" s="54">
        <f>U52*$S$2</f>
        <v/>
      </c>
      <c r="T52" s="54">
        <f>U52*$T$2</f>
        <v/>
      </c>
      <c r="U52" s="41">
        <f>V52/DAY($C$1)</f>
        <v/>
      </c>
      <c r="V52" s="41" t="n">
        <v>192200000</v>
      </c>
      <c r="W52" s="40">
        <f>IFERROR(SUMIFS(data!$C:$C, data!$A:$A, $A52, data!$B:$B, $B52), 0)</f>
        <v/>
      </c>
      <c r="X52" s="41">
        <f>IFERROR(SUMIF(data!$B:$B, $B52, data!$D:$D), 0)</f>
        <v/>
      </c>
      <c r="Y52" s="41">
        <f>IF(W52&gt;0, X52/W52, 0)</f>
        <v/>
      </c>
      <c r="Z52" s="40">
        <f>IFERROR(SUMIFS(data!$E:$E, data!$A:$A, $A52, data!$B:$B, $B52), 0)</f>
        <v/>
      </c>
      <c r="AA52" s="41">
        <f>IFERROR(SUMIF(data!$B:$B, $B52, data!$F:$F), 0)</f>
        <v/>
      </c>
      <c r="AB52" s="41">
        <f>IF(Z52&gt;0, AA52/Z52, 0)</f>
        <v/>
      </c>
      <c r="AC52" s="40">
        <f>W52+Z52</f>
        <v/>
      </c>
      <c r="AD52" s="41">
        <f>X52+AA52</f>
        <v/>
      </c>
      <c r="AE52" s="41">
        <f>IF(AC52&gt;0, AD52/AC52, 0)</f>
        <v/>
      </c>
      <c r="AF52" s="55" t="n"/>
      <c r="AG52" s="55" t="n"/>
      <c r="AH52" s="55" t="n"/>
      <c r="AI52" s="55" t="n"/>
      <c r="AJ52" s="55" t="n"/>
      <c r="AK52" s="55" t="n"/>
      <c r="AL52" s="55" t="n"/>
    </row>
    <row r="53" ht="13.8" customHeight="1">
      <c r="A53" s="39" t="inlineStr">
        <is>
          <t>Đường Láng</t>
        </is>
      </c>
      <c r="B53" s="39" t="inlineStr">
        <is>
          <t>Nguyễn Thị Mai Duyên</t>
        </is>
      </c>
      <c r="C53" s="42" t="inlineStr">
        <is>
          <t>BC</t>
        </is>
      </c>
      <c r="D53" s="41" t="n">
        <v>206605</v>
      </c>
      <c r="E53" s="41">
        <f>AE53</f>
        <v/>
      </c>
      <c r="F53" s="41" t="n">
        <v>3763000</v>
      </c>
      <c r="G53" s="41">
        <f>IFERROR(SUMIF('Dự án T8'!$B:$B, $B53, 'Dự án T8'!$D:$D), 0)</f>
        <v/>
      </c>
      <c r="H53" s="41">
        <f>Q53</f>
        <v/>
      </c>
      <c r="I53" s="41">
        <f>(AD53/DAY($C$1))</f>
        <v/>
      </c>
      <c r="J53" s="52">
        <f>I53/H53</f>
        <v/>
      </c>
      <c r="K53" s="41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42">
        <f>IF(C53="DSTV","", IF(J53&lt;0.6, 0.8, 1))</f>
        <v/>
      </c>
      <c r="M53" s="41">
        <f>IFERROR(SUMIF('Dự án T8'!$B:$B, $B53, 'Dự án T8'!$M:$M)*$L53, 0)</f>
        <v/>
      </c>
      <c r="N53" s="53">
        <f>N(K53)+M53</f>
        <v/>
      </c>
      <c r="O53" s="54">
        <f>CEILING(R53, 100000)</f>
        <v/>
      </c>
      <c r="P53" s="54">
        <f>CEILING(S53, 100000)</f>
        <v/>
      </c>
      <c r="Q53" s="54">
        <f>CEILING(T53, 100000)</f>
        <v/>
      </c>
      <c r="R53" s="54">
        <f>U53*$R$2</f>
        <v/>
      </c>
      <c r="S53" s="54">
        <f>U53*$S$2</f>
        <v/>
      </c>
      <c r="T53" s="54">
        <f>U53*$T$2</f>
        <v/>
      </c>
      <c r="U53" s="41">
        <f>V53/DAY($C$1)</f>
        <v/>
      </c>
      <c r="V53" s="41" t="n">
        <v>220100000</v>
      </c>
      <c r="W53" s="40">
        <f>IFERROR(SUMIFS(data!$C:$C, data!$A:$A, $A53, data!$B:$B, $B53), 0)</f>
        <v/>
      </c>
      <c r="X53" s="41">
        <f>IFERROR(SUMIF(data!$B:$B, $B53, data!$D:$D), 0)</f>
        <v/>
      </c>
      <c r="Y53" s="41">
        <f>IF(W53&gt;0, X53/W53, 0)</f>
        <v/>
      </c>
      <c r="Z53" s="40">
        <f>IFERROR(SUMIFS(data!$E:$E, data!$A:$A, $A53, data!$B:$B, $B53), 0)</f>
        <v/>
      </c>
      <c r="AA53" s="41">
        <f>IFERROR(SUMIF(data!$B:$B, $B53, data!$F:$F), 0)</f>
        <v/>
      </c>
      <c r="AB53" s="41">
        <f>IF(Z53&gt;0, AA53/Z53, 0)</f>
        <v/>
      </c>
      <c r="AC53" s="40">
        <f>W53+Z53</f>
        <v/>
      </c>
      <c r="AD53" s="41">
        <f>X53+AA53</f>
        <v/>
      </c>
      <c r="AE53" s="41">
        <f>IF(AC53&gt;0, AD53/AC53, 0)</f>
        <v/>
      </c>
      <c r="AF53" s="55" t="n"/>
      <c r="AG53" s="55" t="n"/>
      <c r="AH53" s="55" t="n"/>
      <c r="AI53" s="55" t="n"/>
      <c r="AJ53" s="55" t="n"/>
      <c r="AK53" s="55" t="n"/>
      <c r="AL53" s="55" t="n"/>
    </row>
    <row r="54" ht="13.8" customHeight="1">
      <c r="A54" s="39" t="inlineStr">
        <is>
          <t>Đường Láng</t>
        </is>
      </c>
      <c r="B54" s="39" t="inlineStr">
        <is>
          <t>Trần Ngọc Dung</t>
        </is>
      </c>
      <c r="C54" s="42" t="inlineStr">
        <is>
          <t>BC</t>
        </is>
      </c>
      <c r="D54" s="41" t="n">
        <v>135660</v>
      </c>
      <c r="E54" s="41">
        <f>AE54</f>
        <v/>
      </c>
      <c r="F54" s="41" t="n">
        <v>576000</v>
      </c>
      <c r="G54" s="41">
        <f>IFERROR(SUMIF('Dự án T8'!$B:$B, $B54, 'Dự án T8'!$D:$D), 0)</f>
        <v/>
      </c>
      <c r="H54" s="41">
        <f>Q54</f>
        <v/>
      </c>
      <c r="I54" s="41">
        <f>(AD54/DAY($C$1))</f>
        <v/>
      </c>
      <c r="J54" s="52">
        <f>I54/H54</f>
        <v/>
      </c>
      <c r="K54" s="41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42">
        <f>IF(C54="DSTV","", IF(J54&lt;0.6, 0.8, 1))</f>
        <v/>
      </c>
      <c r="M54" s="41">
        <f>IFERROR(SUMIF('Dự án T8'!$B:$B, $B54, 'Dự án T8'!$M:$M)*$L54, 0)</f>
        <v/>
      </c>
      <c r="N54" s="53">
        <f>N(K54)+M54</f>
        <v/>
      </c>
      <c r="O54" s="54">
        <f>CEILING(R54, 100000)</f>
        <v/>
      </c>
      <c r="P54" s="54">
        <f>CEILING(S54, 100000)</f>
        <v/>
      </c>
      <c r="Q54" s="54">
        <f>CEILING(T54, 100000)</f>
        <v/>
      </c>
      <c r="R54" s="54">
        <f>U54*$R$2</f>
        <v/>
      </c>
      <c r="S54" s="54">
        <f>U54*$S$2</f>
        <v/>
      </c>
      <c r="T54" s="54">
        <f>U54*$T$2</f>
        <v/>
      </c>
      <c r="U54" s="41">
        <f>V54/DAY($C$1)</f>
        <v/>
      </c>
      <c r="V54" s="41" t="n">
        <v>192200000</v>
      </c>
      <c r="W54" s="40">
        <f>IFERROR(SUMIFS(data!$C:$C, data!$A:$A, $A54, data!$B:$B, $B54), 0)</f>
        <v/>
      </c>
      <c r="X54" s="41">
        <f>IFERROR(SUMIF(data!$B:$B, $B54, data!$D:$D), 0)</f>
        <v/>
      </c>
      <c r="Y54" s="41">
        <f>IF(W54&gt;0, X54/W54, 0)</f>
        <v/>
      </c>
      <c r="Z54" s="40">
        <f>IFERROR(SUMIFS(data!$E:$E, data!$A:$A, $A54, data!$B:$B, $B54), 0)</f>
        <v/>
      </c>
      <c r="AA54" s="41">
        <f>IFERROR(SUMIF(data!$B:$B, $B54, data!$F:$F), 0)</f>
        <v/>
      </c>
      <c r="AB54" s="41">
        <f>IF(Z54&gt;0, AA54/Z54, 0)</f>
        <v/>
      </c>
      <c r="AC54" s="40">
        <f>W54+Z54</f>
        <v/>
      </c>
      <c r="AD54" s="41">
        <f>X54+AA54</f>
        <v/>
      </c>
      <c r="AE54" s="41">
        <f>IF(AC54&gt;0, AD54/AC54, 0)</f>
        <v/>
      </c>
      <c r="AF54" s="55" t="n"/>
      <c r="AG54" s="55" t="n"/>
      <c r="AH54" s="55" t="n"/>
      <c r="AI54" s="55" t="n"/>
      <c r="AJ54" s="55" t="n"/>
      <c r="AK54" s="55" t="n"/>
      <c r="AL54" s="55" t="n"/>
    </row>
    <row r="55" ht="13.8" customHeight="1">
      <c r="A55" s="39" t="inlineStr">
        <is>
          <t>Nam Hòa</t>
        </is>
      </c>
      <c r="B55" s="39" t="inlineStr">
        <is>
          <t>Nguyễn Trí Nghĩa</t>
        </is>
      </c>
      <c r="C55" s="42" t="inlineStr">
        <is>
          <t>DSBC</t>
        </is>
      </c>
      <c r="D55" s="41" t="n">
        <v>150000</v>
      </c>
      <c r="E55" s="41">
        <f>AE55</f>
        <v/>
      </c>
      <c r="F55" s="41" t="n">
        <v>0</v>
      </c>
      <c r="G55" s="41">
        <f>IFERROR(SUMIF('Dự án T8'!$B:$B, $B55, 'Dự án T8'!$D:$D), 0)</f>
        <v/>
      </c>
      <c r="H55" s="41">
        <f>Q55</f>
        <v/>
      </c>
      <c r="I55" s="41">
        <f>(AD55/DAY($C$1))</f>
        <v/>
      </c>
      <c r="J55" s="52">
        <f>I55/H55</f>
        <v/>
      </c>
      <c r="K55" s="41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0.010, TRUE, 0), 0))</f>
        <v/>
      </c>
      <c r="L55" s="42">
        <f>IF(C55="DSTV","", IF(J55&lt;0.6, 0.8, 1))</f>
        <v/>
      </c>
      <c r="M55" s="41">
        <f>IFERROR(SUMIF('Dự án T8'!$B:$B, $B55, 'Dự án T8'!$M:$M)*$L55, 0)</f>
        <v/>
      </c>
      <c r="N55" s="53">
        <f>N(K55)+M55</f>
        <v/>
      </c>
      <c r="O55" s="54">
        <f>CEILING(R55, 100000)</f>
        <v/>
      </c>
      <c r="P55" s="54">
        <f>CEILING(S55, 100000)</f>
        <v/>
      </c>
      <c r="Q55" s="54">
        <f>CEILING(T55, 100000)</f>
        <v/>
      </c>
      <c r="R55" s="54">
        <f>U55*$R$2</f>
        <v/>
      </c>
      <c r="S55" s="54">
        <f>U55*$S$2</f>
        <v/>
      </c>
      <c r="T55" s="54">
        <f>U55*$T$2</f>
        <v/>
      </c>
      <c r="U55" s="41">
        <f>V55/DAY($C$1)</f>
        <v/>
      </c>
      <c r="V55" s="41" t="n">
        <v>270000000</v>
      </c>
      <c r="W55" s="40">
        <f>IFERROR(SUMIFS(data!$C:$C, data!$A:$A, $A55, data!$B:$B, $B55), 0)</f>
        <v/>
      </c>
      <c r="X55" s="41">
        <f>IFERROR(SUMIF(data!$B:$B, $B55, data!$D:$D), 0)</f>
        <v/>
      </c>
      <c r="Y55" s="41">
        <f>IF(W55&gt;0, X55/W55, 0)</f>
        <v/>
      </c>
      <c r="Z55" s="40">
        <f>IFERROR(SUMIFS(data!$E:$E, data!$A:$A, $A55, data!$B:$B, $B55), 0)</f>
        <v/>
      </c>
      <c r="AA55" s="41">
        <f>IFERROR(SUMIF(data!$B:$B, $B55, data!$F:$F), 0)</f>
        <v/>
      </c>
      <c r="AB55" s="41">
        <f>IF(Z55&gt;0, AA55/Z55, 0)</f>
        <v/>
      </c>
      <c r="AC55" s="40">
        <f>W55+Z55</f>
        <v/>
      </c>
      <c r="AD55" s="41">
        <f>X55+AA55</f>
        <v/>
      </c>
      <c r="AE55" s="41">
        <f>IF(AC55&gt;0, AD55/AC55, 0)</f>
        <v/>
      </c>
      <c r="AF55" s="55" t="n"/>
      <c r="AG55" s="55" t="n"/>
      <c r="AH55" s="55" t="n"/>
      <c r="AI55" s="55" t="n"/>
      <c r="AJ55" s="55" t="n"/>
      <c r="AK55" s="55" t="n"/>
      <c r="AL55" s="55" t="n"/>
    </row>
    <row r="56" ht="13.8" customHeight="1">
      <c r="A56" s="39" t="inlineStr">
        <is>
          <t>Nam Hòa</t>
        </is>
      </c>
      <c r="B56" s="39" t="inlineStr">
        <is>
          <t>Thanh Thảo</t>
        </is>
      </c>
      <c r="C56" s="42" t="inlineStr">
        <is>
          <t>DSBC</t>
        </is>
      </c>
      <c r="D56" s="41" t="n">
        <v>150000</v>
      </c>
      <c r="E56" s="41">
        <f>AE56</f>
        <v/>
      </c>
      <c r="F56" s="41" t="n">
        <v>0</v>
      </c>
      <c r="G56" s="41">
        <f>IFERROR(SUMIF('Dự án T8'!$B:$B, $B56, 'Dự án T8'!$D:$D), 0)</f>
        <v/>
      </c>
      <c r="H56" s="41">
        <f>Q56</f>
        <v/>
      </c>
      <c r="I56" s="41">
        <f>(AD56/DAY($C$1))</f>
        <v/>
      </c>
      <c r="J56" s="52">
        <f>I56/H56</f>
        <v/>
      </c>
      <c r="K56" s="41">
        <f>_xlfn.XLOOKUP(B56, 'kpi nhà thuốc'!$A:$A, 'kpi nhà thuốc'!$G:$G, IF(AND(OR(C56="DSXC", C56="DSCD", C56="DSBC", C56="DSTV", C56="Q.CHT"), G56&gt;=F56), AD56 * _xlfn.IFS(AND(I56&gt;=T56, E56&gt;=D56), 0.015, I56&gt;=T56, 0.013, AND(I56&gt;=S56, E56&gt;=D56), 0.013, I56&gt;=S56, 0.011, AND(I56&gt;=R56, E56&gt;=D56), 0.012, I56&gt;=R56, 0.010, TRUE, 0), 0))</f>
        <v/>
      </c>
      <c r="L56" s="42">
        <f>IF(C56="DSTV","", IF(J56&lt;0.6, 0.8, 1))</f>
        <v/>
      </c>
      <c r="M56" s="41">
        <f>IFERROR(SUMIF('Dự án T8'!$B:$B, $B56, 'Dự án T8'!$M:$M)*$L56, 0)</f>
        <v/>
      </c>
      <c r="N56" s="53">
        <f>N(K56)+M56</f>
        <v/>
      </c>
      <c r="O56" s="54">
        <f>CEILING(R56, 100000)</f>
        <v/>
      </c>
      <c r="P56" s="54">
        <f>CEILING(S56, 100000)</f>
        <v/>
      </c>
      <c r="Q56" s="54">
        <f>CEILING(T56, 100000)</f>
        <v/>
      </c>
      <c r="R56" s="54">
        <f>U56*$R$2</f>
        <v/>
      </c>
      <c r="S56" s="54">
        <f>U56*$S$2</f>
        <v/>
      </c>
      <c r="T56" s="54">
        <f>U56*$T$2</f>
        <v/>
      </c>
      <c r="U56" s="41">
        <f>V56/DAY($C$1)</f>
        <v/>
      </c>
      <c r="V56" s="41" t="n">
        <v>270000000</v>
      </c>
      <c r="W56" s="40">
        <f>IFERROR(SUMIFS(data!$C:$C, data!$A:$A, $A56, data!$B:$B, $B56), 0)</f>
        <v/>
      </c>
      <c r="X56" s="41">
        <f>IFERROR(SUMIF(data!$B:$B, $B56, data!$D:$D), 0)</f>
        <v/>
      </c>
      <c r="Y56" s="41">
        <f>IF(W56&gt;0, X56/W56, 0)</f>
        <v/>
      </c>
      <c r="Z56" s="40">
        <f>IFERROR(SUMIFS(data!$E:$E, data!$A:$A, $A56, data!$B:$B, $B56), 0)</f>
        <v/>
      </c>
      <c r="AA56" s="41">
        <f>IFERROR(SUMIF(data!$B:$B, $B56, data!$F:$F), 0)</f>
        <v/>
      </c>
      <c r="AB56" s="41">
        <f>IF(Z56&gt;0, AA56/Z56, 0)</f>
        <v/>
      </c>
      <c r="AC56" s="40">
        <f>W56+Z56</f>
        <v/>
      </c>
      <c r="AD56" s="41">
        <f>X56+AA56</f>
        <v/>
      </c>
      <c r="AE56" s="41">
        <f>IF(AC56&gt;0, AD56/AC56, 0)</f>
        <v/>
      </c>
      <c r="AF56" s="55" t="n"/>
      <c r="AG56" s="55" t="n"/>
      <c r="AH56" s="55" t="n"/>
      <c r="AI56" s="55" t="n"/>
      <c r="AJ56" s="55" t="n"/>
      <c r="AK56" s="55" t="n"/>
      <c r="AL56" s="55" t="n"/>
    </row>
    <row r="57" ht="13.8" customHeight="1">
      <c r="A57" s="39" t="inlineStr">
        <is>
          <t>Trường Sa</t>
        </is>
      </c>
      <c r="B57" s="39" t="inlineStr">
        <is>
          <t>Medigo</t>
        </is>
      </c>
      <c r="C57" s="42" t="inlineStr">
        <is>
          <t>DSBC</t>
        </is>
      </c>
      <c r="D57" s="41" t="n">
        <v>150000</v>
      </c>
      <c r="E57" s="41">
        <f>AE57</f>
        <v/>
      </c>
      <c r="F57" s="41" t="n">
        <v>0</v>
      </c>
      <c r="G57" s="41">
        <f>IFERROR(SUMIF('Dự án T8'!$B:$B, $B57, 'Dự án T8'!$D:$D), 0)</f>
        <v/>
      </c>
      <c r="H57" s="41">
        <f>Q57</f>
        <v/>
      </c>
      <c r="I57" s="41">
        <f>(AD57/DAY($C$1))</f>
        <v/>
      </c>
      <c r="J57" s="52">
        <f>I57/H57</f>
        <v/>
      </c>
      <c r="K57" s="41">
        <f>_xlfn.XLOOKUP(B57, 'kpi nhà thuốc'!$A:$A, 'kpi nhà thuốc'!$G:$G, IF(AND(OR(C57="DSXC", C57="DSCD", C57="DSBC", C57="DSTV", C57="Q.CHT"), G57&gt;=F57), AD57 * _xlfn.IFS(AND(I57&gt;=T57, E57&gt;=D57), 0.015, I57&gt;=T57, 0.013, AND(I57&gt;=S57, E57&gt;=D57), 0.013, I57&gt;=S57, 0.011, AND(I57&gt;=R57, E57&gt;=D57), 0.012, I57&gt;=R57, 0.010, TRUE, 0), 0))</f>
        <v/>
      </c>
      <c r="L57" s="42">
        <f>IF(C57="DSTV","", IF(J57&lt;0.6, 0.8, 1))</f>
        <v/>
      </c>
      <c r="M57" s="41">
        <f>IFERROR(SUMIF('Dự án T8'!$B:$B, $B57, 'Dự án T8'!$M:$M)*$L57, 0)</f>
        <v/>
      </c>
      <c r="N57" s="53">
        <f>N(K57)+M57</f>
        <v/>
      </c>
      <c r="O57" s="54">
        <f>CEILING(R57, 100000)</f>
        <v/>
      </c>
      <c r="P57" s="54">
        <f>CEILING(S57, 100000)</f>
        <v/>
      </c>
      <c r="Q57" s="54">
        <f>CEILING(T57, 100000)</f>
        <v/>
      </c>
      <c r="R57" s="54">
        <f>U57*$R$2</f>
        <v/>
      </c>
      <c r="S57" s="54">
        <f>U57*$S$2</f>
        <v/>
      </c>
      <c r="T57" s="54">
        <f>U57*$T$2</f>
        <v/>
      </c>
      <c r="U57" s="41">
        <f>V57/DAY($C$1)</f>
        <v/>
      </c>
      <c r="V57" s="41" t="n">
        <v>270000000</v>
      </c>
      <c r="W57" s="40">
        <f>IFERROR(SUMIFS(data!$C:$C, data!$A:$A, $A57, data!$B:$B, $B57), 0)</f>
        <v/>
      </c>
      <c r="X57" s="41">
        <f>IFERROR(SUMIF(data!$B:$B, $B57, data!$D:$D), 0)</f>
        <v/>
      </c>
      <c r="Y57" s="41">
        <f>IF(W57&gt;0, X57/W57, 0)</f>
        <v/>
      </c>
      <c r="Z57" s="40">
        <f>IFERROR(SUMIFS(data!$E:$E, data!$A:$A, $A57, data!$B:$B, $B57), 0)</f>
        <v/>
      </c>
      <c r="AA57" s="41">
        <f>IFERROR(SUMIF(data!$B:$B, $B57, data!$F:$F), 0)</f>
        <v/>
      </c>
      <c r="AB57" s="41">
        <f>IF(Z57&gt;0, AA57/Z57, 0)</f>
        <v/>
      </c>
      <c r="AC57" s="40">
        <f>W57+Z57</f>
        <v/>
      </c>
      <c r="AD57" s="41">
        <f>X57+AA57</f>
        <v/>
      </c>
      <c r="AE57" s="41">
        <f>IF(AC57&gt;0, AD57/AC57, 0)</f>
        <v/>
      </c>
      <c r="AF57" s="55" t="n"/>
      <c r="AG57" s="55" t="n"/>
      <c r="AH57" s="55" t="n"/>
      <c r="AI57" s="55" t="n"/>
      <c r="AJ57" s="55" t="n"/>
      <c r="AK57" s="55" t="n"/>
      <c r="AL57" s="55" t="n"/>
    </row>
  </sheetData>
  <mergeCells count="3">
    <mergeCell ref="R1:T1"/>
    <mergeCell ref="O1:Q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.89" customWidth="1" min="1" max="1"/>
    <col width="15" customWidth="1" min="2" max="2"/>
    <col width="16.11" customWidth="1" min="3" max="3"/>
    <col width="15.66" customWidth="1" min="4" max="4"/>
    <col width="16.11" customWidth="1" min="5" max="5"/>
    <col width="13.11" customWidth="1" min="6" max="6"/>
    <col width="13" customWidth="1" min="7" max="7"/>
    <col width="12.78" customWidth="1" min="8" max="8"/>
    <col width="12.66" customWidth="1" min="9" max="9"/>
    <col width="13" customWidth="1" min="10" max="10"/>
    <col width="12.66" customWidth="1" min="11" max="11"/>
    <col width="12.6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.89" customWidth="1" min="22" max="22"/>
    <col width="14.25" customWidth="1" min="23" max="23"/>
    <col width="12.6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0.25" customHeight="1">
      <c r="D1" s="56" t="inlineStr">
        <is>
          <t>Dữ liệu cập nhật đến ngày</t>
        </is>
      </c>
      <c r="F1" s="44">
        <f>'kpi dược sĩ'!$C$1</f>
        <v/>
      </c>
      <c r="T1" s="44">
        <f>'kpi dược sĩ'!$C$1</f>
        <v/>
      </c>
    </row>
    <row r="2" ht="39.75" customHeight="1">
      <c r="A2" s="57" t="inlineStr">
        <is>
          <t>Cửa hàng trưởng</t>
        </is>
      </c>
      <c r="B2" s="57" t="inlineStr">
        <is>
          <t>Nhà thuốc</t>
        </is>
      </c>
      <c r="C2" s="57" t="inlineStr">
        <is>
          <t>KPI doanh thu (tháng)</t>
        </is>
      </c>
      <c r="D2" s="58" t="inlineStr">
        <is>
          <t>Doanh thu thực tế (tháng)</t>
        </is>
      </c>
      <c r="E2" s="58" t="inlineStr">
        <is>
          <t>Doanh thu thực tế (ngày)</t>
        </is>
      </c>
      <c r="F2" s="57" t="inlineStr">
        <is>
          <t>Tỷ lệ đạt KPIs</t>
        </is>
      </c>
      <c r="G2" s="57" t="inlineStr">
        <is>
          <t>Thưởng CHT</t>
        </is>
      </c>
      <c r="H2" s="59" t="inlineStr">
        <is>
          <t>KPIs mức 1</t>
        </is>
      </c>
      <c r="I2" s="59" t="inlineStr">
        <is>
          <t>KPIs hàng điểm mức 1</t>
        </is>
      </c>
      <c r="J2" s="59" t="inlineStr">
        <is>
          <t>KPIs mức 1/tháng</t>
        </is>
      </c>
      <c r="K2" s="59" t="inlineStr">
        <is>
          <t>KPIs mức 1/ngày</t>
        </is>
      </c>
      <c r="L2" s="59" t="inlineStr">
        <is>
          <t>KPIs mức 1/ngày</t>
        </is>
      </c>
      <c r="M2" s="48" t="inlineStr">
        <is>
          <t>KPIs mức 2</t>
        </is>
      </c>
      <c r="N2" s="48" t="inlineStr">
        <is>
          <t>KPIs hàng điểm mức 2</t>
        </is>
      </c>
      <c r="O2" s="48" t="inlineStr">
        <is>
          <t>KPIs mức 2/tháng</t>
        </is>
      </c>
      <c r="P2" s="48" t="inlineStr">
        <is>
          <t>KPIs mức 2/ngày</t>
        </is>
      </c>
      <c r="Q2" s="57" t="inlineStr">
        <is>
          <t>KPIs mức 3</t>
        </is>
      </c>
      <c r="R2" s="57" t="inlineStr">
        <is>
          <t>KPIs hàng điểm mức 3</t>
        </is>
      </c>
      <c r="S2" s="57" t="inlineStr">
        <is>
          <t>KPIs mức 3/tháng</t>
        </is>
      </c>
      <c r="T2" s="57" t="inlineStr">
        <is>
          <t>KPIs mức 3/ngày</t>
        </is>
      </c>
      <c r="U2" s="51" t="inlineStr">
        <is>
          <t>Doanh thu hàng điểm</t>
        </is>
      </c>
      <c r="V2" s="58" t="inlineStr">
        <is>
          <t>Hàng điểm/ Doanh thu tổng</t>
        </is>
      </c>
      <c r="W2" s="58" t="inlineStr">
        <is>
          <t>Xét Đạt KPI</t>
        </is>
      </c>
      <c r="X2" s="58" t="inlineStr">
        <is>
          <t>Số giao dịch off</t>
        </is>
      </c>
      <c r="Y2" s="58" t="inlineStr">
        <is>
          <t>Doanh thu off</t>
        </is>
      </c>
      <c r="Z2" s="58" t="inlineStr">
        <is>
          <t>Tbbill off</t>
        </is>
      </c>
      <c r="AA2" s="60" t="inlineStr">
        <is>
          <t>Số giao dịch onl</t>
        </is>
      </c>
      <c r="AB2" s="60" t="inlineStr">
        <is>
          <t>Doanh thu onl</t>
        </is>
      </c>
      <c r="AC2" s="60" t="inlineStr">
        <is>
          <t>Tbbill onl</t>
        </is>
      </c>
      <c r="AD2" s="61" t="inlineStr">
        <is>
          <t>Tổng giao dịch</t>
        </is>
      </c>
      <c r="AE2" s="61" t="inlineStr">
        <is>
          <t>Doanh thu tổng</t>
        </is>
      </c>
      <c r="AF2" s="61" t="inlineStr">
        <is>
          <t>Trung bình Bill</t>
        </is>
      </c>
      <c r="AG2" s="37" t="n"/>
      <c r="AH2" s="37" t="n"/>
      <c r="AI2" s="37" t="n"/>
      <c r="AJ2" s="37" t="n"/>
      <c r="AK2" s="37" t="n"/>
      <c r="AL2" s="37" t="n"/>
    </row>
    <row r="3" ht="15.75" customHeight="1">
      <c r="A3" s="39" t="inlineStr">
        <is>
          <t>Đinh Thị Lan Anh</t>
        </is>
      </c>
      <c r="B3" s="42" t="inlineStr">
        <is>
          <t>Hàng Bông</t>
        </is>
      </c>
      <c r="C3" s="41" t="n">
        <v>574089563</v>
      </c>
      <c r="D3" s="41">
        <f>AE3</f>
        <v/>
      </c>
      <c r="E3" s="41">
        <f>D3/DAY('kpi dược sĩ'!$C$1)</f>
        <v/>
      </c>
      <c r="F3" s="62">
        <f>E3/T3</f>
        <v/>
      </c>
      <c r="G3" s="63">
        <f>IF(W3&lt;&gt;"Đạt", 0, IF(E3&gt;=T3, D3*0.5%+1000000, IF(E3&gt;=P3, D3*0.4%+700000, IF(E3&gt;=K3, D3*0.35%+500000, 0))))</f>
        <v/>
      </c>
      <c r="H3" s="54" t="n">
        <v>0.8</v>
      </c>
      <c r="I3" s="41">
        <f>J3*0.25</f>
        <v/>
      </c>
      <c r="J3" s="41">
        <f>C3*H3</f>
        <v/>
      </c>
      <c r="K3" s="41">
        <f>T3*H3</f>
        <v/>
      </c>
      <c r="L3" s="41">
        <f>CEILING(K3, 100000)</f>
        <v/>
      </c>
      <c r="M3" s="54" t="n">
        <v>0.9</v>
      </c>
      <c r="N3" s="41">
        <f>O3*0.25</f>
        <v/>
      </c>
      <c r="O3" s="41">
        <f>C3*M3</f>
        <v/>
      </c>
      <c r="P3" s="41">
        <f>T3*M3</f>
        <v/>
      </c>
      <c r="Q3" s="54" t="n">
        <v>1</v>
      </c>
      <c r="R3" s="41">
        <f>S3*0.25</f>
        <v/>
      </c>
      <c r="S3" s="41">
        <f>C3*Q3</f>
        <v/>
      </c>
      <c r="T3" s="41">
        <f>C3/DAY($T$1)</f>
        <v/>
      </c>
      <c r="U3" s="41">
        <f>SUMIF('Dự án T8'!$A:$A, B3, 'Dự án T8'!$D:$D)*DAY($F$1)</f>
        <v/>
      </c>
      <c r="V3" s="62">
        <f>U3/D3</f>
        <v/>
      </c>
      <c r="W3" s="42">
        <f>IF(OR(F3="", V3=""), "", IF(AND(F3&gt;=80%, V3&gt;=25%), "Đạt", "Không đạt"))</f>
        <v/>
      </c>
      <c r="X3" s="40">
        <f>SUMIF(data!$A:$A, B3, data!$C:$C)</f>
        <v/>
      </c>
      <c r="Y3" s="41">
        <f>SUMIF(data!$A:$A, B3, data!$D:$D)</f>
        <v/>
      </c>
      <c r="Z3" s="41">
        <f>IF(X3&gt;0, Y3/X3, 0)</f>
        <v/>
      </c>
      <c r="AA3" s="40">
        <f>SUMIF(data!$A:$A, B3, data!$E:$E)</f>
        <v/>
      </c>
      <c r="AB3" s="41">
        <f>SUMIF(data!$A:$A, B3, data!$F:$F)</f>
        <v/>
      </c>
      <c r="AC3" s="41">
        <f>IF(AA3&gt;0, AB3/AA3, 0)</f>
        <v/>
      </c>
      <c r="AD3" s="40">
        <f>X3+AA3</f>
        <v/>
      </c>
      <c r="AE3" s="41">
        <f>Y3+AB3</f>
        <v/>
      </c>
      <c r="AF3" s="41">
        <f>IF(AD3&gt;0, AE3/AD3, 0)</f>
        <v/>
      </c>
      <c r="AG3" s="55" t="n"/>
      <c r="AH3" s="55" t="n"/>
      <c r="AI3" s="55" t="n"/>
      <c r="AJ3" s="55" t="n"/>
      <c r="AK3" s="55" t="n"/>
      <c r="AL3" s="55" t="n"/>
    </row>
    <row r="4" ht="15.75" customHeight="1">
      <c r="A4" s="39" t="inlineStr">
        <is>
          <t>Hứa Thị Kim Thoa</t>
        </is>
      </c>
      <c r="B4" s="42" t="inlineStr">
        <is>
          <t>Đường Láng</t>
        </is>
      </c>
      <c r="C4" s="41" t="n">
        <v>492042962</v>
      </c>
      <c r="D4" s="41">
        <f>AE4</f>
        <v/>
      </c>
      <c r="E4" s="41">
        <f>D4/DAY('kpi dược sĩ'!$C$1)</f>
        <v/>
      </c>
      <c r="F4" s="62">
        <f>E4/T4</f>
        <v/>
      </c>
      <c r="G4" s="63">
        <f>IF(W4&lt;&gt;"Đạt", 0, IF(E4&gt;=T4, D4*0.5%+1000000, IF(E4&gt;=P4, D4*0.4%+700000, IF(E4&gt;=K4, D4*0.35%+500000, 0))))</f>
        <v/>
      </c>
      <c r="H4" s="54" t="n">
        <v>0.8</v>
      </c>
      <c r="I4" s="41">
        <f>J4*0.25</f>
        <v/>
      </c>
      <c r="J4" s="41">
        <f>C4*H4</f>
        <v/>
      </c>
      <c r="K4" s="41">
        <f>T4*H4</f>
        <v/>
      </c>
      <c r="L4" s="41">
        <f>CEILING(K4, 100000)</f>
        <v/>
      </c>
      <c r="M4" s="54" t="n">
        <v>0.9</v>
      </c>
      <c r="N4" s="41">
        <f>O4*0.25</f>
        <v/>
      </c>
      <c r="O4" s="41">
        <f>C4*M4</f>
        <v/>
      </c>
      <c r="P4" s="41">
        <f>T4*M4</f>
        <v/>
      </c>
      <c r="Q4" s="54" t="n">
        <v>1</v>
      </c>
      <c r="R4" s="41">
        <f>S4*0.25</f>
        <v/>
      </c>
      <c r="S4" s="41">
        <f>C4*Q4</f>
        <v/>
      </c>
      <c r="T4" s="41">
        <f>C4/DAY($T$1)</f>
        <v/>
      </c>
      <c r="U4" s="41">
        <f>SUMIF('Dự án T8'!$A:$A, B4, 'Dự án T8'!$D:$D)*DAY($F$1)</f>
        <v/>
      </c>
      <c r="V4" s="62">
        <f>U4/D4</f>
        <v/>
      </c>
      <c r="W4" s="42">
        <f>IF(OR(F4="", V4=""), "", IF(AND(F4&gt;=80%, V4&gt;=25%), "Đạt", "Không đạt"))</f>
        <v/>
      </c>
      <c r="X4" s="40">
        <f>SUMIF(data!$A:$A, B4, data!$C:$C)</f>
        <v/>
      </c>
      <c r="Y4" s="41">
        <f>SUMIF(data!$A:$A, B4, data!$D:$D)</f>
        <v/>
      </c>
      <c r="Z4" s="41">
        <f>IF(X4&gt;0, Y4/X4, 0)</f>
        <v/>
      </c>
      <c r="AA4" s="40">
        <f>SUMIF(data!$A:$A, B4, data!$E:$E)</f>
        <v/>
      </c>
      <c r="AB4" s="41">
        <f>SUMIF(data!$A:$A, B4, data!$F:$F)</f>
        <v/>
      </c>
      <c r="AC4" s="41">
        <f>IF(AA4&gt;0, AB4/AA4, 0)</f>
        <v/>
      </c>
      <c r="AD4" s="40">
        <f>X4+AA4</f>
        <v/>
      </c>
      <c r="AE4" s="41">
        <f>Y4+AB4</f>
        <v/>
      </c>
      <c r="AF4" s="41">
        <f>IF(AD4&gt;0, AE4/AD4, 0)</f>
        <v/>
      </c>
      <c r="AG4" s="55" t="n"/>
      <c r="AH4" s="55" t="n"/>
      <c r="AI4" s="55" t="n"/>
      <c r="AJ4" s="55" t="n"/>
      <c r="AK4" s="55" t="n"/>
      <c r="AL4" s="55" t="n"/>
    </row>
    <row r="5" ht="15.75" customHeight="1">
      <c r="A5" s="39" t="inlineStr">
        <is>
          <t>Nguyễn Trần Ngọc Phương</t>
        </is>
      </c>
      <c r="B5" s="42" t="inlineStr">
        <is>
          <t>Trường Sa</t>
        </is>
      </c>
      <c r="C5" s="41" t="n">
        <v>640000000</v>
      </c>
      <c r="D5" s="41">
        <f>AE5</f>
        <v/>
      </c>
      <c r="E5" s="41">
        <f>D5/DAY('kpi dược sĩ'!$C$1)</f>
        <v/>
      </c>
      <c r="F5" s="62">
        <f>E5/T5</f>
        <v/>
      </c>
      <c r="G5" s="63">
        <f>IF(W5&lt;&gt;"Đạt", 0, IF(E5&gt;=T5, D5*0.5%+1000000, IF(E5&gt;=P5, D5*0.4%+700000, IF(E5&gt;=K5, D5*0.35%+500000, 0))))</f>
        <v/>
      </c>
      <c r="H5" s="54" t="n">
        <v>0.8</v>
      </c>
      <c r="I5" s="41">
        <f>J5*0.25</f>
        <v/>
      </c>
      <c r="J5" s="41">
        <f>C5*H5</f>
        <v/>
      </c>
      <c r="K5" s="41">
        <f>T5*H5</f>
        <v/>
      </c>
      <c r="L5" s="41">
        <f>CEILING(K5, 100000)</f>
        <v/>
      </c>
      <c r="M5" s="54" t="n">
        <v>0.9</v>
      </c>
      <c r="N5" s="41">
        <f>O5*0.25</f>
        <v/>
      </c>
      <c r="O5" s="41">
        <f>C5*M5</f>
        <v/>
      </c>
      <c r="P5" s="41">
        <f>T5*M5</f>
        <v/>
      </c>
      <c r="Q5" s="54" t="n">
        <v>1</v>
      </c>
      <c r="R5" s="41">
        <f>S5*0.25</f>
        <v/>
      </c>
      <c r="S5" s="41">
        <f>C5*Q5</f>
        <v/>
      </c>
      <c r="T5" s="41">
        <f>C5/DAY($T$1)</f>
        <v/>
      </c>
      <c r="U5" s="41">
        <f>SUMIF('Dự án T8'!$A:$A, B5, 'Dự án T8'!$D:$D)*DAY($F$1)</f>
        <v/>
      </c>
      <c r="V5" s="62">
        <f>U5/D5</f>
        <v/>
      </c>
      <c r="W5" s="42">
        <f>IF(OR(F5="", V5=""), "", IF(AND(F5&gt;=80%, V5&gt;=25%), "Đạt", "Không đạt"))</f>
        <v/>
      </c>
      <c r="X5" s="40">
        <f>SUMIF(data!$A:$A, B5, data!$C:$C)</f>
        <v/>
      </c>
      <c r="Y5" s="41">
        <f>SUMIF(data!$A:$A, B5, data!$D:$D)</f>
        <v/>
      </c>
      <c r="Z5" s="41">
        <f>IF(X5&gt;0, Y5/X5, 0)</f>
        <v/>
      </c>
      <c r="AA5" s="40">
        <f>SUMIF(data!$A:$A, B5, data!$E:$E)</f>
        <v/>
      </c>
      <c r="AB5" s="41">
        <f>SUMIF(data!$A:$A, B5, data!$F:$F)</f>
        <v/>
      </c>
      <c r="AC5" s="41">
        <f>IF(AA5&gt;0, AB5/AA5, 0)</f>
        <v/>
      </c>
      <c r="AD5" s="40">
        <f>X5+AA5</f>
        <v/>
      </c>
      <c r="AE5" s="41">
        <f>Y5+AB5</f>
        <v/>
      </c>
      <c r="AF5" s="41">
        <f>IF(AD5&gt;0, AE5/AD5, 0)</f>
        <v/>
      </c>
      <c r="AG5" s="55" t="n"/>
      <c r="AH5" s="55" t="n"/>
      <c r="AI5" s="55" t="n"/>
      <c r="AJ5" s="55" t="n"/>
      <c r="AK5" s="55" t="n"/>
      <c r="AL5" s="55" t="n"/>
    </row>
    <row r="6" ht="15.75" customHeight="1">
      <c r="A6" s="39" t="inlineStr">
        <is>
          <t>Ngô Thị Thanh Thắm</t>
        </is>
      </c>
      <c r="B6" s="42" t="inlineStr">
        <is>
          <t>Đỗ Quang Đẩu</t>
        </is>
      </c>
      <c r="C6" s="41" t="n">
        <v>1100000000</v>
      </c>
      <c r="D6" s="41">
        <f>AE6</f>
        <v/>
      </c>
      <c r="E6" s="41">
        <f>D6/DAY('kpi dược sĩ'!$C$1)</f>
        <v/>
      </c>
      <c r="F6" s="62">
        <f>E6/T6</f>
        <v/>
      </c>
      <c r="G6" s="63">
        <f>IF(W6&lt;&gt;"Đạt", 0, IF(E6&gt;=T6, D6*0.5%+1000000, IF(E6&gt;=P6, D6*0.4%+700000, IF(E6&gt;=K6, D6*0.35%+500000, 0))))</f>
        <v/>
      </c>
      <c r="H6" s="54" t="n">
        <v>0.8</v>
      </c>
      <c r="I6" s="41">
        <f>J6*0.25</f>
        <v/>
      </c>
      <c r="J6" s="41">
        <f>C6*H6</f>
        <v/>
      </c>
      <c r="K6" s="41">
        <f>T6*H6</f>
        <v/>
      </c>
      <c r="L6" s="41">
        <f>CEILING(K6, 100000)</f>
        <v/>
      </c>
      <c r="M6" s="54" t="n">
        <v>0.9</v>
      </c>
      <c r="N6" s="41">
        <f>O6*0.25</f>
        <v/>
      </c>
      <c r="O6" s="41">
        <f>C6*M6</f>
        <v/>
      </c>
      <c r="P6" s="41">
        <f>T6*M6</f>
        <v/>
      </c>
      <c r="Q6" s="54" t="n">
        <v>1</v>
      </c>
      <c r="R6" s="41">
        <f>S6*0.25</f>
        <v/>
      </c>
      <c r="S6" s="41">
        <f>C6*Q6</f>
        <v/>
      </c>
      <c r="T6" s="41">
        <f>C6/DAY($T$1)</f>
        <v/>
      </c>
      <c r="U6" s="41">
        <f>SUMIF('Dự án T8'!$A:$A, B6, 'Dự án T8'!$D:$D)*DAY($F$1)</f>
        <v/>
      </c>
      <c r="V6" s="62">
        <f>U6/D6</f>
        <v/>
      </c>
      <c r="W6" s="42">
        <f>IF(OR(F6="", V6=""), "", IF(AND(F6&gt;=80%, V6&gt;=25%), "Đạt", "Không đạt"))</f>
        <v/>
      </c>
      <c r="X6" s="40">
        <f>SUMIF(data!$A:$A, B6, data!$C:$C)</f>
        <v/>
      </c>
      <c r="Y6" s="41">
        <f>SUMIF(data!$A:$A, B6, data!$D:$D)</f>
        <v/>
      </c>
      <c r="Z6" s="41">
        <f>IF(X6&gt;0, Y6/X6, 0)</f>
        <v/>
      </c>
      <c r="AA6" s="40">
        <f>SUMIF(data!$A:$A, B6, data!$E:$E)</f>
        <v/>
      </c>
      <c r="AB6" s="41">
        <f>SUMIF(data!$A:$A, B6, data!$F:$F)</f>
        <v/>
      </c>
      <c r="AC6" s="41">
        <f>IF(AA6&gt;0, AB6/AA6, 0)</f>
        <v/>
      </c>
      <c r="AD6" s="40">
        <f>X6+AA6</f>
        <v/>
      </c>
      <c r="AE6" s="41">
        <f>Y6+AB6</f>
        <v/>
      </c>
      <c r="AF6" s="41">
        <f>IF(AD6&gt;0, AE6/AD6, 0)</f>
        <v/>
      </c>
      <c r="AG6" s="55" t="n"/>
      <c r="AH6" s="55" t="n"/>
      <c r="AI6" s="55" t="n"/>
      <c r="AJ6" s="55" t="n"/>
      <c r="AK6" s="55" t="n"/>
      <c r="AL6" s="55" t="n"/>
    </row>
    <row r="7" ht="15.75" customHeight="1">
      <c r="A7" s="39" t="inlineStr">
        <is>
          <t>Thái Thùy Linh</t>
        </is>
      </c>
      <c r="B7" s="42" t="inlineStr">
        <is>
          <t>Minh Châu</t>
        </is>
      </c>
      <c r="C7" s="41" t="n">
        <v>460000000</v>
      </c>
      <c r="D7" s="41">
        <f>AE7</f>
        <v/>
      </c>
      <c r="E7" s="41">
        <f>D7/DAY('kpi dược sĩ'!$C$1)</f>
        <v/>
      </c>
      <c r="F7" s="62">
        <f>E7/T7</f>
        <v/>
      </c>
      <c r="G7" s="63">
        <f>IF(W7&lt;&gt;"Đạt", 0, IF(E7&gt;=T7, D7*0.5%+1000000, IF(E7&gt;=P7, D7*0.4%+700000, IF(E7&gt;=K7, D7*0.35%+500000, 0))))</f>
        <v/>
      </c>
      <c r="H7" s="54" t="n">
        <v>0.8</v>
      </c>
      <c r="I7" s="41">
        <f>J7*0.25</f>
        <v/>
      </c>
      <c r="J7" s="41">
        <f>C7*H7</f>
        <v/>
      </c>
      <c r="K7" s="41">
        <f>T7*H7</f>
        <v/>
      </c>
      <c r="L7" s="41">
        <f>CEILING(K7, 100000)</f>
        <v/>
      </c>
      <c r="M7" s="54" t="n">
        <v>0.9</v>
      </c>
      <c r="N7" s="41">
        <f>O7*0.25</f>
        <v/>
      </c>
      <c r="O7" s="41">
        <f>C7*M7</f>
        <v/>
      </c>
      <c r="P7" s="41">
        <f>T7*M7</f>
        <v/>
      </c>
      <c r="Q7" s="54" t="n">
        <v>1</v>
      </c>
      <c r="R7" s="41">
        <f>S7*0.25</f>
        <v/>
      </c>
      <c r="S7" s="41">
        <f>C7*Q7</f>
        <v/>
      </c>
      <c r="T7" s="41">
        <f>C7/DAY($T$1)</f>
        <v/>
      </c>
      <c r="U7" s="41">
        <f>SUMIF('Dự án T8'!$A:$A, B7, 'Dự án T8'!$D:$D)*DAY($F$1)</f>
        <v/>
      </c>
      <c r="V7" s="62">
        <f>U7/D7</f>
        <v/>
      </c>
      <c r="W7" s="42">
        <f>IF(OR(F7="", V7=""), "", IF(AND(F7&gt;=80%, V7&gt;=25%), "Đạt", "Không đạt"))</f>
        <v/>
      </c>
      <c r="X7" s="40">
        <f>SUMIF(data!$A:$A, B7, data!$C:$C)</f>
        <v/>
      </c>
      <c r="Y7" s="41">
        <f>SUMIF(data!$A:$A, B7, data!$D:$D)</f>
        <v/>
      </c>
      <c r="Z7" s="41">
        <f>IF(X7&gt;0, Y7/X7, 0)</f>
        <v/>
      </c>
      <c r="AA7" s="40">
        <f>SUMIF(data!$A:$A, B7, data!$E:$E)</f>
        <v/>
      </c>
      <c r="AB7" s="41">
        <f>SUMIF(data!$A:$A, B7, data!$F:$F)</f>
        <v/>
      </c>
      <c r="AC7" s="41">
        <f>IF(AA7&gt;0, AB7/AA7, 0)</f>
        <v/>
      </c>
      <c r="AD7" s="40">
        <f>X7+AA7</f>
        <v/>
      </c>
      <c r="AE7" s="41">
        <f>Y7+AB7</f>
        <v/>
      </c>
      <c r="AF7" s="41">
        <f>IF(AD7&gt;0, AE7/AD7, 0)</f>
        <v/>
      </c>
      <c r="AG7" s="55" t="n"/>
      <c r="AH7" s="55" t="n"/>
      <c r="AI7" s="55" t="n"/>
      <c r="AJ7" s="55" t="n"/>
      <c r="AK7" s="55" t="n"/>
      <c r="AL7" s="55" t="n"/>
    </row>
    <row r="8" ht="15.75" customHeight="1">
      <c r="A8" s="39" t="inlineStr">
        <is>
          <t>Vũ Ngọc Thanh Thảo</t>
        </is>
      </c>
      <c r="B8" s="42" t="inlineStr">
        <is>
          <t>Nam Hòa</t>
        </is>
      </c>
      <c r="C8" s="41" t="n">
        <v>330000000</v>
      </c>
      <c r="D8" s="41">
        <f>AE8</f>
        <v/>
      </c>
      <c r="E8" s="41">
        <f>D8/DAY('kpi dược sĩ'!$C$1)</f>
        <v/>
      </c>
      <c r="F8" s="62">
        <f>E8/T8</f>
        <v/>
      </c>
      <c r="G8" s="63">
        <f>IF(W8&lt;&gt;"Đạt", 0, IF(E8&gt;=T8, D8*0.5%+1000000, IF(E8&gt;=P8, D8*0.4%+700000, IF(E8&gt;=K8, D8*0.35%+500000, 0))))</f>
        <v/>
      </c>
      <c r="H8" s="54" t="n">
        <v>0.8</v>
      </c>
      <c r="I8" s="41">
        <f>J8*0.25</f>
        <v/>
      </c>
      <c r="J8" s="41">
        <f>C8*H8</f>
        <v/>
      </c>
      <c r="K8" s="41">
        <f>T8*H8</f>
        <v/>
      </c>
      <c r="L8" s="41">
        <f>CEILING(K8, 100000)</f>
        <v/>
      </c>
      <c r="M8" s="54" t="n">
        <v>0.9</v>
      </c>
      <c r="N8" s="41">
        <f>O8*0.25</f>
        <v/>
      </c>
      <c r="O8" s="41">
        <f>C8*M8</f>
        <v/>
      </c>
      <c r="P8" s="41">
        <f>T8*M8</f>
        <v/>
      </c>
      <c r="Q8" s="54" t="n">
        <v>1</v>
      </c>
      <c r="R8" s="41">
        <f>S8*0.25</f>
        <v/>
      </c>
      <c r="S8" s="41">
        <f>C8*Q8</f>
        <v/>
      </c>
      <c r="T8" s="41">
        <f>C8/DAY($T$1)</f>
        <v/>
      </c>
      <c r="U8" s="41">
        <f>SUMIF('Dự án T8'!$A:$A, B8, 'Dự án T8'!$D:$D)*DAY($F$1)</f>
        <v/>
      </c>
      <c r="V8" s="62">
        <f>U8/D8</f>
        <v/>
      </c>
      <c r="W8" s="42">
        <f>IF(OR(F8="", V8=""), "", IF(AND(F8&gt;=80%, V8&gt;=25%), "Đạt", "Không đạt"))</f>
        <v/>
      </c>
      <c r="X8" s="40">
        <f>SUMIF(data!$A:$A, B8, data!$C:$C)</f>
        <v/>
      </c>
      <c r="Y8" s="41">
        <f>SUMIF(data!$A:$A, B8, data!$D:$D)</f>
        <v/>
      </c>
      <c r="Z8" s="41">
        <f>IF(X8&gt;0, Y8/X8, 0)</f>
        <v/>
      </c>
      <c r="AA8" s="40">
        <f>SUMIF(data!$A:$A, B8, data!$E:$E)</f>
        <v/>
      </c>
      <c r="AB8" s="41">
        <f>SUMIF(data!$A:$A, B8, data!$F:$F)</f>
        <v/>
      </c>
      <c r="AC8" s="41">
        <f>IF(AA8&gt;0, AB8/AA8, 0)</f>
        <v/>
      </c>
      <c r="AD8" s="40">
        <f>X8+AA8</f>
        <v/>
      </c>
      <c r="AE8" s="41">
        <f>Y8+AB8</f>
        <v/>
      </c>
      <c r="AF8" s="41">
        <f>IF(AD8&gt;0, AE8/AD8, 0)</f>
        <v/>
      </c>
      <c r="AG8" s="55" t="n"/>
      <c r="AH8" s="55" t="n"/>
      <c r="AI8" s="55" t="n"/>
      <c r="AJ8" s="55" t="n"/>
      <c r="AK8" s="55" t="n"/>
      <c r="AL8" s="55" t="n"/>
    </row>
    <row r="9" ht="15.75" customHeight="1">
      <c r="A9" s="39" t="inlineStr">
        <is>
          <t>Lê Thị Quỳnh Trâm</t>
        </is>
      </c>
      <c r="B9" s="42" t="inlineStr">
        <is>
          <t>Nguyễn Chí Thanh</t>
        </is>
      </c>
      <c r="C9" s="41" t="n">
        <v>550000000</v>
      </c>
      <c r="D9" s="41">
        <f>AE9</f>
        <v/>
      </c>
      <c r="E9" s="41">
        <f>D9/DAY('kpi dược sĩ'!$C$1)</f>
        <v/>
      </c>
      <c r="F9" s="62">
        <f>E9/T9</f>
        <v/>
      </c>
      <c r="G9" s="63">
        <f>IF(W9&lt;&gt;"Đạt", 0, IF(E9&gt;=T9, D9*0.5%+1000000, IF(E9&gt;=P9, D9*0.4%+700000, IF(E9&gt;=K9, D9*0.35%+500000, 0))))</f>
        <v/>
      </c>
      <c r="H9" s="54" t="n">
        <v>0.8</v>
      </c>
      <c r="I9" s="41">
        <f>J9*0.25</f>
        <v/>
      </c>
      <c r="J9" s="41">
        <f>C9*H9</f>
        <v/>
      </c>
      <c r="K9" s="41">
        <f>T9*H9</f>
        <v/>
      </c>
      <c r="L9" s="41">
        <f>CEILING(K9, 100000)</f>
        <v/>
      </c>
      <c r="M9" s="54" t="n">
        <v>0.9</v>
      </c>
      <c r="N9" s="41">
        <f>O9*0.25</f>
        <v/>
      </c>
      <c r="O9" s="41">
        <f>C9*M9</f>
        <v/>
      </c>
      <c r="P9" s="41">
        <f>T9*M9</f>
        <v/>
      </c>
      <c r="Q9" s="54" t="n">
        <v>1</v>
      </c>
      <c r="R9" s="41">
        <f>S9*0.25</f>
        <v/>
      </c>
      <c r="S9" s="41">
        <f>C9*Q9</f>
        <v/>
      </c>
      <c r="T9" s="41">
        <f>C9/DAY($T$1)</f>
        <v/>
      </c>
      <c r="U9" s="41">
        <f>SUMIF('Dự án T8'!$A:$A, B9, 'Dự án T8'!$D:$D)*DAY($F$1)</f>
        <v/>
      </c>
      <c r="V9" s="62">
        <f>U9/D9</f>
        <v/>
      </c>
      <c r="W9" s="42">
        <f>IF(OR(F9="", V9=""), "", IF(AND(F9&gt;=80%, V9&gt;=25%), "Đạt", "Không đạt"))</f>
        <v/>
      </c>
      <c r="X9" s="40">
        <f>SUMIF(data!$A:$A, B9, data!$C:$C)</f>
        <v/>
      </c>
      <c r="Y9" s="41">
        <f>SUMIF(data!$A:$A, B9, data!$D:$D)</f>
        <v/>
      </c>
      <c r="Z9" s="41">
        <f>IF(X9&gt;0, Y9/X9, 0)</f>
        <v/>
      </c>
      <c r="AA9" s="40">
        <f>SUMIF(data!$A:$A, B9, data!$E:$E)</f>
        <v/>
      </c>
      <c r="AB9" s="41">
        <f>SUMIF(data!$A:$A, B9, data!$F:$F)</f>
        <v/>
      </c>
      <c r="AC9" s="41">
        <f>IF(AA9&gt;0, AB9/AA9, 0)</f>
        <v/>
      </c>
      <c r="AD9" s="40">
        <f>X9+AA9</f>
        <v/>
      </c>
      <c r="AE9" s="41">
        <f>Y9+AB9</f>
        <v/>
      </c>
      <c r="AF9" s="41">
        <f>IF(AD9&gt;0, AE9/AD9, 0)</f>
        <v/>
      </c>
      <c r="AG9" s="55" t="n"/>
      <c r="AH9" s="55" t="n"/>
      <c r="AI9" s="55" t="n"/>
      <c r="AJ9" s="55" t="n"/>
      <c r="AK9" s="55" t="n"/>
      <c r="AL9" s="55" t="n"/>
    </row>
    <row r="10" ht="15.75" customHeight="1">
      <c r="A10" s="39" t="inlineStr">
        <is>
          <t>Triệu Thị Ngọc Lý</t>
        </is>
      </c>
      <c r="B10" s="42" t="inlineStr">
        <is>
          <t>Nguyễn Thị Thập</t>
        </is>
      </c>
      <c r="C10" s="41" t="n">
        <v>545000000</v>
      </c>
      <c r="D10" s="41">
        <f>AE10</f>
        <v/>
      </c>
      <c r="E10" s="41">
        <f>D10/DAY('kpi dược sĩ'!$C$1)</f>
        <v/>
      </c>
      <c r="F10" s="62">
        <f>E10/T10</f>
        <v/>
      </c>
      <c r="G10" s="63">
        <f>IF(W10&lt;&gt;"Đạt", 0, IF(E10&gt;=T10, D10*0.5%+1000000, IF(E10&gt;=P10, D10*0.4%+700000, IF(E10&gt;=K10, D10*0.35%+500000, 0))))</f>
        <v/>
      </c>
      <c r="H10" s="54" t="n">
        <v>0.8</v>
      </c>
      <c r="I10" s="41">
        <f>J10*0.25</f>
        <v/>
      </c>
      <c r="J10" s="41">
        <f>C10*H10</f>
        <v/>
      </c>
      <c r="K10" s="41">
        <f>T10*H10</f>
        <v/>
      </c>
      <c r="L10" s="41">
        <f>CEILING(K10, 100000)</f>
        <v/>
      </c>
      <c r="M10" s="54" t="n">
        <v>0.9</v>
      </c>
      <c r="N10" s="41">
        <f>O10*0.25</f>
        <v/>
      </c>
      <c r="O10" s="41">
        <f>C10*M10</f>
        <v/>
      </c>
      <c r="P10" s="41">
        <f>T10*M10</f>
        <v/>
      </c>
      <c r="Q10" s="54" t="n">
        <v>1</v>
      </c>
      <c r="R10" s="41">
        <f>S10*0.25</f>
        <v/>
      </c>
      <c r="S10" s="41">
        <f>C10*Q10</f>
        <v/>
      </c>
      <c r="T10" s="41">
        <f>C10/DAY($T$1)</f>
        <v/>
      </c>
      <c r="U10" s="41">
        <f>SUMIF('Dự án T8'!$A:$A, B10, 'Dự án T8'!$D:$D)*DAY($F$1)</f>
        <v/>
      </c>
      <c r="V10" s="62">
        <f>U10/D10</f>
        <v/>
      </c>
      <c r="W10" s="42">
        <f>IF(OR(F10="", V10=""), "", IF(AND(F10&gt;=80%, V10&gt;=25%), "Đạt", "Không đạt"))</f>
        <v/>
      </c>
      <c r="X10" s="40">
        <f>SUMIF(data!$A:$A, B10, data!$C:$C)</f>
        <v/>
      </c>
      <c r="Y10" s="41">
        <f>SUMIF(data!$A:$A, B10, data!$D:$D)</f>
        <v/>
      </c>
      <c r="Z10" s="41">
        <f>IF(X10&gt;0, Y10/X10, 0)</f>
        <v/>
      </c>
      <c r="AA10" s="40">
        <f>SUMIF(data!$A:$A, B10, data!$E:$E)</f>
        <v/>
      </c>
      <c r="AB10" s="41">
        <f>SUMIF(data!$A:$A, B10, data!$F:$F)</f>
        <v/>
      </c>
      <c r="AC10" s="41">
        <f>IF(AA10&gt;0, AB10/AA10, 0)</f>
        <v/>
      </c>
      <c r="AD10" s="40">
        <f>X10+AA10</f>
        <v/>
      </c>
      <c r="AE10" s="41">
        <f>Y10+AB10</f>
        <v/>
      </c>
      <c r="AF10" s="41">
        <f>IF(AD10&gt;0, AE10/AD10, 0)</f>
        <v/>
      </c>
      <c r="AG10" s="55" t="n"/>
      <c r="AH10" s="55" t="n"/>
      <c r="AI10" s="55" t="n"/>
      <c r="AJ10" s="55" t="n"/>
      <c r="AK10" s="55" t="n"/>
      <c r="AL10" s="55" t="n"/>
    </row>
    <row r="11" ht="15.75" customHeight="1">
      <c r="A11" s="39" t="inlineStr">
        <is>
          <t>Võ Ngọc Giàu Sang</t>
        </is>
      </c>
      <c r="B11" s="42" t="inlineStr">
        <is>
          <t>Nguyễn Văn Quá</t>
        </is>
      </c>
      <c r="C11" s="41" t="n">
        <v>400000000</v>
      </c>
      <c r="D11" s="41">
        <f>AE11</f>
        <v/>
      </c>
      <c r="E11" s="41">
        <f>D11/DAY('kpi dược sĩ'!$C$1)</f>
        <v/>
      </c>
      <c r="F11" s="62">
        <f>E11/T11</f>
        <v/>
      </c>
      <c r="G11" s="63">
        <f>IF(W11&lt;&gt;"Đạt", 0, IF(E11&gt;=T11, D11*0.5%+1000000, IF(E11&gt;=P11, D11*0.4%+700000, IF(E11&gt;=K11, D11*0.35%+500000, 0))))</f>
        <v/>
      </c>
      <c r="H11" s="54" t="n">
        <v>0.8</v>
      </c>
      <c r="I11" s="41">
        <f>J11*0.25</f>
        <v/>
      </c>
      <c r="J11" s="41">
        <f>C11*H11</f>
        <v/>
      </c>
      <c r="K11" s="41">
        <f>T11*H11</f>
        <v/>
      </c>
      <c r="L11" s="41">
        <f>CEILING(K11, 100000)</f>
        <v/>
      </c>
      <c r="M11" s="54" t="n">
        <v>0.9</v>
      </c>
      <c r="N11" s="41">
        <f>O11*0.25</f>
        <v/>
      </c>
      <c r="O11" s="41">
        <f>C11*M11</f>
        <v/>
      </c>
      <c r="P11" s="41">
        <f>T11*M11</f>
        <v/>
      </c>
      <c r="Q11" s="54" t="n">
        <v>1</v>
      </c>
      <c r="R11" s="41">
        <f>S11*0.25</f>
        <v/>
      </c>
      <c r="S11" s="41">
        <f>C11*Q11</f>
        <v/>
      </c>
      <c r="T11" s="41">
        <f>C11/DAY($T$1)</f>
        <v/>
      </c>
      <c r="U11" s="41">
        <f>SUMIF('Dự án T8'!$A:$A, B11, 'Dự án T8'!$D:$D)*DAY($F$1)</f>
        <v/>
      </c>
      <c r="V11" s="62">
        <f>U11/D11</f>
        <v/>
      </c>
      <c r="W11" s="42">
        <f>IF(OR(F11="", V11=""), "", IF(AND(F11&gt;=80%, V11&gt;=25%), "Đạt", "Không đạt"))</f>
        <v/>
      </c>
      <c r="X11" s="40">
        <f>SUMIF(data!$A:$A, B11, data!$C:$C)</f>
        <v/>
      </c>
      <c r="Y11" s="41">
        <f>SUMIF(data!$A:$A, B11, data!$D:$D)</f>
        <v/>
      </c>
      <c r="Z11" s="41">
        <f>IF(X11&gt;0, Y11/X11, 0)</f>
        <v/>
      </c>
      <c r="AA11" s="40">
        <f>SUMIF(data!$A:$A, B11, data!$E:$E)</f>
        <v/>
      </c>
      <c r="AB11" s="41">
        <f>SUMIF(data!$A:$A, B11, data!$F:$F)</f>
        <v/>
      </c>
      <c r="AC11" s="41">
        <f>IF(AA11&gt;0, AB11/AA11, 0)</f>
        <v/>
      </c>
      <c r="AD11" s="40">
        <f>X11+AA11</f>
        <v/>
      </c>
      <c r="AE11" s="41">
        <f>Y11+AB11</f>
        <v/>
      </c>
      <c r="AF11" s="41">
        <f>IF(AD11&gt;0, AE11/AD11, 0)</f>
        <v/>
      </c>
      <c r="AG11" s="55" t="n"/>
      <c r="AH11" s="55" t="n"/>
      <c r="AI11" s="55" t="n"/>
      <c r="AJ11" s="55" t="n"/>
      <c r="AK11" s="55" t="n"/>
      <c r="AL11" s="55" t="n"/>
    </row>
    <row r="12" ht="15.75" customHeight="1">
      <c r="A12" s="39" t="inlineStr">
        <is>
          <t>Cù Thị Tường Vy</t>
        </is>
      </c>
      <c r="B12" s="42" t="inlineStr">
        <is>
          <t>Rạch Bùng Binh</t>
        </is>
      </c>
      <c r="C12" s="41" t="n">
        <v>475000000</v>
      </c>
      <c r="D12" s="41">
        <f>AE12</f>
        <v/>
      </c>
      <c r="E12" s="41">
        <f>D12/DAY('kpi dược sĩ'!$C$1)</f>
        <v/>
      </c>
      <c r="F12" s="62">
        <f>E12/T12</f>
        <v/>
      </c>
      <c r="G12" s="63">
        <f>IF(W12&lt;&gt;"Đạt", 0, IF(E12&gt;=T12, D12*0.5%+1000000, IF(E12&gt;=P12, D12*0.4%+700000, IF(E12&gt;=K12, D12*0.35%+500000, 0))))</f>
        <v/>
      </c>
      <c r="H12" s="54" t="n">
        <v>0.8</v>
      </c>
      <c r="I12" s="41">
        <f>J12*0.25</f>
        <v/>
      </c>
      <c r="J12" s="41">
        <f>C12*H12</f>
        <v/>
      </c>
      <c r="K12" s="41">
        <f>T12*H12</f>
        <v/>
      </c>
      <c r="L12" s="41">
        <f>CEILING(K12, 100000)</f>
        <v/>
      </c>
      <c r="M12" s="54" t="n">
        <v>0.9</v>
      </c>
      <c r="N12" s="41">
        <f>O12*0.25</f>
        <v/>
      </c>
      <c r="O12" s="41">
        <f>C12*M12</f>
        <v/>
      </c>
      <c r="P12" s="41">
        <f>T12*M12</f>
        <v/>
      </c>
      <c r="Q12" s="54" t="n">
        <v>1</v>
      </c>
      <c r="R12" s="41">
        <f>S12*0.25</f>
        <v/>
      </c>
      <c r="S12" s="41">
        <f>C12*Q12</f>
        <v/>
      </c>
      <c r="T12" s="41">
        <f>C12/DAY($T$1)</f>
        <v/>
      </c>
      <c r="U12" s="41">
        <f>SUMIF('Dự án T8'!$A:$A, B12, 'Dự án T8'!$D:$D)*DAY($F$1)</f>
        <v/>
      </c>
      <c r="V12" s="62">
        <f>U12/D12</f>
        <v/>
      </c>
      <c r="W12" s="42">
        <f>IF(OR(F12="", V12=""), "", IF(AND(F12&gt;=80%, V12&gt;=25%), "Đạt", "Không đạt"))</f>
        <v/>
      </c>
      <c r="X12" s="40">
        <f>SUMIF(data!$A:$A, B12, data!$C:$C)</f>
        <v/>
      </c>
      <c r="Y12" s="41">
        <f>SUMIF(data!$A:$A, B12, data!$D:$D)</f>
        <v/>
      </c>
      <c r="Z12" s="41">
        <f>IF(X12&gt;0, Y12/X12, 0)</f>
        <v/>
      </c>
      <c r="AA12" s="40">
        <f>SUMIF(data!$A:$A, B12, data!$E:$E)</f>
        <v/>
      </c>
      <c r="AB12" s="41">
        <f>SUMIF(data!$A:$A, B12, data!$F:$F)</f>
        <v/>
      </c>
      <c r="AC12" s="41">
        <f>IF(AA12&gt;0, AB12/AA12, 0)</f>
        <v/>
      </c>
      <c r="AD12" s="40">
        <f>X12+AA12</f>
        <v/>
      </c>
      <c r="AE12" s="41">
        <f>Y12+AB12</f>
        <v/>
      </c>
      <c r="AF12" s="41">
        <f>IF(AD12&gt;0, AE12/AD12, 0)</f>
        <v/>
      </c>
      <c r="AG12" s="55" t="n"/>
      <c r="AH12" s="55" t="n"/>
      <c r="AI12" s="55" t="n"/>
      <c r="AJ12" s="55" t="n"/>
      <c r="AK12" s="55" t="n"/>
      <c r="AL12" s="55" t="n"/>
    </row>
    <row r="13" ht="15.75" customHeight="1">
      <c r="A13" s="39" t="inlineStr">
        <is>
          <t>Hồ Thị Minh Hòa</t>
        </is>
      </c>
      <c r="B13" s="42" t="inlineStr">
        <is>
          <t>Lê Bình</t>
        </is>
      </c>
      <c r="C13" s="41" t="n">
        <v>550000000</v>
      </c>
      <c r="D13" s="41">
        <f>AE13</f>
        <v/>
      </c>
      <c r="E13" s="41">
        <f>D13/DAY('kpi dược sĩ'!$C$1)</f>
        <v/>
      </c>
      <c r="F13" s="62">
        <f>E13/T13</f>
        <v/>
      </c>
      <c r="G13" s="63">
        <f>IF(W13&lt;&gt;"Đạt", 0, IF(E13&gt;=T13, D13*0.5%+1000000, IF(E13&gt;=P13, D13*0.4%+700000, IF(E13&gt;=K13, D13*0.35%+500000, 0))))</f>
        <v/>
      </c>
      <c r="H13" s="54" t="n">
        <v>0.8</v>
      </c>
      <c r="I13" s="41">
        <f>J13*0.25</f>
        <v/>
      </c>
      <c r="J13" s="41">
        <f>C13*H13</f>
        <v/>
      </c>
      <c r="K13" s="41">
        <f>T13*H13</f>
        <v/>
      </c>
      <c r="L13" s="41">
        <f>CEILING(K13, 100000)</f>
        <v/>
      </c>
      <c r="M13" s="54" t="n">
        <v>0.9</v>
      </c>
      <c r="N13" s="41">
        <f>O13*0.25</f>
        <v/>
      </c>
      <c r="O13" s="41">
        <f>C13*M13</f>
        <v/>
      </c>
      <c r="P13" s="41">
        <f>T13*M13</f>
        <v/>
      </c>
      <c r="Q13" s="54" t="n">
        <v>1</v>
      </c>
      <c r="R13" s="41">
        <f>S13*0.25</f>
        <v/>
      </c>
      <c r="S13" s="41">
        <f>C13*Q13</f>
        <v/>
      </c>
      <c r="T13" s="41">
        <f>C13/DAY($T$1)</f>
        <v/>
      </c>
      <c r="U13" s="41">
        <f>SUMIF('Dự án T8'!$A:$A, B13, 'Dự án T8'!$D:$D)*DAY($F$1)</f>
        <v/>
      </c>
      <c r="V13" s="62">
        <f>U13/D13</f>
        <v/>
      </c>
      <c r="W13" s="42">
        <f>IF(OR(F13="", V13=""), "", IF(AND(F13&gt;=80%, V13&gt;=25%), "Đạt", "Không đạt"))</f>
        <v/>
      </c>
      <c r="X13" s="40">
        <f>SUMIF(data!$A:$A, B13, data!$C:$C)</f>
        <v/>
      </c>
      <c r="Y13" s="41">
        <f>SUMIF(data!$A:$A, B13, data!$D:$D)</f>
        <v/>
      </c>
      <c r="Z13" s="41">
        <f>IF(X13&gt;0, Y13/X13, 0)</f>
        <v/>
      </c>
      <c r="AA13" s="40">
        <f>SUMIF(data!$A:$A, B13, data!$E:$E)</f>
        <v/>
      </c>
      <c r="AB13" s="41">
        <f>SUMIF(data!$A:$A, B13, data!$F:$F)</f>
        <v/>
      </c>
      <c r="AC13" s="41">
        <f>IF(AA13&gt;0, AB13/AA13, 0)</f>
        <v/>
      </c>
      <c r="AD13" s="40">
        <f>X13+AA13</f>
        <v/>
      </c>
      <c r="AE13" s="41">
        <f>Y13+AB13</f>
        <v/>
      </c>
      <c r="AF13" s="41">
        <f>IF(AD13&gt;0, AE13/AD13, 0)</f>
        <v/>
      </c>
      <c r="AG13" s="55" t="n"/>
      <c r="AH13" s="55" t="n"/>
      <c r="AI13" s="55" t="n"/>
      <c r="AJ13" s="55" t="n"/>
      <c r="AK13" s="55" t="n"/>
      <c r="AL13" s="55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4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66" customWidth="1" min="1" max="1"/>
    <col width="20.78" customWidth="1" min="2" max="2"/>
    <col width="13" customWidth="1" min="3" max="3"/>
    <col width="14.22" customWidth="1" min="4" max="4"/>
    <col width="13" customWidth="1" min="5" max="5"/>
    <col width="13" customWidth="1" min="6" max="6"/>
    <col width="13" customWidth="1" min="7" max="7"/>
    <col width="13" customWidth="1" min="8" max="8"/>
    <col width="15.44" customWidth="1" min="9" max="9"/>
    <col width="14.22" customWidth="1" min="10" max="10"/>
    <col width="13" customWidth="1" min="11" max="11"/>
    <col width="13" customWidth="1" min="12" max="12"/>
    <col width="14.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64" t="n">
        <v>46244</v>
      </c>
      <c r="B1" s="46" t="n"/>
      <c r="C1" s="46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</row>
    <row r="2" ht="33.75" customHeight="1">
      <c r="A2" s="47" t="inlineStr">
        <is>
          <t>Nhà thuốc</t>
        </is>
      </c>
      <c r="B2" s="47" t="inlineStr">
        <is>
          <t>Nhân viên</t>
        </is>
      </c>
      <c r="C2" s="47" t="inlineStr">
        <is>
          <t>Chức danh</t>
        </is>
      </c>
      <c r="D2" s="49" t="inlineStr">
        <is>
          <t>CK + Combo + NY3/ngày</t>
        </is>
      </c>
      <c r="E2" s="49" t="inlineStr">
        <is>
          <t>NY3</t>
        </is>
      </c>
      <c r="F2" s="49" t="inlineStr">
        <is>
          <t>Chiết khấu</t>
        </is>
      </c>
      <c r="G2" s="49" t="inlineStr">
        <is>
          <t>Combo Liều</t>
        </is>
      </c>
      <c r="H2" s="49" t="inlineStr">
        <is>
          <t>Chiết khấu/ngày</t>
        </is>
      </c>
      <c r="I2" s="49" t="inlineStr">
        <is>
          <t>Combo Liều/ngày</t>
        </is>
      </c>
      <c r="J2" s="49" t="inlineStr">
        <is>
          <t>Thưởng dự án</t>
        </is>
      </c>
      <c r="K2" s="49" t="inlineStr">
        <is>
          <t>Thưởng thêm</t>
        </is>
      </c>
      <c r="L2" s="49" t="inlineStr">
        <is>
          <t>Thưởng dự án Hot Bill HN</t>
        </is>
      </c>
      <c r="M2" s="49" t="inlineStr">
        <is>
          <t>Total dự án</t>
        </is>
      </c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  <c r="AA2" s="48" t="n"/>
      <c r="AB2" s="48" t="n"/>
      <c r="AC2" s="48" t="n"/>
      <c r="AD2" s="48" t="n"/>
      <c r="AE2" s="48" t="n"/>
      <c r="AF2" s="48" t="n"/>
      <c r="AG2" s="48" t="n"/>
      <c r="AH2" s="48" t="n"/>
      <c r="AI2" s="48" t="n"/>
      <c r="AJ2" s="48" t="n"/>
      <c r="AK2" s="48" t="n"/>
      <c r="AL2" s="48" t="n"/>
    </row>
    <row r="3" ht="13.8" customHeight="1">
      <c r="A3" s="66" t="inlineStr">
        <is>
          <t>Trường Sa</t>
        </is>
      </c>
      <c r="B3" s="67" t="inlineStr">
        <is>
          <t>Nguyễn Trần Ngọc Phương</t>
        </is>
      </c>
      <c r="C3" s="42" t="inlineStr">
        <is>
          <t>Q.CHT</t>
        </is>
      </c>
      <c r="D3" s="41">
        <f>SUM(E3:G3)/DAY($A$1)</f>
        <v/>
      </c>
      <c r="E3" s="41" t="n">
        <v>720500</v>
      </c>
      <c r="F3" s="41" t="n">
        <v>6890696</v>
      </c>
      <c r="G3" s="41" t="n">
        <v>3926990</v>
      </c>
      <c r="H3" s="41">
        <f>F3/DAY($A$1)</f>
        <v/>
      </c>
      <c r="I3" s="41">
        <f>G3/DAY($A$1)</f>
        <v/>
      </c>
      <c r="J3" s="41">
        <f>IFERROR(IF(OR($A3="Hàng Bông",$A3="Đường Láng"),_xlfn.IFS(AND($H3&gt;=2200000.0,$I3&gt;=450000.0),1000000.0,AND($H3&gt;=2500000.0,$I3&gt;=520000.0),1600000.0,AND($H3&gt;=2800000.0,$I3&gt;=650000.0),2200000.0,AND($H3&gt;=3200000.0,$I3&gt;=750000.0),2800000.0,AND($H3&gt;=3400000.0,$I3&gt;=900000.0),4000000.0,TRUE,0),_xlfn.IFS(AND($H3&gt;=630000.0,$I3&gt;=350000.0),1000000.0,AND($H3&gt;=850000.0,$I3&gt;=480000.0),1600000.0,AND($H3&gt;=1000000.0,$I3&gt;=580000.0),2200000.0,AND($H3&gt;=1200000.0,$I3&gt;=650000.0),2800000.0,AND($H3&gt;=1500000.0,$I3&gt;=700000.0),4000000.0,TRUE,0)),0)</f>
        <v/>
      </c>
      <c r="K3" s="41">
        <f>IFERROR(IF(AND($J3=0, IF(OR($A3="Hàng Bông",$A3="Đường Láng"),$D3&gt;=2000000,$D3&gt;=950000)), 500000, 0), 0)</f>
        <v/>
      </c>
      <c r="L3" s="41">
        <f>IFERROR(SUMIFS('Hot Bill HN'!$G:$G, 'Hot Bill HN'!$C:$C, $A3, 'Hot Bill HN'!$D:$D, $B3), 0)</f>
        <v/>
      </c>
      <c r="M3" s="68">
        <f>IFERROR($J3+$K3+$L3, 0)</f>
        <v/>
      </c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</row>
    <row r="4" ht="13.8" customHeight="1">
      <c r="A4" s="66" t="inlineStr">
        <is>
          <t>Trường Sa</t>
        </is>
      </c>
      <c r="B4" s="67" t="inlineStr">
        <is>
          <t>Phạm Nguyễn Ngọc Quý</t>
        </is>
      </c>
      <c r="C4" s="42" t="inlineStr">
        <is>
          <t>DSXC</t>
        </is>
      </c>
      <c r="D4" s="41">
        <f>SUM(E4:G4)/DAY($A$1)</f>
        <v/>
      </c>
      <c r="E4" s="41" t="n">
        <v>281500</v>
      </c>
      <c r="F4" s="41" t="n">
        <v>6791156</v>
      </c>
      <c r="G4" s="41" t="n">
        <v>3508802</v>
      </c>
      <c r="H4" s="41">
        <f>F4/DAY($A$1)</f>
        <v/>
      </c>
      <c r="I4" s="41">
        <f>G4/DAY($A$1)</f>
        <v/>
      </c>
      <c r="J4" s="41">
        <f>IFERROR(IF(OR($A4="Hàng Bông",$A4="Đường Láng"),_xlfn.IFS(AND($H4&gt;=2200000.0,$I4&gt;=450000.0),1000000.0,AND($H4&gt;=2500000.0,$I4&gt;=520000.0),1600000.0,AND($H4&gt;=2800000.0,$I4&gt;=650000.0),2200000.0,AND($H4&gt;=3200000.0,$I4&gt;=750000.0),2800000.0,AND($H4&gt;=3400000.0,$I4&gt;=900000.0),4000000.0,TRUE,0),_xlfn.IFS(AND($H4&gt;=630000.0,$I4&gt;=350000.0),1000000.0,AND($H4&gt;=850000.0,$I4&gt;=480000.0),1600000.0,AND($H4&gt;=1000000.0,$I4&gt;=580000.0),2200000.0,AND($H4&gt;=1200000.0,$I4&gt;=650000.0),2800000.0,AND($H4&gt;=1500000.0,$I4&gt;=700000.0),4000000.0,TRUE,0)),0)</f>
        <v/>
      </c>
      <c r="K4" s="41">
        <f>IFERROR(IF(AND($J4=0, IF(OR($A4="Hàng Bông",$A4="Đường Láng"),$D4&gt;=2000000,$D4&gt;=950000)), 500000, 0), 0)</f>
        <v/>
      </c>
      <c r="L4" s="41">
        <f>IFERROR(SUMIFS('Hot Bill HN'!$G:$G, 'Hot Bill HN'!$C:$C, $A4, 'Hot Bill HN'!$D:$D, $B4), 0)</f>
        <v/>
      </c>
      <c r="M4" s="68">
        <f>IFERROR($J4+$K4+$L4, 0)</f>
        <v/>
      </c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</row>
    <row r="5" ht="13.8" customHeight="1">
      <c r="A5" s="66" t="inlineStr">
        <is>
          <t>Trường Sa</t>
        </is>
      </c>
      <c r="B5" s="67" t="inlineStr">
        <is>
          <t>Nguyễn Ngọc Anh Thư</t>
        </is>
      </c>
      <c r="C5" s="42" t="inlineStr">
        <is>
          <t>DSCD (TV)</t>
        </is>
      </c>
      <c r="D5" s="41">
        <f>SUM(E5:G5)/DAY($A$1)</f>
        <v/>
      </c>
      <c r="E5" s="41" t="n">
        <v>0</v>
      </c>
      <c r="F5" s="41" t="n">
        <v>0</v>
      </c>
      <c r="G5" s="41" t="n">
        <v>0</v>
      </c>
      <c r="H5" s="41">
        <f>F5/DAY($A$1)</f>
        <v/>
      </c>
      <c r="I5" s="41">
        <f>G5/DAY($A$1)</f>
        <v/>
      </c>
      <c r="J5" s="41">
        <f>IFERROR(IF(OR($A5="Hàng Bông",$A5="Đường Láng"),_xlfn.IFS(AND($H5&gt;=2200000.0,$I5&gt;=450000.0),1000000.0,AND($H5&gt;=2500000.0,$I5&gt;=520000.0),1600000.0,AND($H5&gt;=2800000.0,$I5&gt;=650000.0),2200000.0,AND($H5&gt;=3200000.0,$I5&gt;=750000.0),2800000.0,AND($H5&gt;=3400000.0,$I5&gt;=900000.0),4000000.0,TRUE,0),_xlfn.IFS(AND($H5&gt;=630000.0,$I5&gt;=350000.0),1000000.0,AND($H5&gt;=850000.0,$I5&gt;=480000.0),1600000.0,AND($H5&gt;=1000000.0,$I5&gt;=580000.0),2200000.0,AND($H5&gt;=1200000.0,$I5&gt;=650000.0),2800000.0,AND($H5&gt;=1500000.0,$I5&gt;=700000.0),4000000.0,TRUE,0)),0)</f>
        <v/>
      </c>
      <c r="K5" s="41">
        <f>IFERROR(IF(AND($J5=0, IF(OR($A5="Hàng Bông",$A5="Đường Láng"),$D5&gt;=2000000,$D5&gt;=950000)), 500000, 0), 0)</f>
        <v/>
      </c>
      <c r="L5" s="41">
        <f>IFERROR(SUMIFS('Hot Bill HN'!$G:$G, 'Hot Bill HN'!$C:$C, $A5, 'Hot Bill HN'!$D:$D, $B5), 0)</f>
        <v/>
      </c>
      <c r="M5" s="68">
        <f>IFERROR($J5+$K5+$L5, 0)</f>
        <v/>
      </c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</row>
    <row r="6" ht="13.8" customHeight="1">
      <c r="A6" s="66" t="inlineStr">
        <is>
          <t>Trường Sa</t>
        </is>
      </c>
      <c r="B6" s="67" t="inlineStr">
        <is>
          <t>Trần Thị Kim Khánh</t>
        </is>
      </c>
      <c r="C6" s="42" t="inlineStr">
        <is>
          <t>DSXC</t>
        </is>
      </c>
      <c r="D6" s="41">
        <f>SUM(E6:G6)/DAY($A$1)</f>
        <v/>
      </c>
      <c r="E6" s="41" t="n">
        <v>1663030</v>
      </c>
      <c r="F6" s="41" t="n">
        <v>10800138</v>
      </c>
      <c r="G6" s="41" t="n">
        <v>6473755</v>
      </c>
      <c r="H6" s="41">
        <f>F6/DAY($A$1)</f>
        <v/>
      </c>
      <c r="I6" s="41">
        <f>G6/DAY($A$1)</f>
        <v/>
      </c>
      <c r="J6" s="41">
        <f>IFERROR(IF(OR($A6="Hàng Bông",$A6="Đường Láng"),_xlfn.IFS(AND($H6&gt;=2200000.0,$I6&gt;=450000.0),1000000.0,AND($H6&gt;=2500000.0,$I6&gt;=520000.0),1600000.0,AND($H6&gt;=2800000.0,$I6&gt;=650000.0),2200000.0,AND($H6&gt;=3200000.0,$I6&gt;=750000.0),2800000.0,AND($H6&gt;=3400000.0,$I6&gt;=900000.0),4000000.0,TRUE,0),_xlfn.IFS(AND($H6&gt;=630000.0,$I6&gt;=350000.0),1000000.0,AND($H6&gt;=850000.0,$I6&gt;=480000.0),1600000.0,AND($H6&gt;=1000000.0,$I6&gt;=580000.0),2200000.0,AND($H6&gt;=1200000.0,$I6&gt;=650000.0),2800000.0,AND($H6&gt;=1500000.0,$I6&gt;=700000.0),4000000.0,TRUE,0)),0)</f>
        <v/>
      </c>
      <c r="K6" s="41">
        <f>IFERROR(IF(AND($J6=0, IF(OR($A6="Hàng Bông",$A6="Đường Láng"),$D6&gt;=2000000,$D6&gt;=950000)), 500000, 0), 0)</f>
        <v/>
      </c>
      <c r="L6" s="41">
        <f>IFERROR(SUMIFS('Hot Bill HN'!$G:$G, 'Hot Bill HN'!$C:$C, $A6, 'Hot Bill HN'!$D:$D, $B6), 0)</f>
        <v/>
      </c>
      <c r="M6" s="68">
        <f>IFERROR($J6+$K6+$L6, 0)</f>
        <v/>
      </c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</row>
    <row r="7" ht="13.8" customHeight="1">
      <c r="A7" s="66" t="inlineStr">
        <is>
          <t>Trường Sa</t>
        </is>
      </c>
      <c r="B7" s="67" t="inlineStr">
        <is>
          <t>Ngô Trần Tuyết Vy</t>
        </is>
      </c>
      <c r="C7" s="42" t="inlineStr">
        <is>
          <t>DSXC</t>
        </is>
      </c>
      <c r="D7" s="41">
        <f>SUM(E7:G7)/DAY($A$1)</f>
        <v/>
      </c>
      <c r="E7" s="41" t="n">
        <v>126879</v>
      </c>
      <c r="F7" s="41" t="n">
        <v>10798824</v>
      </c>
      <c r="G7" s="41" t="n">
        <v>7371263</v>
      </c>
      <c r="H7" s="41">
        <f>F7/DAY($A$1)</f>
        <v/>
      </c>
      <c r="I7" s="41">
        <f>G7/DAY($A$1)</f>
        <v/>
      </c>
      <c r="J7" s="41">
        <f>IFERROR(IF(OR($A7="Hàng Bông",$A7="Đường Láng"),_xlfn.IFS(AND($H7&gt;=2200000.0,$I7&gt;=450000.0),1000000.0,AND($H7&gt;=2500000.0,$I7&gt;=520000.0),1600000.0,AND($H7&gt;=2800000.0,$I7&gt;=650000.0),2200000.0,AND($H7&gt;=3200000.0,$I7&gt;=750000.0),2800000.0,AND($H7&gt;=3400000.0,$I7&gt;=900000.0),4000000.0,TRUE,0),_xlfn.IFS(AND($H7&gt;=630000.0,$I7&gt;=350000.0),1000000.0,AND($H7&gt;=850000.0,$I7&gt;=480000.0),1600000.0,AND($H7&gt;=1000000.0,$I7&gt;=580000.0),2200000.0,AND($H7&gt;=1200000.0,$I7&gt;=650000.0),2800000.0,AND($H7&gt;=1500000.0,$I7&gt;=700000.0),4000000.0,TRUE,0)),0)</f>
        <v/>
      </c>
      <c r="K7" s="41">
        <f>IFERROR(IF(AND($J7=0, IF(OR($A7="Hàng Bông",$A7="Đường Láng"),$D7&gt;=2000000,$D7&gt;=950000)), 500000, 0), 0)</f>
        <v/>
      </c>
      <c r="L7" s="41">
        <f>IFERROR(SUMIFS('Hot Bill HN'!$G:$G, 'Hot Bill HN'!$C:$C, $A7, 'Hot Bill HN'!$D:$D, $B7), 0)</f>
        <v/>
      </c>
      <c r="M7" s="68">
        <f>IFERROR($J7+$K7+$L7, 0)</f>
        <v/>
      </c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</row>
    <row r="8" ht="13.8" customHeight="1">
      <c r="A8" s="66" t="inlineStr">
        <is>
          <t>Đỗ Quang Đẩu</t>
        </is>
      </c>
      <c r="B8" s="67" t="inlineStr">
        <is>
          <t>Phạm Thị Nghĩa Hương</t>
        </is>
      </c>
      <c r="C8" s="42" t="inlineStr">
        <is>
          <t>DSCD</t>
        </is>
      </c>
      <c r="D8" s="41">
        <f>SUM(E8:G8)/DAY($A$1)</f>
        <v/>
      </c>
      <c r="E8" s="41" t="n">
        <v>1005500</v>
      </c>
      <c r="F8" s="41" t="n">
        <v>3251619</v>
      </c>
      <c r="G8" s="41" t="n">
        <v>561911</v>
      </c>
      <c r="H8" s="41">
        <f>F8/DAY($A$1)</f>
        <v/>
      </c>
      <c r="I8" s="41">
        <f>G8/DAY($A$1)</f>
        <v/>
      </c>
      <c r="J8" s="41">
        <f>IFERROR(IF(OR($A8="Hàng Bông",$A8="Đường Láng"),_xlfn.IFS(AND($H8&gt;=2200000.0,$I8&gt;=450000.0),1000000.0,AND($H8&gt;=2500000.0,$I8&gt;=520000.0),1600000.0,AND($H8&gt;=2800000.0,$I8&gt;=650000.0),2200000.0,AND($H8&gt;=3200000.0,$I8&gt;=750000.0),2800000.0,AND($H8&gt;=3400000.0,$I8&gt;=900000.0),4000000.0,TRUE,0),_xlfn.IFS(AND($H8&gt;=630000.0,$I8&gt;=350000.0),1000000.0,AND($H8&gt;=850000.0,$I8&gt;=480000.0),1600000.0,AND($H8&gt;=1000000.0,$I8&gt;=580000.0),2200000.0,AND($H8&gt;=1200000.0,$I8&gt;=650000.0),2800000.0,AND($H8&gt;=1500000.0,$I8&gt;=700000.0),4000000.0,TRUE,0)),0)</f>
        <v/>
      </c>
      <c r="K8" s="41">
        <f>IFERROR(IF(AND($J8=0, IF(OR($A8="Hàng Bông",$A8="Đường Láng"),$D8&gt;=2000000,$D8&gt;=950000)), 500000, 0), 0)</f>
        <v/>
      </c>
      <c r="L8" s="41">
        <f>IFERROR(SUMIFS('Hot Bill HN'!$G:$G, 'Hot Bill HN'!$C:$C, $A8, 'Hot Bill HN'!$D:$D, $B8), 0)</f>
        <v/>
      </c>
      <c r="M8" s="68">
        <f>IFERROR($J8+$K8+$L8, 0)</f>
        <v/>
      </c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</row>
    <row r="9" ht="13.8" customHeight="1">
      <c r="A9" s="66" t="inlineStr">
        <is>
          <t>Đỗ Quang Đẩu</t>
        </is>
      </c>
      <c r="B9" s="67" t="inlineStr">
        <is>
          <t>Trần Thiên Phát</t>
        </is>
      </c>
      <c r="C9" s="42" t="inlineStr">
        <is>
          <t>DSCD</t>
        </is>
      </c>
      <c r="D9" s="41">
        <f>SUM(E9:G9)/DAY($A$1)</f>
        <v/>
      </c>
      <c r="E9" s="41" t="n">
        <v>3294500</v>
      </c>
      <c r="F9" s="41" t="n">
        <v>3793503</v>
      </c>
      <c r="G9" s="41" t="n">
        <v>1518200</v>
      </c>
      <c r="H9" s="41">
        <f>F9/DAY($A$1)</f>
        <v/>
      </c>
      <c r="I9" s="41">
        <f>G9/DAY($A$1)</f>
        <v/>
      </c>
      <c r="J9" s="41">
        <f>IFERROR(IF(OR($A9="Hàng Bông",$A9="Đường Láng"),_xlfn.IFS(AND($H9&gt;=2200000.0,$I9&gt;=450000.0),1000000.0,AND($H9&gt;=2500000.0,$I9&gt;=520000.0),1600000.0,AND($H9&gt;=2800000.0,$I9&gt;=650000.0),2200000.0,AND($H9&gt;=3200000.0,$I9&gt;=750000.0),2800000.0,AND($H9&gt;=3400000.0,$I9&gt;=900000.0),4000000.0,TRUE,0),_xlfn.IFS(AND($H9&gt;=630000.0,$I9&gt;=350000.0),1000000.0,AND($H9&gt;=850000.0,$I9&gt;=480000.0),1600000.0,AND($H9&gt;=1000000.0,$I9&gt;=580000.0),2200000.0,AND($H9&gt;=1200000.0,$I9&gt;=650000.0),2800000.0,AND($H9&gt;=1500000.0,$I9&gt;=700000.0),4000000.0,TRUE,0)),0)</f>
        <v/>
      </c>
      <c r="K9" s="41">
        <f>IFERROR(IF(AND($J9=0, IF(OR($A9="Hàng Bông",$A9="Đường Láng"),$D9&gt;=2000000,$D9&gt;=950000)), 500000, 0), 0)</f>
        <v/>
      </c>
      <c r="L9" s="41">
        <f>IFERROR(SUMIFS('Hot Bill HN'!$G:$G, 'Hot Bill HN'!$C:$C, $A9, 'Hot Bill HN'!$D:$D, $B9), 0)</f>
        <v/>
      </c>
      <c r="M9" s="68">
        <f>IFERROR($J9+$K9+$L9, 0)</f>
        <v/>
      </c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</row>
    <row r="10" ht="13.8" customHeight="1">
      <c r="A10" s="66" t="inlineStr">
        <is>
          <t>Đỗ Quang Đẩu</t>
        </is>
      </c>
      <c r="B10" s="67" t="inlineStr">
        <is>
          <t>Ngô Thị Thanh Thắm</t>
        </is>
      </c>
      <c r="C10" s="42" t="inlineStr">
        <is>
          <t>CHT</t>
        </is>
      </c>
      <c r="D10" s="41">
        <f>SUM(E10:G10)/DAY($A$1)</f>
        <v/>
      </c>
      <c r="E10" s="41" t="n">
        <v>1543000</v>
      </c>
      <c r="F10" s="41" t="n">
        <v>2348700</v>
      </c>
      <c r="G10" s="41" t="n">
        <v>1283401</v>
      </c>
      <c r="H10" s="41">
        <f>F10/DAY($A$1)</f>
        <v/>
      </c>
      <c r="I10" s="41">
        <f>G10/DAY($A$1)</f>
        <v/>
      </c>
      <c r="J10" s="41">
        <f>IFERROR(IF(OR($A10="Hàng Bông",$A10="Đường Láng"),_xlfn.IFS(AND($H10&gt;=2200000.0,$I10&gt;=450000.0),1000000.0,AND($H10&gt;=2500000.0,$I10&gt;=520000.0),1600000.0,AND($H10&gt;=2800000.0,$I10&gt;=650000.0),2200000.0,AND($H10&gt;=3200000.0,$I10&gt;=750000.0),2800000.0,AND($H10&gt;=3400000.0,$I10&gt;=900000.0),4000000.0,TRUE,0),_xlfn.IFS(AND($H10&gt;=630000.0,$I10&gt;=350000.0),1000000.0,AND($H10&gt;=850000.0,$I10&gt;=480000.0),1600000.0,AND($H10&gt;=1000000.0,$I10&gt;=580000.0),2200000.0,AND($H10&gt;=1200000.0,$I10&gt;=650000.0),2800000.0,AND($H10&gt;=1500000.0,$I10&gt;=700000.0),4000000.0,TRUE,0)),0)</f>
        <v/>
      </c>
      <c r="K10" s="41">
        <f>IFERROR(IF(AND($J10=0, IF(OR($A10="Hàng Bông",$A10="Đường Láng"),$D10&gt;=2000000,$D10&gt;=950000)), 500000, 0), 0)</f>
        <v/>
      </c>
      <c r="L10" s="41">
        <f>IFERROR(SUMIFS('Hot Bill HN'!$G:$G, 'Hot Bill HN'!$C:$C, $A10, 'Hot Bill HN'!$D:$D, $B10), 0)</f>
        <v/>
      </c>
      <c r="M10" s="68">
        <f>IFERROR($J10+$K10+$L10, 0)</f>
        <v/>
      </c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</row>
    <row r="11" ht="13.8" customHeight="1">
      <c r="A11" s="66" t="inlineStr">
        <is>
          <t>Đỗ Quang Đẩu</t>
        </is>
      </c>
      <c r="B11" s="67" t="inlineStr">
        <is>
          <t>Hoàng Thanh Thủy</t>
        </is>
      </c>
      <c r="C11" s="42" t="inlineStr">
        <is>
          <t>DSXC</t>
        </is>
      </c>
      <c r="D11" s="41">
        <f>SUM(E11:G11)/DAY($A$1)</f>
        <v/>
      </c>
      <c r="E11" s="41" t="n">
        <v>397542</v>
      </c>
      <c r="F11" s="41" t="n">
        <v>3924462</v>
      </c>
      <c r="G11" s="41" t="n">
        <v>2236537</v>
      </c>
      <c r="H11" s="41">
        <f>F11/DAY($A$1)</f>
        <v/>
      </c>
      <c r="I11" s="41">
        <f>G11/DAY($A$1)</f>
        <v/>
      </c>
      <c r="J11" s="41">
        <f>IFERROR(IF(OR($A11="Hàng Bông",$A11="Đường Láng"),_xlfn.IFS(AND($H11&gt;=2200000.0,$I11&gt;=450000.0),1000000.0,AND($H11&gt;=2500000.0,$I11&gt;=520000.0),1600000.0,AND($H11&gt;=2800000.0,$I11&gt;=650000.0),2200000.0,AND($H11&gt;=3200000.0,$I11&gt;=750000.0),2800000.0,AND($H11&gt;=3400000.0,$I11&gt;=900000.0),4000000.0,TRUE,0),_xlfn.IFS(AND($H11&gt;=630000.0,$I11&gt;=350000.0),1000000.0,AND($H11&gt;=850000.0,$I11&gt;=480000.0),1600000.0,AND($H11&gt;=1000000.0,$I11&gt;=580000.0),2200000.0,AND($H11&gt;=1200000.0,$I11&gt;=650000.0),2800000.0,AND($H11&gt;=1500000.0,$I11&gt;=700000.0),4000000.0,TRUE,0)),0)</f>
        <v/>
      </c>
      <c r="K11" s="41">
        <f>IFERROR(IF(AND($J11=0, IF(OR($A11="Hàng Bông",$A11="Đường Láng"),$D11&gt;=2000000,$D11&gt;=950000)), 500000, 0), 0)</f>
        <v/>
      </c>
      <c r="L11" s="41">
        <f>IFERROR(SUMIFS('Hot Bill HN'!$G:$G, 'Hot Bill HN'!$C:$C, $A11, 'Hot Bill HN'!$D:$D, $B11), 0)</f>
        <v/>
      </c>
      <c r="M11" s="68">
        <f>IFERROR($J11+$K11+$L11, 0)</f>
        <v/>
      </c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</row>
    <row r="12" ht="13.8" customHeight="1">
      <c r="A12" s="66" t="inlineStr">
        <is>
          <t>Đỗ Quang Đẩu</t>
        </is>
      </c>
      <c r="B12" s="67" t="inlineStr">
        <is>
          <t>Lê Thị Huyền Trân</t>
        </is>
      </c>
      <c r="C12" s="42" t="inlineStr">
        <is>
          <t>DSXC</t>
        </is>
      </c>
      <c r="D12" s="41">
        <f>SUM(E12:G12)/DAY($A$1)</f>
        <v/>
      </c>
      <c r="E12" s="41" t="n">
        <v>1162000</v>
      </c>
      <c r="F12" s="41" t="n">
        <v>4079192</v>
      </c>
      <c r="G12" s="41" t="n">
        <v>1505502</v>
      </c>
      <c r="H12" s="41">
        <f>F12/DAY($A$1)</f>
        <v/>
      </c>
      <c r="I12" s="41">
        <f>G12/DAY($A$1)</f>
        <v/>
      </c>
      <c r="J12" s="41">
        <f>IFERROR(IF(OR($A12="Hàng Bông",$A12="Đường Láng"),_xlfn.IFS(AND($H12&gt;=2200000.0,$I12&gt;=450000.0),1000000.0,AND($H12&gt;=2500000.0,$I12&gt;=520000.0),1600000.0,AND($H12&gt;=2800000.0,$I12&gt;=650000.0),2200000.0,AND($H12&gt;=3200000.0,$I12&gt;=750000.0),2800000.0,AND($H12&gt;=3400000.0,$I12&gt;=900000.0),4000000.0,TRUE,0),_xlfn.IFS(AND($H12&gt;=630000.0,$I12&gt;=350000.0),1000000.0,AND($H12&gt;=850000.0,$I12&gt;=480000.0),1600000.0,AND($H12&gt;=1000000.0,$I12&gt;=580000.0),2200000.0,AND($H12&gt;=1200000.0,$I12&gt;=650000.0),2800000.0,AND($H12&gt;=1500000.0,$I12&gt;=700000.0),4000000.0,TRUE,0)),0)</f>
        <v/>
      </c>
      <c r="K12" s="41">
        <f>IFERROR(IF(AND($J12=0, IF(OR($A12="Hàng Bông",$A12="Đường Láng"),$D12&gt;=2000000,$D12&gt;=950000)), 500000, 0), 0)</f>
        <v/>
      </c>
      <c r="L12" s="41">
        <f>IFERROR(SUMIFS('Hot Bill HN'!$G:$G, 'Hot Bill HN'!$C:$C, $A12, 'Hot Bill HN'!$D:$D, $B12), 0)</f>
        <v/>
      </c>
      <c r="M12" s="68">
        <f>IFERROR($J12+$K12+$L12, 0)</f>
        <v/>
      </c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</row>
    <row r="13" ht="13.8" customHeight="1">
      <c r="A13" s="66" t="inlineStr">
        <is>
          <t>Minh Châu</t>
        </is>
      </c>
      <c r="B13" s="67" t="inlineStr">
        <is>
          <t>Thái Thùy Linh</t>
        </is>
      </c>
      <c r="C13" s="42" t="inlineStr">
        <is>
          <t>CHT</t>
        </is>
      </c>
      <c r="D13" s="41">
        <f>SUM(E13:G13)/DAY($A$1)</f>
        <v/>
      </c>
      <c r="E13" s="41" t="n">
        <v>100000</v>
      </c>
      <c r="F13" s="41" t="n">
        <v>4397666</v>
      </c>
      <c r="G13" s="41" t="n">
        <v>2822347</v>
      </c>
      <c r="H13" s="41">
        <f>F13/DAY($A$1)</f>
        <v/>
      </c>
      <c r="I13" s="41">
        <f>G13/DAY($A$1)</f>
        <v/>
      </c>
      <c r="J13" s="41">
        <f>IFERROR(IF(OR($A13="Hàng Bông",$A13="Đường Láng"),_xlfn.IFS(AND($H13&gt;=2200000.0,$I13&gt;=450000.0),1000000.0,AND($H13&gt;=2500000.0,$I13&gt;=520000.0),1600000.0,AND($H13&gt;=2800000.0,$I13&gt;=650000.0),2200000.0,AND($H13&gt;=3200000.0,$I13&gt;=750000.0),2800000.0,AND($H13&gt;=3400000.0,$I13&gt;=900000.0),4000000.0,TRUE,0),_xlfn.IFS(AND($H13&gt;=630000.0,$I13&gt;=350000.0),1000000.0,AND($H13&gt;=850000.0,$I13&gt;=480000.0),1600000.0,AND($H13&gt;=1000000.0,$I13&gt;=580000.0),2200000.0,AND($H13&gt;=1200000.0,$I13&gt;=650000.0),2800000.0,AND($H13&gt;=1500000.0,$I13&gt;=700000.0),4000000.0,TRUE,0)),0)</f>
        <v/>
      </c>
      <c r="K13" s="41">
        <f>IFERROR(IF(AND($J13=0, IF(OR($A13="Hàng Bông",$A13="Đường Láng"),$D13&gt;=2000000,$D13&gt;=950000)), 500000, 0), 0)</f>
        <v/>
      </c>
      <c r="L13" s="41">
        <f>IFERROR(SUMIFS('Hot Bill HN'!$G:$G, 'Hot Bill HN'!$C:$C, $A13, 'Hot Bill HN'!$D:$D, $B13), 0)</f>
        <v/>
      </c>
      <c r="M13" s="68">
        <f>IFERROR($J13+$K13+$L13, 0)</f>
        <v/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</row>
    <row r="14" ht="13.8" customHeight="1">
      <c r="A14" s="66" t="inlineStr">
        <is>
          <t>Minh Châu</t>
        </is>
      </c>
      <c r="B14" s="67" t="inlineStr">
        <is>
          <t>Đoàn Quốc Tâm</t>
        </is>
      </c>
      <c r="C14" s="42" t="inlineStr">
        <is>
          <t>DSXC</t>
        </is>
      </c>
      <c r="D14" s="41">
        <f>SUM(E14:G14)/DAY($A$1)</f>
        <v/>
      </c>
      <c r="E14" s="41" t="n">
        <v>263000</v>
      </c>
      <c r="F14" s="41" t="n">
        <v>5969931</v>
      </c>
      <c r="G14" s="41" t="n">
        <v>5178640</v>
      </c>
      <c r="H14" s="41">
        <f>F14/DAY($A$1)</f>
        <v/>
      </c>
      <c r="I14" s="41">
        <f>G14/DAY($A$1)</f>
        <v/>
      </c>
      <c r="J14" s="41">
        <f>IFERROR(IF(OR($A14="Hàng Bông",$A14="Đường Láng"),_xlfn.IFS(AND($H14&gt;=2200000.0,$I14&gt;=450000.0),1000000.0,AND($H14&gt;=2500000.0,$I14&gt;=520000.0),1600000.0,AND($H14&gt;=2800000.0,$I14&gt;=650000.0),2200000.0,AND($H14&gt;=3200000.0,$I14&gt;=750000.0),2800000.0,AND($H14&gt;=3400000.0,$I14&gt;=900000.0),4000000.0,TRUE,0),_xlfn.IFS(AND($H14&gt;=630000.0,$I14&gt;=350000.0),1000000.0,AND($H14&gt;=850000.0,$I14&gt;=480000.0),1600000.0,AND($H14&gt;=1000000.0,$I14&gt;=580000.0),2200000.0,AND($H14&gt;=1200000.0,$I14&gt;=650000.0),2800000.0,AND($H14&gt;=1500000.0,$I14&gt;=700000.0),4000000.0,TRUE,0)),0)</f>
        <v/>
      </c>
      <c r="K14" s="41">
        <f>IFERROR(IF(AND($J14=0, IF(OR($A14="Hàng Bông",$A14="Đường Láng"),$D14&gt;=2000000,$D14&gt;=950000)), 500000, 0), 0)</f>
        <v/>
      </c>
      <c r="L14" s="41">
        <f>IFERROR(SUMIFS('Hot Bill HN'!$G:$G, 'Hot Bill HN'!$C:$C, $A14, 'Hot Bill HN'!$D:$D, $B14), 0)</f>
        <v/>
      </c>
      <c r="M14" s="68">
        <f>IFERROR($J14+$K14+$L14, 0)</f>
        <v/>
      </c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</row>
    <row r="15" ht="13.8" customHeight="1">
      <c r="A15" s="66" t="inlineStr">
        <is>
          <t>Minh Châu</t>
        </is>
      </c>
      <c r="B15" s="67" t="inlineStr">
        <is>
          <t>Phan Công Vũ Tài</t>
        </is>
      </c>
      <c r="C15" s="42" t="inlineStr">
        <is>
          <t>DSXC</t>
        </is>
      </c>
      <c r="D15" s="41">
        <f>SUM(E15:G15)/DAY($A$1)</f>
        <v/>
      </c>
      <c r="E15" s="41" t="n">
        <v>1184570</v>
      </c>
      <c r="F15" s="41" t="n">
        <v>12241310</v>
      </c>
      <c r="G15" s="41" t="n">
        <v>6702209</v>
      </c>
      <c r="H15" s="41">
        <f>F15/DAY($A$1)</f>
        <v/>
      </c>
      <c r="I15" s="41">
        <f>G15/DAY($A$1)</f>
        <v/>
      </c>
      <c r="J15" s="41">
        <f>IFERROR(IF(OR($A15="Hàng Bông",$A15="Đường Láng"),_xlfn.IFS(AND($H15&gt;=2200000.0,$I15&gt;=450000.0),1000000.0,AND($H15&gt;=2500000.0,$I15&gt;=520000.0),1600000.0,AND($H15&gt;=2800000.0,$I15&gt;=650000.0),2200000.0,AND($H15&gt;=3200000.0,$I15&gt;=750000.0),2800000.0,AND($H15&gt;=3400000.0,$I15&gt;=900000.0),4000000.0,TRUE,0),_xlfn.IFS(AND($H15&gt;=630000.0,$I15&gt;=350000.0),1000000.0,AND($H15&gt;=850000.0,$I15&gt;=480000.0),1600000.0,AND($H15&gt;=1000000.0,$I15&gt;=580000.0),2200000.0,AND($H15&gt;=1200000.0,$I15&gt;=650000.0),2800000.0,AND($H15&gt;=1500000.0,$I15&gt;=700000.0),4000000.0,TRUE,0)),0)</f>
        <v/>
      </c>
      <c r="K15" s="41">
        <f>IFERROR(IF(AND($J15=0, IF(OR($A15="Hàng Bông",$A15="Đường Láng"),$D15&gt;=2000000,$D15&gt;=950000)), 500000, 0), 0)</f>
        <v/>
      </c>
      <c r="L15" s="41">
        <f>IFERROR(SUMIFS('Hot Bill HN'!$G:$G, 'Hot Bill HN'!$C:$C, $A15, 'Hot Bill HN'!$D:$D, $B15), 0)</f>
        <v/>
      </c>
      <c r="M15" s="68">
        <f>IFERROR($J15+$K15+$L15, 0)</f>
        <v/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</row>
    <row r="16" ht="13.8" customHeight="1">
      <c r="A16" s="66" t="inlineStr">
        <is>
          <t>Minh Châu</t>
        </is>
      </c>
      <c r="B16" s="67" t="inlineStr">
        <is>
          <t>Nguyễn Ngọc Thùy</t>
        </is>
      </c>
      <c r="C16" s="42" t="inlineStr">
        <is>
          <t>DSHV</t>
        </is>
      </c>
      <c r="D16" s="41">
        <f>SUM(E16:G16)/DAY($A$1)</f>
        <v/>
      </c>
      <c r="E16" s="41" t="n">
        <v>0</v>
      </c>
      <c r="F16" s="41" t="n">
        <v>0</v>
      </c>
      <c r="G16" s="41" t="n">
        <v>0</v>
      </c>
      <c r="H16" s="41">
        <f>F16/DAY($A$1)</f>
        <v/>
      </c>
      <c r="I16" s="41">
        <f>G16/DAY($A$1)</f>
        <v/>
      </c>
      <c r="J16" s="41">
        <f>IFERROR(IF(OR($A16="Hàng Bông",$A16="Đường Láng"),_xlfn.IFS(AND($H16&gt;=2200000.0,$I16&gt;=450000.0),1000000.0,AND($H16&gt;=2500000.0,$I16&gt;=520000.0),1600000.0,AND($H16&gt;=2800000.0,$I16&gt;=650000.0),2200000.0,AND($H16&gt;=3200000.0,$I16&gt;=750000.0),2800000.0,AND($H16&gt;=3400000.0,$I16&gt;=900000.0),4000000.0,TRUE,0),_xlfn.IFS(AND($H16&gt;=630000.0,$I16&gt;=350000.0),1000000.0,AND($H16&gt;=850000.0,$I16&gt;=480000.0),1600000.0,AND($H16&gt;=1000000.0,$I16&gt;=580000.0),2200000.0,AND($H16&gt;=1200000.0,$I16&gt;=650000.0),2800000.0,AND($H16&gt;=1500000.0,$I16&gt;=700000.0),4000000.0,TRUE,0)),0)</f>
        <v/>
      </c>
      <c r="K16" s="41">
        <f>IFERROR(IF(AND($J16=0, IF(OR($A16="Hàng Bông",$A16="Đường Láng"),$D16&gt;=2000000,$D16&gt;=950000)), 500000, 0), 0)</f>
        <v/>
      </c>
      <c r="L16" s="41">
        <f>IFERROR(SUMIFS('Hot Bill HN'!$G:$G, 'Hot Bill HN'!$C:$C, $A16, 'Hot Bill HN'!$D:$D, $B16), 0)</f>
        <v/>
      </c>
      <c r="M16" s="68">
        <f>IFERROR($J16+$K16+$L16, 0)</f>
        <v/>
      </c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</row>
    <row r="17" ht="13.8" customHeight="1">
      <c r="A17" s="66" t="inlineStr">
        <is>
          <t>Trường Sa</t>
        </is>
      </c>
      <c r="B17" s="67" t="inlineStr">
        <is>
          <t>Trịnh Thị Phượng</t>
        </is>
      </c>
      <c r="C17" s="42" t="inlineStr">
        <is>
          <t>DSCD</t>
        </is>
      </c>
      <c r="D17" s="41">
        <f>SUM(E17:G17)/DAY($A$1)</f>
        <v/>
      </c>
      <c r="E17" s="41" t="n">
        <v>0</v>
      </c>
      <c r="F17" s="41" t="n">
        <v>0</v>
      </c>
      <c r="G17" s="41" t="n">
        <v>0</v>
      </c>
      <c r="H17" s="41">
        <f>F17/DAY($A$1)</f>
        <v/>
      </c>
      <c r="I17" s="41">
        <f>G17/DAY($A$1)</f>
        <v/>
      </c>
      <c r="J17" s="41">
        <f>IFERROR(IF(OR($A17="Hàng Bông",$A17="Đường Láng"),_xlfn.IFS(AND($H17&gt;=2200000.0,$I17&gt;=450000.0),1000000.0,AND($H17&gt;=2500000.0,$I17&gt;=520000.0),1600000.0,AND($H17&gt;=2800000.0,$I17&gt;=650000.0),2200000.0,AND($H17&gt;=3200000.0,$I17&gt;=750000.0),2800000.0,AND($H17&gt;=3400000.0,$I17&gt;=900000.0),4000000.0,TRUE,0),_xlfn.IFS(AND($H17&gt;=630000.0,$I17&gt;=350000.0),1000000.0,AND($H17&gt;=850000.0,$I17&gt;=480000.0),1600000.0,AND($H17&gt;=1000000.0,$I17&gt;=580000.0),2200000.0,AND($H17&gt;=1200000.0,$I17&gt;=650000.0),2800000.0,AND($H17&gt;=1500000.0,$I17&gt;=700000.0),4000000.0,TRUE,0)),0)</f>
        <v/>
      </c>
      <c r="K17" s="41">
        <f>IFERROR(IF(AND($J17=0, IF(OR($A17="Hàng Bông",$A17="Đường Láng"),$D17&gt;=2000000,$D17&gt;=950000)), 500000, 0), 0)</f>
        <v/>
      </c>
      <c r="L17" s="41">
        <f>IFERROR(SUMIFS('Hot Bill HN'!$G:$G, 'Hot Bill HN'!$C:$C, $A17, 'Hot Bill HN'!$D:$D, $B17), 0)</f>
        <v/>
      </c>
      <c r="M17" s="68">
        <f>IFERROR($J17+$K17+$L17, 0)</f>
        <v/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</row>
    <row r="18" ht="13.8" customHeight="1">
      <c r="A18" s="66" t="inlineStr">
        <is>
          <t>Nam Hòa</t>
        </is>
      </c>
      <c r="B18" s="67" t="inlineStr">
        <is>
          <t>Trần Thị Ánh Nguyệt</t>
        </is>
      </c>
      <c r="C18" s="42" t="inlineStr">
        <is>
          <t>DSCD</t>
        </is>
      </c>
      <c r="D18" s="41">
        <f>SUM(E18:G18)/DAY($A$1)</f>
        <v/>
      </c>
      <c r="E18" s="41" t="n">
        <v>1023365</v>
      </c>
      <c r="F18" s="41" t="n">
        <v>11453789</v>
      </c>
      <c r="G18" s="41" t="n">
        <v>5889928</v>
      </c>
      <c r="H18" s="41">
        <f>F18/DAY($A$1)</f>
        <v/>
      </c>
      <c r="I18" s="41">
        <f>G18/DAY($A$1)</f>
        <v/>
      </c>
      <c r="J18" s="41">
        <f>IFERROR(IF(OR($A18="Hàng Bông",$A18="Đường Láng"),_xlfn.IFS(AND($H18&gt;=2200000.0,$I18&gt;=450000.0),1000000.0,AND($H18&gt;=2500000.0,$I18&gt;=520000.0),1600000.0,AND($H18&gt;=2800000.0,$I18&gt;=650000.0),2200000.0,AND($H18&gt;=3200000.0,$I18&gt;=750000.0),2800000.0,AND($H18&gt;=3400000.0,$I18&gt;=900000.0),4000000.0,TRUE,0),_xlfn.IFS(AND($H18&gt;=630000.0,$I18&gt;=350000.0),1000000.0,AND($H18&gt;=850000.0,$I18&gt;=480000.0),1600000.0,AND($H18&gt;=1000000.0,$I18&gt;=580000.0),2200000.0,AND($H18&gt;=1200000.0,$I18&gt;=650000.0),2800000.0,AND($H18&gt;=1500000.0,$I18&gt;=700000.0),4000000.0,TRUE,0)),0)</f>
        <v/>
      </c>
      <c r="K18" s="41">
        <f>IFERROR(IF(AND($J18=0, IF(OR($A18="Hàng Bông",$A18="Đường Láng"),$D18&gt;=2000000,$D18&gt;=950000)), 500000, 0), 0)</f>
        <v/>
      </c>
      <c r="L18" s="41">
        <f>IFERROR(SUMIFS('Hot Bill HN'!$G:$G, 'Hot Bill HN'!$C:$C, $A18, 'Hot Bill HN'!$D:$D, $B18), 0)</f>
        <v/>
      </c>
      <c r="M18" s="68">
        <f>IFERROR($J18+$K18+$L18, 0)</f>
        <v/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</row>
    <row r="19" ht="13.8" customHeight="1">
      <c r="A19" s="66" t="inlineStr">
        <is>
          <t>Nam Hòa</t>
        </is>
      </c>
      <c r="B19" s="67" t="inlineStr">
        <is>
          <t>Nguyễn Thị Huyền Trang</t>
        </is>
      </c>
      <c r="C19" s="42" t="inlineStr">
        <is>
          <t>DSXC (TV)</t>
        </is>
      </c>
      <c r="D19" s="41">
        <f>SUM(E19:G19)/DAY($A$1)</f>
        <v/>
      </c>
      <c r="E19" s="41" t="n">
        <v>56000</v>
      </c>
      <c r="F19" s="41" t="n">
        <v>1705589</v>
      </c>
      <c r="G19" s="41" t="n">
        <v>1402565</v>
      </c>
      <c r="H19" s="41">
        <f>F19/DAY($A$1)</f>
        <v/>
      </c>
      <c r="I19" s="41">
        <f>G19/DAY($A$1)</f>
        <v/>
      </c>
      <c r="J19" s="41">
        <f>IFERROR(IF(OR($A19="Hàng Bông",$A19="Đường Láng"),_xlfn.IFS(AND($H19&gt;=2200000.0,$I19&gt;=450000.0),1000000.0,AND($H19&gt;=2500000.0,$I19&gt;=520000.0),1600000.0,AND($H19&gt;=2800000.0,$I19&gt;=650000.0),2200000.0,AND($H19&gt;=3200000.0,$I19&gt;=750000.0),2800000.0,AND($H19&gt;=3400000.0,$I19&gt;=900000.0),4000000.0,TRUE,0),_xlfn.IFS(AND($H19&gt;=630000.0,$I19&gt;=350000.0),1000000.0,AND($H19&gt;=850000.0,$I19&gt;=480000.0),1600000.0,AND($H19&gt;=1000000.0,$I19&gt;=580000.0),2200000.0,AND($H19&gt;=1200000.0,$I19&gt;=650000.0),2800000.0,AND($H19&gt;=1500000.0,$I19&gt;=700000.0),4000000.0,TRUE,0)),0)</f>
        <v/>
      </c>
      <c r="K19" s="41">
        <f>IFERROR(IF(AND($J19=0, IF(OR($A19="Hàng Bông",$A19="Đường Láng"),$D19&gt;=2000000,$D19&gt;=950000)), 500000, 0), 0)</f>
        <v/>
      </c>
      <c r="L19" s="41">
        <f>IFERROR(SUMIFS('Hot Bill HN'!$G:$G, 'Hot Bill HN'!$C:$C, $A19, 'Hot Bill HN'!$D:$D, $B19), 0)</f>
        <v/>
      </c>
      <c r="M19" s="68">
        <f>IFERROR($J19+$K19+$L19, 0)</f>
        <v/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</row>
    <row r="20" ht="13.8" customHeight="1">
      <c r="A20" s="66" t="inlineStr">
        <is>
          <t>Nam Hòa</t>
        </is>
      </c>
      <c r="B20" s="67" t="inlineStr">
        <is>
          <t>Đỗ Thị Kim Tiến</t>
        </is>
      </c>
      <c r="C20" s="42" t="inlineStr">
        <is>
          <t>DSCD (TV)</t>
        </is>
      </c>
      <c r="D20" s="41">
        <f>SUM(E20:G20)/DAY($A$1)</f>
        <v/>
      </c>
      <c r="E20" s="41" t="n">
        <v>31000</v>
      </c>
      <c r="F20" s="41" t="n">
        <v>4297821</v>
      </c>
      <c r="G20" s="41" t="n">
        <v>3048922</v>
      </c>
      <c r="H20" s="41">
        <f>F20/DAY($A$1)</f>
        <v/>
      </c>
      <c r="I20" s="41">
        <f>G20/DAY($A$1)</f>
        <v/>
      </c>
      <c r="J20" s="41">
        <f>IFERROR(IF(OR($A20="Hàng Bông",$A20="Đường Láng"),_xlfn.IFS(AND($H20&gt;=2200000.0,$I20&gt;=450000.0),1000000.0,AND($H20&gt;=2500000.0,$I20&gt;=520000.0),1600000.0,AND($H20&gt;=2800000.0,$I20&gt;=650000.0),2200000.0,AND($H20&gt;=3200000.0,$I20&gt;=750000.0),2800000.0,AND($H20&gt;=3400000.0,$I20&gt;=900000.0),4000000.0,TRUE,0),_xlfn.IFS(AND($H20&gt;=630000.0,$I20&gt;=350000.0),1000000.0,AND($H20&gt;=850000.0,$I20&gt;=480000.0),1600000.0,AND($H20&gt;=1000000.0,$I20&gt;=580000.0),2200000.0,AND($H20&gt;=1200000.0,$I20&gt;=650000.0),2800000.0,AND($H20&gt;=1500000.0,$I20&gt;=700000.0),4000000.0,TRUE,0)),0)</f>
        <v/>
      </c>
      <c r="K20" s="41">
        <f>IFERROR(IF(AND($J20=0, IF(OR($A20="Hàng Bông",$A20="Đường Láng"),$D20&gt;=2000000,$D20&gt;=950000)), 500000, 0), 0)</f>
        <v/>
      </c>
      <c r="L20" s="41">
        <f>IFERROR(SUMIFS('Hot Bill HN'!$G:$G, 'Hot Bill HN'!$C:$C, $A20, 'Hot Bill HN'!$D:$D, $B20), 0)</f>
        <v/>
      </c>
      <c r="M20" s="68">
        <f>IFERROR($J20+$K20+$L20, 0)</f>
        <v/>
      </c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</row>
    <row r="21" ht="13.8" customHeight="1">
      <c r="A21" s="66" t="inlineStr">
        <is>
          <t>Nam Hòa</t>
        </is>
      </c>
      <c r="B21" s="67" t="inlineStr">
        <is>
          <t>Dương Thị Huỳnh Như</t>
        </is>
      </c>
      <c r="C21" s="42" t="inlineStr">
        <is>
          <t>DSCD (TV)</t>
        </is>
      </c>
      <c r="D21" s="41">
        <f>SUM(E21:G21)/DAY($A$1)</f>
        <v/>
      </c>
      <c r="E21" s="41" t="n">
        <v>0</v>
      </c>
      <c r="F21" s="41" t="n">
        <v>0</v>
      </c>
      <c r="G21" s="41" t="n">
        <v>0</v>
      </c>
      <c r="H21" s="41">
        <f>F21/DAY($A$1)</f>
        <v/>
      </c>
      <c r="I21" s="41">
        <f>G21/DAY($A$1)</f>
        <v/>
      </c>
      <c r="J21" s="41">
        <f>IFERROR(IF(OR($A21="Hàng Bông",$A21="Đường Láng"),_xlfn.IFS(AND($H21&gt;=2200000.0,$I21&gt;=450000.0),1000000.0,AND($H21&gt;=2500000.0,$I21&gt;=520000.0),1600000.0,AND($H21&gt;=2800000.0,$I21&gt;=650000.0),2200000.0,AND($H21&gt;=3200000.0,$I21&gt;=750000.0),2800000.0,AND($H21&gt;=3400000.0,$I21&gt;=900000.0),4000000.0,TRUE,0),_xlfn.IFS(AND($H21&gt;=630000.0,$I21&gt;=350000.0),1000000.0,AND($H21&gt;=850000.0,$I21&gt;=480000.0),1600000.0,AND($H21&gt;=1000000.0,$I21&gt;=580000.0),2200000.0,AND($H21&gt;=1200000.0,$I21&gt;=650000.0),2800000.0,AND($H21&gt;=1500000.0,$I21&gt;=700000.0),4000000.0,TRUE,0)),0)</f>
        <v/>
      </c>
      <c r="K21" s="41">
        <f>IFERROR(IF(AND($J21=0, IF(OR($A21="Hàng Bông",$A21="Đường Láng"),$D21&gt;=2000000,$D21&gt;=950000)), 500000, 0), 0)</f>
        <v/>
      </c>
      <c r="L21" s="41">
        <f>IFERROR(SUMIFS('Hot Bill HN'!$G:$G, 'Hot Bill HN'!$C:$C, $A21, 'Hot Bill HN'!$D:$D, $B21), 0)</f>
        <v/>
      </c>
      <c r="M21" s="68">
        <f>IFERROR($J21+$K21+$L21, 0)</f>
        <v/>
      </c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</row>
    <row r="22" ht="13.8" customHeight="1">
      <c r="A22" s="66" t="inlineStr">
        <is>
          <t>Nam Hòa</t>
        </is>
      </c>
      <c r="B22" s="67" t="inlineStr">
        <is>
          <t>Bùi Thị Thanh Thủy</t>
        </is>
      </c>
      <c r="C22" s="42" t="inlineStr">
        <is>
          <t>DSXC (TV)</t>
        </is>
      </c>
      <c r="D22" s="41">
        <f>SUM(E22:G22)/DAY($A$1)</f>
        <v/>
      </c>
      <c r="E22" s="41" t="n">
        <v>10000</v>
      </c>
      <c r="F22" s="41" t="n">
        <v>1254628</v>
      </c>
      <c r="G22" s="41" t="n">
        <v>2536031</v>
      </c>
      <c r="H22" s="41">
        <f>F22/DAY($A$1)</f>
        <v/>
      </c>
      <c r="I22" s="41">
        <f>G22/DAY($A$1)</f>
        <v/>
      </c>
      <c r="J22" s="41">
        <f>IFERROR(IF(OR($A22="Hàng Bông",$A22="Đường Láng"),_xlfn.IFS(AND($H22&gt;=2200000.0,$I22&gt;=450000.0),1000000.0,AND($H22&gt;=2500000.0,$I22&gt;=520000.0),1600000.0,AND($H22&gt;=2800000.0,$I22&gt;=650000.0),2200000.0,AND($H22&gt;=3200000.0,$I22&gt;=750000.0),2800000.0,AND($H22&gt;=3400000.0,$I22&gt;=900000.0),4000000.0,TRUE,0),_xlfn.IFS(AND($H22&gt;=630000.0,$I22&gt;=350000.0),1000000.0,AND($H22&gt;=850000.0,$I22&gt;=480000.0),1600000.0,AND($H22&gt;=1000000.0,$I22&gt;=580000.0),2200000.0,AND($H22&gt;=1200000.0,$I22&gt;=650000.0),2800000.0,AND($H22&gt;=1500000.0,$I22&gt;=700000.0),4000000.0,TRUE,0)),0)</f>
        <v/>
      </c>
      <c r="K22" s="41">
        <f>IFERROR(IF(AND($J22=0, IF(OR($A22="Hàng Bông",$A22="Đường Láng"),$D22&gt;=2000000,$D22&gt;=950000)), 500000, 0), 0)</f>
        <v/>
      </c>
      <c r="L22" s="41">
        <f>IFERROR(SUMIFS('Hot Bill HN'!$G:$G, 'Hot Bill HN'!$C:$C, $A22, 'Hot Bill HN'!$D:$D, $B22), 0)</f>
        <v/>
      </c>
      <c r="M22" s="68">
        <f>IFERROR($J22+$K22+$L22, 0)</f>
        <v/>
      </c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</row>
    <row r="23" ht="13.8" customHeight="1">
      <c r="A23" s="66" t="inlineStr">
        <is>
          <t>Nguyễn Chí Thanh</t>
        </is>
      </c>
      <c r="B23" s="67" t="inlineStr">
        <is>
          <t>Lê Thị Quỳnh Trâm</t>
        </is>
      </c>
      <c r="C23" s="42" t="inlineStr">
        <is>
          <t>CHT</t>
        </is>
      </c>
      <c r="D23" s="41">
        <f>SUM(E23:G23)/DAY($A$1)</f>
        <v/>
      </c>
      <c r="E23" s="41" t="n">
        <v>124017</v>
      </c>
      <c r="F23" s="41" t="n">
        <v>1287605</v>
      </c>
      <c r="G23" s="41" t="n">
        <v>1483539</v>
      </c>
      <c r="H23" s="41">
        <f>F23/DAY($A$1)</f>
        <v/>
      </c>
      <c r="I23" s="41">
        <f>G23/DAY($A$1)</f>
        <v/>
      </c>
      <c r="J23" s="41">
        <f>IFERROR(IF(OR($A23="Hàng Bông",$A23="Đường Láng"),_xlfn.IFS(AND($H23&gt;=2200000.0,$I23&gt;=450000.0),1000000.0,AND($H23&gt;=2500000.0,$I23&gt;=520000.0),1600000.0,AND($H23&gt;=2800000.0,$I23&gt;=650000.0),2200000.0,AND($H23&gt;=3200000.0,$I23&gt;=750000.0),2800000.0,AND($H23&gt;=3400000.0,$I23&gt;=900000.0),4000000.0,TRUE,0),_xlfn.IFS(AND($H23&gt;=630000.0,$I23&gt;=350000.0),1000000.0,AND($H23&gt;=850000.0,$I23&gt;=480000.0),1600000.0,AND($H23&gt;=1000000.0,$I23&gt;=580000.0),2200000.0,AND($H23&gt;=1200000.0,$I23&gt;=650000.0),2800000.0,AND($H23&gt;=1500000.0,$I23&gt;=700000.0),4000000.0,TRUE,0)),0)</f>
        <v/>
      </c>
      <c r="K23" s="41">
        <f>IFERROR(IF(AND($J23=0, IF(OR($A23="Hàng Bông",$A23="Đường Láng"),$D23&gt;=2000000,$D23&gt;=950000)), 500000, 0), 0)</f>
        <v/>
      </c>
      <c r="L23" s="41">
        <f>IFERROR(SUMIFS('Hot Bill HN'!$G:$G, 'Hot Bill HN'!$C:$C, $A23, 'Hot Bill HN'!$D:$D, $B23), 0)</f>
        <v/>
      </c>
      <c r="M23" s="68">
        <f>IFERROR($J23+$K23+$L23, 0)</f>
        <v/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</row>
    <row r="24" ht="13.8" customHeight="1">
      <c r="A24" s="66" t="inlineStr">
        <is>
          <t>Nguyễn Chí Thanh</t>
        </is>
      </c>
      <c r="B24" s="67" t="inlineStr">
        <is>
          <t>Đỗ Thị Phương Thảo</t>
        </is>
      </c>
      <c r="C24" s="42" t="inlineStr">
        <is>
          <t>DSXC</t>
        </is>
      </c>
      <c r="D24" s="41">
        <f>SUM(E24:G24)/DAY($A$1)</f>
        <v/>
      </c>
      <c r="E24" s="41" t="n">
        <v>140000</v>
      </c>
      <c r="F24" s="41" t="n">
        <v>2115024</v>
      </c>
      <c r="G24" s="41" t="n">
        <v>1826962</v>
      </c>
      <c r="H24" s="41">
        <f>F24/DAY($A$1)</f>
        <v/>
      </c>
      <c r="I24" s="41">
        <f>G24/DAY($A$1)</f>
        <v/>
      </c>
      <c r="J24" s="41">
        <f>IFERROR(IF(OR($A24="Hàng Bông",$A24="Đường Láng"),_xlfn.IFS(AND($H24&gt;=2200000.0,$I24&gt;=450000.0),1000000.0,AND($H24&gt;=2500000.0,$I24&gt;=520000.0),1600000.0,AND($H24&gt;=2800000.0,$I24&gt;=650000.0),2200000.0,AND($H24&gt;=3200000.0,$I24&gt;=750000.0),2800000.0,AND($H24&gt;=3400000.0,$I24&gt;=900000.0),4000000.0,TRUE,0),_xlfn.IFS(AND($H24&gt;=630000.0,$I24&gt;=350000.0),1000000.0,AND($H24&gt;=850000.0,$I24&gt;=480000.0),1600000.0,AND($H24&gt;=1000000.0,$I24&gt;=580000.0),2200000.0,AND($H24&gt;=1200000.0,$I24&gt;=650000.0),2800000.0,AND($H24&gt;=1500000.0,$I24&gt;=700000.0),4000000.0,TRUE,0)),0)</f>
        <v/>
      </c>
      <c r="K24" s="41">
        <f>IFERROR(IF(AND($J24=0, IF(OR($A24="Hàng Bông",$A24="Đường Láng"),$D24&gt;=2000000,$D24&gt;=950000)), 500000, 0), 0)</f>
        <v/>
      </c>
      <c r="L24" s="41">
        <f>IFERROR(SUMIFS('Hot Bill HN'!$G:$G, 'Hot Bill HN'!$C:$C, $A24, 'Hot Bill HN'!$D:$D, $B24), 0)</f>
        <v/>
      </c>
      <c r="M24" s="68">
        <f>IFERROR($J24+$K24+$L24, 0)</f>
        <v/>
      </c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</row>
    <row r="25" ht="13.8" customHeight="1">
      <c r="A25" s="66" t="inlineStr">
        <is>
          <t>Nguyễn Chí Thanh</t>
        </is>
      </c>
      <c r="B25" s="67" t="inlineStr">
        <is>
          <t>Nguyễn Thị Hồng Hạnh</t>
        </is>
      </c>
      <c r="C25" s="42" t="inlineStr">
        <is>
          <t>DSCD</t>
        </is>
      </c>
      <c r="D25" s="41">
        <f>SUM(E25:G25)/DAY($A$1)</f>
        <v/>
      </c>
      <c r="E25" s="41" t="n">
        <v>390000</v>
      </c>
      <c r="F25" s="41" t="n">
        <v>3076786</v>
      </c>
      <c r="G25" s="41" t="n">
        <v>2775155</v>
      </c>
      <c r="H25" s="41">
        <f>F25/DAY($A$1)</f>
        <v/>
      </c>
      <c r="I25" s="41">
        <f>G25/DAY($A$1)</f>
        <v/>
      </c>
      <c r="J25" s="41">
        <f>IFERROR(IF(OR($A25="Hàng Bông",$A25="Đường Láng"),_xlfn.IFS(AND($H25&gt;=2200000.0,$I25&gt;=450000.0),1000000.0,AND($H25&gt;=2500000.0,$I25&gt;=520000.0),1600000.0,AND($H25&gt;=2800000.0,$I25&gt;=650000.0),2200000.0,AND($H25&gt;=3200000.0,$I25&gt;=750000.0),2800000.0,AND($H25&gt;=3400000.0,$I25&gt;=900000.0),4000000.0,TRUE,0),_xlfn.IFS(AND($H25&gt;=630000.0,$I25&gt;=350000.0),1000000.0,AND($H25&gt;=850000.0,$I25&gt;=480000.0),1600000.0,AND($H25&gt;=1000000.0,$I25&gt;=580000.0),2200000.0,AND($H25&gt;=1200000.0,$I25&gt;=650000.0),2800000.0,AND($H25&gt;=1500000.0,$I25&gt;=700000.0),4000000.0,TRUE,0)),0)</f>
        <v/>
      </c>
      <c r="K25" s="41">
        <f>IFERROR(IF(AND($J25=0, IF(OR($A25="Hàng Bông",$A25="Đường Láng"),$D25&gt;=2000000,$D25&gt;=950000)), 500000, 0), 0)</f>
        <v/>
      </c>
      <c r="L25" s="41">
        <f>IFERROR(SUMIFS('Hot Bill HN'!$G:$G, 'Hot Bill HN'!$C:$C, $A25, 'Hot Bill HN'!$D:$D, $B25), 0)</f>
        <v/>
      </c>
      <c r="M25" s="68">
        <f>IFERROR($J25+$K25+$L25, 0)</f>
        <v/>
      </c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</row>
    <row r="26" ht="13.8" customHeight="1">
      <c r="A26" s="66" t="inlineStr">
        <is>
          <t>Nguyễn Chí Thanh</t>
        </is>
      </c>
      <c r="B26" s="67" t="inlineStr">
        <is>
          <t>Trần Hoàng Khánh</t>
        </is>
      </c>
      <c r="C26" s="42" t="inlineStr">
        <is>
          <t>DSCD</t>
        </is>
      </c>
      <c r="D26" s="41">
        <f>SUM(E26:G26)/DAY($A$1)</f>
        <v/>
      </c>
      <c r="E26" s="41" t="n">
        <v>335303</v>
      </c>
      <c r="F26" s="41" t="n">
        <v>6098871</v>
      </c>
      <c r="G26" s="41" t="n">
        <v>3769560</v>
      </c>
      <c r="H26" s="41">
        <f>F26/DAY($A$1)</f>
        <v/>
      </c>
      <c r="I26" s="41">
        <f>G26/DAY($A$1)</f>
        <v/>
      </c>
      <c r="J26" s="41">
        <f>IFERROR(IF(OR($A26="Hàng Bông",$A26="Đường Láng"),_xlfn.IFS(AND($H26&gt;=2200000.0,$I26&gt;=450000.0),1000000.0,AND($H26&gt;=2500000.0,$I26&gt;=520000.0),1600000.0,AND($H26&gt;=2800000.0,$I26&gt;=650000.0),2200000.0,AND($H26&gt;=3200000.0,$I26&gt;=750000.0),2800000.0,AND($H26&gt;=3400000.0,$I26&gt;=900000.0),4000000.0,TRUE,0),_xlfn.IFS(AND($H26&gt;=630000.0,$I26&gt;=350000.0),1000000.0,AND($H26&gt;=850000.0,$I26&gt;=480000.0),1600000.0,AND($H26&gt;=1000000.0,$I26&gt;=580000.0),2200000.0,AND($H26&gt;=1200000.0,$I26&gt;=650000.0),2800000.0,AND($H26&gt;=1500000.0,$I26&gt;=700000.0),4000000.0,TRUE,0)),0)</f>
        <v/>
      </c>
      <c r="K26" s="41">
        <f>IFERROR(IF(AND($J26=0, IF(OR($A26="Hàng Bông",$A26="Đường Láng"),$D26&gt;=2000000,$D26&gt;=950000)), 500000, 0), 0)</f>
        <v/>
      </c>
      <c r="L26" s="41">
        <f>IFERROR(SUMIFS('Hot Bill HN'!$G:$G, 'Hot Bill HN'!$C:$C, $A26, 'Hot Bill HN'!$D:$D, $B26), 0)</f>
        <v/>
      </c>
      <c r="M26" s="68">
        <f>IFERROR($J26+$K26+$L26, 0)</f>
        <v/>
      </c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</row>
    <row r="27" ht="13.8" customHeight="1">
      <c r="A27" s="66" t="inlineStr">
        <is>
          <t>Nguyễn Chí Thanh</t>
        </is>
      </c>
      <c r="B27" s="67" t="inlineStr">
        <is>
          <t>Lý Thục Mi</t>
        </is>
      </c>
      <c r="C27" s="42" t="inlineStr">
        <is>
          <t>DSXC (TV)</t>
        </is>
      </c>
      <c r="D27" s="41">
        <f>SUM(E27:G27)/DAY($A$1)</f>
        <v/>
      </c>
      <c r="E27" s="41" t="n">
        <v>0</v>
      </c>
      <c r="F27" s="41" t="n">
        <v>0</v>
      </c>
      <c r="G27" s="41" t="n">
        <v>0</v>
      </c>
      <c r="H27" s="41">
        <f>F27/DAY($A$1)</f>
        <v/>
      </c>
      <c r="I27" s="41">
        <f>G27/DAY($A$1)</f>
        <v/>
      </c>
      <c r="J27" s="41">
        <f>IFERROR(IF(OR($A27="Hàng Bông",$A27="Đường Láng"),_xlfn.IFS(AND($H27&gt;=2200000.0,$I27&gt;=450000.0),1000000.0,AND($H27&gt;=2500000.0,$I27&gt;=520000.0),1600000.0,AND($H27&gt;=2800000.0,$I27&gt;=650000.0),2200000.0,AND($H27&gt;=3200000.0,$I27&gt;=750000.0),2800000.0,AND($H27&gt;=3400000.0,$I27&gt;=900000.0),4000000.0,TRUE,0),_xlfn.IFS(AND($H27&gt;=630000.0,$I27&gt;=350000.0),1000000.0,AND($H27&gt;=850000.0,$I27&gt;=480000.0),1600000.0,AND($H27&gt;=1000000.0,$I27&gt;=580000.0),2200000.0,AND($H27&gt;=1200000.0,$I27&gt;=650000.0),2800000.0,AND($H27&gt;=1500000.0,$I27&gt;=700000.0),4000000.0,TRUE,0)),0)</f>
        <v/>
      </c>
      <c r="K27" s="41">
        <f>IFERROR(IF(AND($J27=0, IF(OR($A27="Hàng Bông",$A27="Đường Láng"),$D27&gt;=2000000,$D27&gt;=950000)), 500000, 0), 0)</f>
        <v/>
      </c>
      <c r="L27" s="41">
        <f>IFERROR(SUMIFS('Hot Bill HN'!$G:$G, 'Hot Bill HN'!$C:$C, $A27, 'Hot Bill HN'!$D:$D, $B27), 0)</f>
        <v/>
      </c>
      <c r="M27" s="68">
        <f>IFERROR($J27+$K27+$L27, 0)</f>
        <v/>
      </c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</row>
    <row r="28" ht="13.8" customHeight="1">
      <c r="A28" s="66" t="inlineStr">
        <is>
          <t>Nguyễn Thị Thập</t>
        </is>
      </c>
      <c r="B28" s="67" t="inlineStr">
        <is>
          <t>Trần Thành Đạt</t>
        </is>
      </c>
      <c r="C28" s="42" t="inlineStr">
        <is>
          <t>DSCD</t>
        </is>
      </c>
      <c r="D28" s="41">
        <f>SUM(E28:G28)/DAY($A$1)</f>
        <v/>
      </c>
      <c r="E28" s="41" t="n">
        <v>5500</v>
      </c>
      <c r="F28" s="41" t="n">
        <v>1076612</v>
      </c>
      <c r="G28" s="41" t="n">
        <v>2495624</v>
      </c>
      <c r="H28" s="41">
        <f>F28/DAY($A$1)</f>
        <v/>
      </c>
      <c r="I28" s="41">
        <f>G28/DAY($A$1)</f>
        <v/>
      </c>
      <c r="J28" s="41">
        <f>IFERROR(IF(OR($A28="Hàng Bông",$A28="Đường Láng"),_xlfn.IFS(AND($H28&gt;=2200000.0,$I28&gt;=450000.0),1000000.0,AND($H28&gt;=2500000.0,$I28&gt;=520000.0),1600000.0,AND($H28&gt;=2800000.0,$I28&gt;=650000.0),2200000.0,AND($H28&gt;=3200000.0,$I28&gt;=750000.0),2800000.0,AND($H28&gt;=3400000.0,$I28&gt;=900000.0),4000000.0,TRUE,0),_xlfn.IFS(AND($H28&gt;=630000.0,$I28&gt;=350000.0),1000000.0,AND($H28&gt;=850000.0,$I28&gt;=480000.0),1600000.0,AND($H28&gt;=1000000.0,$I28&gt;=580000.0),2200000.0,AND($H28&gt;=1200000.0,$I28&gt;=650000.0),2800000.0,AND($H28&gt;=1500000.0,$I28&gt;=700000.0),4000000.0,TRUE,0)),0)</f>
        <v/>
      </c>
      <c r="K28" s="41">
        <f>IFERROR(IF(AND($J28=0, IF(OR($A28="Hàng Bông",$A28="Đường Láng"),$D28&gt;=2000000,$D28&gt;=950000)), 500000, 0), 0)</f>
        <v/>
      </c>
      <c r="L28" s="41">
        <f>IFERROR(SUMIFS('Hot Bill HN'!$G:$G, 'Hot Bill HN'!$C:$C, $A28, 'Hot Bill HN'!$D:$D, $B28), 0)</f>
        <v/>
      </c>
      <c r="M28" s="68">
        <f>IFERROR($J28+$K28+$L28, 0)</f>
        <v/>
      </c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</row>
    <row r="29" ht="13.8" customHeight="1">
      <c r="A29" s="66" t="inlineStr">
        <is>
          <t>Nguyễn Thị Thập</t>
        </is>
      </c>
      <c r="B29" s="67" t="inlineStr">
        <is>
          <t>Triệu Thị Ngọc Lý</t>
        </is>
      </c>
      <c r="C29" s="42" t="inlineStr">
        <is>
          <t>CHT</t>
        </is>
      </c>
      <c r="D29" s="41">
        <f>SUM(E29:G29)/DAY($A$1)</f>
        <v/>
      </c>
      <c r="E29" s="41" t="n">
        <v>62500</v>
      </c>
      <c r="F29" s="41" t="n">
        <v>3428432</v>
      </c>
      <c r="G29" s="41" t="n">
        <v>1696509</v>
      </c>
      <c r="H29" s="41">
        <f>F29/DAY($A$1)</f>
        <v/>
      </c>
      <c r="I29" s="41">
        <f>G29/DAY($A$1)</f>
        <v/>
      </c>
      <c r="J29" s="41">
        <f>IFERROR(IF(OR($A29="Hàng Bông",$A29="Đường Láng"),_xlfn.IFS(AND($H29&gt;=2200000.0,$I29&gt;=450000.0),1000000.0,AND($H29&gt;=2500000.0,$I29&gt;=520000.0),1600000.0,AND($H29&gt;=2800000.0,$I29&gt;=650000.0),2200000.0,AND($H29&gt;=3200000.0,$I29&gt;=750000.0),2800000.0,AND($H29&gt;=3400000.0,$I29&gt;=900000.0),4000000.0,TRUE,0),_xlfn.IFS(AND($H29&gt;=630000.0,$I29&gt;=350000.0),1000000.0,AND($H29&gt;=850000.0,$I29&gt;=480000.0),1600000.0,AND($H29&gt;=1000000.0,$I29&gt;=580000.0),2200000.0,AND($H29&gt;=1200000.0,$I29&gt;=650000.0),2800000.0,AND($H29&gt;=1500000.0,$I29&gt;=700000.0),4000000.0,TRUE,0)),0)</f>
        <v/>
      </c>
      <c r="K29" s="41">
        <f>IFERROR(IF(AND($J29=0, IF(OR($A29="Hàng Bông",$A29="Đường Láng"),$D29&gt;=2000000,$D29&gt;=950000)), 500000, 0), 0)</f>
        <v/>
      </c>
      <c r="L29" s="41">
        <f>IFERROR(SUMIFS('Hot Bill HN'!$G:$G, 'Hot Bill HN'!$C:$C, $A29, 'Hot Bill HN'!$D:$D, $B29), 0)</f>
        <v/>
      </c>
      <c r="M29" s="68">
        <f>IFERROR($J29+$K29+$L29, 0)</f>
        <v/>
      </c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</row>
    <row r="30" ht="13.8" customHeight="1">
      <c r="A30" s="66" t="inlineStr">
        <is>
          <t>Nguyễn Thị Thập</t>
        </is>
      </c>
      <c r="B30" s="67" t="inlineStr">
        <is>
          <t>Cao Trọng Nhân</t>
        </is>
      </c>
      <c r="C30" s="42" t="inlineStr">
        <is>
          <t>DSCD</t>
        </is>
      </c>
      <c r="D30" s="41">
        <f>SUM(E30:G30)/DAY($A$1)</f>
        <v/>
      </c>
      <c r="E30" s="41" t="n">
        <v>121080</v>
      </c>
      <c r="F30" s="41" t="n">
        <v>6281881</v>
      </c>
      <c r="G30" s="41" t="n">
        <v>5491323</v>
      </c>
      <c r="H30" s="41">
        <f>F30/DAY($A$1)</f>
        <v/>
      </c>
      <c r="I30" s="41">
        <f>G30/DAY($A$1)</f>
        <v/>
      </c>
      <c r="J30" s="41">
        <f>IFERROR(IF(OR($A30="Hàng Bông",$A30="Đường Láng"),_xlfn.IFS(AND($H30&gt;=2200000.0,$I30&gt;=450000.0),1000000.0,AND($H30&gt;=2500000.0,$I30&gt;=520000.0),1600000.0,AND($H30&gt;=2800000.0,$I30&gt;=650000.0),2200000.0,AND($H30&gt;=3200000.0,$I30&gt;=750000.0),2800000.0,AND($H30&gt;=3400000.0,$I30&gt;=900000.0),4000000.0,TRUE,0),_xlfn.IFS(AND($H30&gt;=630000.0,$I30&gt;=350000.0),1000000.0,AND($H30&gt;=850000.0,$I30&gt;=480000.0),1600000.0,AND($H30&gt;=1000000.0,$I30&gt;=580000.0),2200000.0,AND($H30&gt;=1200000.0,$I30&gt;=650000.0),2800000.0,AND($H30&gt;=1500000.0,$I30&gt;=700000.0),4000000.0,TRUE,0)),0)</f>
        <v/>
      </c>
      <c r="K30" s="41">
        <f>IFERROR(IF(AND($J30=0, IF(OR($A30="Hàng Bông",$A30="Đường Láng"),$D30&gt;=2000000,$D30&gt;=950000)), 500000, 0), 0)</f>
        <v/>
      </c>
      <c r="L30" s="41">
        <f>IFERROR(SUMIFS('Hot Bill HN'!$G:$G, 'Hot Bill HN'!$C:$C, $A30, 'Hot Bill HN'!$D:$D, $B30), 0)</f>
        <v/>
      </c>
      <c r="M30" s="68">
        <f>IFERROR($J30+$K30+$L30, 0)</f>
        <v/>
      </c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</row>
    <row r="31" ht="13.8" customHeight="1">
      <c r="A31" s="66" t="inlineStr">
        <is>
          <t>Nguyễn Thị Thập</t>
        </is>
      </c>
      <c r="B31" s="67" t="inlineStr">
        <is>
          <t>Bùi Thị Bích Trâm</t>
        </is>
      </c>
      <c r="C31" s="42" t="inlineStr">
        <is>
          <t>DSHV</t>
        </is>
      </c>
      <c r="D31" s="41">
        <f>SUM(E31:G31)/DAY($A$1)</f>
        <v/>
      </c>
      <c r="E31" s="41" t="n">
        <v>0</v>
      </c>
      <c r="F31" s="41" t="n">
        <v>0</v>
      </c>
      <c r="G31" s="41" t="n">
        <v>0</v>
      </c>
      <c r="H31" s="41">
        <f>F31/DAY($A$1)</f>
        <v/>
      </c>
      <c r="I31" s="41">
        <f>G31/DAY($A$1)</f>
        <v/>
      </c>
      <c r="J31" s="41">
        <f>IFERROR(IF(OR($A31="Hàng Bông",$A31="Đường Láng"),_xlfn.IFS(AND($H31&gt;=2200000.0,$I31&gt;=450000.0),1000000.0,AND($H31&gt;=2500000.0,$I31&gt;=520000.0),1600000.0,AND($H31&gt;=2800000.0,$I31&gt;=650000.0),2200000.0,AND($H31&gt;=3200000.0,$I31&gt;=750000.0),2800000.0,AND($H31&gt;=3400000.0,$I31&gt;=900000.0),4000000.0,TRUE,0),_xlfn.IFS(AND($H31&gt;=630000.0,$I31&gt;=350000.0),1000000.0,AND($H31&gt;=850000.0,$I31&gt;=480000.0),1600000.0,AND($H31&gt;=1000000.0,$I31&gt;=580000.0),2200000.0,AND($H31&gt;=1200000.0,$I31&gt;=650000.0),2800000.0,AND($H31&gt;=1500000.0,$I31&gt;=700000.0),4000000.0,TRUE,0)),0)</f>
        <v/>
      </c>
      <c r="K31" s="41">
        <f>IFERROR(IF(AND($J31=0, IF(OR($A31="Hàng Bông",$A31="Đường Láng"),$D31&gt;=2000000,$D31&gt;=950000)), 500000, 0), 0)</f>
        <v/>
      </c>
      <c r="L31" s="41">
        <f>IFERROR(SUMIFS('Hot Bill HN'!$G:$G, 'Hot Bill HN'!$C:$C, $A31, 'Hot Bill HN'!$D:$D, $B31), 0)</f>
        <v/>
      </c>
      <c r="M31" s="68">
        <f>IFERROR($J31+$K31+$L31, 0)</f>
        <v/>
      </c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</row>
    <row r="32" ht="13.8" customHeight="1">
      <c r="A32" s="66" t="inlineStr">
        <is>
          <t>Nguyễn Văn Quá</t>
        </is>
      </c>
      <c r="B32" s="67" t="inlineStr">
        <is>
          <t>Hồ Ngọc Lý</t>
        </is>
      </c>
      <c r="C32" s="42" t="inlineStr">
        <is>
          <t>DSCD</t>
        </is>
      </c>
      <c r="D32" s="41">
        <f>SUM(E32:G32)/DAY($A$1)</f>
        <v/>
      </c>
      <c r="E32" s="41" t="n">
        <v>177500</v>
      </c>
      <c r="F32" s="41" t="n">
        <v>4995000</v>
      </c>
      <c r="G32" s="41" t="n">
        <v>3970900</v>
      </c>
      <c r="H32" s="41">
        <f>F32/DAY($A$1)</f>
        <v/>
      </c>
      <c r="I32" s="41">
        <f>G32/DAY($A$1)</f>
        <v/>
      </c>
      <c r="J32" s="41">
        <f>IFERROR(IF(OR($A32="Hàng Bông",$A32="Đường Láng"),_xlfn.IFS(AND($H32&gt;=2200000.0,$I32&gt;=450000.0),1000000.0,AND($H32&gt;=2500000.0,$I32&gt;=520000.0),1600000.0,AND($H32&gt;=2800000.0,$I32&gt;=650000.0),2200000.0,AND($H32&gt;=3200000.0,$I32&gt;=750000.0),2800000.0,AND($H32&gt;=3400000.0,$I32&gt;=900000.0),4000000.0,TRUE,0),_xlfn.IFS(AND($H32&gt;=630000.0,$I32&gt;=350000.0),1000000.0,AND($H32&gt;=850000.0,$I32&gt;=480000.0),1600000.0,AND($H32&gt;=1000000.0,$I32&gt;=580000.0),2200000.0,AND($H32&gt;=1200000.0,$I32&gt;=650000.0),2800000.0,AND($H32&gt;=1500000.0,$I32&gt;=700000.0),4000000.0,TRUE,0)),0)</f>
        <v/>
      </c>
      <c r="K32" s="41">
        <f>IFERROR(IF(AND($J32=0, IF(OR($A32="Hàng Bông",$A32="Đường Láng"),$D32&gt;=2000000,$D32&gt;=950000)), 500000, 0), 0)</f>
        <v/>
      </c>
      <c r="L32" s="41">
        <f>IFERROR(SUMIFS('Hot Bill HN'!$G:$G, 'Hot Bill HN'!$C:$C, $A32, 'Hot Bill HN'!$D:$D, $B32), 0)</f>
        <v/>
      </c>
      <c r="M32" s="68">
        <f>IFERROR($J32+$K32+$L32, 0)</f>
        <v/>
      </c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</row>
    <row r="33" ht="13.8" customHeight="1">
      <c r="A33" s="66" t="inlineStr">
        <is>
          <t>Nguyễn Văn Quá</t>
        </is>
      </c>
      <c r="B33" s="67" t="inlineStr">
        <is>
          <t>Võ Ngọc Giàu Sang</t>
        </is>
      </c>
      <c r="C33" s="42" t="inlineStr">
        <is>
          <t>CHT</t>
        </is>
      </c>
      <c r="D33" s="41">
        <f>SUM(E33:G33)/DAY($A$1)</f>
        <v/>
      </c>
      <c r="E33" s="41" t="n">
        <v>61811</v>
      </c>
      <c r="F33" s="41" t="n">
        <v>6298256</v>
      </c>
      <c r="G33" s="41" t="n">
        <v>1332892</v>
      </c>
      <c r="H33" s="41">
        <f>F33/DAY($A$1)</f>
        <v/>
      </c>
      <c r="I33" s="41">
        <f>G33/DAY($A$1)</f>
        <v/>
      </c>
      <c r="J33" s="41">
        <f>IFERROR(IF(OR($A33="Hàng Bông",$A33="Đường Láng"),_xlfn.IFS(AND($H33&gt;=2200000.0,$I33&gt;=450000.0),1000000.0,AND($H33&gt;=2500000.0,$I33&gt;=520000.0),1600000.0,AND($H33&gt;=2800000.0,$I33&gt;=650000.0),2200000.0,AND($H33&gt;=3200000.0,$I33&gt;=750000.0),2800000.0,AND($H33&gt;=3400000.0,$I33&gt;=900000.0),4000000.0,TRUE,0),_xlfn.IFS(AND($H33&gt;=630000.0,$I33&gt;=350000.0),1000000.0,AND($H33&gt;=850000.0,$I33&gt;=480000.0),1600000.0,AND($H33&gt;=1000000.0,$I33&gt;=580000.0),2200000.0,AND($H33&gt;=1200000.0,$I33&gt;=650000.0),2800000.0,AND($H33&gt;=1500000.0,$I33&gt;=700000.0),4000000.0,TRUE,0)),0)</f>
        <v/>
      </c>
      <c r="K33" s="41">
        <f>IFERROR(IF(AND($J33=0, IF(OR($A33="Hàng Bông",$A33="Đường Láng"),$D33&gt;=2000000,$D33&gt;=950000)), 500000, 0), 0)</f>
        <v/>
      </c>
      <c r="L33" s="41">
        <f>IFERROR(SUMIFS('Hot Bill HN'!$G:$G, 'Hot Bill HN'!$C:$C, $A33, 'Hot Bill HN'!$D:$D, $B33), 0)</f>
        <v/>
      </c>
      <c r="M33" s="68">
        <f>IFERROR($J33+$K33+$L33, 0)</f>
        <v/>
      </c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</row>
    <row r="34" ht="13.8" customHeight="1">
      <c r="A34" s="66" t="inlineStr">
        <is>
          <t>Nguyễn Văn Quá</t>
        </is>
      </c>
      <c r="B34" s="67" t="inlineStr">
        <is>
          <t>Nguyễn Thị Thu Huyền</t>
        </is>
      </c>
      <c r="C34" s="42" t="inlineStr">
        <is>
          <t>DSCD</t>
        </is>
      </c>
      <c r="D34" s="41">
        <f>SUM(E34:G34)/DAY($A$1)</f>
        <v/>
      </c>
      <c r="E34" s="41" t="n">
        <v>469865</v>
      </c>
      <c r="F34" s="41" t="n">
        <v>8367679</v>
      </c>
      <c r="G34" s="41" t="n">
        <v>9262463</v>
      </c>
      <c r="H34" s="41">
        <f>F34/DAY($A$1)</f>
        <v/>
      </c>
      <c r="I34" s="41">
        <f>G34/DAY($A$1)</f>
        <v/>
      </c>
      <c r="J34" s="41">
        <f>IFERROR(IF(OR($A34="Hàng Bông",$A34="Đường Láng"),_xlfn.IFS(AND($H34&gt;=2200000.0,$I34&gt;=450000.0),1000000.0,AND($H34&gt;=2500000.0,$I34&gt;=520000.0),1600000.0,AND($H34&gt;=2800000.0,$I34&gt;=650000.0),2200000.0,AND($H34&gt;=3200000.0,$I34&gt;=750000.0),2800000.0,AND($H34&gt;=3400000.0,$I34&gt;=900000.0),4000000.0,TRUE,0),_xlfn.IFS(AND($H34&gt;=630000.0,$I34&gt;=350000.0),1000000.0,AND($H34&gt;=850000.0,$I34&gt;=480000.0),1600000.0,AND($H34&gt;=1000000.0,$I34&gt;=580000.0),2200000.0,AND($H34&gt;=1200000.0,$I34&gt;=650000.0),2800000.0,AND($H34&gt;=1500000.0,$I34&gt;=700000.0),4000000.0,TRUE,0)),0)</f>
        <v/>
      </c>
      <c r="K34" s="41">
        <f>IFERROR(IF(AND($J34=0, IF(OR($A34="Hàng Bông",$A34="Đường Láng"),$D34&gt;=2000000,$D34&gt;=950000)), 500000, 0), 0)</f>
        <v/>
      </c>
      <c r="L34" s="41">
        <f>IFERROR(SUMIFS('Hot Bill HN'!$G:$G, 'Hot Bill HN'!$C:$C, $A34, 'Hot Bill HN'!$D:$D, $B34), 0)</f>
        <v/>
      </c>
      <c r="M34" s="68">
        <f>IFERROR($J34+$K34+$L34, 0)</f>
        <v/>
      </c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</row>
    <row r="35" ht="13.8" customHeight="1">
      <c r="A35" s="66" t="inlineStr">
        <is>
          <t>Nguyễn Văn Quá</t>
        </is>
      </c>
      <c r="B35" s="67" t="inlineStr">
        <is>
          <t>Nguyễn Thị Hương Giang</t>
        </is>
      </c>
      <c r="C35" s="42" t="inlineStr">
        <is>
          <t>DSXC</t>
        </is>
      </c>
      <c r="D35" s="41">
        <f>SUM(E35:G35)/DAY($A$1)</f>
        <v/>
      </c>
      <c r="E35" s="41" t="n">
        <v>80500</v>
      </c>
      <c r="F35" s="41" t="n">
        <v>4595992</v>
      </c>
      <c r="G35" s="41" t="n">
        <v>5014224</v>
      </c>
      <c r="H35" s="41">
        <f>F35/DAY($A$1)</f>
        <v/>
      </c>
      <c r="I35" s="41">
        <f>G35/DAY($A$1)</f>
        <v/>
      </c>
      <c r="J35" s="41">
        <f>IFERROR(IF(OR($A35="Hàng Bông",$A35="Đường Láng"),_xlfn.IFS(AND($H35&gt;=2200000.0,$I35&gt;=450000.0),1000000.0,AND($H35&gt;=2500000.0,$I35&gt;=520000.0),1600000.0,AND($H35&gt;=2800000.0,$I35&gt;=650000.0),2200000.0,AND($H35&gt;=3200000.0,$I35&gt;=750000.0),2800000.0,AND($H35&gt;=3400000.0,$I35&gt;=900000.0),4000000.0,TRUE,0),_xlfn.IFS(AND($H35&gt;=630000.0,$I35&gt;=350000.0),1000000.0,AND($H35&gt;=850000.0,$I35&gt;=480000.0),1600000.0,AND($H35&gt;=1000000.0,$I35&gt;=580000.0),2200000.0,AND($H35&gt;=1200000.0,$I35&gt;=650000.0),2800000.0,AND($H35&gt;=1500000.0,$I35&gt;=700000.0),4000000.0,TRUE,0)),0)</f>
        <v/>
      </c>
      <c r="K35" s="41">
        <f>IFERROR(IF(AND($J35=0, IF(OR($A35="Hàng Bông",$A35="Đường Láng"),$D35&gt;=2000000,$D35&gt;=950000)), 500000, 0), 0)</f>
        <v/>
      </c>
      <c r="L35" s="41">
        <f>IFERROR(SUMIFS('Hot Bill HN'!$G:$G, 'Hot Bill HN'!$C:$C, $A35, 'Hot Bill HN'!$D:$D, $B35), 0)</f>
        <v/>
      </c>
      <c r="M35" s="68">
        <f>IFERROR($J35+$K35+$L35, 0)</f>
        <v/>
      </c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</row>
    <row r="36" ht="13.8" customHeight="1">
      <c r="A36" s="66" t="inlineStr">
        <is>
          <t>Rạch Bùng Binh</t>
        </is>
      </c>
      <c r="B36" s="67" t="inlineStr">
        <is>
          <t>Cù Thị Tường Vy</t>
        </is>
      </c>
      <c r="C36" s="42" t="inlineStr">
        <is>
          <t>CHT</t>
        </is>
      </c>
      <c r="D36" s="41">
        <f>SUM(E36:G36)/DAY($A$1)</f>
        <v/>
      </c>
      <c r="E36" s="41" t="n">
        <v>444795</v>
      </c>
      <c r="F36" s="41" t="n">
        <v>2510384</v>
      </c>
      <c r="G36" s="41" t="n">
        <v>3528979</v>
      </c>
      <c r="H36" s="41">
        <f>F36/DAY($A$1)</f>
        <v/>
      </c>
      <c r="I36" s="41">
        <f>G36/DAY($A$1)</f>
        <v/>
      </c>
      <c r="J36" s="41">
        <f>IFERROR(IF(OR($A36="Hàng Bông",$A36="Đường Láng"),_xlfn.IFS(AND($H36&gt;=2200000.0,$I36&gt;=450000.0),1000000.0,AND($H36&gt;=2500000.0,$I36&gt;=520000.0),1600000.0,AND($H36&gt;=2800000.0,$I36&gt;=650000.0),2200000.0,AND($H36&gt;=3200000.0,$I36&gt;=750000.0),2800000.0,AND($H36&gt;=3400000.0,$I36&gt;=900000.0),4000000.0,TRUE,0),_xlfn.IFS(AND($H36&gt;=630000.0,$I36&gt;=350000.0),1000000.0,AND($H36&gt;=850000.0,$I36&gt;=480000.0),1600000.0,AND($H36&gt;=1000000.0,$I36&gt;=580000.0),2200000.0,AND($H36&gt;=1200000.0,$I36&gt;=650000.0),2800000.0,AND($H36&gt;=1500000.0,$I36&gt;=700000.0),4000000.0,TRUE,0)),0)</f>
        <v/>
      </c>
      <c r="K36" s="41">
        <f>IFERROR(IF(AND($J36=0, IF(OR($A36="Hàng Bông",$A36="Đường Láng"),$D36&gt;=2000000,$D36&gt;=950000)), 500000, 0), 0)</f>
        <v/>
      </c>
      <c r="L36" s="41">
        <f>IFERROR(SUMIFS('Hot Bill HN'!$G:$G, 'Hot Bill HN'!$C:$C, $A36, 'Hot Bill HN'!$D:$D, $B36), 0)</f>
        <v/>
      </c>
      <c r="M36" s="68">
        <f>IFERROR($J36+$K36+$L36, 0)</f>
        <v/>
      </c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</row>
    <row r="37" ht="13.8" customHeight="1">
      <c r="A37" s="66" t="inlineStr">
        <is>
          <t>Rạch Bùng Binh</t>
        </is>
      </c>
      <c r="B37" s="67" t="inlineStr">
        <is>
          <t>Huỳnh Thị Huệ Hiền</t>
        </is>
      </c>
      <c r="C37" s="42" t="inlineStr">
        <is>
          <t>DSCD</t>
        </is>
      </c>
      <c r="D37" s="41">
        <f>SUM(E37:G37)/DAY($A$1)</f>
        <v/>
      </c>
      <c r="E37" s="41" t="n">
        <v>76000</v>
      </c>
      <c r="F37" s="41" t="n">
        <v>2813059</v>
      </c>
      <c r="G37" s="41" t="n">
        <v>2265903</v>
      </c>
      <c r="H37" s="41">
        <f>F37/DAY($A$1)</f>
        <v/>
      </c>
      <c r="I37" s="41">
        <f>G37/DAY($A$1)</f>
        <v/>
      </c>
      <c r="J37" s="41">
        <f>IFERROR(IF(OR($A37="Hàng Bông",$A37="Đường Láng"),_xlfn.IFS(AND($H37&gt;=2200000.0,$I37&gt;=450000.0),1000000.0,AND($H37&gt;=2500000.0,$I37&gt;=520000.0),1600000.0,AND($H37&gt;=2800000.0,$I37&gt;=650000.0),2200000.0,AND($H37&gt;=3200000.0,$I37&gt;=750000.0),2800000.0,AND($H37&gt;=3400000.0,$I37&gt;=900000.0),4000000.0,TRUE,0),_xlfn.IFS(AND($H37&gt;=630000.0,$I37&gt;=350000.0),1000000.0,AND($H37&gt;=850000.0,$I37&gt;=480000.0),1600000.0,AND($H37&gt;=1000000.0,$I37&gt;=580000.0),2200000.0,AND($H37&gt;=1200000.0,$I37&gt;=650000.0),2800000.0,AND($H37&gt;=1500000.0,$I37&gt;=700000.0),4000000.0,TRUE,0)),0)</f>
        <v/>
      </c>
      <c r="K37" s="41">
        <f>IFERROR(IF(AND($J37=0, IF(OR($A37="Hàng Bông",$A37="Đường Láng"),$D37&gt;=2000000,$D37&gt;=950000)), 500000, 0), 0)</f>
        <v/>
      </c>
      <c r="L37" s="41">
        <f>IFERROR(SUMIFS('Hot Bill HN'!$G:$G, 'Hot Bill HN'!$C:$C, $A37, 'Hot Bill HN'!$D:$D, $B37), 0)</f>
        <v/>
      </c>
      <c r="M37" s="68">
        <f>IFERROR($J37+$K37+$L37, 0)</f>
        <v/>
      </c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</row>
    <row r="38" ht="13.8" customHeight="1">
      <c r="A38" s="66" t="inlineStr">
        <is>
          <t>Rạch Bùng Binh</t>
        </is>
      </c>
      <c r="B38" s="67" t="inlineStr">
        <is>
          <t>Ngô Thị Ngọc Thủy</t>
        </is>
      </c>
      <c r="C38" s="42" t="inlineStr">
        <is>
          <t>DSXC (TV)</t>
        </is>
      </c>
      <c r="D38" s="41">
        <f>SUM(E38:G38)/DAY($A$1)</f>
        <v/>
      </c>
      <c r="E38" s="41" t="n">
        <v>118500</v>
      </c>
      <c r="F38" s="41" t="n">
        <v>5257356</v>
      </c>
      <c r="G38" s="41" t="n">
        <v>5329585</v>
      </c>
      <c r="H38" s="41">
        <f>F38/DAY($A$1)</f>
        <v/>
      </c>
      <c r="I38" s="41">
        <f>G38/DAY($A$1)</f>
        <v/>
      </c>
      <c r="J38" s="41">
        <f>IFERROR(IF(OR($A38="Hàng Bông",$A38="Đường Láng"),_xlfn.IFS(AND($H38&gt;=2200000.0,$I38&gt;=450000.0),1000000.0,AND($H38&gt;=2500000.0,$I38&gt;=520000.0),1600000.0,AND($H38&gt;=2800000.0,$I38&gt;=650000.0),2200000.0,AND($H38&gt;=3200000.0,$I38&gt;=750000.0),2800000.0,AND($H38&gt;=3400000.0,$I38&gt;=900000.0),4000000.0,TRUE,0),_xlfn.IFS(AND($H38&gt;=630000.0,$I38&gt;=350000.0),1000000.0,AND($H38&gt;=850000.0,$I38&gt;=480000.0),1600000.0,AND($H38&gt;=1000000.0,$I38&gt;=580000.0),2200000.0,AND($H38&gt;=1200000.0,$I38&gt;=650000.0),2800000.0,AND($H38&gt;=1500000.0,$I38&gt;=700000.0),4000000.0,TRUE,0)),0)</f>
        <v/>
      </c>
      <c r="K38" s="41">
        <f>IFERROR(IF(AND($J38=0, IF(OR($A38="Hàng Bông",$A38="Đường Láng"),$D38&gt;=2000000,$D38&gt;=950000)), 500000, 0), 0)</f>
        <v/>
      </c>
      <c r="L38" s="41">
        <f>IFERROR(SUMIFS('Hot Bill HN'!$G:$G, 'Hot Bill HN'!$C:$C, $A38, 'Hot Bill HN'!$D:$D, $B38), 0)</f>
        <v/>
      </c>
      <c r="M38" s="68">
        <f>IFERROR($J38+$K38+$L38, 0)</f>
        <v/>
      </c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</row>
    <row r="39" ht="13.8" customHeight="1">
      <c r="A39" s="66" t="inlineStr">
        <is>
          <t>Rạch Bùng Binh</t>
        </is>
      </c>
      <c r="B39" s="67" t="inlineStr">
        <is>
          <t>Nguyễn Thị Phúc Lộc</t>
        </is>
      </c>
      <c r="C39" s="42" t="inlineStr">
        <is>
          <t>DSCD (TV)</t>
        </is>
      </c>
      <c r="D39" s="41">
        <f>SUM(E39:G39)/DAY($A$1)</f>
        <v/>
      </c>
      <c r="E39" s="41" t="n">
        <v>0</v>
      </c>
      <c r="F39" s="41" t="n">
        <v>0</v>
      </c>
      <c r="G39" s="41" t="n">
        <v>0</v>
      </c>
      <c r="H39" s="41">
        <f>F39/DAY($A$1)</f>
        <v/>
      </c>
      <c r="I39" s="41">
        <f>G39/DAY($A$1)</f>
        <v/>
      </c>
      <c r="J39" s="41">
        <f>IFERROR(IF(OR($A39="Hàng Bông",$A39="Đường Láng"),_xlfn.IFS(AND($H39&gt;=2200000.0,$I39&gt;=450000.0),1000000.0,AND($H39&gt;=2500000.0,$I39&gt;=520000.0),1600000.0,AND($H39&gt;=2800000.0,$I39&gt;=650000.0),2200000.0,AND($H39&gt;=3200000.0,$I39&gt;=750000.0),2800000.0,AND($H39&gt;=3400000.0,$I39&gt;=900000.0),4000000.0,TRUE,0),_xlfn.IFS(AND($H39&gt;=630000.0,$I39&gt;=350000.0),1000000.0,AND($H39&gt;=850000.0,$I39&gt;=480000.0),1600000.0,AND($H39&gt;=1000000.0,$I39&gt;=580000.0),2200000.0,AND($H39&gt;=1200000.0,$I39&gt;=650000.0),2800000.0,AND($H39&gt;=1500000.0,$I39&gt;=700000.0),4000000.0,TRUE,0)),0)</f>
        <v/>
      </c>
      <c r="K39" s="41">
        <f>IFERROR(IF(AND($J39=0, IF(OR($A39="Hàng Bông",$A39="Đường Láng"),$D39&gt;=2000000,$D39&gt;=950000)), 500000, 0), 0)</f>
        <v/>
      </c>
      <c r="L39" s="41">
        <f>IFERROR(SUMIFS('Hot Bill HN'!$G:$G, 'Hot Bill HN'!$C:$C, $A39, 'Hot Bill HN'!$D:$D, $B39), 0)</f>
        <v/>
      </c>
      <c r="M39" s="68">
        <f>IFERROR($J39+$K39+$L39, 0)</f>
        <v/>
      </c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</row>
    <row r="40" ht="13.8" customHeight="1">
      <c r="A40" s="66" t="inlineStr">
        <is>
          <t>Rạch Bùng Binh</t>
        </is>
      </c>
      <c r="B40" s="67" t="inlineStr">
        <is>
          <t>Phạm Nguyễn Ngọc Quyền Trân</t>
        </is>
      </c>
      <c r="C40" s="42" t="inlineStr">
        <is>
          <t>DSXC</t>
        </is>
      </c>
      <c r="D40" s="41">
        <f>SUM(E40:G40)/DAY($A$1)</f>
        <v/>
      </c>
      <c r="E40" s="41" t="n">
        <v>252901</v>
      </c>
      <c r="F40" s="41" t="n">
        <v>3141687</v>
      </c>
      <c r="G40" s="41" t="n">
        <v>4441855</v>
      </c>
      <c r="H40" s="41">
        <f>F40/DAY($A$1)</f>
        <v/>
      </c>
      <c r="I40" s="41">
        <f>G40/DAY($A$1)</f>
        <v/>
      </c>
      <c r="J40" s="41">
        <f>IFERROR(IF(OR($A40="Hàng Bông",$A40="Đường Láng"),_xlfn.IFS(AND($H40&gt;=2200000.0,$I40&gt;=450000.0),1000000.0,AND($H40&gt;=2500000.0,$I40&gt;=520000.0),1600000.0,AND($H40&gt;=2800000.0,$I40&gt;=650000.0),2200000.0,AND($H40&gt;=3200000.0,$I40&gt;=750000.0),2800000.0,AND($H40&gt;=3400000.0,$I40&gt;=900000.0),4000000.0,TRUE,0),_xlfn.IFS(AND($H40&gt;=630000.0,$I40&gt;=350000.0),1000000.0,AND($H40&gt;=850000.0,$I40&gt;=480000.0),1600000.0,AND($H40&gt;=1000000.0,$I40&gt;=580000.0),2200000.0,AND($H40&gt;=1200000.0,$I40&gt;=650000.0),2800000.0,AND($H40&gt;=1500000.0,$I40&gt;=700000.0),4000000.0,TRUE,0)),0)</f>
        <v/>
      </c>
      <c r="K40" s="41">
        <f>IFERROR(IF(AND($J40=0, IF(OR($A40="Hàng Bông",$A40="Đường Láng"),$D40&gt;=2000000,$D40&gt;=950000)), 500000, 0), 0)</f>
        <v/>
      </c>
      <c r="L40" s="41">
        <f>IFERROR(SUMIFS('Hot Bill HN'!$G:$G, 'Hot Bill HN'!$C:$C, $A40, 'Hot Bill HN'!$D:$D, $B40), 0)</f>
        <v/>
      </c>
      <c r="M40" s="68">
        <f>IFERROR($J40+$K40+$L40, 0)</f>
        <v/>
      </c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</row>
    <row r="41" ht="13.8" customHeight="1">
      <c r="A41" s="66" t="inlineStr">
        <is>
          <t>Lê Bình</t>
        </is>
      </c>
      <c r="B41" s="67" t="inlineStr">
        <is>
          <t>Hồ Thị Minh Hòa</t>
        </is>
      </c>
      <c r="C41" s="42" t="inlineStr">
        <is>
          <t>CHT</t>
        </is>
      </c>
      <c r="D41" s="41">
        <f>SUM(E41:G41)/DAY($A$1)</f>
        <v/>
      </c>
      <c r="E41" s="41" t="n">
        <v>580788</v>
      </c>
      <c r="F41" s="41" t="n">
        <v>6746495</v>
      </c>
      <c r="G41" s="41" t="n">
        <v>2246670</v>
      </c>
      <c r="H41" s="41">
        <f>F41/DAY($A$1)</f>
        <v/>
      </c>
      <c r="I41" s="41">
        <f>G41/DAY($A$1)</f>
        <v/>
      </c>
      <c r="J41" s="41">
        <f>IFERROR(IF(OR($A41="Hàng Bông",$A41="Đường Láng"),_xlfn.IFS(AND($H41&gt;=2200000.0,$I41&gt;=450000.0),1000000.0,AND($H41&gt;=2500000.0,$I41&gt;=520000.0),1600000.0,AND($H41&gt;=2800000.0,$I41&gt;=650000.0),2200000.0,AND($H41&gt;=3200000.0,$I41&gt;=750000.0),2800000.0,AND($H41&gt;=3400000.0,$I41&gt;=900000.0),4000000.0,TRUE,0),_xlfn.IFS(AND($H41&gt;=630000.0,$I41&gt;=350000.0),1000000.0,AND($H41&gt;=850000.0,$I41&gt;=480000.0),1600000.0,AND($H41&gt;=1000000.0,$I41&gt;=580000.0),2200000.0,AND($H41&gt;=1200000.0,$I41&gt;=650000.0),2800000.0,AND($H41&gt;=1500000.0,$I41&gt;=700000.0),4000000.0,TRUE,0)),0)</f>
        <v/>
      </c>
      <c r="K41" s="41">
        <f>IFERROR(IF(AND($J41=0, IF(OR($A41="Hàng Bông",$A41="Đường Láng"),$D41&gt;=2000000,$D41&gt;=950000)), 500000, 0), 0)</f>
        <v/>
      </c>
      <c r="L41" s="41">
        <f>IFERROR(SUMIFS('Hot Bill HN'!$G:$G, 'Hot Bill HN'!$C:$C, $A41, 'Hot Bill HN'!$D:$D, $B41), 0)</f>
        <v/>
      </c>
      <c r="M41" s="68">
        <f>IFERROR($J41+$K41+$L41, 0)</f>
        <v/>
      </c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</row>
    <row r="42" ht="13.8" customHeight="1">
      <c r="A42" s="66" t="inlineStr">
        <is>
          <t>Lê Bình</t>
        </is>
      </c>
      <c r="B42" s="67" t="inlineStr">
        <is>
          <t>Lê Thị Xuyến</t>
        </is>
      </c>
      <c r="C42" s="42" t="inlineStr">
        <is>
          <t>DSCD (TV)</t>
        </is>
      </c>
      <c r="D42" s="41">
        <f>SUM(E42:G42)/DAY($A$1)</f>
        <v/>
      </c>
      <c r="E42" s="41" t="n">
        <v>0</v>
      </c>
      <c r="F42" s="41" t="n">
        <v>0</v>
      </c>
      <c r="G42" s="41" t="n">
        <v>0</v>
      </c>
      <c r="H42" s="41">
        <f>F42/DAY($A$1)</f>
        <v/>
      </c>
      <c r="I42" s="41">
        <f>G42/DAY($A$1)</f>
        <v/>
      </c>
      <c r="J42" s="41">
        <f>IFERROR(IF(OR($A42="Hàng Bông",$A42="Đường Láng"),_xlfn.IFS(AND($H42&gt;=2200000.0,$I42&gt;=450000.0),1000000.0,AND($H42&gt;=2500000.0,$I42&gt;=520000.0),1600000.0,AND($H42&gt;=2800000.0,$I42&gt;=650000.0),2200000.0,AND($H42&gt;=3200000.0,$I42&gt;=750000.0),2800000.0,AND($H42&gt;=3400000.0,$I42&gt;=900000.0),4000000.0,TRUE,0),_xlfn.IFS(AND($H42&gt;=630000.0,$I42&gt;=350000.0),1000000.0,AND($H42&gt;=850000.0,$I42&gt;=480000.0),1600000.0,AND($H42&gt;=1000000.0,$I42&gt;=580000.0),2200000.0,AND($H42&gt;=1200000.0,$I42&gt;=650000.0),2800000.0,AND($H42&gt;=1500000.0,$I42&gt;=700000.0),4000000.0,TRUE,0)),0)</f>
        <v/>
      </c>
      <c r="K42" s="41">
        <f>IFERROR(IF(AND($J42=0, IF(OR($A42="Hàng Bông",$A42="Đường Láng"),$D42&gt;=2000000,$D42&gt;=950000)), 500000, 0), 0)</f>
        <v/>
      </c>
      <c r="L42" s="41">
        <f>IFERROR(SUMIFS('Hot Bill HN'!$G:$G, 'Hot Bill HN'!$C:$C, $A42, 'Hot Bill HN'!$D:$D, $B42), 0)</f>
        <v/>
      </c>
      <c r="M42" s="68">
        <f>IFERROR($J42+$K42+$L42, 0)</f>
        <v/>
      </c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</row>
    <row r="43" ht="13.8" customHeight="1">
      <c r="A43" s="66" t="inlineStr">
        <is>
          <t>Lê Bình</t>
        </is>
      </c>
      <c r="B43" s="67" t="inlineStr">
        <is>
          <t>Đinh Hoài Bảo</t>
        </is>
      </c>
      <c r="C43" s="42" t="inlineStr">
        <is>
          <t>DSCD (TV)</t>
        </is>
      </c>
      <c r="D43" s="41">
        <f>SUM(E43:G43)/DAY($A$1)</f>
        <v/>
      </c>
      <c r="E43" s="41" t="n">
        <v>376906</v>
      </c>
      <c r="F43" s="41" t="n">
        <v>4656297</v>
      </c>
      <c r="G43" s="41" t="n">
        <v>5338375</v>
      </c>
      <c r="H43" s="41">
        <f>F43/DAY($A$1)</f>
        <v/>
      </c>
      <c r="I43" s="41">
        <f>G43/DAY($A$1)</f>
        <v/>
      </c>
      <c r="J43" s="41">
        <f>IFERROR(IF(OR($A43="Hàng Bông",$A43="Đường Láng"),_xlfn.IFS(AND($H43&gt;=2200000.0,$I43&gt;=450000.0),1000000.0,AND($H43&gt;=2500000.0,$I43&gt;=520000.0),1600000.0,AND($H43&gt;=2800000.0,$I43&gt;=650000.0),2200000.0,AND($H43&gt;=3200000.0,$I43&gt;=750000.0),2800000.0,AND($H43&gt;=3400000.0,$I43&gt;=900000.0),4000000.0,TRUE,0),_xlfn.IFS(AND($H43&gt;=630000.0,$I43&gt;=350000.0),1000000.0,AND($H43&gt;=850000.0,$I43&gt;=480000.0),1600000.0,AND($H43&gt;=1000000.0,$I43&gt;=580000.0),2200000.0,AND($H43&gt;=1200000.0,$I43&gt;=650000.0),2800000.0,AND($H43&gt;=1500000.0,$I43&gt;=700000.0),4000000.0,TRUE,0)),0)</f>
        <v/>
      </c>
      <c r="K43" s="41">
        <f>IFERROR(IF(AND($J43=0, IF(OR($A43="Hàng Bông",$A43="Đường Láng"),$D43&gt;=2000000,$D43&gt;=950000)), 500000, 0), 0)</f>
        <v/>
      </c>
      <c r="L43" s="41">
        <f>IFERROR(SUMIFS('Hot Bill HN'!$G:$G, 'Hot Bill HN'!$C:$C, $A43, 'Hot Bill HN'!$D:$D, $B43), 0)</f>
        <v/>
      </c>
      <c r="M43" s="68">
        <f>IFERROR($J43+$K43+$L43, 0)</f>
        <v/>
      </c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</row>
    <row r="44" ht="13.8" customHeight="1">
      <c r="A44" s="66" t="inlineStr">
        <is>
          <t>Lê Bình</t>
        </is>
      </c>
      <c r="B44" s="67" t="inlineStr">
        <is>
          <t>Hoàng Lâm Gia Bảo</t>
        </is>
      </c>
      <c r="C44" s="42" t="inlineStr">
        <is>
          <t>DSXC</t>
        </is>
      </c>
      <c r="D44" s="41">
        <f>SUM(E44:G44)/DAY($A$1)</f>
        <v/>
      </c>
      <c r="E44" s="41" t="n">
        <v>663500</v>
      </c>
      <c r="F44" s="41" t="n">
        <v>4430669</v>
      </c>
      <c r="G44" s="41" t="n">
        <v>1133248</v>
      </c>
      <c r="H44" s="41">
        <f>F44/DAY($A$1)</f>
        <v/>
      </c>
      <c r="I44" s="41">
        <f>G44/DAY($A$1)</f>
        <v/>
      </c>
      <c r="J44" s="41">
        <f>IFERROR(IF(OR($A44="Hàng Bông",$A44="Đường Láng"),_xlfn.IFS(AND($H44&gt;=2200000.0,$I44&gt;=450000.0),1000000.0,AND($H44&gt;=2500000.0,$I44&gt;=520000.0),1600000.0,AND($H44&gt;=2800000.0,$I44&gt;=650000.0),2200000.0,AND($H44&gt;=3200000.0,$I44&gt;=750000.0),2800000.0,AND($H44&gt;=3400000.0,$I44&gt;=900000.0),4000000.0,TRUE,0),_xlfn.IFS(AND($H44&gt;=630000.0,$I44&gt;=350000.0),1000000.0,AND($H44&gt;=850000.0,$I44&gt;=480000.0),1600000.0,AND($H44&gt;=1000000.0,$I44&gt;=580000.0),2200000.0,AND($H44&gt;=1200000.0,$I44&gt;=650000.0),2800000.0,AND($H44&gt;=1500000.0,$I44&gt;=700000.0),4000000.0,TRUE,0)),0)</f>
        <v/>
      </c>
      <c r="K44" s="41">
        <f>IFERROR(IF(AND($J44=0, IF(OR($A44="Hàng Bông",$A44="Đường Láng"),$D44&gt;=2000000,$D44&gt;=950000)), 500000, 0), 0)</f>
        <v/>
      </c>
      <c r="L44" s="41">
        <f>IFERROR(SUMIFS('Hot Bill HN'!$G:$G, 'Hot Bill HN'!$C:$C, $A44, 'Hot Bill HN'!$D:$D, $B44), 0)</f>
        <v/>
      </c>
      <c r="M44" s="68">
        <f>IFERROR($J44+$K44+$L44, 0)</f>
        <v/>
      </c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</row>
    <row r="45" ht="13.8" customHeight="1">
      <c r="A45" s="66" t="inlineStr">
        <is>
          <t>Lê Bình</t>
        </is>
      </c>
      <c r="B45" s="67" t="inlineStr">
        <is>
          <t>Trần Thị Phương Thùy</t>
        </is>
      </c>
      <c r="C45" s="42" t="inlineStr">
        <is>
          <t>DSHV</t>
        </is>
      </c>
      <c r="D45" s="41">
        <f>SUM(E45:G45)/DAY($A$1)</f>
        <v/>
      </c>
      <c r="E45" s="41" t="n">
        <v>0</v>
      </c>
      <c r="F45" s="41" t="n">
        <v>0</v>
      </c>
      <c r="G45" s="41" t="n">
        <v>0</v>
      </c>
      <c r="H45" s="41">
        <f>F45/DAY($A$1)</f>
        <v/>
      </c>
      <c r="I45" s="41">
        <f>G45/DAY($A$1)</f>
        <v/>
      </c>
      <c r="J45" s="41">
        <f>IFERROR(IF(OR($A45="Hàng Bông",$A45="Đường Láng"),_xlfn.IFS(AND($H45&gt;=2200000.0,$I45&gt;=450000.0),1000000.0,AND($H45&gt;=2500000.0,$I45&gt;=520000.0),1600000.0,AND($H45&gt;=2800000.0,$I45&gt;=650000.0),2200000.0,AND($H45&gt;=3200000.0,$I45&gt;=750000.0),2800000.0,AND($H45&gt;=3400000.0,$I45&gt;=900000.0),4000000.0,TRUE,0),_xlfn.IFS(AND($H45&gt;=630000.0,$I45&gt;=350000.0),1000000.0,AND($H45&gt;=850000.0,$I45&gt;=480000.0),1600000.0,AND($H45&gt;=1000000.0,$I45&gt;=580000.0),2200000.0,AND($H45&gt;=1200000.0,$I45&gt;=650000.0),2800000.0,AND($H45&gt;=1500000.0,$I45&gt;=700000.0),4000000.0,TRUE,0)),0)</f>
        <v/>
      </c>
      <c r="K45" s="41">
        <f>IFERROR(IF(AND($J45=0, IF(OR($A45="Hàng Bông",$A45="Đường Láng"),$D45&gt;=2000000,$D45&gt;=950000)), 500000, 0), 0)</f>
        <v/>
      </c>
      <c r="L45" s="41">
        <f>IFERROR(SUMIFS('Hot Bill HN'!$G:$G, 'Hot Bill HN'!$C:$C, $A45, 'Hot Bill HN'!$D:$D, $B45), 0)</f>
        <v/>
      </c>
      <c r="M45" s="68">
        <f>IFERROR($J45+$K45+$L45, 0)</f>
        <v/>
      </c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</row>
    <row r="46" ht="13.8" customHeight="1">
      <c r="A46" s="66" t="inlineStr">
        <is>
          <t>Hàng Bông</t>
        </is>
      </c>
      <c r="B46" s="67" t="inlineStr">
        <is>
          <t>Đinh Thị Lan Anh</t>
        </is>
      </c>
      <c r="C46" s="42" t="inlineStr">
        <is>
          <t>CHT</t>
        </is>
      </c>
      <c r="D46" s="41">
        <f>SUM(E46:G46)/DAY($A$1)</f>
        <v/>
      </c>
      <c r="E46" s="41" t="n">
        <v>4898655</v>
      </c>
      <c r="F46" s="41" t="n">
        <v>23523859</v>
      </c>
      <c r="G46" s="41" t="n">
        <v>2893300</v>
      </c>
      <c r="H46" s="41">
        <f>F46/DAY($A$1)</f>
        <v/>
      </c>
      <c r="I46" s="41">
        <f>G46/DAY($A$1)</f>
        <v/>
      </c>
      <c r="J46" s="41">
        <f>IFERROR(IF(OR($A46="Hàng Bông",$A46="Đường Láng"),_xlfn.IFS(AND($H46&gt;=2200000.0,$I46&gt;=450000.0),1000000.0,AND($H46&gt;=2500000.0,$I46&gt;=520000.0),1600000.0,AND($H46&gt;=2800000.0,$I46&gt;=650000.0),2200000.0,AND($H46&gt;=3200000.0,$I46&gt;=750000.0),2800000.0,AND($H46&gt;=3400000.0,$I46&gt;=900000.0),4000000.0,TRUE,0),_xlfn.IFS(AND($H46&gt;=630000.0,$I46&gt;=350000.0),1000000.0,AND($H46&gt;=850000.0,$I46&gt;=480000.0),1600000.0,AND($H46&gt;=1000000.0,$I46&gt;=580000.0),2200000.0,AND($H46&gt;=1200000.0,$I46&gt;=650000.0),2800000.0,AND($H46&gt;=1500000.0,$I46&gt;=700000.0),4000000.0,TRUE,0)),0)</f>
        <v/>
      </c>
      <c r="K46" s="41">
        <f>IFERROR(IF(AND($J46=0, IF(OR($A46="Hàng Bông",$A46="Đường Láng"),$D46&gt;=2000000,$D46&gt;=950000)), 500000, 0), 0)</f>
        <v/>
      </c>
      <c r="L46" s="41">
        <f>IFERROR(SUMIFS('Hot Bill HN'!$G:$G, 'Hot Bill HN'!$C:$C, $A46, 'Hot Bill HN'!$D:$D, $B46), 0)</f>
        <v/>
      </c>
      <c r="M46" s="68">
        <f>IFERROR($J46+$K46+$L46, 0)</f>
        <v/>
      </c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</row>
    <row r="47" ht="13.8" customHeight="1">
      <c r="A47" s="66" t="inlineStr">
        <is>
          <t>Hàng Bông</t>
        </is>
      </c>
      <c r="B47" s="67" t="inlineStr">
        <is>
          <t>Vũ Thanh Hằng</t>
        </is>
      </c>
      <c r="C47" s="42" t="inlineStr">
        <is>
          <t>BC</t>
        </is>
      </c>
      <c r="D47" s="41">
        <f>SUM(E47:G47)/DAY($A$1)</f>
        <v/>
      </c>
      <c r="E47" s="41" t="n">
        <v>2583149</v>
      </c>
      <c r="F47" s="41" t="n">
        <v>36238478</v>
      </c>
      <c r="G47" s="41" t="n">
        <v>6561996</v>
      </c>
      <c r="H47" s="41">
        <f>F47/DAY($A$1)</f>
        <v/>
      </c>
      <c r="I47" s="41">
        <f>G47/DAY($A$1)</f>
        <v/>
      </c>
      <c r="J47" s="41">
        <f>IFERROR(IF(OR($A47="Hàng Bông",$A47="Đường Láng"),_xlfn.IFS(AND($H47&gt;=2200000.0,$I47&gt;=450000.0),1000000.0,AND($H47&gt;=2500000.0,$I47&gt;=520000.0),1600000.0,AND($H47&gt;=2800000.0,$I47&gt;=650000.0),2200000.0,AND($H47&gt;=3200000.0,$I47&gt;=750000.0),2800000.0,AND($H47&gt;=3400000.0,$I47&gt;=900000.0),4000000.0,TRUE,0),_xlfn.IFS(AND($H47&gt;=630000.0,$I47&gt;=350000.0),1000000.0,AND($H47&gt;=850000.0,$I47&gt;=480000.0),1600000.0,AND($H47&gt;=1000000.0,$I47&gt;=580000.0),2200000.0,AND($H47&gt;=1200000.0,$I47&gt;=650000.0),2800000.0,AND($H47&gt;=1500000.0,$I47&gt;=700000.0),4000000.0,TRUE,0)),0)</f>
        <v/>
      </c>
      <c r="K47" s="41">
        <f>IFERROR(IF(AND($J47=0, IF(OR($A47="Hàng Bông",$A47="Đường Láng"),$D47&gt;=2000000,$D47&gt;=950000)), 500000, 0), 0)</f>
        <v/>
      </c>
      <c r="L47" s="41">
        <f>IFERROR(SUMIFS('Hot Bill HN'!$G:$G, 'Hot Bill HN'!$C:$C, $A47, 'Hot Bill HN'!$D:$D, $B47), 0)</f>
        <v/>
      </c>
      <c r="M47" s="68">
        <f>IFERROR($J47+$K47+$L47, 0)</f>
        <v/>
      </c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</row>
    <row r="48" ht="13.8" customHeight="1">
      <c r="A48" s="66" t="inlineStr">
        <is>
          <t>Hàng Bông</t>
        </is>
      </c>
      <c r="B48" s="67" t="inlineStr">
        <is>
          <t>Nguyễn Mạnh Tuấn</t>
        </is>
      </c>
      <c r="C48" s="42" t="inlineStr">
        <is>
          <t>BC</t>
        </is>
      </c>
      <c r="D48" s="41">
        <f>SUM(E48:G48)/DAY($A$1)</f>
        <v/>
      </c>
      <c r="E48" s="41" t="n">
        <v>1630722</v>
      </c>
      <c r="F48" s="41" t="n">
        <v>11514348</v>
      </c>
      <c r="G48" s="41" t="n">
        <v>3276393</v>
      </c>
      <c r="H48" s="41">
        <f>F48/DAY($A$1)</f>
        <v/>
      </c>
      <c r="I48" s="41">
        <f>G48/DAY($A$1)</f>
        <v/>
      </c>
      <c r="J48" s="41">
        <f>IFERROR(IF(OR($A48="Hàng Bông",$A48="Đường Láng"),_xlfn.IFS(AND($H48&gt;=2200000.0,$I48&gt;=450000.0),1000000.0,AND($H48&gt;=2500000.0,$I48&gt;=520000.0),1600000.0,AND($H48&gt;=2800000.0,$I48&gt;=650000.0),2200000.0,AND($H48&gt;=3200000.0,$I48&gt;=750000.0),2800000.0,AND($H48&gt;=3400000.0,$I48&gt;=900000.0),4000000.0,TRUE,0),_xlfn.IFS(AND($H48&gt;=630000.0,$I48&gt;=350000.0),1000000.0,AND($H48&gt;=850000.0,$I48&gt;=480000.0),1600000.0,AND($H48&gt;=1000000.0,$I48&gt;=580000.0),2200000.0,AND($H48&gt;=1200000.0,$I48&gt;=650000.0),2800000.0,AND($H48&gt;=1500000.0,$I48&gt;=700000.0),4000000.0,TRUE,0)),0)</f>
        <v/>
      </c>
      <c r="K48" s="41">
        <f>IFERROR(IF(AND($J48=0, IF(OR($A48="Hàng Bông",$A48="Đường Láng"),$D48&gt;=2000000,$D48&gt;=950000)), 500000, 0), 0)</f>
        <v/>
      </c>
      <c r="L48" s="41">
        <f>IFERROR(SUMIFS('Hot Bill HN'!$G:$G, 'Hot Bill HN'!$C:$C, $A48, 'Hot Bill HN'!$D:$D, $B48), 0)</f>
        <v/>
      </c>
      <c r="M48" s="68">
        <f>IFERROR($J48+$K48+$L48, 0)</f>
        <v/>
      </c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</row>
    <row r="49" ht="13.8" customHeight="1">
      <c r="A49" s="66" t="inlineStr">
        <is>
          <t>Hàng Bông</t>
        </is>
      </c>
      <c r="B49" s="67" t="inlineStr">
        <is>
          <t>Đinh Thị Khánh Ly</t>
        </is>
      </c>
      <c r="C49" s="42" t="inlineStr">
        <is>
          <t>BC</t>
        </is>
      </c>
      <c r="D49" s="41">
        <f>SUM(E49:G49)/DAY($A$1)</f>
        <v/>
      </c>
      <c r="E49" s="41" t="n">
        <v>6374358</v>
      </c>
      <c r="F49" s="41" t="n">
        <v>42956386</v>
      </c>
      <c r="G49" s="41" t="n">
        <v>3890275</v>
      </c>
      <c r="H49" s="41">
        <f>F49/DAY($A$1)</f>
        <v/>
      </c>
      <c r="I49" s="41">
        <f>G49/DAY($A$1)</f>
        <v/>
      </c>
      <c r="J49" s="41">
        <f>IFERROR(IF(OR($A49="Hàng Bông",$A49="Đường Láng"),_xlfn.IFS(AND($H49&gt;=2200000.0,$I49&gt;=450000.0),1000000.0,AND($H49&gt;=2500000.0,$I49&gt;=520000.0),1600000.0,AND($H49&gt;=2800000.0,$I49&gt;=650000.0),2200000.0,AND($H49&gt;=3200000.0,$I49&gt;=750000.0),2800000.0,AND($H49&gt;=3400000.0,$I49&gt;=900000.0),4000000.0,TRUE,0),_xlfn.IFS(AND($H49&gt;=630000.0,$I49&gt;=350000.0),1000000.0,AND($H49&gt;=850000.0,$I49&gt;=480000.0),1600000.0,AND($H49&gt;=1000000.0,$I49&gt;=580000.0),2200000.0,AND($H49&gt;=1200000.0,$I49&gt;=650000.0),2800000.0,AND($H49&gt;=1500000.0,$I49&gt;=700000.0),4000000.0,TRUE,0)),0)</f>
        <v/>
      </c>
      <c r="K49" s="41">
        <f>IFERROR(IF(AND($J49=0, IF(OR($A49="Hàng Bông",$A49="Đường Láng"),$D49&gt;=2000000,$D49&gt;=950000)), 500000, 0), 0)</f>
        <v/>
      </c>
      <c r="L49" s="41">
        <f>IFERROR(SUMIFS('Hot Bill HN'!$G:$G, 'Hot Bill HN'!$C:$C, $A49, 'Hot Bill HN'!$D:$D, $B49), 0)</f>
        <v/>
      </c>
      <c r="M49" s="68">
        <f>IFERROR($J49+$K49+$L49, 0)</f>
        <v/>
      </c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</row>
    <row r="50" ht="13.8" customHeight="1">
      <c r="A50" s="66" t="inlineStr">
        <is>
          <t>Đường Láng</t>
        </is>
      </c>
      <c r="B50" s="67" t="inlineStr">
        <is>
          <t>Hứa Thị Kim Thoa</t>
        </is>
      </c>
      <c r="C50" s="42" t="inlineStr">
        <is>
          <t>CHT</t>
        </is>
      </c>
      <c r="D50" s="41">
        <f>SUM(E50:G50)/DAY($A$1)</f>
        <v/>
      </c>
      <c r="E50" s="41" t="n">
        <v>50200</v>
      </c>
      <c r="F50" s="41" t="n">
        <v>3592025</v>
      </c>
      <c r="G50" s="41" t="n">
        <v>323697</v>
      </c>
      <c r="H50" s="41">
        <f>F50/DAY($A$1)</f>
        <v/>
      </c>
      <c r="I50" s="41">
        <f>G50/DAY($A$1)</f>
        <v/>
      </c>
      <c r="J50" s="41">
        <f>IFERROR(IF(OR($A50="Hàng Bông",$A50="Đường Láng"),_xlfn.IFS(AND($H50&gt;=2200000.0,$I50&gt;=450000.0),1000000.0,AND($H50&gt;=2500000.0,$I50&gt;=520000.0),1600000.0,AND($H50&gt;=2800000.0,$I50&gt;=650000.0),2200000.0,AND($H50&gt;=3200000.0,$I50&gt;=750000.0),2800000.0,AND($H50&gt;=3400000.0,$I50&gt;=900000.0),4000000.0,TRUE,0),_xlfn.IFS(AND($H50&gt;=630000.0,$I50&gt;=350000.0),1000000.0,AND($H50&gt;=850000.0,$I50&gt;=480000.0),1600000.0,AND($H50&gt;=1000000.0,$I50&gt;=580000.0),2200000.0,AND($H50&gt;=1200000.0,$I50&gt;=650000.0),2800000.0,AND($H50&gt;=1500000.0,$I50&gt;=700000.0),4000000.0,TRUE,0)),0)</f>
        <v/>
      </c>
      <c r="K50" s="41">
        <f>IFERROR(IF(AND($J50=0, IF(OR($A50="Hàng Bông",$A50="Đường Láng"),$D50&gt;=2000000,$D50&gt;=950000)), 500000, 0), 0)</f>
        <v/>
      </c>
      <c r="L50" s="41">
        <f>IFERROR(SUMIFS('Hot Bill HN'!$G:$G, 'Hot Bill HN'!$C:$C, $A50, 'Hot Bill HN'!$D:$D, $B50), 0)</f>
        <v/>
      </c>
      <c r="M50" s="68">
        <f>IFERROR($J50+$K50+$L50, 0)</f>
        <v/>
      </c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</row>
    <row r="51" ht="13.8" customHeight="1">
      <c r="A51" s="66" t="inlineStr">
        <is>
          <t>Đường Láng</t>
        </is>
      </c>
      <c r="B51" s="67" t="inlineStr">
        <is>
          <t>Lê Thị Soạn</t>
        </is>
      </c>
      <c r="C51" s="42" t="inlineStr">
        <is>
          <t>BC</t>
        </is>
      </c>
      <c r="D51" s="41">
        <f>SUM(E51:G51)/DAY($A$1)</f>
        <v/>
      </c>
      <c r="E51" s="41" t="n">
        <v>2539286</v>
      </c>
      <c r="F51" s="41" t="n">
        <v>25777464</v>
      </c>
      <c r="G51" s="41" t="n">
        <v>7133581</v>
      </c>
      <c r="H51" s="41">
        <f>F51/DAY($A$1)</f>
        <v/>
      </c>
      <c r="I51" s="41">
        <f>G51/DAY($A$1)</f>
        <v/>
      </c>
      <c r="J51" s="41">
        <f>IFERROR(IF(OR($A51="Hàng Bông",$A51="Đường Láng"),_xlfn.IFS(AND($H51&gt;=2200000.0,$I51&gt;=450000.0),1000000.0,AND($H51&gt;=2500000.0,$I51&gt;=520000.0),1600000.0,AND($H51&gt;=2800000.0,$I51&gt;=650000.0),2200000.0,AND($H51&gt;=3200000.0,$I51&gt;=750000.0),2800000.0,AND($H51&gt;=3400000.0,$I51&gt;=900000.0),4000000.0,TRUE,0),_xlfn.IFS(AND($H51&gt;=630000.0,$I51&gt;=350000.0),1000000.0,AND($H51&gt;=850000.0,$I51&gt;=480000.0),1600000.0,AND($H51&gt;=1000000.0,$I51&gt;=580000.0),2200000.0,AND($H51&gt;=1200000.0,$I51&gt;=650000.0),2800000.0,AND($H51&gt;=1500000.0,$I51&gt;=700000.0),4000000.0,TRUE,0)),0)</f>
        <v/>
      </c>
      <c r="K51" s="41">
        <f>IFERROR(IF(AND($J51=0, IF(OR($A51="Hàng Bông",$A51="Đường Láng"),$D51&gt;=2000000,$D51&gt;=950000)), 500000, 0), 0)</f>
        <v/>
      </c>
      <c r="L51" s="41">
        <f>IFERROR(SUMIFS('Hot Bill HN'!$G:$G, 'Hot Bill HN'!$C:$C, $A51, 'Hot Bill HN'!$D:$D, $B51), 0)</f>
        <v/>
      </c>
      <c r="M51" s="68">
        <f>IFERROR($J51+$K51+$L51, 0)</f>
        <v/>
      </c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</row>
    <row r="52" ht="13.8" customHeight="1">
      <c r="A52" s="66" t="inlineStr">
        <is>
          <t>Đường Láng</t>
        </is>
      </c>
      <c r="B52" s="67" t="inlineStr">
        <is>
          <t>Nguyễn Thị Tâm</t>
        </is>
      </c>
      <c r="C52" s="42" t="inlineStr">
        <is>
          <t>BC</t>
        </is>
      </c>
      <c r="D52" s="41">
        <f>SUM(E52:G52)/DAY($A$1)</f>
        <v/>
      </c>
      <c r="E52" s="41" t="n">
        <v>3047503</v>
      </c>
      <c r="F52" s="41" t="n">
        <v>26378237</v>
      </c>
      <c r="G52" s="41" t="n">
        <v>4600490</v>
      </c>
      <c r="H52" s="41">
        <f>F52/DAY($A$1)</f>
        <v/>
      </c>
      <c r="I52" s="41">
        <f>G52/DAY($A$1)</f>
        <v/>
      </c>
      <c r="J52" s="41">
        <f>IFERROR(IF(OR($A52="Hàng Bông",$A52="Đường Láng"),_xlfn.IFS(AND($H52&gt;=2200000.0,$I52&gt;=450000.0),1000000.0,AND($H52&gt;=2500000.0,$I52&gt;=520000.0),1600000.0,AND($H52&gt;=2800000.0,$I52&gt;=650000.0),2200000.0,AND($H52&gt;=3200000.0,$I52&gt;=750000.0),2800000.0,AND($H52&gt;=3400000.0,$I52&gt;=900000.0),4000000.0,TRUE,0),_xlfn.IFS(AND($H52&gt;=630000.0,$I52&gt;=350000.0),1000000.0,AND($H52&gt;=850000.0,$I52&gt;=480000.0),1600000.0,AND($H52&gt;=1000000.0,$I52&gt;=580000.0),2200000.0,AND($H52&gt;=1200000.0,$I52&gt;=650000.0),2800000.0,AND($H52&gt;=1500000.0,$I52&gt;=700000.0),4000000.0,TRUE,0)),0)</f>
        <v/>
      </c>
      <c r="K52" s="41">
        <f>IFERROR(IF(AND($J52=0, IF(OR($A52="Hàng Bông",$A52="Đường Láng"),$D52&gt;=2000000,$D52&gt;=950000)), 500000, 0), 0)</f>
        <v/>
      </c>
      <c r="L52" s="41">
        <f>IFERROR(SUMIFS('Hot Bill HN'!$G:$G, 'Hot Bill HN'!$C:$C, $A52, 'Hot Bill HN'!$D:$D, $B52), 0)</f>
        <v/>
      </c>
      <c r="M52" s="68">
        <f>IFERROR($J52+$K52+$L52, 0)</f>
        <v/>
      </c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</row>
    <row r="53" ht="13.8" customHeight="1">
      <c r="A53" s="66" t="inlineStr">
        <is>
          <t>Đường Láng</t>
        </is>
      </c>
      <c r="B53" s="67" t="inlineStr">
        <is>
          <t>Nguyễn Thị Mai Duyên</t>
        </is>
      </c>
      <c r="C53" s="42" t="inlineStr">
        <is>
          <t>BC</t>
        </is>
      </c>
      <c r="D53" s="41">
        <f>SUM(E53:G53)/DAY($A$1)</f>
        <v/>
      </c>
      <c r="E53" s="41" t="n">
        <v>3326550</v>
      </c>
      <c r="F53" s="41" t="n">
        <v>20666558</v>
      </c>
      <c r="G53" s="41" t="n">
        <v>9065659</v>
      </c>
      <c r="H53" s="41">
        <f>F53/DAY($A$1)</f>
        <v/>
      </c>
      <c r="I53" s="41">
        <f>G53/DAY($A$1)</f>
        <v/>
      </c>
      <c r="J53" s="41">
        <f>IFERROR(IF(OR($A53="Hàng Bông",$A53="Đường Láng"),_xlfn.IFS(AND($H53&gt;=2200000.0,$I53&gt;=450000.0),1000000.0,AND($H53&gt;=2500000.0,$I53&gt;=520000.0),1600000.0,AND($H53&gt;=2800000.0,$I53&gt;=650000.0),2200000.0,AND($H53&gt;=3200000.0,$I53&gt;=750000.0),2800000.0,AND($H53&gt;=3400000.0,$I53&gt;=900000.0),4000000.0,TRUE,0),_xlfn.IFS(AND($H53&gt;=630000.0,$I53&gt;=350000.0),1000000.0,AND($H53&gt;=850000.0,$I53&gt;=480000.0),1600000.0,AND($H53&gt;=1000000.0,$I53&gt;=580000.0),2200000.0,AND($H53&gt;=1200000.0,$I53&gt;=650000.0),2800000.0,AND($H53&gt;=1500000.0,$I53&gt;=700000.0),4000000.0,TRUE,0)),0)</f>
        <v/>
      </c>
      <c r="K53" s="41">
        <f>IFERROR(IF(AND($J53=0, IF(OR($A53="Hàng Bông",$A53="Đường Láng"),$D53&gt;=2000000,$D53&gt;=950000)), 500000, 0), 0)</f>
        <v/>
      </c>
      <c r="L53" s="41">
        <f>IFERROR(SUMIFS('Hot Bill HN'!$G:$G, 'Hot Bill HN'!$C:$C, $A53, 'Hot Bill HN'!$D:$D, $B53), 0)</f>
        <v/>
      </c>
      <c r="M53" s="68">
        <f>IFERROR($J53+$K53+$L53, 0)</f>
        <v/>
      </c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</row>
    <row r="54" ht="13.8" customHeight="1">
      <c r="A54" s="66" t="inlineStr">
        <is>
          <t>Đường Láng</t>
        </is>
      </c>
      <c r="B54" s="67" t="inlineStr">
        <is>
          <t>Trần Ngọc Dung</t>
        </is>
      </c>
      <c r="C54" s="42" t="inlineStr">
        <is>
          <t>BC</t>
        </is>
      </c>
      <c r="D54" s="41">
        <f>SUM(E54:G54)/DAY($A$1)</f>
        <v/>
      </c>
      <c r="E54" s="41" t="n">
        <v>816155</v>
      </c>
      <c r="F54" s="41" t="n">
        <v>3319867</v>
      </c>
      <c r="G54" s="41" t="n">
        <v>927097</v>
      </c>
      <c r="H54" s="41">
        <f>F54/DAY($A$1)</f>
        <v/>
      </c>
      <c r="I54" s="41">
        <f>G54/DAY($A$1)</f>
        <v/>
      </c>
      <c r="J54" s="41">
        <f>IFERROR(IF(OR($A54="Hàng Bông",$A54="Đường Láng"),_xlfn.IFS(AND($H54&gt;=2200000.0,$I54&gt;=450000.0),1000000.0,AND($H54&gt;=2500000.0,$I54&gt;=520000.0),1600000.0,AND($H54&gt;=2800000.0,$I54&gt;=650000.0),2200000.0,AND($H54&gt;=3200000.0,$I54&gt;=750000.0),2800000.0,AND($H54&gt;=3400000.0,$I54&gt;=900000.0),4000000.0,TRUE,0),_xlfn.IFS(AND($H54&gt;=630000.0,$I54&gt;=350000.0),1000000.0,AND($H54&gt;=850000.0,$I54&gt;=480000.0),1600000.0,AND($H54&gt;=1000000.0,$I54&gt;=580000.0),2200000.0,AND($H54&gt;=1200000.0,$I54&gt;=650000.0),2800000.0,AND($H54&gt;=1500000.0,$I54&gt;=700000.0),4000000.0,TRUE,0)),0)</f>
        <v/>
      </c>
      <c r="K54" s="41">
        <f>IFERROR(IF(AND($J54=0, IF(OR($A54="Hàng Bông",$A54="Đường Láng"),$D54&gt;=2000000,$D54&gt;=950000)), 500000, 0), 0)</f>
        <v/>
      </c>
      <c r="L54" s="41">
        <f>IFERROR(SUMIFS('Hot Bill HN'!$G:$G, 'Hot Bill HN'!$C:$C, $A54, 'Hot Bill HN'!$D:$D, $B54), 0)</f>
        <v/>
      </c>
      <c r="M54" s="68">
        <f>IFERROR($J54+$K54+$L54, 0)</f>
        <v/>
      </c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</row>
    <row r="55" ht="13.8" customHeight="1">
      <c r="A55" s="66" t="inlineStr">
        <is>
          <t>Minh Châu</t>
        </is>
      </c>
      <c r="B55" s="67" t="inlineStr">
        <is>
          <t>Trịnh Thị Phượng</t>
        </is>
      </c>
      <c r="C55" s="42" t="inlineStr">
        <is>
          <t>DSBC</t>
        </is>
      </c>
      <c r="D55" s="41">
        <f>SUM(E55:G55)/DAY($A$1)</f>
        <v/>
      </c>
      <c r="E55" s="41" t="n">
        <v>635461</v>
      </c>
      <c r="F55" s="41" t="n">
        <v>8904541</v>
      </c>
      <c r="G55" s="41" t="n">
        <v>5930043</v>
      </c>
      <c r="H55" s="41">
        <f>F55/DAY($A$1)</f>
        <v/>
      </c>
      <c r="I55" s="41">
        <f>G55/DAY($A$1)</f>
        <v/>
      </c>
      <c r="J55" s="41">
        <f>IFERROR(IF(OR($A55="Hàng Bông",$A55="Đường Láng"),_xlfn.IFS(AND($H55&gt;=2200000.0,$I55&gt;=450000.0),1000000.0,AND($H55&gt;=2500000.0,$I55&gt;=520000.0),1600000.0,AND($H55&gt;=2800000.0,$I55&gt;=650000.0),2200000.0,AND($H55&gt;=3200000.0,$I55&gt;=750000.0),2800000.0,AND($H55&gt;=3400000.0,$I55&gt;=900000.0),4000000.0,TRUE,0),_xlfn.IFS(AND($H55&gt;=630000.0,$I55&gt;=350000.0),1000000.0,AND($H55&gt;=850000.0,$I55&gt;=480000.0),1600000.0,AND($H55&gt;=1000000.0,$I55&gt;=580000.0),2200000.0,AND($H55&gt;=1200000.0,$I55&gt;=650000.0),2800000.0,AND($H55&gt;=1500000.0,$I55&gt;=700000.0),4000000.0,TRUE,0)),0)</f>
        <v/>
      </c>
      <c r="K55" s="41">
        <f>IFERROR(IF(AND($J55=0, IF(OR($A55="Hàng Bông",$A55="Đường Láng"),$D55&gt;=2000000,$D55&gt;=950000)), 500000, 0), 0)</f>
        <v/>
      </c>
      <c r="L55" s="41">
        <f>IFERROR(SUMIFS('Hot Bill HN'!$G:$G, 'Hot Bill HN'!$C:$C, $A55, 'Hot Bill HN'!$D:$D, $B55), 0)</f>
        <v/>
      </c>
      <c r="M55" s="68">
        <f>IFERROR($J55+$K55+$L55, 0)</f>
        <v/>
      </c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</row>
    <row r="56" ht="13.8" customHeight="1">
      <c r="A56" s="66" t="inlineStr">
        <is>
          <t>Nam Hòa</t>
        </is>
      </c>
      <c r="B56" s="67" t="inlineStr">
        <is>
          <t>Nguyễn Trí Nghĩa</t>
        </is>
      </c>
      <c r="C56" s="42" t="inlineStr">
        <is>
          <t>DSBC</t>
        </is>
      </c>
      <c r="D56" s="41">
        <f>SUM(E56:G56)/DAY($A$1)</f>
        <v/>
      </c>
      <c r="E56" s="41" t="n">
        <v>0</v>
      </c>
      <c r="F56" s="41" t="n">
        <v>0</v>
      </c>
      <c r="G56" s="41" t="n">
        <v>0</v>
      </c>
      <c r="H56" s="41">
        <f>F56/DAY($A$1)</f>
        <v/>
      </c>
      <c r="I56" s="41">
        <f>G56/DAY($A$1)</f>
        <v/>
      </c>
      <c r="J56" s="41">
        <f>IFERROR(IF(OR($A56="Hàng Bông",$A56="Đường Láng"),_xlfn.IFS(AND($H56&gt;=2200000.0,$I56&gt;=450000.0),1000000.0,AND($H56&gt;=2500000.0,$I56&gt;=520000.0),1600000.0,AND($H56&gt;=2800000.0,$I56&gt;=650000.0),2200000.0,AND($H56&gt;=3200000.0,$I56&gt;=750000.0),2800000.0,AND($H56&gt;=3400000.0,$I56&gt;=900000.0),4000000.0,TRUE,0),_xlfn.IFS(AND($H56&gt;=630000.0,$I56&gt;=350000.0),1000000.0,AND($H56&gt;=850000.0,$I56&gt;=480000.0),1600000.0,AND($H56&gt;=1000000.0,$I56&gt;=580000.0),2200000.0,AND($H56&gt;=1200000.0,$I56&gt;=650000.0),2800000.0,AND($H56&gt;=1500000.0,$I56&gt;=700000.0),4000000.0,TRUE,0)),0)</f>
        <v/>
      </c>
      <c r="K56" s="41">
        <f>IFERROR(IF(AND($J56=0, IF(OR($A56="Hàng Bông",$A56="Đường Láng"),$D56&gt;=2000000,$D56&gt;=950000)), 500000, 0), 0)</f>
        <v/>
      </c>
      <c r="L56" s="41">
        <f>IFERROR(SUMIFS('Hot Bill HN'!$G:$G, 'Hot Bill HN'!$C:$C, $A56, 'Hot Bill HN'!$D:$D, $B56), 0)</f>
        <v/>
      </c>
      <c r="M56" s="68">
        <f>IFERROR($J56+$K56+$L56, 0)</f>
        <v/>
      </c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</row>
    <row r="57" ht="13.8" customHeight="1">
      <c r="A57" s="66" t="inlineStr">
        <is>
          <t>Nam Hòa</t>
        </is>
      </c>
      <c r="B57" s="67" t="inlineStr">
        <is>
          <t>Phan Công Vũ Tài</t>
        </is>
      </c>
      <c r="C57" s="42" t="inlineStr">
        <is>
          <t>DSBC</t>
        </is>
      </c>
      <c r="D57" s="41">
        <f>SUM(E57:G57)/DAY($A$1)</f>
        <v/>
      </c>
      <c r="E57" s="41" t="n">
        <v>0</v>
      </c>
      <c r="F57" s="41" t="n">
        <v>0</v>
      </c>
      <c r="G57" s="41" t="n">
        <v>0</v>
      </c>
      <c r="H57" s="41">
        <f>F57/DAY($A$1)</f>
        <v/>
      </c>
      <c r="I57" s="41">
        <f>G57/DAY($A$1)</f>
        <v/>
      </c>
      <c r="J57" s="41">
        <f>IFERROR(IF(OR($A57="Hàng Bông",$A57="Đường Láng"),_xlfn.IFS(AND($H57&gt;=2200000.0,$I57&gt;=450000.0),1000000.0,AND($H57&gt;=2500000.0,$I57&gt;=520000.0),1600000.0,AND($H57&gt;=2800000.0,$I57&gt;=650000.0),2200000.0,AND($H57&gt;=3200000.0,$I57&gt;=750000.0),2800000.0,AND($H57&gt;=3400000.0,$I57&gt;=900000.0),4000000.0,TRUE,0),_xlfn.IFS(AND($H57&gt;=630000.0,$I57&gt;=350000.0),1000000.0,AND($H57&gt;=850000.0,$I57&gt;=480000.0),1600000.0,AND($H57&gt;=1000000.0,$I57&gt;=580000.0),2200000.0,AND($H57&gt;=1200000.0,$I57&gt;=650000.0),2800000.0,AND($H57&gt;=1500000.0,$I57&gt;=700000.0),4000000.0,TRUE,0)),0)</f>
        <v/>
      </c>
      <c r="K57" s="41">
        <f>IFERROR(IF(AND($J57=0, IF(OR($A57="Hàng Bông",$A57="Đường Láng"),$D57&gt;=2000000,$D57&gt;=950000)), 500000, 0), 0)</f>
        <v/>
      </c>
      <c r="L57" s="41">
        <f>IFERROR(SUMIFS('Hot Bill HN'!$G:$G, 'Hot Bill HN'!$C:$C, $A57, 'Hot Bill HN'!$D:$D, $B57), 0)</f>
        <v/>
      </c>
      <c r="M57" s="68">
        <f>IFERROR($J57+$K57+$L57, 0)</f>
        <v/>
      </c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</row>
    <row r="58" ht="13.8" customHeight="1">
      <c r="A58" s="66" t="inlineStr">
        <is>
          <t>Nam Hòa</t>
        </is>
      </c>
      <c r="B58" s="67" t="inlineStr">
        <is>
          <t>Thanh Thảo</t>
        </is>
      </c>
      <c r="C58" s="42" t="inlineStr">
        <is>
          <t>DSBC</t>
        </is>
      </c>
      <c r="D58" s="41">
        <f>SUM(E58:G58)/DAY($A$1)</f>
        <v/>
      </c>
      <c r="E58" s="41" t="n">
        <v>0</v>
      </c>
      <c r="F58" s="41" t="n">
        <v>0</v>
      </c>
      <c r="G58" s="41" t="n">
        <v>0</v>
      </c>
      <c r="H58" s="41">
        <f>F58/DAY($A$1)</f>
        <v/>
      </c>
      <c r="I58" s="41">
        <f>G58/DAY($A$1)</f>
        <v/>
      </c>
      <c r="J58" s="41">
        <f>IFERROR(IF(OR($A58="Hàng Bông",$A58="Đường Láng"),_xlfn.IFS(AND($H58&gt;=2200000.0,$I58&gt;=450000.0),1000000.0,AND($H58&gt;=2500000.0,$I58&gt;=520000.0),1600000.0,AND($H58&gt;=2800000.0,$I58&gt;=650000.0),2200000.0,AND($H58&gt;=3200000.0,$I58&gt;=750000.0),2800000.0,AND($H58&gt;=3400000.0,$I58&gt;=900000.0),4000000.0,TRUE,0),_xlfn.IFS(AND($H58&gt;=630000.0,$I58&gt;=350000.0),1000000.0,AND($H58&gt;=850000.0,$I58&gt;=480000.0),1600000.0,AND($H58&gt;=1000000.0,$I58&gt;=580000.0),2200000.0,AND($H58&gt;=1200000.0,$I58&gt;=650000.0),2800000.0,AND($H58&gt;=1500000.0,$I58&gt;=700000.0),4000000.0,TRUE,0)),0)</f>
        <v/>
      </c>
      <c r="K58" s="41">
        <f>IFERROR(IF(AND($J58=0, IF(OR($A58="Hàng Bông",$A58="Đường Láng"),$D58&gt;=2000000,$D58&gt;=950000)), 500000, 0), 0)</f>
        <v/>
      </c>
      <c r="L58" s="41">
        <f>IFERROR(SUMIFS('Hot Bill HN'!$G:$G, 'Hot Bill HN'!$C:$C, $A58, 'Hot Bill HN'!$D:$D, $B58), 0)</f>
        <v/>
      </c>
      <c r="M58" s="68">
        <f>IFERROR($J58+$K58+$L58, 0)</f>
        <v/>
      </c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</row>
    <row r="59" ht="13.8" customHeight="1">
      <c r="A59" s="66" t="inlineStr">
        <is>
          <t>Nguyễn Chí Thanh</t>
        </is>
      </c>
      <c r="B59" s="67" t="inlineStr">
        <is>
          <t>Nguyễn Trí Nghĩa</t>
        </is>
      </c>
      <c r="C59" s="42" t="inlineStr">
        <is>
          <t>DSBC</t>
        </is>
      </c>
      <c r="D59" s="41">
        <f>SUM(E59:G59)/DAY($A$1)</f>
        <v/>
      </c>
      <c r="E59" s="41" t="n">
        <v>0</v>
      </c>
      <c r="F59" s="41" t="n">
        <v>0</v>
      </c>
      <c r="G59" s="41" t="n">
        <v>0</v>
      </c>
      <c r="H59" s="41">
        <f>F59/DAY($A$1)</f>
        <v/>
      </c>
      <c r="I59" s="41">
        <f>G59/DAY($A$1)</f>
        <v/>
      </c>
      <c r="J59" s="41">
        <f>IFERROR(IF(OR($A59="Hàng Bông",$A59="Đường Láng"),_xlfn.IFS(AND($H59&gt;=2200000.0,$I59&gt;=450000.0),1000000.0,AND($H59&gt;=2500000.0,$I59&gt;=520000.0),1600000.0,AND($H59&gt;=2800000.0,$I59&gt;=650000.0),2200000.0,AND($H59&gt;=3200000.0,$I59&gt;=750000.0),2800000.0,AND($H59&gt;=3400000.0,$I59&gt;=900000.0),4000000.0,TRUE,0),_xlfn.IFS(AND($H59&gt;=630000.0,$I59&gt;=350000.0),1000000.0,AND($H59&gt;=850000.0,$I59&gt;=480000.0),1600000.0,AND($H59&gt;=1000000.0,$I59&gt;=580000.0),2200000.0,AND($H59&gt;=1200000.0,$I59&gt;=650000.0),2800000.0,AND($H59&gt;=1500000.0,$I59&gt;=700000.0),4000000.0,TRUE,0)),0)</f>
        <v/>
      </c>
      <c r="K59" s="41">
        <f>IFERROR(IF(AND($J59=0, IF(OR($A59="Hàng Bông",$A59="Đường Láng"),$D59&gt;=2000000,$D59&gt;=950000)), 500000, 0), 0)</f>
        <v/>
      </c>
      <c r="L59" s="41">
        <f>IFERROR(SUMIFS('Hot Bill HN'!$G:$G, 'Hot Bill HN'!$C:$C, $A59, 'Hot Bill HN'!$D:$D, $B59), 0)</f>
        <v/>
      </c>
      <c r="M59" s="68">
        <f>IFERROR($J59+$K59+$L59, 0)</f>
        <v/>
      </c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</row>
    <row r="60" ht="13.8" customHeight="1">
      <c r="A60" s="66" t="inlineStr">
        <is>
          <t>Nguyễn Thị Thập</t>
        </is>
      </c>
      <c r="B60" s="67" t="inlineStr">
        <is>
          <t>Nguyễn Trí Nghĩa</t>
        </is>
      </c>
      <c r="C60" s="42" t="inlineStr">
        <is>
          <t>DSBC</t>
        </is>
      </c>
      <c r="D60" s="41">
        <f>SUM(E60:G60)/DAY($A$1)</f>
        <v/>
      </c>
      <c r="E60" s="41" t="n">
        <v>542970</v>
      </c>
      <c r="F60" s="41" t="n">
        <v>2542240</v>
      </c>
      <c r="G60" s="41" t="n">
        <v>3959184</v>
      </c>
      <c r="H60" s="41">
        <f>F60/DAY($A$1)</f>
        <v/>
      </c>
      <c r="I60" s="41">
        <f>G60/DAY($A$1)</f>
        <v/>
      </c>
      <c r="J60" s="41">
        <f>IFERROR(IF(OR($A60="Hàng Bông",$A60="Đường Láng"),_xlfn.IFS(AND($H60&gt;=2200000.0,$I60&gt;=450000.0),1000000.0,AND($H60&gt;=2500000.0,$I60&gt;=520000.0),1600000.0,AND($H60&gt;=2800000.0,$I60&gt;=650000.0),2200000.0,AND($H60&gt;=3200000.0,$I60&gt;=750000.0),2800000.0,AND($H60&gt;=3400000.0,$I60&gt;=900000.0),4000000.0,TRUE,0),_xlfn.IFS(AND($H60&gt;=630000.0,$I60&gt;=350000.0),1000000.0,AND($H60&gt;=850000.0,$I60&gt;=480000.0),1600000.0,AND($H60&gt;=1000000.0,$I60&gt;=580000.0),2200000.0,AND($H60&gt;=1200000.0,$I60&gt;=650000.0),2800000.0,AND($H60&gt;=1500000.0,$I60&gt;=700000.0),4000000.0,TRUE,0)),0)</f>
        <v/>
      </c>
      <c r="K60" s="41">
        <f>IFERROR(IF(AND($J60=0, IF(OR($A60="Hàng Bông",$A60="Đường Láng"),$D60&gt;=2000000,$D60&gt;=950000)), 500000, 0), 0)</f>
        <v/>
      </c>
      <c r="L60" s="41">
        <f>IFERROR(SUMIFS('Hot Bill HN'!$G:$G, 'Hot Bill HN'!$C:$C, $A60, 'Hot Bill HN'!$D:$D, $B60), 0)</f>
        <v/>
      </c>
      <c r="M60" s="68">
        <f>IFERROR($J60+$K60+$L60, 0)</f>
        <v/>
      </c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</row>
    <row r="61" ht="13.8" customHeight="1">
      <c r="A61" s="66" t="inlineStr">
        <is>
          <t>Nguyễn Văn Quá</t>
        </is>
      </c>
      <c r="B61" s="67" t="inlineStr">
        <is>
          <t>Phan Công Vũ Tài</t>
        </is>
      </c>
      <c r="C61" s="42" t="inlineStr">
        <is>
          <t>DSBC</t>
        </is>
      </c>
      <c r="D61" s="41">
        <f>SUM(E61:G61)/DAY($A$1)</f>
        <v/>
      </c>
      <c r="E61" s="41" t="n">
        <v>0</v>
      </c>
      <c r="F61" s="41" t="n">
        <v>0</v>
      </c>
      <c r="G61" s="41" t="n">
        <v>0</v>
      </c>
      <c r="H61" s="41">
        <f>F61/DAY($A$1)</f>
        <v/>
      </c>
      <c r="I61" s="41">
        <f>G61/DAY($A$1)</f>
        <v/>
      </c>
      <c r="J61" s="41">
        <f>IFERROR(IF(OR($A61="Hàng Bông",$A61="Đường Láng"),_xlfn.IFS(AND($H61&gt;=2200000.0,$I61&gt;=450000.0),1000000.0,AND($H61&gt;=2500000.0,$I61&gt;=520000.0),1600000.0,AND($H61&gt;=2800000.0,$I61&gt;=650000.0),2200000.0,AND($H61&gt;=3200000.0,$I61&gt;=750000.0),2800000.0,AND($H61&gt;=3400000.0,$I61&gt;=900000.0),4000000.0,TRUE,0),_xlfn.IFS(AND($H61&gt;=630000.0,$I61&gt;=350000.0),1000000.0,AND($H61&gt;=850000.0,$I61&gt;=480000.0),1600000.0,AND($H61&gt;=1000000.0,$I61&gt;=580000.0),2200000.0,AND($H61&gt;=1200000.0,$I61&gt;=650000.0),2800000.0,AND($H61&gt;=1500000.0,$I61&gt;=700000.0),4000000.0,TRUE,0)),0)</f>
        <v/>
      </c>
      <c r="K61" s="41">
        <f>IFERROR(IF(AND($J61=0, IF(OR($A61="Hàng Bông",$A61="Đường Láng"),$D61&gt;=2000000,$D61&gt;=950000)), 500000, 0), 0)</f>
        <v/>
      </c>
      <c r="L61" s="41">
        <f>IFERROR(SUMIFS('Hot Bill HN'!$G:$G, 'Hot Bill HN'!$C:$C, $A61, 'Hot Bill HN'!$D:$D, $B61), 0)</f>
        <v/>
      </c>
      <c r="M61" s="68">
        <f>IFERROR($J61+$K61+$L61, 0)</f>
        <v/>
      </c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</row>
    <row r="62" ht="13.8" customHeight="1">
      <c r="A62" s="66" t="inlineStr">
        <is>
          <t>Trường Sa</t>
        </is>
      </c>
      <c r="B62" s="67" t="inlineStr">
        <is>
          <t>Hồ Thị Minh Hòa</t>
        </is>
      </c>
      <c r="C62" s="42" t="inlineStr">
        <is>
          <t>DSBC</t>
        </is>
      </c>
      <c r="D62" s="41">
        <f>SUM(E62:G62)/DAY($A$1)</f>
        <v/>
      </c>
      <c r="E62" s="41" t="n">
        <v>0</v>
      </c>
      <c r="F62" s="41" t="n">
        <v>0</v>
      </c>
      <c r="G62" s="41" t="n">
        <v>0</v>
      </c>
      <c r="H62" s="41">
        <f>F62/DAY($A$1)</f>
        <v/>
      </c>
      <c r="I62" s="41">
        <f>G62/DAY($A$1)</f>
        <v/>
      </c>
      <c r="J62" s="41">
        <f>IFERROR(IF(OR($A62="Hàng Bông",$A62="Đường Láng"),_xlfn.IFS(AND($H62&gt;=2200000.0,$I62&gt;=450000.0),1000000.0,AND($H62&gt;=2500000.0,$I62&gt;=520000.0),1600000.0,AND($H62&gt;=2800000.0,$I62&gt;=650000.0),2200000.0,AND($H62&gt;=3200000.0,$I62&gt;=750000.0),2800000.0,AND($H62&gt;=3400000.0,$I62&gt;=900000.0),4000000.0,TRUE,0),_xlfn.IFS(AND($H62&gt;=630000.0,$I62&gt;=350000.0),1000000.0,AND($H62&gt;=850000.0,$I62&gt;=480000.0),1600000.0,AND($H62&gt;=1000000.0,$I62&gt;=580000.0),2200000.0,AND($H62&gt;=1200000.0,$I62&gt;=650000.0),2800000.0,AND($H62&gt;=1500000.0,$I62&gt;=700000.0),4000000.0,TRUE,0)),0)</f>
        <v/>
      </c>
      <c r="K62" s="41">
        <f>IFERROR(IF(AND($J62=0, IF(OR($A62="Hàng Bông",$A62="Đường Láng"),$D62&gt;=2000000,$D62&gt;=950000)), 500000, 0), 0)</f>
        <v/>
      </c>
      <c r="L62" s="41">
        <f>IFERROR(SUMIFS('Hot Bill HN'!$G:$G, 'Hot Bill HN'!$C:$C, $A62, 'Hot Bill HN'!$D:$D, $B62), 0)</f>
        <v/>
      </c>
      <c r="M62" s="68">
        <f>IFERROR($J62+$K62+$L62, 0)</f>
        <v/>
      </c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</row>
    <row r="63" ht="13.8" customHeight="1">
      <c r="A63" s="66" t="inlineStr">
        <is>
          <t>Trường Sa</t>
        </is>
      </c>
      <c r="B63" s="67" t="inlineStr">
        <is>
          <t>Medigo</t>
        </is>
      </c>
      <c r="C63" s="42" t="inlineStr">
        <is>
          <t>DSBC</t>
        </is>
      </c>
      <c r="D63" s="41">
        <f>SUM(E63:G63)/DAY($A$1)</f>
        <v/>
      </c>
      <c r="E63" s="41" t="n">
        <v>0</v>
      </c>
      <c r="F63" s="41" t="n">
        <v>0</v>
      </c>
      <c r="G63" s="41" t="n">
        <v>0</v>
      </c>
      <c r="H63" s="41">
        <f>F63/DAY($A$1)</f>
        <v/>
      </c>
      <c r="I63" s="41">
        <f>G63/DAY($A$1)</f>
        <v/>
      </c>
      <c r="J63" s="41">
        <f>IFERROR(IF(OR($A63="Hàng Bông",$A63="Đường Láng"),_xlfn.IFS(AND($H63&gt;=2200000.0,$I63&gt;=450000.0),1000000.0,AND($H63&gt;=2500000.0,$I63&gt;=520000.0),1600000.0,AND($H63&gt;=2800000.0,$I63&gt;=650000.0),2200000.0,AND($H63&gt;=3200000.0,$I63&gt;=750000.0),2800000.0,AND($H63&gt;=3400000.0,$I63&gt;=900000.0),4000000.0,TRUE,0),_xlfn.IFS(AND($H63&gt;=630000.0,$I63&gt;=350000.0),1000000.0,AND($H63&gt;=850000.0,$I63&gt;=480000.0),1600000.0,AND($H63&gt;=1000000.0,$I63&gt;=580000.0),2200000.0,AND($H63&gt;=1200000.0,$I63&gt;=650000.0),2800000.0,AND($H63&gt;=1500000.0,$I63&gt;=700000.0),4000000.0,TRUE,0)),0)</f>
        <v/>
      </c>
      <c r="K63" s="41">
        <f>IFERROR(IF(AND($J63=0, IF(OR($A63="Hàng Bông",$A63="Đường Láng"),$D63&gt;=2000000,$D63&gt;=950000)), 500000, 0), 0)</f>
        <v/>
      </c>
      <c r="L63" s="41">
        <f>IFERROR(SUMIFS('Hot Bill HN'!$G:$G, 'Hot Bill HN'!$C:$C, $A63, 'Hot Bill HN'!$D:$D, $B63), 0)</f>
        <v/>
      </c>
      <c r="M63" s="68">
        <f>IFERROR($J63+$K63+$L63, 0)</f>
        <v/>
      </c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</row>
    <row r="64" ht="13.8" customHeight="1">
      <c r="A64" s="66" t="inlineStr">
        <is>
          <t>Đỗ Quang Đẩu</t>
        </is>
      </c>
      <c r="B64" s="67" t="inlineStr">
        <is>
          <t>Hoàng Lâm Gia Bảo</t>
        </is>
      </c>
      <c r="C64" s="42" t="inlineStr">
        <is>
          <t>DSBC</t>
        </is>
      </c>
      <c r="D64" s="41">
        <f>SUM(E64:G64)/DAY($A$1)</f>
        <v/>
      </c>
      <c r="E64" s="41" t="n">
        <v>0</v>
      </c>
      <c r="F64" s="41" t="n">
        <v>0</v>
      </c>
      <c r="G64" s="41" t="n">
        <v>0</v>
      </c>
      <c r="H64" s="41">
        <f>F64/DAY($A$1)</f>
        <v/>
      </c>
      <c r="I64" s="41">
        <f>G64/DAY($A$1)</f>
        <v/>
      </c>
      <c r="J64" s="41">
        <f>IFERROR(IF(OR($A64="Hàng Bông",$A64="Đường Láng"),_xlfn.IFS(AND($H64&gt;=2200000.0,$I64&gt;=450000.0),1000000.0,AND($H64&gt;=2500000.0,$I64&gt;=520000.0),1600000.0,AND($H64&gt;=2800000.0,$I64&gt;=650000.0),2200000.0,AND($H64&gt;=3200000.0,$I64&gt;=750000.0),2800000.0,AND($H64&gt;=3400000.0,$I64&gt;=900000.0),4000000.0,TRUE,0),_xlfn.IFS(AND($H64&gt;=630000.0,$I64&gt;=350000.0),1000000.0,AND($H64&gt;=850000.0,$I64&gt;=480000.0),1600000.0,AND($H64&gt;=1000000.0,$I64&gt;=580000.0),2200000.0,AND($H64&gt;=1200000.0,$I64&gt;=650000.0),2800000.0,AND($H64&gt;=1500000.0,$I64&gt;=700000.0),4000000.0,TRUE,0)),0)</f>
        <v/>
      </c>
      <c r="K64" s="41">
        <f>IFERROR(IF(AND($J64=0, IF(OR($A64="Hàng Bông",$A64="Đường Láng"),$D64&gt;=2000000,$D64&gt;=950000)), 500000, 0), 0)</f>
        <v/>
      </c>
      <c r="L64" s="41">
        <f>IFERROR(SUMIFS('Hot Bill HN'!$G:$G, 'Hot Bill HN'!$C:$C, $A64, 'Hot Bill HN'!$D:$D, $B64), 0)</f>
        <v/>
      </c>
      <c r="M64" s="68">
        <f>IFERROR($J64+$K64+$L64, 0)</f>
        <v/>
      </c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8" customWidth="1" min="2" max="2"/>
    <col width="16.75" customWidth="1" min="3" max="3"/>
    <col width="18.38" customWidth="1" min="4" max="4"/>
    <col width="16.25" customWidth="1" min="5" max="5"/>
    <col width="29.5" customWidth="1" min="6" max="6"/>
    <col width="19.5" customWidth="1" min="7" max="7"/>
    <col width="62.5" customWidth="1" min="8" max="8"/>
  </cols>
  <sheetData>
    <row r="1" ht="12.75" customHeight="1">
      <c r="A1" s="69" t="inlineStr">
        <is>
          <t>Mã hóa đơn</t>
        </is>
      </c>
      <c r="B1" s="69" t="inlineStr">
        <is>
          <t>Thời gian</t>
        </is>
      </c>
      <c r="C1" s="69" t="inlineStr">
        <is>
          <t>Chi nhánh</t>
        </is>
      </c>
      <c r="D1" s="69" t="inlineStr">
        <is>
          <t>Tên Dược Sĩ</t>
        </is>
      </c>
      <c r="E1" s="69" t="inlineStr">
        <is>
          <t>Số lượng SP CK</t>
        </is>
      </c>
      <c r="F1" s="69" t="inlineStr">
        <is>
          <t>Doanh thu nhóm CK+CKHN</t>
        </is>
      </c>
      <c r="G1" s="69" t="inlineStr">
        <is>
          <t>Tiền Thưởng (VNĐ)</t>
        </is>
      </c>
      <c r="H1" s="69" t="inlineStr">
        <is>
          <t>Chi tiết sản phẩm</t>
        </is>
      </c>
    </row>
    <row r="2" ht="39" customHeight="1">
      <c r="A2" s="70" t="inlineStr">
        <is>
          <t>HD1177499</t>
        </is>
      </c>
      <c r="B2" s="71" t="n">
        <v>46244.89856493055</v>
      </c>
      <c r="C2" s="70" t="inlineStr">
        <is>
          <t>Hàng Bông</t>
        </is>
      </c>
      <c r="D2" s="70" t="inlineStr">
        <is>
          <t>Vũ Thanh Hằng</t>
        </is>
      </c>
      <c r="E2" s="70" t="n">
        <v>4</v>
      </c>
      <c r="F2" s="72" t="n">
        <v>1545000</v>
      </c>
      <c r="G2" s="72" t="n">
        <v>50000</v>
      </c>
      <c r="H2" s="73" t="inlineStr">
        <is>
          <t>CK Advance white glutathion viên uống trắng sáng da lustrel laboratoires (h/60v) (SL: 1, TT: 1,080,000đ) | CK Xịt họng keo ong anphapolis (h/30ml) (SL: 1, TT: 125,000đ) | CKHN Manukan (h/16v) (SL: 2, TT: 340,000đ)</t>
        </is>
      </c>
    </row>
    <row r="3" ht="39" customHeight="1">
      <c r="A3" s="70" t="inlineStr">
        <is>
          <t>HD1177072</t>
        </is>
      </c>
      <c r="B3" s="71" t="n">
        <v>46244.47439525463</v>
      </c>
      <c r="C3" s="70" t="inlineStr">
        <is>
          <t>Hàng Bông</t>
        </is>
      </c>
      <c r="D3" s="70" t="inlineStr">
        <is>
          <t>Đinh Thị Khánh Ly</t>
        </is>
      </c>
      <c r="E3" s="70" t="n">
        <v>2</v>
      </c>
      <c r="F3" s="72" t="n">
        <v>1145000</v>
      </c>
      <c r="G3" s="72" t="n">
        <v>50000</v>
      </c>
      <c r="H3" s="73" t="inlineStr">
        <is>
          <t>CKHN Chai xịt bạc ghimas powder spray (c/125ml) (SL: 1, TT: 695,000đ) | CKHN Vistra evening primrose oil 1000mg (h/45v) (SL: 1, TT: 450,000đ)</t>
        </is>
      </c>
    </row>
    <row r="4" ht="39" customHeight="1">
      <c r="A4" s="70" t="inlineStr">
        <is>
          <t>HD1176145</t>
        </is>
      </c>
      <c r="B4" s="71" t="n">
        <v>46243.73607230324</v>
      </c>
      <c r="C4" s="70" t="inlineStr">
        <is>
          <t>Hàng Bông</t>
        </is>
      </c>
      <c r="D4" s="70" t="inlineStr">
        <is>
          <t>Vũ Thanh Hằng</t>
        </is>
      </c>
      <c r="E4" s="70" t="n">
        <v>4</v>
      </c>
      <c r="F4" s="72" t="n">
        <v>1172000</v>
      </c>
      <c r="G4" s="72" t="n">
        <v>50000</v>
      </c>
      <c r="H4" s="73" t="inlineStr">
        <is>
          <t>CKHN Manukan (h/16v) (SL: 2, TT: 340,000đ) | CK Probioboost confort gastrique fleurance nature (h/15v) (SL: 2, TT: 832,000đ)</t>
        </is>
      </c>
    </row>
    <row r="5" ht="39" customHeight="1">
      <c r="A5" s="70" t="inlineStr">
        <is>
          <t>HD1175989</t>
        </is>
      </c>
      <c r="B5" s="71" t="n">
        <v>46243.5034943287</v>
      </c>
      <c r="C5" s="70" t="inlineStr">
        <is>
          <t>Hàng Bông</t>
        </is>
      </c>
      <c r="D5" s="70" t="inlineStr">
        <is>
          <t>Đinh Thị Khánh Ly</t>
        </is>
      </c>
      <c r="E5" s="70" t="n">
        <v>2</v>
      </c>
      <c r="F5" s="72" t="n">
        <v>1315000</v>
      </c>
      <c r="G5" s="72" t="n">
        <v>50000</v>
      </c>
      <c r="H5" s="73" t="inlineStr">
        <is>
          <t>CK Probioboost confort gastrique fleurance nature (h/15v) (SL: 1, TT: 416,000đ) | CK Cys-Control family Canneberge Arkopharma (h/20g) (SL: 1, TT: 899,000đ)</t>
        </is>
      </c>
    </row>
    <row r="6" ht="39" customHeight="1">
      <c r="A6" s="70" t="inlineStr">
        <is>
          <t>HD1175970</t>
        </is>
      </c>
      <c r="B6" s="71" t="n">
        <v>46243.48167256945</v>
      </c>
      <c r="C6" s="70" t="inlineStr">
        <is>
          <t>Hàng Bông</t>
        </is>
      </c>
      <c r="D6" s="70" t="inlineStr">
        <is>
          <t>Đinh Thị Khánh Ly</t>
        </is>
      </c>
      <c r="E6" s="70" t="n">
        <v>2</v>
      </c>
      <c r="F6" s="72" t="n">
        <v>1390000</v>
      </c>
      <c r="G6" s="72" t="n">
        <v>50000</v>
      </c>
      <c r="H6" s="73" t="inlineStr">
        <is>
          <t>CKHN Chai xịt bạc ghimas powder spray (c/125ml) (SL: 2, TT: 1,390,000đ)</t>
        </is>
      </c>
    </row>
    <row r="7" ht="39" customHeight="1">
      <c r="A7" s="70" t="inlineStr">
        <is>
          <t>HD1174981</t>
        </is>
      </c>
      <c r="B7" s="71" t="n">
        <v>46242.75160447917</v>
      </c>
      <c r="C7" s="70" t="inlineStr">
        <is>
          <t>Hàng Bông</t>
        </is>
      </c>
      <c r="D7" s="70" t="inlineStr">
        <is>
          <t>Đinh Thị Lan Anh</t>
        </is>
      </c>
      <c r="E7" s="70" t="n">
        <v>2</v>
      </c>
      <c r="F7" s="72" t="n">
        <v>1111000</v>
      </c>
      <c r="G7" s="72" t="n">
        <v>50000</v>
      </c>
      <c r="H7" s="73" t="inlineStr">
        <is>
          <t>CK Radis noir artichaut bio fleurance nature (h/30v) (SL: 1, TT: 416,000đ) | CKHN Chai xịt bạc ghimas powder spray (c/125ml) (SL: 1, TT: 695,000đ)</t>
        </is>
      </c>
    </row>
    <row r="8" ht="39" customHeight="1">
      <c r="A8" s="70" t="inlineStr">
        <is>
          <t>HD1174848</t>
        </is>
      </c>
      <c r="B8" s="71" t="n">
        <v>46242.58157025463</v>
      </c>
      <c r="C8" s="70" t="inlineStr">
        <is>
          <t>Hàng Bông</t>
        </is>
      </c>
      <c r="D8" s="70" t="inlineStr">
        <is>
          <t>Vũ Thanh Hằng</t>
        </is>
      </c>
      <c r="E8" s="70" t="n">
        <v>1</v>
      </c>
      <c r="F8" s="72" t="n">
        <v>1080000</v>
      </c>
      <c r="G8" s="72" t="n">
        <v>50000</v>
      </c>
      <c r="H8" s="73" t="inlineStr">
        <is>
          <t>CK Advance white glutathion viên uống trắng sáng da lustrel laboratoires (h/60v) (SL: 1, TT: 1,080,000đ)</t>
        </is>
      </c>
    </row>
    <row r="9" ht="39" customHeight="1">
      <c r="A9" s="70" t="inlineStr">
        <is>
          <t>HD1173977</t>
        </is>
      </c>
      <c r="B9" s="71" t="n">
        <v>46241.93067288194</v>
      </c>
      <c r="C9" s="70" t="inlineStr">
        <is>
          <t>Hàng Bông</t>
        </is>
      </c>
      <c r="D9" s="70" t="inlineStr">
        <is>
          <t>Đinh Thị Khánh Ly</t>
        </is>
      </c>
      <c r="E9" s="70" t="n">
        <v>2</v>
      </c>
      <c r="F9" s="72" t="n">
        <v>1315000</v>
      </c>
      <c r="G9" s="72" t="n">
        <v>50000</v>
      </c>
      <c r="H9" s="73" t="inlineStr">
        <is>
          <t>CK Radis noir artichaut bio fleurance nature (h/30v) (SL: 1, TT: 416,000đ) | CK Cys-Control family Canneberge Arkopharma (h/20g) (SL: 1, TT: 899,000đ)</t>
        </is>
      </c>
    </row>
    <row r="10" ht="39" customHeight="1">
      <c r="A10" s="70" t="inlineStr">
        <is>
          <t>HD1168139</t>
        </is>
      </c>
      <c r="B10" s="71" t="n">
        <v>46236.96241913195</v>
      </c>
      <c r="C10" s="70" t="inlineStr">
        <is>
          <t>Đường Láng</t>
        </is>
      </c>
      <c r="D10" s="70" t="inlineStr">
        <is>
          <t>Nguyễn Thị Mai Duyên</t>
        </is>
      </c>
      <c r="E10" s="70" t="n">
        <v>2</v>
      </c>
      <c r="F10" s="72" t="n">
        <v>1309000</v>
      </c>
      <c r="G10" s="72" t="n">
        <v>50000</v>
      </c>
      <c r="H10" s="73" t="inlineStr">
        <is>
          <t>CK Puissance+ viên uống tăng cường sinh lực fleurance nature (h/30v) (SL: 1, TT: 649,000đ) | CK Maca #6 old truths nature's supplements (h/60v) (SL: 1, TT: 660,000đ)</t>
        </is>
      </c>
    </row>
    <row r="11" ht="39" customHeight="1">
      <c r="A11" s="70" t="inlineStr">
        <is>
          <t>HD1167793</t>
        </is>
      </c>
      <c r="B11" s="71" t="n">
        <v>46236.64476616898</v>
      </c>
      <c r="C11" s="70" t="inlineStr">
        <is>
          <t>Hàng Bông</t>
        </is>
      </c>
      <c r="D11" s="70" t="inlineStr">
        <is>
          <t>Đinh Thị Khánh Ly</t>
        </is>
      </c>
      <c r="E11" s="70" t="n">
        <v>6</v>
      </c>
      <c r="F11" s="72" t="n">
        <v>2917000</v>
      </c>
      <c r="G11" s="72" t="n">
        <v>50000</v>
      </c>
      <c r="H11" s="73" t="inlineStr">
        <is>
          <t>CK Calcium 600 eurho vital (h/30v) (SL: 1, TT: 325,000đ) | CK Omega 3 viên uống bổ sung omega 3 arkopharma (h/60v) (SL: 2, TT: 754,000đ) | CK All in one vitality viên uống chống oxy hóa sante + (h/60v) (SL: 2, TT: 1,178,000đ) | CK Maca #6 old truths nature's supplements (h/60v) (SL: 1, TT: 660,000đ)</t>
        </is>
      </c>
    </row>
    <row r="12" ht="39" customHeight="1">
      <c r="A12" s="70" t="inlineStr">
        <is>
          <t>HD1167533</t>
        </is>
      </c>
      <c r="B12" s="71" t="n">
        <v>46236.26882152778</v>
      </c>
      <c r="C12" s="70" t="inlineStr">
        <is>
          <t>Hàng Bông</t>
        </is>
      </c>
      <c r="D12" s="70" t="inlineStr">
        <is>
          <t>Vũ Thanh Hằng</t>
        </is>
      </c>
      <c r="E12" s="70" t="n">
        <v>2</v>
      </c>
      <c r="F12" s="72" t="n">
        <v>1105000</v>
      </c>
      <c r="G12" s="72" t="n">
        <v>50000</v>
      </c>
      <c r="H12" s="73" t="inlineStr">
        <is>
          <t>CK Advance white glutathion viên uống trắng sáng da lustrel laboratoires (h/60v) (SL: 1, TT: 980,000đ) | CK Xịt họng keo ong anphapolis (h/30ml) (SL: 1, TT: 125,000đ)</t>
        </is>
      </c>
    </row>
    <row r="13" ht="39" customHeight="1">
      <c r="A13" s="70" t="inlineStr">
        <is>
          <t>HD1166478</t>
        </is>
      </c>
      <c r="B13" s="71" t="n">
        <v>46235.55085732639</v>
      </c>
      <c r="C13" s="70" t="inlineStr">
        <is>
          <t>Hàng Bông</t>
        </is>
      </c>
      <c r="D13" s="70" t="inlineStr">
        <is>
          <t>Vũ Thanh Hằng</t>
        </is>
      </c>
      <c r="E13" s="70" t="n">
        <v>4</v>
      </c>
      <c r="F13" s="72" t="n">
        <v>1035000</v>
      </c>
      <c r="G13" s="72" t="n">
        <v>50000</v>
      </c>
      <c r="H13" s="73" t="inlineStr">
        <is>
          <t>CK Bách địa khang usvip (h/30v) (SL: 1, TT: 130,000đ) | CKHN Mason Natural Daily Multiple Vitamins with Minerals (h/60v) (SL: 1, TT: 620,000đ) | CKHN Manukan (h/16v) (SL: 1, TT: 160,000đ) | CK Xịt họng keo ong anphapolis (h/30ml) (SL: 1, TT: 125,000đ)</t>
        </is>
      </c>
    </row>
    <row r="14" ht="39" customHeight="1">
      <c r="A14" s="70" t="inlineStr">
        <is>
          <t>HD1166155</t>
        </is>
      </c>
      <c r="B14" s="71" t="n">
        <v>46235.1770681713</v>
      </c>
      <c r="C14" s="70" t="inlineStr">
        <is>
          <t>Đường Láng</t>
        </is>
      </c>
      <c r="D14" s="70" t="inlineStr">
        <is>
          <t>Nguyễn Thị Tâm</t>
        </is>
      </c>
      <c r="E14" s="70" t="n">
        <v>10</v>
      </c>
      <c r="F14" s="72" t="n">
        <v>1235000</v>
      </c>
      <c r="G14" s="72" t="n">
        <v>50000</v>
      </c>
      <c r="H14" s="73" t="inlineStr">
        <is>
          <t>CKHN Orezul bù nước điện giải hương cam yalla (h/20g) (SL: 5, TT: 600,000đ) | CK Sodmex plus cream (h/15g) (SL: 5, TT: 635,000đ)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2026-09-09T09:57:15Z</dcterms:created>
  <dcterms:modified xsi:type="dcterms:W3CDTF">2026-09-10T04:24:01Z</dcterms:modified>
</cp:coreProperties>
</file>