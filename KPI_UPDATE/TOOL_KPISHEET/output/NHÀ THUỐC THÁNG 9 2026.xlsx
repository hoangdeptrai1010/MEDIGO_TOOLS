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9" sheetId="4" state="visible" r:id="rId4"/>
    <sheet xmlns:r="http://schemas.openxmlformats.org/officeDocument/2006/relationships"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/>
    </xf>
    <xf numFmtId="0" fontId="4" fillId="14" borderId="2" applyAlignment="1" pivotButton="0" quotePrefix="0" xfId="0">
      <alignment horizontal="center"/>
    </xf>
    <xf numFmtId="3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5" fillId="0" borderId="0" pivotButton="0" quotePrefix="0" xfId="0"/>
    <xf numFmtId="165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/>
    </xf>
    <xf numFmtId="3" fontId="6" fillId="13" borderId="2" applyAlignment="1" pivotButton="0" quotePrefix="0" xfId="0">
      <alignment horizontal="right"/>
    </xf>
    <xf numFmtId="3" fontId="4" fillId="0" borderId="2" applyAlignment="1" pivotButton="0" quotePrefix="0" xfId="0">
      <alignment horizontal="center"/>
    </xf>
    <xf numFmtId="3" fontId="4" fillId="14" borderId="2" applyAlignment="1" pivotButton="0" quotePrefix="0" xfId="0">
      <alignment horizontal="center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6" fontId="4" fillId="14" borderId="2" applyAlignment="1" pivotButton="0" quotePrefix="0" xfId="0">
      <alignment horizontal="center"/>
    </xf>
    <xf numFmtId="0" fontId="5" fillId="14" borderId="2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0" customWidth="1" min="3" max="3"/>
    <col width="17" customWidth="1" min="4" max="4"/>
    <col width="20" customWidth="1" min="5" max="5"/>
    <col width="17" customWidth="1" min="6" max="6"/>
    <col width="18" customWidth="1" min="7" max="7"/>
    <col width="18" customWidth="1" min="8" max="8"/>
    <col width="14" customWidth="1" min="9" max="9"/>
    <col width="23" customWidth="1" min="10" max="10"/>
  </cols>
  <sheetData>
    <row r="1">
      <c r="A1" s="1" t="inlineStr">
        <is>
          <t>Nhà thuốc</t>
        </is>
      </c>
      <c r="B1" s="1" t="inlineStr">
        <is>
          <t>Tên nhân viên</t>
        </is>
      </c>
      <c r="C1" s="2" t="inlineStr">
        <is>
          <t>Số giao dịch off</t>
        </is>
      </c>
      <c r="D1" s="2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4" t="inlineStr">
        <is>
          <t>Tổng giao dịch</t>
        </is>
      </c>
      <c r="H1" s="4" t="inlineStr">
        <is>
          <t>Doanh thu tổng</t>
        </is>
      </c>
      <c r="I1" s="5" t="n"/>
      <c r="J1" s="6" t="n">
        <v>46295</v>
      </c>
    </row>
    <row r="2">
      <c r="A2" s="7" t="inlineStr">
        <is>
          <t>Trường Sa</t>
        </is>
      </c>
      <c r="B2" s="7" t="inlineStr">
        <is>
          <t>Nguyễn Trần Ngọc Phương</t>
        </is>
      </c>
      <c r="C2" s="8" t="n">
        <v>0</v>
      </c>
      <c r="D2" s="9" t="n">
        <v>0</v>
      </c>
      <c r="E2" s="8" t="n">
        <v>0</v>
      </c>
      <c r="F2" s="9" t="n">
        <v>0</v>
      </c>
      <c r="G2" s="8">
        <f>C2+E2</f>
        <v/>
      </c>
      <c r="H2" s="9">
        <f>D2+F2</f>
        <v/>
      </c>
      <c r="I2" s="10" t="n"/>
      <c r="J2" s="10" t="n"/>
    </row>
    <row r="3">
      <c r="A3" s="11" t="inlineStr">
        <is>
          <t>Trường Sa</t>
        </is>
      </c>
      <c r="B3" s="11" t="inlineStr">
        <is>
          <t>Phạm Nguyễn Ngọc Quý</t>
        </is>
      </c>
      <c r="C3" s="12" t="n">
        <v>0</v>
      </c>
      <c r="D3" s="13" t="n">
        <v>0</v>
      </c>
      <c r="E3" s="12" t="n">
        <v>0</v>
      </c>
      <c r="F3" s="13" t="n">
        <v>0</v>
      </c>
      <c r="G3" s="12">
        <f>C3+E3</f>
        <v/>
      </c>
      <c r="H3" s="13">
        <f>D3+F3</f>
        <v/>
      </c>
      <c r="I3" s="14" t="n"/>
      <c r="J3" s="14" t="n"/>
    </row>
    <row r="4">
      <c r="A4" s="7" t="inlineStr">
        <is>
          <t>Trường Sa</t>
        </is>
      </c>
      <c r="B4" s="7" t="inlineStr">
        <is>
          <t>Nguyễn Ngọc Anh Thư</t>
        </is>
      </c>
      <c r="C4" s="8" t="n">
        <v>0</v>
      </c>
      <c r="D4" s="9" t="n">
        <v>0</v>
      </c>
      <c r="E4" s="8" t="n">
        <v>0</v>
      </c>
      <c r="F4" s="9" t="n">
        <v>0</v>
      </c>
      <c r="G4" s="8">
        <f>C4+E4</f>
        <v/>
      </c>
      <c r="H4" s="9">
        <f>D4+F4</f>
        <v/>
      </c>
      <c r="I4" s="10" t="n"/>
      <c r="J4" s="10" t="n"/>
    </row>
    <row r="5">
      <c r="A5" s="11" t="inlineStr">
        <is>
          <t>Trường Sa</t>
        </is>
      </c>
      <c r="B5" s="11" t="inlineStr">
        <is>
          <t>Trần Thị Kim Khánh</t>
        </is>
      </c>
      <c r="C5" s="12" t="n">
        <v>0</v>
      </c>
      <c r="D5" s="13" t="n">
        <v>0</v>
      </c>
      <c r="E5" s="12" t="n">
        <v>0</v>
      </c>
      <c r="F5" s="13" t="n">
        <v>0</v>
      </c>
      <c r="G5" s="12">
        <f>C5+E5</f>
        <v/>
      </c>
      <c r="H5" s="13">
        <f>D5+F5</f>
        <v/>
      </c>
      <c r="I5" s="14" t="n"/>
      <c r="J5" s="14" t="n"/>
    </row>
    <row r="6">
      <c r="A6" s="7" t="inlineStr">
        <is>
          <t>Trường Sa</t>
        </is>
      </c>
      <c r="B6" s="7" t="inlineStr">
        <is>
          <t>Trịnh Thị Phượng</t>
        </is>
      </c>
      <c r="C6" s="8" t="n">
        <v>0</v>
      </c>
      <c r="D6" s="9" t="n">
        <v>0</v>
      </c>
      <c r="E6" s="8" t="n">
        <v>0</v>
      </c>
      <c r="F6" s="9" t="n">
        <v>0</v>
      </c>
      <c r="G6" s="8">
        <f>C6+E6</f>
        <v/>
      </c>
      <c r="H6" s="9">
        <f>D6+F6</f>
        <v/>
      </c>
      <c r="I6" s="10" t="n"/>
      <c r="J6" s="10" t="n"/>
    </row>
    <row r="7">
      <c r="A7" s="11" t="inlineStr">
        <is>
          <t>Đỗ Quang Đẩu</t>
        </is>
      </c>
      <c r="B7" s="11" t="inlineStr">
        <is>
          <t>Phạm Thị Nghĩa Hương</t>
        </is>
      </c>
      <c r="C7" s="12" t="n">
        <v>0</v>
      </c>
      <c r="D7" s="13" t="n">
        <v>0</v>
      </c>
      <c r="E7" s="12" t="n">
        <v>0</v>
      </c>
      <c r="F7" s="13" t="n">
        <v>0</v>
      </c>
      <c r="G7" s="12">
        <f>C7+E7</f>
        <v/>
      </c>
      <c r="H7" s="13">
        <f>D7+F7</f>
        <v/>
      </c>
      <c r="I7" s="14" t="n"/>
      <c r="J7" s="14" t="n"/>
    </row>
    <row r="8">
      <c r="A8" s="7" t="inlineStr">
        <is>
          <t>Đỗ Quang Đẩu</t>
        </is>
      </c>
      <c r="B8" s="7" t="inlineStr">
        <is>
          <t>Trần Thiên Phát</t>
        </is>
      </c>
      <c r="C8" s="8" t="n">
        <v>0</v>
      </c>
      <c r="D8" s="9" t="n">
        <v>0</v>
      </c>
      <c r="E8" s="8" t="n">
        <v>0</v>
      </c>
      <c r="F8" s="9" t="n">
        <v>0</v>
      </c>
      <c r="G8" s="8">
        <f>C8+E8</f>
        <v/>
      </c>
      <c r="H8" s="9">
        <f>D8+F8</f>
        <v/>
      </c>
      <c r="I8" s="10" t="n"/>
      <c r="J8" s="10" t="n"/>
    </row>
    <row r="9">
      <c r="A9" s="11" t="inlineStr">
        <is>
          <t>Đỗ Quang Đẩu</t>
        </is>
      </c>
      <c r="B9" s="11" t="inlineStr">
        <is>
          <t>Ngô Thị Thanh Thắm</t>
        </is>
      </c>
      <c r="C9" s="12" t="n">
        <v>0</v>
      </c>
      <c r="D9" s="13" t="n">
        <v>0</v>
      </c>
      <c r="E9" s="12" t="n">
        <v>0</v>
      </c>
      <c r="F9" s="13" t="n">
        <v>0</v>
      </c>
      <c r="G9" s="12">
        <f>C9+E9</f>
        <v/>
      </c>
      <c r="H9" s="13">
        <f>D9+F9</f>
        <v/>
      </c>
      <c r="I9" s="14" t="n"/>
      <c r="J9" s="14" t="n"/>
    </row>
    <row r="10">
      <c r="A10" s="7" t="inlineStr">
        <is>
          <t>Đỗ Quang Đẩu</t>
        </is>
      </c>
      <c r="B10" s="7" t="inlineStr">
        <is>
          <t>Hoàng Thanh Thủy</t>
        </is>
      </c>
      <c r="C10" s="8" t="n">
        <v>0</v>
      </c>
      <c r="D10" s="9" t="n">
        <v>0</v>
      </c>
      <c r="E10" s="8" t="n">
        <v>0</v>
      </c>
      <c r="F10" s="9" t="n">
        <v>0</v>
      </c>
      <c r="G10" s="8">
        <f>C10+E10</f>
        <v/>
      </c>
      <c r="H10" s="9">
        <f>D10+F10</f>
        <v/>
      </c>
      <c r="I10" s="10" t="n"/>
      <c r="J10" s="10" t="n"/>
    </row>
    <row r="11">
      <c r="A11" s="11" t="inlineStr">
        <is>
          <t>Đỗ Quang Đẩu</t>
        </is>
      </c>
      <c r="B11" s="11" t="inlineStr">
        <is>
          <t>Lê Thị Huyền Trân</t>
        </is>
      </c>
      <c r="C11" s="12" t="n">
        <v>0</v>
      </c>
      <c r="D11" s="13" t="n">
        <v>0</v>
      </c>
      <c r="E11" s="12" t="n">
        <v>0</v>
      </c>
      <c r="F11" s="13" t="n">
        <v>0</v>
      </c>
      <c r="G11" s="12">
        <f>C11+E11</f>
        <v/>
      </c>
      <c r="H11" s="13">
        <f>D11+F11</f>
        <v/>
      </c>
      <c r="I11" s="14" t="n"/>
      <c r="J11" s="14" t="n"/>
    </row>
    <row r="12">
      <c r="A12" s="7" t="inlineStr">
        <is>
          <t>Minh Châu</t>
        </is>
      </c>
      <c r="B12" s="7" t="inlineStr">
        <is>
          <t>Thái Thùy Linh</t>
        </is>
      </c>
      <c r="C12" s="8" t="n">
        <v>0</v>
      </c>
      <c r="D12" s="9" t="n">
        <v>0</v>
      </c>
      <c r="E12" s="8" t="n">
        <v>0</v>
      </c>
      <c r="F12" s="9" t="n">
        <v>0</v>
      </c>
      <c r="G12" s="8">
        <f>C12+E12</f>
        <v/>
      </c>
      <c r="H12" s="9">
        <f>D12+F12</f>
        <v/>
      </c>
      <c r="I12" s="10" t="n"/>
      <c r="J12" s="10" t="n"/>
    </row>
    <row r="13">
      <c r="A13" s="11" t="inlineStr">
        <is>
          <t>Minh Châu</t>
        </is>
      </c>
      <c r="B13" s="11" t="inlineStr">
        <is>
          <t>Đoàn Quốc Tâm</t>
        </is>
      </c>
      <c r="C13" s="12" t="n">
        <v>0</v>
      </c>
      <c r="D13" s="13" t="n">
        <v>0</v>
      </c>
      <c r="E13" s="12" t="n">
        <v>0</v>
      </c>
      <c r="F13" s="13" t="n">
        <v>0</v>
      </c>
      <c r="G13" s="12">
        <f>C13+E13</f>
        <v/>
      </c>
      <c r="H13" s="13">
        <f>D13+F13</f>
        <v/>
      </c>
      <c r="I13" s="14" t="n"/>
      <c r="J13" s="14" t="n"/>
    </row>
    <row r="14">
      <c r="A14" s="7" t="inlineStr">
        <is>
          <t>Minh Châu</t>
        </is>
      </c>
      <c r="B14" s="7" t="inlineStr">
        <is>
          <t>Phan Công Vũ Tài</t>
        </is>
      </c>
      <c r="C14" s="8" t="n">
        <v>0</v>
      </c>
      <c r="D14" s="9" t="n">
        <v>0</v>
      </c>
      <c r="E14" s="8" t="n">
        <v>0</v>
      </c>
      <c r="F14" s="9" t="n">
        <v>0</v>
      </c>
      <c r="G14" s="8">
        <f>C14+E14</f>
        <v/>
      </c>
      <c r="H14" s="9">
        <f>D14+F14</f>
        <v/>
      </c>
      <c r="I14" s="10" t="n"/>
      <c r="J14" s="10" t="n"/>
    </row>
    <row r="15">
      <c r="A15" s="11" t="inlineStr">
        <is>
          <t>Minh Châu</t>
        </is>
      </c>
      <c r="B15" s="11" t="inlineStr">
        <is>
          <t>Nguyễn Ngọc Thùy</t>
        </is>
      </c>
      <c r="C15" s="12" t="n">
        <v>0</v>
      </c>
      <c r="D15" s="13" t="n">
        <v>0</v>
      </c>
      <c r="E15" s="12" t="n">
        <v>0</v>
      </c>
      <c r="F15" s="13" t="n">
        <v>0</v>
      </c>
      <c r="G15" s="12">
        <f>C15+E15</f>
        <v/>
      </c>
      <c r="H15" s="13">
        <f>D15+F15</f>
        <v/>
      </c>
      <c r="I15" s="14" t="n"/>
      <c r="J15" s="14" t="n"/>
    </row>
    <row r="16">
      <c r="A16" s="7" t="inlineStr">
        <is>
          <t>Nam Hòa</t>
        </is>
      </c>
      <c r="B16" s="7" t="inlineStr">
        <is>
          <t>Trần Thị Ánh Nguyệt</t>
        </is>
      </c>
      <c r="C16" s="8" t="n">
        <v>0</v>
      </c>
      <c r="D16" s="9" t="n">
        <v>0</v>
      </c>
      <c r="E16" s="8" t="n">
        <v>0</v>
      </c>
      <c r="F16" s="9" t="n">
        <v>0</v>
      </c>
      <c r="G16" s="8">
        <f>C16+E16</f>
        <v/>
      </c>
      <c r="H16" s="9">
        <f>D16+F16</f>
        <v/>
      </c>
      <c r="I16" s="10" t="n"/>
      <c r="J16" s="10" t="n"/>
    </row>
    <row r="17">
      <c r="A17" s="11" t="inlineStr">
        <is>
          <t>Nam Hòa</t>
        </is>
      </c>
      <c r="B17" s="11" t="inlineStr">
        <is>
          <t>Nguyễn Thị Huyền Trang</t>
        </is>
      </c>
      <c r="C17" s="12" t="n">
        <v>0</v>
      </c>
      <c r="D17" s="13" t="n">
        <v>0</v>
      </c>
      <c r="E17" s="12" t="n">
        <v>0</v>
      </c>
      <c r="F17" s="13" t="n">
        <v>0</v>
      </c>
      <c r="G17" s="12">
        <f>C17+E17</f>
        <v/>
      </c>
      <c r="H17" s="13">
        <f>D17+F17</f>
        <v/>
      </c>
      <c r="I17" s="14" t="n"/>
      <c r="J17" s="14" t="n"/>
    </row>
    <row r="18">
      <c r="A18" s="7" t="inlineStr">
        <is>
          <t>Nam Hòa</t>
        </is>
      </c>
      <c r="B18" s="7" t="inlineStr">
        <is>
          <t>Dương Thị Huỳnh Như</t>
        </is>
      </c>
      <c r="C18" s="8" t="n">
        <v>0</v>
      </c>
      <c r="D18" s="9" t="n">
        <v>0</v>
      </c>
      <c r="E18" s="8" t="n">
        <v>0</v>
      </c>
      <c r="F18" s="9" t="n">
        <v>0</v>
      </c>
      <c r="G18" s="8">
        <f>C18+E18</f>
        <v/>
      </c>
      <c r="H18" s="9">
        <f>D18+F18</f>
        <v/>
      </c>
      <c r="I18" s="10" t="n"/>
      <c r="J18" s="10" t="n"/>
    </row>
    <row r="19">
      <c r="A19" s="11" t="inlineStr">
        <is>
          <t>Nam Hòa</t>
        </is>
      </c>
      <c r="B19" s="11" t="inlineStr">
        <is>
          <t>Bùi Thị Thanh Thủy</t>
        </is>
      </c>
      <c r="C19" s="12" t="n">
        <v>0</v>
      </c>
      <c r="D19" s="13" t="n">
        <v>0</v>
      </c>
      <c r="E19" s="12" t="n">
        <v>0</v>
      </c>
      <c r="F19" s="13" t="n">
        <v>0</v>
      </c>
      <c r="G19" s="12">
        <f>C19+E19</f>
        <v/>
      </c>
      <c r="H19" s="13">
        <f>D19+F19</f>
        <v/>
      </c>
      <c r="I19" s="14" t="n"/>
      <c r="J19" s="14" t="n"/>
    </row>
    <row r="20">
      <c r="A20" s="7" t="inlineStr">
        <is>
          <t>Nguyễn Chí Thanh</t>
        </is>
      </c>
      <c r="B20" s="7" t="inlineStr">
        <is>
          <t>Lê Thị Quỳnh Trâm</t>
        </is>
      </c>
      <c r="C20" s="8" t="n">
        <v>0</v>
      </c>
      <c r="D20" s="9" t="n">
        <v>0</v>
      </c>
      <c r="E20" s="8" t="n">
        <v>0</v>
      </c>
      <c r="F20" s="9" t="n">
        <v>0</v>
      </c>
      <c r="G20" s="8">
        <f>C20+E20</f>
        <v/>
      </c>
      <c r="H20" s="9">
        <f>D20+F20</f>
        <v/>
      </c>
      <c r="I20" s="10" t="n"/>
      <c r="J20" s="10" t="n"/>
    </row>
    <row r="21">
      <c r="A21" s="11" t="inlineStr">
        <is>
          <t>Nguyễn Chí Thanh</t>
        </is>
      </c>
      <c r="B21" s="11" t="inlineStr">
        <is>
          <t>Đỗ Thị Phương Thảo</t>
        </is>
      </c>
      <c r="C21" s="12" t="n">
        <v>0</v>
      </c>
      <c r="D21" s="13" t="n">
        <v>0</v>
      </c>
      <c r="E21" s="12" t="n">
        <v>0</v>
      </c>
      <c r="F21" s="13" t="n">
        <v>0</v>
      </c>
      <c r="G21" s="12">
        <f>C21+E21</f>
        <v/>
      </c>
      <c r="H21" s="13">
        <f>D21+F21</f>
        <v/>
      </c>
      <c r="I21" s="14" t="n"/>
      <c r="J21" s="14" t="n"/>
    </row>
    <row r="22">
      <c r="A22" s="7" t="inlineStr">
        <is>
          <t>Nguyễn Chí Thanh</t>
        </is>
      </c>
      <c r="B22" s="7" t="inlineStr">
        <is>
          <t>Nguyễn Thị Hồng Hạnh</t>
        </is>
      </c>
      <c r="C22" s="8" t="n">
        <v>0</v>
      </c>
      <c r="D22" s="9" t="n">
        <v>0</v>
      </c>
      <c r="E22" s="8" t="n">
        <v>0</v>
      </c>
      <c r="F22" s="9" t="n">
        <v>0</v>
      </c>
      <c r="G22" s="8">
        <f>C22+E22</f>
        <v/>
      </c>
      <c r="H22" s="9">
        <f>D22+F22</f>
        <v/>
      </c>
      <c r="I22" s="10" t="n"/>
      <c r="J22" s="10" t="n"/>
    </row>
    <row r="23">
      <c r="A23" s="11" t="inlineStr">
        <is>
          <t>Nguyễn Chí Thanh</t>
        </is>
      </c>
      <c r="B23" s="11" t="inlineStr">
        <is>
          <t>Trần Hoàng Khánh</t>
        </is>
      </c>
      <c r="C23" s="12" t="n">
        <v>0</v>
      </c>
      <c r="D23" s="13" t="n">
        <v>0</v>
      </c>
      <c r="E23" s="12" t="n">
        <v>0</v>
      </c>
      <c r="F23" s="13" t="n">
        <v>0</v>
      </c>
      <c r="G23" s="12">
        <f>C23+E23</f>
        <v/>
      </c>
      <c r="H23" s="13">
        <f>D23+F23</f>
        <v/>
      </c>
      <c r="I23" s="14" t="n"/>
      <c r="J23" s="14" t="n"/>
    </row>
    <row r="24">
      <c r="A24" s="7" t="inlineStr">
        <is>
          <t>Nguyễn Chí Thanh</t>
        </is>
      </c>
      <c r="B24" s="7" t="inlineStr">
        <is>
          <t>Lý Thục Mi</t>
        </is>
      </c>
      <c r="C24" s="8" t="n">
        <v>0</v>
      </c>
      <c r="D24" s="9" t="n">
        <v>0</v>
      </c>
      <c r="E24" s="8" t="n">
        <v>0</v>
      </c>
      <c r="F24" s="9" t="n">
        <v>0</v>
      </c>
      <c r="G24" s="8">
        <f>C24+E24</f>
        <v/>
      </c>
      <c r="H24" s="9">
        <f>D24+F24</f>
        <v/>
      </c>
      <c r="I24" s="10" t="n"/>
      <c r="J24" s="10" t="n"/>
    </row>
    <row r="25">
      <c r="A25" s="11" t="inlineStr">
        <is>
          <t>Nguyễn Thị Thập</t>
        </is>
      </c>
      <c r="B25" s="11" t="inlineStr">
        <is>
          <t>Trần Thành Đạt</t>
        </is>
      </c>
      <c r="C25" s="12" t="n">
        <v>0</v>
      </c>
      <c r="D25" s="13" t="n">
        <v>0</v>
      </c>
      <c r="E25" s="12" t="n">
        <v>0</v>
      </c>
      <c r="F25" s="13" t="n">
        <v>0</v>
      </c>
      <c r="G25" s="12">
        <f>C25+E25</f>
        <v/>
      </c>
      <c r="H25" s="13">
        <f>D25+F25</f>
        <v/>
      </c>
      <c r="I25" s="14" t="n"/>
      <c r="J25" s="14" t="n"/>
    </row>
    <row r="26">
      <c r="A26" s="7" t="inlineStr">
        <is>
          <t>Nguyễn Thị Thập</t>
        </is>
      </c>
      <c r="B26" s="7" t="inlineStr">
        <is>
          <t>Triệu Thị Ngọc Lý</t>
        </is>
      </c>
      <c r="C26" s="8" t="n">
        <v>0</v>
      </c>
      <c r="D26" s="9" t="n">
        <v>0</v>
      </c>
      <c r="E26" s="8" t="n">
        <v>0</v>
      </c>
      <c r="F26" s="9" t="n">
        <v>0</v>
      </c>
      <c r="G26" s="8">
        <f>C26+E26</f>
        <v/>
      </c>
      <c r="H26" s="9">
        <f>D26+F26</f>
        <v/>
      </c>
      <c r="I26" s="10" t="n"/>
      <c r="J26" s="10" t="n"/>
    </row>
    <row r="27">
      <c r="A27" s="11" t="inlineStr">
        <is>
          <t>Nguyễn Thị Thập</t>
        </is>
      </c>
      <c r="B27" s="11" t="inlineStr">
        <is>
          <t>Cao Trọng Nhân</t>
        </is>
      </c>
      <c r="C27" s="12" t="n">
        <v>0</v>
      </c>
      <c r="D27" s="13" t="n">
        <v>0</v>
      </c>
      <c r="E27" s="12" t="n">
        <v>0</v>
      </c>
      <c r="F27" s="13" t="n">
        <v>0</v>
      </c>
      <c r="G27" s="12">
        <f>C27+E27</f>
        <v/>
      </c>
      <c r="H27" s="13">
        <f>D27+F27</f>
        <v/>
      </c>
      <c r="I27" s="14" t="n"/>
      <c r="J27" s="14" t="n"/>
    </row>
    <row r="28">
      <c r="A28" s="7" t="inlineStr">
        <is>
          <t>Nguyễn Thị Thập</t>
        </is>
      </c>
      <c r="B28" s="7" t="inlineStr">
        <is>
          <t>Bùi Thị Bích Trâm</t>
        </is>
      </c>
      <c r="C28" s="8" t="n">
        <v>0</v>
      </c>
      <c r="D28" s="9" t="n">
        <v>0</v>
      </c>
      <c r="E28" s="8" t="n">
        <v>0</v>
      </c>
      <c r="F28" s="9" t="n">
        <v>0</v>
      </c>
      <c r="G28" s="8">
        <f>C28+E28</f>
        <v/>
      </c>
      <c r="H28" s="9">
        <f>D28+F28</f>
        <v/>
      </c>
      <c r="I28" s="10" t="n"/>
      <c r="J28" s="10" t="n"/>
    </row>
    <row r="29">
      <c r="A29" s="11" t="inlineStr">
        <is>
          <t>Nguyễn Văn Quá</t>
        </is>
      </c>
      <c r="B29" s="11" t="inlineStr">
        <is>
          <t>Hồ Ngọc Lý</t>
        </is>
      </c>
      <c r="C29" s="12" t="n">
        <v>0</v>
      </c>
      <c r="D29" s="13" t="n">
        <v>0</v>
      </c>
      <c r="E29" s="12" t="n">
        <v>0</v>
      </c>
      <c r="F29" s="13" t="n">
        <v>0</v>
      </c>
      <c r="G29" s="12">
        <f>C29+E29</f>
        <v/>
      </c>
      <c r="H29" s="13">
        <f>D29+F29</f>
        <v/>
      </c>
      <c r="I29" s="14" t="n"/>
      <c r="J29" s="14" t="n"/>
    </row>
    <row r="30">
      <c r="A30" s="7" t="inlineStr">
        <is>
          <t>Nguyễn Văn Quá</t>
        </is>
      </c>
      <c r="B30" s="7" t="inlineStr">
        <is>
          <t>Võ Ngọc Giàu Sang</t>
        </is>
      </c>
      <c r="C30" s="8" t="n">
        <v>0</v>
      </c>
      <c r="D30" s="9" t="n">
        <v>0</v>
      </c>
      <c r="E30" s="8" t="n">
        <v>0</v>
      </c>
      <c r="F30" s="9" t="n">
        <v>0</v>
      </c>
      <c r="G30" s="8">
        <f>C30+E30</f>
        <v/>
      </c>
      <c r="H30" s="9">
        <f>D30+F30</f>
        <v/>
      </c>
      <c r="I30" s="10" t="n"/>
      <c r="J30" s="10" t="n"/>
    </row>
    <row r="31">
      <c r="A31" s="11" t="inlineStr">
        <is>
          <t>Nguyễn Văn Quá</t>
        </is>
      </c>
      <c r="B31" s="11" t="inlineStr">
        <is>
          <t>Nguyễn Thị Thu Huyền</t>
        </is>
      </c>
      <c r="C31" s="12" t="n">
        <v>0</v>
      </c>
      <c r="D31" s="13" t="n">
        <v>0</v>
      </c>
      <c r="E31" s="12" t="n">
        <v>0</v>
      </c>
      <c r="F31" s="13" t="n">
        <v>0</v>
      </c>
      <c r="G31" s="12">
        <f>C31+E31</f>
        <v/>
      </c>
      <c r="H31" s="13">
        <f>D31+F31</f>
        <v/>
      </c>
      <c r="I31" s="14" t="n"/>
      <c r="J31" s="14" t="n"/>
    </row>
    <row r="32">
      <c r="A32" s="7" t="inlineStr">
        <is>
          <t>Nguyễn Văn Quá</t>
        </is>
      </c>
      <c r="B32" s="7" t="inlineStr">
        <is>
          <t>Nguyễn Thị Hương Giang</t>
        </is>
      </c>
      <c r="C32" s="8" t="n">
        <v>0</v>
      </c>
      <c r="D32" s="9" t="n">
        <v>0</v>
      </c>
      <c r="E32" s="8" t="n">
        <v>0</v>
      </c>
      <c r="F32" s="9" t="n">
        <v>0</v>
      </c>
      <c r="G32" s="8">
        <f>C32+E32</f>
        <v/>
      </c>
      <c r="H32" s="9">
        <f>D32+F32</f>
        <v/>
      </c>
      <c r="I32" s="10" t="n"/>
      <c r="J32" s="10" t="n"/>
    </row>
    <row r="33">
      <c r="A33" s="11" t="inlineStr">
        <is>
          <t>Rạch Bùng Binh</t>
        </is>
      </c>
      <c r="B33" s="11" t="inlineStr">
        <is>
          <t>Cù Thị Tường Vy</t>
        </is>
      </c>
      <c r="C33" s="12" t="n">
        <v>0</v>
      </c>
      <c r="D33" s="13" t="n">
        <v>0</v>
      </c>
      <c r="E33" s="12" t="n">
        <v>0</v>
      </c>
      <c r="F33" s="13" t="n">
        <v>0</v>
      </c>
      <c r="G33" s="12">
        <f>C33+E33</f>
        <v/>
      </c>
      <c r="H33" s="13">
        <f>D33+F33</f>
        <v/>
      </c>
      <c r="I33" s="14" t="n"/>
      <c r="J33" s="14" t="n"/>
    </row>
    <row r="34">
      <c r="A34" s="7" t="inlineStr">
        <is>
          <t>Rạch Bùng Binh</t>
        </is>
      </c>
      <c r="B34" s="7" t="inlineStr">
        <is>
          <t>Huỳnh Thị Huệ Hiền</t>
        </is>
      </c>
      <c r="C34" s="8" t="n">
        <v>0</v>
      </c>
      <c r="D34" s="9" t="n">
        <v>0</v>
      </c>
      <c r="E34" s="8" t="n">
        <v>0</v>
      </c>
      <c r="F34" s="9" t="n">
        <v>0</v>
      </c>
      <c r="G34" s="8">
        <f>C34+E34</f>
        <v/>
      </c>
      <c r="H34" s="9">
        <f>D34+F34</f>
        <v/>
      </c>
      <c r="I34" s="10" t="n"/>
      <c r="J34" s="10" t="n"/>
    </row>
    <row r="35">
      <c r="A35" s="11" t="inlineStr">
        <is>
          <t>Rạch Bùng Binh</t>
        </is>
      </c>
      <c r="B35" s="11" t="inlineStr">
        <is>
          <t>Ngô Thị Ngọc Thủy</t>
        </is>
      </c>
      <c r="C35" s="12" t="n">
        <v>0</v>
      </c>
      <c r="D35" s="13" t="n">
        <v>0</v>
      </c>
      <c r="E35" s="12" t="n">
        <v>0</v>
      </c>
      <c r="F35" s="13" t="n">
        <v>0</v>
      </c>
      <c r="G35" s="12">
        <f>C35+E35</f>
        <v/>
      </c>
      <c r="H35" s="13">
        <f>D35+F35</f>
        <v/>
      </c>
      <c r="I35" s="14" t="n"/>
      <c r="J35" s="14" t="n"/>
    </row>
    <row r="36">
      <c r="A36" s="7" t="inlineStr">
        <is>
          <t>Rạch Bùng Binh</t>
        </is>
      </c>
      <c r="B36" s="7" t="inlineStr">
        <is>
          <t>Nguyễn Thị Phúc Lộc</t>
        </is>
      </c>
      <c r="C36" s="8" t="n">
        <v>0</v>
      </c>
      <c r="D36" s="9" t="n">
        <v>0</v>
      </c>
      <c r="E36" s="8" t="n">
        <v>0</v>
      </c>
      <c r="F36" s="9" t="n">
        <v>0</v>
      </c>
      <c r="G36" s="8">
        <f>C36+E36</f>
        <v/>
      </c>
      <c r="H36" s="9">
        <f>D36+F36</f>
        <v/>
      </c>
      <c r="I36" s="10" t="n"/>
      <c r="J36" s="10" t="n"/>
    </row>
    <row r="37">
      <c r="A37" s="11" t="inlineStr">
        <is>
          <t>Rạch Bùng Binh</t>
        </is>
      </c>
      <c r="B37" s="11" t="inlineStr">
        <is>
          <t>Phạm Nguyễn Ngọc Quyền Trân</t>
        </is>
      </c>
      <c r="C37" s="12" t="n">
        <v>0</v>
      </c>
      <c r="D37" s="13" t="n">
        <v>0</v>
      </c>
      <c r="E37" s="12" t="n">
        <v>0</v>
      </c>
      <c r="F37" s="13" t="n">
        <v>0</v>
      </c>
      <c r="G37" s="12">
        <f>C37+E37</f>
        <v/>
      </c>
      <c r="H37" s="13">
        <f>D37+F37</f>
        <v/>
      </c>
      <c r="I37" s="14" t="n"/>
      <c r="J37" s="14" t="n"/>
    </row>
    <row r="38">
      <c r="A38" s="7" t="inlineStr">
        <is>
          <t>Lê Bình</t>
        </is>
      </c>
      <c r="B38" s="7" t="inlineStr">
        <is>
          <t>Hồ Thị Minh Hòa</t>
        </is>
      </c>
      <c r="C38" s="8" t="n">
        <v>0</v>
      </c>
      <c r="D38" s="9" t="n">
        <v>0</v>
      </c>
      <c r="E38" s="8" t="n">
        <v>0</v>
      </c>
      <c r="F38" s="9" t="n">
        <v>0</v>
      </c>
      <c r="G38" s="8">
        <f>C38+E38</f>
        <v/>
      </c>
      <c r="H38" s="9">
        <f>D38+F38</f>
        <v/>
      </c>
      <c r="I38" s="10" t="n"/>
      <c r="J38" s="10" t="n"/>
    </row>
    <row r="39">
      <c r="A39" s="11" t="inlineStr">
        <is>
          <t>Lê Bình</t>
        </is>
      </c>
      <c r="B39" s="11" t="inlineStr">
        <is>
          <t>Lê Thị Xuyến</t>
        </is>
      </c>
      <c r="C39" s="12" t="n">
        <v>0</v>
      </c>
      <c r="D39" s="13" t="n">
        <v>0</v>
      </c>
      <c r="E39" s="12" t="n">
        <v>0</v>
      </c>
      <c r="F39" s="13" t="n">
        <v>0</v>
      </c>
      <c r="G39" s="12">
        <f>C39+E39</f>
        <v/>
      </c>
      <c r="H39" s="13">
        <f>D39+F39</f>
        <v/>
      </c>
      <c r="I39" s="14" t="n"/>
      <c r="J39" s="14" t="n"/>
    </row>
    <row r="40">
      <c r="A40" s="7" t="inlineStr">
        <is>
          <t>Lê Bình</t>
        </is>
      </c>
      <c r="B40" s="7" t="inlineStr">
        <is>
          <t>Đinh Hoài Bảo</t>
        </is>
      </c>
      <c r="C40" s="8" t="n">
        <v>0</v>
      </c>
      <c r="D40" s="9" t="n">
        <v>0</v>
      </c>
      <c r="E40" s="8" t="n">
        <v>0</v>
      </c>
      <c r="F40" s="9" t="n">
        <v>0</v>
      </c>
      <c r="G40" s="8">
        <f>C40+E40</f>
        <v/>
      </c>
      <c r="H40" s="9">
        <f>D40+F40</f>
        <v/>
      </c>
      <c r="I40" s="10" t="n"/>
      <c r="J40" s="10" t="n"/>
    </row>
    <row r="41">
      <c r="A41" s="11" t="inlineStr">
        <is>
          <t>Lê Bình</t>
        </is>
      </c>
      <c r="B41" s="11" t="inlineStr">
        <is>
          <t>Hoàng Lâm Gia Bảo</t>
        </is>
      </c>
      <c r="C41" s="12" t="n">
        <v>0</v>
      </c>
      <c r="D41" s="13" t="n">
        <v>0</v>
      </c>
      <c r="E41" s="12" t="n">
        <v>0</v>
      </c>
      <c r="F41" s="13" t="n">
        <v>0</v>
      </c>
      <c r="G41" s="12">
        <f>C41+E41</f>
        <v/>
      </c>
      <c r="H41" s="13">
        <f>D41+F41</f>
        <v/>
      </c>
      <c r="I41" s="14" t="n"/>
      <c r="J41" s="14" t="n"/>
    </row>
    <row r="42">
      <c r="A42" s="7" t="inlineStr">
        <is>
          <t>Lê Bình</t>
        </is>
      </c>
      <c r="B42" s="7" t="inlineStr">
        <is>
          <t>Trần Thị Phương Thùy</t>
        </is>
      </c>
      <c r="C42" s="8" t="n">
        <v>0</v>
      </c>
      <c r="D42" s="9" t="n">
        <v>0</v>
      </c>
      <c r="E42" s="8" t="n">
        <v>0</v>
      </c>
      <c r="F42" s="9" t="n">
        <v>0</v>
      </c>
      <c r="G42" s="8">
        <f>C42+E42</f>
        <v/>
      </c>
      <c r="H42" s="9">
        <f>D42+F42</f>
        <v/>
      </c>
      <c r="I42" s="10" t="n"/>
      <c r="J42" s="10" t="n"/>
    </row>
    <row r="43">
      <c r="A43" s="11" t="inlineStr">
        <is>
          <t>Hàng Bông</t>
        </is>
      </c>
      <c r="B43" s="11" t="inlineStr">
        <is>
          <t>Đinh Thị Lan Anh</t>
        </is>
      </c>
      <c r="C43" s="12" t="n">
        <v>0</v>
      </c>
      <c r="D43" s="13" t="n">
        <v>0</v>
      </c>
      <c r="E43" s="12" t="n">
        <v>0</v>
      </c>
      <c r="F43" s="13" t="n">
        <v>0</v>
      </c>
      <c r="G43" s="12">
        <f>C43+E43</f>
        <v/>
      </c>
      <c r="H43" s="13">
        <f>D43+F43</f>
        <v/>
      </c>
      <c r="I43" s="14" t="n"/>
      <c r="J43" s="14" t="n"/>
    </row>
    <row r="44">
      <c r="A44" s="7" t="inlineStr">
        <is>
          <t>Hàng Bông</t>
        </is>
      </c>
      <c r="B44" s="7" t="inlineStr">
        <is>
          <t>Vũ Thanh Hằng</t>
        </is>
      </c>
      <c r="C44" s="8" t="n">
        <v>0</v>
      </c>
      <c r="D44" s="9" t="n">
        <v>0</v>
      </c>
      <c r="E44" s="8" t="n">
        <v>0</v>
      </c>
      <c r="F44" s="9" t="n">
        <v>0</v>
      </c>
      <c r="G44" s="8">
        <f>C44+E44</f>
        <v/>
      </c>
      <c r="H44" s="9">
        <f>D44+F44</f>
        <v/>
      </c>
      <c r="I44" s="10" t="n"/>
      <c r="J44" s="10" t="n"/>
    </row>
    <row r="45">
      <c r="A45" s="11" t="inlineStr">
        <is>
          <t>Hàng Bông</t>
        </is>
      </c>
      <c r="B45" s="11" t="inlineStr">
        <is>
          <t>Nguyễn Mạnh Tuấn</t>
        </is>
      </c>
      <c r="C45" s="12" t="n">
        <v>0</v>
      </c>
      <c r="D45" s="13" t="n">
        <v>0</v>
      </c>
      <c r="E45" s="12" t="n">
        <v>0</v>
      </c>
      <c r="F45" s="13" t="n">
        <v>0</v>
      </c>
      <c r="G45" s="12">
        <f>C45+E45</f>
        <v/>
      </c>
      <c r="H45" s="13">
        <f>D45+F45</f>
        <v/>
      </c>
      <c r="I45" s="14" t="n"/>
      <c r="J45" s="14" t="n"/>
    </row>
    <row r="46">
      <c r="A46" s="7" t="inlineStr">
        <is>
          <t>Hàng Bông</t>
        </is>
      </c>
      <c r="B46" s="7" t="inlineStr">
        <is>
          <t>Đinh Thị Khánh Ly</t>
        </is>
      </c>
      <c r="C46" s="8" t="n">
        <v>0</v>
      </c>
      <c r="D46" s="9" t="n">
        <v>0</v>
      </c>
      <c r="E46" s="8" t="n">
        <v>0</v>
      </c>
      <c r="F46" s="9" t="n">
        <v>0</v>
      </c>
      <c r="G46" s="8">
        <f>C46+E46</f>
        <v/>
      </c>
      <c r="H46" s="9">
        <f>D46+F46</f>
        <v/>
      </c>
      <c r="I46" s="10" t="n"/>
      <c r="J46" s="10" t="n"/>
    </row>
    <row r="47">
      <c r="A47" s="11" t="inlineStr">
        <is>
          <t>Hàng Bông</t>
        </is>
      </c>
      <c r="B47" s="11" t="inlineStr">
        <is>
          <t>Đỗ Thu Huệ</t>
        </is>
      </c>
      <c r="C47" s="12" t="n">
        <v>0</v>
      </c>
      <c r="D47" s="13" t="n">
        <v>0</v>
      </c>
      <c r="E47" s="12" t="n">
        <v>0</v>
      </c>
      <c r="F47" s="13" t="n">
        <v>0</v>
      </c>
      <c r="G47" s="12">
        <f>C47+E47</f>
        <v/>
      </c>
      <c r="H47" s="13">
        <f>D47+F47</f>
        <v/>
      </c>
      <c r="I47" s="14" t="n"/>
      <c r="J47" s="14" t="n"/>
    </row>
    <row r="48">
      <c r="A48" s="7" t="inlineStr">
        <is>
          <t>Đường Láng</t>
        </is>
      </c>
      <c r="B48" s="7" t="inlineStr">
        <is>
          <t>Hứa Thị Kim Thoa</t>
        </is>
      </c>
      <c r="C48" s="8" t="n">
        <v>0</v>
      </c>
      <c r="D48" s="9" t="n">
        <v>0</v>
      </c>
      <c r="E48" s="8" t="n">
        <v>0</v>
      </c>
      <c r="F48" s="9" t="n">
        <v>0</v>
      </c>
      <c r="G48" s="8">
        <f>C48+E48</f>
        <v/>
      </c>
      <c r="H48" s="9">
        <f>D48+F48</f>
        <v/>
      </c>
      <c r="I48" s="10" t="n"/>
      <c r="J48" s="10" t="n"/>
    </row>
    <row r="49">
      <c r="A49" s="11" t="inlineStr">
        <is>
          <t>Đường Láng</t>
        </is>
      </c>
      <c r="B49" s="11" t="inlineStr">
        <is>
          <t>Lê Thị Soạn</t>
        </is>
      </c>
      <c r="C49" s="12" t="n">
        <v>0</v>
      </c>
      <c r="D49" s="13" t="n">
        <v>0</v>
      </c>
      <c r="E49" s="12" t="n">
        <v>0</v>
      </c>
      <c r="F49" s="13" t="n">
        <v>0</v>
      </c>
      <c r="G49" s="12">
        <f>C49+E49</f>
        <v/>
      </c>
      <c r="H49" s="13">
        <f>D49+F49</f>
        <v/>
      </c>
      <c r="I49" s="14" t="n"/>
      <c r="J49" s="14" t="n"/>
    </row>
    <row r="50">
      <c r="A50" s="7" t="inlineStr">
        <is>
          <t>Đường Láng</t>
        </is>
      </c>
      <c r="B50" s="7" t="inlineStr">
        <is>
          <t>Nguyễn Thị Tâm</t>
        </is>
      </c>
      <c r="C50" s="8" t="n">
        <v>0</v>
      </c>
      <c r="D50" s="9" t="n">
        <v>0</v>
      </c>
      <c r="E50" s="8" t="n">
        <v>0</v>
      </c>
      <c r="F50" s="9" t="n">
        <v>0</v>
      </c>
      <c r="G50" s="8">
        <f>C50+E50</f>
        <v/>
      </c>
      <c r="H50" s="9">
        <f>D50+F50</f>
        <v/>
      </c>
      <c r="I50" s="10" t="n"/>
      <c r="J50" s="10" t="n"/>
    </row>
    <row r="51">
      <c r="A51" s="11" t="inlineStr">
        <is>
          <t>Đường Láng</t>
        </is>
      </c>
      <c r="B51" s="11" t="inlineStr">
        <is>
          <t>Nguyễn Thị Mai Duyên</t>
        </is>
      </c>
      <c r="C51" s="12" t="n">
        <v>0</v>
      </c>
      <c r="D51" s="13" t="n">
        <v>0</v>
      </c>
      <c r="E51" s="12" t="n">
        <v>0</v>
      </c>
      <c r="F51" s="13" t="n">
        <v>0</v>
      </c>
      <c r="G51" s="12">
        <f>C51+E51</f>
        <v/>
      </c>
      <c r="H51" s="13">
        <f>D51+F51</f>
        <v/>
      </c>
      <c r="I51" s="14" t="n"/>
      <c r="J51" s="14" t="n"/>
    </row>
    <row r="52">
      <c r="A52" s="7" t="inlineStr">
        <is>
          <t>Đường Láng</t>
        </is>
      </c>
      <c r="B52" s="7" t="inlineStr">
        <is>
          <t>Trần Ngọc Dung</t>
        </is>
      </c>
      <c r="C52" s="8" t="n">
        <v>0</v>
      </c>
      <c r="D52" s="9" t="n">
        <v>0</v>
      </c>
      <c r="E52" s="8" t="n">
        <v>0</v>
      </c>
      <c r="F52" s="9" t="n">
        <v>0</v>
      </c>
      <c r="G52" s="8">
        <f>C52+E52</f>
        <v/>
      </c>
      <c r="H52" s="9">
        <f>D52+F52</f>
        <v/>
      </c>
      <c r="I52" s="10" t="n"/>
      <c r="J5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3" customWidth="1" min="3" max="3"/>
    <col width="23" customWidth="1" min="4" max="4"/>
    <col width="19" customWidth="1" min="5" max="5"/>
    <col width="41" customWidth="1" min="6" max="6"/>
    <col width="41" customWidth="1" min="7" max="7"/>
    <col width="29" customWidth="1" min="8" max="8"/>
    <col width="23" customWidth="1" min="9" max="9"/>
    <col width="20" customWidth="1" min="10" max="10"/>
    <col width="73" customWidth="1" min="11" max="11"/>
    <col width="43" customWidth="1" min="12" max="12"/>
    <col width="42" customWidth="1" min="13" max="13"/>
    <col width="27" customWidth="1" min="14" max="14"/>
    <col width="25" customWidth="1" min="15" max="15"/>
    <col width="25" customWidth="1" min="16" max="16"/>
    <col width="25" customWidth="1" min="17" max="17"/>
    <col width="14" customWidth="1" min="18" max="18"/>
    <col width="14" customWidth="1" min="19" max="19"/>
    <col width="14" customWidth="1" min="20" max="20"/>
    <col width="34" customWidth="1" min="21" max="21"/>
    <col width="24" customWidth="1" min="22" max="22"/>
    <col width="39" customWidth="1" min="23" max="23"/>
    <col width="39" customWidth="1" min="24" max="24"/>
    <col width="26" customWidth="1" min="25" max="25"/>
    <col width="39" customWidth="1" min="26" max="26"/>
    <col width="39" customWidth="1" min="27" max="27"/>
    <col width="27" customWidth="1" min="28" max="28"/>
    <col width="18" customWidth="1" min="29" max="29"/>
    <col width="18" customWidth="1" min="30" max="30"/>
    <col width="29" customWidth="1" min="31" max="31"/>
  </cols>
  <sheetData>
    <row r="1">
      <c r="A1" s="15" t="inlineStr">
        <is>
          <t>Dữ liệu cập nhật đến ngày</t>
        </is>
      </c>
      <c r="C1" s="16" t="n">
        <v>46295</v>
      </c>
    </row>
    <row r="2">
      <c r="A2" s="17" t="inlineStr">
        <is>
          <t>Nhà thuốc</t>
        </is>
      </c>
      <c r="B2" s="17" t="inlineStr">
        <is>
          <t>Nhân viên</t>
        </is>
      </c>
      <c r="C2" s="17" t="inlineStr">
        <is>
          <t>Chức danh</t>
        </is>
      </c>
      <c r="D2" s="18" t="inlineStr">
        <is>
          <t>KPI trung bình bill</t>
        </is>
      </c>
      <c r="E2" s="18" t="inlineStr">
        <is>
          <t>Trung bình bill</t>
        </is>
      </c>
      <c r="F2" s="19" t="inlineStr">
        <is>
          <t>KPI doanh thu CK+Combo+NY3/ngày</t>
        </is>
      </c>
      <c r="G2" s="19" t="inlineStr">
        <is>
          <t>CK + Combo + NY3/ngày</t>
        </is>
      </c>
      <c r="H2" s="20" t="inlineStr">
        <is>
          <t>KPI Doanh thu/ngày (100%)</t>
        </is>
      </c>
      <c r="I2" s="20" t="inlineStr">
        <is>
          <t>Doanh thu thực/ngày</t>
        </is>
      </c>
      <c r="J2" s="20" t="inlineStr">
        <is>
          <t>% Hoàn thành KPI</t>
        </is>
      </c>
      <c r="K2" s="21" t="inlineStr">
        <is>
          <t>Thưởng KPI</t>
        </is>
      </c>
      <c r="L2" s="21" t="inlineStr">
        <is>
          <t>Hệ số * Dự án</t>
        </is>
      </c>
      <c r="M2" s="21" t="inlineStr">
        <is>
          <t>Thưởng Dự án</t>
        </is>
      </c>
      <c r="N2" s="21" t="inlineStr">
        <is>
          <t>Thưởng Dự án + KPI + HH</t>
        </is>
      </c>
      <c r="O2" s="22" t="n">
        <v>0.8</v>
      </c>
      <c r="P2" s="22" t="n">
        <v>0.9</v>
      </c>
      <c r="Q2" s="22" t="n">
        <v>1</v>
      </c>
      <c r="R2" s="22" t="n">
        <v>0.8</v>
      </c>
      <c r="S2" s="22" t="n">
        <v>0.9</v>
      </c>
      <c r="T2" s="22" t="n">
        <v>1</v>
      </c>
      <c r="U2" s="23" t="inlineStr">
        <is>
          <t>KPIs Doanh thu/ngày</t>
        </is>
      </c>
      <c r="V2" s="23" t="inlineStr">
        <is>
          <t>KPIs Doanh thu/tháng</t>
        </is>
      </c>
      <c r="W2" s="24" t="inlineStr">
        <is>
          <t>Số giao dịch off</t>
        </is>
      </c>
      <c r="X2" s="24" t="inlineStr">
        <is>
          <t>Doanh thu off</t>
        </is>
      </c>
      <c r="Y2" s="24" t="inlineStr">
        <is>
          <t>Trung bình bill off</t>
        </is>
      </c>
      <c r="Z2" s="24" t="inlineStr">
        <is>
          <t>Số giao dịch onl</t>
        </is>
      </c>
      <c r="AA2" s="24" t="inlineStr">
        <is>
          <t>Doanh thu onl</t>
        </is>
      </c>
      <c r="AB2" s="24" t="inlineStr">
        <is>
          <t>Trung bình bill onl</t>
        </is>
      </c>
      <c r="AC2" s="24" t="inlineStr">
        <is>
          <t>Tổng giao dịch</t>
        </is>
      </c>
      <c r="AD2" s="24" t="inlineStr">
        <is>
          <t>Doanh thu tổng</t>
        </is>
      </c>
      <c r="AE2" s="24" t="inlineStr">
        <is>
          <t>Trung bình Bill</t>
        </is>
      </c>
    </row>
    <row r="3">
      <c r="A3" s="11" t="inlineStr">
        <is>
          <t>Trường Sa</t>
        </is>
      </c>
      <c r="B3" s="11" t="inlineStr">
        <is>
          <t>Nguyễn Trần Ngọc Phương</t>
        </is>
      </c>
      <c r="C3" s="11" t="inlineStr">
        <is>
          <t>Q.CHT</t>
        </is>
      </c>
      <c r="D3" s="13" t="n">
        <v>150000</v>
      </c>
      <c r="E3" s="13">
        <f>AE3</f>
        <v/>
      </c>
      <c r="F3" s="13">
        <f>VLOOKUP(B3, 'Dự án T9'!$B:$D, 3, 0)</f>
        <v/>
      </c>
      <c r="G3" s="13">
        <f>VLOOKUP(B3, 'Dự án T9'!$B:$D, 3, 0)</f>
        <v/>
      </c>
      <c r="H3" s="13">
        <f>Q3</f>
        <v/>
      </c>
      <c r="I3" s="13">
        <f>(AD3/DAY($C$1))</f>
        <v/>
      </c>
      <c r="J3" s="25">
        <f>I3/H3</f>
        <v/>
      </c>
      <c r="K3" s="13">
        <f>IF(J3&gt;=Q3, 1200000, IF(J3&gt;=P3, 700000, IF(J3&gt;=O3, 500000, 0)))</f>
        <v/>
      </c>
      <c r="L3" s="12">
        <f>IF(C3="DSTV","", IF(J3&lt;0.6, 0.8, 1))</f>
        <v/>
      </c>
      <c r="M3" s="13">
        <f>VLOOKUP(B3, 'Dự án T9'!$B:$M, 12, 0)</f>
        <v/>
      </c>
      <c r="N3" s="26">
        <f>K3+M3*L3</f>
        <v/>
      </c>
      <c r="O3" s="27">
        <f>CEILING(R3, 100000)</f>
        <v/>
      </c>
      <c r="P3" s="27">
        <f>CEILING(S3, 100000)</f>
        <v/>
      </c>
      <c r="Q3" s="27">
        <f>CEILING(T3, 100000)</f>
        <v/>
      </c>
      <c r="R3" s="27">
        <f>U3*$R$2</f>
        <v/>
      </c>
      <c r="S3" s="27">
        <f>U3*$S$2</f>
        <v/>
      </c>
      <c r="T3" s="27">
        <f>U3*$T$2</f>
        <v/>
      </c>
      <c r="U3" s="13">
        <f>V3/DAY('kpi nhà thuốc'!$T$1)</f>
        <v/>
      </c>
      <c r="V3" s="13" t="n">
        <v>128000000</v>
      </c>
      <c r="W3" s="12">
        <f>SUMIF(data!$B:$B, B3, data!$C:$C)</f>
        <v/>
      </c>
      <c r="X3" s="13">
        <f>SUMIF(data!$B:$B, B3, data!$D:$D)</f>
        <v/>
      </c>
      <c r="Y3" s="13">
        <f>IF(W3&gt;0, X3/W3, 0)</f>
        <v/>
      </c>
      <c r="Z3" s="12">
        <f>SUMIF(data!$B:$B, B3, data!$E:$E)</f>
        <v/>
      </c>
      <c r="AA3" s="13">
        <f>SUMIF(data!$B:$B, B3, data!$F:$F)</f>
        <v/>
      </c>
      <c r="AB3" s="13">
        <f>IF(Z3&gt;0, AA3/Z3, 0)</f>
        <v/>
      </c>
      <c r="AC3" s="12">
        <f>W3+Z3</f>
        <v/>
      </c>
      <c r="AD3" s="13">
        <f>X3+AA3</f>
        <v/>
      </c>
      <c r="AE3" s="13">
        <f>IF(AC3&gt;0, AD3/AC3, 0)</f>
        <v/>
      </c>
    </row>
    <row r="4">
      <c r="A4" s="7" t="inlineStr">
        <is>
          <t>Trường Sa</t>
        </is>
      </c>
      <c r="B4" s="7" t="inlineStr">
        <is>
          <t>Phạm Nguyễn Ngọc Quý</t>
        </is>
      </c>
      <c r="C4" s="7" t="inlineStr">
        <is>
          <t>DSXC</t>
        </is>
      </c>
      <c r="D4" s="9" t="n">
        <v>130000</v>
      </c>
      <c r="E4" s="9">
        <f>AE4</f>
        <v/>
      </c>
      <c r="F4" s="9">
        <f>VLOOKUP(B4, 'Dự án T9'!$B:$D, 3, 0)</f>
        <v/>
      </c>
      <c r="G4" s="9">
        <f>VLOOKUP(B4, 'Dự án T9'!$B:$D, 3, 0)</f>
        <v/>
      </c>
      <c r="H4" s="9">
        <f>Q4</f>
        <v/>
      </c>
      <c r="I4" s="9">
        <f>(AD4/DAY($C$1))</f>
        <v/>
      </c>
      <c r="J4" s="25">
        <f>I4/H4</f>
        <v/>
      </c>
      <c r="K4" s="9">
        <f>IF(J4&gt;=Q4, 1200000, IF(J4&gt;=P4, 700000, IF(J4&gt;=O4, 500000, 0)))</f>
        <v/>
      </c>
      <c r="L4" s="8">
        <f>IF(C4="DSTV","", IF(J4&lt;0.6, 0.8, 1))</f>
        <v/>
      </c>
      <c r="M4" s="9">
        <f>VLOOKUP(B4, 'Dự án T9'!$B:$M, 12, 0)</f>
        <v/>
      </c>
      <c r="N4" s="26">
        <f>K4+M4*L4</f>
        <v/>
      </c>
      <c r="O4" s="28">
        <f>CEILING(R4, 100000)</f>
        <v/>
      </c>
      <c r="P4" s="28">
        <f>CEILING(S4, 100000)</f>
        <v/>
      </c>
      <c r="Q4" s="28">
        <f>CEILING(T4, 100000)</f>
        <v/>
      </c>
      <c r="R4" s="28">
        <f>U4*$R$2</f>
        <v/>
      </c>
      <c r="S4" s="28">
        <f>U4*$S$2</f>
        <v/>
      </c>
      <c r="T4" s="28">
        <f>U4*$T$2</f>
        <v/>
      </c>
      <c r="U4" s="9">
        <f>V4/DAY('kpi nhà thuốc'!$T$1)</f>
        <v/>
      </c>
      <c r="V4" s="9" t="n">
        <v>128000000</v>
      </c>
      <c r="W4" s="8">
        <f>SUMIF(data!$B:$B, B4, data!$C:$C)</f>
        <v/>
      </c>
      <c r="X4" s="9">
        <f>SUMIF(data!$B:$B, B4, data!$D:$D)</f>
        <v/>
      </c>
      <c r="Y4" s="9">
        <f>IF(W4&gt;0, X4/W4, 0)</f>
        <v/>
      </c>
      <c r="Z4" s="8">
        <f>SUMIF(data!$B:$B, B4, data!$E:$E)</f>
        <v/>
      </c>
      <c r="AA4" s="9">
        <f>SUMIF(data!$B:$B, B4, data!$F:$F)</f>
        <v/>
      </c>
      <c r="AB4" s="9">
        <f>IF(Z4&gt;0, AA4/Z4, 0)</f>
        <v/>
      </c>
      <c r="AC4" s="8">
        <f>W4+Z4</f>
        <v/>
      </c>
      <c r="AD4" s="9">
        <f>X4+AA4</f>
        <v/>
      </c>
      <c r="AE4" s="9">
        <f>IF(AC4&gt;0, AD4/AC4, 0)</f>
        <v/>
      </c>
    </row>
    <row r="5">
      <c r="A5" s="11" t="inlineStr">
        <is>
          <t>Trường Sa</t>
        </is>
      </c>
      <c r="B5" s="11" t="inlineStr">
        <is>
          <t>Nguyễn Ngọc Anh Thư</t>
        </is>
      </c>
      <c r="C5" s="11" t="inlineStr">
        <is>
          <t>DSHV</t>
        </is>
      </c>
      <c r="D5" s="13" t="n">
        <v>100000</v>
      </c>
      <c r="E5" s="13">
        <f>AE5</f>
        <v/>
      </c>
      <c r="F5" s="13">
        <f>VLOOKUP(B5, 'Dự án T9'!$B:$D, 3, 0)</f>
        <v/>
      </c>
      <c r="G5" s="13">
        <f>VLOOKUP(B5, 'Dự án T9'!$B:$D, 3, 0)</f>
        <v/>
      </c>
      <c r="H5" s="13">
        <f>Q5</f>
        <v/>
      </c>
      <c r="I5" s="13">
        <f>(AD5/DAY($C$1))</f>
        <v/>
      </c>
      <c r="J5" s="25">
        <f>I5/H5</f>
        <v/>
      </c>
      <c r="K5" s="13">
        <f>IF(J5&gt;=Q5, 1200000, IF(J5&gt;=P5, 700000, IF(J5&gt;=O5, 500000, 0)))</f>
        <v/>
      </c>
      <c r="L5" s="12">
        <f>IF(C5="DSTV","", IF(J5&lt;0.6, 0.8, 1))</f>
        <v/>
      </c>
      <c r="M5" s="13">
        <f>VLOOKUP(B5, 'Dự án T9'!$B:$M, 12, 0)</f>
        <v/>
      </c>
      <c r="N5" s="26">
        <f>K5+M5*L5</f>
        <v/>
      </c>
      <c r="O5" s="27">
        <f>CEILING(R5, 100000)</f>
        <v/>
      </c>
      <c r="P5" s="27">
        <f>CEILING(S5, 100000)</f>
        <v/>
      </c>
      <c r="Q5" s="27">
        <f>CEILING(T5, 100000)</f>
        <v/>
      </c>
      <c r="R5" s="27">
        <f>U5*$R$2</f>
        <v/>
      </c>
      <c r="S5" s="27">
        <f>U5*$S$2</f>
        <v/>
      </c>
      <c r="T5" s="27">
        <f>U5*$T$2</f>
        <v/>
      </c>
      <c r="U5" s="13">
        <f>V5/DAY('kpi nhà thuốc'!$T$1)</f>
        <v/>
      </c>
      <c r="V5" s="13" t="n">
        <v>128000000</v>
      </c>
      <c r="W5" s="12">
        <f>SUMIF(data!$B:$B, B5, data!$C:$C)</f>
        <v/>
      </c>
      <c r="X5" s="13">
        <f>SUMIF(data!$B:$B, B5, data!$D:$D)</f>
        <v/>
      </c>
      <c r="Y5" s="13">
        <f>IF(W5&gt;0, X5/W5, 0)</f>
        <v/>
      </c>
      <c r="Z5" s="12">
        <f>SUMIF(data!$B:$B, B5, data!$E:$E)</f>
        <v/>
      </c>
      <c r="AA5" s="13">
        <f>SUMIF(data!$B:$B, B5, data!$F:$F)</f>
        <v/>
      </c>
      <c r="AB5" s="13">
        <f>IF(Z5&gt;0, AA5/Z5, 0)</f>
        <v/>
      </c>
      <c r="AC5" s="12">
        <f>W5+Z5</f>
        <v/>
      </c>
      <c r="AD5" s="13">
        <f>X5+AA5</f>
        <v/>
      </c>
      <c r="AE5" s="13">
        <f>IF(AC5&gt;0, AD5/AC5, 0)</f>
        <v/>
      </c>
    </row>
    <row r="6">
      <c r="A6" s="7" t="inlineStr">
        <is>
          <t>Trường Sa</t>
        </is>
      </c>
      <c r="B6" s="7" t="inlineStr">
        <is>
          <t>Trần Thị Kim Khánh</t>
        </is>
      </c>
      <c r="C6" s="7" t="inlineStr">
        <is>
          <t>DSCD</t>
        </is>
      </c>
      <c r="D6" s="9" t="n">
        <v>175000</v>
      </c>
      <c r="E6" s="9">
        <f>AE6</f>
        <v/>
      </c>
      <c r="F6" s="9">
        <f>VLOOKUP(B6, 'Dự án T9'!$B:$D, 3, 0)</f>
        <v/>
      </c>
      <c r="G6" s="9">
        <f>VLOOKUP(B6, 'Dự án T9'!$B:$D, 3, 0)</f>
        <v/>
      </c>
      <c r="H6" s="9">
        <f>Q6</f>
        <v/>
      </c>
      <c r="I6" s="9">
        <f>(AD6/DAY($C$1))</f>
        <v/>
      </c>
      <c r="J6" s="25">
        <f>I6/H6</f>
        <v/>
      </c>
      <c r="K6" s="9">
        <f>IF(J6&gt;=Q6, 1200000, IF(J6&gt;=P6, 700000, IF(J6&gt;=O6, 500000, 0)))</f>
        <v/>
      </c>
      <c r="L6" s="8">
        <f>IF(C6="DSTV","", IF(J6&lt;0.6, 0.8, 1))</f>
        <v/>
      </c>
      <c r="M6" s="9">
        <f>VLOOKUP(B6, 'Dự án T9'!$B:$M, 12, 0)</f>
        <v/>
      </c>
      <c r="N6" s="26">
        <f>K6+M6*L6</f>
        <v/>
      </c>
      <c r="O6" s="28">
        <f>CEILING(R6, 100000)</f>
        <v/>
      </c>
      <c r="P6" s="28">
        <f>CEILING(S6, 100000)</f>
        <v/>
      </c>
      <c r="Q6" s="28">
        <f>CEILING(T6, 100000)</f>
        <v/>
      </c>
      <c r="R6" s="28">
        <f>U6*$R$2</f>
        <v/>
      </c>
      <c r="S6" s="28">
        <f>U6*$S$2</f>
        <v/>
      </c>
      <c r="T6" s="28">
        <f>U6*$T$2</f>
        <v/>
      </c>
      <c r="U6" s="9">
        <f>V6/DAY('kpi nhà thuốc'!$T$1)</f>
        <v/>
      </c>
      <c r="V6" s="9" t="n">
        <v>128000000</v>
      </c>
      <c r="W6" s="8">
        <f>SUMIF(data!$B:$B, B6, data!$C:$C)</f>
        <v/>
      </c>
      <c r="X6" s="9">
        <f>SUMIF(data!$B:$B, B6, data!$D:$D)</f>
        <v/>
      </c>
      <c r="Y6" s="9">
        <f>IF(W6&gt;0, X6/W6, 0)</f>
        <v/>
      </c>
      <c r="Z6" s="8">
        <f>SUMIF(data!$B:$B, B6, data!$E:$E)</f>
        <v/>
      </c>
      <c r="AA6" s="9">
        <f>SUMIF(data!$B:$B, B6, data!$F:$F)</f>
        <v/>
      </c>
      <c r="AB6" s="9">
        <f>IF(Z6&gt;0, AA6/Z6, 0)</f>
        <v/>
      </c>
      <c r="AC6" s="8">
        <f>W6+Z6</f>
        <v/>
      </c>
      <c r="AD6" s="9">
        <f>X6+AA6</f>
        <v/>
      </c>
      <c r="AE6" s="9">
        <f>IF(AC6&gt;0, AD6/AC6, 0)</f>
        <v/>
      </c>
    </row>
    <row r="7">
      <c r="A7" s="11" t="inlineStr">
        <is>
          <t>Trường Sa</t>
        </is>
      </c>
      <c r="B7" s="11" t="inlineStr">
        <is>
          <t>Trịnh Thị Phượng</t>
        </is>
      </c>
      <c r="C7" s="11" t="inlineStr">
        <is>
          <t>DSCD</t>
        </is>
      </c>
      <c r="D7" s="13" t="n">
        <v>175000</v>
      </c>
      <c r="E7" s="13">
        <f>AE7</f>
        <v/>
      </c>
      <c r="F7" s="13">
        <f>VLOOKUP(B7, 'Dự án T9'!$B:$D, 3, 0)</f>
        <v/>
      </c>
      <c r="G7" s="13">
        <f>VLOOKUP(B7, 'Dự án T9'!$B:$D, 3, 0)</f>
        <v/>
      </c>
      <c r="H7" s="13">
        <f>Q7</f>
        <v/>
      </c>
      <c r="I7" s="13">
        <f>(AD7/DAY($C$1))</f>
        <v/>
      </c>
      <c r="J7" s="25">
        <f>I7/H7</f>
        <v/>
      </c>
      <c r="K7" s="13">
        <f>IF(J7&gt;=Q7, 1200000, IF(J7&gt;=P7, 700000, IF(J7&gt;=O7, 500000, 0)))</f>
        <v/>
      </c>
      <c r="L7" s="12">
        <f>IF(C7="DSTV","", IF(J7&lt;0.6, 0.8, 1))</f>
        <v/>
      </c>
      <c r="M7" s="13">
        <f>VLOOKUP(B7, 'Dự án T9'!$B:$M, 12, 0)</f>
        <v/>
      </c>
      <c r="N7" s="26">
        <f>K7+M7*L7</f>
        <v/>
      </c>
      <c r="O7" s="27">
        <f>CEILING(R7, 100000)</f>
        <v/>
      </c>
      <c r="P7" s="27">
        <f>CEILING(S7, 100000)</f>
        <v/>
      </c>
      <c r="Q7" s="27">
        <f>CEILING(T7, 100000)</f>
        <v/>
      </c>
      <c r="R7" s="27">
        <f>U7*$R$2</f>
        <v/>
      </c>
      <c r="S7" s="27">
        <f>U7*$S$2</f>
        <v/>
      </c>
      <c r="T7" s="27">
        <f>U7*$T$2</f>
        <v/>
      </c>
      <c r="U7" s="13">
        <f>V7/DAY('kpi nhà thuốc'!$T$1)</f>
        <v/>
      </c>
      <c r="V7" s="13" t="n">
        <v>128000000</v>
      </c>
      <c r="W7" s="12">
        <f>SUMIF(data!$B:$B, B7, data!$C:$C)</f>
        <v/>
      </c>
      <c r="X7" s="13">
        <f>SUMIF(data!$B:$B, B7, data!$D:$D)</f>
        <v/>
      </c>
      <c r="Y7" s="13">
        <f>IF(W7&gt;0, X7/W7, 0)</f>
        <v/>
      </c>
      <c r="Z7" s="12">
        <f>SUMIF(data!$B:$B, B7, data!$E:$E)</f>
        <v/>
      </c>
      <c r="AA7" s="13">
        <f>SUMIF(data!$B:$B, B7, data!$F:$F)</f>
        <v/>
      </c>
      <c r="AB7" s="13">
        <f>IF(Z7&gt;0, AA7/Z7, 0)</f>
        <v/>
      </c>
      <c r="AC7" s="12">
        <f>W7+Z7</f>
        <v/>
      </c>
      <c r="AD7" s="13">
        <f>X7+AA7</f>
        <v/>
      </c>
      <c r="AE7" s="13">
        <f>IF(AC7&gt;0, AD7/AC7, 0)</f>
        <v/>
      </c>
    </row>
    <row r="8">
      <c r="A8" s="7" t="inlineStr">
        <is>
          <t>Đỗ Quang Đẩu</t>
        </is>
      </c>
      <c r="B8" s="7" t="inlineStr">
        <is>
          <t>Phạm Thị Nghĩa Hương</t>
        </is>
      </c>
      <c r="C8" s="7" t="inlineStr">
        <is>
          <t>DSCD</t>
        </is>
      </c>
      <c r="D8" s="9" t="n">
        <v>187974</v>
      </c>
      <c r="E8" s="9">
        <f>AE8</f>
        <v/>
      </c>
      <c r="F8" s="9">
        <f>VLOOKUP(B8, 'Dự án T9'!$B:$D, 3, 0)</f>
        <v/>
      </c>
      <c r="G8" s="9">
        <f>VLOOKUP(B8, 'Dự án T9'!$B:$D, 3, 0)</f>
        <v/>
      </c>
      <c r="H8" s="9">
        <f>Q8</f>
        <v/>
      </c>
      <c r="I8" s="9">
        <f>(AD8/DAY($C$1))</f>
        <v/>
      </c>
      <c r="J8" s="25">
        <f>I8/H8</f>
        <v/>
      </c>
      <c r="K8" s="9">
        <f>IF(J8&gt;=Q8, 1200000, IF(J8&gt;=P8, 700000, IF(J8&gt;=O8, 500000, 0)))</f>
        <v/>
      </c>
      <c r="L8" s="8">
        <f>IF(C8="DSTV","", IF(J8&lt;0.6, 0.8, 1))</f>
        <v/>
      </c>
      <c r="M8" s="9">
        <f>VLOOKUP(B8, 'Dự án T9'!$B:$M, 12, 0)</f>
        <v/>
      </c>
      <c r="N8" s="26">
        <f>K8+M8*L8</f>
        <v/>
      </c>
      <c r="O8" s="28">
        <f>CEILING(R8, 100000)</f>
        <v/>
      </c>
      <c r="P8" s="28">
        <f>CEILING(S8, 100000)</f>
        <v/>
      </c>
      <c r="Q8" s="28">
        <f>CEILING(T8, 100000)</f>
        <v/>
      </c>
      <c r="R8" s="28">
        <f>U8*$R$2</f>
        <v/>
      </c>
      <c r="S8" s="28">
        <f>U8*$S$2</f>
        <v/>
      </c>
      <c r="T8" s="28">
        <f>U8*$T$2</f>
        <v/>
      </c>
      <c r="U8" s="9">
        <f>V8/DAY('kpi nhà thuốc'!$T$1)</f>
        <v/>
      </c>
      <c r="V8" s="9" t="n">
        <v>240000000</v>
      </c>
      <c r="W8" s="8">
        <f>SUMIF(data!$B:$B, B8, data!$C:$C)</f>
        <v/>
      </c>
      <c r="X8" s="9">
        <f>SUMIF(data!$B:$B, B8, data!$D:$D)</f>
        <v/>
      </c>
      <c r="Y8" s="9">
        <f>IF(W8&gt;0, X8/W8, 0)</f>
        <v/>
      </c>
      <c r="Z8" s="8">
        <f>SUMIF(data!$B:$B, B8, data!$E:$E)</f>
        <v/>
      </c>
      <c r="AA8" s="9">
        <f>SUMIF(data!$B:$B, B8, data!$F:$F)</f>
        <v/>
      </c>
      <c r="AB8" s="9">
        <f>IF(Z8&gt;0, AA8/Z8, 0)</f>
        <v/>
      </c>
      <c r="AC8" s="8">
        <f>W8+Z8</f>
        <v/>
      </c>
      <c r="AD8" s="9">
        <f>X8+AA8</f>
        <v/>
      </c>
      <c r="AE8" s="9">
        <f>IF(AC8&gt;0, AD8/AC8, 0)</f>
        <v/>
      </c>
    </row>
    <row r="9">
      <c r="A9" s="11" t="inlineStr">
        <is>
          <t>Đỗ Quang Đẩu</t>
        </is>
      </c>
      <c r="B9" s="11" t="inlineStr">
        <is>
          <t>Trần Thiên Phát</t>
        </is>
      </c>
      <c r="C9" s="11" t="inlineStr">
        <is>
          <t>DSXC</t>
        </is>
      </c>
      <c r="D9" s="13" t="n">
        <v>204503</v>
      </c>
      <c r="E9" s="13">
        <f>AE9</f>
        <v/>
      </c>
      <c r="F9" s="13">
        <f>VLOOKUP(B9, 'Dự án T9'!$B:$D, 3, 0)</f>
        <v/>
      </c>
      <c r="G9" s="13">
        <f>VLOOKUP(B9, 'Dự án T9'!$B:$D, 3, 0)</f>
        <v/>
      </c>
      <c r="H9" s="13">
        <f>Q9</f>
        <v/>
      </c>
      <c r="I9" s="13">
        <f>(AD9/DAY($C$1))</f>
        <v/>
      </c>
      <c r="J9" s="25">
        <f>I9/H9</f>
        <v/>
      </c>
      <c r="K9" s="13">
        <f>IF(J9&gt;=Q9, 1200000, IF(J9&gt;=P9, 700000, IF(J9&gt;=O9, 500000, 0)))</f>
        <v/>
      </c>
      <c r="L9" s="12">
        <f>IF(C9="DSTV","", IF(J9&lt;0.6, 0.8, 1))</f>
        <v/>
      </c>
      <c r="M9" s="13">
        <f>VLOOKUP(B9, 'Dự án T9'!$B:$M, 12, 0)</f>
        <v/>
      </c>
      <c r="N9" s="26">
        <f>K9+M9*L9</f>
        <v/>
      </c>
      <c r="O9" s="27">
        <f>CEILING(R9, 100000)</f>
        <v/>
      </c>
      <c r="P9" s="27">
        <f>CEILING(S9, 100000)</f>
        <v/>
      </c>
      <c r="Q9" s="27">
        <f>CEILING(T9, 100000)</f>
        <v/>
      </c>
      <c r="R9" s="27">
        <f>U9*$R$2</f>
        <v/>
      </c>
      <c r="S9" s="27">
        <f>U9*$S$2</f>
        <v/>
      </c>
      <c r="T9" s="27">
        <f>U9*$T$2</f>
        <v/>
      </c>
      <c r="U9" s="13">
        <f>V9/DAY('kpi nhà thuốc'!$T$1)</f>
        <v/>
      </c>
      <c r="V9" s="13" t="n">
        <v>240000000</v>
      </c>
      <c r="W9" s="12">
        <f>SUMIF(data!$B:$B, B9, data!$C:$C)</f>
        <v/>
      </c>
      <c r="X9" s="13">
        <f>SUMIF(data!$B:$B, B9, data!$D:$D)</f>
        <v/>
      </c>
      <c r="Y9" s="13">
        <f>IF(W9&gt;0, X9/W9, 0)</f>
        <v/>
      </c>
      <c r="Z9" s="12">
        <f>SUMIF(data!$B:$B, B9, data!$E:$E)</f>
        <v/>
      </c>
      <c r="AA9" s="13">
        <f>SUMIF(data!$B:$B, B9, data!$F:$F)</f>
        <v/>
      </c>
      <c r="AB9" s="13">
        <f>IF(Z9&gt;0, AA9/Z9, 0)</f>
        <v/>
      </c>
      <c r="AC9" s="12">
        <f>W9+Z9</f>
        <v/>
      </c>
      <c r="AD9" s="13">
        <f>X9+AA9</f>
        <v/>
      </c>
      <c r="AE9" s="13">
        <f>IF(AC9&gt;0, AD9/AC9, 0)</f>
        <v/>
      </c>
    </row>
    <row r="10">
      <c r="A10" s="7" t="inlineStr">
        <is>
          <t>Đỗ Quang Đẩu</t>
        </is>
      </c>
      <c r="B10" s="7" t="inlineStr">
        <is>
          <t>Ngô Thị Thanh Thắm</t>
        </is>
      </c>
      <c r="C10" s="7" t="inlineStr">
        <is>
          <t>CHT</t>
        </is>
      </c>
      <c r="D10" s="9" t="n">
        <v>346495</v>
      </c>
      <c r="E10" s="9">
        <f>AE10</f>
        <v/>
      </c>
      <c r="F10" s="9">
        <f>VLOOKUP(B10, 'Dự án T9'!$B:$D, 3, 0)</f>
        <v/>
      </c>
      <c r="G10" s="9">
        <f>VLOOKUP(B10, 'Dự án T9'!$B:$D, 3, 0)</f>
        <v/>
      </c>
      <c r="H10" s="9">
        <f>Q10</f>
        <v/>
      </c>
      <c r="I10" s="9">
        <f>(AD10/DAY($C$1))</f>
        <v/>
      </c>
      <c r="J10" s="25">
        <f>I10/H10</f>
        <v/>
      </c>
      <c r="K10" s="9">
        <f>IF(J10&gt;=Q10, 1200000, IF(J10&gt;=P10, 700000, IF(J10&gt;=O10, 500000, 0)))</f>
        <v/>
      </c>
      <c r="L10" s="8">
        <f>IF(C10="DSTV","", IF(J10&lt;0.6, 0.8, 1))</f>
        <v/>
      </c>
      <c r="M10" s="9">
        <f>VLOOKUP(B10, 'Dự án T9'!$B:$M, 12, 0)</f>
        <v/>
      </c>
      <c r="N10" s="26">
        <f>K10+M10*L10</f>
        <v/>
      </c>
      <c r="O10" s="28">
        <f>CEILING(R10, 100000)</f>
        <v/>
      </c>
      <c r="P10" s="28">
        <f>CEILING(S10, 100000)</f>
        <v/>
      </c>
      <c r="Q10" s="28">
        <f>CEILING(T10, 100000)</f>
        <v/>
      </c>
      <c r="R10" s="28">
        <f>U10*$R$2</f>
        <v/>
      </c>
      <c r="S10" s="28">
        <f>U10*$S$2</f>
        <v/>
      </c>
      <c r="T10" s="28">
        <f>U10*$T$2</f>
        <v/>
      </c>
      <c r="U10" s="9">
        <f>V10/DAY('kpi nhà thuốc'!$T$1)</f>
        <v/>
      </c>
      <c r="V10" s="9" t="n">
        <v>240000000</v>
      </c>
      <c r="W10" s="8">
        <f>SUMIF(data!$B:$B, B10, data!$C:$C)</f>
        <v/>
      </c>
      <c r="X10" s="9">
        <f>SUMIF(data!$B:$B, B10, data!$D:$D)</f>
        <v/>
      </c>
      <c r="Y10" s="9">
        <f>IF(W10&gt;0, X10/W10, 0)</f>
        <v/>
      </c>
      <c r="Z10" s="8">
        <f>SUMIF(data!$B:$B, B10, data!$E:$E)</f>
        <v/>
      </c>
      <c r="AA10" s="9">
        <f>SUMIF(data!$B:$B, B10, data!$F:$F)</f>
        <v/>
      </c>
      <c r="AB10" s="9">
        <f>IF(Z10&gt;0, AA10/Z10, 0)</f>
        <v/>
      </c>
      <c r="AC10" s="8">
        <f>W10+Z10</f>
        <v/>
      </c>
      <c r="AD10" s="9">
        <f>X10+AA10</f>
        <v/>
      </c>
      <c r="AE10" s="9">
        <f>IF(AC10&gt;0, AD10/AC10, 0)</f>
        <v/>
      </c>
    </row>
    <row r="11">
      <c r="A11" s="11" t="inlineStr">
        <is>
          <t>Đỗ Quang Đẩu</t>
        </is>
      </c>
      <c r="B11" s="11" t="inlineStr">
        <is>
          <t>Hoàng Thanh Thủy</t>
        </is>
      </c>
      <c r="C11" s="11" t="inlineStr">
        <is>
          <t>DSXC</t>
        </is>
      </c>
      <c r="D11" s="13" t="n">
        <v>335470</v>
      </c>
      <c r="E11" s="13">
        <f>AE11</f>
        <v/>
      </c>
      <c r="F11" s="13">
        <f>VLOOKUP(B11, 'Dự án T9'!$B:$D, 3, 0)</f>
        <v/>
      </c>
      <c r="G11" s="13">
        <f>VLOOKUP(B11, 'Dự án T9'!$B:$D, 3, 0)</f>
        <v/>
      </c>
      <c r="H11" s="13">
        <f>Q11</f>
        <v/>
      </c>
      <c r="I11" s="13">
        <f>(AD11/DAY($C$1))</f>
        <v/>
      </c>
      <c r="J11" s="25">
        <f>I11/H11</f>
        <v/>
      </c>
      <c r="K11" s="13">
        <f>IF(J11&gt;=Q11, 1200000, IF(J11&gt;=P11, 700000, IF(J11&gt;=O11, 500000, 0)))</f>
        <v/>
      </c>
      <c r="L11" s="12">
        <f>IF(C11="DSTV","", IF(J11&lt;0.6, 0.8, 1))</f>
        <v/>
      </c>
      <c r="M11" s="13">
        <f>VLOOKUP(B11, 'Dự án T9'!$B:$M, 12, 0)</f>
        <v/>
      </c>
      <c r="N11" s="26">
        <f>K11+M11*L11</f>
        <v/>
      </c>
      <c r="O11" s="27">
        <f>CEILING(R11, 100000)</f>
        <v/>
      </c>
      <c r="P11" s="27">
        <f>CEILING(S11, 100000)</f>
        <v/>
      </c>
      <c r="Q11" s="27">
        <f>CEILING(T11, 100000)</f>
        <v/>
      </c>
      <c r="R11" s="27">
        <f>U11*$R$2</f>
        <v/>
      </c>
      <c r="S11" s="27">
        <f>U11*$S$2</f>
        <v/>
      </c>
      <c r="T11" s="27">
        <f>U11*$T$2</f>
        <v/>
      </c>
      <c r="U11" s="13">
        <f>V11/DAY('kpi nhà thuốc'!$T$1)</f>
        <v/>
      </c>
      <c r="V11" s="13" t="n">
        <v>240000000</v>
      </c>
      <c r="W11" s="12">
        <f>SUMIF(data!$B:$B, B11, data!$C:$C)</f>
        <v/>
      </c>
      <c r="X11" s="13">
        <f>SUMIF(data!$B:$B, B11, data!$D:$D)</f>
        <v/>
      </c>
      <c r="Y11" s="13">
        <f>IF(W11&gt;0, X11/W11, 0)</f>
        <v/>
      </c>
      <c r="Z11" s="12">
        <f>SUMIF(data!$B:$B, B11, data!$E:$E)</f>
        <v/>
      </c>
      <c r="AA11" s="13">
        <f>SUMIF(data!$B:$B, B11, data!$F:$F)</f>
        <v/>
      </c>
      <c r="AB11" s="13">
        <f>IF(Z11&gt;0, AA11/Z11, 0)</f>
        <v/>
      </c>
      <c r="AC11" s="12">
        <f>W11+Z11</f>
        <v/>
      </c>
      <c r="AD11" s="13">
        <f>X11+AA11</f>
        <v/>
      </c>
      <c r="AE11" s="13">
        <f>IF(AC11&gt;0, AD11/AC11, 0)</f>
        <v/>
      </c>
    </row>
    <row r="12">
      <c r="A12" s="7" t="inlineStr">
        <is>
          <t>Đỗ Quang Đẩu</t>
        </is>
      </c>
      <c r="B12" s="7" t="inlineStr">
        <is>
          <t>Lê Thị Huyền Trân</t>
        </is>
      </c>
      <c r="C12" s="7" t="inlineStr">
        <is>
          <t>DSXC</t>
        </is>
      </c>
      <c r="D12" s="9" t="n">
        <v>187847</v>
      </c>
      <c r="E12" s="9">
        <f>AE12</f>
        <v/>
      </c>
      <c r="F12" s="9">
        <f>VLOOKUP(B12, 'Dự án T9'!$B:$D, 3, 0)</f>
        <v/>
      </c>
      <c r="G12" s="9">
        <f>VLOOKUP(B12, 'Dự án T9'!$B:$D, 3, 0)</f>
        <v/>
      </c>
      <c r="H12" s="9">
        <f>Q12</f>
        <v/>
      </c>
      <c r="I12" s="9">
        <f>(AD12/DAY($C$1))</f>
        <v/>
      </c>
      <c r="J12" s="25">
        <f>I12/H12</f>
        <v/>
      </c>
      <c r="K12" s="9">
        <f>IF(J12&gt;=Q12, 1200000, IF(J12&gt;=P12, 700000, IF(J12&gt;=O12, 500000, 0)))</f>
        <v/>
      </c>
      <c r="L12" s="8">
        <f>IF(C12="DSTV","", IF(J12&lt;0.6, 0.8, 1))</f>
        <v/>
      </c>
      <c r="M12" s="9">
        <f>VLOOKUP(B12, 'Dự án T9'!$B:$M, 12, 0)</f>
        <v/>
      </c>
      <c r="N12" s="26">
        <f>K12+M12*L12</f>
        <v/>
      </c>
      <c r="O12" s="28">
        <f>CEILING(R12, 100000)</f>
        <v/>
      </c>
      <c r="P12" s="28">
        <f>CEILING(S12, 100000)</f>
        <v/>
      </c>
      <c r="Q12" s="28">
        <f>CEILING(T12, 100000)</f>
        <v/>
      </c>
      <c r="R12" s="28">
        <f>U12*$R$2</f>
        <v/>
      </c>
      <c r="S12" s="28">
        <f>U12*$S$2</f>
        <v/>
      </c>
      <c r="T12" s="28">
        <f>U12*$T$2</f>
        <v/>
      </c>
      <c r="U12" s="9">
        <f>V12/DAY('kpi nhà thuốc'!$T$1)</f>
        <v/>
      </c>
      <c r="V12" s="9" t="n">
        <v>240000000</v>
      </c>
      <c r="W12" s="8">
        <f>SUMIF(data!$B:$B, B12, data!$C:$C)</f>
        <v/>
      </c>
      <c r="X12" s="9">
        <f>SUMIF(data!$B:$B, B12, data!$D:$D)</f>
        <v/>
      </c>
      <c r="Y12" s="9">
        <f>IF(W12&gt;0, X12/W12, 0)</f>
        <v/>
      </c>
      <c r="Z12" s="8">
        <f>SUMIF(data!$B:$B, B12, data!$E:$E)</f>
        <v/>
      </c>
      <c r="AA12" s="9">
        <f>SUMIF(data!$B:$B, B12, data!$F:$F)</f>
        <v/>
      </c>
      <c r="AB12" s="9">
        <f>IF(Z12&gt;0, AA12/Z12, 0)</f>
        <v/>
      </c>
      <c r="AC12" s="8">
        <f>W12+Z12</f>
        <v/>
      </c>
      <c r="AD12" s="9">
        <f>X12+AA12</f>
        <v/>
      </c>
      <c r="AE12" s="9">
        <f>IF(AC12&gt;0, AD12/AC12, 0)</f>
        <v/>
      </c>
    </row>
    <row r="13">
      <c r="A13" s="11" t="inlineStr">
        <is>
          <t>Minh Châu</t>
        </is>
      </c>
      <c r="B13" s="11" t="inlineStr">
        <is>
          <t>Thái Thùy Linh</t>
        </is>
      </c>
      <c r="C13" s="11" t="inlineStr">
        <is>
          <t>CHT</t>
        </is>
      </c>
      <c r="D13" s="13" t="n">
        <v>100080</v>
      </c>
      <c r="E13" s="13">
        <f>AE13</f>
        <v/>
      </c>
      <c r="F13" s="13">
        <f>VLOOKUP(B13, 'Dự án T9'!$B:$D, 3, 0)</f>
        <v/>
      </c>
      <c r="G13" s="13">
        <f>VLOOKUP(B13, 'Dự án T9'!$B:$D, 3, 0)</f>
        <v/>
      </c>
      <c r="H13" s="13">
        <f>Q13</f>
        <v/>
      </c>
      <c r="I13" s="13">
        <f>(AD13/DAY($C$1))</f>
        <v/>
      </c>
      <c r="J13" s="25">
        <f>I13/H13</f>
        <v/>
      </c>
      <c r="K13" s="13">
        <f>IF(J13&gt;=Q13, 1200000, IF(J13&gt;=P13, 700000, IF(J13&gt;=O13, 500000, 0)))</f>
        <v/>
      </c>
      <c r="L13" s="12">
        <f>IF(C13="DSTV","", IF(J13&lt;0.6, 0.8, 1))</f>
        <v/>
      </c>
      <c r="M13" s="13">
        <f>VLOOKUP(B13, 'Dự án T9'!$B:$M, 12, 0)</f>
        <v/>
      </c>
      <c r="N13" s="26">
        <f>K13+M13*L13</f>
        <v/>
      </c>
      <c r="O13" s="27">
        <f>CEILING(R13, 100000)</f>
        <v/>
      </c>
      <c r="P13" s="27">
        <f>CEILING(S13, 100000)</f>
        <v/>
      </c>
      <c r="Q13" s="27">
        <f>CEILING(T13, 100000)</f>
        <v/>
      </c>
      <c r="R13" s="27">
        <f>U13*$R$2</f>
        <v/>
      </c>
      <c r="S13" s="27">
        <f>U13*$S$2</f>
        <v/>
      </c>
      <c r="T13" s="27">
        <f>U13*$T$2</f>
        <v/>
      </c>
      <c r="U13" s="13">
        <f>V13/DAY('kpi nhà thuốc'!$T$1)</f>
        <v/>
      </c>
      <c r="V13" s="13" t="n">
        <v>120000000</v>
      </c>
      <c r="W13" s="12">
        <f>SUMIF(data!$B:$B, B13, data!$C:$C)</f>
        <v/>
      </c>
      <c r="X13" s="13">
        <f>SUMIF(data!$B:$B, B13, data!$D:$D)</f>
        <v/>
      </c>
      <c r="Y13" s="13">
        <f>IF(W13&gt;0, X13/W13, 0)</f>
        <v/>
      </c>
      <c r="Z13" s="12">
        <f>SUMIF(data!$B:$B, B13, data!$E:$E)</f>
        <v/>
      </c>
      <c r="AA13" s="13">
        <f>SUMIF(data!$B:$B, B13, data!$F:$F)</f>
        <v/>
      </c>
      <c r="AB13" s="13">
        <f>IF(Z13&gt;0, AA13/Z13, 0)</f>
        <v/>
      </c>
      <c r="AC13" s="12">
        <f>W13+Z13</f>
        <v/>
      </c>
      <c r="AD13" s="13">
        <f>X13+AA13</f>
        <v/>
      </c>
      <c r="AE13" s="13">
        <f>IF(AC13&gt;0, AD13/AC13, 0)</f>
        <v/>
      </c>
    </row>
    <row r="14">
      <c r="A14" s="7" t="inlineStr">
        <is>
          <t>Minh Châu</t>
        </is>
      </c>
      <c r="B14" s="7" t="inlineStr">
        <is>
          <t>Đoàn Quốc Tâm</t>
        </is>
      </c>
      <c r="C14" s="7" t="inlineStr">
        <is>
          <t>DSXC</t>
        </is>
      </c>
      <c r="D14" s="9" t="n">
        <v>99702</v>
      </c>
      <c r="E14" s="9">
        <f>AE14</f>
        <v/>
      </c>
      <c r="F14" s="9">
        <f>VLOOKUP(B14, 'Dự án T9'!$B:$D, 3, 0)</f>
        <v/>
      </c>
      <c r="G14" s="9">
        <f>VLOOKUP(B14, 'Dự án T9'!$B:$D, 3, 0)</f>
        <v/>
      </c>
      <c r="H14" s="9">
        <f>Q14</f>
        <v/>
      </c>
      <c r="I14" s="9">
        <f>(AD14/DAY($C$1))</f>
        <v/>
      </c>
      <c r="J14" s="25">
        <f>I14/H14</f>
        <v/>
      </c>
      <c r="K14" s="9">
        <f>IF(J14&gt;=Q14, 1200000, IF(J14&gt;=P14, 700000, IF(J14&gt;=O14, 500000, 0)))</f>
        <v/>
      </c>
      <c r="L14" s="8">
        <f>IF(C14="DSTV","", IF(J14&lt;0.6, 0.8, 1))</f>
        <v/>
      </c>
      <c r="M14" s="9">
        <f>VLOOKUP(B14, 'Dự án T9'!$B:$M, 12, 0)</f>
        <v/>
      </c>
      <c r="N14" s="26">
        <f>K14+M14*L14</f>
        <v/>
      </c>
      <c r="O14" s="28">
        <f>CEILING(R14, 100000)</f>
        <v/>
      </c>
      <c r="P14" s="28">
        <f>CEILING(S14, 100000)</f>
        <v/>
      </c>
      <c r="Q14" s="28">
        <f>CEILING(T14, 100000)</f>
        <v/>
      </c>
      <c r="R14" s="28">
        <f>U14*$R$2</f>
        <v/>
      </c>
      <c r="S14" s="28">
        <f>U14*$S$2</f>
        <v/>
      </c>
      <c r="T14" s="28">
        <f>U14*$T$2</f>
        <v/>
      </c>
      <c r="U14" s="9">
        <f>V14/DAY('kpi nhà thuốc'!$T$1)</f>
        <v/>
      </c>
      <c r="V14" s="9" t="n">
        <v>120000000</v>
      </c>
      <c r="W14" s="8">
        <f>SUMIF(data!$B:$B, B14, data!$C:$C)</f>
        <v/>
      </c>
      <c r="X14" s="9">
        <f>SUMIF(data!$B:$B, B14, data!$D:$D)</f>
        <v/>
      </c>
      <c r="Y14" s="9">
        <f>IF(W14&gt;0, X14/W14, 0)</f>
        <v/>
      </c>
      <c r="Z14" s="8">
        <f>SUMIF(data!$B:$B, B14, data!$E:$E)</f>
        <v/>
      </c>
      <c r="AA14" s="9">
        <f>SUMIF(data!$B:$B, B14, data!$F:$F)</f>
        <v/>
      </c>
      <c r="AB14" s="9">
        <f>IF(Z14&gt;0, AA14/Z14, 0)</f>
        <v/>
      </c>
      <c r="AC14" s="8">
        <f>W14+Z14</f>
        <v/>
      </c>
      <c r="AD14" s="9">
        <f>X14+AA14</f>
        <v/>
      </c>
      <c r="AE14" s="9">
        <f>IF(AC14&gt;0, AD14/AC14, 0)</f>
        <v/>
      </c>
    </row>
    <row r="15">
      <c r="A15" s="11" t="inlineStr">
        <is>
          <t>Minh Châu</t>
        </is>
      </c>
      <c r="B15" s="11" t="inlineStr">
        <is>
          <t>Phan Công Vũ Tài</t>
        </is>
      </c>
      <c r="C15" s="11" t="inlineStr">
        <is>
          <t>DSXC</t>
        </is>
      </c>
      <c r="D15" s="13" t="n">
        <v>104765</v>
      </c>
      <c r="E15" s="13">
        <f>AE15</f>
        <v/>
      </c>
      <c r="F15" s="13">
        <f>VLOOKUP(B15, 'Dự án T9'!$B:$D, 3, 0)</f>
        <v/>
      </c>
      <c r="G15" s="13">
        <f>VLOOKUP(B15, 'Dự án T9'!$B:$D, 3, 0)</f>
        <v/>
      </c>
      <c r="H15" s="13">
        <f>Q15</f>
        <v/>
      </c>
      <c r="I15" s="13">
        <f>(AD15/DAY($C$1))</f>
        <v/>
      </c>
      <c r="J15" s="25">
        <f>I15/H15</f>
        <v/>
      </c>
      <c r="K15" s="13">
        <f>IF(J15&gt;=Q15, 1200000, IF(J15&gt;=P15, 700000, IF(J15&gt;=O15, 500000, 0)))</f>
        <v/>
      </c>
      <c r="L15" s="12">
        <f>IF(C15="DSTV","", IF(J15&lt;0.6, 0.8, 1))</f>
        <v/>
      </c>
      <c r="M15" s="13">
        <f>VLOOKUP(B15, 'Dự án T9'!$B:$M, 12, 0)</f>
        <v/>
      </c>
      <c r="N15" s="26">
        <f>K15+M15*L15</f>
        <v/>
      </c>
      <c r="O15" s="27">
        <f>CEILING(R15, 100000)</f>
        <v/>
      </c>
      <c r="P15" s="27">
        <f>CEILING(S15, 100000)</f>
        <v/>
      </c>
      <c r="Q15" s="27">
        <f>CEILING(T15, 100000)</f>
        <v/>
      </c>
      <c r="R15" s="27">
        <f>U15*$R$2</f>
        <v/>
      </c>
      <c r="S15" s="27">
        <f>U15*$S$2</f>
        <v/>
      </c>
      <c r="T15" s="27">
        <f>U15*$T$2</f>
        <v/>
      </c>
      <c r="U15" s="13">
        <f>V15/DAY('kpi nhà thuốc'!$T$1)</f>
        <v/>
      </c>
      <c r="V15" s="13" t="n">
        <v>170000000</v>
      </c>
      <c r="W15" s="12">
        <f>SUMIF(data!$B:$B, B15, data!$C:$C)</f>
        <v/>
      </c>
      <c r="X15" s="13">
        <f>SUMIF(data!$B:$B, B15, data!$D:$D)</f>
        <v/>
      </c>
      <c r="Y15" s="13">
        <f>IF(W15&gt;0, X15/W15, 0)</f>
        <v/>
      </c>
      <c r="Z15" s="12">
        <f>SUMIF(data!$B:$B, B15, data!$E:$E)</f>
        <v/>
      </c>
      <c r="AA15" s="13">
        <f>SUMIF(data!$B:$B, B15, data!$F:$F)</f>
        <v/>
      </c>
      <c r="AB15" s="13">
        <f>IF(Z15&gt;0, AA15/Z15, 0)</f>
        <v/>
      </c>
      <c r="AC15" s="12">
        <f>W15+Z15</f>
        <v/>
      </c>
      <c r="AD15" s="13">
        <f>X15+AA15</f>
        <v/>
      </c>
      <c r="AE15" s="13">
        <f>IF(AC15&gt;0, AD15/AC15, 0)</f>
        <v/>
      </c>
    </row>
    <row r="16">
      <c r="A16" s="7" t="inlineStr">
        <is>
          <t>Minh Châu</t>
        </is>
      </c>
      <c r="B16" s="7" t="inlineStr">
        <is>
          <t>Nguyễn Ngọc Thùy</t>
        </is>
      </c>
      <c r="C16" s="7" t="inlineStr">
        <is>
          <t>DSHV</t>
        </is>
      </c>
      <c r="D16" s="9" t="n">
        <v>74966</v>
      </c>
      <c r="E16" s="9">
        <f>AE16</f>
        <v/>
      </c>
      <c r="F16" s="9">
        <f>VLOOKUP(B16, 'Dự án T9'!$B:$D, 3, 0)</f>
        <v/>
      </c>
      <c r="G16" s="9">
        <f>VLOOKUP(B16, 'Dự án T9'!$B:$D, 3, 0)</f>
        <v/>
      </c>
      <c r="H16" s="9">
        <f>Q16</f>
        <v/>
      </c>
      <c r="I16" s="9">
        <f>(AD16/DAY($C$1))</f>
        <v/>
      </c>
      <c r="J16" s="25">
        <f>I16/H16</f>
        <v/>
      </c>
      <c r="K16" s="9">
        <f>IF(J16&gt;=Q16, 1200000, IF(J16&gt;=P16, 700000, IF(J16&gt;=O16, 500000, 0)))</f>
        <v/>
      </c>
      <c r="L16" s="8">
        <f>IF(C16="DSTV","", IF(J16&lt;0.6, 0.8, 1))</f>
        <v/>
      </c>
      <c r="M16" s="9">
        <f>VLOOKUP(B16, 'Dự án T9'!$B:$M, 12, 0)</f>
        <v/>
      </c>
      <c r="N16" s="26">
        <f>K16+M16*L16</f>
        <v/>
      </c>
      <c r="O16" s="28">
        <f>CEILING(R16, 100000)</f>
        <v/>
      </c>
      <c r="P16" s="28">
        <f>CEILING(S16, 100000)</f>
        <v/>
      </c>
      <c r="Q16" s="28">
        <f>CEILING(T16, 100000)</f>
        <v/>
      </c>
      <c r="R16" s="28">
        <f>U16*$R$2</f>
        <v/>
      </c>
      <c r="S16" s="28">
        <f>U16*$S$2</f>
        <v/>
      </c>
      <c r="T16" s="28">
        <f>U16*$T$2</f>
        <v/>
      </c>
      <c r="U16" s="9">
        <f>V16/DAY('kpi nhà thuốc'!$T$1)</f>
        <v/>
      </c>
      <c r="V16" s="9" t="n">
        <v>50000000</v>
      </c>
      <c r="W16" s="8">
        <f>SUMIF(data!$B:$B, B16, data!$C:$C)</f>
        <v/>
      </c>
      <c r="X16" s="9">
        <f>SUMIF(data!$B:$B, B16, data!$D:$D)</f>
        <v/>
      </c>
      <c r="Y16" s="9">
        <f>IF(W16&gt;0, X16/W16, 0)</f>
        <v/>
      </c>
      <c r="Z16" s="8">
        <f>SUMIF(data!$B:$B, B16, data!$E:$E)</f>
        <v/>
      </c>
      <c r="AA16" s="9">
        <f>SUMIF(data!$B:$B, B16, data!$F:$F)</f>
        <v/>
      </c>
      <c r="AB16" s="9">
        <f>IF(Z16&gt;0, AA16/Z16, 0)</f>
        <v/>
      </c>
      <c r="AC16" s="8">
        <f>W16+Z16</f>
        <v/>
      </c>
      <c r="AD16" s="9">
        <f>X16+AA16</f>
        <v/>
      </c>
      <c r="AE16" s="9">
        <f>IF(AC16&gt;0, AD16/AC16, 0)</f>
        <v/>
      </c>
    </row>
    <row r="17">
      <c r="A17" s="11" t="inlineStr">
        <is>
          <t>Nam Hòa</t>
        </is>
      </c>
      <c r="B17" s="11" t="inlineStr">
        <is>
          <t>Trần Thị Ánh Nguyệt</t>
        </is>
      </c>
      <c r="C17" s="11" t="inlineStr">
        <is>
          <t>DSCD</t>
        </is>
      </c>
      <c r="D17" s="13" t="n">
        <v>110000</v>
      </c>
      <c r="E17" s="13">
        <f>AE17</f>
        <v/>
      </c>
      <c r="F17" s="13">
        <f>VLOOKUP(B17, 'Dự án T9'!$B:$D, 3, 0)</f>
        <v/>
      </c>
      <c r="G17" s="13">
        <f>VLOOKUP(B17, 'Dự án T9'!$B:$D, 3, 0)</f>
        <v/>
      </c>
      <c r="H17" s="13">
        <f>Q17</f>
        <v/>
      </c>
      <c r="I17" s="13">
        <f>(AD17/DAY($C$1))</f>
        <v/>
      </c>
      <c r="J17" s="25">
        <f>I17/H17</f>
        <v/>
      </c>
      <c r="K17" s="13">
        <f>IF(J17&gt;=Q17, 1200000, IF(J17&gt;=P17, 700000, IF(J17&gt;=O17, 500000, 0)))</f>
        <v/>
      </c>
      <c r="L17" s="12">
        <f>IF(C17="DSTV","", IF(J17&lt;0.6, 0.8, 1))</f>
        <v/>
      </c>
      <c r="M17" s="13">
        <f>VLOOKUP(B17, 'Dự án T9'!$B:$M, 12, 0)</f>
        <v/>
      </c>
      <c r="N17" s="26">
        <f>K17+M17*L17</f>
        <v/>
      </c>
      <c r="O17" s="27">
        <f>CEILING(R17, 100000)</f>
        <v/>
      </c>
      <c r="P17" s="27">
        <f>CEILING(S17, 100000)</f>
        <v/>
      </c>
      <c r="Q17" s="27">
        <f>CEILING(T17, 100000)</f>
        <v/>
      </c>
      <c r="R17" s="27">
        <f>U17*$R$2</f>
        <v/>
      </c>
      <c r="S17" s="27">
        <f>U17*$S$2</f>
        <v/>
      </c>
      <c r="T17" s="27">
        <f>U17*$T$2</f>
        <v/>
      </c>
      <c r="U17" s="13">
        <f>V17/DAY('kpi nhà thuốc'!$T$1)</f>
        <v/>
      </c>
      <c r="V17" s="13" t="n">
        <v>80000000</v>
      </c>
      <c r="W17" s="12">
        <f>SUMIF(data!$B:$B, B17, data!$C:$C)</f>
        <v/>
      </c>
      <c r="X17" s="13">
        <f>SUMIF(data!$B:$B, B17, data!$D:$D)</f>
        <v/>
      </c>
      <c r="Y17" s="13">
        <f>IF(W17&gt;0, X17/W17, 0)</f>
        <v/>
      </c>
      <c r="Z17" s="12">
        <f>SUMIF(data!$B:$B, B17, data!$E:$E)</f>
        <v/>
      </c>
      <c r="AA17" s="13">
        <f>SUMIF(data!$B:$B, B17, data!$F:$F)</f>
        <v/>
      </c>
      <c r="AB17" s="13">
        <f>IF(Z17&gt;0, AA17/Z17, 0)</f>
        <v/>
      </c>
      <c r="AC17" s="12">
        <f>W17+Z17</f>
        <v/>
      </c>
      <c r="AD17" s="13">
        <f>X17+AA17</f>
        <v/>
      </c>
      <c r="AE17" s="13">
        <f>IF(AC17&gt;0, AD17/AC17, 0)</f>
        <v/>
      </c>
    </row>
    <row r="18">
      <c r="A18" s="7" t="inlineStr">
        <is>
          <t>Nam Hòa</t>
        </is>
      </c>
      <c r="B18" s="7" t="inlineStr">
        <is>
          <t>Nguyễn Thị Huyền Trang</t>
        </is>
      </c>
      <c r="C18" s="7" t="inlineStr">
        <is>
          <t>DSXC</t>
        </is>
      </c>
      <c r="D18" s="9" t="n">
        <v>130000</v>
      </c>
      <c r="E18" s="9">
        <f>AE18</f>
        <v/>
      </c>
      <c r="F18" s="9">
        <f>VLOOKUP(B18, 'Dự án T9'!$B:$D, 3, 0)</f>
        <v/>
      </c>
      <c r="G18" s="9">
        <f>VLOOKUP(B18, 'Dự án T9'!$B:$D, 3, 0)</f>
        <v/>
      </c>
      <c r="H18" s="9">
        <f>Q18</f>
        <v/>
      </c>
      <c r="I18" s="9">
        <f>(AD18/DAY($C$1))</f>
        <v/>
      </c>
      <c r="J18" s="25">
        <f>I18/H18</f>
        <v/>
      </c>
      <c r="K18" s="9">
        <f>IF(J18&gt;=Q18, 1200000, IF(J18&gt;=P18, 700000, IF(J18&gt;=O18, 500000, 0)))</f>
        <v/>
      </c>
      <c r="L18" s="8">
        <f>IF(C18="DSTV","", IF(J18&lt;0.6, 0.8, 1))</f>
        <v/>
      </c>
      <c r="M18" s="9">
        <f>VLOOKUP(B18, 'Dự án T9'!$B:$M, 12, 0)</f>
        <v/>
      </c>
      <c r="N18" s="26">
        <f>K18+M18*L18</f>
        <v/>
      </c>
      <c r="O18" s="28">
        <f>CEILING(R18, 100000)</f>
        <v/>
      </c>
      <c r="P18" s="28">
        <f>CEILING(S18, 100000)</f>
        <v/>
      </c>
      <c r="Q18" s="28">
        <f>CEILING(T18, 100000)</f>
        <v/>
      </c>
      <c r="R18" s="28">
        <f>U18*$R$2</f>
        <v/>
      </c>
      <c r="S18" s="28">
        <f>U18*$S$2</f>
        <v/>
      </c>
      <c r="T18" s="28">
        <f>U18*$T$2</f>
        <v/>
      </c>
      <c r="U18" s="9">
        <f>V18/DAY('kpi nhà thuốc'!$T$1)</f>
        <v/>
      </c>
      <c r="V18" s="9" t="n">
        <v>80000000</v>
      </c>
      <c r="W18" s="8">
        <f>SUMIF(data!$B:$B, B18, data!$C:$C)</f>
        <v/>
      </c>
      <c r="X18" s="9">
        <f>SUMIF(data!$B:$B, B18, data!$D:$D)</f>
        <v/>
      </c>
      <c r="Y18" s="9">
        <f>IF(W18&gt;0, X18/W18, 0)</f>
        <v/>
      </c>
      <c r="Z18" s="8">
        <f>SUMIF(data!$B:$B, B18, data!$E:$E)</f>
        <v/>
      </c>
      <c r="AA18" s="9">
        <f>SUMIF(data!$B:$B, B18, data!$F:$F)</f>
        <v/>
      </c>
      <c r="AB18" s="9">
        <f>IF(Z18&gt;0, AA18/Z18, 0)</f>
        <v/>
      </c>
      <c r="AC18" s="8">
        <f>W18+Z18</f>
        <v/>
      </c>
      <c r="AD18" s="9">
        <f>X18+AA18</f>
        <v/>
      </c>
      <c r="AE18" s="9">
        <f>IF(AC18&gt;0, AD18/AC18, 0)</f>
        <v/>
      </c>
    </row>
    <row r="19">
      <c r="A19" s="11" t="inlineStr">
        <is>
          <t>Nam Hòa</t>
        </is>
      </c>
      <c r="B19" s="11" t="inlineStr">
        <is>
          <t>Dương Thị Huỳnh Như</t>
        </is>
      </c>
      <c r="C19" s="11" t="inlineStr">
        <is>
          <t>DSCD (TV)</t>
        </is>
      </c>
      <c r="D19" s="13" t="n">
        <v>90000</v>
      </c>
      <c r="E19" s="13">
        <f>AE19</f>
        <v/>
      </c>
      <c r="F19" s="13">
        <f>VLOOKUP(B19, 'Dự án T9'!$B:$D, 3, 0)</f>
        <v/>
      </c>
      <c r="G19" s="13">
        <f>VLOOKUP(B19, 'Dự án T9'!$B:$D, 3, 0)</f>
        <v/>
      </c>
      <c r="H19" s="13">
        <f>Q19</f>
        <v/>
      </c>
      <c r="I19" s="13">
        <f>(AD19/DAY($C$1))</f>
        <v/>
      </c>
      <c r="J19" s="25">
        <f>I19/H19</f>
        <v/>
      </c>
      <c r="K19" s="13">
        <f>IF(J19&gt;=Q19, 1200000, IF(J19&gt;=P19, 700000, IF(J19&gt;=O19, 500000, 0)))</f>
        <v/>
      </c>
      <c r="L19" s="12">
        <f>IF(C19="DSTV","", IF(J19&lt;0.6, 0.8, 1))</f>
        <v/>
      </c>
      <c r="M19" s="13">
        <f>VLOOKUP(B19, 'Dự án T9'!$B:$M, 12, 0)</f>
        <v/>
      </c>
      <c r="N19" s="26">
        <f>K19+M19*L19</f>
        <v/>
      </c>
      <c r="O19" s="27">
        <f>CEILING(R19, 100000)</f>
        <v/>
      </c>
      <c r="P19" s="27">
        <f>CEILING(S19, 100000)</f>
        <v/>
      </c>
      <c r="Q19" s="27">
        <f>CEILING(T19, 100000)</f>
        <v/>
      </c>
      <c r="R19" s="27">
        <f>U19*$R$2</f>
        <v/>
      </c>
      <c r="S19" s="27">
        <f>U19*$S$2</f>
        <v/>
      </c>
      <c r="T19" s="27">
        <f>U19*$T$2</f>
        <v/>
      </c>
      <c r="U19" s="13">
        <f>V19/DAY('kpi nhà thuốc'!$T$1)</f>
        <v/>
      </c>
      <c r="V19" s="13" t="n">
        <v>60000000</v>
      </c>
      <c r="W19" s="12">
        <f>SUMIF(data!$B:$B, B19, data!$C:$C)</f>
        <v/>
      </c>
      <c r="X19" s="13">
        <f>SUMIF(data!$B:$B, B19, data!$D:$D)</f>
        <v/>
      </c>
      <c r="Y19" s="13">
        <f>IF(W19&gt;0, X19/W19, 0)</f>
        <v/>
      </c>
      <c r="Z19" s="12">
        <f>SUMIF(data!$B:$B, B19, data!$E:$E)</f>
        <v/>
      </c>
      <c r="AA19" s="13">
        <f>SUMIF(data!$B:$B, B19, data!$F:$F)</f>
        <v/>
      </c>
      <c r="AB19" s="13">
        <f>IF(Z19&gt;0, AA19/Z19, 0)</f>
        <v/>
      </c>
      <c r="AC19" s="12">
        <f>W19+Z19</f>
        <v/>
      </c>
      <c r="AD19" s="13">
        <f>X19+AA19</f>
        <v/>
      </c>
      <c r="AE19" s="13">
        <f>IF(AC19&gt;0, AD19/AC19, 0)</f>
        <v/>
      </c>
    </row>
    <row r="20">
      <c r="A20" s="7" t="inlineStr">
        <is>
          <t>Nam Hòa</t>
        </is>
      </c>
      <c r="B20" s="7" t="inlineStr">
        <is>
          <t>Bùi Thị Thanh Thủy</t>
        </is>
      </c>
      <c r="C20" s="7" t="inlineStr">
        <is>
          <t>DSXC</t>
        </is>
      </c>
      <c r="D20" s="9" t="n">
        <v>130000</v>
      </c>
      <c r="E20" s="9">
        <f>AE20</f>
        <v/>
      </c>
      <c r="F20" s="9">
        <f>VLOOKUP(B20, 'Dự án T9'!$B:$D, 3, 0)</f>
        <v/>
      </c>
      <c r="G20" s="9">
        <f>VLOOKUP(B20, 'Dự án T9'!$B:$D, 3, 0)</f>
        <v/>
      </c>
      <c r="H20" s="9">
        <f>Q20</f>
        <v/>
      </c>
      <c r="I20" s="9">
        <f>(AD20/DAY($C$1))</f>
        <v/>
      </c>
      <c r="J20" s="25">
        <f>I20/H20</f>
        <v/>
      </c>
      <c r="K20" s="9">
        <f>IF(J20&gt;=Q20, 1200000, IF(J20&gt;=P20, 700000, IF(J20&gt;=O20, 500000, 0)))</f>
        <v/>
      </c>
      <c r="L20" s="8">
        <f>IF(C20="DSTV","", IF(J20&lt;0.6, 0.8, 1))</f>
        <v/>
      </c>
      <c r="M20" s="9">
        <f>VLOOKUP(B20, 'Dự án T9'!$B:$M, 12, 0)</f>
        <v/>
      </c>
      <c r="N20" s="26">
        <f>K20+M20*L20</f>
        <v/>
      </c>
      <c r="O20" s="28">
        <f>CEILING(R20, 100000)</f>
        <v/>
      </c>
      <c r="P20" s="28">
        <f>CEILING(S20, 100000)</f>
        <v/>
      </c>
      <c r="Q20" s="28">
        <f>CEILING(T20, 100000)</f>
        <v/>
      </c>
      <c r="R20" s="28">
        <f>U20*$R$2</f>
        <v/>
      </c>
      <c r="S20" s="28">
        <f>U20*$S$2</f>
        <v/>
      </c>
      <c r="T20" s="28">
        <f>U20*$T$2</f>
        <v/>
      </c>
      <c r="U20" s="9">
        <f>V20/DAY('kpi nhà thuốc'!$T$1)</f>
        <v/>
      </c>
      <c r="V20" s="9" t="n">
        <v>80000000</v>
      </c>
      <c r="W20" s="8">
        <f>SUMIF(data!$B:$B, B20, data!$C:$C)</f>
        <v/>
      </c>
      <c r="X20" s="9">
        <f>SUMIF(data!$B:$B, B20, data!$D:$D)</f>
        <v/>
      </c>
      <c r="Y20" s="9">
        <f>IF(W20&gt;0, X20/W20, 0)</f>
        <v/>
      </c>
      <c r="Z20" s="8">
        <f>SUMIF(data!$B:$B, B20, data!$E:$E)</f>
        <v/>
      </c>
      <c r="AA20" s="9">
        <f>SUMIF(data!$B:$B, B20, data!$F:$F)</f>
        <v/>
      </c>
      <c r="AB20" s="9">
        <f>IF(Z20&gt;0, AA20/Z20, 0)</f>
        <v/>
      </c>
      <c r="AC20" s="8">
        <f>W20+Z20</f>
        <v/>
      </c>
      <c r="AD20" s="9">
        <f>X20+AA20</f>
        <v/>
      </c>
      <c r="AE20" s="9">
        <f>IF(AC20&gt;0, AD20/AC20, 0)</f>
        <v/>
      </c>
    </row>
    <row r="21">
      <c r="A21" s="11" t="inlineStr">
        <is>
          <t>Nguyễn Chí Thanh</t>
        </is>
      </c>
      <c r="B21" s="11" t="inlineStr">
        <is>
          <t>Lê Thị Quỳnh Trâm</t>
        </is>
      </c>
      <c r="C21" s="11" t="inlineStr">
        <is>
          <t>CHT</t>
        </is>
      </c>
      <c r="D21" s="13" t="n">
        <v>250000</v>
      </c>
      <c r="E21" s="13">
        <f>AE21</f>
        <v/>
      </c>
      <c r="F21" s="13">
        <f>VLOOKUP(B21, 'Dự án T9'!$B:$D, 3, 0)</f>
        <v/>
      </c>
      <c r="G21" s="13">
        <f>VLOOKUP(B21, 'Dự án T9'!$B:$D, 3, 0)</f>
        <v/>
      </c>
      <c r="H21" s="13">
        <f>Q21</f>
        <v/>
      </c>
      <c r="I21" s="13">
        <f>(AD21/DAY($C$1))</f>
        <v/>
      </c>
      <c r="J21" s="25">
        <f>I21/H21</f>
        <v/>
      </c>
      <c r="K21" s="13">
        <f>IF(J21&gt;=Q21, 1200000, IF(J21&gt;=P21, 700000, IF(J21&gt;=O21, 500000, 0)))</f>
        <v/>
      </c>
      <c r="L21" s="12">
        <f>IF(C21="DSTV","", IF(J21&lt;0.6, 0.8, 1))</f>
        <v/>
      </c>
      <c r="M21" s="13">
        <f>VLOOKUP(B21, 'Dự án T9'!$B:$M, 12, 0)</f>
        <v/>
      </c>
      <c r="N21" s="26">
        <f>K21+M21*L21</f>
        <v/>
      </c>
      <c r="O21" s="27">
        <f>CEILING(R21, 100000)</f>
        <v/>
      </c>
      <c r="P21" s="27">
        <f>CEILING(S21, 100000)</f>
        <v/>
      </c>
      <c r="Q21" s="27">
        <f>CEILING(T21, 100000)</f>
        <v/>
      </c>
      <c r="R21" s="27">
        <f>U21*$R$2</f>
        <v/>
      </c>
      <c r="S21" s="27">
        <f>U21*$S$2</f>
        <v/>
      </c>
      <c r="T21" s="27">
        <f>U21*$T$2</f>
        <v/>
      </c>
      <c r="U21" s="13">
        <f>V21/DAY('kpi nhà thuốc'!$T$1)</f>
        <v/>
      </c>
      <c r="V21" s="13" t="n">
        <v>112500000</v>
      </c>
      <c r="W21" s="12">
        <f>SUMIF(data!$B:$B, B21, data!$C:$C)</f>
        <v/>
      </c>
      <c r="X21" s="13">
        <f>SUMIF(data!$B:$B, B21, data!$D:$D)</f>
        <v/>
      </c>
      <c r="Y21" s="13">
        <f>IF(W21&gt;0, X21/W21, 0)</f>
        <v/>
      </c>
      <c r="Z21" s="12">
        <f>SUMIF(data!$B:$B, B21, data!$E:$E)</f>
        <v/>
      </c>
      <c r="AA21" s="13">
        <f>SUMIF(data!$B:$B, B21, data!$F:$F)</f>
        <v/>
      </c>
      <c r="AB21" s="13">
        <f>IF(Z21&gt;0, AA21/Z21, 0)</f>
        <v/>
      </c>
      <c r="AC21" s="12">
        <f>W21+Z21</f>
        <v/>
      </c>
      <c r="AD21" s="13">
        <f>X21+AA21</f>
        <v/>
      </c>
      <c r="AE21" s="13">
        <f>IF(AC21&gt;0, AD21/AC21, 0)</f>
        <v/>
      </c>
    </row>
    <row r="22">
      <c r="A22" s="7" t="inlineStr">
        <is>
          <t>Nguyễn Chí Thanh</t>
        </is>
      </c>
      <c r="B22" s="7" t="inlineStr">
        <is>
          <t>Đỗ Thị Phương Thảo</t>
        </is>
      </c>
      <c r="C22" s="7" t="inlineStr">
        <is>
          <t>DSXC</t>
        </is>
      </c>
      <c r="D22" s="9" t="n">
        <v>112000</v>
      </c>
      <c r="E22" s="9">
        <f>AE22</f>
        <v/>
      </c>
      <c r="F22" s="9">
        <f>VLOOKUP(B22, 'Dự án T9'!$B:$D, 3, 0)</f>
        <v/>
      </c>
      <c r="G22" s="9">
        <f>VLOOKUP(B22, 'Dự án T9'!$B:$D, 3, 0)</f>
        <v/>
      </c>
      <c r="H22" s="9">
        <f>Q22</f>
        <v/>
      </c>
      <c r="I22" s="9">
        <f>(AD22/DAY($C$1))</f>
        <v/>
      </c>
      <c r="J22" s="25">
        <f>I22/H22</f>
        <v/>
      </c>
      <c r="K22" s="9">
        <f>IF(J22&gt;=Q22, 1200000, IF(J22&gt;=P22, 700000, IF(J22&gt;=O22, 500000, 0)))</f>
        <v/>
      </c>
      <c r="L22" s="8">
        <f>IF(C22="DSTV","", IF(J22&lt;0.6, 0.8, 1))</f>
        <v/>
      </c>
      <c r="M22" s="9">
        <f>VLOOKUP(B22, 'Dự án T9'!$B:$M, 12, 0)</f>
        <v/>
      </c>
      <c r="N22" s="26">
        <f>K22+M22*L22</f>
        <v/>
      </c>
      <c r="O22" s="28">
        <f>CEILING(R22, 100000)</f>
        <v/>
      </c>
      <c r="P22" s="28">
        <f>CEILING(S22, 100000)</f>
        <v/>
      </c>
      <c r="Q22" s="28">
        <f>CEILING(T22, 100000)</f>
        <v/>
      </c>
      <c r="R22" s="28">
        <f>U22*$R$2</f>
        <v/>
      </c>
      <c r="S22" s="28">
        <f>U22*$S$2</f>
        <v/>
      </c>
      <c r="T22" s="28">
        <f>U22*$T$2</f>
        <v/>
      </c>
      <c r="U22" s="9">
        <f>V22/DAY('kpi nhà thuốc'!$T$1)</f>
        <v/>
      </c>
      <c r="V22" s="9" t="n">
        <v>112500000</v>
      </c>
      <c r="W22" s="8">
        <f>SUMIF(data!$B:$B, B22, data!$C:$C)</f>
        <v/>
      </c>
      <c r="X22" s="9">
        <f>SUMIF(data!$B:$B, B22, data!$D:$D)</f>
        <v/>
      </c>
      <c r="Y22" s="9">
        <f>IF(W22&gt;0, X22/W22, 0)</f>
        <v/>
      </c>
      <c r="Z22" s="8">
        <f>SUMIF(data!$B:$B, B22, data!$E:$E)</f>
        <v/>
      </c>
      <c r="AA22" s="9">
        <f>SUMIF(data!$B:$B, B22, data!$F:$F)</f>
        <v/>
      </c>
      <c r="AB22" s="9">
        <f>IF(Z22&gt;0, AA22/Z22, 0)</f>
        <v/>
      </c>
      <c r="AC22" s="8">
        <f>W22+Z22</f>
        <v/>
      </c>
      <c r="AD22" s="9">
        <f>X22+AA22</f>
        <v/>
      </c>
      <c r="AE22" s="9">
        <f>IF(AC22&gt;0, AD22/AC22, 0)</f>
        <v/>
      </c>
    </row>
    <row r="23">
      <c r="A23" s="11" t="inlineStr">
        <is>
          <t>Nguyễn Chí Thanh</t>
        </is>
      </c>
      <c r="B23" s="11" t="inlineStr">
        <is>
          <t>Nguyễn Thị Hồng Hạnh</t>
        </is>
      </c>
      <c r="C23" s="11" t="inlineStr">
        <is>
          <t>DSCD</t>
        </is>
      </c>
      <c r="D23" s="13" t="n">
        <v>103000</v>
      </c>
      <c r="E23" s="13">
        <f>AE23</f>
        <v/>
      </c>
      <c r="F23" s="13">
        <f>VLOOKUP(B23, 'Dự án T9'!$B:$D, 3, 0)</f>
        <v/>
      </c>
      <c r="G23" s="13">
        <f>VLOOKUP(B23, 'Dự án T9'!$B:$D, 3, 0)</f>
        <v/>
      </c>
      <c r="H23" s="13">
        <f>Q23</f>
        <v/>
      </c>
      <c r="I23" s="13">
        <f>(AD23/DAY($C$1))</f>
        <v/>
      </c>
      <c r="J23" s="25">
        <f>I23/H23</f>
        <v/>
      </c>
      <c r="K23" s="13">
        <f>IF(J23&gt;=Q23, 1200000, IF(J23&gt;=P23, 700000, IF(J23&gt;=O23, 500000, 0)))</f>
        <v/>
      </c>
      <c r="L23" s="12">
        <f>IF(C23="DSTV","", IF(J23&lt;0.6, 0.8, 1))</f>
        <v/>
      </c>
      <c r="M23" s="13">
        <f>VLOOKUP(B23, 'Dự án T9'!$B:$M, 12, 0)</f>
        <v/>
      </c>
      <c r="N23" s="26">
        <f>K23+M23*L23</f>
        <v/>
      </c>
      <c r="O23" s="27">
        <f>CEILING(R23, 100000)</f>
        <v/>
      </c>
      <c r="P23" s="27">
        <f>CEILING(S23, 100000)</f>
        <v/>
      </c>
      <c r="Q23" s="27">
        <f>CEILING(T23, 100000)</f>
        <v/>
      </c>
      <c r="R23" s="27">
        <f>U23*$R$2</f>
        <v/>
      </c>
      <c r="S23" s="27">
        <f>U23*$S$2</f>
        <v/>
      </c>
      <c r="T23" s="27">
        <f>U23*$T$2</f>
        <v/>
      </c>
      <c r="U23" s="13">
        <f>V23/DAY('kpi nhà thuốc'!$T$1)</f>
        <v/>
      </c>
      <c r="V23" s="13" t="n">
        <v>112500000</v>
      </c>
      <c r="W23" s="12">
        <f>SUMIF(data!$B:$B, B23, data!$C:$C)</f>
        <v/>
      </c>
      <c r="X23" s="13">
        <f>SUMIF(data!$B:$B, B23, data!$D:$D)</f>
        <v/>
      </c>
      <c r="Y23" s="13">
        <f>IF(W23&gt;0, X23/W23, 0)</f>
        <v/>
      </c>
      <c r="Z23" s="12">
        <f>SUMIF(data!$B:$B, B23, data!$E:$E)</f>
        <v/>
      </c>
      <c r="AA23" s="13">
        <f>SUMIF(data!$B:$B, B23, data!$F:$F)</f>
        <v/>
      </c>
      <c r="AB23" s="13">
        <f>IF(Z23&gt;0, AA23/Z23, 0)</f>
        <v/>
      </c>
      <c r="AC23" s="12">
        <f>W23+Z23</f>
        <v/>
      </c>
      <c r="AD23" s="13">
        <f>X23+AA23</f>
        <v/>
      </c>
      <c r="AE23" s="13">
        <f>IF(AC23&gt;0, AD23/AC23, 0)</f>
        <v/>
      </c>
    </row>
    <row r="24">
      <c r="A24" s="7" t="inlineStr">
        <is>
          <t>Nguyễn Chí Thanh</t>
        </is>
      </c>
      <c r="B24" s="7" t="inlineStr">
        <is>
          <t>Trần Hoàng Khánh</t>
        </is>
      </c>
      <c r="C24" s="7" t="inlineStr">
        <is>
          <t>DSCD</t>
        </is>
      </c>
      <c r="D24" s="9" t="n">
        <v>100000</v>
      </c>
      <c r="E24" s="9">
        <f>AE24</f>
        <v/>
      </c>
      <c r="F24" s="9">
        <f>VLOOKUP(B24, 'Dự án T9'!$B:$D, 3, 0)</f>
        <v/>
      </c>
      <c r="G24" s="9">
        <f>VLOOKUP(B24, 'Dự án T9'!$B:$D, 3, 0)</f>
        <v/>
      </c>
      <c r="H24" s="9">
        <f>Q24</f>
        <v/>
      </c>
      <c r="I24" s="9">
        <f>(AD24/DAY($C$1))</f>
        <v/>
      </c>
      <c r="J24" s="25">
        <f>I24/H24</f>
        <v/>
      </c>
      <c r="K24" s="9">
        <f>IF(J24&gt;=Q24, 1200000, IF(J24&gt;=P24, 700000, IF(J24&gt;=O24, 500000, 0)))</f>
        <v/>
      </c>
      <c r="L24" s="8">
        <f>IF(C24="DSTV","", IF(J24&lt;0.6, 0.8, 1))</f>
        <v/>
      </c>
      <c r="M24" s="9">
        <f>VLOOKUP(B24, 'Dự án T9'!$B:$M, 12, 0)</f>
        <v/>
      </c>
      <c r="N24" s="26">
        <f>K24+M24*L24</f>
        <v/>
      </c>
      <c r="O24" s="28">
        <f>CEILING(R24, 100000)</f>
        <v/>
      </c>
      <c r="P24" s="28">
        <f>CEILING(S24, 100000)</f>
        <v/>
      </c>
      <c r="Q24" s="28">
        <f>CEILING(T24, 100000)</f>
        <v/>
      </c>
      <c r="R24" s="28">
        <f>U24*$R$2</f>
        <v/>
      </c>
      <c r="S24" s="28">
        <f>U24*$S$2</f>
        <v/>
      </c>
      <c r="T24" s="28">
        <f>U24*$T$2</f>
        <v/>
      </c>
      <c r="U24" s="9">
        <f>V24/DAY('kpi nhà thuốc'!$T$1)</f>
        <v/>
      </c>
      <c r="V24" s="9" t="n">
        <v>112500000</v>
      </c>
      <c r="W24" s="8">
        <f>SUMIF(data!$B:$B, B24, data!$C:$C)</f>
        <v/>
      </c>
      <c r="X24" s="9">
        <f>SUMIF(data!$B:$B, B24, data!$D:$D)</f>
        <v/>
      </c>
      <c r="Y24" s="9">
        <f>IF(W24&gt;0, X24/W24, 0)</f>
        <v/>
      </c>
      <c r="Z24" s="8">
        <f>SUMIF(data!$B:$B, B24, data!$E:$E)</f>
        <v/>
      </c>
      <c r="AA24" s="9">
        <f>SUMIF(data!$B:$B, B24, data!$F:$F)</f>
        <v/>
      </c>
      <c r="AB24" s="9">
        <f>IF(Z24&gt;0, AA24/Z24, 0)</f>
        <v/>
      </c>
      <c r="AC24" s="8">
        <f>W24+Z24</f>
        <v/>
      </c>
      <c r="AD24" s="9">
        <f>X24+AA24</f>
        <v/>
      </c>
      <c r="AE24" s="9">
        <f>IF(AC24&gt;0, AD24/AC24, 0)</f>
        <v/>
      </c>
    </row>
    <row r="25">
      <c r="A25" s="11" t="inlineStr">
        <is>
          <t>Nguyễn Chí Thanh</t>
        </is>
      </c>
      <c r="B25" s="11" t="inlineStr">
        <is>
          <t>Lý Thục Mi</t>
        </is>
      </c>
      <c r="C25" s="11" t="inlineStr">
        <is>
          <t>DSXC (TV)</t>
        </is>
      </c>
      <c r="D25" s="13" t="n">
        <v>50000</v>
      </c>
      <c r="E25" s="13">
        <f>AE25</f>
        <v/>
      </c>
      <c r="F25" s="13">
        <f>VLOOKUP(B25, 'Dự án T9'!$B:$D, 3, 0)</f>
        <v/>
      </c>
      <c r="G25" s="13">
        <f>VLOOKUP(B25, 'Dự án T9'!$B:$D, 3, 0)</f>
        <v/>
      </c>
      <c r="H25" s="13">
        <f>Q25</f>
        <v/>
      </c>
      <c r="I25" s="13">
        <f>(AD25/DAY($C$1))</f>
        <v/>
      </c>
      <c r="J25" s="25">
        <f>I25/H25</f>
        <v/>
      </c>
      <c r="K25" s="13">
        <f>IF(J25&gt;=Q25, 1200000, IF(J25&gt;=P25, 700000, IF(J25&gt;=O25, 500000, 0)))</f>
        <v/>
      </c>
      <c r="L25" s="12">
        <f>IF(C25="DSTV","", IF(J25&lt;0.6, 0.8, 1))</f>
        <v/>
      </c>
      <c r="M25" s="13">
        <f>VLOOKUP(B25, 'Dự án T9'!$B:$M, 12, 0)</f>
        <v/>
      </c>
      <c r="N25" s="26">
        <f>K25+M25*L25</f>
        <v/>
      </c>
      <c r="O25" s="27">
        <f>CEILING(R25, 100000)</f>
        <v/>
      </c>
      <c r="P25" s="27">
        <f>CEILING(S25, 100000)</f>
        <v/>
      </c>
      <c r="Q25" s="27">
        <f>CEILING(T25, 100000)</f>
        <v/>
      </c>
      <c r="R25" s="27">
        <f>U25*$R$2</f>
        <v/>
      </c>
      <c r="S25" s="27">
        <f>U25*$S$2</f>
        <v/>
      </c>
      <c r="T25" s="27">
        <f>U25*$T$2</f>
        <v/>
      </c>
      <c r="U25" s="13">
        <f>V25/DAY('kpi nhà thuốc'!$T$1)</f>
        <v/>
      </c>
      <c r="V25" s="13" t="n">
        <v>70000000</v>
      </c>
      <c r="W25" s="12">
        <f>SUMIF(data!$B:$B, B25, data!$C:$C)</f>
        <v/>
      </c>
      <c r="X25" s="13">
        <f>SUMIF(data!$B:$B, B25, data!$D:$D)</f>
        <v/>
      </c>
      <c r="Y25" s="13">
        <f>IF(W25&gt;0, X25/W25, 0)</f>
        <v/>
      </c>
      <c r="Z25" s="12">
        <f>SUMIF(data!$B:$B, B25, data!$E:$E)</f>
        <v/>
      </c>
      <c r="AA25" s="13">
        <f>SUMIF(data!$B:$B, B25, data!$F:$F)</f>
        <v/>
      </c>
      <c r="AB25" s="13">
        <f>IF(Z25&gt;0, AA25/Z25, 0)</f>
        <v/>
      </c>
      <c r="AC25" s="12">
        <f>W25+Z25</f>
        <v/>
      </c>
      <c r="AD25" s="13">
        <f>X25+AA25</f>
        <v/>
      </c>
      <c r="AE25" s="13">
        <f>IF(AC25&gt;0, AD25/AC25, 0)</f>
        <v/>
      </c>
    </row>
    <row r="26">
      <c r="A26" s="7" t="inlineStr">
        <is>
          <t>Nguyễn Thị Thập</t>
        </is>
      </c>
      <c r="B26" s="7" t="inlineStr">
        <is>
          <t>Trần Thành Đạt</t>
        </is>
      </c>
      <c r="C26" s="7" t="inlineStr">
        <is>
          <t>DSCD</t>
        </is>
      </c>
      <c r="D26" s="9" t="n">
        <v>120000</v>
      </c>
      <c r="E26" s="9">
        <f>AE26</f>
        <v/>
      </c>
      <c r="F26" s="9">
        <f>VLOOKUP(B26, 'Dự án T9'!$B:$D, 3, 0)</f>
        <v/>
      </c>
      <c r="G26" s="9">
        <f>VLOOKUP(B26, 'Dự án T9'!$B:$D, 3, 0)</f>
        <v/>
      </c>
      <c r="H26" s="9">
        <f>Q26</f>
        <v/>
      </c>
      <c r="I26" s="9">
        <f>(AD26/DAY($C$1))</f>
        <v/>
      </c>
      <c r="J26" s="25">
        <f>I26/H26</f>
        <v/>
      </c>
      <c r="K26" s="9">
        <f>IF(J26&gt;=Q26, 1200000, IF(J26&gt;=P26, 700000, IF(J26&gt;=O26, 500000, 0)))</f>
        <v/>
      </c>
      <c r="L26" s="8">
        <f>IF(C26="DSTV","", IF(J26&lt;0.6, 0.8, 1))</f>
        <v/>
      </c>
      <c r="M26" s="9">
        <f>VLOOKUP(B26, 'Dự án T9'!$B:$M, 12, 0)</f>
        <v/>
      </c>
      <c r="N26" s="26">
        <f>K26+M26*L26</f>
        <v/>
      </c>
      <c r="O26" s="28">
        <f>CEILING(R26, 100000)</f>
        <v/>
      </c>
      <c r="P26" s="28">
        <f>CEILING(S26, 100000)</f>
        <v/>
      </c>
      <c r="Q26" s="28">
        <f>CEILING(T26, 100000)</f>
        <v/>
      </c>
      <c r="R26" s="28">
        <f>U26*$R$2</f>
        <v/>
      </c>
      <c r="S26" s="28">
        <f>U26*$S$2</f>
        <v/>
      </c>
      <c r="T26" s="28">
        <f>U26*$T$2</f>
        <v/>
      </c>
      <c r="U26" s="9">
        <f>V26/DAY('kpi nhà thuốc'!$T$1)</f>
        <v/>
      </c>
      <c r="V26" s="9" t="n">
        <v>158000000</v>
      </c>
      <c r="W26" s="8">
        <f>SUMIF(data!$B:$B, B26, data!$C:$C)</f>
        <v/>
      </c>
      <c r="X26" s="9">
        <f>SUMIF(data!$B:$B, B26, data!$D:$D)</f>
        <v/>
      </c>
      <c r="Y26" s="9">
        <f>IF(W26&gt;0, X26/W26, 0)</f>
        <v/>
      </c>
      <c r="Z26" s="8">
        <f>SUMIF(data!$B:$B, B26, data!$E:$E)</f>
        <v/>
      </c>
      <c r="AA26" s="9">
        <f>SUMIF(data!$B:$B, B26, data!$F:$F)</f>
        <v/>
      </c>
      <c r="AB26" s="9">
        <f>IF(Z26&gt;0, AA26/Z26, 0)</f>
        <v/>
      </c>
      <c r="AC26" s="8">
        <f>W26+Z26</f>
        <v/>
      </c>
      <c r="AD26" s="9">
        <f>X26+AA26</f>
        <v/>
      </c>
      <c r="AE26" s="9">
        <f>IF(AC26&gt;0, AD26/AC26, 0)</f>
        <v/>
      </c>
    </row>
    <row r="27">
      <c r="A27" s="11" t="inlineStr">
        <is>
          <t>Nguyễn Thị Thập</t>
        </is>
      </c>
      <c r="B27" s="11" t="inlineStr">
        <is>
          <t>Triệu Thị Ngọc Lý</t>
        </is>
      </c>
      <c r="C27" s="11" t="inlineStr">
        <is>
          <t>CHT</t>
        </is>
      </c>
      <c r="D27" s="13" t="n">
        <v>200000</v>
      </c>
      <c r="E27" s="13">
        <f>AE27</f>
        <v/>
      </c>
      <c r="F27" s="13">
        <f>VLOOKUP(B27, 'Dự án T9'!$B:$D, 3, 0)</f>
        <v/>
      </c>
      <c r="G27" s="13">
        <f>VLOOKUP(B27, 'Dự án T9'!$B:$D, 3, 0)</f>
        <v/>
      </c>
      <c r="H27" s="13">
        <f>Q27</f>
        <v/>
      </c>
      <c r="I27" s="13">
        <f>(AD27/DAY($C$1))</f>
        <v/>
      </c>
      <c r="J27" s="25">
        <f>I27/H27</f>
        <v/>
      </c>
      <c r="K27" s="13">
        <f>IF(J27&gt;=Q27, 1200000, IF(J27&gt;=P27, 700000, IF(J27&gt;=O27, 500000, 0)))</f>
        <v/>
      </c>
      <c r="L27" s="12">
        <f>IF(C27="DSTV","", IF(J27&lt;0.6, 0.8, 1))</f>
        <v/>
      </c>
      <c r="M27" s="13">
        <f>VLOOKUP(B27, 'Dự án T9'!$B:$M, 12, 0)</f>
        <v/>
      </c>
      <c r="N27" s="26">
        <f>K27+M27*L27</f>
        <v/>
      </c>
      <c r="O27" s="27">
        <f>CEILING(R27, 100000)</f>
        <v/>
      </c>
      <c r="P27" s="27">
        <f>CEILING(S27, 100000)</f>
        <v/>
      </c>
      <c r="Q27" s="27">
        <f>CEILING(T27, 100000)</f>
        <v/>
      </c>
      <c r="R27" s="27">
        <f>U27*$R$2</f>
        <v/>
      </c>
      <c r="S27" s="27">
        <f>U27*$S$2</f>
        <v/>
      </c>
      <c r="T27" s="27">
        <f>U27*$T$2</f>
        <v/>
      </c>
      <c r="U27" s="13">
        <f>V27/DAY('kpi nhà thuốc'!$T$1)</f>
        <v/>
      </c>
      <c r="V27" s="13" t="n">
        <v>158000000</v>
      </c>
      <c r="W27" s="12">
        <f>SUMIF(data!$B:$B, B27, data!$C:$C)</f>
        <v/>
      </c>
      <c r="X27" s="13">
        <f>SUMIF(data!$B:$B, B27, data!$D:$D)</f>
        <v/>
      </c>
      <c r="Y27" s="13">
        <f>IF(W27&gt;0, X27/W27, 0)</f>
        <v/>
      </c>
      <c r="Z27" s="12">
        <f>SUMIF(data!$B:$B, B27, data!$E:$E)</f>
        <v/>
      </c>
      <c r="AA27" s="13">
        <f>SUMIF(data!$B:$B, B27, data!$F:$F)</f>
        <v/>
      </c>
      <c r="AB27" s="13">
        <f>IF(Z27&gt;0, AA27/Z27, 0)</f>
        <v/>
      </c>
      <c r="AC27" s="12">
        <f>W27+Z27</f>
        <v/>
      </c>
      <c r="AD27" s="13">
        <f>X27+AA27</f>
        <v/>
      </c>
      <c r="AE27" s="13">
        <f>IF(AC27&gt;0, AD27/AC27, 0)</f>
        <v/>
      </c>
    </row>
    <row r="28">
      <c r="A28" s="7" t="inlineStr">
        <is>
          <t>Nguyễn Thị Thập</t>
        </is>
      </c>
      <c r="B28" s="7" t="inlineStr">
        <is>
          <t>Cao Trọng Nhân</t>
        </is>
      </c>
      <c r="C28" s="7" t="inlineStr">
        <is>
          <t>DSCD</t>
        </is>
      </c>
      <c r="D28" s="9" t="n">
        <v>194000</v>
      </c>
      <c r="E28" s="9">
        <f>AE28</f>
        <v/>
      </c>
      <c r="F28" s="9">
        <f>VLOOKUP(B28, 'Dự án T9'!$B:$D, 3, 0)</f>
        <v/>
      </c>
      <c r="G28" s="9">
        <f>VLOOKUP(B28, 'Dự án T9'!$B:$D, 3, 0)</f>
        <v/>
      </c>
      <c r="H28" s="9">
        <f>Q28</f>
        <v/>
      </c>
      <c r="I28" s="9">
        <f>(AD28/DAY($C$1))</f>
        <v/>
      </c>
      <c r="J28" s="25">
        <f>I28/H28</f>
        <v/>
      </c>
      <c r="K28" s="9">
        <f>IF(J28&gt;=Q28, 1200000, IF(J28&gt;=P28, 700000, IF(J28&gt;=O28, 500000, 0)))</f>
        <v/>
      </c>
      <c r="L28" s="8">
        <f>IF(C28="DSTV","", IF(J28&lt;0.6, 0.8, 1))</f>
        <v/>
      </c>
      <c r="M28" s="9">
        <f>VLOOKUP(B28, 'Dự án T9'!$B:$M, 12, 0)</f>
        <v/>
      </c>
      <c r="N28" s="26">
        <f>K28+M28*L28</f>
        <v/>
      </c>
      <c r="O28" s="28">
        <f>CEILING(R28, 100000)</f>
        <v/>
      </c>
      <c r="P28" s="28">
        <f>CEILING(S28, 100000)</f>
        <v/>
      </c>
      <c r="Q28" s="28">
        <f>CEILING(T28, 100000)</f>
        <v/>
      </c>
      <c r="R28" s="28">
        <f>U28*$R$2</f>
        <v/>
      </c>
      <c r="S28" s="28">
        <f>U28*$S$2</f>
        <v/>
      </c>
      <c r="T28" s="28">
        <f>U28*$T$2</f>
        <v/>
      </c>
      <c r="U28" s="9">
        <f>V28/DAY('kpi nhà thuốc'!$T$1)</f>
        <v/>
      </c>
      <c r="V28" s="9" t="n">
        <v>158000000</v>
      </c>
      <c r="W28" s="8">
        <f>SUMIF(data!$B:$B, B28, data!$C:$C)</f>
        <v/>
      </c>
      <c r="X28" s="9">
        <f>SUMIF(data!$B:$B, B28, data!$D:$D)</f>
        <v/>
      </c>
      <c r="Y28" s="9">
        <f>IF(W28&gt;0, X28/W28, 0)</f>
        <v/>
      </c>
      <c r="Z28" s="8">
        <f>SUMIF(data!$B:$B, B28, data!$E:$E)</f>
        <v/>
      </c>
      <c r="AA28" s="9">
        <f>SUMIF(data!$B:$B, B28, data!$F:$F)</f>
        <v/>
      </c>
      <c r="AB28" s="9">
        <f>IF(Z28&gt;0, AA28/Z28, 0)</f>
        <v/>
      </c>
      <c r="AC28" s="8">
        <f>W28+Z28</f>
        <v/>
      </c>
      <c r="AD28" s="9">
        <f>X28+AA28</f>
        <v/>
      </c>
      <c r="AE28" s="9">
        <f>IF(AC28&gt;0, AD28/AC28, 0)</f>
        <v/>
      </c>
    </row>
    <row r="29">
      <c r="A29" s="11" t="inlineStr">
        <is>
          <t>Nguyễn Thị Thập</t>
        </is>
      </c>
      <c r="B29" s="11" t="inlineStr">
        <is>
          <t>Bùi Thị Bích Trâm</t>
        </is>
      </c>
      <c r="C29" s="11" t="inlineStr">
        <is>
          <t>DSHV</t>
        </is>
      </c>
      <c r="D29" s="13" t="n">
        <v>250000</v>
      </c>
      <c r="E29" s="13">
        <f>AE29</f>
        <v/>
      </c>
      <c r="F29" s="13">
        <f>VLOOKUP(B29, 'Dự án T9'!$B:$D, 3, 0)</f>
        <v/>
      </c>
      <c r="G29" s="13">
        <f>VLOOKUP(B29, 'Dự án T9'!$B:$D, 3, 0)</f>
        <v/>
      </c>
      <c r="H29" s="13">
        <f>Q29</f>
        <v/>
      </c>
      <c r="I29" s="13">
        <f>(AD29/DAY($C$1))</f>
        <v/>
      </c>
      <c r="J29" s="25">
        <f>I29/H29</f>
        <v/>
      </c>
      <c r="K29" s="13">
        <f>IF(J29&gt;=Q29, 1200000, IF(J29&gt;=P29, 700000, IF(J29&gt;=O29, 500000, 0)))</f>
        <v/>
      </c>
      <c r="L29" s="12">
        <f>IF(C29="DSTV","", IF(J29&lt;0.6, 0.8, 1))</f>
        <v/>
      </c>
      <c r="M29" s="13">
        <f>VLOOKUP(B29, 'Dự án T9'!$B:$M, 12, 0)</f>
        <v/>
      </c>
      <c r="N29" s="26">
        <f>K29+M29*L29</f>
        <v/>
      </c>
      <c r="O29" s="27">
        <f>CEILING(R29, 100000)</f>
        <v/>
      </c>
      <c r="P29" s="27">
        <f>CEILING(S29, 100000)</f>
        <v/>
      </c>
      <c r="Q29" s="27">
        <f>CEILING(T29, 100000)</f>
        <v/>
      </c>
      <c r="R29" s="27">
        <f>U29*$R$2</f>
        <v/>
      </c>
      <c r="S29" s="27">
        <f>U29*$S$2</f>
        <v/>
      </c>
      <c r="T29" s="27">
        <f>U29*$T$2</f>
        <v/>
      </c>
      <c r="U29" s="13">
        <f>V29/DAY('kpi nhà thuốc'!$T$1)</f>
        <v/>
      </c>
      <c r="V29" s="13" t="n">
        <v>71000000</v>
      </c>
      <c r="W29" s="12">
        <f>SUMIF(data!$B:$B, B29, data!$C:$C)</f>
        <v/>
      </c>
      <c r="X29" s="13">
        <f>SUMIF(data!$B:$B, B29, data!$D:$D)</f>
        <v/>
      </c>
      <c r="Y29" s="13">
        <f>IF(W29&gt;0, X29/W29, 0)</f>
        <v/>
      </c>
      <c r="Z29" s="12">
        <f>SUMIF(data!$B:$B, B29, data!$E:$E)</f>
        <v/>
      </c>
      <c r="AA29" s="13">
        <f>SUMIF(data!$B:$B, B29, data!$F:$F)</f>
        <v/>
      </c>
      <c r="AB29" s="13">
        <f>IF(Z29&gt;0, AA29/Z29, 0)</f>
        <v/>
      </c>
      <c r="AC29" s="12">
        <f>W29+Z29</f>
        <v/>
      </c>
      <c r="AD29" s="13">
        <f>X29+AA29</f>
        <v/>
      </c>
      <c r="AE29" s="13">
        <f>IF(AC29&gt;0, AD29/AC29, 0)</f>
        <v/>
      </c>
    </row>
    <row r="30">
      <c r="A30" s="7" t="inlineStr">
        <is>
          <t>Nguyễn Văn Quá</t>
        </is>
      </c>
      <c r="B30" s="7" t="inlineStr">
        <is>
          <t>Hồ Ngọc Lý</t>
        </is>
      </c>
      <c r="C30" s="7" t="inlineStr">
        <is>
          <t>DSCD</t>
        </is>
      </c>
      <c r="D30" s="9" t="n">
        <v>104000</v>
      </c>
      <c r="E30" s="9">
        <f>AE30</f>
        <v/>
      </c>
      <c r="F30" s="9">
        <f>VLOOKUP(B30, 'Dự án T9'!$B:$D, 3, 0)</f>
        <v/>
      </c>
      <c r="G30" s="9">
        <f>VLOOKUP(B30, 'Dự án T9'!$B:$D, 3, 0)</f>
        <v/>
      </c>
      <c r="H30" s="9">
        <f>Q30</f>
        <v/>
      </c>
      <c r="I30" s="9">
        <f>(AD30/DAY($C$1))</f>
        <v/>
      </c>
      <c r="J30" s="25">
        <f>I30/H30</f>
        <v/>
      </c>
      <c r="K30" s="9">
        <f>IF(J30&gt;=Q30, 1200000, IF(J30&gt;=P30, 700000, IF(J30&gt;=O30, 500000, 0)))</f>
        <v/>
      </c>
      <c r="L30" s="8">
        <f>IF(C30="DSTV","", IF(J30&lt;0.6, 0.8, 1))</f>
        <v/>
      </c>
      <c r="M30" s="9">
        <f>VLOOKUP(B30, 'Dự án T9'!$B:$M, 12, 0)</f>
        <v/>
      </c>
      <c r="N30" s="26">
        <f>K30+M30*L30</f>
        <v/>
      </c>
      <c r="O30" s="28">
        <f>CEILING(R30, 100000)</f>
        <v/>
      </c>
      <c r="P30" s="28">
        <f>CEILING(S30, 100000)</f>
        <v/>
      </c>
      <c r="Q30" s="28">
        <f>CEILING(T30, 100000)</f>
        <v/>
      </c>
      <c r="R30" s="28">
        <f>U30*$R$2</f>
        <v/>
      </c>
      <c r="S30" s="28">
        <f>U30*$S$2</f>
        <v/>
      </c>
      <c r="T30" s="28">
        <f>U30*$T$2</f>
        <v/>
      </c>
      <c r="U30" s="9">
        <f>V30/DAY('kpi nhà thuốc'!$T$1)</f>
        <v/>
      </c>
      <c r="V30" s="9" t="n">
        <v>87500000</v>
      </c>
      <c r="W30" s="8">
        <f>SUMIF(data!$B:$B, B30, data!$C:$C)</f>
        <v/>
      </c>
      <c r="X30" s="9">
        <f>SUMIF(data!$B:$B, B30, data!$D:$D)</f>
        <v/>
      </c>
      <c r="Y30" s="9">
        <f>IF(W30&gt;0, X30/W30, 0)</f>
        <v/>
      </c>
      <c r="Z30" s="8">
        <f>SUMIF(data!$B:$B, B30, data!$E:$E)</f>
        <v/>
      </c>
      <c r="AA30" s="9">
        <f>SUMIF(data!$B:$B, B30, data!$F:$F)</f>
        <v/>
      </c>
      <c r="AB30" s="9">
        <f>IF(Z30&gt;0, AA30/Z30, 0)</f>
        <v/>
      </c>
      <c r="AC30" s="8">
        <f>W30+Z30</f>
        <v/>
      </c>
      <c r="AD30" s="9">
        <f>X30+AA30</f>
        <v/>
      </c>
      <c r="AE30" s="9">
        <f>IF(AC30&gt;0, AD30/AC30, 0)</f>
        <v/>
      </c>
    </row>
    <row r="31">
      <c r="A31" s="11" t="inlineStr">
        <is>
          <t>Nguyễn Văn Quá</t>
        </is>
      </c>
      <c r="B31" s="11" t="inlineStr">
        <is>
          <t>Võ Ngọc Giàu Sang</t>
        </is>
      </c>
      <c r="C31" s="11" t="inlineStr">
        <is>
          <t>DSCD</t>
        </is>
      </c>
      <c r="D31" s="13" t="n">
        <v>157000</v>
      </c>
      <c r="E31" s="13">
        <f>AE31</f>
        <v/>
      </c>
      <c r="F31" s="13">
        <f>VLOOKUP(B31, 'Dự án T9'!$B:$D, 3, 0)</f>
        <v/>
      </c>
      <c r="G31" s="13">
        <f>VLOOKUP(B31, 'Dự án T9'!$B:$D, 3, 0)</f>
        <v/>
      </c>
      <c r="H31" s="13">
        <f>Q31</f>
        <v/>
      </c>
      <c r="I31" s="13">
        <f>(AD31/DAY($C$1))</f>
        <v/>
      </c>
      <c r="J31" s="25">
        <f>I31/H31</f>
        <v/>
      </c>
      <c r="K31" s="13">
        <f>IF(J31&gt;=Q31, 1200000, IF(J31&gt;=P31, 700000, IF(J31&gt;=O31, 500000, 0)))</f>
        <v/>
      </c>
      <c r="L31" s="12">
        <f>IF(C31="DSTV","", IF(J31&lt;0.6, 0.8, 1))</f>
        <v/>
      </c>
      <c r="M31" s="13">
        <f>VLOOKUP(B31, 'Dự án T9'!$B:$M, 12, 0)</f>
        <v/>
      </c>
      <c r="N31" s="26">
        <f>K31+M31*L31</f>
        <v/>
      </c>
      <c r="O31" s="27">
        <f>CEILING(R31, 100000)</f>
        <v/>
      </c>
      <c r="P31" s="27">
        <f>CEILING(S31, 100000)</f>
        <v/>
      </c>
      <c r="Q31" s="27">
        <f>CEILING(T31, 100000)</f>
        <v/>
      </c>
      <c r="R31" s="27">
        <f>U31*$R$2</f>
        <v/>
      </c>
      <c r="S31" s="27">
        <f>U31*$S$2</f>
        <v/>
      </c>
      <c r="T31" s="27">
        <f>U31*$T$2</f>
        <v/>
      </c>
      <c r="U31" s="13">
        <f>V31/DAY('kpi nhà thuốc'!$T$1)</f>
        <v/>
      </c>
      <c r="V31" s="13" t="n">
        <v>87500000</v>
      </c>
      <c r="W31" s="12">
        <f>SUMIF(data!$B:$B, B31, data!$C:$C)</f>
        <v/>
      </c>
      <c r="X31" s="13">
        <f>SUMIF(data!$B:$B, B31, data!$D:$D)</f>
        <v/>
      </c>
      <c r="Y31" s="13">
        <f>IF(W31&gt;0, X31/W31, 0)</f>
        <v/>
      </c>
      <c r="Z31" s="12">
        <f>SUMIF(data!$B:$B, B31, data!$E:$E)</f>
        <v/>
      </c>
      <c r="AA31" s="13">
        <f>SUMIF(data!$B:$B, B31, data!$F:$F)</f>
        <v/>
      </c>
      <c r="AB31" s="13">
        <f>IF(Z31&gt;0, AA31/Z31, 0)</f>
        <v/>
      </c>
      <c r="AC31" s="12">
        <f>W31+Z31</f>
        <v/>
      </c>
      <c r="AD31" s="13">
        <f>X31+AA31</f>
        <v/>
      </c>
      <c r="AE31" s="13">
        <f>IF(AC31&gt;0, AD31/AC31, 0)</f>
        <v/>
      </c>
    </row>
    <row r="32">
      <c r="A32" s="7" t="inlineStr">
        <is>
          <t>Nguyễn Văn Quá</t>
        </is>
      </c>
      <c r="B32" s="7" t="inlineStr">
        <is>
          <t>Nguyễn Thị Thu Huyền</t>
        </is>
      </c>
      <c r="C32" s="7" t="inlineStr">
        <is>
          <t>DSCD</t>
        </is>
      </c>
      <c r="D32" s="9" t="n">
        <v>170000</v>
      </c>
      <c r="E32" s="9">
        <f>AE32</f>
        <v/>
      </c>
      <c r="F32" s="9">
        <f>VLOOKUP(B32, 'Dự án T9'!$B:$D, 3, 0)</f>
        <v/>
      </c>
      <c r="G32" s="9">
        <f>VLOOKUP(B32, 'Dự án T9'!$B:$D, 3, 0)</f>
        <v/>
      </c>
      <c r="H32" s="9">
        <f>Q32</f>
        <v/>
      </c>
      <c r="I32" s="9">
        <f>(AD32/DAY($C$1))</f>
        <v/>
      </c>
      <c r="J32" s="25">
        <f>I32/H32</f>
        <v/>
      </c>
      <c r="K32" s="9">
        <f>IF(J32&gt;=Q32, 1200000, IF(J32&gt;=P32, 700000, IF(J32&gt;=O32, 500000, 0)))</f>
        <v/>
      </c>
      <c r="L32" s="8">
        <f>IF(C32="DSTV","", IF(J32&lt;0.6, 0.8, 1))</f>
        <v/>
      </c>
      <c r="M32" s="9">
        <f>VLOOKUP(B32, 'Dự án T9'!$B:$M, 12, 0)</f>
        <v/>
      </c>
      <c r="N32" s="26">
        <f>K32+M32*L32</f>
        <v/>
      </c>
      <c r="O32" s="28">
        <f>CEILING(R32, 100000)</f>
        <v/>
      </c>
      <c r="P32" s="28">
        <f>CEILING(S32, 100000)</f>
        <v/>
      </c>
      <c r="Q32" s="28">
        <f>CEILING(T32, 100000)</f>
        <v/>
      </c>
      <c r="R32" s="28">
        <f>U32*$R$2</f>
        <v/>
      </c>
      <c r="S32" s="28">
        <f>U32*$S$2</f>
        <v/>
      </c>
      <c r="T32" s="28">
        <f>U32*$T$2</f>
        <v/>
      </c>
      <c r="U32" s="9">
        <f>V32/DAY('kpi nhà thuốc'!$T$1)</f>
        <v/>
      </c>
      <c r="V32" s="9" t="n">
        <v>87500000</v>
      </c>
      <c r="W32" s="8">
        <f>SUMIF(data!$B:$B, B32, data!$C:$C)</f>
        <v/>
      </c>
      <c r="X32" s="9">
        <f>SUMIF(data!$B:$B, B32, data!$D:$D)</f>
        <v/>
      </c>
      <c r="Y32" s="9">
        <f>IF(W32&gt;0, X32/W32, 0)</f>
        <v/>
      </c>
      <c r="Z32" s="8">
        <f>SUMIF(data!$B:$B, B32, data!$E:$E)</f>
        <v/>
      </c>
      <c r="AA32" s="9">
        <f>SUMIF(data!$B:$B, B32, data!$F:$F)</f>
        <v/>
      </c>
      <c r="AB32" s="9">
        <f>IF(Z32&gt;0, AA32/Z32, 0)</f>
        <v/>
      </c>
      <c r="AC32" s="8">
        <f>W32+Z32</f>
        <v/>
      </c>
      <c r="AD32" s="9">
        <f>X32+AA32</f>
        <v/>
      </c>
      <c r="AE32" s="9">
        <f>IF(AC32&gt;0, AD32/AC32, 0)</f>
        <v/>
      </c>
    </row>
    <row r="33">
      <c r="A33" s="11" t="inlineStr">
        <is>
          <t>Nguyễn Văn Quá</t>
        </is>
      </c>
      <c r="B33" s="11" t="inlineStr">
        <is>
          <t>Nguyễn Thị Hương Giang</t>
        </is>
      </c>
      <c r="C33" s="11" t="inlineStr">
        <is>
          <t>CHT</t>
        </is>
      </c>
      <c r="D33" s="13" t="n">
        <v>136000</v>
      </c>
      <c r="E33" s="13">
        <f>AE33</f>
        <v/>
      </c>
      <c r="F33" s="13">
        <f>VLOOKUP(B33, 'Dự án T9'!$B:$D, 3, 0)</f>
        <v/>
      </c>
      <c r="G33" s="13">
        <f>VLOOKUP(B33, 'Dự án T9'!$B:$D, 3, 0)</f>
        <v/>
      </c>
      <c r="H33" s="13">
        <f>Q33</f>
        <v/>
      </c>
      <c r="I33" s="13">
        <f>(AD33/DAY($C$1))</f>
        <v/>
      </c>
      <c r="J33" s="25">
        <f>I33/H33</f>
        <v/>
      </c>
      <c r="K33" s="13">
        <f>IF(J33&gt;=Q33, 1200000, IF(J33&gt;=P33, 700000, IF(J33&gt;=O33, 500000, 0)))</f>
        <v/>
      </c>
      <c r="L33" s="12">
        <f>IF(C33="DSTV","", IF(J33&lt;0.6, 0.8, 1))</f>
        <v/>
      </c>
      <c r="M33" s="13">
        <f>VLOOKUP(B33, 'Dự án T9'!$B:$M, 12, 0)</f>
        <v/>
      </c>
      <c r="N33" s="26">
        <f>K33+M33*L33</f>
        <v/>
      </c>
      <c r="O33" s="27">
        <f>CEILING(R33, 100000)</f>
        <v/>
      </c>
      <c r="P33" s="27">
        <f>CEILING(S33, 100000)</f>
        <v/>
      </c>
      <c r="Q33" s="27">
        <f>CEILING(T33, 100000)</f>
        <v/>
      </c>
      <c r="R33" s="27">
        <f>U33*$R$2</f>
        <v/>
      </c>
      <c r="S33" s="27">
        <f>U33*$S$2</f>
        <v/>
      </c>
      <c r="T33" s="27">
        <f>U33*$T$2</f>
        <v/>
      </c>
      <c r="U33" s="13">
        <f>V33/DAY('kpi nhà thuốc'!$T$1)</f>
        <v/>
      </c>
      <c r="V33" s="13" t="n">
        <v>87500000</v>
      </c>
      <c r="W33" s="12">
        <f>SUMIF(data!$B:$B, B33, data!$C:$C)</f>
        <v/>
      </c>
      <c r="X33" s="13">
        <f>SUMIF(data!$B:$B, B33, data!$D:$D)</f>
        <v/>
      </c>
      <c r="Y33" s="13">
        <f>IF(W33&gt;0, X33/W33, 0)</f>
        <v/>
      </c>
      <c r="Z33" s="12">
        <f>SUMIF(data!$B:$B, B33, data!$E:$E)</f>
        <v/>
      </c>
      <c r="AA33" s="13">
        <f>SUMIF(data!$B:$B, B33, data!$F:$F)</f>
        <v/>
      </c>
      <c r="AB33" s="13">
        <f>IF(Z33&gt;0, AA33/Z33, 0)</f>
        <v/>
      </c>
      <c r="AC33" s="12">
        <f>W33+Z33</f>
        <v/>
      </c>
      <c r="AD33" s="13">
        <f>X33+AA33</f>
        <v/>
      </c>
      <c r="AE33" s="13">
        <f>IF(AC33&gt;0, AD33/AC33, 0)</f>
        <v/>
      </c>
    </row>
    <row r="34">
      <c r="A34" s="7" t="inlineStr">
        <is>
          <t>Rạch Bùng Binh</t>
        </is>
      </c>
      <c r="B34" s="7" t="inlineStr">
        <is>
          <t>Cù Thị Tường Vy</t>
        </is>
      </c>
      <c r="C34" s="7" t="inlineStr">
        <is>
          <t>DSCD</t>
        </is>
      </c>
      <c r="D34" s="9" t="n">
        <v>232315.330188679</v>
      </c>
      <c r="E34" s="9">
        <f>AE34</f>
        <v/>
      </c>
      <c r="F34" s="9">
        <f>VLOOKUP(B34, 'Dự án T9'!$B:$D, 3, 0)</f>
        <v/>
      </c>
      <c r="G34" s="9">
        <f>VLOOKUP(B34, 'Dự án T9'!$B:$D, 3, 0)</f>
        <v/>
      </c>
      <c r="H34" s="9">
        <f>Q34</f>
        <v/>
      </c>
      <c r="I34" s="9">
        <f>(AD34/DAY($C$1))</f>
        <v/>
      </c>
      <c r="J34" s="25">
        <f>I34/H34</f>
        <v/>
      </c>
      <c r="K34" s="9">
        <f>IF(J34&gt;=Q34, 1200000, IF(J34&gt;=P34, 700000, IF(J34&gt;=O34, 500000, 0)))</f>
        <v/>
      </c>
      <c r="L34" s="8">
        <f>IF(C34="DSTV","", IF(J34&lt;0.6, 0.8, 1))</f>
        <v/>
      </c>
      <c r="M34" s="9">
        <f>VLOOKUP(B34, 'Dự án T9'!$B:$M, 12, 0)</f>
        <v/>
      </c>
      <c r="N34" s="26">
        <f>K34+M34*L34</f>
        <v/>
      </c>
      <c r="O34" s="28">
        <f>CEILING(R34, 100000)</f>
        <v/>
      </c>
      <c r="P34" s="28">
        <f>CEILING(S34, 100000)</f>
        <v/>
      </c>
      <c r="Q34" s="28">
        <f>CEILING(T34, 100000)</f>
        <v/>
      </c>
      <c r="R34" s="28">
        <f>U34*$R$2</f>
        <v/>
      </c>
      <c r="S34" s="28">
        <f>U34*$S$2</f>
        <v/>
      </c>
      <c r="T34" s="28">
        <f>U34*$T$2</f>
        <v/>
      </c>
      <c r="U34" s="9">
        <f>V34/DAY('kpi nhà thuốc'!$T$1)</f>
        <v/>
      </c>
      <c r="V34" s="9" t="n">
        <v>120000000</v>
      </c>
      <c r="W34" s="8">
        <f>SUMIF(data!$B:$B, B34, data!$C:$C)</f>
        <v/>
      </c>
      <c r="X34" s="9">
        <f>SUMIF(data!$B:$B, B34, data!$D:$D)</f>
        <v/>
      </c>
      <c r="Y34" s="9">
        <f>IF(W34&gt;0, X34/W34, 0)</f>
        <v/>
      </c>
      <c r="Z34" s="8">
        <f>SUMIF(data!$B:$B, B34, data!$E:$E)</f>
        <v/>
      </c>
      <c r="AA34" s="9">
        <f>SUMIF(data!$B:$B, B34, data!$F:$F)</f>
        <v/>
      </c>
      <c r="AB34" s="9">
        <f>IF(Z34&gt;0, AA34/Z34, 0)</f>
        <v/>
      </c>
      <c r="AC34" s="8">
        <f>W34+Z34</f>
        <v/>
      </c>
      <c r="AD34" s="9">
        <f>X34+AA34</f>
        <v/>
      </c>
      <c r="AE34" s="9">
        <f>IF(AC34&gt;0, AD34/AC34, 0)</f>
        <v/>
      </c>
    </row>
    <row r="35">
      <c r="A35" s="11" t="inlineStr">
        <is>
          <t>Rạch Bùng Binh</t>
        </is>
      </c>
      <c r="B35" s="11" t="inlineStr">
        <is>
          <t>Huỳnh Thị Huệ Hiền</t>
        </is>
      </c>
      <c r="C35" s="11" t="inlineStr">
        <is>
          <t>DSCD</t>
        </is>
      </c>
      <c r="D35" s="13" t="n">
        <v>100000</v>
      </c>
      <c r="E35" s="13">
        <f>AE35</f>
        <v/>
      </c>
      <c r="F35" s="13">
        <f>VLOOKUP(B35, 'Dự án T9'!$B:$D, 3, 0)</f>
        <v/>
      </c>
      <c r="G35" s="13">
        <f>VLOOKUP(B35, 'Dự án T9'!$B:$D, 3, 0)</f>
        <v/>
      </c>
      <c r="H35" s="13">
        <f>Q35</f>
        <v/>
      </c>
      <c r="I35" s="13">
        <f>(AD35/DAY($C$1))</f>
        <v/>
      </c>
      <c r="J35" s="25">
        <f>I35/H35</f>
        <v/>
      </c>
      <c r="K35" s="13">
        <f>IF(J35&gt;=Q35, 1200000, IF(J35&gt;=P35, 700000, IF(J35&gt;=O35, 500000, 0)))</f>
        <v/>
      </c>
      <c r="L35" s="12">
        <f>IF(C35="DSTV","", IF(J35&lt;0.6, 0.8, 1))</f>
        <v/>
      </c>
      <c r="M35" s="13">
        <f>VLOOKUP(B35, 'Dự án T9'!$B:$M, 12, 0)</f>
        <v/>
      </c>
      <c r="N35" s="26">
        <f>K35+M35*L35</f>
        <v/>
      </c>
      <c r="O35" s="27">
        <f>CEILING(R35, 100000)</f>
        <v/>
      </c>
      <c r="P35" s="27">
        <f>CEILING(S35, 100000)</f>
        <v/>
      </c>
      <c r="Q35" s="27">
        <f>CEILING(T35, 100000)</f>
        <v/>
      </c>
      <c r="R35" s="27">
        <f>U35*$R$2</f>
        <v/>
      </c>
      <c r="S35" s="27">
        <f>U35*$S$2</f>
        <v/>
      </c>
      <c r="T35" s="27">
        <f>U35*$T$2</f>
        <v/>
      </c>
      <c r="U35" s="13">
        <f>V35/DAY('kpi nhà thuốc'!$T$1)</f>
        <v/>
      </c>
      <c r="V35" s="13" t="n">
        <v>100000000</v>
      </c>
      <c r="W35" s="12">
        <f>SUMIF(data!$B:$B, B35, data!$C:$C)</f>
        <v/>
      </c>
      <c r="X35" s="13">
        <f>SUMIF(data!$B:$B, B35, data!$D:$D)</f>
        <v/>
      </c>
      <c r="Y35" s="13">
        <f>IF(W35&gt;0, X35/W35, 0)</f>
        <v/>
      </c>
      <c r="Z35" s="12">
        <f>SUMIF(data!$B:$B, B35, data!$E:$E)</f>
        <v/>
      </c>
      <c r="AA35" s="13">
        <f>SUMIF(data!$B:$B, B35, data!$F:$F)</f>
        <v/>
      </c>
      <c r="AB35" s="13">
        <f>IF(Z35&gt;0, AA35/Z35, 0)</f>
        <v/>
      </c>
      <c r="AC35" s="12">
        <f>W35+Z35</f>
        <v/>
      </c>
      <c r="AD35" s="13">
        <f>X35+AA35</f>
        <v/>
      </c>
      <c r="AE35" s="13">
        <f>IF(AC35&gt;0, AD35/AC35, 0)</f>
        <v/>
      </c>
    </row>
    <row r="36">
      <c r="A36" s="7" t="inlineStr">
        <is>
          <t>Rạch Bùng Binh</t>
        </is>
      </c>
      <c r="B36" s="7" t="inlineStr">
        <is>
          <t>Ngô Thị Ngọc Thủy</t>
        </is>
      </c>
      <c r="C36" s="7" t="inlineStr">
        <is>
          <t>CHT</t>
        </is>
      </c>
      <c r="D36" s="9" t="n">
        <v>90000</v>
      </c>
      <c r="E36" s="9">
        <f>AE36</f>
        <v/>
      </c>
      <c r="F36" s="9">
        <f>VLOOKUP(B36, 'Dự án T9'!$B:$D, 3, 0)</f>
        <v/>
      </c>
      <c r="G36" s="9">
        <f>VLOOKUP(B36, 'Dự án T9'!$B:$D, 3, 0)</f>
        <v/>
      </c>
      <c r="H36" s="9">
        <f>Q36</f>
        <v/>
      </c>
      <c r="I36" s="9">
        <f>(AD36/DAY($C$1))</f>
        <v/>
      </c>
      <c r="J36" s="25">
        <f>I36/H36</f>
        <v/>
      </c>
      <c r="K36" s="9">
        <f>IF(J36&gt;=Q36, 1200000, IF(J36&gt;=P36, 700000, IF(J36&gt;=O36, 500000, 0)))</f>
        <v/>
      </c>
      <c r="L36" s="8">
        <f>IF(C36="DSTV","", IF(J36&lt;0.6, 0.8, 1))</f>
        <v/>
      </c>
      <c r="M36" s="9">
        <f>VLOOKUP(B36, 'Dự án T9'!$B:$M, 12, 0)</f>
        <v/>
      </c>
      <c r="N36" s="26">
        <f>K36+M36*L36</f>
        <v/>
      </c>
      <c r="O36" s="28">
        <f>CEILING(R36, 100000)</f>
        <v/>
      </c>
      <c r="P36" s="28">
        <f>CEILING(S36, 100000)</f>
        <v/>
      </c>
      <c r="Q36" s="28">
        <f>CEILING(T36, 100000)</f>
        <v/>
      </c>
      <c r="R36" s="28">
        <f>U36*$R$2</f>
        <v/>
      </c>
      <c r="S36" s="28">
        <f>U36*$S$2</f>
        <v/>
      </c>
      <c r="T36" s="28">
        <f>U36*$T$2</f>
        <v/>
      </c>
      <c r="U36" s="9">
        <f>V36/DAY('kpi nhà thuốc'!$T$1)</f>
        <v/>
      </c>
      <c r="V36" s="9" t="n">
        <v>40000000</v>
      </c>
      <c r="W36" s="8">
        <f>SUMIF(data!$B:$B, B36, data!$C:$C)</f>
        <v/>
      </c>
      <c r="X36" s="9">
        <f>SUMIF(data!$B:$B, B36, data!$D:$D)</f>
        <v/>
      </c>
      <c r="Y36" s="9">
        <f>IF(W36&gt;0, X36/W36, 0)</f>
        <v/>
      </c>
      <c r="Z36" s="8">
        <f>SUMIF(data!$B:$B, B36, data!$E:$E)</f>
        <v/>
      </c>
      <c r="AA36" s="9">
        <f>SUMIF(data!$B:$B, B36, data!$F:$F)</f>
        <v/>
      </c>
      <c r="AB36" s="9">
        <f>IF(Z36&gt;0, AA36/Z36, 0)</f>
        <v/>
      </c>
      <c r="AC36" s="8">
        <f>W36+Z36</f>
        <v/>
      </c>
      <c r="AD36" s="9">
        <f>X36+AA36</f>
        <v/>
      </c>
      <c r="AE36" s="9">
        <f>IF(AC36&gt;0, AD36/AC36, 0)</f>
        <v/>
      </c>
    </row>
    <row r="37">
      <c r="A37" s="11" t="inlineStr">
        <is>
          <t>Rạch Bùng Binh</t>
        </is>
      </c>
      <c r="B37" s="11" t="inlineStr">
        <is>
          <t>Nguyễn Thị Phúc Lộc</t>
        </is>
      </c>
      <c r="C37" s="11" t="inlineStr">
        <is>
          <t>DSCD</t>
        </is>
      </c>
      <c r="D37" s="13" t="n">
        <v>85000</v>
      </c>
      <c r="E37" s="13">
        <f>AE37</f>
        <v/>
      </c>
      <c r="F37" s="13">
        <f>VLOOKUP(B37, 'Dự án T9'!$B:$D, 3, 0)</f>
        <v/>
      </c>
      <c r="G37" s="13">
        <f>VLOOKUP(B37, 'Dự án T9'!$B:$D, 3, 0)</f>
        <v/>
      </c>
      <c r="H37" s="13">
        <f>Q37</f>
        <v/>
      </c>
      <c r="I37" s="13">
        <f>(AD37/DAY($C$1))</f>
        <v/>
      </c>
      <c r="J37" s="25">
        <f>I37/H37</f>
        <v/>
      </c>
      <c r="K37" s="13">
        <f>IF(J37&gt;=Q37, 1200000, IF(J37&gt;=P37, 700000, IF(J37&gt;=O37, 500000, 0)))</f>
        <v/>
      </c>
      <c r="L37" s="12">
        <f>IF(C37="DSTV","", IF(J37&lt;0.6, 0.8, 1))</f>
        <v/>
      </c>
      <c r="M37" s="13">
        <f>VLOOKUP(B37, 'Dự án T9'!$B:$M, 12, 0)</f>
        <v/>
      </c>
      <c r="N37" s="26">
        <f>K37+M37*L37</f>
        <v/>
      </c>
      <c r="O37" s="27">
        <f>CEILING(R37, 100000)</f>
        <v/>
      </c>
      <c r="P37" s="27">
        <f>CEILING(S37, 100000)</f>
        <v/>
      </c>
      <c r="Q37" s="27">
        <f>CEILING(T37, 100000)</f>
        <v/>
      </c>
      <c r="R37" s="27">
        <f>U37*$R$2</f>
        <v/>
      </c>
      <c r="S37" s="27">
        <f>U37*$S$2</f>
        <v/>
      </c>
      <c r="T37" s="27">
        <f>U37*$T$2</f>
        <v/>
      </c>
      <c r="U37" s="13">
        <f>V37/DAY('kpi nhà thuốc'!$T$1)</f>
        <v/>
      </c>
      <c r="V37" s="13" t="n">
        <v>50000000</v>
      </c>
      <c r="W37" s="12">
        <f>SUMIF(data!$B:$B, B37, data!$C:$C)</f>
        <v/>
      </c>
      <c r="X37" s="13">
        <f>SUMIF(data!$B:$B, B37, data!$D:$D)</f>
        <v/>
      </c>
      <c r="Y37" s="13">
        <f>IF(W37&gt;0, X37/W37, 0)</f>
        <v/>
      </c>
      <c r="Z37" s="12">
        <f>SUMIF(data!$B:$B, B37, data!$E:$E)</f>
        <v/>
      </c>
      <c r="AA37" s="13">
        <f>SUMIF(data!$B:$B, B37, data!$F:$F)</f>
        <v/>
      </c>
      <c r="AB37" s="13">
        <f>IF(Z37&gt;0, AA37/Z37, 0)</f>
        <v/>
      </c>
      <c r="AC37" s="12">
        <f>W37+Z37</f>
        <v/>
      </c>
      <c r="AD37" s="13">
        <f>X37+AA37</f>
        <v/>
      </c>
      <c r="AE37" s="13">
        <f>IF(AC37&gt;0, AD37/AC37, 0)</f>
        <v/>
      </c>
    </row>
    <row r="38">
      <c r="A38" s="7" t="inlineStr">
        <is>
          <t>Rạch Bùng Binh</t>
        </is>
      </c>
      <c r="B38" s="7" t="inlineStr">
        <is>
          <t>Phạm Nguyễn Ngọc Quyền Trân</t>
        </is>
      </c>
      <c r="C38" s="7" t="inlineStr">
        <is>
          <t>DSXC</t>
        </is>
      </c>
      <c r="D38" s="9" t="n">
        <v>175467.704918033</v>
      </c>
      <c r="E38" s="9">
        <f>AE38</f>
        <v/>
      </c>
      <c r="F38" s="9">
        <f>VLOOKUP(B38, 'Dự án T9'!$B:$D, 3, 0)</f>
        <v/>
      </c>
      <c r="G38" s="9">
        <f>VLOOKUP(B38, 'Dự án T9'!$B:$D, 3, 0)</f>
        <v/>
      </c>
      <c r="H38" s="9">
        <f>Q38</f>
        <v/>
      </c>
      <c r="I38" s="9">
        <f>(AD38/DAY($C$1))</f>
        <v/>
      </c>
      <c r="J38" s="25">
        <f>I38/H38</f>
        <v/>
      </c>
      <c r="K38" s="9">
        <f>IF(J38&gt;=Q38, 1200000, IF(J38&gt;=P38, 700000, IF(J38&gt;=O38, 500000, 0)))</f>
        <v/>
      </c>
      <c r="L38" s="8">
        <f>IF(C38="DSTV","", IF(J38&lt;0.6, 0.8, 1))</f>
        <v/>
      </c>
      <c r="M38" s="9">
        <f>VLOOKUP(B38, 'Dự án T9'!$B:$M, 12, 0)</f>
        <v/>
      </c>
      <c r="N38" s="26">
        <f>K38+M38*L38</f>
        <v/>
      </c>
      <c r="O38" s="28">
        <f>CEILING(R38, 100000)</f>
        <v/>
      </c>
      <c r="P38" s="28">
        <f>CEILING(S38, 100000)</f>
        <v/>
      </c>
      <c r="Q38" s="28">
        <f>CEILING(T38, 100000)</f>
        <v/>
      </c>
      <c r="R38" s="28">
        <f>U38*$R$2</f>
        <v/>
      </c>
      <c r="S38" s="28">
        <f>U38*$S$2</f>
        <v/>
      </c>
      <c r="T38" s="28">
        <f>U38*$T$2</f>
        <v/>
      </c>
      <c r="U38" s="9">
        <f>V38/DAY('kpi nhà thuốc'!$T$1)</f>
        <v/>
      </c>
      <c r="V38" s="9" t="n">
        <v>120000000</v>
      </c>
      <c r="W38" s="8">
        <f>SUMIF(data!$B:$B, B38, data!$C:$C)</f>
        <v/>
      </c>
      <c r="X38" s="9">
        <f>SUMIF(data!$B:$B, B38, data!$D:$D)</f>
        <v/>
      </c>
      <c r="Y38" s="9">
        <f>IF(W38&gt;0, X38/W38, 0)</f>
        <v/>
      </c>
      <c r="Z38" s="8">
        <f>SUMIF(data!$B:$B, B38, data!$E:$E)</f>
        <v/>
      </c>
      <c r="AA38" s="9">
        <f>SUMIF(data!$B:$B, B38, data!$F:$F)</f>
        <v/>
      </c>
      <c r="AB38" s="9">
        <f>IF(Z38&gt;0, AA38/Z38, 0)</f>
        <v/>
      </c>
      <c r="AC38" s="8">
        <f>W38+Z38</f>
        <v/>
      </c>
      <c r="AD38" s="9">
        <f>X38+AA38</f>
        <v/>
      </c>
      <c r="AE38" s="9">
        <f>IF(AC38&gt;0, AD38/AC38, 0)</f>
        <v/>
      </c>
    </row>
    <row r="39">
      <c r="A39" s="11" t="inlineStr">
        <is>
          <t>Lê Bình</t>
        </is>
      </c>
      <c r="B39" s="11" t="inlineStr">
        <is>
          <t>Hồ Thị Minh Hòa</t>
        </is>
      </c>
      <c r="C39" s="11" t="inlineStr">
        <is>
          <t>CHT</t>
        </is>
      </c>
      <c r="D39" s="13" t="n">
        <v>150000</v>
      </c>
      <c r="E39" s="13">
        <f>AE39</f>
        <v/>
      </c>
      <c r="F39" s="13">
        <f>VLOOKUP(B39, 'Dự án T9'!$B:$D, 3, 0)</f>
        <v/>
      </c>
      <c r="G39" s="13">
        <f>VLOOKUP(B39, 'Dự án T9'!$B:$D, 3, 0)</f>
        <v/>
      </c>
      <c r="H39" s="13">
        <f>Q39</f>
        <v/>
      </c>
      <c r="I39" s="13">
        <f>(AD39/DAY($C$1))</f>
        <v/>
      </c>
      <c r="J39" s="25">
        <f>I39/H39</f>
        <v/>
      </c>
      <c r="K39" s="13">
        <f>IF(J39&gt;=Q39, 1200000, IF(J39&gt;=P39, 700000, IF(J39&gt;=O39, 500000, 0)))</f>
        <v/>
      </c>
      <c r="L39" s="12">
        <f>IF(C39="DSTV","", IF(J39&lt;0.6, 0.8, 1))</f>
        <v/>
      </c>
      <c r="M39" s="13">
        <f>VLOOKUP(B39, 'Dự án T9'!$B:$M, 12, 0)</f>
        <v/>
      </c>
      <c r="N39" s="26">
        <f>K39+M39*L39</f>
        <v/>
      </c>
      <c r="O39" s="27">
        <f>CEILING(R39, 100000)</f>
        <v/>
      </c>
      <c r="P39" s="27">
        <f>CEILING(S39, 100000)</f>
        <v/>
      </c>
      <c r="Q39" s="27">
        <f>CEILING(T39, 100000)</f>
        <v/>
      </c>
      <c r="R39" s="27">
        <f>U39*$R$2</f>
        <v/>
      </c>
      <c r="S39" s="27">
        <f>U39*$S$2</f>
        <v/>
      </c>
      <c r="T39" s="27">
        <f>U39*$T$2</f>
        <v/>
      </c>
      <c r="U39" s="13">
        <f>V39/DAY('kpi nhà thuốc'!$T$1)</f>
        <v/>
      </c>
      <c r="V39" s="13" t="n">
        <v>65100000</v>
      </c>
      <c r="W39" s="12">
        <f>SUMIF(data!$B:$B, B39, data!$C:$C)</f>
        <v/>
      </c>
      <c r="X39" s="13">
        <f>SUMIF(data!$B:$B, B39, data!$D:$D)</f>
        <v/>
      </c>
      <c r="Y39" s="13">
        <f>IF(W39&gt;0, X39/W39, 0)</f>
        <v/>
      </c>
      <c r="Z39" s="12">
        <f>SUMIF(data!$B:$B, B39, data!$E:$E)</f>
        <v/>
      </c>
      <c r="AA39" s="13">
        <f>SUMIF(data!$B:$B, B39, data!$F:$F)</f>
        <v/>
      </c>
      <c r="AB39" s="13">
        <f>IF(Z39&gt;0, AA39/Z39, 0)</f>
        <v/>
      </c>
      <c r="AC39" s="12">
        <f>W39+Z39</f>
        <v/>
      </c>
      <c r="AD39" s="13">
        <f>X39+AA39</f>
        <v/>
      </c>
      <c r="AE39" s="13">
        <f>IF(AC39&gt;0, AD39/AC39, 0)</f>
        <v/>
      </c>
    </row>
    <row r="40">
      <c r="A40" s="7" t="inlineStr">
        <is>
          <t>Lê Bình</t>
        </is>
      </c>
      <c r="B40" s="7" t="inlineStr">
        <is>
          <t>Lê Thị Xuyến</t>
        </is>
      </c>
      <c r="C40" s="7" t="inlineStr">
        <is>
          <t>DSCD</t>
        </is>
      </c>
      <c r="D40" s="9" t="n">
        <v>150000</v>
      </c>
      <c r="E40" s="9">
        <f>AE40</f>
        <v/>
      </c>
      <c r="F40" s="9">
        <f>VLOOKUP(B40, 'Dự án T9'!$B:$D, 3, 0)</f>
        <v/>
      </c>
      <c r="G40" s="9">
        <f>VLOOKUP(B40, 'Dự án T9'!$B:$D, 3, 0)</f>
        <v/>
      </c>
      <c r="H40" s="9">
        <f>Q40</f>
        <v/>
      </c>
      <c r="I40" s="9">
        <f>(AD40/DAY($C$1))</f>
        <v/>
      </c>
      <c r="J40" s="25">
        <f>I40/H40</f>
        <v/>
      </c>
      <c r="K40" s="9">
        <f>IF(J40&gt;=Q40, 1200000, IF(J40&gt;=P40, 700000, IF(J40&gt;=O40, 500000, 0)))</f>
        <v/>
      </c>
      <c r="L40" s="8">
        <f>IF(C40="DSTV","", IF(J40&lt;0.6, 0.8, 1))</f>
        <v/>
      </c>
      <c r="M40" s="9">
        <f>VLOOKUP(B40, 'Dự án T9'!$B:$M, 12, 0)</f>
        <v/>
      </c>
      <c r="N40" s="26">
        <f>K40+M40*L40</f>
        <v/>
      </c>
      <c r="O40" s="28">
        <f>CEILING(R40, 100000)</f>
        <v/>
      </c>
      <c r="P40" s="28">
        <f>CEILING(S40, 100000)</f>
        <v/>
      </c>
      <c r="Q40" s="28">
        <f>CEILING(T40, 100000)</f>
        <v/>
      </c>
      <c r="R40" s="28">
        <f>U40*$R$2</f>
        <v/>
      </c>
      <c r="S40" s="28">
        <f>U40*$S$2</f>
        <v/>
      </c>
      <c r="T40" s="28">
        <f>U40*$T$2</f>
        <v/>
      </c>
      <c r="U40" s="9">
        <f>V40/DAY('kpi nhà thuốc'!$T$1)</f>
        <v/>
      </c>
      <c r="V40" s="9" t="n">
        <v>65100000</v>
      </c>
      <c r="W40" s="8">
        <f>SUMIF(data!$B:$B, B40, data!$C:$C)</f>
        <v/>
      </c>
      <c r="X40" s="9">
        <f>SUMIF(data!$B:$B, B40, data!$D:$D)</f>
        <v/>
      </c>
      <c r="Y40" s="9">
        <f>IF(W40&gt;0, X40/W40, 0)</f>
        <v/>
      </c>
      <c r="Z40" s="8">
        <f>SUMIF(data!$B:$B, B40, data!$E:$E)</f>
        <v/>
      </c>
      <c r="AA40" s="9">
        <f>SUMIF(data!$B:$B, B40, data!$F:$F)</f>
        <v/>
      </c>
      <c r="AB40" s="9">
        <f>IF(Z40&gt;0, AA40/Z40, 0)</f>
        <v/>
      </c>
      <c r="AC40" s="8">
        <f>W40+Z40</f>
        <v/>
      </c>
      <c r="AD40" s="9">
        <f>X40+AA40</f>
        <v/>
      </c>
      <c r="AE40" s="9">
        <f>IF(AC40&gt;0, AD40/AC40, 0)</f>
        <v/>
      </c>
    </row>
    <row r="41">
      <c r="A41" s="11" t="inlineStr">
        <is>
          <t>Lê Bình</t>
        </is>
      </c>
      <c r="B41" s="11" t="inlineStr">
        <is>
          <t>Đinh Hoài Bảo</t>
        </is>
      </c>
      <c r="C41" s="11" t="inlineStr">
        <is>
          <t>DSXC (TV)</t>
        </is>
      </c>
      <c r="D41" s="13" t="n">
        <v>150000</v>
      </c>
      <c r="E41" s="13">
        <f>AE41</f>
        <v/>
      </c>
      <c r="F41" s="13">
        <f>VLOOKUP(B41, 'Dự án T9'!$B:$D, 3, 0)</f>
        <v/>
      </c>
      <c r="G41" s="13">
        <f>VLOOKUP(B41, 'Dự án T9'!$B:$D, 3, 0)</f>
        <v/>
      </c>
      <c r="H41" s="13">
        <f>Q41</f>
        <v/>
      </c>
      <c r="I41" s="13">
        <f>(AD41/DAY($C$1))</f>
        <v/>
      </c>
      <c r="J41" s="25">
        <f>I41/H41</f>
        <v/>
      </c>
      <c r="K41" s="13">
        <f>IF(J41&gt;=Q41, 1200000, IF(J41&gt;=P41, 700000, IF(J41&gt;=O41, 500000, 0)))</f>
        <v/>
      </c>
      <c r="L41" s="12">
        <f>IF(C41="DSTV","", IF(J41&lt;0.6, 0.8, 1))</f>
        <v/>
      </c>
      <c r="M41" s="13">
        <f>VLOOKUP(B41, 'Dự án T9'!$B:$M, 12, 0)</f>
        <v/>
      </c>
      <c r="N41" s="26">
        <f>K41+M41*L41</f>
        <v/>
      </c>
      <c r="O41" s="27">
        <f>CEILING(R41, 100000)</f>
        <v/>
      </c>
      <c r="P41" s="27">
        <f>CEILING(S41, 100000)</f>
        <v/>
      </c>
      <c r="Q41" s="27">
        <f>CEILING(T41, 100000)</f>
        <v/>
      </c>
      <c r="R41" s="27">
        <f>U41*$R$2</f>
        <v/>
      </c>
      <c r="S41" s="27">
        <f>U41*$S$2</f>
        <v/>
      </c>
      <c r="T41" s="27">
        <f>U41*$T$2</f>
        <v/>
      </c>
      <c r="U41" s="13">
        <f>V41/DAY('kpi nhà thuốc'!$T$1)</f>
        <v/>
      </c>
      <c r="V41" s="13" t="n">
        <v>65100000</v>
      </c>
      <c r="W41" s="12">
        <f>SUMIF(data!$B:$B, B41, data!$C:$C)</f>
        <v/>
      </c>
      <c r="X41" s="13">
        <f>SUMIF(data!$B:$B, B41, data!$D:$D)</f>
        <v/>
      </c>
      <c r="Y41" s="13">
        <f>IF(W41&gt;0, X41/W41, 0)</f>
        <v/>
      </c>
      <c r="Z41" s="12">
        <f>SUMIF(data!$B:$B, B41, data!$E:$E)</f>
        <v/>
      </c>
      <c r="AA41" s="13">
        <f>SUMIF(data!$B:$B, B41, data!$F:$F)</f>
        <v/>
      </c>
      <c r="AB41" s="13">
        <f>IF(Z41&gt;0, AA41/Z41, 0)</f>
        <v/>
      </c>
      <c r="AC41" s="12">
        <f>W41+Z41</f>
        <v/>
      </c>
      <c r="AD41" s="13">
        <f>X41+AA41</f>
        <v/>
      </c>
      <c r="AE41" s="13">
        <f>IF(AC41&gt;0, AD41/AC41, 0)</f>
        <v/>
      </c>
    </row>
    <row r="42">
      <c r="A42" s="7" t="inlineStr">
        <is>
          <t>Lê Bình</t>
        </is>
      </c>
      <c r="B42" s="7" t="inlineStr">
        <is>
          <t>Hoàng Lâm Gia Bảo</t>
        </is>
      </c>
      <c r="C42" s="7" t="inlineStr">
        <is>
          <t>DSXC</t>
        </is>
      </c>
      <c r="D42" s="9" t="n">
        <v>150000</v>
      </c>
      <c r="E42" s="9">
        <f>AE42</f>
        <v/>
      </c>
      <c r="F42" s="9">
        <f>VLOOKUP(B42, 'Dự án T9'!$B:$D, 3, 0)</f>
        <v/>
      </c>
      <c r="G42" s="9">
        <f>VLOOKUP(B42, 'Dự án T9'!$B:$D, 3, 0)</f>
        <v/>
      </c>
      <c r="H42" s="9">
        <f>Q42</f>
        <v/>
      </c>
      <c r="I42" s="9">
        <f>(AD42/DAY($C$1))</f>
        <v/>
      </c>
      <c r="J42" s="25">
        <f>I42/H42</f>
        <v/>
      </c>
      <c r="K42" s="9">
        <f>IF(J42&gt;=Q42, 1200000, IF(J42&gt;=P42, 700000, IF(J42&gt;=O42, 500000, 0)))</f>
        <v/>
      </c>
      <c r="L42" s="8">
        <f>IF(C42="DSTV","", IF(J42&lt;0.6, 0.8, 1))</f>
        <v/>
      </c>
      <c r="M42" s="9">
        <f>VLOOKUP(B42, 'Dự án T9'!$B:$M, 12, 0)</f>
        <v/>
      </c>
      <c r="N42" s="26">
        <f>K42+M42*L42</f>
        <v/>
      </c>
      <c r="O42" s="28">
        <f>CEILING(R42, 100000)</f>
        <v/>
      </c>
      <c r="P42" s="28">
        <f>CEILING(S42, 100000)</f>
        <v/>
      </c>
      <c r="Q42" s="28">
        <f>CEILING(T42, 100000)</f>
        <v/>
      </c>
      <c r="R42" s="28">
        <f>U42*$R$2</f>
        <v/>
      </c>
      <c r="S42" s="28">
        <f>U42*$S$2</f>
        <v/>
      </c>
      <c r="T42" s="28">
        <f>U42*$T$2</f>
        <v/>
      </c>
      <c r="U42" s="9">
        <f>V42/DAY('kpi nhà thuốc'!$T$1)</f>
        <v/>
      </c>
      <c r="V42" s="9" t="n">
        <v>65100000</v>
      </c>
      <c r="W42" s="8">
        <f>SUMIF(data!$B:$B, B42, data!$C:$C)</f>
        <v/>
      </c>
      <c r="X42" s="9">
        <f>SUMIF(data!$B:$B, B42, data!$D:$D)</f>
        <v/>
      </c>
      <c r="Y42" s="9">
        <f>IF(W42&gt;0, X42/W42, 0)</f>
        <v/>
      </c>
      <c r="Z42" s="8">
        <f>SUMIF(data!$B:$B, B42, data!$E:$E)</f>
        <v/>
      </c>
      <c r="AA42" s="9">
        <f>SUMIF(data!$B:$B, B42, data!$F:$F)</f>
        <v/>
      </c>
      <c r="AB42" s="9">
        <f>IF(Z42&gt;0, AA42/Z42, 0)</f>
        <v/>
      </c>
      <c r="AC42" s="8">
        <f>W42+Z42</f>
        <v/>
      </c>
      <c r="AD42" s="9">
        <f>X42+AA42</f>
        <v/>
      </c>
      <c r="AE42" s="9">
        <f>IF(AC42&gt;0, AD42/AC42, 0)</f>
        <v/>
      </c>
    </row>
    <row r="43">
      <c r="A43" s="11" t="inlineStr">
        <is>
          <t>Lê Bình</t>
        </is>
      </c>
      <c r="B43" s="11" t="inlineStr">
        <is>
          <t>Trần Thị Phương Thùy</t>
        </is>
      </c>
      <c r="C43" s="11" t="inlineStr">
        <is>
          <t>DSXC (TV)</t>
        </is>
      </c>
      <c r="D43" s="13" t="n">
        <v>150000</v>
      </c>
      <c r="E43" s="13">
        <f>AE43</f>
        <v/>
      </c>
      <c r="F43" s="13">
        <f>VLOOKUP(B43, 'Dự án T9'!$B:$D, 3, 0)</f>
        <v/>
      </c>
      <c r="G43" s="13">
        <f>VLOOKUP(B43, 'Dự án T9'!$B:$D, 3, 0)</f>
        <v/>
      </c>
      <c r="H43" s="13">
        <f>Q43</f>
        <v/>
      </c>
      <c r="I43" s="13">
        <f>(AD43/DAY($C$1))</f>
        <v/>
      </c>
      <c r="J43" s="25">
        <f>I43/H43</f>
        <v/>
      </c>
      <c r="K43" s="13">
        <f>IF(J43&gt;=Q43, 1200000, IF(J43&gt;=P43, 700000, IF(J43&gt;=O43, 500000, 0)))</f>
        <v/>
      </c>
      <c r="L43" s="12">
        <f>IF(C43="DSTV","", IF(J43&lt;0.6, 0.8, 1))</f>
        <v/>
      </c>
      <c r="M43" s="13">
        <f>VLOOKUP(B43, 'Dự án T9'!$B:$M, 12, 0)</f>
        <v/>
      </c>
      <c r="N43" s="26">
        <f>K43+M43*L43</f>
        <v/>
      </c>
      <c r="O43" s="27">
        <f>CEILING(R43, 100000)</f>
        <v/>
      </c>
      <c r="P43" s="27">
        <f>CEILING(S43, 100000)</f>
        <v/>
      </c>
      <c r="Q43" s="27">
        <f>CEILING(T43, 100000)</f>
        <v/>
      </c>
      <c r="R43" s="27">
        <f>U43*$R$2</f>
        <v/>
      </c>
      <c r="S43" s="27">
        <f>U43*$S$2</f>
        <v/>
      </c>
      <c r="T43" s="27">
        <f>U43*$T$2</f>
        <v/>
      </c>
      <c r="U43" s="13">
        <f>V43/DAY('kpi nhà thuốc'!$T$1)</f>
        <v/>
      </c>
      <c r="V43" s="13" t="n">
        <v>65100000</v>
      </c>
      <c r="W43" s="12">
        <f>SUMIF(data!$B:$B, B43, data!$C:$C)</f>
        <v/>
      </c>
      <c r="X43" s="13">
        <f>SUMIF(data!$B:$B, B43, data!$D:$D)</f>
        <v/>
      </c>
      <c r="Y43" s="13">
        <f>IF(W43&gt;0, X43/W43, 0)</f>
        <v/>
      </c>
      <c r="Z43" s="12">
        <f>SUMIF(data!$B:$B, B43, data!$E:$E)</f>
        <v/>
      </c>
      <c r="AA43" s="13">
        <f>SUMIF(data!$B:$B, B43, data!$F:$F)</f>
        <v/>
      </c>
      <c r="AB43" s="13">
        <f>IF(Z43&gt;0, AA43/Z43, 0)</f>
        <v/>
      </c>
      <c r="AC43" s="12">
        <f>W43+Z43</f>
        <v/>
      </c>
      <c r="AD43" s="13">
        <f>X43+AA43</f>
        <v/>
      </c>
      <c r="AE43" s="13">
        <f>IF(AC43&gt;0, AD43/AC43, 0)</f>
        <v/>
      </c>
    </row>
    <row r="44">
      <c r="A44" s="7" t="inlineStr">
        <is>
          <t>Hàng Bông</t>
        </is>
      </c>
      <c r="B44" s="7" t="inlineStr">
        <is>
          <t>Đinh Thị Lan Anh</t>
        </is>
      </c>
      <c r="C44" s="7" t="inlineStr">
        <is>
          <t>CHT</t>
        </is>
      </c>
      <c r="D44" s="9" t="n">
        <v>187790</v>
      </c>
      <c r="E44" s="9">
        <f>AE44</f>
        <v/>
      </c>
      <c r="F44" s="9">
        <f>VLOOKUP(B44, 'Dự án T9'!$B:$D, 3, 0)</f>
        <v/>
      </c>
      <c r="G44" s="9">
        <f>VLOOKUP(B44, 'Dự án T9'!$B:$D, 3, 0)</f>
        <v/>
      </c>
      <c r="H44" s="9">
        <f>Q44</f>
        <v/>
      </c>
      <c r="I44" s="9">
        <f>(AD44/DAY($C$1))</f>
        <v/>
      </c>
      <c r="J44" s="25">
        <f>I44/H44</f>
        <v/>
      </c>
      <c r="K44" s="9">
        <f>IF(J44&gt;=Q44, 1200000, IF(J44&gt;=P44, 700000, IF(J44&gt;=O44, 500000, 0)))</f>
        <v/>
      </c>
      <c r="L44" s="8">
        <f>IF(C44="DSTV","", IF(J44&lt;0.6, 0.8, 1))</f>
        <v/>
      </c>
      <c r="M44" s="9">
        <f>VLOOKUP(B44, 'Dự án T9'!$B:$M, 12, 0)</f>
        <v/>
      </c>
      <c r="N44" s="26">
        <f>K44+M44*L44</f>
        <v/>
      </c>
      <c r="O44" s="28">
        <f>CEILING(R44, 100000)</f>
        <v/>
      </c>
      <c r="P44" s="28">
        <f>CEILING(S44, 100000)</f>
        <v/>
      </c>
      <c r="Q44" s="28">
        <f>CEILING(T44, 100000)</f>
        <v/>
      </c>
      <c r="R44" s="28">
        <f>U44*$R$2</f>
        <v/>
      </c>
      <c r="S44" s="28">
        <f>U44*$S$2</f>
        <v/>
      </c>
      <c r="T44" s="28">
        <f>U44*$T$2</f>
        <v/>
      </c>
      <c r="U44" s="9">
        <f>V44/DAY('kpi nhà thuốc'!$T$1)</f>
        <v/>
      </c>
      <c r="V44" s="9" t="n">
        <v>264000000</v>
      </c>
      <c r="W44" s="8">
        <f>SUMIF(data!$B:$B, B44, data!$C:$C)</f>
        <v/>
      </c>
      <c r="X44" s="9">
        <f>SUMIF(data!$B:$B, B44, data!$D:$D)</f>
        <v/>
      </c>
      <c r="Y44" s="9">
        <f>IF(W44&gt;0, X44/W44, 0)</f>
        <v/>
      </c>
      <c r="Z44" s="8">
        <f>SUMIF(data!$B:$B, B44, data!$E:$E)</f>
        <v/>
      </c>
      <c r="AA44" s="9">
        <f>SUMIF(data!$B:$B, B44, data!$F:$F)</f>
        <v/>
      </c>
      <c r="AB44" s="9">
        <f>IF(Z44&gt;0, AA44/Z44, 0)</f>
        <v/>
      </c>
      <c r="AC44" s="8">
        <f>W44+Z44</f>
        <v/>
      </c>
      <c r="AD44" s="9">
        <f>X44+AA44</f>
        <v/>
      </c>
      <c r="AE44" s="9">
        <f>IF(AC44&gt;0, AD44/AC44, 0)</f>
        <v/>
      </c>
    </row>
    <row r="45">
      <c r="A45" s="11" t="inlineStr">
        <is>
          <t>Hàng Bông</t>
        </is>
      </c>
      <c r="B45" s="11" t="inlineStr">
        <is>
          <t>Vũ Thanh Hằng</t>
        </is>
      </c>
      <c r="C45" s="11" t="inlineStr">
        <is>
          <t>BC</t>
        </is>
      </c>
      <c r="D45" s="13" t="n">
        <v>326285</v>
      </c>
      <c r="E45" s="13">
        <f>AE45</f>
        <v/>
      </c>
      <c r="F45" s="13">
        <f>VLOOKUP(B45, 'Dự án T9'!$B:$D, 3, 0)</f>
        <v/>
      </c>
      <c r="G45" s="13">
        <f>VLOOKUP(B45, 'Dự án T9'!$B:$D, 3, 0)</f>
        <v/>
      </c>
      <c r="H45" s="13">
        <f>Q45</f>
        <v/>
      </c>
      <c r="I45" s="13">
        <f>(AD45/DAY($C$1))</f>
        <v/>
      </c>
      <c r="J45" s="25">
        <f>I45/H45</f>
        <v/>
      </c>
      <c r="K45" s="13">
        <f>IF(J45&gt;=Q45, 1200000, IF(J45&gt;=P45, 700000, IF(J45&gt;=O45, 500000, 0)))</f>
        <v/>
      </c>
      <c r="L45" s="12">
        <f>IF(C45="DSTV","", IF(J45&lt;0.6, 0.8, 1))</f>
        <v/>
      </c>
      <c r="M45" s="13">
        <f>VLOOKUP(B45, 'Dự án T9'!$B:$M, 12, 0)</f>
        <v/>
      </c>
      <c r="N45" s="26">
        <f>K45+M45*L45</f>
        <v/>
      </c>
      <c r="O45" s="27">
        <f>CEILING(R45, 100000)</f>
        <v/>
      </c>
      <c r="P45" s="27">
        <f>CEILING(S45, 100000)</f>
        <v/>
      </c>
      <c r="Q45" s="27">
        <f>CEILING(T45, 100000)</f>
        <v/>
      </c>
      <c r="R45" s="27">
        <f>U45*$R$2</f>
        <v/>
      </c>
      <c r="S45" s="27">
        <f>U45*$S$2</f>
        <v/>
      </c>
      <c r="T45" s="27">
        <f>U45*$T$2</f>
        <v/>
      </c>
      <c r="U45" s="13">
        <f>V45/DAY('kpi nhà thuốc'!$T$1)</f>
        <v/>
      </c>
      <c r="V45" s="13" t="n">
        <v>339000000</v>
      </c>
      <c r="W45" s="12">
        <f>SUMIF(data!$B:$B, B45, data!$C:$C)</f>
        <v/>
      </c>
      <c r="X45" s="13">
        <f>SUMIF(data!$B:$B, B45, data!$D:$D)</f>
        <v/>
      </c>
      <c r="Y45" s="13">
        <f>IF(W45&gt;0, X45/W45, 0)</f>
        <v/>
      </c>
      <c r="Z45" s="12">
        <f>SUMIF(data!$B:$B, B45, data!$E:$E)</f>
        <v/>
      </c>
      <c r="AA45" s="13">
        <f>SUMIF(data!$B:$B, B45, data!$F:$F)</f>
        <v/>
      </c>
      <c r="AB45" s="13">
        <f>IF(Z45&gt;0, AA45/Z45, 0)</f>
        <v/>
      </c>
      <c r="AC45" s="12">
        <f>W45+Z45</f>
        <v/>
      </c>
      <c r="AD45" s="13">
        <f>X45+AA45</f>
        <v/>
      </c>
      <c r="AE45" s="13">
        <f>IF(AC45&gt;0, AD45/AC45, 0)</f>
        <v/>
      </c>
    </row>
    <row r="46">
      <c r="A46" s="7" t="inlineStr">
        <is>
          <t>Hàng Bông</t>
        </is>
      </c>
      <c r="B46" s="7" t="inlineStr">
        <is>
          <t>Nguyễn Mạnh Tuấn</t>
        </is>
      </c>
      <c r="C46" s="7" t="inlineStr">
        <is>
          <t>BC</t>
        </is>
      </c>
      <c r="D46" s="9" t="n">
        <v>173037</v>
      </c>
      <c r="E46" s="9">
        <f>AE46</f>
        <v/>
      </c>
      <c r="F46" s="9">
        <f>VLOOKUP(B46, 'Dự án T9'!$B:$D, 3, 0)</f>
        <v/>
      </c>
      <c r="G46" s="9">
        <f>VLOOKUP(B46, 'Dự án T9'!$B:$D, 3, 0)</f>
        <v/>
      </c>
      <c r="H46" s="9">
        <f>Q46</f>
        <v/>
      </c>
      <c r="I46" s="9">
        <f>(AD46/DAY($C$1))</f>
        <v/>
      </c>
      <c r="J46" s="25">
        <f>I46/H46</f>
        <v/>
      </c>
      <c r="K46" s="9">
        <f>IF(J46&gt;=Q46, 1200000, IF(J46&gt;=P46, 700000, IF(J46&gt;=O46, 500000, 0)))</f>
        <v/>
      </c>
      <c r="L46" s="8">
        <f>IF(C46="DSTV","", IF(J46&lt;0.6, 0.8, 1))</f>
        <v/>
      </c>
      <c r="M46" s="9">
        <f>VLOOKUP(B46, 'Dự án T9'!$B:$M, 12, 0)</f>
        <v/>
      </c>
      <c r="N46" s="26">
        <f>K46+M46*L46</f>
        <v/>
      </c>
      <c r="O46" s="28">
        <f>CEILING(R46, 100000)</f>
        <v/>
      </c>
      <c r="P46" s="28">
        <f>CEILING(S46, 100000)</f>
        <v/>
      </c>
      <c r="Q46" s="28">
        <f>CEILING(T46, 100000)</f>
        <v/>
      </c>
      <c r="R46" s="28">
        <f>U46*$R$2</f>
        <v/>
      </c>
      <c r="S46" s="28">
        <f>U46*$S$2</f>
        <v/>
      </c>
      <c r="T46" s="28">
        <f>U46*$T$2</f>
        <v/>
      </c>
      <c r="U46" s="9">
        <f>V46/DAY('kpi nhà thuốc'!$T$1)</f>
        <v/>
      </c>
      <c r="V46" s="9" t="n">
        <v>291000000</v>
      </c>
      <c r="W46" s="8">
        <f>SUMIF(data!$B:$B, B46, data!$C:$C)</f>
        <v/>
      </c>
      <c r="X46" s="9">
        <f>SUMIF(data!$B:$B, B46, data!$D:$D)</f>
        <v/>
      </c>
      <c r="Y46" s="9">
        <f>IF(W46&gt;0, X46/W46, 0)</f>
        <v/>
      </c>
      <c r="Z46" s="8">
        <f>SUMIF(data!$B:$B, B46, data!$E:$E)</f>
        <v/>
      </c>
      <c r="AA46" s="9">
        <f>SUMIF(data!$B:$B, B46, data!$F:$F)</f>
        <v/>
      </c>
      <c r="AB46" s="9">
        <f>IF(Z46&gt;0, AA46/Z46, 0)</f>
        <v/>
      </c>
      <c r="AC46" s="8">
        <f>W46+Z46</f>
        <v/>
      </c>
      <c r="AD46" s="9">
        <f>X46+AA46</f>
        <v/>
      </c>
      <c r="AE46" s="9">
        <f>IF(AC46&gt;0, AD46/AC46, 0)</f>
        <v/>
      </c>
    </row>
    <row r="47">
      <c r="A47" s="11" t="inlineStr">
        <is>
          <t>Hàng Bông</t>
        </is>
      </c>
      <c r="B47" s="11" t="inlineStr">
        <is>
          <t>Đinh Thị Khánh Ly</t>
        </is>
      </c>
      <c r="C47" s="11" t="inlineStr">
        <is>
          <t>BC</t>
        </is>
      </c>
      <c r="D47" s="13" t="n">
        <v>245749</v>
      </c>
      <c r="E47" s="13">
        <f>AE47</f>
        <v/>
      </c>
      <c r="F47" s="13">
        <f>VLOOKUP(B47, 'Dự án T9'!$B:$D, 3, 0)</f>
        <v/>
      </c>
      <c r="G47" s="13">
        <f>VLOOKUP(B47, 'Dự án T9'!$B:$D, 3, 0)</f>
        <v/>
      </c>
      <c r="H47" s="13">
        <f>Q47</f>
        <v/>
      </c>
      <c r="I47" s="13">
        <f>(AD47/DAY($C$1))</f>
        <v/>
      </c>
      <c r="J47" s="25">
        <f>I47/H47</f>
        <v/>
      </c>
      <c r="K47" s="13">
        <f>IF(J47&gt;=Q47, 1200000, IF(J47&gt;=P47, 700000, IF(J47&gt;=O47, 500000, 0)))</f>
        <v/>
      </c>
      <c r="L47" s="12">
        <f>IF(C47="DSTV","", IF(J47&lt;0.6, 0.8, 1))</f>
        <v/>
      </c>
      <c r="M47" s="13">
        <f>VLOOKUP(B47, 'Dự án T9'!$B:$M, 12, 0)</f>
        <v/>
      </c>
      <c r="N47" s="26">
        <f>K47+M47*L47</f>
        <v/>
      </c>
      <c r="O47" s="27">
        <f>CEILING(R47, 100000)</f>
        <v/>
      </c>
      <c r="P47" s="27">
        <f>CEILING(S47, 100000)</f>
        <v/>
      </c>
      <c r="Q47" s="27">
        <f>CEILING(T47, 100000)</f>
        <v/>
      </c>
      <c r="R47" s="27">
        <f>U47*$R$2</f>
        <v/>
      </c>
      <c r="S47" s="27">
        <f>U47*$S$2</f>
        <v/>
      </c>
      <c r="T47" s="27">
        <f>U47*$T$2</f>
        <v/>
      </c>
      <c r="U47" s="13">
        <f>V47/DAY('kpi nhà thuốc'!$T$1)</f>
        <v/>
      </c>
      <c r="V47" s="13" t="n">
        <v>339000000</v>
      </c>
      <c r="W47" s="12">
        <f>SUMIF(data!$B:$B, B47, data!$C:$C)</f>
        <v/>
      </c>
      <c r="X47" s="13">
        <f>SUMIF(data!$B:$B, B47, data!$D:$D)</f>
        <v/>
      </c>
      <c r="Y47" s="13">
        <f>IF(W47&gt;0, X47/W47, 0)</f>
        <v/>
      </c>
      <c r="Z47" s="12">
        <f>SUMIF(data!$B:$B, B47, data!$E:$E)</f>
        <v/>
      </c>
      <c r="AA47" s="13">
        <f>SUMIF(data!$B:$B, B47, data!$F:$F)</f>
        <v/>
      </c>
      <c r="AB47" s="13">
        <f>IF(Z47&gt;0, AA47/Z47, 0)</f>
        <v/>
      </c>
      <c r="AC47" s="12">
        <f>W47+Z47</f>
        <v/>
      </c>
      <c r="AD47" s="13">
        <f>X47+AA47</f>
        <v/>
      </c>
      <c r="AE47" s="13">
        <f>IF(AC47&gt;0, AD47/AC47, 0)</f>
        <v/>
      </c>
    </row>
    <row r="48">
      <c r="A48" s="7" t="inlineStr">
        <is>
          <t>Hàng Bông</t>
        </is>
      </c>
      <c r="B48" s="7" t="inlineStr">
        <is>
          <t>Đỗ Thu Huệ</t>
        </is>
      </c>
      <c r="C48" s="7" t="inlineStr">
        <is>
          <t>DSXC (TV)</t>
        </is>
      </c>
      <c r="D48" s="9" t="n">
        <v>150000</v>
      </c>
      <c r="E48" s="9">
        <f>AE48</f>
        <v/>
      </c>
      <c r="F48" s="9">
        <f>VLOOKUP(B48, 'Dự án T9'!$B:$D, 3, 0)</f>
        <v/>
      </c>
      <c r="G48" s="9">
        <f>VLOOKUP(B48, 'Dự án T9'!$B:$D, 3, 0)</f>
        <v/>
      </c>
      <c r="H48" s="9">
        <f>Q48</f>
        <v/>
      </c>
      <c r="I48" s="9">
        <f>(AD48/DAY($C$1))</f>
        <v/>
      </c>
      <c r="J48" s="25">
        <f>I48/H48</f>
        <v/>
      </c>
      <c r="K48" s="9">
        <f>IF(J48&gt;=Q48, 1200000, IF(J48&gt;=P48, 700000, IF(J48&gt;=O48, 500000, 0)))</f>
        <v/>
      </c>
      <c r="L48" s="8">
        <f>IF(C48="DSTV","", IF(J48&lt;0.6, 0.8, 1))</f>
        <v/>
      </c>
      <c r="M48" s="9">
        <f>VLOOKUP(B48, 'Dự án T9'!$B:$M, 12, 0)</f>
        <v/>
      </c>
      <c r="N48" s="26">
        <f>K48+M48*L48</f>
        <v/>
      </c>
      <c r="O48" s="28">
        <f>CEILING(R48, 100000)</f>
        <v/>
      </c>
      <c r="P48" s="28">
        <f>CEILING(S48, 100000)</f>
        <v/>
      </c>
      <c r="Q48" s="28">
        <f>CEILING(T48, 100000)</f>
        <v/>
      </c>
      <c r="R48" s="28">
        <f>U48*$R$2</f>
        <v/>
      </c>
      <c r="S48" s="28">
        <f>U48*$S$2</f>
        <v/>
      </c>
      <c r="T48" s="28">
        <f>U48*$T$2</f>
        <v/>
      </c>
      <c r="U48" s="9">
        <f>V48/DAY('kpi nhà thuốc'!$T$1)</f>
        <v/>
      </c>
      <c r="V48" s="9" t="n">
        <v>270000000</v>
      </c>
      <c r="W48" s="8">
        <f>SUMIF(data!$B:$B, B48, data!$C:$C)</f>
        <v/>
      </c>
      <c r="X48" s="9">
        <f>SUMIF(data!$B:$B, B48, data!$D:$D)</f>
        <v/>
      </c>
      <c r="Y48" s="9">
        <f>IF(W48&gt;0, X48/W48, 0)</f>
        <v/>
      </c>
      <c r="Z48" s="8">
        <f>SUMIF(data!$B:$B, B48, data!$E:$E)</f>
        <v/>
      </c>
      <c r="AA48" s="9">
        <f>SUMIF(data!$B:$B, B48, data!$F:$F)</f>
        <v/>
      </c>
      <c r="AB48" s="9">
        <f>IF(Z48&gt;0, AA48/Z48, 0)</f>
        <v/>
      </c>
      <c r="AC48" s="8">
        <f>W48+Z48</f>
        <v/>
      </c>
      <c r="AD48" s="9">
        <f>X48+AA48</f>
        <v/>
      </c>
      <c r="AE48" s="9">
        <f>IF(AC48&gt;0, AD48/AC48, 0)</f>
        <v/>
      </c>
    </row>
    <row r="49">
      <c r="A49" s="11" t="inlineStr">
        <is>
          <t>Đường Láng</t>
        </is>
      </c>
      <c r="B49" s="11" t="inlineStr">
        <is>
          <t>Hứa Thị Kim Thoa</t>
        </is>
      </c>
      <c r="C49" s="11" t="inlineStr">
        <is>
          <t>CHT</t>
        </is>
      </c>
      <c r="D49" s="13" t="n">
        <v>166214</v>
      </c>
      <c r="E49" s="13">
        <f>AE49</f>
        <v/>
      </c>
      <c r="F49" s="13">
        <f>VLOOKUP(B49, 'Dự án T9'!$B:$D, 3, 0)</f>
        <v/>
      </c>
      <c r="G49" s="13">
        <f>VLOOKUP(B49, 'Dự án T9'!$B:$D, 3, 0)</f>
        <v/>
      </c>
      <c r="H49" s="13">
        <f>Q49</f>
        <v/>
      </c>
      <c r="I49" s="13">
        <f>(AD49/DAY($C$1))</f>
        <v/>
      </c>
      <c r="J49" s="25">
        <f>I49/H49</f>
        <v/>
      </c>
      <c r="K49" s="13">
        <f>IF(J49&gt;=Q49, 1200000, IF(J49&gt;=P49, 700000, IF(J49&gt;=O49, 500000, 0)))</f>
        <v/>
      </c>
      <c r="L49" s="12">
        <f>IF(C49="DSTV","", IF(J49&lt;0.6, 0.8, 1))</f>
        <v/>
      </c>
      <c r="M49" s="13">
        <f>VLOOKUP(B49, 'Dự án T9'!$B:$M, 12, 0)</f>
        <v/>
      </c>
      <c r="N49" s="26">
        <f>K49+M49*L49</f>
        <v/>
      </c>
      <c r="O49" s="27">
        <f>CEILING(R49, 100000)</f>
        <v/>
      </c>
      <c r="P49" s="27">
        <f>CEILING(S49, 100000)</f>
        <v/>
      </c>
      <c r="Q49" s="27">
        <f>CEILING(T49, 100000)</f>
        <v/>
      </c>
      <c r="R49" s="27">
        <f>U49*$R$2</f>
        <v/>
      </c>
      <c r="S49" s="27">
        <f>U49*$S$2</f>
        <v/>
      </c>
      <c r="T49" s="27">
        <f>U49*$T$2</f>
        <v/>
      </c>
      <c r="U49" s="13">
        <f>V49/DAY('kpi nhà thuốc'!$T$1)</f>
        <v/>
      </c>
      <c r="V49" s="13" t="n">
        <v>117000000</v>
      </c>
      <c r="W49" s="12">
        <f>SUMIF(data!$B:$B, B49, data!$C:$C)</f>
        <v/>
      </c>
      <c r="X49" s="13">
        <f>SUMIF(data!$B:$B, B49, data!$D:$D)</f>
        <v/>
      </c>
      <c r="Y49" s="13">
        <f>IF(W49&gt;0, X49/W49, 0)</f>
        <v/>
      </c>
      <c r="Z49" s="12">
        <f>SUMIF(data!$B:$B, B49, data!$E:$E)</f>
        <v/>
      </c>
      <c r="AA49" s="13">
        <f>SUMIF(data!$B:$B, B49, data!$F:$F)</f>
        <v/>
      </c>
      <c r="AB49" s="13">
        <f>IF(Z49&gt;0, AA49/Z49, 0)</f>
        <v/>
      </c>
      <c r="AC49" s="12">
        <f>W49+Z49</f>
        <v/>
      </c>
      <c r="AD49" s="13">
        <f>X49+AA49</f>
        <v/>
      </c>
      <c r="AE49" s="13">
        <f>IF(AC49&gt;0, AD49/AC49, 0)</f>
        <v/>
      </c>
    </row>
    <row r="50">
      <c r="A50" s="7" t="inlineStr">
        <is>
          <t>Đường Láng</t>
        </is>
      </c>
      <c r="B50" s="7" t="inlineStr">
        <is>
          <t>Lê Thị Soạn</t>
        </is>
      </c>
      <c r="C50" s="7" t="inlineStr">
        <is>
          <t>BC</t>
        </is>
      </c>
      <c r="D50" s="9" t="n">
        <v>130639</v>
      </c>
      <c r="E50" s="9">
        <f>AE50</f>
        <v/>
      </c>
      <c r="F50" s="9">
        <f>VLOOKUP(B50, 'Dự án T9'!$B:$D, 3, 0)</f>
        <v/>
      </c>
      <c r="G50" s="9">
        <f>VLOOKUP(B50, 'Dự án T9'!$B:$D, 3, 0)</f>
        <v/>
      </c>
      <c r="H50" s="9">
        <f>Q50</f>
        <v/>
      </c>
      <c r="I50" s="9">
        <f>(AD50/DAY($C$1))</f>
        <v/>
      </c>
      <c r="J50" s="25">
        <f>I50/H50</f>
        <v/>
      </c>
      <c r="K50" s="9">
        <f>IF(J50&gt;=Q50, 1200000, IF(J50&gt;=P50, 700000, IF(J50&gt;=O50, 500000, 0)))</f>
        <v/>
      </c>
      <c r="L50" s="8">
        <f>IF(C50="DSTV","", IF(J50&lt;0.6, 0.8, 1))</f>
        <v/>
      </c>
      <c r="M50" s="9">
        <f>VLOOKUP(B50, 'Dự án T9'!$B:$M, 12, 0)</f>
        <v/>
      </c>
      <c r="N50" s="26">
        <f>K50+M50*L50</f>
        <v/>
      </c>
      <c r="O50" s="28">
        <f>CEILING(R50, 100000)</f>
        <v/>
      </c>
      <c r="P50" s="28">
        <f>CEILING(S50, 100000)</f>
        <v/>
      </c>
      <c r="Q50" s="28">
        <f>CEILING(T50, 100000)</f>
        <v/>
      </c>
      <c r="R50" s="28">
        <f>U50*$R$2</f>
        <v/>
      </c>
      <c r="S50" s="28">
        <f>U50*$S$2</f>
        <v/>
      </c>
      <c r="T50" s="28">
        <f>U50*$T$2</f>
        <v/>
      </c>
      <c r="U50" s="9">
        <f>V50/DAY('kpi nhà thuốc'!$T$1)</f>
        <v/>
      </c>
      <c r="V50" s="9" t="n">
        <v>225000000</v>
      </c>
      <c r="W50" s="8">
        <f>SUMIF(data!$B:$B, B50, data!$C:$C)</f>
        <v/>
      </c>
      <c r="X50" s="9">
        <f>SUMIF(data!$B:$B, B50, data!$D:$D)</f>
        <v/>
      </c>
      <c r="Y50" s="9">
        <f>IF(W50&gt;0, X50/W50, 0)</f>
        <v/>
      </c>
      <c r="Z50" s="8">
        <f>SUMIF(data!$B:$B, B50, data!$E:$E)</f>
        <v/>
      </c>
      <c r="AA50" s="9">
        <f>SUMIF(data!$B:$B, B50, data!$F:$F)</f>
        <v/>
      </c>
      <c r="AB50" s="9">
        <f>IF(Z50&gt;0, AA50/Z50, 0)</f>
        <v/>
      </c>
      <c r="AC50" s="8">
        <f>W50+Z50</f>
        <v/>
      </c>
      <c r="AD50" s="9">
        <f>X50+AA50</f>
        <v/>
      </c>
      <c r="AE50" s="9">
        <f>IF(AC50&gt;0, AD50/AC50, 0)</f>
        <v/>
      </c>
    </row>
    <row r="51">
      <c r="A51" s="11" t="inlineStr">
        <is>
          <t>Đường Láng</t>
        </is>
      </c>
      <c r="B51" s="11" t="inlineStr">
        <is>
          <t>Nguyễn Thị Tâm</t>
        </is>
      </c>
      <c r="C51" s="11" t="inlineStr">
        <is>
          <t>BC</t>
        </is>
      </c>
      <c r="D51" s="13" t="n">
        <v>171564</v>
      </c>
      <c r="E51" s="13">
        <f>AE51</f>
        <v/>
      </c>
      <c r="F51" s="13">
        <f>VLOOKUP(B51, 'Dự án T9'!$B:$D, 3, 0)</f>
        <v/>
      </c>
      <c r="G51" s="13">
        <f>VLOOKUP(B51, 'Dự án T9'!$B:$D, 3, 0)</f>
        <v/>
      </c>
      <c r="H51" s="13">
        <f>Q51</f>
        <v/>
      </c>
      <c r="I51" s="13">
        <f>(AD51/DAY($C$1))</f>
        <v/>
      </c>
      <c r="J51" s="25">
        <f>I51/H51</f>
        <v/>
      </c>
      <c r="K51" s="13">
        <f>IF(J51&gt;=Q51, 1200000, IF(J51&gt;=P51, 700000, IF(J51&gt;=O51, 500000, 0)))</f>
        <v/>
      </c>
      <c r="L51" s="12">
        <f>IF(C51="DSTV","", IF(J51&lt;0.6, 0.8, 1))</f>
        <v/>
      </c>
      <c r="M51" s="13">
        <f>VLOOKUP(B51, 'Dự án T9'!$B:$M, 12, 0)</f>
        <v/>
      </c>
      <c r="N51" s="26">
        <f>K51+M51*L51</f>
        <v/>
      </c>
      <c r="O51" s="27">
        <f>CEILING(R51, 100000)</f>
        <v/>
      </c>
      <c r="P51" s="27">
        <f>CEILING(S51, 100000)</f>
        <v/>
      </c>
      <c r="Q51" s="27">
        <f>CEILING(T51, 100000)</f>
        <v/>
      </c>
      <c r="R51" s="27">
        <f>U51*$R$2</f>
        <v/>
      </c>
      <c r="S51" s="27">
        <f>U51*$S$2</f>
        <v/>
      </c>
      <c r="T51" s="27">
        <f>U51*$T$2</f>
        <v/>
      </c>
      <c r="U51" s="13">
        <f>V51/DAY('kpi nhà thuốc'!$T$1)</f>
        <v/>
      </c>
      <c r="V51" s="13" t="n">
        <v>195000000</v>
      </c>
      <c r="W51" s="12">
        <f>SUMIF(data!$B:$B, B51, data!$C:$C)</f>
        <v/>
      </c>
      <c r="X51" s="13">
        <f>SUMIF(data!$B:$B, B51, data!$D:$D)</f>
        <v/>
      </c>
      <c r="Y51" s="13">
        <f>IF(W51&gt;0, X51/W51, 0)</f>
        <v/>
      </c>
      <c r="Z51" s="12">
        <f>SUMIF(data!$B:$B, B51, data!$E:$E)</f>
        <v/>
      </c>
      <c r="AA51" s="13">
        <f>SUMIF(data!$B:$B, B51, data!$F:$F)</f>
        <v/>
      </c>
      <c r="AB51" s="13">
        <f>IF(Z51&gt;0, AA51/Z51, 0)</f>
        <v/>
      </c>
      <c r="AC51" s="12">
        <f>W51+Z51</f>
        <v/>
      </c>
      <c r="AD51" s="13">
        <f>X51+AA51</f>
        <v/>
      </c>
      <c r="AE51" s="13">
        <f>IF(AC51&gt;0, AD51/AC51, 0)</f>
        <v/>
      </c>
    </row>
    <row r="52">
      <c r="A52" s="7" t="inlineStr">
        <is>
          <t>Đường Láng</t>
        </is>
      </c>
      <c r="B52" s="7" t="inlineStr">
        <is>
          <t>Nguyễn Thị Mai Duyên</t>
        </is>
      </c>
      <c r="C52" s="7" t="inlineStr">
        <is>
          <t>BC</t>
        </is>
      </c>
      <c r="D52" s="9" t="n">
        <v>220069</v>
      </c>
      <c r="E52" s="9">
        <f>AE52</f>
        <v/>
      </c>
      <c r="F52" s="9">
        <f>VLOOKUP(B52, 'Dự án T9'!$B:$D, 3, 0)</f>
        <v/>
      </c>
      <c r="G52" s="9">
        <f>VLOOKUP(B52, 'Dự án T9'!$B:$D, 3, 0)</f>
        <v/>
      </c>
      <c r="H52" s="9">
        <f>Q52</f>
        <v/>
      </c>
      <c r="I52" s="9">
        <f>(AD52/DAY($C$1))</f>
        <v/>
      </c>
      <c r="J52" s="25">
        <f>I52/H52</f>
        <v/>
      </c>
      <c r="K52" s="9">
        <f>IF(J52&gt;=Q52, 1200000, IF(J52&gt;=P52, 700000, IF(J52&gt;=O52, 500000, 0)))</f>
        <v/>
      </c>
      <c r="L52" s="8">
        <f>IF(C52="DSTV","", IF(J52&lt;0.6, 0.8, 1))</f>
        <v/>
      </c>
      <c r="M52" s="9">
        <f>VLOOKUP(B52, 'Dự án T9'!$B:$M, 12, 0)</f>
        <v/>
      </c>
      <c r="N52" s="26">
        <f>K52+M52*L52</f>
        <v/>
      </c>
      <c r="O52" s="28">
        <f>CEILING(R52, 100000)</f>
        <v/>
      </c>
      <c r="P52" s="28">
        <f>CEILING(S52, 100000)</f>
        <v/>
      </c>
      <c r="Q52" s="28">
        <f>CEILING(T52, 100000)</f>
        <v/>
      </c>
      <c r="R52" s="28">
        <f>U52*$R$2</f>
        <v/>
      </c>
      <c r="S52" s="28">
        <f>U52*$S$2</f>
        <v/>
      </c>
      <c r="T52" s="28">
        <f>U52*$T$2</f>
        <v/>
      </c>
      <c r="U52" s="9">
        <f>V52/DAY('kpi nhà thuốc'!$T$1)</f>
        <v/>
      </c>
      <c r="V52" s="9" t="n">
        <v>225000000</v>
      </c>
      <c r="W52" s="8">
        <f>SUMIF(data!$B:$B, B52, data!$C:$C)</f>
        <v/>
      </c>
      <c r="X52" s="9">
        <f>SUMIF(data!$B:$B, B52, data!$D:$D)</f>
        <v/>
      </c>
      <c r="Y52" s="9">
        <f>IF(W52&gt;0, X52/W52, 0)</f>
        <v/>
      </c>
      <c r="Z52" s="8">
        <f>SUMIF(data!$B:$B, B52, data!$E:$E)</f>
        <v/>
      </c>
      <c r="AA52" s="9">
        <f>SUMIF(data!$B:$B, B52, data!$F:$F)</f>
        <v/>
      </c>
      <c r="AB52" s="9">
        <f>IF(Z52&gt;0, AA52/Z52, 0)</f>
        <v/>
      </c>
      <c r="AC52" s="8">
        <f>W52+Z52</f>
        <v/>
      </c>
      <c r="AD52" s="9">
        <f>X52+AA52</f>
        <v/>
      </c>
      <c r="AE52" s="9">
        <f>IF(AC52&gt;0, AD52/AC52, 0)</f>
        <v/>
      </c>
    </row>
    <row r="53">
      <c r="A53" s="11" t="inlineStr">
        <is>
          <t>Đường Láng</t>
        </is>
      </c>
      <c r="B53" s="11" t="inlineStr">
        <is>
          <t>Trần Ngọc Dung</t>
        </is>
      </c>
      <c r="C53" s="11" t="inlineStr">
        <is>
          <t>BC</t>
        </is>
      </c>
      <c r="D53" s="13" t="n">
        <v>217055</v>
      </c>
      <c r="E53" s="13">
        <f>AE53</f>
        <v/>
      </c>
      <c r="F53" s="13">
        <f>VLOOKUP(B53, 'Dự án T9'!$B:$D, 3, 0)</f>
        <v/>
      </c>
      <c r="G53" s="13">
        <f>VLOOKUP(B53, 'Dự án T9'!$B:$D, 3, 0)</f>
        <v/>
      </c>
      <c r="H53" s="13">
        <f>Q53</f>
        <v/>
      </c>
      <c r="I53" s="13">
        <f>(AD53/DAY($C$1))</f>
        <v/>
      </c>
      <c r="J53" s="25">
        <f>I53/H53</f>
        <v/>
      </c>
      <c r="K53" s="13">
        <f>IF(J53&gt;=Q53, 1200000, IF(J53&gt;=P53, 700000, IF(J53&gt;=O53, 500000, 0)))</f>
        <v/>
      </c>
      <c r="L53" s="12">
        <f>IF(C53="DSTV","", IF(J53&lt;0.6, 0.8, 1))</f>
        <v/>
      </c>
      <c r="M53" s="13">
        <f>VLOOKUP(B53, 'Dự án T9'!$B:$M, 12, 0)</f>
        <v/>
      </c>
      <c r="N53" s="26">
        <f>K53+M53*L53</f>
        <v/>
      </c>
      <c r="O53" s="27">
        <f>CEILING(R53, 100000)</f>
        <v/>
      </c>
      <c r="P53" s="27">
        <f>CEILING(S53, 100000)</f>
        <v/>
      </c>
      <c r="Q53" s="27">
        <f>CEILING(T53, 100000)</f>
        <v/>
      </c>
      <c r="R53" s="27">
        <f>U53*$R$2</f>
        <v/>
      </c>
      <c r="S53" s="27">
        <f>U53*$S$2</f>
        <v/>
      </c>
      <c r="T53" s="27">
        <f>U53*$T$2</f>
        <v/>
      </c>
      <c r="U53" s="13">
        <f>V53/DAY('kpi nhà thuốc'!$T$1)</f>
        <v/>
      </c>
      <c r="V53" s="13" t="n">
        <v>195000000</v>
      </c>
      <c r="W53" s="12">
        <f>SUMIF(data!$B:$B, B53, data!$C:$C)</f>
        <v/>
      </c>
      <c r="X53" s="13">
        <f>SUMIF(data!$B:$B, B53, data!$D:$D)</f>
        <v/>
      </c>
      <c r="Y53" s="13">
        <f>IF(W53&gt;0, X53/W53, 0)</f>
        <v/>
      </c>
      <c r="Z53" s="12">
        <f>SUMIF(data!$B:$B, B53, data!$E:$E)</f>
        <v/>
      </c>
      <c r="AA53" s="13">
        <f>SUMIF(data!$B:$B, B53, data!$F:$F)</f>
        <v/>
      </c>
      <c r="AB53" s="13">
        <f>IF(Z53&gt;0, AA53/Z53, 0)</f>
        <v/>
      </c>
      <c r="AC53" s="12">
        <f>W53+Z53</f>
        <v/>
      </c>
      <c r="AD53" s="13">
        <f>X53+AA53</f>
        <v/>
      </c>
      <c r="AE53" s="13">
        <f>IF(AC53&gt;0, AD53/AC53,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5" customWidth="1" min="3" max="3"/>
    <col width="29" customWidth="1" min="4" max="4"/>
    <col width="32" customWidth="1" min="5" max="5"/>
    <col width="23" customWidth="1" min="6" max="6"/>
    <col width="120" customWidth="1" min="7" max="7"/>
    <col width="14" customWidth="1" min="8" max="8"/>
    <col width="24" customWidth="1" min="9" max="9"/>
    <col width="20" customWidth="1" min="10" max="10"/>
    <col width="19" customWidth="1" min="11" max="11"/>
    <col width="25" customWidth="1" min="12" max="12"/>
    <col width="14" customWidth="1" min="13" max="13"/>
    <col width="24" customWidth="1" min="14" max="14"/>
    <col width="20" customWidth="1" min="15" max="15"/>
    <col width="19" customWidth="1" min="16" max="16"/>
    <col width="14" customWidth="1" min="17" max="17"/>
    <col width="24" customWidth="1" min="18" max="18"/>
    <col width="20" customWidth="1" min="19" max="19"/>
    <col width="23" customWidth="1" min="20" max="20"/>
    <col width="59" customWidth="1" min="21" max="21"/>
    <col width="29" customWidth="1" min="22" max="22"/>
    <col width="80" customWidth="1" min="23" max="23"/>
    <col width="39" customWidth="1" min="24" max="24"/>
    <col width="39" customWidth="1" min="25" max="25"/>
    <col width="26" customWidth="1" min="26" max="26"/>
    <col width="39" customWidth="1" min="27" max="27"/>
    <col width="39" customWidth="1" min="28" max="28"/>
    <col width="29" customWidth="1" min="29" max="29"/>
    <col width="18" customWidth="1" min="30" max="30"/>
    <col width="18" customWidth="1" min="31" max="31"/>
    <col width="29" customWidth="1" min="32" max="32"/>
  </cols>
  <sheetData>
    <row r="1">
      <c r="D1" s="15" t="inlineStr">
        <is>
          <t>Dữ liệu cập nhật đến ngày</t>
        </is>
      </c>
      <c r="F1" s="29" t="n">
        <v>46295</v>
      </c>
      <c r="T1" s="29" t="n">
        <v>46295</v>
      </c>
    </row>
    <row r="2">
      <c r="A2" s="17" t="inlineStr">
        <is>
          <t>Cửa hàng trưởng</t>
        </is>
      </c>
      <c r="B2" s="17" t="inlineStr">
        <is>
          <t>Nhà thuốc</t>
        </is>
      </c>
      <c r="C2" s="18" t="inlineStr">
        <is>
          <t>KPI doanh thu (tháng)</t>
        </is>
      </c>
      <c r="D2" s="18" t="inlineStr">
        <is>
          <t>Doanh thu thực tế (tháng)</t>
        </is>
      </c>
      <c r="E2" s="18" t="inlineStr">
        <is>
          <t>Doanh thu thực tế (ngày)</t>
        </is>
      </c>
      <c r="F2" s="18" t="inlineStr">
        <is>
          <t>Tỷ lệ đạt KPIs</t>
        </is>
      </c>
      <c r="G2" s="21" t="inlineStr">
        <is>
          <t>Thưởng CHT</t>
        </is>
      </c>
      <c r="H2" s="20" t="inlineStr">
        <is>
          <t>KPIs mức 1</t>
        </is>
      </c>
      <c r="I2" s="24" t="inlineStr">
        <is>
          <t>KPIs hàng điểm mức 1</t>
        </is>
      </c>
      <c r="J2" s="24" t="inlineStr">
        <is>
          <t>KPIs mức 1/tháng</t>
        </is>
      </c>
      <c r="K2" s="24" t="inlineStr">
        <is>
          <t>KPIs mức 1/ngày</t>
        </is>
      </c>
      <c r="L2" s="24" t="inlineStr">
        <is>
          <t>KPIs mức 1/ngày</t>
        </is>
      </c>
      <c r="M2" s="20" t="inlineStr">
        <is>
          <t>KPIs mức 2</t>
        </is>
      </c>
      <c r="N2" s="24" t="inlineStr">
        <is>
          <t>KPIs hàng điểm mức 2</t>
        </is>
      </c>
      <c r="O2" s="24" t="inlineStr">
        <is>
          <t>KPIs mức 2/tháng</t>
        </is>
      </c>
      <c r="P2" s="24" t="inlineStr">
        <is>
          <t>KPIs mức 2/ngày</t>
        </is>
      </c>
      <c r="Q2" s="20" t="inlineStr">
        <is>
          <t>KPIs mức 3</t>
        </is>
      </c>
      <c r="R2" s="24" t="inlineStr">
        <is>
          <t>KPIs hàng điểm mức 3</t>
        </is>
      </c>
      <c r="S2" s="24" t="inlineStr">
        <is>
          <t>KPIs mức 3/tháng</t>
        </is>
      </c>
      <c r="T2" s="24" t="inlineStr">
        <is>
          <t>KPIs mức 3/ngày</t>
        </is>
      </c>
      <c r="U2" s="30" t="inlineStr">
        <is>
          <t>Doanh thu hàng điểm</t>
        </is>
      </c>
      <c r="V2" s="30" t="inlineStr">
        <is>
          <t>Hàng điểm/ Doanh thu tổng</t>
        </is>
      </c>
      <c r="W2" s="21" t="inlineStr">
        <is>
          <t>Xét Đạt KPI</t>
        </is>
      </c>
      <c r="X2" s="24" t="inlineStr">
        <is>
          <t>Số giao dịch off</t>
        </is>
      </c>
      <c r="Y2" s="24" t="inlineStr">
        <is>
          <t>Doanh thu off</t>
        </is>
      </c>
      <c r="Z2" s="24" t="inlineStr">
        <is>
          <t>Tbbill off</t>
        </is>
      </c>
      <c r="AA2" s="24" t="inlineStr">
        <is>
          <t>Số giao dịch onl</t>
        </is>
      </c>
      <c r="AB2" s="24" t="inlineStr">
        <is>
          <t>Doanh thu onl</t>
        </is>
      </c>
      <c r="AC2" s="24" t="inlineStr">
        <is>
          <t>Tbbill onl</t>
        </is>
      </c>
      <c r="AD2" s="24" t="inlineStr">
        <is>
          <t>Tổng giao dịch</t>
        </is>
      </c>
      <c r="AE2" s="24" t="inlineStr">
        <is>
          <t>Doanh thu tổng</t>
        </is>
      </c>
      <c r="AF2" s="24" t="inlineStr">
        <is>
          <t>Trung bình Bill</t>
        </is>
      </c>
    </row>
    <row r="3">
      <c r="A3" s="11" t="inlineStr">
        <is>
          <t>Nguyễn Trần Ngọc Phương</t>
        </is>
      </c>
      <c r="B3" s="11" t="inlineStr">
        <is>
          <t>Trường Sa</t>
        </is>
      </c>
      <c r="C3" s="13" t="n">
        <v>640000000</v>
      </c>
      <c r="D3" s="13">
        <f>AE3</f>
        <v/>
      </c>
      <c r="E3" s="13">
        <f>D3/DAY('kpi dược sĩ'!$C$1)</f>
        <v/>
      </c>
      <c r="F3" s="31">
        <f>E3/T3</f>
        <v/>
      </c>
      <c r="G3" s="26">
        <f>IF(W3&lt;&gt;"Đạt", 0, IF(E3&gt;=T3, D3*0.5%+1000000, IF(E3&gt;=P3, D3*0.4%+700000, IF(E3&gt;=K3, D3*0.35%+500000, 0))))</f>
        <v/>
      </c>
      <c r="H3" s="31" t="n">
        <v>0.8</v>
      </c>
      <c r="I3" s="13">
        <f>J3*0.25</f>
        <v/>
      </c>
      <c r="J3" s="13">
        <f>C3*H3</f>
        <v/>
      </c>
      <c r="K3" s="13">
        <f>T3*H3</f>
        <v/>
      </c>
      <c r="L3" s="13">
        <f>CEILING(K3, 100000)</f>
        <v/>
      </c>
      <c r="M3" s="31" t="n">
        <v>0.9</v>
      </c>
      <c r="N3" s="13">
        <f>O3*0.25</f>
        <v/>
      </c>
      <c r="O3" s="13">
        <f>C3*M3</f>
        <v/>
      </c>
      <c r="P3" s="13">
        <f>T3*M3</f>
        <v/>
      </c>
      <c r="Q3" s="31" t="n">
        <v>1</v>
      </c>
      <c r="R3" s="13">
        <f>S3*0.25</f>
        <v/>
      </c>
      <c r="S3" s="13">
        <f>C3*Q3</f>
        <v/>
      </c>
      <c r="T3" s="13">
        <f>C3/DAY($T$1)</f>
        <v/>
      </c>
      <c r="U3" s="13">
        <f>SUMIF('Dự án T9'!$A:$A, B3, 'Dự án T9'!D:D)*DAY($F$1)</f>
        <v/>
      </c>
      <c r="V3" s="31">
        <f>U3/D3</f>
        <v/>
      </c>
      <c r="W3" s="32">
        <f>IF(OR(F3="", V3=""), "", IF(AND(F3&gt;=80%, V3&gt;=25%), "Đạt", "Không đạt"))</f>
        <v/>
      </c>
      <c r="X3" s="12">
        <f>SUMIF(data!$A:$A, B3, data!$C:$C)</f>
        <v/>
      </c>
      <c r="Y3" s="13">
        <f>SUMIF(data!$A:$A, B3, data!$D:$D)</f>
        <v/>
      </c>
      <c r="Z3" s="13">
        <f>IF(X3&gt;0, Y3/X3, 0)</f>
        <v/>
      </c>
      <c r="AA3" s="12">
        <f>SUMIF(data!$A:$A, B3, data!$E:$E)</f>
        <v/>
      </c>
      <c r="AB3" s="13">
        <f>SUMIF(data!$A:$A, B3, data!$F:$F)</f>
        <v/>
      </c>
      <c r="AC3" s="13">
        <f>IF(AA3&gt;0, AB3/AA3, 0)</f>
        <v/>
      </c>
      <c r="AD3" s="12">
        <f>X3+AA3</f>
        <v/>
      </c>
      <c r="AE3" s="13">
        <f>Y3+AB3</f>
        <v/>
      </c>
      <c r="AF3" s="13">
        <f>IF(AD3&gt;0, AE3/AD3, 0)</f>
        <v/>
      </c>
    </row>
    <row r="4">
      <c r="A4" s="7" t="inlineStr">
        <is>
          <t>Ngô Thị Thanh Thắm</t>
        </is>
      </c>
      <c r="B4" s="7" t="inlineStr">
        <is>
          <t>Đỗ Quang Đẩu</t>
        </is>
      </c>
      <c r="C4" s="9" t="n">
        <v>1200000000</v>
      </c>
      <c r="D4" s="9">
        <f>AE4</f>
        <v/>
      </c>
      <c r="E4" s="9">
        <f>D4/DAY('kpi dược sĩ'!$C$1)</f>
        <v/>
      </c>
      <c r="F4" s="33">
        <f>E4/T4</f>
        <v/>
      </c>
      <c r="G4" s="26">
        <f>IF(W4&lt;&gt;"Đạt", 0, IF(E4&gt;=T4, D4*0.5%+1000000, IF(E4&gt;=P4, D4*0.4%+700000, IF(E4&gt;=K4, D4*0.35%+500000, 0))))</f>
        <v/>
      </c>
      <c r="H4" s="33" t="n">
        <v>0.8</v>
      </c>
      <c r="I4" s="9">
        <f>J4*0.25</f>
        <v/>
      </c>
      <c r="J4" s="9">
        <f>C4*H4</f>
        <v/>
      </c>
      <c r="K4" s="9">
        <f>T4*H4</f>
        <v/>
      </c>
      <c r="L4" s="9">
        <f>CEILING(K4, 100000)</f>
        <v/>
      </c>
      <c r="M4" s="33" t="n">
        <v>0.9</v>
      </c>
      <c r="N4" s="9">
        <f>O4*0.25</f>
        <v/>
      </c>
      <c r="O4" s="9">
        <f>C4*M4</f>
        <v/>
      </c>
      <c r="P4" s="9">
        <f>T4*M4</f>
        <v/>
      </c>
      <c r="Q4" s="33" t="n">
        <v>1</v>
      </c>
      <c r="R4" s="9">
        <f>S4*0.25</f>
        <v/>
      </c>
      <c r="S4" s="9">
        <f>C4*Q4</f>
        <v/>
      </c>
      <c r="T4" s="9">
        <f>C4/DAY($T$1)</f>
        <v/>
      </c>
      <c r="U4" s="9">
        <f>SUMIF('Dự án T9'!$A:$A, B4, 'Dự án T9'!D:D)*DAY($F$1)</f>
        <v/>
      </c>
      <c r="V4" s="33">
        <f>U4/D4</f>
        <v/>
      </c>
      <c r="W4" s="34">
        <f>IF(OR(F4="", V4=""), "", IF(AND(F4&gt;=80%, V4&gt;=25%), "Đạt", "Không đạt"))</f>
        <v/>
      </c>
      <c r="X4" s="8">
        <f>SUMIF(data!$A:$A, B4, data!$C:$C)</f>
        <v/>
      </c>
      <c r="Y4" s="9">
        <f>SUMIF(data!$A:$A, B4, data!$D:$D)</f>
        <v/>
      </c>
      <c r="Z4" s="9">
        <f>IF(X4&gt;0, Y4/X4, 0)</f>
        <v/>
      </c>
      <c r="AA4" s="8">
        <f>SUMIF(data!$A:$A, B4, data!$E:$E)</f>
        <v/>
      </c>
      <c r="AB4" s="9">
        <f>SUMIF(data!$A:$A, B4, data!$F:$F)</f>
        <v/>
      </c>
      <c r="AC4" s="9">
        <f>IF(AA4&gt;0, AB4/AA4, 0)</f>
        <v/>
      </c>
      <c r="AD4" s="8">
        <f>X4+AA4</f>
        <v/>
      </c>
      <c r="AE4" s="9">
        <f>Y4+AB4</f>
        <v/>
      </c>
      <c r="AF4" s="9">
        <f>IF(AD4&gt;0, AE4/AD4, 0)</f>
        <v/>
      </c>
    </row>
    <row r="5">
      <c r="A5" s="11" t="inlineStr">
        <is>
          <t>Thái Thùy Linh</t>
        </is>
      </c>
      <c r="B5" s="11" t="inlineStr">
        <is>
          <t>Minh Châu</t>
        </is>
      </c>
      <c r="C5" s="13" t="n">
        <v>460000000</v>
      </c>
      <c r="D5" s="13">
        <f>AE5</f>
        <v/>
      </c>
      <c r="E5" s="13">
        <f>D5/DAY('kpi dược sĩ'!$C$1)</f>
        <v/>
      </c>
      <c r="F5" s="31">
        <f>E5/T5</f>
        <v/>
      </c>
      <c r="G5" s="26">
        <f>IF(W5&lt;&gt;"Đạt", 0, IF(E5&gt;=T5, D5*0.5%+1000000, IF(E5&gt;=P5, D5*0.4%+700000, IF(E5&gt;=K5, D5*0.35%+500000, 0))))</f>
        <v/>
      </c>
      <c r="H5" s="31" t="n">
        <v>0.8</v>
      </c>
      <c r="I5" s="13">
        <f>J5*0.25</f>
        <v/>
      </c>
      <c r="J5" s="13">
        <f>C5*H5</f>
        <v/>
      </c>
      <c r="K5" s="13">
        <f>T5*H5</f>
        <v/>
      </c>
      <c r="L5" s="13">
        <f>CEILING(K5, 100000)</f>
        <v/>
      </c>
      <c r="M5" s="31" t="n">
        <v>0.9</v>
      </c>
      <c r="N5" s="13">
        <f>O5*0.25</f>
        <v/>
      </c>
      <c r="O5" s="13">
        <f>C5*M5</f>
        <v/>
      </c>
      <c r="P5" s="13">
        <f>T5*M5</f>
        <v/>
      </c>
      <c r="Q5" s="31" t="n">
        <v>1</v>
      </c>
      <c r="R5" s="13">
        <f>S5*0.25</f>
        <v/>
      </c>
      <c r="S5" s="13">
        <f>C5*Q5</f>
        <v/>
      </c>
      <c r="T5" s="13">
        <f>C5/DAY($T$1)</f>
        <v/>
      </c>
      <c r="U5" s="13">
        <f>SUMIF('Dự án T9'!$A:$A, B5, 'Dự án T9'!D:D)*DAY($F$1)</f>
        <v/>
      </c>
      <c r="V5" s="31">
        <f>U5/D5</f>
        <v/>
      </c>
      <c r="W5" s="32">
        <f>IF(OR(F5="", V5=""), "", IF(AND(F5&gt;=80%, V5&gt;=25%), "Đạt", "Không đạt"))</f>
        <v/>
      </c>
      <c r="X5" s="12">
        <f>SUMIF(data!$A:$A, B5, data!$C:$C)</f>
        <v/>
      </c>
      <c r="Y5" s="13">
        <f>SUMIF(data!$A:$A, B5, data!$D:$D)</f>
        <v/>
      </c>
      <c r="Z5" s="13">
        <f>IF(X5&gt;0, Y5/X5, 0)</f>
        <v/>
      </c>
      <c r="AA5" s="12">
        <f>SUMIF(data!$A:$A, B5, data!$E:$E)</f>
        <v/>
      </c>
      <c r="AB5" s="13">
        <f>SUMIF(data!$A:$A, B5, data!$F:$F)</f>
        <v/>
      </c>
      <c r="AC5" s="13">
        <f>IF(AA5&gt;0, AB5/AA5, 0)</f>
        <v/>
      </c>
      <c r="AD5" s="12">
        <f>X5+AA5</f>
        <v/>
      </c>
      <c r="AE5" s="13">
        <f>Y5+AB5</f>
        <v/>
      </c>
      <c r="AF5" s="13">
        <f>IF(AD5&gt;0, AE5/AD5, 0)</f>
        <v/>
      </c>
    </row>
    <row r="6">
      <c r="A6" s="7" t="inlineStr">
        <is>
          <t>Vũ Ngọc Thanh Thảo</t>
        </is>
      </c>
      <c r="B6" s="7" t="inlineStr">
        <is>
          <t>Nam Hòa</t>
        </is>
      </c>
      <c r="C6" s="9" t="n">
        <v>300000000</v>
      </c>
      <c r="D6" s="9">
        <f>AE6</f>
        <v/>
      </c>
      <c r="E6" s="9">
        <f>D6/DAY('kpi dược sĩ'!$C$1)</f>
        <v/>
      </c>
      <c r="F6" s="33">
        <f>E6/T6</f>
        <v/>
      </c>
      <c r="G6" s="26">
        <f>IF(W6&lt;&gt;"Đạt", 0, IF(E6&gt;=T6, D6*0.5%+1000000, IF(E6&gt;=P6, D6*0.4%+700000, IF(E6&gt;=K6, D6*0.35%+500000, 0))))</f>
        <v/>
      </c>
      <c r="H6" s="33" t="n">
        <v>0.8</v>
      </c>
      <c r="I6" s="9">
        <f>J6*0.25</f>
        <v/>
      </c>
      <c r="J6" s="9">
        <f>C6*H6</f>
        <v/>
      </c>
      <c r="K6" s="9">
        <f>T6*H6</f>
        <v/>
      </c>
      <c r="L6" s="9">
        <f>CEILING(K6, 100000)</f>
        <v/>
      </c>
      <c r="M6" s="33" t="n">
        <v>0.9</v>
      </c>
      <c r="N6" s="9">
        <f>O6*0.25</f>
        <v/>
      </c>
      <c r="O6" s="9">
        <f>C6*M6</f>
        <v/>
      </c>
      <c r="P6" s="9">
        <f>T6*M6</f>
        <v/>
      </c>
      <c r="Q6" s="33" t="n">
        <v>1</v>
      </c>
      <c r="R6" s="9">
        <f>S6*0.25</f>
        <v/>
      </c>
      <c r="S6" s="9">
        <f>C6*Q6</f>
        <v/>
      </c>
      <c r="T6" s="9">
        <f>C6/DAY($T$1)</f>
        <v/>
      </c>
      <c r="U6" s="9">
        <f>SUMIF('Dự án T9'!$A:$A, B6, 'Dự án T9'!D:D)*DAY($F$1)</f>
        <v/>
      </c>
      <c r="V6" s="33">
        <f>U6/D6</f>
        <v/>
      </c>
      <c r="W6" s="34">
        <f>IF(OR(F6="", V6=""), "", IF(AND(F6&gt;=80%, V6&gt;=25%), "Đạt", "Không đạt"))</f>
        <v/>
      </c>
      <c r="X6" s="8">
        <f>SUMIF(data!$A:$A, B6, data!$C:$C)</f>
        <v/>
      </c>
      <c r="Y6" s="9">
        <f>SUMIF(data!$A:$A, B6, data!$D:$D)</f>
        <v/>
      </c>
      <c r="Z6" s="9">
        <f>IF(X6&gt;0, Y6/X6, 0)</f>
        <v/>
      </c>
      <c r="AA6" s="8">
        <f>SUMIF(data!$A:$A, B6, data!$E:$E)</f>
        <v/>
      </c>
      <c r="AB6" s="9">
        <f>SUMIF(data!$A:$A, B6, data!$F:$F)</f>
        <v/>
      </c>
      <c r="AC6" s="9">
        <f>IF(AA6&gt;0, AB6/AA6, 0)</f>
        <v/>
      </c>
      <c r="AD6" s="8">
        <f>X6+AA6</f>
        <v/>
      </c>
      <c r="AE6" s="9">
        <f>Y6+AB6</f>
        <v/>
      </c>
      <c r="AF6" s="9">
        <f>IF(AD6&gt;0, AE6/AD6, 0)</f>
        <v/>
      </c>
    </row>
    <row r="7">
      <c r="A7" s="11" t="inlineStr">
        <is>
          <t>Lê Thị Quỳnh Trâm</t>
        </is>
      </c>
      <c r="B7" s="11" t="inlineStr">
        <is>
          <t>Nguyễn Chí Thanh</t>
        </is>
      </c>
      <c r="C7" s="13" t="n">
        <v>520000000</v>
      </c>
      <c r="D7" s="13">
        <f>AE7</f>
        <v/>
      </c>
      <c r="E7" s="13">
        <f>D7/DAY('kpi dược sĩ'!$C$1)</f>
        <v/>
      </c>
      <c r="F7" s="31">
        <f>E7/T7</f>
        <v/>
      </c>
      <c r="G7" s="26">
        <f>IF(W7&lt;&gt;"Đạt", 0, IF(E7&gt;=T7, D7*0.5%+1000000, IF(E7&gt;=P7, D7*0.4%+700000, IF(E7&gt;=K7, D7*0.35%+500000, 0))))</f>
        <v/>
      </c>
      <c r="H7" s="31" t="n">
        <v>0.8</v>
      </c>
      <c r="I7" s="13">
        <f>J7*0.25</f>
        <v/>
      </c>
      <c r="J7" s="13">
        <f>C7*H7</f>
        <v/>
      </c>
      <c r="K7" s="13">
        <f>T7*H7</f>
        <v/>
      </c>
      <c r="L7" s="13">
        <f>CEILING(K7, 100000)</f>
        <v/>
      </c>
      <c r="M7" s="31" t="n">
        <v>0.9</v>
      </c>
      <c r="N7" s="13">
        <f>O7*0.25</f>
        <v/>
      </c>
      <c r="O7" s="13">
        <f>C7*M7</f>
        <v/>
      </c>
      <c r="P7" s="13">
        <f>T7*M7</f>
        <v/>
      </c>
      <c r="Q7" s="31" t="n">
        <v>1</v>
      </c>
      <c r="R7" s="13">
        <f>S7*0.25</f>
        <v/>
      </c>
      <c r="S7" s="13">
        <f>C7*Q7</f>
        <v/>
      </c>
      <c r="T7" s="13">
        <f>C7/DAY($T$1)</f>
        <v/>
      </c>
      <c r="U7" s="13">
        <f>SUMIF('Dự án T9'!$A:$A, B7, 'Dự án T9'!D:D)*DAY($F$1)</f>
        <v/>
      </c>
      <c r="V7" s="31">
        <f>U7/D7</f>
        <v/>
      </c>
      <c r="W7" s="32">
        <f>IF(OR(F7="", V7=""), "", IF(AND(F7&gt;=80%, V7&gt;=25%), "Đạt", "Không đạt"))</f>
        <v/>
      </c>
      <c r="X7" s="12">
        <f>SUMIF(data!$A:$A, B7, data!$C:$C)</f>
        <v/>
      </c>
      <c r="Y7" s="13">
        <f>SUMIF(data!$A:$A, B7, data!$D:$D)</f>
        <v/>
      </c>
      <c r="Z7" s="13">
        <f>IF(X7&gt;0, Y7/X7, 0)</f>
        <v/>
      </c>
      <c r="AA7" s="12">
        <f>SUMIF(data!$A:$A, B7, data!$E:$E)</f>
        <v/>
      </c>
      <c r="AB7" s="13">
        <f>SUMIF(data!$A:$A, B7, data!$F:$F)</f>
        <v/>
      </c>
      <c r="AC7" s="13">
        <f>IF(AA7&gt;0, AB7/AA7, 0)</f>
        <v/>
      </c>
      <c r="AD7" s="12">
        <f>X7+AA7</f>
        <v/>
      </c>
      <c r="AE7" s="13">
        <f>Y7+AB7</f>
        <v/>
      </c>
      <c r="AF7" s="13">
        <f>IF(AD7&gt;0, AE7/AD7, 0)</f>
        <v/>
      </c>
    </row>
    <row r="8">
      <c r="A8" s="7" t="inlineStr">
        <is>
          <t>Triệu Thị Ngọc Lý</t>
        </is>
      </c>
      <c r="B8" s="7" t="inlineStr">
        <is>
          <t>Nguyễn Thị Thập</t>
        </is>
      </c>
      <c r="C8" s="9" t="n">
        <v>545000000</v>
      </c>
      <c r="D8" s="9">
        <f>AE8</f>
        <v/>
      </c>
      <c r="E8" s="9">
        <f>D8/DAY('kpi dược sĩ'!$C$1)</f>
        <v/>
      </c>
      <c r="F8" s="33">
        <f>E8/T8</f>
        <v/>
      </c>
      <c r="G8" s="26">
        <f>IF(W8&lt;&gt;"Đạt", 0, IF(E8&gt;=T8, D8*0.5%+1000000, IF(E8&gt;=P8, D8*0.4%+700000, IF(E8&gt;=K8, D8*0.35%+500000, 0))))</f>
        <v/>
      </c>
      <c r="H8" s="33" t="n">
        <v>0.8</v>
      </c>
      <c r="I8" s="9">
        <f>J8*0.25</f>
        <v/>
      </c>
      <c r="J8" s="9">
        <f>C8*H8</f>
        <v/>
      </c>
      <c r="K8" s="9">
        <f>T8*H8</f>
        <v/>
      </c>
      <c r="L8" s="9">
        <f>CEILING(K8, 100000)</f>
        <v/>
      </c>
      <c r="M8" s="33" t="n">
        <v>0.9</v>
      </c>
      <c r="N8" s="9">
        <f>O8*0.25</f>
        <v/>
      </c>
      <c r="O8" s="9">
        <f>C8*M8</f>
        <v/>
      </c>
      <c r="P8" s="9">
        <f>T8*M8</f>
        <v/>
      </c>
      <c r="Q8" s="33" t="n">
        <v>1</v>
      </c>
      <c r="R8" s="9">
        <f>S8*0.25</f>
        <v/>
      </c>
      <c r="S8" s="9">
        <f>C8*Q8</f>
        <v/>
      </c>
      <c r="T8" s="9">
        <f>C8/DAY($T$1)</f>
        <v/>
      </c>
      <c r="U8" s="9">
        <f>SUMIF('Dự án T9'!$A:$A, B8, 'Dự án T9'!D:D)*DAY($F$1)</f>
        <v/>
      </c>
      <c r="V8" s="33">
        <f>U8/D8</f>
        <v/>
      </c>
      <c r="W8" s="34">
        <f>IF(OR(F8="", V8=""), "", IF(AND(F8&gt;=80%, V8&gt;=25%), "Đạt", "Không đạt"))</f>
        <v/>
      </c>
      <c r="X8" s="8">
        <f>SUMIF(data!$A:$A, B8, data!$C:$C)</f>
        <v/>
      </c>
      <c r="Y8" s="9">
        <f>SUMIF(data!$A:$A, B8, data!$D:$D)</f>
        <v/>
      </c>
      <c r="Z8" s="9">
        <f>IF(X8&gt;0, Y8/X8, 0)</f>
        <v/>
      </c>
      <c r="AA8" s="8">
        <f>SUMIF(data!$A:$A, B8, data!$E:$E)</f>
        <v/>
      </c>
      <c r="AB8" s="9">
        <f>SUMIF(data!$A:$A, B8, data!$F:$F)</f>
        <v/>
      </c>
      <c r="AC8" s="9">
        <f>IF(AA8&gt;0, AB8/AA8, 0)</f>
        <v/>
      </c>
      <c r="AD8" s="8">
        <f>X8+AA8</f>
        <v/>
      </c>
      <c r="AE8" s="9">
        <f>Y8+AB8</f>
        <v/>
      </c>
      <c r="AF8" s="9">
        <f>IF(AD8&gt;0, AE8/AD8, 0)</f>
        <v/>
      </c>
    </row>
    <row r="9">
      <c r="A9" s="11" t="inlineStr">
        <is>
          <t>Nguyễn Thị Hương Giang</t>
        </is>
      </c>
      <c r="B9" s="11" t="inlineStr">
        <is>
          <t>Nguyễn Văn Quá</t>
        </is>
      </c>
      <c r="C9" s="13" t="n">
        <v>350000000</v>
      </c>
      <c r="D9" s="13">
        <f>AE9</f>
        <v/>
      </c>
      <c r="E9" s="13">
        <f>D9/DAY('kpi dược sĩ'!$C$1)</f>
        <v/>
      </c>
      <c r="F9" s="31">
        <f>E9/T9</f>
        <v/>
      </c>
      <c r="G9" s="26">
        <f>IF(W9&lt;&gt;"Đạt", 0, IF(E9&gt;=T9, D9*0.5%+1000000, IF(E9&gt;=P9, D9*0.4%+700000, IF(E9&gt;=K9, D9*0.35%+500000, 0))))</f>
        <v/>
      </c>
      <c r="H9" s="31" t="n">
        <v>0.8</v>
      </c>
      <c r="I9" s="13">
        <f>J9*0.25</f>
        <v/>
      </c>
      <c r="J9" s="13">
        <f>C9*H9</f>
        <v/>
      </c>
      <c r="K9" s="13">
        <f>T9*H9</f>
        <v/>
      </c>
      <c r="L9" s="13">
        <f>CEILING(K9, 100000)</f>
        <v/>
      </c>
      <c r="M9" s="31" t="n">
        <v>0.9</v>
      </c>
      <c r="N9" s="13">
        <f>O9*0.25</f>
        <v/>
      </c>
      <c r="O9" s="13">
        <f>C9*M9</f>
        <v/>
      </c>
      <c r="P9" s="13">
        <f>T9*M9</f>
        <v/>
      </c>
      <c r="Q9" s="31" t="n">
        <v>1</v>
      </c>
      <c r="R9" s="13">
        <f>S9*0.25</f>
        <v/>
      </c>
      <c r="S9" s="13">
        <f>C9*Q9</f>
        <v/>
      </c>
      <c r="T9" s="13">
        <f>C9/DAY($T$1)</f>
        <v/>
      </c>
      <c r="U9" s="13">
        <f>SUMIF('Dự án T9'!$A:$A, B9, 'Dự án T9'!D:D)*DAY($F$1)</f>
        <v/>
      </c>
      <c r="V9" s="31">
        <f>U9/D9</f>
        <v/>
      </c>
      <c r="W9" s="32">
        <f>IF(OR(F9="", V9=""), "", IF(AND(F9&gt;=80%, V9&gt;=25%), "Đạt", "Không đạt"))</f>
        <v/>
      </c>
      <c r="X9" s="12">
        <f>SUMIF(data!$A:$A, B9, data!$C:$C)</f>
        <v/>
      </c>
      <c r="Y9" s="13">
        <f>SUMIF(data!$A:$A, B9, data!$D:$D)</f>
        <v/>
      </c>
      <c r="Z9" s="13">
        <f>IF(X9&gt;0, Y9/X9, 0)</f>
        <v/>
      </c>
      <c r="AA9" s="12">
        <f>SUMIF(data!$A:$A, B9, data!$E:$E)</f>
        <v/>
      </c>
      <c r="AB9" s="13">
        <f>SUMIF(data!$A:$A, B9, data!$F:$F)</f>
        <v/>
      </c>
      <c r="AC9" s="13">
        <f>IF(AA9&gt;0, AB9/AA9, 0)</f>
        <v/>
      </c>
      <c r="AD9" s="12">
        <f>X9+AA9</f>
        <v/>
      </c>
      <c r="AE9" s="13">
        <f>Y9+AB9</f>
        <v/>
      </c>
      <c r="AF9" s="13">
        <f>IF(AD9&gt;0, AE9/AD9, 0)</f>
        <v/>
      </c>
    </row>
    <row r="10">
      <c r="A10" s="7" t="inlineStr">
        <is>
          <t>Ngô Thị Ngọc Thủy</t>
        </is>
      </c>
      <c r="B10" s="7" t="inlineStr">
        <is>
          <t>Rạch Bùng Binh</t>
        </is>
      </c>
      <c r="C10" s="9" t="n">
        <v>430000000</v>
      </c>
      <c r="D10" s="9">
        <f>AE10</f>
        <v/>
      </c>
      <c r="E10" s="9">
        <f>D10/DAY('kpi dược sĩ'!$C$1)</f>
        <v/>
      </c>
      <c r="F10" s="33">
        <f>E10/T10</f>
        <v/>
      </c>
      <c r="G10" s="26">
        <f>IF(W10&lt;&gt;"Đạt", 0, IF(E10&gt;=T10, D10*0.5%+1000000, IF(E10&gt;=P10, D10*0.4%+700000, IF(E10&gt;=K10, D10*0.35%+500000, 0))))</f>
        <v/>
      </c>
      <c r="H10" s="33" t="n">
        <v>0.8</v>
      </c>
      <c r="I10" s="9">
        <f>J10*0.25</f>
        <v/>
      </c>
      <c r="J10" s="9">
        <f>C10*H10</f>
        <v/>
      </c>
      <c r="K10" s="9">
        <f>T10*H10</f>
        <v/>
      </c>
      <c r="L10" s="9">
        <f>CEILING(K10, 100000)</f>
        <v/>
      </c>
      <c r="M10" s="33" t="n">
        <v>0.9</v>
      </c>
      <c r="N10" s="9">
        <f>O10*0.25</f>
        <v/>
      </c>
      <c r="O10" s="9">
        <f>C10*M10</f>
        <v/>
      </c>
      <c r="P10" s="9">
        <f>T10*M10</f>
        <v/>
      </c>
      <c r="Q10" s="33" t="n">
        <v>1</v>
      </c>
      <c r="R10" s="9">
        <f>S10*0.25</f>
        <v/>
      </c>
      <c r="S10" s="9">
        <f>C10*Q10</f>
        <v/>
      </c>
      <c r="T10" s="9">
        <f>C10/DAY($T$1)</f>
        <v/>
      </c>
      <c r="U10" s="9">
        <f>SUMIF('Dự án T9'!$A:$A, B10, 'Dự án T9'!D:D)*DAY($F$1)</f>
        <v/>
      </c>
      <c r="V10" s="33">
        <f>U10/D10</f>
        <v/>
      </c>
      <c r="W10" s="34">
        <f>IF(OR(F10="", V10=""), "", IF(AND(F10&gt;=80%, V10&gt;=25%), "Đạt", "Không đạt"))</f>
        <v/>
      </c>
      <c r="X10" s="8">
        <f>SUMIF(data!$A:$A, B10, data!$C:$C)</f>
        <v/>
      </c>
      <c r="Y10" s="9">
        <f>SUMIF(data!$A:$A, B10, data!$D:$D)</f>
        <v/>
      </c>
      <c r="Z10" s="9">
        <f>IF(X10&gt;0, Y10/X10, 0)</f>
        <v/>
      </c>
      <c r="AA10" s="8">
        <f>SUMIF(data!$A:$A, B10, data!$E:$E)</f>
        <v/>
      </c>
      <c r="AB10" s="9">
        <f>SUMIF(data!$A:$A, B10, data!$F:$F)</f>
        <v/>
      </c>
      <c r="AC10" s="9">
        <f>IF(AA10&gt;0, AB10/AA10, 0)</f>
        <v/>
      </c>
      <c r="AD10" s="8">
        <f>X10+AA10</f>
        <v/>
      </c>
      <c r="AE10" s="9">
        <f>Y10+AB10</f>
        <v/>
      </c>
      <c r="AF10" s="9">
        <f>IF(AD10&gt;0, AE10/AD10, 0)</f>
        <v/>
      </c>
    </row>
    <row r="11">
      <c r="A11" s="11" t="inlineStr">
        <is>
          <t>Hồ Thị Minh Hòa</t>
        </is>
      </c>
      <c r="B11" s="11" t="inlineStr">
        <is>
          <t>Lê Bình</t>
        </is>
      </c>
      <c r="C11" s="13" t="n">
        <v>325500000</v>
      </c>
      <c r="D11" s="13">
        <f>AE11</f>
        <v/>
      </c>
      <c r="E11" s="13">
        <f>D11/DAY('kpi dược sĩ'!$C$1)</f>
        <v/>
      </c>
      <c r="F11" s="31">
        <f>E11/T11</f>
        <v/>
      </c>
      <c r="G11" s="26">
        <f>IF(W11&lt;&gt;"Đạt", 0, IF(E11&gt;=T11, D11*0.5%+1000000, IF(E11&gt;=P11, D11*0.4%+700000, IF(E11&gt;=K11, D11*0.35%+500000, 0))))</f>
        <v/>
      </c>
      <c r="H11" s="31" t="n">
        <v>0.8</v>
      </c>
      <c r="I11" s="13">
        <f>J11*0.25</f>
        <v/>
      </c>
      <c r="J11" s="13">
        <f>C11*H11</f>
        <v/>
      </c>
      <c r="K11" s="13">
        <f>T11*H11</f>
        <v/>
      </c>
      <c r="L11" s="13">
        <f>CEILING(K11, 100000)</f>
        <v/>
      </c>
      <c r="M11" s="31" t="n">
        <v>0.9</v>
      </c>
      <c r="N11" s="13">
        <f>O11*0.25</f>
        <v/>
      </c>
      <c r="O11" s="13">
        <f>C11*M11</f>
        <v/>
      </c>
      <c r="P11" s="13">
        <f>T11*M11</f>
        <v/>
      </c>
      <c r="Q11" s="31" t="n">
        <v>1</v>
      </c>
      <c r="R11" s="13">
        <f>S11*0.25</f>
        <v/>
      </c>
      <c r="S11" s="13">
        <f>C11*Q11</f>
        <v/>
      </c>
      <c r="T11" s="13">
        <f>C11/DAY($T$1)</f>
        <v/>
      </c>
      <c r="U11" s="13">
        <f>SUMIF('Dự án T9'!$A:$A, B11, 'Dự án T9'!D:D)*DAY($F$1)</f>
        <v/>
      </c>
      <c r="V11" s="31">
        <f>U11/D11</f>
        <v/>
      </c>
      <c r="W11" s="32">
        <f>IF(OR(F11="", V11=""), "", IF(AND(F11&gt;=80%, V11&gt;=25%), "Đạt", "Không đạt"))</f>
        <v/>
      </c>
      <c r="X11" s="12">
        <f>SUMIF(data!$A:$A, B11, data!$C:$C)</f>
        <v/>
      </c>
      <c r="Y11" s="13">
        <f>SUMIF(data!$A:$A, B11, data!$D:$D)</f>
        <v/>
      </c>
      <c r="Z11" s="13">
        <f>IF(X11&gt;0, Y11/X11, 0)</f>
        <v/>
      </c>
      <c r="AA11" s="12">
        <f>SUMIF(data!$A:$A, B11, data!$E:$E)</f>
        <v/>
      </c>
      <c r="AB11" s="13">
        <f>SUMIF(data!$A:$A, B11, data!$F:$F)</f>
        <v/>
      </c>
      <c r="AC11" s="13">
        <f>IF(AA11&gt;0, AB11/AA11, 0)</f>
        <v/>
      </c>
      <c r="AD11" s="12">
        <f>X11+AA11</f>
        <v/>
      </c>
      <c r="AE11" s="13">
        <f>Y11+AB11</f>
        <v/>
      </c>
      <c r="AF11" s="13">
        <f>IF(AD11&gt;0, AE11/AD11, 0)</f>
        <v/>
      </c>
    </row>
    <row r="12">
      <c r="A12" s="7" t="inlineStr">
        <is>
          <t>Đinh Thị Lan Anh</t>
        </is>
      </c>
      <c r="B12" s="7" t="inlineStr">
        <is>
          <t>Hàng Bông</t>
        </is>
      </c>
      <c r="C12" s="9" t="n">
        <v>694660398</v>
      </c>
      <c r="D12" s="9">
        <f>AE12</f>
        <v/>
      </c>
      <c r="E12" s="9">
        <f>D12/DAY('kpi dược sĩ'!$C$1)</f>
        <v/>
      </c>
      <c r="F12" s="33">
        <f>E12/T12</f>
        <v/>
      </c>
      <c r="G12" s="26">
        <f>IF(W12&lt;&gt;"Đạt", 0, IF(E12&gt;=T12, D12*0.5%+1000000, IF(E12&gt;=P12, D12*0.4%+700000, IF(E12&gt;=K12, D12*0.35%+500000, 0))))</f>
        <v/>
      </c>
      <c r="H12" s="33" t="n">
        <v>0.8</v>
      </c>
      <c r="I12" s="9">
        <f>J12*0.25</f>
        <v/>
      </c>
      <c r="J12" s="9">
        <f>C12*H12</f>
        <v/>
      </c>
      <c r="K12" s="9">
        <f>T12*H12</f>
        <v/>
      </c>
      <c r="L12" s="9">
        <f>CEILING(K12, 100000)</f>
        <v/>
      </c>
      <c r="M12" s="33" t="n">
        <v>0.9</v>
      </c>
      <c r="N12" s="9">
        <f>O12*0.25</f>
        <v/>
      </c>
      <c r="O12" s="9">
        <f>C12*M12</f>
        <v/>
      </c>
      <c r="P12" s="9">
        <f>T12*M12</f>
        <v/>
      </c>
      <c r="Q12" s="33" t="n">
        <v>1</v>
      </c>
      <c r="R12" s="9">
        <f>S12*0.25</f>
        <v/>
      </c>
      <c r="S12" s="9">
        <f>C12*Q12</f>
        <v/>
      </c>
      <c r="T12" s="9">
        <f>C12/DAY($T$1)</f>
        <v/>
      </c>
      <c r="U12" s="9">
        <f>SUMIF('Dự án T9'!$A:$A, B12, 'Dự án T9'!D:D)*DAY($F$1)</f>
        <v/>
      </c>
      <c r="V12" s="33">
        <f>U12/D12</f>
        <v/>
      </c>
      <c r="W12" s="34">
        <f>IF(OR(F12="", V12=""), "", IF(AND(F12&gt;=80%, V12&gt;=25%), "Đạt", "Không đạt"))</f>
        <v/>
      </c>
      <c r="X12" s="8">
        <f>SUMIF(data!$A:$A, B12, data!$C:$C)</f>
        <v/>
      </c>
      <c r="Y12" s="9">
        <f>SUMIF(data!$A:$A, B12, data!$D:$D)</f>
        <v/>
      </c>
      <c r="Z12" s="9">
        <f>IF(X12&gt;0, Y12/X12, 0)</f>
        <v/>
      </c>
      <c r="AA12" s="8">
        <f>SUMIF(data!$A:$A, B12, data!$E:$E)</f>
        <v/>
      </c>
      <c r="AB12" s="9">
        <f>SUMIF(data!$A:$A, B12, data!$F:$F)</f>
        <v/>
      </c>
      <c r="AC12" s="9">
        <f>IF(AA12&gt;0, AB12/AA12, 0)</f>
        <v/>
      </c>
      <c r="AD12" s="8">
        <f>X12+AA12</f>
        <v/>
      </c>
      <c r="AE12" s="9">
        <f>Y12+AB12</f>
        <v/>
      </c>
      <c r="AF12" s="9">
        <f>IF(AD12&gt;0, AE12/AD12, 0)</f>
        <v/>
      </c>
    </row>
    <row r="13">
      <c r="A13" s="11" t="inlineStr">
        <is>
          <t>Hứa Thị Kim Thoa</t>
        </is>
      </c>
      <c r="B13" s="11" t="inlineStr">
        <is>
          <t>Đường Láng</t>
        </is>
      </c>
      <c r="C13" s="13" t="n">
        <v>516743207</v>
      </c>
      <c r="D13" s="13">
        <f>AE13</f>
        <v/>
      </c>
      <c r="E13" s="13">
        <f>D13/DAY('kpi dược sĩ'!$C$1)</f>
        <v/>
      </c>
      <c r="F13" s="31">
        <f>E13/T13</f>
        <v/>
      </c>
      <c r="G13" s="26">
        <f>IF(W13&lt;&gt;"Đạt", 0, IF(E13&gt;=T13, D13*0.5%+1000000, IF(E13&gt;=P13, D13*0.4%+700000, IF(E13&gt;=K13, D13*0.35%+500000, 0))))</f>
        <v/>
      </c>
      <c r="H13" s="31" t="n">
        <v>0.8</v>
      </c>
      <c r="I13" s="13">
        <f>J13*0.25</f>
        <v/>
      </c>
      <c r="J13" s="13">
        <f>C13*H13</f>
        <v/>
      </c>
      <c r="K13" s="13">
        <f>T13*H13</f>
        <v/>
      </c>
      <c r="L13" s="13">
        <f>CEILING(K13, 100000)</f>
        <v/>
      </c>
      <c r="M13" s="31" t="n">
        <v>0.9</v>
      </c>
      <c r="N13" s="13">
        <f>O13*0.25</f>
        <v/>
      </c>
      <c r="O13" s="13">
        <f>C13*M13</f>
        <v/>
      </c>
      <c r="P13" s="13">
        <f>T13*M13</f>
        <v/>
      </c>
      <c r="Q13" s="31" t="n">
        <v>1</v>
      </c>
      <c r="R13" s="13">
        <f>S13*0.25</f>
        <v/>
      </c>
      <c r="S13" s="13">
        <f>C13*Q13</f>
        <v/>
      </c>
      <c r="T13" s="13">
        <f>C13/DAY($T$1)</f>
        <v/>
      </c>
      <c r="U13" s="13">
        <f>SUMIF('Dự án T9'!$A:$A, B13, 'Dự án T9'!D:D)*DAY($F$1)</f>
        <v/>
      </c>
      <c r="V13" s="31">
        <f>U13/D13</f>
        <v/>
      </c>
      <c r="W13" s="32">
        <f>IF(OR(F13="", V13=""), "", IF(AND(F13&gt;=80%, V13&gt;=25%), "Đạt", "Không đạt"))</f>
        <v/>
      </c>
      <c r="X13" s="12">
        <f>SUMIF(data!$A:$A, B13, data!$C:$C)</f>
        <v/>
      </c>
      <c r="Y13" s="13">
        <f>SUMIF(data!$A:$A, B13, data!$D:$D)</f>
        <v/>
      </c>
      <c r="Z13" s="13">
        <f>IF(X13&gt;0, Y13/X13, 0)</f>
        <v/>
      </c>
      <c r="AA13" s="12">
        <f>SUMIF(data!$A:$A, B13, data!$E:$E)</f>
        <v/>
      </c>
      <c r="AB13" s="13">
        <f>SUMIF(data!$A:$A, B13, data!$F:$F)</f>
        <v/>
      </c>
      <c r="AC13" s="13">
        <f>IF(AA13&gt;0, AB13/AA13, 0)</f>
        <v/>
      </c>
      <c r="AD13" s="12">
        <f>X13+AA13</f>
        <v/>
      </c>
      <c r="AE13" s="13">
        <f>Y13+AB13</f>
        <v/>
      </c>
      <c r="AF13" s="13">
        <f>IF(AD13&gt;0, AE13/AD13,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4" customWidth="1" min="3" max="3"/>
    <col width="27" customWidth="1" min="4" max="4"/>
    <col width="14" customWidth="1" min="5" max="5"/>
    <col width="14" customWidth="1" min="6" max="6"/>
    <col width="14" customWidth="1" min="7" max="7"/>
    <col width="19" customWidth="1" min="8" max="8"/>
    <col width="19" customWidth="1" min="9" max="9"/>
    <col width="445" customWidth="1" min="10" max="10"/>
    <col width="102" customWidth="1" min="11" max="11"/>
    <col width="70" customWidth="1" min="12" max="12"/>
    <col width="19" customWidth="1" min="13" max="13"/>
  </cols>
  <sheetData>
    <row r="1">
      <c r="A1" s="16" t="n">
        <v>46295</v>
      </c>
    </row>
    <row r="2">
      <c r="A2" s="1" t="inlineStr">
        <is>
          <t>Nhà thuốc</t>
        </is>
      </c>
      <c r="B2" s="1" t="inlineStr">
        <is>
          <t>Nhân viên</t>
        </is>
      </c>
      <c r="C2" s="1" t="inlineStr">
        <is>
          <t>Chức danh</t>
        </is>
      </c>
      <c r="D2" s="35" t="inlineStr">
        <is>
          <t>CK + Combo + NY3/ngày</t>
        </is>
      </c>
      <c r="E2" s="35" t="inlineStr">
        <is>
          <t>NY3</t>
        </is>
      </c>
      <c r="F2" s="35" t="inlineStr">
        <is>
          <t>Chiết khấu</t>
        </is>
      </c>
      <c r="G2" s="35" t="inlineStr">
        <is>
          <t>Combo Liều</t>
        </is>
      </c>
      <c r="H2" s="35" t="inlineStr">
        <is>
          <t>Chiết khấu/ngày</t>
        </is>
      </c>
      <c r="I2" s="35" t="inlineStr">
        <is>
          <t>Combo Liều/ngày</t>
        </is>
      </c>
      <c r="J2" s="36" t="inlineStr">
        <is>
          <t>Thưởng dự án</t>
        </is>
      </c>
      <c r="K2" s="36" t="inlineStr">
        <is>
          <t>Thưởng thêm</t>
        </is>
      </c>
      <c r="L2" s="36" t="inlineStr">
        <is>
          <t>Thưởng dự án Hot Bill HN</t>
        </is>
      </c>
      <c r="M2" s="36" t="inlineStr">
        <is>
          <t>Total dự án</t>
        </is>
      </c>
    </row>
    <row r="3">
      <c r="A3" s="11" t="inlineStr">
        <is>
          <t>Trường Sa</t>
        </is>
      </c>
      <c r="B3" s="11" t="inlineStr">
        <is>
          <t>Nguyễn Trần Ngọc Phương</t>
        </is>
      </c>
      <c r="C3" s="11" t="inlineStr">
        <is>
          <t>Q.CHT</t>
        </is>
      </c>
      <c r="D3" s="13">
        <f>SUM(F3:G3)/DAY($A$1)</f>
        <v/>
      </c>
      <c r="E3" s="13" t="n">
        <v>0</v>
      </c>
      <c r="F3" s="13" t="n">
        <v>0</v>
      </c>
      <c r="G3" s="13" t="n">
        <v>0</v>
      </c>
      <c r="H3" s="13">
        <f>F3/DAY($A$1)</f>
        <v/>
      </c>
      <c r="I3" s="13">
        <f>G3/DAY($A$1)</f>
        <v/>
      </c>
      <c r="J3" s="13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13">
        <f>IF(AND($J3=0, IF(OR($A3="Hàng Bông",$A3="Đường Láng"),$D3&gt;=2000000,$D3&gt;=950000)), 500000, 0)</f>
        <v/>
      </c>
      <c r="L3" s="13">
        <f>IFERROR(SUMIF('Hot Bill HN'!$D:$D, $B3, 'Hot Bill HN'!$G:$G), 0)</f>
        <v/>
      </c>
      <c r="M3" s="26">
        <f>$J3+$K3+$L3</f>
        <v/>
      </c>
    </row>
    <row r="4">
      <c r="A4" s="7" t="inlineStr">
        <is>
          <t>Trường Sa</t>
        </is>
      </c>
      <c r="B4" s="7" t="inlineStr">
        <is>
          <t>Phạm Nguyễn Ngọc Quý</t>
        </is>
      </c>
      <c r="C4" s="7" t="inlineStr">
        <is>
          <t>DSXC</t>
        </is>
      </c>
      <c r="D4" s="9">
        <f>SUM(F4:G4)/DAY($A$1)</f>
        <v/>
      </c>
      <c r="E4" s="9" t="n">
        <v>0</v>
      </c>
      <c r="F4" s="9" t="n">
        <v>0</v>
      </c>
      <c r="G4" s="9" t="n">
        <v>0</v>
      </c>
      <c r="H4" s="9">
        <f>F4/DAY($A$1)</f>
        <v/>
      </c>
      <c r="I4" s="9">
        <f>G4/DAY($A$1)</f>
        <v/>
      </c>
      <c r="J4" s="9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9">
        <f>IF(AND($J4=0, IF(OR($A4="Hàng Bông",$A4="Đường Láng"),$D4&gt;=2000000,$D4&gt;=950000)), 500000, 0)</f>
        <v/>
      </c>
      <c r="L4" s="9">
        <f>IFERROR(SUMIF('Hot Bill HN'!$D:$D, $B4, 'Hot Bill HN'!$G:$G), 0)</f>
        <v/>
      </c>
      <c r="M4" s="26">
        <f>$J4+$K4+$L4</f>
        <v/>
      </c>
    </row>
    <row r="5">
      <c r="A5" s="11" t="inlineStr">
        <is>
          <t>Trường Sa</t>
        </is>
      </c>
      <c r="B5" s="11" t="inlineStr">
        <is>
          <t>Nguyễn Ngọc Anh Thư</t>
        </is>
      </c>
      <c r="C5" s="11" t="inlineStr">
        <is>
          <t>DSHV</t>
        </is>
      </c>
      <c r="D5" s="13">
        <f>SUM(F5:G5)/DAY($A$1)</f>
        <v/>
      </c>
      <c r="E5" s="13" t="n">
        <v>0</v>
      </c>
      <c r="F5" s="13" t="n">
        <v>0</v>
      </c>
      <c r="G5" s="13" t="n">
        <v>0</v>
      </c>
      <c r="H5" s="13">
        <f>F5/DAY($A$1)</f>
        <v/>
      </c>
      <c r="I5" s="13">
        <f>G5/DAY($A$1)</f>
        <v/>
      </c>
      <c r="J5" s="13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13">
        <f>IF(AND($J5=0, IF(OR($A5="Hàng Bông",$A5="Đường Láng"),$D5&gt;=2000000,$D5&gt;=950000)), 500000, 0)</f>
        <v/>
      </c>
      <c r="L5" s="13">
        <f>IFERROR(SUMIF('Hot Bill HN'!$D:$D, $B5, 'Hot Bill HN'!$G:$G), 0)</f>
        <v/>
      </c>
      <c r="M5" s="26">
        <f>$J5+$K5+$L5</f>
        <v/>
      </c>
    </row>
    <row r="6">
      <c r="A6" s="7" t="inlineStr">
        <is>
          <t>Trường Sa</t>
        </is>
      </c>
      <c r="B6" s="7" t="inlineStr">
        <is>
          <t>Trần Thị Kim Khánh</t>
        </is>
      </c>
      <c r="C6" s="7" t="inlineStr">
        <is>
          <t>DSCD</t>
        </is>
      </c>
      <c r="D6" s="9">
        <f>SUM(F6:G6)/DAY($A$1)</f>
        <v/>
      </c>
      <c r="E6" s="9" t="n">
        <v>0</v>
      </c>
      <c r="F6" s="9" t="n">
        <v>0</v>
      </c>
      <c r="G6" s="9" t="n">
        <v>0</v>
      </c>
      <c r="H6" s="9">
        <f>F6/DAY($A$1)</f>
        <v/>
      </c>
      <c r="I6" s="9">
        <f>G6/DAY($A$1)</f>
        <v/>
      </c>
      <c r="J6" s="9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9">
        <f>IF(AND($J6=0, IF(OR($A6="Hàng Bông",$A6="Đường Láng"),$D6&gt;=2000000,$D6&gt;=950000)), 500000, 0)</f>
        <v/>
      </c>
      <c r="L6" s="9">
        <f>IFERROR(SUMIF('Hot Bill HN'!$D:$D, $B6, 'Hot Bill HN'!$G:$G), 0)</f>
        <v/>
      </c>
      <c r="M6" s="26">
        <f>$J6+$K6+$L6</f>
        <v/>
      </c>
    </row>
    <row r="7">
      <c r="A7" s="11" t="inlineStr">
        <is>
          <t>Trường Sa</t>
        </is>
      </c>
      <c r="B7" s="11" t="inlineStr">
        <is>
          <t>Trịnh Thị Phượng</t>
        </is>
      </c>
      <c r="C7" s="11" t="inlineStr">
        <is>
          <t>DSCD</t>
        </is>
      </c>
      <c r="D7" s="13">
        <f>SUM(F7:G7)/DAY($A$1)</f>
        <v/>
      </c>
      <c r="E7" s="13" t="n">
        <v>0</v>
      </c>
      <c r="F7" s="13" t="n">
        <v>0</v>
      </c>
      <c r="G7" s="13" t="n">
        <v>0</v>
      </c>
      <c r="H7" s="13">
        <f>F7/DAY($A$1)</f>
        <v/>
      </c>
      <c r="I7" s="13">
        <f>G7/DAY($A$1)</f>
        <v/>
      </c>
      <c r="J7" s="13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13">
        <f>IF(AND($J7=0, IF(OR($A7="Hàng Bông",$A7="Đường Láng"),$D7&gt;=2000000,$D7&gt;=950000)), 500000, 0)</f>
        <v/>
      </c>
      <c r="L7" s="13">
        <f>IFERROR(SUMIF('Hot Bill HN'!$D:$D, $B7, 'Hot Bill HN'!$G:$G), 0)</f>
        <v/>
      </c>
      <c r="M7" s="26">
        <f>$J7+$K7+$L7</f>
        <v/>
      </c>
    </row>
    <row r="8">
      <c r="A8" s="7" t="inlineStr">
        <is>
          <t>Đỗ Quang Đẩu</t>
        </is>
      </c>
      <c r="B8" s="7" t="inlineStr">
        <is>
          <t>Phạm Thị Nghĩa Hương</t>
        </is>
      </c>
      <c r="C8" s="7" t="inlineStr">
        <is>
          <t>DSCD</t>
        </is>
      </c>
      <c r="D8" s="9">
        <f>SUM(F8:G8)/DAY($A$1)</f>
        <v/>
      </c>
      <c r="E8" s="9" t="n">
        <v>0</v>
      </c>
      <c r="F8" s="9" t="n">
        <v>0</v>
      </c>
      <c r="G8" s="9" t="n">
        <v>0</v>
      </c>
      <c r="H8" s="9">
        <f>F8/DAY($A$1)</f>
        <v/>
      </c>
      <c r="I8" s="9">
        <f>G8/DAY($A$1)</f>
        <v/>
      </c>
      <c r="J8" s="9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9">
        <f>IF(AND($J8=0, IF(OR($A8="Hàng Bông",$A8="Đường Láng"),$D8&gt;=2000000,$D8&gt;=950000)), 500000, 0)</f>
        <v/>
      </c>
      <c r="L8" s="9">
        <f>IFERROR(SUMIF('Hot Bill HN'!$D:$D, $B8, 'Hot Bill HN'!$G:$G), 0)</f>
        <v/>
      </c>
      <c r="M8" s="26">
        <f>$J8+$K8+$L8</f>
        <v/>
      </c>
    </row>
    <row r="9">
      <c r="A9" s="11" t="inlineStr">
        <is>
          <t>Đỗ Quang Đẩu</t>
        </is>
      </c>
      <c r="B9" s="11" t="inlineStr">
        <is>
          <t>Trần Thiên Phát</t>
        </is>
      </c>
      <c r="C9" s="11" t="inlineStr">
        <is>
          <t>DSXC</t>
        </is>
      </c>
      <c r="D9" s="13">
        <f>SUM(F9:G9)/DAY($A$1)</f>
        <v/>
      </c>
      <c r="E9" s="13" t="n">
        <v>0</v>
      </c>
      <c r="F9" s="13" t="n">
        <v>0</v>
      </c>
      <c r="G9" s="13" t="n">
        <v>0</v>
      </c>
      <c r="H9" s="13">
        <f>F9/DAY($A$1)</f>
        <v/>
      </c>
      <c r="I9" s="13">
        <f>G9/DAY($A$1)</f>
        <v/>
      </c>
      <c r="J9" s="13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13">
        <f>IF(AND($J9=0, IF(OR($A9="Hàng Bông",$A9="Đường Láng"),$D9&gt;=2000000,$D9&gt;=950000)), 500000, 0)</f>
        <v/>
      </c>
      <c r="L9" s="13">
        <f>IFERROR(SUMIF('Hot Bill HN'!$D:$D, $B9, 'Hot Bill HN'!$G:$G), 0)</f>
        <v/>
      </c>
      <c r="M9" s="26">
        <f>$J9+$K9+$L9</f>
        <v/>
      </c>
    </row>
    <row r="10">
      <c r="A10" s="7" t="inlineStr">
        <is>
          <t>Đỗ Quang Đẩu</t>
        </is>
      </c>
      <c r="B10" s="7" t="inlineStr">
        <is>
          <t>Ngô Thị Thanh Thắm</t>
        </is>
      </c>
      <c r="C10" s="7" t="inlineStr">
        <is>
          <t>CHT</t>
        </is>
      </c>
      <c r="D10" s="9">
        <f>SUM(F10:G10)/DAY($A$1)</f>
        <v/>
      </c>
      <c r="E10" s="9" t="n">
        <v>0</v>
      </c>
      <c r="F10" s="9" t="n">
        <v>0</v>
      </c>
      <c r="G10" s="9" t="n">
        <v>0</v>
      </c>
      <c r="H10" s="9">
        <f>F10/DAY($A$1)</f>
        <v/>
      </c>
      <c r="I10" s="9">
        <f>G10/DAY($A$1)</f>
        <v/>
      </c>
      <c r="J10" s="9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9">
        <f>IF(AND($J10=0, IF(OR($A10="Hàng Bông",$A10="Đường Láng"),$D10&gt;=2000000,$D10&gt;=950000)), 500000, 0)</f>
        <v/>
      </c>
      <c r="L10" s="9">
        <f>IFERROR(SUMIF('Hot Bill HN'!$D:$D, $B10, 'Hot Bill HN'!$G:$G), 0)</f>
        <v/>
      </c>
      <c r="M10" s="26">
        <f>$J10+$K10+$L10</f>
        <v/>
      </c>
    </row>
    <row r="11">
      <c r="A11" s="11" t="inlineStr">
        <is>
          <t>Đỗ Quang Đẩu</t>
        </is>
      </c>
      <c r="B11" s="11" t="inlineStr">
        <is>
          <t>Hoàng Thanh Thủy</t>
        </is>
      </c>
      <c r="C11" s="11" t="inlineStr">
        <is>
          <t>DSXC</t>
        </is>
      </c>
      <c r="D11" s="13">
        <f>SUM(F11:G11)/DAY($A$1)</f>
        <v/>
      </c>
      <c r="E11" s="13" t="n">
        <v>0</v>
      </c>
      <c r="F11" s="13" t="n">
        <v>0</v>
      </c>
      <c r="G11" s="13" t="n">
        <v>0</v>
      </c>
      <c r="H11" s="13">
        <f>F11/DAY($A$1)</f>
        <v/>
      </c>
      <c r="I11" s="13">
        <f>G11/DAY($A$1)</f>
        <v/>
      </c>
      <c r="J11" s="13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13">
        <f>IF(AND($J11=0, IF(OR($A11="Hàng Bông",$A11="Đường Láng"),$D11&gt;=2000000,$D11&gt;=950000)), 500000, 0)</f>
        <v/>
      </c>
      <c r="L11" s="13">
        <f>IFERROR(SUMIF('Hot Bill HN'!$D:$D, $B11, 'Hot Bill HN'!$G:$G), 0)</f>
        <v/>
      </c>
      <c r="M11" s="26">
        <f>$J11+$K11+$L11</f>
        <v/>
      </c>
    </row>
    <row r="12">
      <c r="A12" s="7" t="inlineStr">
        <is>
          <t>Đỗ Quang Đẩu</t>
        </is>
      </c>
      <c r="B12" s="7" t="inlineStr">
        <is>
          <t>Lê Thị Huyền Trân</t>
        </is>
      </c>
      <c r="C12" s="7" t="inlineStr">
        <is>
          <t>DSXC</t>
        </is>
      </c>
      <c r="D12" s="9">
        <f>SUM(F12:G12)/DAY($A$1)</f>
        <v/>
      </c>
      <c r="E12" s="9" t="n">
        <v>0</v>
      </c>
      <c r="F12" s="9" t="n">
        <v>0</v>
      </c>
      <c r="G12" s="9" t="n">
        <v>0</v>
      </c>
      <c r="H12" s="9">
        <f>F12/DAY($A$1)</f>
        <v/>
      </c>
      <c r="I12" s="9">
        <f>G12/DAY($A$1)</f>
        <v/>
      </c>
      <c r="J12" s="9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9">
        <f>IF(AND($J12=0, IF(OR($A12="Hàng Bông",$A12="Đường Láng"),$D12&gt;=2000000,$D12&gt;=950000)), 500000, 0)</f>
        <v/>
      </c>
      <c r="L12" s="9">
        <f>IFERROR(SUMIF('Hot Bill HN'!$D:$D, $B12, 'Hot Bill HN'!$G:$G), 0)</f>
        <v/>
      </c>
      <c r="M12" s="26">
        <f>$J12+$K12+$L12</f>
        <v/>
      </c>
    </row>
    <row r="13">
      <c r="A13" s="11" t="inlineStr">
        <is>
          <t>Minh Châu</t>
        </is>
      </c>
      <c r="B13" s="11" t="inlineStr">
        <is>
          <t>Thái Thùy Linh</t>
        </is>
      </c>
      <c r="C13" s="11" t="inlineStr">
        <is>
          <t>CHT</t>
        </is>
      </c>
      <c r="D13" s="13">
        <f>SUM(F13:G13)/DAY($A$1)</f>
        <v/>
      </c>
      <c r="E13" s="13" t="n">
        <v>0</v>
      </c>
      <c r="F13" s="13" t="n">
        <v>0</v>
      </c>
      <c r="G13" s="13" t="n">
        <v>0</v>
      </c>
      <c r="H13" s="13">
        <f>F13/DAY($A$1)</f>
        <v/>
      </c>
      <c r="I13" s="13">
        <f>G13/DAY($A$1)</f>
        <v/>
      </c>
      <c r="J13" s="13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13">
        <f>IF(AND($J13=0, IF(OR($A13="Hàng Bông",$A13="Đường Láng"),$D13&gt;=2000000,$D13&gt;=950000)), 500000, 0)</f>
        <v/>
      </c>
      <c r="L13" s="13">
        <f>IFERROR(SUMIF('Hot Bill HN'!$D:$D, $B13, 'Hot Bill HN'!$G:$G), 0)</f>
        <v/>
      </c>
      <c r="M13" s="26">
        <f>$J13+$K13+$L13</f>
        <v/>
      </c>
    </row>
    <row r="14">
      <c r="A14" s="7" t="inlineStr">
        <is>
          <t>Minh Châu</t>
        </is>
      </c>
      <c r="B14" s="7" t="inlineStr">
        <is>
          <t>Đoàn Quốc Tâm</t>
        </is>
      </c>
      <c r="C14" s="7" t="inlineStr">
        <is>
          <t>DSXC</t>
        </is>
      </c>
      <c r="D14" s="9">
        <f>SUM(F14:G14)/DAY($A$1)</f>
        <v/>
      </c>
      <c r="E14" s="9" t="n">
        <v>0</v>
      </c>
      <c r="F14" s="9" t="n">
        <v>0</v>
      </c>
      <c r="G14" s="9" t="n">
        <v>0</v>
      </c>
      <c r="H14" s="9">
        <f>F14/DAY($A$1)</f>
        <v/>
      </c>
      <c r="I14" s="9">
        <f>G14/DAY($A$1)</f>
        <v/>
      </c>
      <c r="J14" s="9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9">
        <f>IF(AND($J14=0, IF(OR($A14="Hàng Bông",$A14="Đường Láng"),$D14&gt;=2000000,$D14&gt;=950000)), 500000, 0)</f>
        <v/>
      </c>
      <c r="L14" s="9">
        <f>IFERROR(SUMIF('Hot Bill HN'!$D:$D, $B14, 'Hot Bill HN'!$G:$G), 0)</f>
        <v/>
      </c>
      <c r="M14" s="26">
        <f>$J14+$K14+$L14</f>
        <v/>
      </c>
    </row>
    <row r="15">
      <c r="A15" s="11" t="inlineStr">
        <is>
          <t>Minh Châu</t>
        </is>
      </c>
      <c r="B15" s="11" t="inlineStr">
        <is>
          <t>Phan Công Vũ Tài</t>
        </is>
      </c>
      <c r="C15" s="11" t="inlineStr">
        <is>
          <t>DSXC</t>
        </is>
      </c>
      <c r="D15" s="13">
        <f>SUM(F15:G15)/DAY($A$1)</f>
        <v/>
      </c>
      <c r="E15" s="13" t="n">
        <v>0</v>
      </c>
      <c r="F15" s="13" t="n">
        <v>0</v>
      </c>
      <c r="G15" s="13" t="n">
        <v>0</v>
      </c>
      <c r="H15" s="13">
        <f>F15/DAY($A$1)</f>
        <v/>
      </c>
      <c r="I15" s="13">
        <f>G15/DAY($A$1)</f>
        <v/>
      </c>
      <c r="J15" s="13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13">
        <f>IF(AND($J15=0, IF(OR($A15="Hàng Bông",$A15="Đường Láng"),$D15&gt;=2000000,$D15&gt;=950000)), 500000, 0)</f>
        <v/>
      </c>
      <c r="L15" s="13">
        <f>IFERROR(SUMIF('Hot Bill HN'!$D:$D, $B15, 'Hot Bill HN'!$G:$G), 0)</f>
        <v/>
      </c>
      <c r="M15" s="26">
        <f>$J15+$K15+$L15</f>
        <v/>
      </c>
    </row>
    <row r="16">
      <c r="A16" s="7" t="inlineStr">
        <is>
          <t>Minh Châu</t>
        </is>
      </c>
      <c r="B16" s="7" t="inlineStr">
        <is>
          <t>Nguyễn Ngọc Thùy</t>
        </is>
      </c>
      <c r="C16" s="7" t="inlineStr">
        <is>
          <t>DSHV</t>
        </is>
      </c>
      <c r="D16" s="9">
        <f>SUM(F16:G16)/DAY($A$1)</f>
        <v/>
      </c>
      <c r="E16" s="9" t="n">
        <v>0</v>
      </c>
      <c r="F16" s="9" t="n">
        <v>0</v>
      </c>
      <c r="G16" s="9" t="n">
        <v>0</v>
      </c>
      <c r="H16" s="9">
        <f>F16/DAY($A$1)</f>
        <v/>
      </c>
      <c r="I16" s="9">
        <f>G16/DAY($A$1)</f>
        <v/>
      </c>
      <c r="J16" s="9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9">
        <f>IF(AND($J16=0, IF(OR($A16="Hàng Bông",$A16="Đường Láng"),$D16&gt;=2000000,$D16&gt;=950000)), 500000, 0)</f>
        <v/>
      </c>
      <c r="L16" s="9">
        <f>IFERROR(SUMIF('Hot Bill HN'!$D:$D, $B16, 'Hot Bill HN'!$G:$G), 0)</f>
        <v/>
      </c>
      <c r="M16" s="26">
        <f>$J16+$K16+$L16</f>
        <v/>
      </c>
    </row>
    <row r="17">
      <c r="A17" s="11" t="inlineStr">
        <is>
          <t>Nam Hòa</t>
        </is>
      </c>
      <c r="B17" s="11" t="inlineStr">
        <is>
          <t>Trần Thị Ánh Nguyệt</t>
        </is>
      </c>
      <c r="C17" s="11" t="inlineStr">
        <is>
          <t>DSCD</t>
        </is>
      </c>
      <c r="D17" s="13">
        <f>SUM(F17:G17)/DAY($A$1)</f>
        <v/>
      </c>
      <c r="E17" s="13" t="n">
        <v>0</v>
      </c>
      <c r="F17" s="13" t="n">
        <v>0</v>
      </c>
      <c r="G17" s="13" t="n">
        <v>0</v>
      </c>
      <c r="H17" s="13">
        <f>F17/DAY($A$1)</f>
        <v/>
      </c>
      <c r="I17" s="13">
        <f>G17/DAY($A$1)</f>
        <v/>
      </c>
      <c r="J17" s="13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13">
        <f>IF(AND($J17=0, IF(OR($A17="Hàng Bông",$A17="Đường Láng"),$D17&gt;=2000000,$D17&gt;=950000)), 500000, 0)</f>
        <v/>
      </c>
      <c r="L17" s="13">
        <f>IFERROR(SUMIF('Hot Bill HN'!$D:$D, $B17, 'Hot Bill HN'!$G:$G), 0)</f>
        <v/>
      </c>
      <c r="M17" s="26">
        <f>$J17+$K17+$L17</f>
        <v/>
      </c>
    </row>
    <row r="18">
      <c r="A18" s="7" t="inlineStr">
        <is>
          <t>Nam Hòa</t>
        </is>
      </c>
      <c r="B18" s="7" t="inlineStr">
        <is>
          <t>Nguyễn Thị Huyền Trang</t>
        </is>
      </c>
      <c r="C18" s="7" t="inlineStr">
        <is>
          <t>DSXC</t>
        </is>
      </c>
      <c r="D18" s="9">
        <f>SUM(F18:G18)/DAY($A$1)</f>
        <v/>
      </c>
      <c r="E18" s="9" t="n">
        <v>0</v>
      </c>
      <c r="F18" s="9" t="n">
        <v>0</v>
      </c>
      <c r="G18" s="9" t="n">
        <v>0</v>
      </c>
      <c r="H18" s="9">
        <f>F18/DAY($A$1)</f>
        <v/>
      </c>
      <c r="I18" s="9">
        <f>G18/DAY($A$1)</f>
        <v/>
      </c>
      <c r="J18" s="9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9">
        <f>IF(AND($J18=0, IF(OR($A18="Hàng Bông",$A18="Đường Láng"),$D18&gt;=2000000,$D18&gt;=950000)), 500000, 0)</f>
        <v/>
      </c>
      <c r="L18" s="9">
        <f>IFERROR(SUMIF('Hot Bill HN'!$D:$D, $B18, 'Hot Bill HN'!$G:$G), 0)</f>
        <v/>
      </c>
      <c r="M18" s="26">
        <f>$J18+$K18+$L18</f>
        <v/>
      </c>
    </row>
    <row r="19">
      <c r="A19" s="11" t="inlineStr">
        <is>
          <t>Nam Hòa</t>
        </is>
      </c>
      <c r="B19" s="11" t="inlineStr">
        <is>
          <t>Dương Thị Huỳnh Như</t>
        </is>
      </c>
      <c r="C19" s="11" t="inlineStr">
        <is>
          <t>DSCD (TV)</t>
        </is>
      </c>
      <c r="D19" s="13">
        <f>SUM(F19:G19)/DAY($A$1)</f>
        <v/>
      </c>
      <c r="E19" s="13" t="n">
        <v>0</v>
      </c>
      <c r="F19" s="13" t="n">
        <v>0</v>
      </c>
      <c r="G19" s="13" t="n">
        <v>0</v>
      </c>
      <c r="H19" s="13">
        <f>F19/DAY($A$1)</f>
        <v/>
      </c>
      <c r="I19" s="13">
        <f>G19/DAY($A$1)</f>
        <v/>
      </c>
      <c r="J19" s="13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13">
        <f>IF(AND($J19=0, IF(OR($A19="Hàng Bông",$A19="Đường Láng"),$D19&gt;=2000000,$D19&gt;=950000)), 500000, 0)</f>
        <v/>
      </c>
      <c r="L19" s="13">
        <f>IFERROR(SUMIF('Hot Bill HN'!$D:$D, $B19, 'Hot Bill HN'!$G:$G), 0)</f>
        <v/>
      </c>
      <c r="M19" s="26">
        <f>$J19+$K19+$L19</f>
        <v/>
      </c>
    </row>
    <row r="20">
      <c r="A20" s="7" t="inlineStr">
        <is>
          <t>Nam Hòa</t>
        </is>
      </c>
      <c r="B20" s="7" t="inlineStr">
        <is>
          <t>Bùi Thị Thanh Thủy</t>
        </is>
      </c>
      <c r="C20" s="7" t="inlineStr">
        <is>
          <t>DSXC</t>
        </is>
      </c>
      <c r="D20" s="9">
        <f>SUM(F20:G20)/DAY($A$1)</f>
        <v/>
      </c>
      <c r="E20" s="9" t="n">
        <v>0</v>
      </c>
      <c r="F20" s="9" t="n">
        <v>0</v>
      </c>
      <c r="G20" s="9" t="n">
        <v>0</v>
      </c>
      <c r="H20" s="9">
        <f>F20/DAY($A$1)</f>
        <v/>
      </c>
      <c r="I20" s="9">
        <f>G20/DAY($A$1)</f>
        <v/>
      </c>
      <c r="J20" s="9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9">
        <f>IF(AND($J20=0, IF(OR($A20="Hàng Bông",$A20="Đường Láng"),$D20&gt;=2000000,$D20&gt;=950000)), 500000, 0)</f>
        <v/>
      </c>
      <c r="L20" s="9">
        <f>IFERROR(SUMIF('Hot Bill HN'!$D:$D, $B20, 'Hot Bill HN'!$G:$G), 0)</f>
        <v/>
      </c>
      <c r="M20" s="26">
        <f>$J20+$K20+$L20</f>
        <v/>
      </c>
    </row>
    <row r="21">
      <c r="A21" s="11" t="inlineStr">
        <is>
          <t>Nguyễn Chí Thanh</t>
        </is>
      </c>
      <c r="B21" s="11" t="inlineStr">
        <is>
          <t>Lê Thị Quỳnh Trâm</t>
        </is>
      </c>
      <c r="C21" s="11" t="inlineStr">
        <is>
          <t>CHT</t>
        </is>
      </c>
      <c r="D21" s="13">
        <f>SUM(F21:G21)/DAY($A$1)</f>
        <v/>
      </c>
      <c r="E21" s="13" t="n">
        <v>0</v>
      </c>
      <c r="F21" s="13" t="n">
        <v>0</v>
      </c>
      <c r="G21" s="13" t="n">
        <v>0</v>
      </c>
      <c r="H21" s="13">
        <f>F21/DAY($A$1)</f>
        <v/>
      </c>
      <c r="I21" s="13">
        <f>G21/DAY($A$1)</f>
        <v/>
      </c>
      <c r="J21" s="13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13">
        <f>IF(AND($J21=0, IF(OR($A21="Hàng Bông",$A21="Đường Láng"),$D21&gt;=2000000,$D21&gt;=950000)), 500000, 0)</f>
        <v/>
      </c>
      <c r="L21" s="13">
        <f>IFERROR(SUMIF('Hot Bill HN'!$D:$D, $B21, 'Hot Bill HN'!$G:$G), 0)</f>
        <v/>
      </c>
      <c r="M21" s="26">
        <f>$J21+$K21+$L21</f>
        <v/>
      </c>
    </row>
    <row r="22">
      <c r="A22" s="7" t="inlineStr">
        <is>
          <t>Nguyễn Chí Thanh</t>
        </is>
      </c>
      <c r="B22" s="7" t="inlineStr">
        <is>
          <t>Đỗ Thị Phương Thảo</t>
        </is>
      </c>
      <c r="C22" s="7" t="inlineStr">
        <is>
          <t>DSXC</t>
        </is>
      </c>
      <c r="D22" s="9">
        <f>SUM(F22:G22)/DAY($A$1)</f>
        <v/>
      </c>
      <c r="E22" s="9" t="n">
        <v>0</v>
      </c>
      <c r="F22" s="9" t="n">
        <v>0</v>
      </c>
      <c r="G22" s="9" t="n">
        <v>0</v>
      </c>
      <c r="H22" s="9">
        <f>F22/DAY($A$1)</f>
        <v/>
      </c>
      <c r="I22" s="9">
        <f>G22/DAY($A$1)</f>
        <v/>
      </c>
      <c r="J22" s="9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9">
        <f>IF(AND($J22=0, IF(OR($A22="Hàng Bông",$A22="Đường Láng"),$D22&gt;=2000000,$D22&gt;=950000)), 500000, 0)</f>
        <v/>
      </c>
      <c r="L22" s="9">
        <f>IFERROR(SUMIF('Hot Bill HN'!$D:$D, $B22, 'Hot Bill HN'!$G:$G), 0)</f>
        <v/>
      </c>
      <c r="M22" s="26">
        <f>$J22+$K22+$L22</f>
        <v/>
      </c>
    </row>
    <row r="23">
      <c r="A23" s="11" t="inlineStr">
        <is>
          <t>Nguyễn Chí Thanh</t>
        </is>
      </c>
      <c r="B23" s="11" t="inlineStr">
        <is>
          <t>Nguyễn Thị Hồng Hạnh</t>
        </is>
      </c>
      <c r="C23" s="11" t="inlineStr">
        <is>
          <t>DSCD</t>
        </is>
      </c>
      <c r="D23" s="13">
        <f>SUM(F23:G23)/DAY($A$1)</f>
        <v/>
      </c>
      <c r="E23" s="13" t="n">
        <v>0</v>
      </c>
      <c r="F23" s="13" t="n">
        <v>0</v>
      </c>
      <c r="G23" s="13" t="n">
        <v>0</v>
      </c>
      <c r="H23" s="13">
        <f>F23/DAY($A$1)</f>
        <v/>
      </c>
      <c r="I23" s="13">
        <f>G23/DAY($A$1)</f>
        <v/>
      </c>
      <c r="J23" s="13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13">
        <f>IF(AND($J23=0, IF(OR($A23="Hàng Bông",$A23="Đường Láng"),$D23&gt;=2000000,$D23&gt;=950000)), 500000, 0)</f>
        <v/>
      </c>
      <c r="L23" s="13">
        <f>IFERROR(SUMIF('Hot Bill HN'!$D:$D, $B23, 'Hot Bill HN'!$G:$G), 0)</f>
        <v/>
      </c>
      <c r="M23" s="26">
        <f>$J23+$K23+$L23</f>
        <v/>
      </c>
    </row>
    <row r="24">
      <c r="A24" s="7" t="inlineStr">
        <is>
          <t>Nguyễn Chí Thanh</t>
        </is>
      </c>
      <c r="B24" s="7" t="inlineStr">
        <is>
          <t>Trần Hoàng Khánh</t>
        </is>
      </c>
      <c r="C24" s="7" t="inlineStr">
        <is>
          <t>DSCD</t>
        </is>
      </c>
      <c r="D24" s="9">
        <f>SUM(F24:G24)/DAY($A$1)</f>
        <v/>
      </c>
      <c r="E24" s="9" t="n">
        <v>0</v>
      </c>
      <c r="F24" s="9" t="n">
        <v>0</v>
      </c>
      <c r="G24" s="9" t="n">
        <v>0</v>
      </c>
      <c r="H24" s="9">
        <f>F24/DAY($A$1)</f>
        <v/>
      </c>
      <c r="I24" s="9">
        <f>G24/DAY($A$1)</f>
        <v/>
      </c>
      <c r="J24" s="9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9">
        <f>IF(AND($J24=0, IF(OR($A24="Hàng Bông",$A24="Đường Láng"),$D24&gt;=2000000,$D24&gt;=950000)), 500000, 0)</f>
        <v/>
      </c>
      <c r="L24" s="9">
        <f>IFERROR(SUMIF('Hot Bill HN'!$D:$D, $B24, 'Hot Bill HN'!$G:$G), 0)</f>
        <v/>
      </c>
      <c r="M24" s="26">
        <f>$J24+$K24+$L24</f>
        <v/>
      </c>
    </row>
    <row r="25">
      <c r="A25" s="11" t="inlineStr">
        <is>
          <t>Nguyễn Chí Thanh</t>
        </is>
      </c>
      <c r="B25" s="11" t="inlineStr">
        <is>
          <t>Lý Thục Mi</t>
        </is>
      </c>
      <c r="C25" s="11" t="inlineStr">
        <is>
          <t>DSXC (TV)</t>
        </is>
      </c>
      <c r="D25" s="13">
        <f>SUM(F25:G25)/DAY($A$1)</f>
        <v/>
      </c>
      <c r="E25" s="13" t="n">
        <v>0</v>
      </c>
      <c r="F25" s="13" t="n">
        <v>0</v>
      </c>
      <c r="G25" s="13" t="n">
        <v>0</v>
      </c>
      <c r="H25" s="13">
        <f>F25/DAY($A$1)</f>
        <v/>
      </c>
      <c r="I25" s="13">
        <f>G25/DAY($A$1)</f>
        <v/>
      </c>
      <c r="J25" s="13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13">
        <f>IF(AND($J25=0, IF(OR($A25="Hàng Bông",$A25="Đường Láng"),$D25&gt;=2000000,$D25&gt;=950000)), 500000, 0)</f>
        <v/>
      </c>
      <c r="L25" s="13">
        <f>IFERROR(SUMIF('Hot Bill HN'!$D:$D, $B25, 'Hot Bill HN'!$G:$G), 0)</f>
        <v/>
      </c>
      <c r="M25" s="26">
        <f>$J25+$K25+$L25</f>
        <v/>
      </c>
    </row>
    <row r="26">
      <c r="A26" s="7" t="inlineStr">
        <is>
          <t>Nguyễn Thị Thập</t>
        </is>
      </c>
      <c r="B26" s="7" t="inlineStr">
        <is>
          <t>Trần Thành Đạt</t>
        </is>
      </c>
      <c r="C26" s="7" t="inlineStr">
        <is>
          <t>DSCD</t>
        </is>
      </c>
      <c r="D26" s="9">
        <f>SUM(F26:G26)/DAY($A$1)</f>
        <v/>
      </c>
      <c r="E26" s="9" t="n">
        <v>0</v>
      </c>
      <c r="F26" s="9" t="n">
        <v>0</v>
      </c>
      <c r="G26" s="9" t="n">
        <v>0</v>
      </c>
      <c r="H26" s="9">
        <f>F26/DAY($A$1)</f>
        <v/>
      </c>
      <c r="I26" s="9">
        <f>G26/DAY($A$1)</f>
        <v/>
      </c>
      <c r="J26" s="9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9">
        <f>IF(AND($J26=0, IF(OR($A26="Hàng Bông",$A26="Đường Láng"),$D26&gt;=2000000,$D26&gt;=950000)), 500000, 0)</f>
        <v/>
      </c>
      <c r="L26" s="9">
        <f>IFERROR(SUMIF('Hot Bill HN'!$D:$D, $B26, 'Hot Bill HN'!$G:$G), 0)</f>
        <v/>
      </c>
      <c r="M26" s="26">
        <f>$J26+$K26+$L26</f>
        <v/>
      </c>
    </row>
    <row r="27">
      <c r="A27" s="11" t="inlineStr">
        <is>
          <t>Nguyễn Thị Thập</t>
        </is>
      </c>
      <c r="B27" s="11" t="inlineStr">
        <is>
          <t>Triệu Thị Ngọc Lý</t>
        </is>
      </c>
      <c r="C27" s="11" t="inlineStr">
        <is>
          <t>CHT</t>
        </is>
      </c>
      <c r="D27" s="13">
        <f>SUM(F27:G27)/DAY($A$1)</f>
        <v/>
      </c>
      <c r="E27" s="13" t="n">
        <v>0</v>
      </c>
      <c r="F27" s="13" t="n">
        <v>0</v>
      </c>
      <c r="G27" s="13" t="n">
        <v>0</v>
      </c>
      <c r="H27" s="13">
        <f>F27/DAY($A$1)</f>
        <v/>
      </c>
      <c r="I27" s="13">
        <f>G27/DAY($A$1)</f>
        <v/>
      </c>
      <c r="J27" s="13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13">
        <f>IF(AND($J27=0, IF(OR($A27="Hàng Bông",$A27="Đường Láng"),$D27&gt;=2000000,$D27&gt;=950000)), 500000, 0)</f>
        <v/>
      </c>
      <c r="L27" s="13">
        <f>IFERROR(SUMIF('Hot Bill HN'!$D:$D, $B27, 'Hot Bill HN'!$G:$G), 0)</f>
        <v/>
      </c>
      <c r="M27" s="26">
        <f>$J27+$K27+$L27</f>
        <v/>
      </c>
    </row>
    <row r="28">
      <c r="A28" s="7" t="inlineStr">
        <is>
          <t>Nguyễn Thị Thập</t>
        </is>
      </c>
      <c r="B28" s="7" t="inlineStr">
        <is>
          <t>Cao Trọng Nhân</t>
        </is>
      </c>
      <c r="C28" s="7" t="inlineStr">
        <is>
          <t>DSCD</t>
        </is>
      </c>
      <c r="D28" s="9">
        <f>SUM(F28:G28)/DAY($A$1)</f>
        <v/>
      </c>
      <c r="E28" s="9" t="n">
        <v>0</v>
      </c>
      <c r="F28" s="9" t="n">
        <v>0</v>
      </c>
      <c r="G28" s="9" t="n">
        <v>0</v>
      </c>
      <c r="H28" s="9">
        <f>F28/DAY($A$1)</f>
        <v/>
      </c>
      <c r="I28" s="9">
        <f>G28/DAY($A$1)</f>
        <v/>
      </c>
      <c r="J28" s="9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9">
        <f>IF(AND($J28=0, IF(OR($A28="Hàng Bông",$A28="Đường Láng"),$D28&gt;=2000000,$D28&gt;=950000)), 500000, 0)</f>
        <v/>
      </c>
      <c r="L28" s="9">
        <f>IFERROR(SUMIF('Hot Bill HN'!$D:$D, $B28, 'Hot Bill HN'!$G:$G), 0)</f>
        <v/>
      </c>
      <c r="M28" s="26">
        <f>$J28+$K28+$L28</f>
        <v/>
      </c>
    </row>
    <row r="29">
      <c r="A29" s="11" t="inlineStr">
        <is>
          <t>Nguyễn Thị Thập</t>
        </is>
      </c>
      <c r="B29" s="11" t="inlineStr">
        <is>
          <t>Bùi Thị Bích Trâm</t>
        </is>
      </c>
      <c r="C29" s="11" t="inlineStr">
        <is>
          <t>DSHV</t>
        </is>
      </c>
      <c r="D29" s="13">
        <f>SUM(F29:G29)/DAY($A$1)</f>
        <v/>
      </c>
      <c r="E29" s="13" t="n">
        <v>0</v>
      </c>
      <c r="F29" s="13" t="n">
        <v>0</v>
      </c>
      <c r="G29" s="13" t="n">
        <v>0</v>
      </c>
      <c r="H29" s="13">
        <f>F29/DAY($A$1)</f>
        <v/>
      </c>
      <c r="I29" s="13">
        <f>G29/DAY($A$1)</f>
        <v/>
      </c>
      <c r="J29" s="13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13">
        <f>IF(AND($J29=0, IF(OR($A29="Hàng Bông",$A29="Đường Láng"),$D29&gt;=2000000,$D29&gt;=950000)), 500000, 0)</f>
        <v/>
      </c>
      <c r="L29" s="13">
        <f>IFERROR(SUMIF('Hot Bill HN'!$D:$D, $B29, 'Hot Bill HN'!$G:$G), 0)</f>
        <v/>
      </c>
      <c r="M29" s="26">
        <f>$J29+$K29+$L29</f>
        <v/>
      </c>
    </row>
    <row r="30">
      <c r="A30" s="7" t="inlineStr">
        <is>
          <t>Nguyễn Văn Quá</t>
        </is>
      </c>
      <c r="B30" s="7" t="inlineStr">
        <is>
          <t>Hồ Ngọc Lý</t>
        </is>
      </c>
      <c r="C30" s="7" t="inlineStr">
        <is>
          <t>DSCD</t>
        </is>
      </c>
      <c r="D30" s="9">
        <f>SUM(F30:G30)/DAY($A$1)</f>
        <v/>
      </c>
      <c r="E30" s="9" t="n">
        <v>0</v>
      </c>
      <c r="F30" s="9" t="n">
        <v>0</v>
      </c>
      <c r="G30" s="9" t="n">
        <v>0</v>
      </c>
      <c r="H30" s="9">
        <f>F30/DAY($A$1)</f>
        <v/>
      </c>
      <c r="I30" s="9">
        <f>G30/DAY($A$1)</f>
        <v/>
      </c>
      <c r="J30" s="9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9">
        <f>IF(AND($J30=0, IF(OR($A30="Hàng Bông",$A30="Đường Láng"),$D30&gt;=2000000,$D30&gt;=950000)), 500000, 0)</f>
        <v/>
      </c>
      <c r="L30" s="9">
        <f>IFERROR(SUMIF('Hot Bill HN'!$D:$D, $B30, 'Hot Bill HN'!$G:$G), 0)</f>
        <v/>
      </c>
      <c r="M30" s="26">
        <f>$J30+$K30+$L30</f>
        <v/>
      </c>
    </row>
    <row r="31">
      <c r="A31" s="11" t="inlineStr">
        <is>
          <t>Nguyễn Văn Quá</t>
        </is>
      </c>
      <c r="B31" s="11" t="inlineStr">
        <is>
          <t>Võ Ngọc Giàu Sang</t>
        </is>
      </c>
      <c r="C31" s="11" t="inlineStr">
        <is>
          <t>DSCD</t>
        </is>
      </c>
      <c r="D31" s="13">
        <f>SUM(F31:G31)/DAY($A$1)</f>
        <v/>
      </c>
      <c r="E31" s="13" t="n">
        <v>0</v>
      </c>
      <c r="F31" s="13" t="n">
        <v>0</v>
      </c>
      <c r="G31" s="13" t="n">
        <v>0</v>
      </c>
      <c r="H31" s="13">
        <f>F31/DAY($A$1)</f>
        <v/>
      </c>
      <c r="I31" s="13">
        <f>G31/DAY($A$1)</f>
        <v/>
      </c>
      <c r="J31" s="13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13">
        <f>IF(AND($J31=0, IF(OR($A31="Hàng Bông",$A31="Đường Láng"),$D31&gt;=2000000,$D31&gt;=950000)), 500000, 0)</f>
        <v/>
      </c>
      <c r="L31" s="13">
        <f>IFERROR(SUMIF('Hot Bill HN'!$D:$D, $B31, 'Hot Bill HN'!$G:$G), 0)</f>
        <v/>
      </c>
      <c r="M31" s="26">
        <f>$J31+$K31+$L31</f>
        <v/>
      </c>
    </row>
    <row r="32">
      <c r="A32" s="7" t="inlineStr">
        <is>
          <t>Nguyễn Văn Quá</t>
        </is>
      </c>
      <c r="B32" s="7" t="inlineStr">
        <is>
          <t>Nguyễn Thị Thu Huyền</t>
        </is>
      </c>
      <c r="C32" s="7" t="inlineStr">
        <is>
          <t>DSCD</t>
        </is>
      </c>
      <c r="D32" s="9">
        <f>SUM(F32:G32)/DAY($A$1)</f>
        <v/>
      </c>
      <c r="E32" s="9" t="n">
        <v>0</v>
      </c>
      <c r="F32" s="9" t="n">
        <v>0</v>
      </c>
      <c r="G32" s="9" t="n">
        <v>0</v>
      </c>
      <c r="H32" s="9">
        <f>F32/DAY($A$1)</f>
        <v/>
      </c>
      <c r="I32" s="9">
        <f>G32/DAY($A$1)</f>
        <v/>
      </c>
      <c r="J32" s="9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9">
        <f>IF(AND($J32=0, IF(OR($A32="Hàng Bông",$A32="Đường Láng"),$D32&gt;=2000000,$D32&gt;=950000)), 500000, 0)</f>
        <v/>
      </c>
      <c r="L32" s="9">
        <f>IFERROR(SUMIF('Hot Bill HN'!$D:$D, $B32, 'Hot Bill HN'!$G:$G), 0)</f>
        <v/>
      </c>
      <c r="M32" s="26">
        <f>$J32+$K32+$L32</f>
        <v/>
      </c>
    </row>
    <row r="33">
      <c r="A33" s="11" t="inlineStr">
        <is>
          <t>Nguyễn Văn Quá</t>
        </is>
      </c>
      <c r="B33" s="11" t="inlineStr">
        <is>
          <t>Nguyễn Thị Hương Giang</t>
        </is>
      </c>
      <c r="C33" s="11" t="inlineStr">
        <is>
          <t>CHT</t>
        </is>
      </c>
      <c r="D33" s="13">
        <f>SUM(F33:G33)/DAY($A$1)</f>
        <v/>
      </c>
      <c r="E33" s="13" t="n">
        <v>0</v>
      </c>
      <c r="F33" s="13" t="n">
        <v>0</v>
      </c>
      <c r="G33" s="13" t="n">
        <v>0</v>
      </c>
      <c r="H33" s="13">
        <f>F33/DAY($A$1)</f>
        <v/>
      </c>
      <c r="I33" s="13">
        <f>G33/DAY($A$1)</f>
        <v/>
      </c>
      <c r="J33" s="13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13">
        <f>IF(AND($J33=0, IF(OR($A33="Hàng Bông",$A33="Đường Láng"),$D33&gt;=2000000,$D33&gt;=950000)), 500000, 0)</f>
        <v/>
      </c>
      <c r="L33" s="13">
        <f>IFERROR(SUMIF('Hot Bill HN'!$D:$D, $B33, 'Hot Bill HN'!$G:$G), 0)</f>
        <v/>
      </c>
      <c r="M33" s="26">
        <f>$J33+$K33+$L33</f>
        <v/>
      </c>
    </row>
    <row r="34">
      <c r="A34" s="7" t="inlineStr">
        <is>
          <t>Rạch Bùng Binh</t>
        </is>
      </c>
      <c r="B34" s="7" t="inlineStr">
        <is>
          <t>Cù Thị Tường Vy</t>
        </is>
      </c>
      <c r="C34" s="7" t="inlineStr">
        <is>
          <t>DSCD</t>
        </is>
      </c>
      <c r="D34" s="9">
        <f>SUM(F34:G34)/DAY($A$1)</f>
        <v/>
      </c>
      <c r="E34" s="9" t="n">
        <v>0</v>
      </c>
      <c r="F34" s="9" t="n">
        <v>0</v>
      </c>
      <c r="G34" s="9" t="n">
        <v>0</v>
      </c>
      <c r="H34" s="9">
        <f>F34/DAY($A$1)</f>
        <v/>
      </c>
      <c r="I34" s="9">
        <f>G34/DAY($A$1)</f>
        <v/>
      </c>
      <c r="J34" s="9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9">
        <f>IF(AND($J34=0, IF(OR($A34="Hàng Bông",$A34="Đường Láng"),$D34&gt;=2000000,$D34&gt;=950000)), 500000, 0)</f>
        <v/>
      </c>
      <c r="L34" s="9">
        <f>IFERROR(SUMIF('Hot Bill HN'!$D:$D, $B34, 'Hot Bill HN'!$G:$G), 0)</f>
        <v/>
      </c>
      <c r="M34" s="26">
        <f>$J34+$K34+$L34</f>
        <v/>
      </c>
    </row>
    <row r="35">
      <c r="A35" s="11" t="inlineStr">
        <is>
          <t>Rạch Bùng Binh</t>
        </is>
      </c>
      <c r="B35" s="11" t="inlineStr">
        <is>
          <t>Huỳnh Thị Huệ Hiền</t>
        </is>
      </c>
      <c r="C35" s="11" t="inlineStr">
        <is>
          <t>DSCD</t>
        </is>
      </c>
      <c r="D35" s="13">
        <f>SUM(F35:G35)/DAY($A$1)</f>
        <v/>
      </c>
      <c r="E35" s="13" t="n">
        <v>0</v>
      </c>
      <c r="F35" s="13" t="n">
        <v>0</v>
      </c>
      <c r="G35" s="13" t="n">
        <v>0</v>
      </c>
      <c r="H35" s="13">
        <f>F35/DAY($A$1)</f>
        <v/>
      </c>
      <c r="I35" s="13">
        <f>G35/DAY($A$1)</f>
        <v/>
      </c>
      <c r="J35" s="13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13">
        <f>IF(AND($J35=0, IF(OR($A35="Hàng Bông",$A35="Đường Láng"),$D35&gt;=2000000,$D35&gt;=950000)), 500000, 0)</f>
        <v/>
      </c>
      <c r="L35" s="13">
        <f>IFERROR(SUMIF('Hot Bill HN'!$D:$D, $B35, 'Hot Bill HN'!$G:$G), 0)</f>
        <v/>
      </c>
      <c r="M35" s="26">
        <f>$J35+$K35+$L35</f>
        <v/>
      </c>
    </row>
    <row r="36">
      <c r="A36" s="7" t="inlineStr">
        <is>
          <t>Rạch Bùng Binh</t>
        </is>
      </c>
      <c r="B36" s="7" t="inlineStr">
        <is>
          <t>Ngô Thị Ngọc Thủy</t>
        </is>
      </c>
      <c r="C36" s="7" t="inlineStr">
        <is>
          <t>CHT</t>
        </is>
      </c>
      <c r="D36" s="9">
        <f>SUM(F36:G36)/DAY($A$1)</f>
        <v/>
      </c>
      <c r="E36" s="9" t="n">
        <v>0</v>
      </c>
      <c r="F36" s="9" t="n">
        <v>0</v>
      </c>
      <c r="G36" s="9" t="n">
        <v>0</v>
      </c>
      <c r="H36" s="9">
        <f>F36/DAY($A$1)</f>
        <v/>
      </c>
      <c r="I36" s="9">
        <f>G36/DAY($A$1)</f>
        <v/>
      </c>
      <c r="J36" s="9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9">
        <f>IF(AND($J36=0, IF(OR($A36="Hàng Bông",$A36="Đường Láng"),$D36&gt;=2000000,$D36&gt;=950000)), 500000, 0)</f>
        <v/>
      </c>
      <c r="L36" s="9">
        <f>IFERROR(SUMIF('Hot Bill HN'!$D:$D, $B36, 'Hot Bill HN'!$G:$G), 0)</f>
        <v/>
      </c>
      <c r="M36" s="26">
        <f>$J36+$K36+$L36</f>
        <v/>
      </c>
    </row>
    <row r="37">
      <c r="A37" s="11" t="inlineStr">
        <is>
          <t>Rạch Bùng Binh</t>
        </is>
      </c>
      <c r="B37" s="11" t="inlineStr">
        <is>
          <t>Nguyễn Thị Phúc Lộc</t>
        </is>
      </c>
      <c r="C37" s="11" t="inlineStr">
        <is>
          <t>DSCD</t>
        </is>
      </c>
      <c r="D37" s="13">
        <f>SUM(F37:G37)/DAY($A$1)</f>
        <v/>
      </c>
      <c r="E37" s="13" t="n">
        <v>0</v>
      </c>
      <c r="F37" s="13" t="n">
        <v>0</v>
      </c>
      <c r="G37" s="13" t="n">
        <v>0</v>
      </c>
      <c r="H37" s="13">
        <f>F37/DAY($A$1)</f>
        <v/>
      </c>
      <c r="I37" s="13">
        <f>G37/DAY($A$1)</f>
        <v/>
      </c>
      <c r="J37" s="13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13">
        <f>IF(AND($J37=0, IF(OR($A37="Hàng Bông",$A37="Đường Láng"),$D37&gt;=2000000,$D37&gt;=950000)), 500000, 0)</f>
        <v/>
      </c>
      <c r="L37" s="13">
        <f>IFERROR(SUMIF('Hot Bill HN'!$D:$D, $B37, 'Hot Bill HN'!$G:$G), 0)</f>
        <v/>
      </c>
      <c r="M37" s="26">
        <f>$J37+$K37+$L37</f>
        <v/>
      </c>
    </row>
    <row r="38">
      <c r="A38" s="7" t="inlineStr">
        <is>
          <t>Rạch Bùng Binh</t>
        </is>
      </c>
      <c r="B38" s="7" t="inlineStr">
        <is>
          <t>Phạm Nguyễn Ngọc Quyền Trân</t>
        </is>
      </c>
      <c r="C38" s="7" t="inlineStr">
        <is>
          <t>DSXC</t>
        </is>
      </c>
      <c r="D38" s="9">
        <f>SUM(F38:G38)/DAY($A$1)</f>
        <v/>
      </c>
      <c r="E38" s="9" t="n">
        <v>0</v>
      </c>
      <c r="F38" s="9" t="n">
        <v>0</v>
      </c>
      <c r="G38" s="9" t="n">
        <v>0</v>
      </c>
      <c r="H38" s="9">
        <f>F38/DAY($A$1)</f>
        <v/>
      </c>
      <c r="I38" s="9">
        <f>G38/DAY($A$1)</f>
        <v/>
      </c>
      <c r="J38" s="9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9">
        <f>IF(AND($J38=0, IF(OR($A38="Hàng Bông",$A38="Đường Láng"),$D38&gt;=2000000,$D38&gt;=950000)), 500000, 0)</f>
        <v/>
      </c>
      <c r="L38" s="9">
        <f>IFERROR(SUMIF('Hot Bill HN'!$D:$D, $B38, 'Hot Bill HN'!$G:$G), 0)</f>
        <v/>
      </c>
      <c r="M38" s="26">
        <f>$J38+$K38+$L38</f>
        <v/>
      </c>
    </row>
    <row r="39">
      <c r="A39" s="11" t="inlineStr">
        <is>
          <t>Lê Bình</t>
        </is>
      </c>
      <c r="B39" s="11" t="inlineStr">
        <is>
          <t>Hồ Thị Minh Hòa</t>
        </is>
      </c>
      <c r="C39" s="11" t="inlineStr">
        <is>
          <t>CHT</t>
        </is>
      </c>
      <c r="D39" s="13">
        <f>SUM(F39:G39)/DAY($A$1)</f>
        <v/>
      </c>
      <c r="E39" s="13" t="n">
        <v>0</v>
      </c>
      <c r="F39" s="13" t="n">
        <v>0</v>
      </c>
      <c r="G39" s="13" t="n">
        <v>0</v>
      </c>
      <c r="H39" s="13">
        <f>F39/DAY($A$1)</f>
        <v/>
      </c>
      <c r="I39" s="13">
        <f>G39/DAY($A$1)</f>
        <v/>
      </c>
      <c r="J39" s="13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13">
        <f>IF(AND($J39=0, IF(OR($A39="Hàng Bông",$A39="Đường Láng"),$D39&gt;=2000000,$D39&gt;=950000)), 500000, 0)</f>
        <v/>
      </c>
      <c r="L39" s="13">
        <f>IFERROR(SUMIF('Hot Bill HN'!$D:$D, $B39, 'Hot Bill HN'!$G:$G), 0)</f>
        <v/>
      </c>
      <c r="M39" s="26">
        <f>$J39+$K39+$L39</f>
        <v/>
      </c>
    </row>
    <row r="40">
      <c r="A40" s="7" t="inlineStr">
        <is>
          <t>Lê Bình</t>
        </is>
      </c>
      <c r="B40" s="7" t="inlineStr">
        <is>
          <t>Lê Thị Xuyến</t>
        </is>
      </c>
      <c r="C40" s="7" t="inlineStr">
        <is>
          <t>DSCD</t>
        </is>
      </c>
      <c r="D40" s="9">
        <f>SUM(F40:G40)/DAY($A$1)</f>
        <v/>
      </c>
      <c r="E40" s="9" t="n">
        <v>0</v>
      </c>
      <c r="F40" s="9" t="n">
        <v>0</v>
      </c>
      <c r="G40" s="9" t="n">
        <v>0</v>
      </c>
      <c r="H40" s="9">
        <f>F40/DAY($A$1)</f>
        <v/>
      </c>
      <c r="I40" s="9">
        <f>G40/DAY($A$1)</f>
        <v/>
      </c>
      <c r="J40" s="9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9">
        <f>IF(AND($J40=0, IF(OR($A40="Hàng Bông",$A40="Đường Láng"),$D40&gt;=2000000,$D40&gt;=950000)), 500000, 0)</f>
        <v/>
      </c>
      <c r="L40" s="9">
        <f>IFERROR(SUMIF('Hot Bill HN'!$D:$D, $B40, 'Hot Bill HN'!$G:$G), 0)</f>
        <v/>
      </c>
      <c r="M40" s="26">
        <f>$J40+$K40+$L40</f>
        <v/>
      </c>
    </row>
    <row r="41">
      <c r="A41" s="11" t="inlineStr">
        <is>
          <t>Lê Bình</t>
        </is>
      </c>
      <c r="B41" s="11" t="inlineStr">
        <is>
          <t>Đinh Hoài Bảo</t>
        </is>
      </c>
      <c r="C41" s="11" t="inlineStr">
        <is>
          <t>DSXC (TV)</t>
        </is>
      </c>
      <c r="D41" s="13">
        <f>SUM(F41:G41)/DAY($A$1)</f>
        <v/>
      </c>
      <c r="E41" s="13" t="n">
        <v>0</v>
      </c>
      <c r="F41" s="13" t="n">
        <v>0</v>
      </c>
      <c r="G41" s="13" t="n">
        <v>0</v>
      </c>
      <c r="H41" s="13">
        <f>F41/DAY($A$1)</f>
        <v/>
      </c>
      <c r="I41" s="13">
        <f>G41/DAY($A$1)</f>
        <v/>
      </c>
      <c r="J41" s="13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13">
        <f>IF(AND($J41=0, IF(OR($A41="Hàng Bông",$A41="Đường Láng"),$D41&gt;=2000000,$D41&gt;=950000)), 500000, 0)</f>
        <v/>
      </c>
      <c r="L41" s="13">
        <f>IFERROR(SUMIF('Hot Bill HN'!$D:$D, $B41, 'Hot Bill HN'!$G:$G), 0)</f>
        <v/>
      </c>
      <c r="M41" s="26">
        <f>$J41+$K41+$L41</f>
        <v/>
      </c>
    </row>
    <row r="42">
      <c r="A42" s="7" t="inlineStr">
        <is>
          <t>Lê Bình</t>
        </is>
      </c>
      <c r="B42" s="7" t="inlineStr">
        <is>
          <t>Hoàng Lâm Gia Bảo</t>
        </is>
      </c>
      <c r="C42" s="7" t="inlineStr">
        <is>
          <t>DSXC</t>
        </is>
      </c>
      <c r="D42" s="9">
        <f>SUM(F42:G42)/DAY($A$1)</f>
        <v/>
      </c>
      <c r="E42" s="9" t="n">
        <v>0</v>
      </c>
      <c r="F42" s="9" t="n">
        <v>0</v>
      </c>
      <c r="G42" s="9" t="n">
        <v>0</v>
      </c>
      <c r="H42" s="9">
        <f>F42/DAY($A$1)</f>
        <v/>
      </c>
      <c r="I42" s="9">
        <f>G42/DAY($A$1)</f>
        <v/>
      </c>
      <c r="J42" s="9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9">
        <f>IF(AND($J42=0, IF(OR($A42="Hàng Bông",$A42="Đường Láng"),$D42&gt;=2000000,$D42&gt;=950000)), 500000, 0)</f>
        <v/>
      </c>
      <c r="L42" s="9">
        <f>IFERROR(SUMIF('Hot Bill HN'!$D:$D, $B42, 'Hot Bill HN'!$G:$G), 0)</f>
        <v/>
      </c>
      <c r="M42" s="26">
        <f>$J42+$K42+$L42</f>
        <v/>
      </c>
    </row>
    <row r="43">
      <c r="A43" s="11" t="inlineStr">
        <is>
          <t>Lê Bình</t>
        </is>
      </c>
      <c r="B43" s="11" t="inlineStr">
        <is>
          <t>Trần Thị Phương Thùy</t>
        </is>
      </c>
      <c r="C43" s="11" t="inlineStr">
        <is>
          <t>DSXC (TV)</t>
        </is>
      </c>
      <c r="D43" s="13">
        <f>SUM(F43:G43)/DAY($A$1)</f>
        <v/>
      </c>
      <c r="E43" s="13" t="n">
        <v>0</v>
      </c>
      <c r="F43" s="13" t="n">
        <v>0</v>
      </c>
      <c r="G43" s="13" t="n">
        <v>0</v>
      </c>
      <c r="H43" s="13">
        <f>F43/DAY($A$1)</f>
        <v/>
      </c>
      <c r="I43" s="13">
        <f>G43/DAY($A$1)</f>
        <v/>
      </c>
      <c r="J43" s="13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13">
        <f>IF(AND($J43=0, IF(OR($A43="Hàng Bông",$A43="Đường Láng"),$D43&gt;=2000000,$D43&gt;=950000)), 500000, 0)</f>
        <v/>
      </c>
      <c r="L43" s="13">
        <f>IFERROR(SUMIF('Hot Bill HN'!$D:$D, $B43, 'Hot Bill HN'!$G:$G), 0)</f>
        <v/>
      </c>
      <c r="M43" s="26">
        <f>$J43+$K43+$L43</f>
        <v/>
      </c>
    </row>
    <row r="44">
      <c r="A44" s="7" t="inlineStr">
        <is>
          <t>Hàng Bông</t>
        </is>
      </c>
      <c r="B44" s="7" t="inlineStr">
        <is>
          <t>Đinh Thị Lan Anh</t>
        </is>
      </c>
      <c r="C44" s="7" t="inlineStr">
        <is>
          <t>CHT</t>
        </is>
      </c>
      <c r="D44" s="9">
        <f>SUM(F44:G44)/DAY($A$1)</f>
        <v/>
      </c>
      <c r="E44" s="9" t="n">
        <v>0</v>
      </c>
      <c r="F44" s="9" t="n">
        <v>0</v>
      </c>
      <c r="G44" s="9" t="n">
        <v>0</v>
      </c>
      <c r="H44" s="9">
        <f>F44/DAY($A$1)</f>
        <v/>
      </c>
      <c r="I44" s="9">
        <f>G44/DAY($A$1)</f>
        <v/>
      </c>
      <c r="J44" s="9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9">
        <f>IF(AND($J44=0, IF(OR($A44="Hàng Bông",$A44="Đường Láng"),$D44&gt;=2000000,$D44&gt;=950000)), 500000, 0)</f>
        <v/>
      </c>
      <c r="L44" s="9">
        <f>IFERROR(SUMIF('Hot Bill HN'!$D:$D, $B44, 'Hot Bill HN'!$G:$G), 0)</f>
        <v/>
      </c>
      <c r="M44" s="26">
        <f>$J44+$K44+$L44</f>
        <v/>
      </c>
    </row>
    <row r="45">
      <c r="A45" s="11" t="inlineStr">
        <is>
          <t>Hàng Bông</t>
        </is>
      </c>
      <c r="B45" s="11" t="inlineStr">
        <is>
          <t>Vũ Thanh Hằng</t>
        </is>
      </c>
      <c r="C45" s="11" t="inlineStr">
        <is>
          <t>BC</t>
        </is>
      </c>
      <c r="D45" s="13">
        <f>SUM(F45:G45)/DAY($A$1)</f>
        <v/>
      </c>
      <c r="E45" s="13" t="n">
        <v>0</v>
      </c>
      <c r="F45" s="13" t="n">
        <v>0</v>
      </c>
      <c r="G45" s="13" t="n">
        <v>0</v>
      </c>
      <c r="H45" s="13">
        <f>F45/DAY($A$1)</f>
        <v/>
      </c>
      <c r="I45" s="13">
        <f>G45/DAY($A$1)</f>
        <v/>
      </c>
      <c r="J45" s="13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13">
        <f>IF(AND($J45=0, IF(OR($A45="Hàng Bông",$A45="Đường Láng"),$D45&gt;=2000000,$D45&gt;=950000)), 500000, 0)</f>
        <v/>
      </c>
      <c r="L45" s="13">
        <f>IFERROR(SUMIF('Hot Bill HN'!$D:$D, $B45, 'Hot Bill HN'!$G:$G), 0)</f>
        <v/>
      </c>
      <c r="M45" s="26">
        <f>$J45+$K45+$L45</f>
        <v/>
      </c>
    </row>
    <row r="46">
      <c r="A46" s="7" t="inlineStr">
        <is>
          <t>Hàng Bông</t>
        </is>
      </c>
      <c r="B46" s="7" t="inlineStr">
        <is>
          <t>Nguyễn Mạnh Tuấn</t>
        </is>
      </c>
      <c r="C46" s="7" t="inlineStr">
        <is>
          <t>BC</t>
        </is>
      </c>
      <c r="D46" s="9">
        <f>SUM(F46:G46)/DAY($A$1)</f>
        <v/>
      </c>
      <c r="E46" s="9" t="n">
        <v>0</v>
      </c>
      <c r="F46" s="9" t="n">
        <v>0</v>
      </c>
      <c r="G46" s="9" t="n">
        <v>0</v>
      </c>
      <c r="H46" s="9">
        <f>F46/DAY($A$1)</f>
        <v/>
      </c>
      <c r="I46" s="9">
        <f>G46/DAY($A$1)</f>
        <v/>
      </c>
      <c r="J46" s="9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9">
        <f>IF(AND($J46=0, IF(OR($A46="Hàng Bông",$A46="Đường Láng"),$D46&gt;=2000000,$D46&gt;=950000)), 500000, 0)</f>
        <v/>
      </c>
      <c r="L46" s="9">
        <f>IFERROR(SUMIF('Hot Bill HN'!$D:$D, $B46, 'Hot Bill HN'!$G:$G), 0)</f>
        <v/>
      </c>
      <c r="M46" s="26">
        <f>$J46+$K46+$L46</f>
        <v/>
      </c>
    </row>
    <row r="47">
      <c r="A47" s="11" t="inlineStr">
        <is>
          <t>Hàng Bông</t>
        </is>
      </c>
      <c r="B47" s="11" t="inlineStr">
        <is>
          <t>Đinh Thị Khánh Ly</t>
        </is>
      </c>
      <c r="C47" s="11" t="inlineStr">
        <is>
          <t>BC</t>
        </is>
      </c>
      <c r="D47" s="13">
        <f>SUM(F47:G47)/DAY($A$1)</f>
        <v/>
      </c>
      <c r="E47" s="13" t="n">
        <v>0</v>
      </c>
      <c r="F47" s="13" t="n">
        <v>0</v>
      </c>
      <c r="G47" s="13" t="n">
        <v>0</v>
      </c>
      <c r="H47" s="13">
        <f>F47/DAY($A$1)</f>
        <v/>
      </c>
      <c r="I47" s="13">
        <f>G47/DAY($A$1)</f>
        <v/>
      </c>
      <c r="J47" s="13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13">
        <f>IF(AND($J47=0, IF(OR($A47="Hàng Bông",$A47="Đường Láng"),$D47&gt;=2000000,$D47&gt;=950000)), 500000, 0)</f>
        <v/>
      </c>
      <c r="L47" s="13">
        <f>IFERROR(SUMIF('Hot Bill HN'!$D:$D, $B47, 'Hot Bill HN'!$G:$G), 0)</f>
        <v/>
      </c>
      <c r="M47" s="26">
        <f>$J47+$K47+$L47</f>
        <v/>
      </c>
    </row>
    <row r="48">
      <c r="A48" s="7" t="inlineStr">
        <is>
          <t>Hàng Bông</t>
        </is>
      </c>
      <c r="B48" s="7" t="inlineStr">
        <is>
          <t>Đỗ Thu Huệ</t>
        </is>
      </c>
      <c r="C48" s="7" t="inlineStr">
        <is>
          <t>DSXC (TV)</t>
        </is>
      </c>
      <c r="D48" s="9">
        <f>SUM(F48:G48)/DAY($A$1)</f>
        <v/>
      </c>
      <c r="E48" s="9" t="n">
        <v>0</v>
      </c>
      <c r="F48" s="9" t="n">
        <v>0</v>
      </c>
      <c r="G48" s="9" t="n">
        <v>0</v>
      </c>
      <c r="H48" s="9">
        <f>F48/DAY($A$1)</f>
        <v/>
      </c>
      <c r="I48" s="9">
        <f>G48/DAY($A$1)</f>
        <v/>
      </c>
      <c r="J48" s="9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9">
        <f>IF(AND($J48=0, IF(OR($A48="Hàng Bông",$A48="Đường Láng"),$D48&gt;=2000000,$D48&gt;=950000)), 500000, 0)</f>
        <v/>
      </c>
      <c r="L48" s="9">
        <f>IFERROR(SUMIF('Hot Bill HN'!$D:$D, $B48, 'Hot Bill HN'!$G:$G), 0)</f>
        <v/>
      </c>
      <c r="M48" s="26">
        <f>$J48+$K48+$L48</f>
        <v/>
      </c>
    </row>
    <row r="49">
      <c r="A49" s="11" t="inlineStr">
        <is>
          <t>Đường Láng</t>
        </is>
      </c>
      <c r="B49" s="11" t="inlineStr">
        <is>
          <t>Hứa Thị Kim Thoa</t>
        </is>
      </c>
      <c r="C49" s="11" t="inlineStr">
        <is>
          <t>CHT</t>
        </is>
      </c>
      <c r="D49" s="13">
        <f>SUM(F49:G49)/DAY($A$1)</f>
        <v/>
      </c>
      <c r="E49" s="13" t="n">
        <v>0</v>
      </c>
      <c r="F49" s="13" t="n">
        <v>0</v>
      </c>
      <c r="G49" s="13" t="n">
        <v>0</v>
      </c>
      <c r="H49" s="13">
        <f>F49/DAY($A$1)</f>
        <v/>
      </c>
      <c r="I49" s="13">
        <f>G49/DAY($A$1)</f>
        <v/>
      </c>
      <c r="J49" s="13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13">
        <f>IF(AND($J49=0, IF(OR($A49="Hàng Bông",$A49="Đường Láng"),$D49&gt;=2000000,$D49&gt;=950000)), 500000, 0)</f>
        <v/>
      </c>
      <c r="L49" s="13">
        <f>IFERROR(SUMIF('Hot Bill HN'!$D:$D, $B49, 'Hot Bill HN'!$G:$G), 0)</f>
        <v/>
      </c>
      <c r="M49" s="26">
        <f>$J49+$K49+$L49</f>
        <v/>
      </c>
    </row>
    <row r="50">
      <c r="A50" s="7" t="inlineStr">
        <is>
          <t>Đường Láng</t>
        </is>
      </c>
      <c r="B50" s="7" t="inlineStr">
        <is>
          <t>Lê Thị Soạn</t>
        </is>
      </c>
      <c r="C50" s="7" t="inlineStr">
        <is>
          <t>BC</t>
        </is>
      </c>
      <c r="D50" s="9">
        <f>SUM(F50:G50)/DAY($A$1)</f>
        <v/>
      </c>
      <c r="E50" s="9" t="n">
        <v>0</v>
      </c>
      <c r="F50" s="9" t="n">
        <v>0</v>
      </c>
      <c r="G50" s="9" t="n">
        <v>0</v>
      </c>
      <c r="H50" s="9">
        <f>F50/DAY($A$1)</f>
        <v/>
      </c>
      <c r="I50" s="9">
        <f>G50/DAY($A$1)</f>
        <v/>
      </c>
      <c r="J50" s="9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9">
        <f>IF(AND($J50=0, IF(OR($A50="Hàng Bông",$A50="Đường Láng"),$D50&gt;=2000000,$D50&gt;=950000)), 500000, 0)</f>
        <v/>
      </c>
      <c r="L50" s="9">
        <f>IFERROR(SUMIF('Hot Bill HN'!$D:$D, $B50, 'Hot Bill HN'!$G:$G), 0)</f>
        <v/>
      </c>
      <c r="M50" s="26">
        <f>$J50+$K50+$L50</f>
        <v/>
      </c>
    </row>
    <row r="51">
      <c r="A51" s="11" t="inlineStr">
        <is>
          <t>Đường Láng</t>
        </is>
      </c>
      <c r="B51" s="11" t="inlineStr">
        <is>
          <t>Nguyễn Thị Tâm</t>
        </is>
      </c>
      <c r="C51" s="11" t="inlineStr">
        <is>
          <t>BC</t>
        </is>
      </c>
      <c r="D51" s="13">
        <f>SUM(F51:G51)/DAY($A$1)</f>
        <v/>
      </c>
      <c r="E51" s="13" t="n">
        <v>0</v>
      </c>
      <c r="F51" s="13" t="n">
        <v>0</v>
      </c>
      <c r="G51" s="13" t="n">
        <v>0</v>
      </c>
      <c r="H51" s="13">
        <f>F51/DAY($A$1)</f>
        <v/>
      </c>
      <c r="I51" s="13">
        <f>G51/DAY($A$1)</f>
        <v/>
      </c>
      <c r="J51" s="13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13">
        <f>IF(AND($J51=0, IF(OR($A51="Hàng Bông",$A51="Đường Láng"),$D51&gt;=2000000,$D51&gt;=950000)), 500000, 0)</f>
        <v/>
      </c>
      <c r="L51" s="13">
        <f>IFERROR(SUMIF('Hot Bill HN'!$D:$D, $B51, 'Hot Bill HN'!$G:$G), 0)</f>
        <v/>
      </c>
      <c r="M51" s="26">
        <f>$J51+$K51+$L51</f>
        <v/>
      </c>
    </row>
    <row r="52">
      <c r="A52" s="7" t="inlineStr">
        <is>
          <t>Đường Láng</t>
        </is>
      </c>
      <c r="B52" s="7" t="inlineStr">
        <is>
          <t>Nguyễn Thị Mai Duyên</t>
        </is>
      </c>
      <c r="C52" s="7" t="inlineStr">
        <is>
          <t>BC</t>
        </is>
      </c>
      <c r="D52" s="9">
        <f>SUM(F52:G52)/DAY($A$1)</f>
        <v/>
      </c>
      <c r="E52" s="9" t="n">
        <v>0</v>
      </c>
      <c r="F52" s="9" t="n">
        <v>0</v>
      </c>
      <c r="G52" s="9" t="n">
        <v>0</v>
      </c>
      <c r="H52" s="9">
        <f>F52/DAY($A$1)</f>
        <v/>
      </c>
      <c r="I52" s="9">
        <f>G52/DAY($A$1)</f>
        <v/>
      </c>
      <c r="J52" s="9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9">
        <f>IF(AND($J52=0, IF(OR($A52="Hàng Bông",$A52="Đường Láng"),$D52&gt;=2000000,$D52&gt;=950000)), 500000, 0)</f>
        <v/>
      </c>
      <c r="L52" s="9">
        <f>IFERROR(SUMIF('Hot Bill HN'!$D:$D, $B52, 'Hot Bill HN'!$G:$G), 0)</f>
        <v/>
      </c>
      <c r="M52" s="26">
        <f>$J52+$K52+$L52</f>
        <v/>
      </c>
    </row>
    <row r="53">
      <c r="A53" s="11" t="inlineStr">
        <is>
          <t>Đường Láng</t>
        </is>
      </c>
      <c r="B53" s="11" t="inlineStr">
        <is>
          <t>Trần Ngọc Dung</t>
        </is>
      </c>
      <c r="C53" s="11" t="inlineStr">
        <is>
          <t>BC</t>
        </is>
      </c>
      <c r="D53" s="13">
        <f>SUM(F53:G53)/DAY($A$1)</f>
        <v/>
      </c>
      <c r="E53" s="13" t="n">
        <v>0</v>
      </c>
      <c r="F53" s="13" t="n">
        <v>0</v>
      </c>
      <c r="G53" s="13" t="n">
        <v>0</v>
      </c>
      <c r="H53" s="13">
        <f>F53/DAY($A$1)</f>
        <v/>
      </c>
      <c r="I53" s="13">
        <f>G53/DAY($A$1)</f>
        <v/>
      </c>
      <c r="J53" s="13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13">
        <f>IF(AND($J53=0, IF(OR($A53="Hàng Bông",$A53="Đường Láng"),$D53&gt;=2000000,$D53&gt;=950000)), 500000, 0)</f>
        <v/>
      </c>
      <c r="L53" s="13">
        <f>IFERROR(SUMIF('Hot Bill HN'!$D:$D, $B53, 'Hot Bill HN'!$G:$G), 0)</f>
        <v/>
      </c>
      <c r="M53" s="26">
        <f>$J53+$K53+$L53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26" customWidth="1" min="6" max="6"/>
    <col width="21" customWidth="1" min="7" max="7"/>
    <col width="21" customWidth="1" min="8" max="8"/>
  </cols>
  <sheetData>
    <row r="1">
      <c r="A1" s="1" t="inlineStr">
        <is>
          <t>Mã hóa đơn</t>
        </is>
      </c>
      <c r="B1" s="1" t="inlineStr">
        <is>
          <t>Thời gian</t>
        </is>
      </c>
      <c r="C1" s="1" t="inlineStr">
        <is>
          <t>Chi nhánh</t>
        </is>
      </c>
      <c r="D1" s="1" t="inlineStr">
        <is>
          <t>Tên Dược Sĩ</t>
        </is>
      </c>
      <c r="E1" s="2" t="inlineStr">
        <is>
          <t>Số lượng SP CK</t>
        </is>
      </c>
      <c r="F1" s="2" t="inlineStr">
        <is>
          <t>Doanh thu nhóm CK+CKHN</t>
        </is>
      </c>
      <c r="G1" s="36" t="inlineStr">
        <is>
          <t>Tiền Thưởng (VNĐ)</t>
        </is>
      </c>
      <c r="H1" s="5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2026-09-09T10:01:42Z</dcterms:created>
  <dcterms:modified xmlns:dcterms="http://purl.org/dc/terms/" xmlns:xsi="http://www.w3.org/2001/XMLSchema-instance" xsi:type="dcterms:W3CDTF">2026-09-09T10:01:43Z</dcterms:modified>
</cp:coreProperties>
</file>