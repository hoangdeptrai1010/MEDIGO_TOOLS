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goc\"/>
    </mc:Choice>
  </mc:AlternateContent>
  <xr:revisionPtr revIDLastSave="0" documentId="13_ncr:1_{F4398B56-48DE-42C7-A51A-9E56C47C4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kpi dược sĩ" sheetId="2" r:id="rId2"/>
    <sheet name="kpi nhà thuốc" sheetId="3" r:id="rId3"/>
    <sheet name="Dự án T8" sheetId="4" r:id="rId4"/>
    <sheet name="Hot Bill HN" sheetId="5" r:id="rId5"/>
  </sheets>
  <definedNames>
    <definedName name="_xlnm._FilterDatabase" localSheetId="3" hidden="1">'Dự án T8'!$A$2:$M$55</definedName>
    <definedName name="_xlnm._FilterDatabase" localSheetId="4" hidden="1">'Hot Bill HN'!$A$1:$H$37</definedName>
    <definedName name="_xlnm._FilterDatabase" localSheetId="1" hidden="1">'kpi dược sĩ'!$A$2:$AE$55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4" l="1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Q14" i="3"/>
  <c r="M14" i="3"/>
  <c r="H14" i="3"/>
  <c r="C14" i="3"/>
  <c r="AB13" i="3"/>
  <c r="AC13" i="3" s="1"/>
  <c r="AA13" i="3"/>
  <c r="Y13" i="3"/>
  <c r="AE13" i="3" s="1"/>
  <c r="X13" i="3"/>
  <c r="T13" i="3"/>
  <c r="P13" i="3" s="1"/>
  <c r="S13" i="3"/>
  <c r="R13" i="3" s="1"/>
  <c r="O13" i="3"/>
  <c r="N13" i="3" s="1"/>
  <c r="J13" i="3"/>
  <c r="I13" i="3" s="1"/>
  <c r="AB12" i="3"/>
  <c r="AC12" i="3" s="1"/>
  <c r="AA12" i="3"/>
  <c r="Y12" i="3"/>
  <c r="AE12" i="3" s="1"/>
  <c r="X12" i="3"/>
  <c r="AD12" i="3" s="1"/>
  <c r="T12" i="3"/>
  <c r="P12" i="3" s="1"/>
  <c r="S12" i="3"/>
  <c r="R12" i="3" s="1"/>
  <c r="O12" i="3"/>
  <c r="N12" i="3" s="1"/>
  <c r="J12" i="3"/>
  <c r="I12" i="3" s="1"/>
  <c r="AB11" i="3"/>
  <c r="AA11" i="3"/>
  <c r="Y11" i="3"/>
  <c r="X11" i="3"/>
  <c r="T11" i="3"/>
  <c r="K11" i="3" s="1"/>
  <c r="L11" i="3" s="1"/>
  <c r="S11" i="3"/>
  <c r="R11" i="3" s="1"/>
  <c r="O11" i="3"/>
  <c r="N11" i="3" s="1"/>
  <c r="J11" i="3"/>
  <c r="I11" i="3" s="1"/>
  <c r="AB10" i="3"/>
  <c r="AA10" i="3"/>
  <c r="Y10" i="3"/>
  <c r="X10" i="3"/>
  <c r="T10" i="3"/>
  <c r="K10" i="3" s="1"/>
  <c r="L10" i="3" s="1"/>
  <c r="S10" i="3"/>
  <c r="R10" i="3" s="1"/>
  <c r="O10" i="3"/>
  <c r="N10" i="3" s="1"/>
  <c r="J10" i="3"/>
  <c r="I10" i="3" s="1"/>
  <c r="AB9" i="3"/>
  <c r="AC9" i="3" s="1"/>
  <c r="AA9" i="3"/>
  <c r="Y9" i="3"/>
  <c r="AE9" i="3" s="1"/>
  <c r="D9" i="3" s="1"/>
  <c r="X9" i="3"/>
  <c r="AD9" i="3" s="1"/>
  <c r="T9" i="3"/>
  <c r="P9" i="3" s="1"/>
  <c r="S9" i="3"/>
  <c r="R9" i="3" s="1"/>
  <c r="O9" i="3"/>
  <c r="N9" i="3" s="1"/>
  <c r="J9" i="3"/>
  <c r="I9" i="3" s="1"/>
  <c r="AB8" i="3"/>
  <c r="AA8" i="3"/>
  <c r="Y8" i="3"/>
  <c r="Z8" i="3" s="1"/>
  <c r="X8" i="3"/>
  <c r="T8" i="3"/>
  <c r="P8" i="3" s="1"/>
  <c r="S8" i="3"/>
  <c r="R8" i="3" s="1"/>
  <c r="O8" i="3"/>
  <c r="N8" i="3" s="1"/>
  <c r="J8" i="3"/>
  <c r="I8" i="3" s="1"/>
  <c r="AB7" i="3"/>
  <c r="AA7" i="3"/>
  <c r="Y7" i="3"/>
  <c r="X7" i="3"/>
  <c r="T7" i="3"/>
  <c r="P7" i="3" s="1"/>
  <c r="S7" i="3"/>
  <c r="R7" i="3" s="1"/>
  <c r="O7" i="3"/>
  <c r="N7" i="3" s="1"/>
  <c r="K7" i="3"/>
  <c r="L7" i="3" s="1"/>
  <c r="J7" i="3"/>
  <c r="I7" i="3" s="1"/>
  <c r="AB6" i="3"/>
  <c r="AA6" i="3"/>
  <c r="Y6" i="3"/>
  <c r="AE6" i="3" s="1"/>
  <c r="X6" i="3"/>
  <c r="AD6" i="3" s="1"/>
  <c r="T6" i="3"/>
  <c r="P6" i="3" s="1"/>
  <c r="S6" i="3"/>
  <c r="R6" i="3"/>
  <c r="O6" i="3"/>
  <c r="N6" i="3" s="1"/>
  <c r="J6" i="3"/>
  <c r="I6" i="3" s="1"/>
  <c r="AB5" i="3"/>
  <c r="AA5" i="3"/>
  <c r="Y5" i="3"/>
  <c r="X5" i="3"/>
  <c r="T5" i="3"/>
  <c r="K5" i="3" s="1"/>
  <c r="L5" i="3" s="1"/>
  <c r="S5" i="3"/>
  <c r="R5" i="3" s="1"/>
  <c r="O5" i="3"/>
  <c r="N5" i="3" s="1"/>
  <c r="J5" i="3"/>
  <c r="I5" i="3" s="1"/>
  <c r="AB4" i="3"/>
  <c r="AE4" i="3" s="1"/>
  <c r="AA4" i="3"/>
  <c r="AD4" i="3" s="1"/>
  <c r="Y4" i="3"/>
  <c r="X4" i="3"/>
  <c r="T4" i="3"/>
  <c r="K4" i="3" s="1"/>
  <c r="L4" i="3" s="1"/>
  <c r="S4" i="3"/>
  <c r="R4" i="3" s="1"/>
  <c r="P4" i="3"/>
  <c r="O4" i="3"/>
  <c r="N4" i="3" s="1"/>
  <c r="J4" i="3"/>
  <c r="I4" i="3" s="1"/>
  <c r="AE3" i="3"/>
  <c r="D3" i="3" s="1"/>
  <c r="AB3" i="3"/>
  <c r="AC3" i="3" s="1"/>
  <c r="AA3" i="3"/>
  <c r="Y3" i="3"/>
  <c r="X3" i="3"/>
  <c r="AD3" i="3" s="1"/>
  <c r="T3" i="3"/>
  <c r="P3" i="3" s="1"/>
  <c r="S3" i="3"/>
  <c r="R3" i="3"/>
  <c r="O3" i="3"/>
  <c r="N3" i="3" s="1"/>
  <c r="J3" i="3"/>
  <c r="AA55" i="2"/>
  <c r="Z55" i="2"/>
  <c r="AC55" i="2" s="1"/>
  <c r="AE55" i="2" s="1"/>
  <c r="E55" i="2" s="1"/>
  <c r="X55" i="2"/>
  <c r="W55" i="2"/>
  <c r="Y55" i="2" s="1"/>
  <c r="U55" i="2"/>
  <c r="S55" i="2" s="1"/>
  <c r="P55" i="2" s="1"/>
  <c r="G55" i="2" a="1"/>
  <c r="G55" i="2" s="1"/>
  <c r="AA54" i="2"/>
  <c r="Z54" i="2"/>
  <c r="AB54" i="2" s="1"/>
  <c r="X54" i="2"/>
  <c r="AD54" i="2" s="1"/>
  <c r="W54" i="2"/>
  <c r="U54" i="2"/>
  <c r="S54" i="2" s="1"/>
  <c r="P54" i="2" s="1"/>
  <c r="AA53" i="2"/>
  <c r="Z53" i="2"/>
  <c r="AB53" i="2" s="1"/>
  <c r="X53" i="2"/>
  <c r="W53" i="2"/>
  <c r="AC53" i="2" s="1"/>
  <c r="U53" i="2"/>
  <c r="S53" i="2" s="1"/>
  <c r="P53" i="2" s="1"/>
  <c r="R53" i="2"/>
  <c r="O53" i="2" s="1"/>
  <c r="AB52" i="2"/>
  <c r="AA52" i="2"/>
  <c r="Z52" i="2"/>
  <c r="X52" i="2"/>
  <c r="AD52" i="2" s="1"/>
  <c r="W52" i="2"/>
  <c r="U52" i="2"/>
  <c r="S52" i="2" s="1"/>
  <c r="P52" i="2" s="1"/>
  <c r="AA51" i="2"/>
  <c r="Z51" i="2"/>
  <c r="X51" i="2"/>
  <c r="AD51" i="2" s="1"/>
  <c r="W51" i="2"/>
  <c r="U51" i="2"/>
  <c r="S51" i="2" s="1"/>
  <c r="P51" i="2" s="1"/>
  <c r="T51" i="2"/>
  <c r="Q51" i="2" s="1"/>
  <c r="H51" i="2" s="1"/>
  <c r="AA50" i="2"/>
  <c r="Z50" i="2"/>
  <c r="X50" i="2"/>
  <c r="AD50" i="2" s="1"/>
  <c r="W50" i="2"/>
  <c r="AC50" i="2" s="1"/>
  <c r="U50" i="2"/>
  <c r="S50" i="2" s="1"/>
  <c r="P50" i="2" s="1"/>
  <c r="AA49" i="2"/>
  <c r="Z49" i="2"/>
  <c r="AB49" i="2" s="1"/>
  <c r="X49" i="2"/>
  <c r="AD49" i="2" s="1"/>
  <c r="W49" i="2"/>
  <c r="U49" i="2"/>
  <c r="R49" i="2" s="1"/>
  <c r="O49" i="2" s="1"/>
  <c r="AA48" i="2"/>
  <c r="Z48" i="2"/>
  <c r="AB48" i="2" s="1"/>
  <c r="X48" i="2"/>
  <c r="AD48" i="2" s="1"/>
  <c r="W48" i="2"/>
  <c r="U48" i="2"/>
  <c r="S48" i="2" s="1"/>
  <c r="P48" i="2" s="1"/>
  <c r="AA47" i="2"/>
  <c r="AB47" i="2" s="1"/>
  <c r="Z47" i="2"/>
  <c r="X47" i="2"/>
  <c r="W47" i="2"/>
  <c r="U47" i="2"/>
  <c r="R47" i="2" s="1"/>
  <c r="O47" i="2" s="1"/>
  <c r="AA46" i="2"/>
  <c r="Z46" i="2"/>
  <c r="X46" i="2"/>
  <c r="AD46" i="2" s="1"/>
  <c r="W46" i="2"/>
  <c r="U46" i="2"/>
  <c r="S46" i="2" s="1"/>
  <c r="P46" i="2" s="1"/>
  <c r="AA45" i="2"/>
  <c r="Z45" i="2"/>
  <c r="AC45" i="2" s="1"/>
  <c r="X45" i="2"/>
  <c r="W45" i="2"/>
  <c r="U45" i="2"/>
  <c r="R45" i="2" s="1"/>
  <c r="O45" i="2" s="1"/>
  <c r="AA44" i="2"/>
  <c r="AB44" i="2" s="1"/>
  <c r="Z44" i="2"/>
  <c r="X44" i="2"/>
  <c r="Y44" i="2" s="1"/>
  <c r="W44" i="2"/>
  <c r="AC44" i="2" s="1"/>
  <c r="U44" i="2"/>
  <c r="R44" i="2" s="1"/>
  <c r="O44" i="2" s="1"/>
  <c r="AA43" i="2"/>
  <c r="Z43" i="2"/>
  <c r="Y43" i="2"/>
  <c r="X43" i="2"/>
  <c r="W43" i="2"/>
  <c r="U43" i="2"/>
  <c r="T43" i="2" s="1"/>
  <c r="Q43" i="2" s="1"/>
  <c r="H43" i="2" s="1"/>
  <c r="S43" i="2"/>
  <c r="P43" i="2" s="1"/>
  <c r="AA42" i="2"/>
  <c r="Z42" i="2"/>
  <c r="X42" i="2"/>
  <c r="AD42" i="2" s="1"/>
  <c r="W42" i="2"/>
  <c r="U42" i="2"/>
  <c r="T42" i="2" s="1"/>
  <c r="Q42" i="2" s="1"/>
  <c r="H42" i="2" s="1"/>
  <c r="AA41" i="2"/>
  <c r="Z41" i="2"/>
  <c r="AB41" i="2" s="1"/>
  <c r="X41" i="2"/>
  <c r="AD41" i="2" s="1"/>
  <c r="W41" i="2"/>
  <c r="AC41" i="2" s="1"/>
  <c r="AE41" i="2" s="1"/>
  <c r="E41" i="2" s="1"/>
  <c r="U41" i="2"/>
  <c r="S41" i="2" s="1"/>
  <c r="P41" i="2" s="1"/>
  <c r="G41" i="2" a="1"/>
  <c r="G41" i="2" s="1"/>
  <c r="AA40" i="2"/>
  <c r="Z40" i="2"/>
  <c r="X40" i="2"/>
  <c r="AD40" i="2" s="1"/>
  <c r="W40" i="2"/>
  <c r="U40" i="2"/>
  <c r="R40" i="2" s="1"/>
  <c r="O40" i="2" s="1"/>
  <c r="AA39" i="2"/>
  <c r="Z39" i="2"/>
  <c r="AB39" i="2" s="1"/>
  <c r="X39" i="2"/>
  <c r="W39" i="2"/>
  <c r="Y39" i="2" s="1"/>
  <c r="U39" i="2"/>
  <c r="S39" i="2" s="1"/>
  <c r="P39" i="2" s="1"/>
  <c r="R39" i="2"/>
  <c r="O39" i="2" s="1"/>
  <c r="AA38" i="2"/>
  <c r="AB38" i="2" s="1"/>
  <c r="Z38" i="2"/>
  <c r="X38" i="2"/>
  <c r="AD38" i="2" s="1"/>
  <c r="W38" i="2"/>
  <c r="U38" i="2"/>
  <c r="T38" i="2" s="1"/>
  <c r="Q38" i="2" s="1"/>
  <c r="H38" i="2" s="1"/>
  <c r="AA37" i="2"/>
  <c r="Z37" i="2"/>
  <c r="AB37" i="2" s="1"/>
  <c r="X37" i="2"/>
  <c r="W37" i="2"/>
  <c r="AC37" i="2" s="1"/>
  <c r="U37" i="2"/>
  <c r="T37" i="2" s="1"/>
  <c r="Q37" i="2" s="1"/>
  <c r="H37" i="2" s="1"/>
  <c r="AA36" i="2"/>
  <c r="Z36" i="2"/>
  <c r="AB36" i="2" s="1"/>
  <c r="X36" i="2"/>
  <c r="AD36" i="2" s="1"/>
  <c r="W36" i="2"/>
  <c r="U36" i="2"/>
  <c r="R36" i="2" s="1"/>
  <c r="O36" i="2" s="1"/>
  <c r="AA35" i="2"/>
  <c r="Z35" i="2"/>
  <c r="AB35" i="2" s="1"/>
  <c r="X35" i="2"/>
  <c r="AD35" i="2" s="1"/>
  <c r="W35" i="2"/>
  <c r="Y35" i="2" s="1"/>
  <c r="U35" i="2"/>
  <c r="S35" i="2" s="1"/>
  <c r="P35" i="2" s="1"/>
  <c r="AA34" i="2"/>
  <c r="Z34" i="2"/>
  <c r="X34" i="2"/>
  <c r="Y34" i="2" s="1"/>
  <c r="W34" i="2"/>
  <c r="AC34" i="2" s="1"/>
  <c r="U34" i="2"/>
  <c r="T34" i="2" s="1"/>
  <c r="Q34" i="2" s="1"/>
  <c r="H34" i="2" s="1"/>
  <c r="S34" i="2"/>
  <c r="P34" i="2" s="1"/>
  <c r="R34" i="2"/>
  <c r="O34" i="2" s="1"/>
  <c r="AA33" i="2"/>
  <c r="Z33" i="2"/>
  <c r="AB33" i="2" s="1"/>
  <c r="X33" i="2"/>
  <c r="W33" i="2"/>
  <c r="U33" i="2"/>
  <c r="T33" i="2" s="1"/>
  <c r="Q33" i="2" s="1"/>
  <c r="H33" i="2" s="1"/>
  <c r="AA32" i="2"/>
  <c r="Z32" i="2"/>
  <c r="X32" i="2"/>
  <c r="W32" i="2"/>
  <c r="U32" i="2"/>
  <c r="S32" i="2" s="1"/>
  <c r="P32" i="2" s="1"/>
  <c r="R32" i="2"/>
  <c r="O32" i="2" s="1"/>
  <c r="AA31" i="2"/>
  <c r="AD31" i="2" s="1"/>
  <c r="Z31" i="2"/>
  <c r="X31" i="2"/>
  <c r="Y31" i="2" s="1"/>
  <c r="W31" i="2"/>
  <c r="U31" i="2"/>
  <c r="T31" i="2" s="1"/>
  <c r="Q31" i="2" s="1"/>
  <c r="H31" i="2" s="1"/>
  <c r="AA30" i="2"/>
  <c r="Z30" i="2"/>
  <c r="AC30" i="2" s="1"/>
  <c r="X30" i="2"/>
  <c r="AD30" i="2" s="1"/>
  <c r="W30" i="2"/>
  <c r="U30" i="2"/>
  <c r="R30" i="2" s="1"/>
  <c r="O30" i="2" s="1"/>
  <c r="T30" i="2"/>
  <c r="Q30" i="2" s="1"/>
  <c r="H30" i="2" s="1"/>
  <c r="S30" i="2"/>
  <c r="P30" i="2" s="1"/>
  <c r="AA29" i="2"/>
  <c r="Z29" i="2"/>
  <c r="X29" i="2"/>
  <c r="W29" i="2"/>
  <c r="U29" i="2"/>
  <c r="T29" i="2" s="1"/>
  <c r="Q29" i="2" s="1"/>
  <c r="H29" i="2" s="1"/>
  <c r="AA28" i="2"/>
  <c r="Z28" i="2"/>
  <c r="X28" i="2"/>
  <c r="W28" i="2"/>
  <c r="U28" i="2"/>
  <c r="S28" i="2" s="1"/>
  <c r="P28" i="2" s="1"/>
  <c r="AA27" i="2"/>
  <c r="Z27" i="2"/>
  <c r="X27" i="2"/>
  <c r="W27" i="2"/>
  <c r="U27" i="2"/>
  <c r="R27" i="2" s="1"/>
  <c r="O27" i="2" s="1"/>
  <c r="AA26" i="2"/>
  <c r="Z26" i="2"/>
  <c r="X26" i="2"/>
  <c r="W26" i="2"/>
  <c r="U26" i="2"/>
  <c r="S26" i="2" s="1"/>
  <c r="P26" i="2" s="1"/>
  <c r="AA25" i="2"/>
  <c r="AD25" i="2" s="1"/>
  <c r="Z25" i="2"/>
  <c r="AB25" i="2" s="1"/>
  <c r="X25" i="2"/>
  <c r="W25" i="2"/>
  <c r="U25" i="2"/>
  <c r="T25" i="2" s="1"/>
  <c r="Q25" i="2" s="1"/>
  <c r="H25" i="2" s="1"/>
  <c r="AA24" i="2"/>
  <c r="Z24" i="2"/>
  <c r="X24" i="2"/>
  <c r="W24" i="2"/>
  <c r="U24" i="2"/>
  <c r="T24" i="2" s="1"/>
  <c r="Q24" i="2" s="1"/>
  <c r="H24" i="2" s="1"/>
  <c r="AA23" i="2"/>
  <c r="Z23" i="2"/>
  <c r="AB23" i="2" s="1"/>
  <c r="X23" i="2"/>
  <c r="AD23" i="2" s="1"/>
  <c r="W23" i="2"/>
  <c r="U23" i="2"/>
  <c r="S23" i="2" s="1"/>
  <c r="P23" i="2" s="1"/>
  <c r="AA22" i="2"/>
  <c r="Z22" i="2"/>
  <c r="AB22" i="2" s="1"/>
  <c r="X22" i="2"/>
  <c r="W22" i="2"/>
  <c r="U22" i="2"/>
  <c r="S22" i="2" s="1"/>
  <c r="P22" i="2" s="1"/>
  <c r="T22" i="2"/>
  <c r="Q22" i="2" s="1"/>
  <c r="H22" i="2" s="1"/>
  <c r="AA21" i="2"/>
  <c r="Z21" i="2"/>
  <c r="AB21" i="2" s="1"/>
  <c r="X21" i="2"/>
  <c r="W21" i="2"/>
  <c r="U21" i="2"/>
  <c r="T21" i="2" s="1"/>
  <c r="Q21" i="2" s="1"/>
  <c r="H21" i="2" s="1"/>
  <c r="AD20" i="2"/>
  <c r="AA20" i="2"/>
  <c r="Z20" i="2"/>
  <c r="X20" i="2"/>
  <c r="W20" i="2"/>
  <c r="U20" i="2"/>
  <c r="S20" i="2" s="1"/>
  <c r="P20" i="2" s="1"/>
  <c r="T20" i="2"/>
  <c r="R20" i="2"/>
  <c r="O20" i="2" s="1"/>
  <c r="Q20" i="2"/>
  <c r="H20" i="2" s="1"/>
  <c r="AA19" i="2"/>
  <c r="Z19" i="2"/>
  <c r="X19" i="2"/>
  <c r="AD19" i="2" s="1"/>
  <c r="W19" i="2"/>
  <c r="AC19" i="2" s="1"/>
  <c r="U19" i="2"/>
  <c r="AA18" i="2"/>
  <c r="Z18" i="2"/>
  <c r="X18" i="2"/>
  <c r="AD18" i="2" s="1"/>
  <c r="W18" i="2"/>
  <c r="Y18" i="2" s="1"/>
  <c r="U18" i="2"/>
  <c r="R18" i="2" s="1"/>
  <c r="O18" i="2" s="1"/>
  <c r="AA17" i="2"/>
  <c r="Z17" i="2"/>
  <c r="X17" i="2"/>
  <c r="W17" i="2"/>
  <c r="U17" i="2"/>
  <c r="T17" i="2" s="1"/>
  <c r="Q17" i="2" s="1"/>
  <c r="H17" i="2" s="1"/>
  <c r="AA16" i="2"/>
  <c r="Z16" i="2"/>
  <c r="X16" i="2"/>
  <c r="W16" i="2"/>
  <c r="AC16" i="2" s="1"/>
  <c r="U16" i="2"/>
  <c r="S16" i="2" s="1"/>
  <c r="P16" i="2" s="1"/>
  <c r="AA15" i="2"/>
  <c r="Z15" i="2"/>
  <c r="X15" i="2"/>
  <c r="W15" i="2"/>
  <c r="U15" i="2"/>
  <c r="R15" i="2" s="1"/>
  <c r="O15" i="2" s="1"/>
  <c r="AA14" i="2"/>
  <c r="Z14" i="2"/>
  <c r="AB14" i="2" s="1"/>
  <c r="X14" i="2"/>
  <c r="W14" i="2"/>
  <c r="Y14" i="2" s="1"/>
  <c r="U14" i="2"/>
  <c r="S14" i="2" s="1"/>
  <c r="P14" i="2" s="1"/>
  <c r="AA13" i="2"/>
  <c r="Z13" i="2"/>
  <c r="AB13" i="2" s="1"/>
  <c r="X13" i="2"/>
  <c r="W13" i="2"/>
  <c r="U13" i="2"/>
  <c r="T13" i="2" s="1"/>
  <c r="Q13" i="2" s="1"/>
  <c r="H13" i="2" s="1"/>
  <c r="AA12" i="2"/>
  <c r="Z12" i="2"/>
  <c r="X12" i="2"/>
  <c r="AD12" i="2" s="1"/>
  <c r="I12" i="2" s="1"/>
  <c r="W12" i="2"/>
  <c r="Y12" i="2" s="1"/>
  <c r="U12" i="2"/>
  <c r="T12" i="2" s="1"/>
  <c r="Q12" i="2" s="1"/>
  <c r="H12" i="2" s="1"/>
  <c r="AA11" i="2"/>
  <c r="Z11" i="2"/>
  <c r="X11" i="2"/>
  <c r="Y11" i="2" s="1"/>
  <c r="W11" i="2"/>
  <c r="U11" i="2"/>
  <c r="R11" i="2" s="1"/>
  <c r="O11" i="2"/>
  <c r="AA10" i="2"/>
  <c r="Z10" i="2"/>
  <c r="AB10" i="2" s="1"/>
  <c r="X10" i="2"/>
  <c r="AD10" i="2" s="1"/>
  <c r="J10" i="2" s="1" a="1"/>
  <c r="J10" i="2" s="1"/>
  <c r="L10" i="2" s="1"/>
  <c r="W10" i="2"/>
  <c r="U10" i="2"/>
  <c r="T10" i="2" s="1"/>
  <c r="Q10" i="2" s="1"/>
  <c r="H10" i="2" s="1"/>
  <c r="S10" i="2"/>
  <c r="P10" i="2" s="1"/>
  <c r="R10" i="2"/>
  <c r="O10" i="2" s="1"/>
  <c r="AA9" i="2"/>
  <c r="Z9" i="2"/>
  <c r="X9" i="2"/>
  <c r="W9" i="2"/>
  <c r="Y9" i="2" s="1"/>
  <c r="U9" i="2"/>
  <c r="R9" i="2" s="1"/>
  <c r="O9" i="2" s="1"/>
  <c r="S9" i="2"/>
  <c r="P9" i="2" s="1"/>
  <c r="AA8" i="2"/>
  <c r="Z8" i="2"/>
  <c r="AB8" i="2" s="1"/>
  <c r="X8" i="2"/>
  <c r="W8" i="2"/>
  <c r="U8" i="2"/>
  <c r="S8" i="2" s="1"/>
  <c r="P8" i="2" s="1"/>
  <c r="AA7" i="2"/>
  <c r="Z7" i="2"/>
  <c r="X7" i="2"/>
  <c r="W7" i="2"/>
  <c r="U7" i="2"/>
  <c r="R7" i="2" s="1"/>
  <c r="O7" i="2" s="1"/>
  <c r="AA6" i="2"/>
  <c r="Z6" i="2"/>
  <c r="AB6" i="2" s="1"/>
  <c r="X6" i="2"/>
  <c r="W6" i="2"/>
  <c r="U6" i="2"/>
  <c r="S6" i="2" s="1"/>
  <c r="P6" i="2" s="1"/>
  <c r="AA5" i="2"/>
  <c r="Z5" i="2"/>
  <c r="AB5" i="2" s="1"/>
  <c r="X5" i="2"/>
  <c r="AD5" i="2" s="1"/>
  <c r="W5" i="2"/>
  <c r="Y5" i="2" s="1"/>
  <c r="U5" i="2"/>
  <c r="S5" i="2" s="1"/>
  <c r="P5" i="2" s="1"/>
  <c r="AA4" i="2"/>
  <c r="Z4" i="2"/>
  <c r="X4" i="2"/>
  <c r="AD4" i="2" s="1"/>
  <c r="I4" i="2" s="1"/>
  <c r="W4" i="2"/>
  <c r="U4" i="2"/>
  <c r="S4" i="2" s="1"/>
  <c r="P4" i="2" s="1"/>
  <c r="AA3" i="2"/>
  <c r="Z3" i="2"/>
  <c r="AC3" i="2" s="1"/>
  <c r="X3" i="2"/>
  <c r="Y3" i="2" s="1"/>
  <c r="W3" i="2"/>
  <c r="U3" i="2"/>
  <c r="T3" i="2"/>
  <c r="S3" i="2"/>
  <c r="P3" i="2" s="1"/>
  <c r="R3" i="2"/>
  <c r="O3" i="2" s="1"/>
  <c r="Q3" i="2"/>
  <c r="H3" i="2" s="1"/>
  <c r="C1" i="2"/>
  <c r="AD6" i="2" l="1"/>
  <c r="AC14" i="2"/>
  <c r="Y26" i="2"/>
  <c r="S36" i="2"/>
  <c r="P36" i="2" s="1"/>
  <c r="R38" i="2"/>
  <c r="O38" i="2" s="1"/>
  <c r="R43" i="2"/>
  <c r="O43" i="2" s="1"/>
  <c r="AB46" i="2"/>
  <c r="AD7" i="3"/>
  <c r="AB50" i="2"/>
  <c r="AE7" i="3"/>
  <c r="AD13" i="3"/>
  <c r="AB7" i="2"/>
  <c r="AB11" i="2"/>
  <c r="Y15" i="2"/>
  <c r="Y17" i="2"/>
  <c r="AB26" i="2"/>
  <c r="AB34" i="2"/>
  <c r="AC36" i="2"/>
  <c r="AE36" i="2" s="1"/>
  <c r="E36" i="2" s="1"/>
  <c r="AC38" i="2"/>
  <c r="Y41" i="2"/>
  <c r="AF3" i="3"/>
  <c r="R12" i="2"/>
  <c r="O12" i="2" s="1"/>
  <c r="AD13" i="2"/>
  <c r="I13" i="2" s="1"/>
  <c r="AB19" i="2"/>
  <c r="T23" i="2"/>
  <c r="Q23" i="2" s="1"/>
  <c r="H23" i="2" s="1"/>
  <c r="S27" i="2"/>
  <c r="P27" i="2" s="1"/>
  <c r="AC29" i="2"/>
  <c r="Y36" i="2"/>
  <c r="S40" i="2"/>
  <c r="P40" i="2" s="1"/>
  <c r="AC43" i="2"/>
  <c r="AC47" i="2"/>
  <c r="Y23" i="2"/>
  <c r="AC12" i="2"/>
  <c r="AC39" i="2"/>
  <c r="T6" i="2"/>
  <c r="Q6" i="2" s="1"/>
  <c r="H6" i="2" s="1"/>
  <c r="AC8" i="2"/>
  <c r="S12" i="2"/>
  <c r="P12" i="2" s="1"/>
  <c r="AD15" i="2"/>
  <c r="S18" i="2"/>
  <c r="P18" i="2" s="1"/>
  <c r="AC25" i="2"/>
  <c r="AC33" i="2"/>
  <c r="T35" i="2"/>
  <c r="Q35" i="2" s="1"/>
  <c r="H35" i="2" s="1"/>
  <c r="Y45" i="2"/>
  <c r="AD47" i="2"/>
  <c r="AC49" i="2"/>
  <c r="AD3" i="2"/>
  <c r="I3" i="2" s="1"/>
  <c r="T4" i="2"/>
  <c r="Q4" i="2" s="1"/>
  <c r="H4" i="2" s="1"/>
  <c r="AD8" i="2"/>
  <c r="I8" i="2" s="1"/>
  <c r="AC10" i="2"/>
  <c r="AE10" i="2" s="1"/>
  <c r="E10" i="2" s="1"/>
  <c r="T16" i="2"/>
  <c r="Q16" i="2" s="1"/>
  <c r="H16" i="2" s="1"/>
  <c r="T18" i="2"/>
  <c r="Q18" i="2" s="1"/>
  <c r="H18" i="2" s="1"/>
  <c r="AD21" i="2"/>
  <c r="AB29" i="2"/>
  <c r="AD33" i="2"/>
  <c r="Z5" i="3"/>
  <c r="AB31" i="2"/>
  <c r="AE37" i="2"/>
  <c r="E37" i="2" s="1"/>
  <c r="T39" i="2"/>
  <c r="Q39" i="2" s="1"/>
  <c r="H39" i="2" s="1"/>
  <c r="AB40" i="2"/>
  <c r="AB43" i="2"/>
  <c r="AB51" i="2"/>
  <c r="T53" i="2"/>
  <c r="Q53" i="2" s="1"/>
  <c r="H53" i="2" s="1"/>
  <c r="AC5" i="3"/>
  <c r="AD8" i="3"/>
  <c r="AD27" i="2"/>
  <c r="J42" i="2" a="1"/>
  <c r="J42" i="2" s="1"/>
  <c r="L42" i="2" s="1"/>
  <c r="S44" i="2"/>
  <c r="P44" i="2" s="1"/>
  <c r="R48" i="2"/>
  <c r="O48" i="2" s="1"/>
  <c r="AE11" i="3"/>
  <c r="T44" i="2"/>
  <c r="Q44" i="2" s="1"/>
  <c r="H44" i="2" s="1"/>
  <c r="Y46" i="2"/>
  <c r="T52" i="2"/>
  <c r="Q52" i="2" s="1"/>
  <c r="H52" i="2" s="1"/>
  <c r="AC18" i="2"/>
  <c r="AE18" i="2" s="1"/>
  <c r="E18" i="2" s="1"/>
  <c r="AB4" i="2"/>
  <c r="Y22" i="2"/>
  <c r="AC28" i="2"/>
  <c r="AD37" i="2"/>
  <c r="AD39" i="2"/>
  <c r="AE39" i="2" s="1"/>
  <c r="E39" i="2" s="1"/>
  <c r="AC48" i="2"/>
  <c r="AE30" i="2"/>
  <c r="E30" i="2" s="1"/>
  <c r="T14" i="2"/>
  <c r="Q14" i="2" s="1"/>
  <c r="H14" i="2" s="1"/>
  <c r="R25" i="2"/>
  <c r="O25" i="2" s="1"/>
  <c r="AD26" i="2"/>
  <c r="J26" i="2" s="1" a="1"/>
  <c r="J26" i="2" s="1"/>
  <c r="L26" i="2" s="1"/>
  <c r="S47" i="2"/>
  <c r="P47" i="2" s="1"/>
  <c r="T48" i="2"/>
  <c r="Q48" i="2" s="1"/>
  <c r="H48" i="2" s="1"/>
  <c r="S49" i="2"/>
  <c r="P49" i="2" s="1"/>
  <c r="T50" i="2"/>
  <c r="Q50" i="2" s="1"/>
  <c r="H50" i="2" s="1"/>
  <c r="AA14" i="3"/>
  <c r="Z4" i="3"/>
  <c r="AD5" i="3"/>
  <c r="AC6" i="3"/>
  <c r="AC22" i="2"/>
  <c r="S25" i="2"/>
  <c r="P25" i="2" s="1"/>
  <c r="AC27" i="2"/>
  <c r="AE27" i="2" s="1"/>
  <c r="E27" i="2" s="1"/>
  <c r="AC31" i="2"/>
  <c r="AE31" i="2" s="1"/>
  <c r="E31" i="2" s="1"/>
  <c r="AC32" i="2"/>
  <c r="Y40" i="2"/>
  <c r="T47" i="2"/>
  <c r="Q47" i="2" s="1"/>
  <c r="H47" i="2" s="1"/>
  <c r="T49" i="2"/>
  <c r="Q49" i="2" s="1"/>
  <c r="H49" i="2" s="1"/>
  <c r="T54" i="2"/>
  <c r="Q54" i="2" s="1"/>
  <c r="H54" i="2" s="1"/>
  <c r="AB14" i="3"/>
  <c r="R17" i="2"/>
  <c r="O17" i="2" s="1"/>
  <c r="AF9" i="3"/>
  <c r="AE8" i="2"/>
  <c r="E8" i="2" s="1"/>
  <c r="AE19" i="2"/>
  <c r="E19" i="2" s="1"/>
  <c r="AD9" i="2"/>
  <c r="I9" i="2" s="1"/>
  <c r="S17" i="2"/>
  <c r="P17" i="2" s="1"/>
  <c r="Y19" i="2"/>
  <c r="R22" i="2"/>
  <c r="O22" i="2" s="1"/>
  <c r="R24" i="2"/>
  <c r="O24" i="2" s="1"/>
  <c r="AE25" i="2"/>
  <c r="E25" i="2" s="1"/>
  <c r="AB27" i="2"/>
  <c r="R29" i="2"/>
  <c r="O29" i="2" s="1"/>
  <c r="AB45" i="2"/>
  <c r="AE49" i="2"/>
  <c r="E49" i="2" s="1"/>
  <c r="Y54" i="2"/>
  <c r="J14" i="3"/>
  <c r="Z10" i="3"/>
  <c r="AE12" i="2"/>
  <c r="E12" i="2" s="1"/>
  <c r="AC6" i="2"/>
  <c r="AE6" i="2" s="1"/>
  <c r="E6" i="2" s="1"/>
  <c r="AC4" i="2"/>
  <c r="AE4" i="2" s="1"/>
  <c r="E4" i="2" s="1"/>
  <c r="AC7" i="2"/>
  <c r="R16" i="2"/>
  <c r="O16" i="2" s="1"/>
  <c r="AB20" i="2"/>
  <c r="S24" i="2"/>
  <c r="P24" i="2" s="1"/>
  <c r="S29" i="2"/>
  <c r="P29" i="2" s="1"/>
  <c r="AD32" i="2"/>
  <c r="T36" i="2"/>
  <c r="Q36" i="2" s="1"/>
  <c r="H36" i="2" s="1"/>
  <c r="R37" i="2"/>
  <c r="O37" i="2" s="1"/>
  <c r="Y38" i="2"/>
  <c r="Y48" i="2"/>
  <c r="Y50" i="2"/>
  <c r="Z9" i="3"/>
  <c r="Z12" i="3"/>
  <c r="Y10" i="2"/>
  <c r="R6" i="2"/>
  <c r="O6" i="2" s="1"/>
  <c r="I20" i="2"/>
  <c r="AC23" i="2"/>
  <c r="AE23" i="2" s="1"/>
  <c r="E23" i="2" s="1"/>
  <c r="R28" i="2"/>
  <c r="O28" i="2" s="1"/>
  <c r="Y30" i="2"/>
  <c r="S33" i="2"/>
  <c r="P33" i="2" s="1"/>
  <c r="AC35" i="2"/>
  <c r="AE35" i="2" s="1"/>
  <c r="E35" i="2" s="1"/>
  <c r="S37" i="2"/>
  <c r="P37" i="2" s="1"/>
  <c r="AC40" i="2"/>
  <c r="AE40" i="2" s="1"/>
  <c r="E40" i="2" s="1"/>
  <c r="Y49" i="2"/>
  <c r="O14" i="3"/>
  <c r="Z11" i="3"/>
  <c r="AC15" i="2"/>
  <c r="AD7" i="2"/>
  <c r="I7" i="2" s="1"/>
  <c r="Y7" i="2"/>
  <c r="AC17" i="2"/>
  <c r="S21" i="2"/>
  <c r="P21" i="2" s="1"/>
  <c r="T28" i="2"/>
  <c r="Q28" i="2" s="1"/>
  <c r="H28" i="2" s="1"/>
  <c r="R42" i="2"/>
  <c r="O42" i="2" s="1"/>
  <c r="AE10" i="3"/>
  <c r="AD11" i="3"/>
  <c r="S42" i="2"/>
  <c r="P42" i="2" s="1"/>
  <c r="R52" i="2"/>
  <c r="O52" i="2" s="1"/>
  <c r="AC54" i="2"/>
  <c r="S14" i="3"/>
  <c r="AC10" i="3"/>
  <c r="AC11" i="3"/>
  <c r="AE8" i="3"/>
  <c r="AD10" i="3"/>
  <c r="K13" i="3"/>
  <c r="L13" i="3" s="1"/>
  <c r="AE28" i="2"/>
  <c r="E28" i="2" s="1"/>
  <c r="Y29" i="2"/>
  <c r="AE53" i="2"/>
  <c r="E53" i="2" s="1"/>
  <c r="AB3" i="2"/>
  <c r="Y6" i="2"/>
  <c r="T9" i="2"/>
  <c r="Q9" i="2" s="1"/>
  <c r="H9" i="2" s="1"/>
  <c r="AC11" i="2"/>
  <c r="AE11" i="2" s="1"/>
  <c r="E11" i="2" s="1"/>
  <c r="S15" i="2"/>
  <c r="P15" i="2" s="1"/>
  <c r="Y16" i="2"/>
  <c r="AB17" i="2"/>
  <c r="AB18" i="2"/>
  <c r="AB24" i="2"/>
  <c r="T26" i="2"/>
  <c r="Q26" i="2" s="1"/>
  <c r="H26" i="2" s="1"/>
  <c r="T27" i="2"/>
  <c r="Q27" i="2" s="1"/>
  <c r="H27" i="2" s="1"/>
  <c r="AB30" i="2"/>
  <c r="Y42" i="2"/>
  <c r="AD53" i="2"/>
  <c r="X14" i="3"/>
  <c r="T5" i="2"/>
  <c r="Q5" i="2" s="1"/>
  <c r="H5" i="2" s="1"/>
  <c r="T8" i="2"/>
  <c r="Q8" i="2" s="1"/>
  <c r="H8" i="2" s="1"/>
  <c r="AD17" i="2"/>
  <c r="AD24" i="2"/>
  <c r="AD34" i="2"/>
  <c r="AE34" i="2" s="1"/>
  <c r="E34" i="2" s="1"/>
  <c r="Y14" i="3"/>
  <c r="Z14" i="3" s="1"/>
  <c r="Z6" i="3"/>
  <c r="AD22" i="2"/>
  <c r="AE22" i="2" s="1"/>
  <c r="E22" i="2" s="1"/>
  <c r="AC26" i="2"/>
  <c r="AE26" i="2" s="1"/>
  <c r="E26" i="2" s="1"/>
  <c r="Y27" i="2"/>
  <c r="AD28" i="2"/>
  <c r="T32" i="2"/>
  <c r="Q32" i="2" s="1"/>
  <c r="H32" i="2" s="1"/>
  <c r="T40" i="2"/>
  <c r="Q40" i="2" s="1"/>
  <c r="H40" i="2" s="1"/>
  <c r="AB42" i="2"/>
  <c r="R50" i="2"/>
  <c r="O50" i="2" s="1"/>
  <c r="AD55" i="2"/>
  <c r="Z3" i="3"/>
  <c r="AC7" i="3"/>
  <c r="P10" i="3"/>
  <c r="P11" i="3"/>
  <c r="I6" i="2"/>
  <c r="J6" i="2" a="1"/>
  <c r="J6" i="2" s="1"/>
  <c r="L6" i="2" s="1"/>
  <c r="J5" i="2" a="1"/>
  <c r="J5" i="2" s="1"/>
  <c r="L5" i="2" s="1"/>
  <c r="I5" i="2"/>
  <c r="J4" i="2" a="1"/>
  <c r="J4" i="2" s="1"/>
  <c r="L4" i="2" s="1"/>
  <c r="AD11" i="2"/>
  <c r="T15" i="2"/>
  <c r="Q15" i="2" s="1"/>
  <c r="H15" i="2" s="1"/>
  <c r="I40" i="2"/>
  <c r="J40" i="2" a="1"/>
  <c r="J40" i="2" s="1"/>
  <c r="L40" i="2" s="1"/>
  <c r="J20" i="2" a="1"/>
  <c r="J20" i="2" s="1"/>
  <c r="L20" i="2" s="1"/>
  <c r="AB12" i="2"/>
  <c r="AD16" i="2"/>
  <c r="AB16" i="2"/>
  <c r="J18" i="2" a="1"/>
  <c r="J18" i="2" s="1"/>
  <c r="L18" i="2" s="1"/>
  <c r="T19" i="2"/>
  <c r="Q19" i="2" s="1"/>
  <c r="H19" i="2" s="1"/>
  <c r="S19" i="2"/>
  <c r="P19" i="2" s="1"/>
  <c r="R19" i="2"/>
  <c r="O19" i="2" s="1"/>
  <c r="Y4" i="2"/>
  <c r="Y8" i="2"/>
  <c r="Y24" i="2"/>
  <c r="AC24" i="2"/>
  <c r="AE24" i="2" s="1"/>
  <c r="E24" i="2" s="1"/>
  <c r="J27" i="2" a="1"/>
  <c r="J27" i="2" s="1"/>
  <c r="L27" i="2" s="1"/>
  <c r="I32" i="2"/>
  <c r="J8" i="2" a="1"/>
  <c r="J8" i="2" s="1"/>
  <c r="L8" i="2" s="1"/>
  <c r="I22" i="2"/>
  <c r="AE38" i="2"/>
  <c r="E38" i="2" s="1"/>
  <c r="I38" i="2"/>
  <c r="R5" i="2"/>
  <c r="O5" i="2" s="1"/>
  <c r="AC9" i="2"/>
  <c r="AE9" i="2" s="1"/>
  <c r="E9" i="2" s="1"/>
  <c r="S11" i="2"/>
  <c r="P11" i="2" s="1"/>
  <c r="I10" i="2"/>
  <c r="T11" i="2"/>
  <c r="Q11" i="2" s="1"/>
  <c r="H11" i="2" s="1"/>
  <c r="R13" i="2"/>
  <c r="O13" i="2" s="1"/>
  <c r="AE17" i="2"/>
  <c r="E17" i="2" s="1"/>
  <c r="I23" i="2"/>
  <c r="I25" i="2"/>
  <c r="S7" i="2"/>
  <c r="P7" i="2" s="1"/>
  <c r="S13" i="2"/>
  <c r="P13" i="2" s="1"/>
  <c r="J15" i="2" a="1"/>
  <c r="J15" i="2" s="1"/>
  <c r="L15" i="2" s="1"/>
  <c r="J24" i="2" a="1"/>
  <c r="J24" i="2" s="1"/>
  <c r="L24" i="2" s="1"/>
  <c r="I24" i="2"/>
  <c r="J31" i="2" a="1"/>
  <c r="J31" i="2" s="1"/>
  <c r="L31" i="2" s="1"/>
  <c r="AE33" i="2"/>
  <c r="E33" i="2" s="1"/>
  <c r="J13" i="2" a="1"/>
  <c r="J13" i="2" s="1"/>
  <c r="L13" i="2" s="1"/>
  <c r="AC5" i="2"/>
  <c r="AE5" i="2" s="1"/>
  <c r="E5" i="2" s="1"/>
  <c r="F1" i="3"/>
  <c r="A1" i="4"/>
  <c r="F50" i="2" s="1" a="1"/>
  <c r="F50" i="2" s="1"/>
  <c r="E9" i="3"/>
  <c r="F9" i="3" s="1"/>
  <c r="E3" i="3"/>
  <c r="I52" i="2"/>
  <c r="J30" i="2" a="1"/>
  <c r="J30" i="2" s="1"/>
  <c r="L30" i="2" s="1"/>
  <c r="J52" i="2" a="1"/>
  <c r="J52" i="2" s="1"/>
  <c r="L52" i="2" s="1"/>
  <c r="F38" i="2" a="1"/>
  <c r="F38" i="2" s="1"/>
  <c r="I30" i="2"/>
  <c r="I18" i="2"/>
  <c r="J48" i="2" a="1"/>
  <c r="J48" i="2" s="1"/>
  <c r="L48" i="2" s="1"/>
  <c r="J39" i="2" a="1"/>
  <c r="J39" i="2" s="1"/>
  <c r="L39" i="2" s="1"/>
  <c r="J49" i="2" a="1"/>
  <c r="J49" i="2" s="1"/>
  <c r="L49" i="2" s="1"/>
  <c r="I39" i="2"/>
  <c r="F33" i="2" a="1"/>
  <c r="F33" i="2" s="1"/>
  <c r="J53" i="2" a="1"/>
  <c r="J53" i="2" s="1"/>
  <c r="L53" i="2" s="1"/>
  <c r="F19" i="2" a="1"/>
  <c r="F19" i="2" s="1"/>
  <c r="F6" i="2" a="1"/>
  <c r="F6" i="2" s="1"/>
  <c r="T7" i="2"/>
  <c r="Q7" i="2" s="1"/>
  <c r="H7" i="2" s="1"/>
  <c r="AD14" i="2"/>
  <c r="AB15" i="2"/>
  <c r="AC20" i="2"/>
  <c r="AE20" i="2" s="1"/>
  <c r="E20" i="2" s="1"/>
  <c r="Y20" i="2"/>
  <c r="AC21" i="2"/>
  <c r="AE21" i="2" s="1"/>
  <c r="E21" i="2" s="1"/>
  <c r="Y21" i="2"/>
  <c r="J23" i="2" a="1"/>
  <c r="J23" i="2" s="1"/>
  <c r="L23" i="2" s="1"/>
  <c r="J33" i="2" a="1"/>
  <c r="J33" i="2" s="1"/>
  <c r="L33" i="2" s="1"/>
  <c r="I33" i="2"/>
  <c r="J50" i="2" a="1"/>
  <c r="J50" i="2" s="1"/>
  <c r="L50" i="2" s="1"/>
  <c r="J21" i="2" a="1"/>
  <c r="J21" i="2" s="1"/>
  <c r="L21" i="2" s="1"/>
  <c r="I21" i="2"/>
  <c r="R4" i="2"/>
  <c r="O4" i="2" s="1"/>
  <c r="R8" i="2"/>
  <c r="O8" i="2" s="1"/>
  <c r="AC13" i="2"/>
  <c r="AE13" i="2" s="1"/>
  <c r="E13" i="2" s="1"/>
  <c r="Y13" i="2"/>
  <c r="I15" i="2"/>
  <c r="I19" i="2"/>
  <c r="J34" i="2" a="1"/>
  <c r="J34" i="2" s="1"/>
  <c r="L34" i="2" s="1"/>
  <c r="I34" i="2"/>
  <c r="J41" i="2" a="1"/>
  <c r="J41" i="2" s="1"/>
  <c r="L41" i="2" s="1"/>
  <c r="I41" i="2"/>
  <c r="AB9" i="2"/>
  <c r="J17" i="2" a="1"/>
  <c r="J17" i="2" s="1"/>
  <c r="L17" i="2" s="1"/>
  <c r="I17" i="2"/>
  <c r="I26" i="2"/>
  <c r="J28" i="2" a="1"/>
  <c r="J28" i="2" s="1"/>
  <c r="L28" i="2" s="1"/>
  <c r="I28" i="2"/>
  <c r="J35" i="2" a="1"/>
  <c r="J35" i="2" s="1"/>
  <c r="L35" i="2" s="1"/>
  <c r="J37" i="2" a="1"/>
  <c r="J37" i="2" s="1"/>
  <c r="L37" i="2" s="1"/>
  <c r="I37" i="2"/>
  <c r="J25" i="2" a="1"/>
  <c r="J25" i="2" s="1"/>
  <c r="L25" i="2" s="1"/>
  <c r="I27" i="2"/>
  <c r="Y33" i="2"/>
  <c r="I36" i="2"/>
  <c r="Y37" i="2"/>
  <c r="S38" i="2"/>
  <c r="P38" i="2" s="1"/>
  <c r="I48" i="2"/>
  <c r="Y28" i="2"/>
  <c r="AD29" i="2"/>
  <c r="AE29" i="2" s="1"/>
  <c r="E29" i="2" s="1"/>
  <c r="I47" i="2"/>
  <c r="AD44" i="2"/>
  <c r="AE44" i="2" s="1"/>
  <c r="E44" i="2" s="1"/>
  <c r="AC46" i="2"/>
  <c r="AE46" i="2" s="1"/>
  <c r="E46" i="2" s="1"/>
  <c r="AC51" i="2"/>
  <c r="AE51" i="2" s="1"/>
  <c r="E51" i="2" s="1"/>
  <c r="Y51" i="2"/>
  <c r="AF13" i="3"/>
  <c r="D13" i="3"/>
  <c r="E13" i="3" s="1"/>
  <c r="F13" i="3" s="1"/>
  <c r="R41" i="2"/>
  <c r="O41" i="2" s="1"/>
  <c r="AD45" i="2"/>
  <c r="AE45" i="2" s="1"/>
  <c r="E45" i="2" s="1"/>
  <c r="J46" i="2" a="1"/>
  <c r="J46" i="2" s="1"/>
  <c r="L46" i="2" s="1"/>
  <c r="I46" i="2"/>
  <c r="I54" i="2"/>
  <c r="AD14" i="3"/>
  <c r="AF4" i="3"/>
  <c r="D4" i="3"/>
  <c r="E4" i="3" s="1"/>
  <c r="F4" i="3" s="1"/>
  <c r="J19" i="2" s="1" a="1"/>
  <c r="J19" i="2" s="1"/>
  <c r="L19" i="2" s="1"/>
  <c r="AF12" i="3"/>
  <c r="D12" i="3"/>
  <c r="E12" i="3" s="1"/>
  <c r="F12" i="3" s="1"/>
  <c r="J7" i="2" s="1" a="1"/>
  <c r="J7" i="2" s="1"/>
  <c r="L7" i="2" s="1"/>
  <c r="Y25" i="2"/>
  <c r="AB28" i="2"/>
  <c r="I31" i="2"/>
  <c r="R31" i="2"/>
  <c r="O31" i="2" s="1"/>
  <c r="J36" i="2" a="1"/>
  <c r="J36" i="2" s="1"/>
  <c r="L36" i="2" s="1"/>
  <c r="T41" i="2"/>
  <c r="Q41" i="2" s="1"/>
  <c r="H41" i="2" s="1"/>
  <c r="AC42" i="2"/>
  <c r="AE42" i="2" s="1"/>
  <c r="E42" i="2" s="1"/>
  <c r="AD43" i="2"/>
  <c r="AE43" i="2" s="1"/>
  <c r="E43" i="2" s="1"/>
  <c r="I50" i="2"/>
  <c r="AC52" i="2"/>
  <c r="AE52" i="2" s="1"/>
  <c r="E52" i="2" s="1"/>
  <c r="Y52" i="2"/>
  <c r="N14" i="3"/>
  <c r="AF11" i="3"/>
  <c r="D11" i="3"/>
  <c r="E11" i="3" s="1"/>
  <c r="F11" i="3" s="1"/>
  <c r="R14" i="2"/>
  <c r="O14" i="2" s="1"/>
  <c r="R26" i="2"/>
  <c r="O26" i="2" s="1"/>
  <c r="S31" i="2"/>
  <c r="P31" i="2" s="1"/>
  <c r="Y32" i="2"/>
  <c r="R21" i="2"/>
  <c r="O21" i="2" s="1"/>
  <c r="R33" i="2"/>
  <c r="O33" i="2" s="1"/>
  <c r="S45" i="2"/>
  <c r="P45" i="2" s="1"/>
  <c r="AE48" i="2"/>
  <c r="E48" i="2" s="1"/>
  <c r="I53" i="2"/>
  <c r="AE54" i="2"/>
  <c r="E54" i="2" s="1"/>
  <c r="AF10" i="3"/>
  <c r="D10" i="3"/>
  <c r="E10" i="3" s="1"/>
  <c r="F10" i="3" s="1"/>
  <c r="T45" i="2"/>
  <c r="Q45" i="2" s="1"/>
  <c r="H45" i="2" s="1"/>
  <c r="T46" i="2"/>
  <c r="Q46" i="2" s="1"/>
  <c r="H46" i="2" s="1"/>
  <c r="R46" i="2"/>
  <c r="O46" i="2" s="1"/>
  <c r="AE47" i="2"/>
  <c r="E47" i="2" s="1"/>
  <c r="I51" i="2"/>
  <c r="R23" i="2"/>
  <c r="O23" i="2" s="1"/>
  <c r="AB32" i="2"/>
  <c r="I35" i="2"/>
  <c r="R35" i="2"/>
  <c r="O35" i="2" s="1"/>
  <c r="I42" i="2"/>
  <c r="AF8" i="3"/>
  <c r="D8" i="3"/>
  <c r="E8" i="3" s="1"/>
  <c r="F8" i="3" s="1"/>
  <c r="J38" i="2" s="1" a="1"/>
  <c r="J38" i="2" s="1"/>
  <c r="L38" i="2" s="1"/>
  <c r="J47" i="2" a="1"/>
  <c r="J47" i="2" s="1"/>
  <c r="L47" i="2" s="1"/>
  <c r="Y47" i="2"/>
  <c r="I49" i="2"/>
  <c r="R14" i="3"/>
  <c r="AF6" i="3"/>
  <c r="D6" i="3"/>
  <c r="E6" i="3" s="1"/>
  <c r="F6" i="3" s="1"/>
  <c r="AF7" i="3"/>
  <c r="D7" i="3"/>
  <c r="E7" i="3" s="1"/>
  <c r="F7" i="3" s="1"/>
  <c r="J32" i="2" s="1" a="1"/>
  <c r="J32" i="2" s="1"/>
  <c r="L32" i="2" s="1"/>
  <c r="AE50" i="2"/>
  <c r="E50" i="2" s="1"/>
  <c r="J54" i="2" a="1"/>
  <c r="J54" i="2" s="1"/>
  <c r="L54" i="2" s="1"/>
  <c r="I55" i="2"/>
  <c r="J55" i="2" a="1"/>
  <c r="J55" i="2" s="1"/>
  <c r="L55" i="2" s="1"/>
  <c r="T55" i="2"/>
  <c r="Q55" i="2" s="1"/>
  <c r="H55" i="2" s="1"/>
  <c r="AC4" i="3"/>
  <c r="K6" i="3"/>
  <c r="L6" i="3" s="1"/>
  <c r="K12" i="3"/>
  <c r="L12" i="3" s="1"/>
  <c r="Y53" i="2"/>
  <c r="P5" i="3"/>
  <c r="P14" i="3" s="1"/>
  <c r="R54" i="2"/>
  <c r="O54" i="2" s="1"/>
  <c r="Z7" i="3"/>
  <c r="Z13" i="3"/>
  <c r="T14" i="3"/>
  <c r="I3" i="3"/>
  <c r="I14" i="3" s="1"/>
  <c r="AE5" i="3"/>
  <c r="K8" i="3"/>
  <c r="L8" i="3" s="1"/>
  <c r="R51" i="2"/>
  <c r="O51" i="2" s="1"/>
  <c r="K3" i="3"/>
  <c r="K9" i="3"/>
  <c r="L9" i="3" s="1"/>
  <c r="AB55" i="2"/>
  <c r="AC8" i="3"/>
  <c r="R55" i="2"/>
  <c r="O55" i="2" s="1"/>
  <c r="AE3" i="2" l="1"/>
  <c r="E3" i="2" s="1"/>
  <c r="J9" i="2" a="1"/>
  <c r="J9" i="2" s="1"/>
  <c r="L9" i="2" s="1"/>
  <c r="F11" i="2" a="1"/>
  <c r="F11" i="2" s="1"/>
  <c r="F42" i="2" a="1"/>
  <c r="F42" i="2" s="1"/>
  <c r="AE15" i="2"/>
  <c r="E15" i="2" s="1"/>
  <c r="F22" i="2" a="1"/>
  <c r="F22" i="2" s="1"/>
  <c r="AC14" i="3"/>
  <c r="F41" i="2" a="1"/>
  <c r="F41" i="2" s="1"/>
  <c r="K41" i="2" s="1" a="1"/>
  <c r="K41" i="2" s="1"/>
  <c r="AE7" i="2"/>
  <c r="E7" i="2" s="1"/>
  <c r="F23" i="2" a="1"/>
  <c r="F23" i="2" s="1"/>
  <c r="AE32" i="2"/>
  <c r="E32" i="2" s="1"/>
  <c r="F13" i="2" a="1"/>
  <c r="F13" i="2" s="1"/>
  <c r="F46" i="2" a="1"/>
  <c r="F46" i="2" s="1"/>
  <c r="H52" i="4"/>
  <c r="D47" i="4"/>
  <c r="G48" i="2" s="1" a="1"/>
  <c r="G48" i="2" s="1"/>
  <c r="I45" i="4"/>
  <c r="H40" i="4"/>
  <c r="D35" i="4"/>
  <c r="G35" i="2" s="1" a="1"/>
  <c r="G35" i="2" s="1"/>
  <c r="I33" i="4"/>
  <c r="H28" i="4"/>
  <c r="D23" i="4"/>
  <c r="G22" i="2" s="1" a="1"/>
  <c r="G22" i="2" s="1"/>
  <c r="I21" i="4"/>
  <c r="H16" i="4"/>
  <c r="D11" i="4"/>
  <c r="G11" i="2" s="1" a="1"/>
  <c r="G11" i="2" s="1"/>
  <c r="I9" i="4"/>
  <c r="H4" i="4"/>
  <c r="D52" i="4"/>
  <c r="G53" i="2" s="1" a="1"/>
  <c r="G53" i="2" s="1"/>
  <c r="I50" i="4"/>
  <c r="H45" i="4"/>
  <c r="D40" i="4"/>
  <c r="G40" i="2" s="1" a="1"/>
  <c r="G40" i="2" s="1"/>
  <c r="I38" i="4"/>
  <c r="H33" i="4"/>
  <c r="J33" i="4" s="1"/>
  <c r="D28" i="4"/>
  <c r="G28" i="2" s="1" a="1"/>
  <c r="G28" i="2" s="1"/>
  <c r="I26" i="4"/>
  <c r="H21" i="4"/>
  <c r="D16" i="4"/>
  <c r="G16" i="2" s="1" a="1"/>
  <c r="G16" i="2" s="1"/>
  <c r="I14" i="4"/>
  <c r="H9" i="4"/>
  <c r="D4" i="4"/>
  <c r="G4" i="2" s="1" a="1"/>
  <c r="G4" i="2" s="1"/>
  <c r="H50" i="4"/>
  <c r="J50" i="4" s="1"/>
  <c r="D45" i="4"/>
  <c r="G46" i="2" s="1" a="1"/>
  <c r="G46" i="2" s="1"/>
  <c r="I43" i="4"/>
  <c r="H38" i="4"/>
  <c r="J38" i="4" s="1"/>
  <c r="D33" i="4"/>
  <c r="G33" i="2" s="1" a="1"/>
  <c r="G33" i="2" s="1"/>
  <c r="K33" i="2" s="1" a="1"/>
  <c r="K33" i="2" s="1"/>
  <c r="I31" i="4"/>
  <c r="H26" i="4"/>
  <c r="D21" i="4"/>
  <c r="G20" i="2" s="1" a="1"/>
  <c r="G20" i="2" s="1"/>
  <c r="I19" i="4"/>
  <c r="H14" i="4"/>
  <c r="J14" i="4" s="1"/>
  <c r="D9" i="4"/>
  <c r="G9" i="2" s="1" a="1"/>
  <c r="G9" i="2" s="1"/>
  <c r="I7" i="4"/>
  <c r="D50" i="4"/>
  <c r="G51" i="2" s="1" a="1"/>
  <c r="G51" i="2" s="1"/>
  <c r="I48" i="4"/>
  <c r="H43" i="4"/>
  <c r="J43" i="4" s="1"/>
  <c r="D38" i="4"/>
  <c r="G38" i="2" s="1" a="1"/>
  <c r="G38" i="2" s="1"/>
  <c r="I36" i="4"/>
  <c r="H31" i="4"/>
  <c r="D26" i="4"/>
  <c r="G25" i="2" s="1" a="1"/>
  <c r="G25" i="2" s="1"/>
  <c r="I24" i="4"/>
  <c r="H19" i="4"/>
  <c r="J19" i="4" s="1"/>
  <c r="D14" i="4"/>
  <c r="G14" i="2" s="1" a="1"/>
  <c r="G14" i="2" s="1"/>
  <c r="I12" i="4"/>
  <c r="H7" i="4"/>
  <c r="I53" i="4"/>
  <c r="H48" i="4"/>
  <c r="J48" i="4" s="1"/>
  <c r="D43" i="4"/>
  <c r="G44" i="2" s="1" a="1"/>
  <c r="G44" i="2" s="1"/>
  <c r="I41" i="4"/>
  <c r="H36" i="4"/>
  <c r="D31" i="4"/>
  <c r="G31" i="2" s="1" a="1"/>
  <c r="G31" i="2" s="1"/>
  <c r="I29" i="4"/>
  <c r="H24" i="4"/>
  <c r="J24" i="4" s="1"/>
  <c r="D19" i="4"/>
  <c r="G18" i="2" s="1" a="1"/>
  <c r="G18" i="2" s="1"/>
  <c r="I17" i="4"/>
  <c r="H12" i="4"/>
  <c r="D7" i="4"/>
  <c r="G7" i="2" s="1" a="1"/>
  <c r="G7" i="2" s="1"/>
  <c r="I5" i="4"/>
  <c r="H53" i="4"/>
  <c r="D48" i="4"/>
  <c r="G49" i="2" s="1" a="1"/>
  <c r="G49" i="2" s="1"/>
  <c r="I46" i="4"/>
  <c r="H41" i="4"/>
  <c r="D36" i="4"/>
  <c r="G36" i="2" s="1" a="1"/>
  <c r="G36" i="2" s="1"/>
  <c r="I34" i="4"/>
  <c r="H29" i="4"/>
  <c r="D24" i="4"/>
  <c r="G23" i="2" s="1" a="1"/>
  <c r="G23" i="2" s="1"/>
  <c r="K23" i="2" s="1" a="1"/>
  <c r="K23" i="2" s="1"/>
  <c r="I22" i="4"/>
  <c r="H17" i="4"/>
  <c r="D12" i="4"/>
  <c r="G12" i="2" s="1" a="1"/>
  <c r="G12" i="2" s="1"/>
  <c r="I10" i="4"/>
  <c r="H5" i="4"/>
  <c r="D53" i="4"/>
  <c r="G54" i="2" s="1" a="1"/>
  <c r="G54" i="2" s="1"/>
  <c r="I51" i="4"/>
  <c r="H46" i="4"/>
  <c r="J46" i="4" s="1"/>
  <c r="D41" i="4"/>
  <c r="G42" i="2" s="1" a="1"/>
  <c r="G42" i="2" s="1"/>
  <c r="I39" i="4"/>
  <c r="H34" i="4"/>
  <c r="D29" i="4"/>
  <c r="G29" i="2" s="1" a="1"/>
  <c r="G29" i="2" s="1"/>
  <c r="I27" i="4"/>
  <c r="H22" i="4"/>
  <c r="D17" i="4"/>
  <c r="G26" i="2" s="1" a="1"/>
  <c r="G26" i="2" s="1"/>
  <c r="I15" i="4"/>
  <c r="H10" i="4"/>
  <c r="D5" i="4"/>
  <c r="G5" i="2" s="1" a="1"/>
  <c r="G5" i="2" s="1"/>
  <c r="I3" i="4"/>
  <c r="M55" i="2" a="1"/>
  <c r="M55" i="2" s="1"/>
  <c r="H51" i="4"/>
  <c r="J51" i="4" s="1"/>
  <c r="D46" i="4"/>
  <c r="G47" i="2" s="1" a="1"/>
  <c r="G47" i="2" s="1"/>
  <c r="I44" i="4"/>
  <c r="H39" i="4"/>
  <c r="J39" i="4" s="1"/>
  <c r="D34" i="4"/>
  <c r="G34" i="2" s="1" a="1"/>
  <c r="G34" i="2" s="1"/>
  <c r="I32" i="4"/>
  <c r="H27" i="4"/>
  <c r="D22" i="4"/>
  <c r="G21" i="2" s="1" a="1"/>
  <c r="G21" i="2" s="1"/>
  <c r="I20" i="4"/>
  <c r="H15" i="4"/>
  <c r="D10" i="4"/>
  <c r="G10" i="2" s="1" a="1"/>
  <c r="G10" i="2" s="1"/>
  <c r="I8" i="4"/>
  <c r="H3" i="4"/>
  <c r="J3" i="4" s="1"/>
  <c r="D51" i="4"/>
  <c r="G52" i="2" s="1" a="1"/>
  <c r="G52" i="2" s="1"/>
  <c r="I49" i="4"/>
  <c r="H44" i="4"/>
  <c r="D39" i="4"/>
  <c r="G39" i="2" s="1" a="1"/>
  <c r="G39" i="2" s="1"/>
  <c r="I37" i="4"/>
  <c r="H32" i="4"/>
  <c r="D27" i="4"/>
  <c r="G27" i="2" s="1" a="1"/>
  <c r="G27" i="2" s="1"/>
  <c r="I25" i="4"/>
  <c r="H20" i="4"/>
  <c r="D15" i="4"/>
  <c r="G15" i="2" s="1" a="1"/>
  <c r="G15" i="2" s="1"/>
  <c r="I13" i="4"/>
  <c r="H8" i="4"/>
  <c r="D3" i="4"/>
  <c r="G3" i="2" s="1" a="1"/>
  <c r="G3" i="2" s="1"/>
  <c r="H49" i="4"/>
  <c r="D44" i="4"/>
  <c r="G45" i="2" s="1" a="1"/>
  <c r="G45" i="2" s="1"/>
  <c r="I42" i="4"/>
  <c r="H37" i="4"/>
  <c r="D32" i="4"/>
  <c r="G32" i="2" s="1" a="1"/>
  <c r="G32" i="2" s="1"/>
  <c r="I30" i="4"/>
  <c r="H25" i="4"/>
  <c r="D20" i="4"/>
  <c r="G19" i="2" s="1" a="1"/>
  <c r="G19" i="2" s="1"/>
  <c r="I18" i="4"/>
  <c r="H13" i="4"/>
  <c r="J13" i="4" s="1"/>
  <c r="D8" i="4"/>
  <c r="G8" i="2" s="1" a="1"/>
  <c r="G8" i="2" s="1"/>
  <c r="I6" i="4"/>
  <c r="D49" i="4"/>
  <c r="G50" i="2" s="1" a="1"/>
  <c r="G50" i="2" s="1"/>
  <c r="K50" i="2" s="1" a="1"/>
  <c r="K50" i="2" s="1"/>
  <c r="I47" i="4"/>
  <c r="H42" i="4"/>
  <c r="D37" i="4"/>
  <c r="G37" i="2" s="1" a="1"/>
  <c r="G37" i="2" s="1"/>
  <c r="I35" i="4"/>
  <c r="H30" i="4"/>
  <c r="D25" i="4"/>
  <c r="G24" i="2" s="1" a="1"/>
  <c r="G24" i="2" s="1"/>
  <c r="I23" i="4"/>
  <c r="H18" i="4"/>
  <c r="J18" i="4" s="1"/>
  <c r="D13" i="4"/>
  <c r="G13" i="2" s="1" a="1"/>
  <c r="G13" i="2" s="1"/>
  <c r="I11" i="4"/>
  <c r="H6" i="4"/>
  <c r="J6" i="4" s="1"/>
  <c r="I52" i="4"/>
  <c r="H47" i="4"/>
  <c r="D42" i="4"/>
  <c r="G43" i="2" s="1" a="1"/>
  <c r="G43" i="2" s="1"/>
  <c r="I40" i="4"/>
  <c r="H35" i="4"/>
  <c r="D30" i="4"/>
  <c r="G30" i="2" s="1" a="1"/>
  <c r="G30" i="2" s="1"/>
  <c r="I28" i="4"/>
  <c r="H23" i="4"/>
  <c r="J23" i="4" s="1"/>
  <c r="D18" i="4"/>
  <c r="G17" i="2" s="1" a="1"/>
  <c r="G17" i="2" s="1"/>
  <c r="I16" i="4"/>
  <c r="H11" i="4"/>
  <c r="J11" i="4" s="1"/>
  <c r="D6" i="4"/>
  <c r="G6" i="2" s="1" a="1"/>
  <c r="G6" i="2" s="1"/>
  <c r="K6" i="2" s="1" a="1"/>
  <c r="K6" i="2" s="1"/>
  <c r="I4" i="4"/>
  <c r="M41" i="2" a="1"/>
  <c r="M41" i="2" s="1"/>
  <c r="M26" i="2" a="1"/>
  <c r="M26" i="2" s="1"/>
  <c r="F10" i="2" a="1"/>
  <c r="F10" i="2" s="1"/>
  <c r="F9" i="2" a="1"/>
  <c r="F9" i="2" s="1"/>
  <c r="F5" i="2" a="1"/>
  <c r="F5" i="2" s="1"/>
  <c r="F7" i="2" a="1"/>
  <c r="F7" i="2" s="1"/>
  <c r="F16" i="2" a="1"/>
  <c r="F16" i="2" s="1"/>
  <c r="F17" i="2" a="1"/>
  <c r="F17" i="2" s="1"/>
  <c r="I11" i="2"/>
  <c r="J11" i="2" a="1"/>
  <c r="J11" i="2" s="1"/>
  <c r="L11" i="2" s="1"/>
  <c r="F43" i="2" a="1"/>
  <c r="F43" i="2" s="1"/>
  <c r="F53" i="2" a="1"/>
  <c r="F53" i="2" s="1"/>
  <c r="F31" i="2" a="1"/>
  <c r="F31" i="2" s="1"/>
  <c r="F35" i="2" a="1"/>
  <c r="F35" i="2" s="1"/>
  <c r="F32" i="2" a="1"/>
  <c r="F32" i="2" s="1"/>
  <c r="F29" i="2" a="1"/>
  <c r="F29" i="2" s="1"/>
  <c r="F55" i="2" a="1"/>
  <c r="F55" i="2" s="1"/>
  <c r="K55" i="2" s="1" a="1"/>
  <c r="K55" i="2" s="1"/>
  <c r="F48" i="2" a="1"/>
  <c r="F48" i="2" s="1"/>
  <c r="F15" i="2" a="1"/>
  <c r="F15" i="2" s="1"/>
  <c r="F24" i="2" a="1"/>
  <c r="F24" i="2" s="1"/>
  <c r="F40" i="2" a="1"/>
  <c r="F40" i="2" s="1"/>
  <c r="AF5" i="3"/>
  <c r="D5" i="3"/>
  <c r="F4" i="2" a="1"/>
  <c r="F4" i="2" s="1"/>
  <c r="AE14" i="3"/>
  <c r="AF14" i="3" s="1"/>
  <c r="F26" i="2" a="1"/>
  <c r="F26" i="2" s="1"/>
  <c r="F18" i="2" a="1"/>
  <c r="F18" i="2" s="1"/>
  <c r="F27" i="2" a="1"/>
  <c r="F27" i="2" s="1"/>
  <c r="F52" i="2" a="1"/>
  <c r="F52" i="2" s="1"/>
  <c r="F14" i="2" a="1"/>
  <c r="F14" i="2" s="1"/>
  <c r="J16" i="2" a="1"/>
  <c r="J16" i="2" s="1"/>
  <c r="L16" i="2" s="1"/>
  <c r="AE16" i="2"/>
  <c r="E16" i="2" s="1"/>
  <c r="I16" i="2"/>
  <c r="F20" i="2" a="1"/>
  <c r="F20" i="2" s="1"/>
  <c r="J29" i="2" a="1"/>
  <c r="J29" i="2" s="1"/>
  <c r="L29" i="2" s="1"/>
  <c r="I29" i="2"/>
  <c r="I45" i="2"/>
  <c r="J45" i="2" a="1"/>
  <c r="J45" i="2" s="1"/>
  <c r="L45" i="2" s="1"/>
  <c r="F39" i="2" a="1"/>
  <c r="F39" i="2" s="1"/>
  <c r="F30" i="2" a="1"/>
  <c r="F30" i="2" s="1"/>
  <c r="F36" i="2" a="1"/>
  <c r="F36" i="2" s="1"/>
  <c r="F54" i="2" a="1"/>
  <c r="F54" i="2" s="1"/>
  <c r="F3" i="2" a="1"/>
  <c r="F3" i="2" s="1"/>
  <c r="F44" i="2" a="1"/>
  <c r="F44" i="2" s="1"/>
  <c r="J51" i="2" a="1"/>
  <c r="J51" i="2" s="1"/>
  <c r="L51" i="2" s="1"/>
  <c r="F49" i="2" a="1"/>
  <c r="F49" i="2" s="1"/>
  <c r="U13" i="3"/>
  <c r="V13" i="3" s="1"/>
  <c r="W13" i="3" s="1"/>
  <c r="G13" i="3" s="1"/>
  <c r="U12" i="3"/>
  <c r="V12" i="3" s="1"/>
  <c r="W12" i="3" s="1"/>
  <c r="G12" i="3" s="1"/>
  <c r="U11" i="3"/>
  <c r="V11" i="3" s="1"/>
  <c r="W11" i="3" s="1"/>
  <c r="G11" i="3" s="1"/>
  <c r="U5" i="3"/>
  <c r="I14" i="2"/>
  <c r="J14" i="2" a="1"/>
  <c r="J14" i="2" s="1"/>
  <c r="L14" i="2" s="1"/>
  <c r="F21" i="2" a="1"/>
  <c r="F21" i="2" s="1"/>
  <c r="F47" i="2" a="1"/>
  <c r="F47" i="2" s="1"/>
  <c r="F12" i="2" a="1"/>
  <c r="F12" i="2" s="1"/>
  <c r="AE14" i="2"/>
  <c r="E14" i="2" s="1"/>
  <c r="F8" i="2" a="1"/>
  <c r="F8" i="2" s="1"/>
  <c r="F28" i="2" a="1"/>
  <c r="F28" i="2" s="1"/>
  <c r="F25" i="2" a="1"/>
  <c r="F25" i="2" s="1"/>
  <c r="J3" i="2" a="1"/>
  <c r="J3" i="2" s="1"/>
  <c r="L3" i="2" s="1"/>
  <c r="F3" i="3"/>
  <c r="L3" i="3"/>
  <c r="L14" i="3" s="1"/>
  <c r="K14" i="3"/>
  <c r="J43" i="2" a="1"/>
  <c r="J43" i="2" s="1"/>
  <c r="L43" i="2" s="1"/>
  <c r="I43" i="2"/>
  <c r="J44" i="2" a="1"/>
  <c r="J44" i="2" s="1"/>
  <c r="L44" i="2" s="1"/>
  <c r="I44" i="2"/>
  <c r="F37" i="2" a="1"/>
  <c r="F37" i="2" s="1"/>
  <c r="F45" i="2" a="1"/>
  <c r="F45" i="2" s="1"/>
  <c r="F34" i="2" a="1"/>
  <c r="F34" i="2" s="1"/>
  <c r="F51" i="2" a="1"/>
  <c r="F51" i="2" s="1"/>
  <c r="K42" i="2" l="1" a="1"/>
  <c r="K42" i="2" s="1"/>
  <c r="K13" i="2" a="1"/>
  <c r="K13" i="2" s="1"/>
  <c r="U8" i="3"/>
  <c r="V8" i="3" s="1"/>
  <c r="W8" i="3" s="1"/>
  <c r="G8" i="3" s="1"/>
  <c r="U3" i="3"/>
  <c r="V3" i="3" s="1"/>
  <c r="W3" i="3" s="1"/>
  <c r="G3" i="3" s="1"/>
  <c r="K12" i="2" s="1" a="1"/>
  <c r="K12" i="2" s="1"/>
  <c r="U9" i="3"/>
  <c r="V9" i="3" s="1"/>
  <c r="W9" i="3" s="1"/>
  <c r="G9" i="3" s="1"/>
  <c r="K43" i="2" s="1" a="1"/>
  <c r="K43" i="2" s="1"/>
  <c r="J10" i="4"/>
  <c r="J5" i="4"/>
  <c r="J53" i="4"/>
  <c r="J45" i="4"/>
  <c r="K45" i="4" s="1"/>
  <c r="M45" i="4" s="1"/>
  <c r="M46" i="2" s="1" a="1"/>
  <c r="M46" i="2" s="1"/>
  <c r="U4" i="3"/>
  <c r="V4" i="3" s="1"/>
  <c r="W4" i="3" s="1"/>
  <c r="G4" i="3" s="1"/>
  <c r="U10" i="3"/>
  <c r="V10" i="3" s="1"/>
  <c r="W10" i="3" s="1"/>
  <c r="G10" i="3" s="1"/>
  <c r="J32" i="4"/>
  <c r="K32" i="4" s="1"/>
  <c r="M32" i="4" s="1"/>
  <c r="M32" i="2" s="1" a="1"/>
  <c r="M32" i="2" s="1"/>
  <c r="N41" i="2"/>
  <c r="U6" i="3"/>
  <c r="V6" i="3" s="1"/>
  <c r="W6" i="3" s="1"/>
  <c r="G6" i="3" s="1"/>
  <c r="N55" i="2"/>
  <c r="U7" i="3"/>
  <c r="V7" i="3" s="1"/>
  <c r="W7" i="3" s="1"/>
  <c r="G7" i="3" s="1"/>
  <c r="K32" i="2" s="1" a="1"/>
  <c r="K32" i="2" s="1"/>
  <c r="J9" i="4"/>
  <c r="J34" i="4"/>
  <c r="J29" i="4"/>
  <c r="K29" i="4" s="1"/>
  <c r="M29" i="4" s="1"/>
  <c r="M29" i="2" s="1" a="1"/>
  <c r="M29" i="2" s="1"/>
  <c r="V5" i="3"/>
  <c r="J15" i="4"/>
  <c r="K5" i="2" a="1"/>
  <c r="K5" i="2" s="1"/>
  <c r="K54" i="2" a="1"/>
  <c r="K54" i="2" s="1"/>
  <c r="J36" i="4"/>
  <c r="J31" i="4"/>
  <c r="J26" i="4"/>
  <c r="J21" i="4"/>
  <c r="K11" i="2" a="1"/>
  <c r="K11" i="2" s="1"/>
  <c r="K37" i="2" a="1"/>
  <c r="K37" i="2" s="1"/>
  <c r="K27" i="2" a="1"/>
  <c r="K27" i="2" s="1"/>
  <c r="K10" i="4"/>
  <c r="M10" i="4" s="1"/>
  <c r="M10" i="2" s="1" a="1"/>
  <c r="M10" i="2" s="1"/>
  <c r="K49" i="2" a="1"/>
  <c r="K49" i="2" s="1"/>
  <c r="J16" i="4"/>
  <c r="E5" i="3"/>
  <c r="D14" i="3"/>
  <c r="F14" i="3" s="1"/>
  <c r="J47" i="4"/>
  <c r="J42" i="4"/>
  <c r="J37" i="4"/>
  <c r="K21" i="2" a="1"/>
  <c r="K21" i="2" s="1"/>
  <c r="K5" i="4"/>
  <c r="M5" i="4" s="1"/>
  <c r="M5" i="2" s="1" a="1"/>
  <c r="M5" i="2" s="1"/>
  <c r="K53" i="4"/>
  <c r="M53" i="4" s="1"/>
  <c r="M54" i="2" s="1" a="1"/>
  <c r="M54" i="2" s="1"/>
  <c r="K44" i="2" a="1"/>
  <c r="K44" i="2" s="1"/>
  <c r="K38" i="2" a="1"/>
  <c r="K38" i="2" s="1"/>
  <c r="K28" i="2" a="1"/>
  <c r="K28" i="2" s="1"/>
  <c r="J12" i="2" a="1"/>
  <c r="J12" i="2" s="1"/>
  <c r="L12" i="2" s="1"/>
  <c r="J27" i="4"/>
  <c r="K26" i="2" a="1"/>
  <c r="K26" i="2" s="1"/>
  <c r="N26" i="2" s="1"/>
  <c r="K48" i="4"/>
  <c r="M48" i="4" s="1"/>
  <c r="M49" i="2" s="1" a="1"/>
  <c r="M49" i="2" s="1"/>
  <c r="K43" i="4"/>
  <c r="M43" i="4" s="1"/>
  <c r="M44" i="2" s="1" a="1"/>
  <c r="M44" i="2" s="1"/>
  <c r="K38" i="4"/>
  <c r="M38" i="4" s="1"/>
  <c r="M38" i="2" s="1" a="1"/>
  <c r="M38" i="2" s="1"/>
  <c r="K33" i="4"/>
  <c r="M33" i="4" s="1"/>
  <c r="M33" i="2" s="1" a="1"/>
  <c r="M33" i="2" s="1"/>
  <c r="N33" i="2" s="1"/>
  <c r="K45" i="2" a="1"/>
  <c r="K45" i="2" s="1"/>
  <c r="K39" i="2" a="1"/>
  <c r="K39" i="2" s="1"/>
  <c r="J22" i="4"/>
  <c r="J28" i="4"/>
  <c r="K11" i="4"/>
  <c r="M11" i="4" s="1"/>
  <c r="M11" i="2" s="1" a="1"/>
  <c r="M11" i="2" s="1"/>
  <c r="K6" i="4"/>
  <c r="M6" i="4" s="1"/>
  <c r="M6" i="2" s="1" a="1"/>
  <c r="M6" i="2" s="1"/>
  <c r="N6" i="2" s="1"/>
  <c r="J49" i="4"/>
  <c r="J44" i="4"/>
  <c r="K34" i="2" a="1"/>
  <c r="K34" i="2" s="1"/>
  <c r="J17" i="4"/>
  <c r="K7" i="2" a="1"/>
  <c r="K7" i="2" s="1"/>
  <c r="K51" i="2" a="1"/>
  <c r="K51" i="2" s="1"/>
  <c r="K46" i="2" a="1"/>
  <c r="K46" i="2" s="1"/>
  <c r="K40" i="2" a="1"/>
  <c r="K40" i="2" s="1"/>
  <c r="K39" i="4"/>
  <c r="M39" i="4" s="1"/>
  <c r="M39" i="2" s="1" a="1"/>
  <c r="M39" i="2" s="1"/>
  <c r="K29" i="2" a="1"/>
  <c r="K29" i="2" s="1"/>
  <c r="J12" i="4"/>
  <c r="J7" i="4"/>
  <c r="K50" i="4"/>
  <c r="M50" i="4" s="1"/>
  <c r="M51" i="2" s="1" a="1"/>
  <c r="M51" i="2" s="1"/>
  <c r="K35" i="2" a="1"/>
  <c r="K35" i="2" s="1"/>
  <c r="K17" i="2" a="1"/>
  <c r="K17" i="2" s="1"/>
  <c r="K8" i="2" a="1"/>
  <c r="K8" i="2" s="1"/>
  <c r="K3" i="2" a="1"/>
  <c r="K3" i="2" s="1"/>
  <c r="K52" i="2" a="1"/>
  <c r="K52" i="2" s="1"/>
  <c r="K34" i="4"/>
  <c r="M34" i="4" s="1"/>
  <c r="M34" i="2" s="1" a="1"/>
  <c r="M34" i="2" s="1"/>
  <c r="J40" i="4"/>
  <c r="K23" i="4"/>
  <c r="M23" i="4" s="1"/>
  <c r="K18" i="4"/>
  <c r="M18" i="4" s="1"/>
  <c r="M17" i="2" s="1" a="1"/>
  <c r="M17" i="2" s="1"/>
  <c r="K13" i="4"/>
  <c r="M13" i="4" s="1"/>
  <c r="M13" i="2" s="1" a="1"/>
  <c r="M13" i="2" s="1"/>
  <c r="N13" i="2" s="1"/>
  <c r="J8" i="4"/>
  <c r="K47" i="2" a="1"/>
  <c r="K47" i="2" s="1"/>
  <c r="K18" i="2" a="1"/>
  <c r="K18" i="2" s="1"/>
  <c r="K14" i="2" a="1"/>
  <c r="K14" i="2" s="1"/>
  <c r="K9" i="2" a="1"/>
  <c r="K9" i="2" s="1"/>
  <c r="K4" i="2" a="1"/>
  <c r="K4" i="2" s="1"/>
  <c r="K53" i="2" a="1"/>
  <c r="K53" i="2" s="1"/>
  <c r="K3" i="4"/>
  <c r="M3" i="4" s="1"/>
  <c r="M3" i="2" s="1" a="1"/>
  <c r="M3" i="2" s="1"/>
  <c r="K51" i="4"/>
  <c r="M51" i="4" s="1"/>
  <c r="M52" i="2" s="1" a="1"/>
  <c r="M52" i="2" s="1"/>
  <c r="K24" i="4"/>
  <c r="M24" i="4" s="1"/>
  <c r="M23" i="2" s="1" a="1"/>
  <c r="M23" i="2" s="1"/>
  <c r="N23" i="2" s="1"/>
  <c r="K19" i="4"/>
  <c r="M19" i="4" s="1"/>
  <c r="M18" i="2" s="1" a="1"/>
  <c r="M18" i="2" s="1"/>
  <c r="K14" i="4"/>
  <c r="M14" i="4" s="1"/>
  <c r="M14" i="2" s="1" a="1"/>
  <c r="M14" i="2" s="1"/>
  <c r="K9" i="4"/>
  <c r="M9" i="4" s="1"/>
  <c r="M9" i="2" s="1" a="1"/>
  <c r="M9" i="2" s="1"/>
  <c r="K48" i="2" a="1"/>
  <c r="K48" i="2" s="1"/>
  <c r="K30" i="2" a="1"/>
  <c r="K30" i="2" s="1"/>
  <c r="K24" i="2" a="1"/>
  <c r="K24" i="2" s="1"/>
  <c r="K19" i="2" a="1"/>
  <c r="K19" i="2" s="1"/>
  <c r="K15" i="2" a="1"/>
  <c r="K15" i="2" s="1"/>
  <c r="K46" i="4"/>
  <c r="M46" i="4" s="1"/>
  <c r="M47" i="2" s="1" a="1"/>
  <c r="M47" i="2" s="1"/>
  <c r="K36" i="2" a="1"/>
  <c r="K36" i="2" s="1"/>
  <c r="J4" i="4"/>
  <c r="J52" i="4"/>
  <c r="J35" i="4"/>
  <c r="J30" i="4"/>
  <c r="J25" i="4"/>
  <c r="J20" i="4"/>
  <c r="K10" i="2" a="1"/>
  <c r="K10" i="2" s="1"/>
  <c r="J41" i="4"/>
  <c r="K31" i="2" a="1"/>
  <c r="K31" i="2" s="1"/>
  <c r="K25" i="2" a="1"/>
  <c r="K25" i="2" s="1"/>
  <c r="K20" i="2" a="1"/>
  <c r="K20" i="2" s="1"/>
  <c r="K16" i="2" a="1"/>
  <c r="K16" i="2" s="1"/>
  <c r="U14" i="3" l="1"/>
  <c r="N18" i="2"/>
  <c r="K44" i="4"/>
  <c r="M44" i="4" s="1"/>
  <c r="M45" i="2" s="1" a="1"/>
  <c r="M45" i="2" s="1"/>
  <c r="N45" i="2" s="1"/>
  <c r="K7" i="4"/>
  <c r="M7" i="4" s="1"/>
  <c r="M7" i="2" s="1" a="1"/>
  <c r="M7" i="2" s="1"/>
  <c r="N7" i="2" s="1"/>
  <c r="K49" i="4"/>
  <c r="M49" i="4" s="1"/>
  <c r="M50" i="2" s="1" a="1"/>
  <c r="M50" i="2" s="1"/>
  <c r="N50" i="2" s="1"/>
  <c r="K37" i="4"/>
  <c r="M37" i="4" s="1"/>
  <c r="M37" i="2" s="1" a="1"/>
  <c r="M37" i="2" s="1"/>
  <c r="N37" i="2" s="1"/>
  <c r="K12" i="4"/>
  <c r="M12" i="4" s="1"/>
  <c r="M12" i="2" s="1" a="1"/>
  <c r="M12" i="2" s="1"/>
  <c r="N12" i="2" s="1"/>
  <c r="K42" i="4"/>
  <c r="M42" i="4" s="1"/>
  <c r="M43" i="2" s="1" a="1"/>
  <c r="M43" i="2" s="1"/>
  <c r="N43" i="2" s="1"/>
  <c r="N11" i="2"/>
  <c r="K41" i="4"/>
  <c r="M41" i="4" s="1"/>
  <c r="M42" i="2" s="1" a="1"/>
  <c r="M42" i="2" s="1"/>
  <c r="N42" i="2" s="1"/>
  <c r="N52" i="2"/>
  <c r="N29" i="2"/>
  <c r="K47" i="4"/>
  <c r="M47" i="4" s="1"/>
  <c r="M48" i="2" s="1" a="1"/>
  <c r="M48" i="2" s="1"/>
  <c r="N48" i="2" s="1"/>
  <c r="K21" i="4"/>
  <c r="M21" i="4" s="1"/>
  <c r="M20" i="2" s="1" a="1"/>
  <c r="M20" i="2" s="1"/>
  <c r="N20" i="2" s="1"/>
  <c r="N9" i="2"/>
  <c r="N47" i="2"/>
  <c r="N10" i="2"/>
  <c r="K8" i="4"/>
  <c r="M8" i="4" s="1"/>
  <c r="M8" i="2" s="1" a="1"/>
  <c r="M8" i="2" s="1"/>
  <c r="N8" i="2" s="1"/>
  <c r="N3" i="2"/>
  <c r="N38" i="2"/>
  <c r="K26" i="4"/>
  <c r="M26" i="4" s="1"/>
  <c r="M25" i="2" s="1" a="1"/>
  <c r="M25" i="2" s="1"/>
  <c r="N25" i="2" s="1"/>
  <c r="N44" i="2"/>
  <c r="F5" i="3"/>
  <c r="E14" i="3"/>
  <c r="K31" i="4"/>
  <c r="M31" i="4" s="1"/>
  <c r="M31" i="2" s="1" a="1"/>
  <c r="M31" i="2" s="1"/>
  <c r="N31" i="2" s="1"/>
  <c r="K25" i="4"/>
  <c r="M25" i="4" s="1"/>
  <c r="M24" i="2" s="1" a="1"/>
  <c r="M24" i="2" s="1"/>
  <c r="N24" i="2" s="1"/>
  <c r="K28" i="4"/>
  <c r="M28" i="4" s="1"/>
  <c r="M28" i="2" s="1" a="1"/>
  <c r="M28" i="2" s="1"/>
  <c r="N28" i="2" s="1"/>
  <c r="K16" i="4"/>
  <c r="M16" i="4" s="1"/>
  <c r="M16" i="2" s="1" a="1"/>
  <c r="M16" i="2" s="1"/>
  <c r="N16" i="2" s="1"/>
  <c r="K36" i="4"/>
  <c r="M36" i="4" s="1"/>
  <c r="M36" i="2" s="1" a="1"/>
  <c r="M36" i="2" s="1"/>
  <c r="N36" i="2" s="1"/>
  <c r="N49" i="2"/>
  <c r="N54" i="2"/>
  <c r="K20" i="4"/>
  <c r="M20" i="4" s="1"/>
  <c r="M19" i="2" s="1" a="1"/>
  <c r="M19" i="2" s="1"/>
  <c r="N19" i="2" s="1"/>
  <c r="N5" i="2"/>
  <c r="N17" i="2"/>
  <c r="N46" i="2"/>
  <c r="K35" i="4"/>
  <c r="M35" i="4" s="1"/>
  <c r="M35" i="2" s="1" a="1"/>
  <c r="M35" i="2" s="1"/>
  <c r="N35" i="2" s="1"/>
  <c r="N51" i="2"/>
  <c r="K22" i="4"/>
  <c r="M22" i="4" s="1"/>
  <c r="M21" i="2" s="1" a="1"/>
  <c r="M21" i="2" s="1"/>
  <c r="N21" i="2" s="1"/>
  <c r="K52" i="4"/>
  <c r="M52" i="4" s="1"/>
  <c r="M53" i="2" s="1" a="1"/>
  <c r="M53" i="2" s="1"/>
  <c r="N53" i="2" s="1"/>
  <c r="N39" i="2"/>
  <c r="K15" i="4"/>
  <c r="M15" i="4" s="1"/>
  <c r="M15" i="2" s="1" a="1"/>
  <c r="M15" i="2" s="1"/>
  <c r="N15" i="2" s="1"/>
  <c r="K17" i="4"/>
  <c r="M17" i="4" s="1"/>
  <c r="N14" i="2"/>
  <c r="K40" i="4"/>
  <c r="M40" i="4" s="1"/>
  <c r="M40" i="2" s="1" a="1"/>
  <c r="M40" i="2" s="1"/>
  <c r="N40" i="2" s="1"/>
  <c r="N34" i="2"/>
  <c r="K27" i="4"/>
  <c r="M27" i="4" s="1"/>
  <c r="M27" i="2" s="1" a="1"/>
  <c r="M27" i="2" s="1"/>
  <c r="N27" i="2" s="1"/>
  <c r="N32" i="2"/>
  <c r="K30" i="4"/>
  <c r="M30" i="4" s="1"/>
  <c r="M30" i="2" s="1" a="1"/>
  <c r="M30" i="2" s="1"/>
  <c r="N30" i="2" s="1"/>
  <c r="K4" i="4"/>
  <c r="M4" i="4" s="1"/>
  <c r="M4" i="2" s="1" a="1"/>
  <c r="M4" i="2" s="1"/>
  <c r="N4" i="2" s="1"/>
  <c r="W5" i="3" l="1"/>
  <c r="G5" i="3" s="1"/>
  <c r="J22" i="2" a="1"/>
  <c r="J22" i="2" s="1"/>
  <c r="L22" i="2" s="1"/>
  <c r="M22" i="2" s="1" a="1"/>
  <c r="M22" i="2" s="1"/>
  <c r="K22" i="2" l="1" a="1"/>
  <c r="K22" i="2" s="1"/>
  <c r="N22" i="2" s="1"/>
  <c r="G14" i="3"/>
</calcChain>
</file>

<file path=xl/sharedStrings.xml><?xml version="1.0" encoding="utf-8"?>
<sst xmlns="http://schemas.openxmlformats.org/spreadsheetml/2006/main" count="714" uniqueCount="215">
  <si>
    <t>Dữ liệu cập nhật đến ngày</t>
  </si>
  <si>
    <t>Nhà thuốc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</si>
  <si>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</si>
  <si>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</si>
  <si>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</si>
  <si>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</si>
  <si>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</si>
  <si>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</si>
  <si>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</si>
  <si>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Nhân viên</t>
  </si>
  <si>
    <t>Chức danh</t>
  </si>
  <si>
    <t>CK + Combo + NY3/ngày</t>
  </si>
  <si>
    <t>Trường Sa</t>
  </si>
  <si>
    <t>NY3</t>
  </si>
  <si>
    <t>Chiết khấu</t>
  </si>
  <si>
    <t>Combo Liều</t>
  </si>
  <si>
    <t>Chiết khấu/ngày</t>
  </si>
  <si>
    <t>Hồ Thị Minh Hòa</t>
  </si>
  <si>
    <t>Combo Liều/ngày</t>
  </si>
  <si>
    <t>Thưởng dự án</t>
  </si>
  <si>
    <t>Thưởng thêm</t>
  </si>
  <si>
    <t>Thưởng dự án Hot Bill HN</t>
  </si>
  <si>
    <t>Total dự án</t>
  </si>
  <si>
    <t>Hàng Bông</t>
  </si>
  <si>
    <t>Đinh Thị Lan Anh</t>
  </si>
  <si>
    <t>Medigo</t>
  </si>
  <si>
    <t>CHT</t>
  </si>
  <si>
    <t>Ngô Trần Tuyết Vy</t>
  </si>
  <si>
    <t>Nguyễn Ngọc Anh Thư</t>
  </si>
  <si>
    <t>Nguyễn Trần Ngọc Phương</t>
  </si>
  <si>
    <t>Mức hoành thành KPI doanh thu/ngày</t>
  </si>
  <si>
    <t>Phạm Nguyễn Ngọc Quý</t>
  </si>
  <si>
    <t>KPI trung bình bill</t>
  </si>
  <si>
    <t>Trung bình bill</t>
  </si>
  <si>
    <t>KPI doanh thu CK+Combo+NY3/ngày</t>
  </si>
  <si>
    <t>KPI Doanh thu/ngày (100%)</t>
  </si>
  <si>
    <t>Doanh thu thực/ngày</t>
  </si>
  <si>
    <t>% Hoàn thành KPI</t>
  </si>
  <si>
    <t>Thưởng KPI</t>
  </si>
  <si>
    <t>Trần Thị Kim Khánh</t>
  </si>
  <si>
    <t>Cửa hàng trưởng</t>
  </si>
  <si>
    <t>Hệ số * Dự án</t>
  </si>
  <si>
    <t>Thưởng Dự án</t>
  </si>
  <si>
    <t>Thưởng Dự án + KPI + HH</t>
  </si>
  <si>
    <t>KPI doanh thu (tháng)</t>
  </si>
  <si>
    <t>Doanh thu thực tế (tháng)</t>
  </si>
  <si>
    <t>Doanh thu thực tế (ngày)</t>
  </si>
  <si>
    <t>KPIs Doanh thu/ngày</t>
  </si>
  <si>
    <t>Trịnh Thị Phượng</t>
  </si>
  <si>
    <t>Tỷ lệ đạt KPIs</t>
  </si>
  <si>
    <t>KPIs Doanh thu/tháng</t>
  </si>
  <si>
    <t>Thưởng CHT</t>
  </si>
  <si>
    <t>KPIs mức 1</t>
  </si>
  <si>
    <t>KPIs hàng điểm mức 1</t>
  </si>
  <si>
    <t>KPIs mức 1/tháng</t>
  </si>
  <si>
    <t>KPIs mức 1/ngày</t>
  </si>
  <si>
    <t>KPIs mức 2</t>
  </si>
  <si>
    <t>Vũ Thanh Hằng</t>
  </si>
  <si>
    <t>BC</t>
  </si>
  <si>
    <t>Trung bình bill off</t>
  </si>
  <si>
    <t>Trung bình bill onl</t>
  </si>
  <si>
    <t>Trung bình Bill</t>
  </si>
  <si>
    <t>Nguyễn Mạnh Tuấn</t>
  </si>
  <si>
    <t>KPIs hàng điểm mức 2</t>
  </si>
  <si>
    <t>KPIs mức 2/tháng</t>
  </si>
  <si>
    <t>KPIs mức 2/ngày</t>
  </si>
  <si>
    <t>KPIs mức 3</t>
  </si>
  <si>
    <t>KPIs hàng điểm mức 3</t>
  </si>
  <si>
    <t>KPIs mức 3/tháng</t>
  </si>
  <si>
    <t>KPIs mức 3/ngày</t>
  </si>
  <si>
    <t>Đỗ Quang Đẩu</t>
  </si>
  <si>
    <t>Hoàng Lâm Gia Bảo</t>
  </si>
  <si>
    <t>Doanh thu hàng điểm</t>
  </si>
  <si>
    <t>Hàng điểm/ Doanh thu tổng</t>
  </si>
  <si>
    <t>Xét Đạt KPI</t>
  </si>
  <si>
    <t>Tbbill off</t>
  </si>
  <si>
    <t>Hoàng Thanh Thủy</t>
  </si>
  <si>
    <t>Lê Thị Huyền Trân</t>
  </si>
  <si>
    <t>Tbbill onl</t>
  </si>
  <si>
    <t>Ngô Thị Thanh Thắm</t>
  </si>
  <si>
    <t>Phạm Thị Nghĩa Hương</t>
  </si>
  <si>
    <t>Trần Thiên Phát</t>
  </si>
  <si>
    <t>Đinh Thị Khánh Ly</t>
  </si>
  <si>
    <t>Đường Láng</t>
  </si>
  <si>
    <t>Hứa Thị Kim Thoa</t>
  </si>
  <si>
    <t>Lê Bình</t>
  </si>
  <si>
    <t>Đinh Hoài Bảo</t>
  </si>
  <si>
    <t>Lê Thị Soạn</t>
  </si>
  <si>
    <t>Lê Thị Xuyến</t>
  </si>
  <si>
    <t>Nguyễn Thị Tâm</t>
  </si>
  <si>
    <t>Nguyễn Thị Huyền Trang</t>
  </si>
  <si>
    <t>Minh Châu</t>
  </si>
  <si>
    <t>Đoàn Quốc Tâm</t>
  </si>
  <si>
    <t>Nguyễn Thị Mai Duyên</t>
  </si>
  <si>
    <t>Nguyễn Ngọc Thùy</t>
  </si>
  <si>
    <t>Phan Công Vũ Tài</t>
  </si>
  <si>
    <t>Trần Ngọc Dung</t>
  </si>
  <si>
    <t>Thái Thùy Linh</t>
  </si>
  <si>
    <t>Nam Hòa</t>
  </si>
  <si>
    <t>Bùi Thị Thanh Thủy</t>
  </si>
  <si>
    <t>Đỗ Thị Kim Tiến</t>
  </si>
  <si>
    <t>Dương Thị Huỳnh Như</t>
  </si>
  <si>
    <t>Nguyễn Trí Nghĩa</t>
  </si>
  <si>
    <t>Thanh Thảo</t>
  </si>
  <si>
    <t>Trần Thị Ánh Nguyệt</t>
  </si>
  <si>
    <t>DSXC</t>
  </si>
  <si>
    <t>Nguyễn Chí Thanh</t>
  </si>
  <si>
    <t>Đỗ Thị Phương Thảo</t>
  </si>
  <si>
    <t>Lê Thị Quỳnh Trâm</t>
  </si>
  <si>
    <t>Vũ Ngọc Thanh Thảo</t>
  </si>
  <si>
    <t>Nguyễn Thị Hồng Hạnh</t>
  </si>
  <si>
    <t>Trần Hoàng Khánh</t>
  </si>
  <si>
    <t>Nguyễn Thị Thập</t>
  </si>
  <si>
    <t>Cao Trọng Nhân</t>
  </si>
  <si>
    <t>Cù Thị Tường Vy</t>
  </si>
  <si>
    <t>Triệu Thị Ngọc Lý</t>
  </si>
  <si>
    <t>DSTV</t>
  </si>
  <si>
    <t>Võ Ngọc Giàu Sang</t>
  </si>
  <si>
    <t>Nguyễn Văn Quá</t>
  </si>
  <si>
    <t>Trần Thành Đạt</t>
  </si>
  <si>
    <t>DSCD</t>
  </si>
  <si>
    <t>Hồ Ngọc Lý</t>
  </si>
  <si>
    <t>Nguyễn Thị Hương Giang</t>
  </si>
  <si>
    <t>Nguyễn Thị Thu Huyền</t>
  </si>
  <si>
    <t>Rạch Bùng Binh</t>
  </si>
  <si>
    <t>Lý Thục Mi</t>
  </si>
  <si>
    <t>Huỳnh Thị Huệ Hiền</t>
  </si>
  <si>
    <t>Ngô Thị Ngọc Thủy</t>
  </si>
  <si>
    <t>Nguyễn Thị Phúc Lộc</t>
  </si>
  <si>
    <t>Phạm Nguyễn Ngọc Quyền Trân</t>
  </si>
  <si>
    <t>Q.CHT</t>
  </si>
  <si>
    <t>DSCD (TV)</t>
  </si>
  <si>
    <t>DSHV</t>
  </si>
  <si>
    <t>Mã hóa đơn</t>
  </si>
  <si>
    <t>Thời gian</t>
  </si>
  <si>
    <t>Chi nhánh</t>
  </si>
  <si>
    <t>Tên Dược Sĩ</t>
  </si>
  <si>
    <t>Số lượng SP CK</t>
  </si>
  <si>
    <t>Doanh thu nhóm CK+CKHN</t>
  </si>
  <si>
    <t>Tiền Thưởng (VNĐ)</t>
  </si>
  <si>
    <t>Chi tiết sản phẩm</t>
  </si>
  <si>
    <t>HD1190587</t>
  </si>
  <si>
    <t>NT Hàng Bông 247</t>
  </si>
  <si>
    <t>CK A-z multivitamin plus Q10 &amp; lutein eurho vital (h/30v)  (SL: 1, TT: 391,000đ) | CK Radis noir artichaut bio fleurance nature (h/30v)  (SL: 2, TT: 832,000đ)</t>
  </si>
  <si>
    <t>HD1190430</t>
  </si>
  <si>
    <t>CK Dermosoft decalact (h/20gr)  (SL: 2, TT: 280,000đ) | CK Arkofluides Detoxifiant Hepatiqua Arkopharma(h/20o)  (SL: 1, TT: 742,000đ)</t>
  </si>
  <si>
    <t>HD1189412.01</t>
  </si>
  <si>
    <t>CK Advance white glutathion viên uống trắng sáng da lustrel laboratoires (h/60v)  (SL: 1, TT: 1,080,000đ) | CKHN Kem dưỡng ẩm Dermaryl Bioderma (h/50gr)  (SL: 1, TT: 160,000đ)</t>
  </si>
  <si>
    <t>HD1189412</t>
  </si>
  <si>
    <t>HD1188700</t>
  </si>
  <si>
    <t>CK Ozzotin sleep expert livial (h/10v)  (SL: 2, TT: 264,000đ) | CK Probioboost confort gastrique fleurance nature (h/15v)  (SL: 1, TT: 457,600đ) | CKHN Manukan (h/16v)  (SL: 1, TT: 187,000đ) | CKHN Metazolin đức minh (h/15ml)  (SL: 2, TT: 121,000đ)</t>
  </si>
  <si>
    <t>HD1187084</t>
  </si>
  <si>
    <t>CK Probioboost confort gastrique fleurance nature (h/15v)  (SL: 1, TT: 416,000đ) | CKHN Chai xịt bạc ghimas powder spray (c/125ml)  (SL: 1, TT: 695,000đ)</t>
  </si>
  <si>
    <t>HD1186887</t>
  </si>
  <si>
    <t>HD1185947</t>
  </si>
  <si>
    <t>CK Arkofluides Detoxifiant Hepatiqua Arkopharma(h/20o) (SL: 3, TT: 2,226,000đ)</t>
  </si>
  <si>
    <t>HD1184723</t>
  </si>
  <si>
    <t>CK Azinc Vitalite arkopharma (h60v) (SL: 1, TT: 419,000đ) | CKHN Chai xịt bạc ghimas powder spray (c/125ml) (SL: 1, TT: 695,000đ)</t>
  </si>
  <si>
    <t>HD1184536</t>
  </si>
  <si>
    <t>CK Advance white glutathion viên uống trắng sáng da lustrel laboratoires (h/60v) (SL: 1, TT: 1,080,000đ)</t>
  </si>
  <si>
    <t>HD1184270</t>
  </si>
  <si>
    <t>CK Probioboost confort gastrique fleurance nature (h/15v) (SL: 2, TT: 832,000đ) | CK Bọt vệ sinh ladycare classic (h/190ml) (SL: 1, TT: 179,000đ)</t>
  </si>
  <si>
    <t>HD1184166</t>
  </si>
  <si>
    <t>CK Que thử thai nk quick test ngọc khánh (h/1q) (SL: 3, TT: 66,000đ) | CK Calcium 600 eurho vital (h/30v) (SL: 3, TT: 1,026,000đ)</t>
  </si>
  <si>
    <t>HD1183259</t>
  </si>
  <si>
    <t>CK Omega 3 viên uống bổ sung omega 3 arkopharma (h/60v) (SL: 1, TT: 377,000đ) | CK Probioboost confort gastrique fleurance nature (h/15v) (SL: 2, TT: 832,000đ)</t>
  </si>
  <si>
    <t>HD1182823</t>
  </si>
  <si>
    <t>NT Đường Láng 247</t>
  </si>
  <si>
    <t>CK Maca #2 organic femina nature's supplements (h/60v) (SL: 1, TT: 660,000đ) | CK Maca #6 old truths nature's supplements (h/60v) (SL: 1, TT: 660,000đ)</t>
  </si>
  <si>
    <t>HD1182157</t>
  </si>
  <si>
    <t>CK Maca #2 organic femina nature's supplements (h/60v) (SL: 1, TT: 660,000đ) | CK Radis noir artichaut bio fleurance nature (h/30v) (SL: 1, TT: 416,000đ)</t>
  </si>
  <si>
    <t>HD1181882</t>
  </si>
  <si>
    <t>CK Probioboost confort gastrique fleurance nature (h/15v) (SL: 1, TT: 416,000đ) | CK All in one vitality viên uống chống oxy hóa sante + (h/60v) (SL: 1, TT: 669,000đ)</t>
  </si>
  <si>
    <t>HD1179733</t>
  </si>
  <si>
    <t>CK All in one vitality viên uống chống oxy hóa sante + (h/60v) (SL: 1, TT: 669,000đ) | CK Natural cystine dr.beautin (h/30v) (SL: 2, TT: 460,000đ)</t>
  </si>
  <si>
    <t>HD1178455</t>
  </si>
  <si>
    <t>CK Nutri hair zinc viên uống giúp chống rụng tóc bremedie (h/60v) (SL: 4, TT: 2,392,000đ)</t>
  </si>
  <si>
    <t>HD1178412</t>
  </si>
  <si>
    <t>CK Nutri hair zinc viên uống giúp chống rụng tóc bremedie (h/60v) (SL: 5, TT: 2,990,000đ)</t>
  </si>
  <si>
    <t>HD1178409</t>
  </si>
  <si>
    <t>HD1178303</t>
  </si>
  <si>
    <t>CKHN Stomagel hổn dịch dạ dày biomedica (h/15g) (SL: 1, TT: 128,000đ) | CK Probioboost confort gastrique fleurance nature (h/15v) (SL: 2, TT: 832,000đ) | CK Arkofluides Detoxifiant Hepatiqua Arkopharma(h/20o) (SL: 1, TT: 742,000đ)</t>
  </si>
  <si>
    <t>HD1177499</t>
  </si>
  <si>
    <t>CK Advance white glutathion viên uống trắng sáng da lustrel laboratoires (h/60v) (SL: 1, TT: 1,080,000đ) | CK Xịt họng keo ong anphapolis (h/30ml) (SL: 1, TT: 125,000đ) | CKHN Manukan (h/16v) (SL: 2, TT: 340,000đ)</t>
  </si>
  <si>
    <t>HD1177072</t>
  </si>
  <si>
    <t>CKHN Chai xịt bạc ghimas powder spray (c/125ml) (SL: 1, TT: 695,000đ) | CKHN Vistra evening primrose oil 1000mg (h/45v) (SL: 1, TT: 450,000đ)</t>
  </si>
  <si>
    <t>HD1176145</t>
  </si>
  <si>
    <t>CKHN Manukan (h/16v) (SL: 2, TT: 340,000đ) | CK Probioboost confort gastrique fleurance nature (h/15v) (SL: 2, TT: 832,000đ)</t>
  </si>
  <si>
    <t>HD1175989</t>
  </si>
  <si>
    <t>CK Probioboost confort gastrique fleurance nature (h/15v) (SL: 1, TT: 416,000đ) | CK Cys-Control family Canneberge Arkopharma (h/20g) (SL: 1, TT: 899,000đ)</t>
  </si>
  <si>
    <t>HD1175970</t>
  </si>
  <si>
    <t>CKHN Chai xịt bạc ghimas powder spray (c/125ml) (SL: 2, TT: 1,390,000đ)</t>
  </si>
  <si>
    <t>HD1174981</t>
  </si>
  <si>
    <t>CK Radis noir artichaut bio fleurance nature (h/30v) (SL: 1, TT: 416,000đ) | CKHN Chai xịt bạc ghimas powder spray (c/125ml) (SL: 1, TT: 695,000đ)</t>
  </si>
  <si>
    <t>HD1174848</t>
  </si>
  <si>
    <t>HD1173977</t>
  </si>
  <si>
    <t>CK Radis noir artichaut bio fleurance nature (h/30v) (SL: 1, TT: 416,000đ) | CK Cys-Control family Canneberge Arkopharma (h/20g) (SL: 1, TT: 899,000đ)</t>
  </si>
  <si>
    <t>HD1168139</t>
  </si>
  <si>
    <t>CK Puissance+ viên uống tăng cường sinh lực fleurance nature (h/30v) (SL: 1, TT: 649,000đ) | CK Maca #6 old truths nature's supplements (h/60v) (SL: 1, TT: 660,000đ)</t>
  </si>
  <si>
    <t>HD1167793</t>
  </si>
  <si>
    <t>CK Calcium 600 eurho vital (h/30v) (SL: 1, TT: 325,000đ) | CK Omega 3 viên uống bổ sung omega 3 arkopharma (h/60v) (SL: 2, TT: 754,000đ) | CK All in one vitality viên uống chống oxy hóa sante + (h/60v) (SL: 2, TT: 1,178,000đ) | CK Maca #6 old truths nature's supplements (h/60v) (SL: 1, TT: 660,000đ)</t>
  </si>
  <si>
    <t>HD1167533</t>
  </si>
  <si>
    <t>CK Advance white glutathion viên uống trắng sáng da lustrel laboratoires (h/60v) (SL: 1, TT: 980,000đ) | CK Xịt họng keo ong anphapolis (h/30ml) (SL: 1, TT: 125,000đ)</t>
  </si>
  <si>
    <t>HD1166478</t>
  </si>
  <si>
    <t>CK Bách địa khang usvip (h/30v) (SL: 1, TT: 130,000đ) | CKHN Mason Natural Daily Multiple Vitamins with Minerals (h/60v) (SL: 1, TT: 620,000đ) | CKHN Manukan (h/16v) (SL: 1, TT: 160,000đ) | CK Xịt họng keo ong anphapolis (h/30ml) (SL: 1, TT: 125,000đ)</t>
  </si>
  <si>
    <t>HD1166155</t>
  </si>
  <si>
    <t>CKHN Orezul bù nước điện giải hương cam yalla (h/20g) (SL: 5, TT: 600,000đ) | CK Sodmex plus cream (h/15g) (SL: 5, TT: 635,000đ)</t>
  </si>
  <si>
    <t>HD1192937</t>
  </si>
  <si>
    <t>CKHN Gel bôi nanobac silver (h/20ml)  (SL: 1, TT: 100,000đ) | CK Omega 3 viên uống bổ sung omega 3 arkopharma (h/60v)  (SL: 1, TT: 377,000đ) | CKHN Mason Natural Daily Multiple Vitamins with Minerals (h/60v)  (SL: 1, TT: 620,000đ)</t>
  </si>
  <si>
    <t>HD1192974</t>
  </si>
  <si>
    <t>CKHN An phế healthway usa pharma (h/125ml)  (SL: 1, TT: 100,000đ) | CKHN Manukan (h/16v)  (SL: 2, TT: 340,000đ) | CKHN Mason Natural Daily Multiple Vitamins with Minerals (h/60v)  (SL: 1, TT: 620,000đ)</t>
  </si>
  <si>
    <t>DSXC (TV)</t>
  </si>
  <si>
    <t>Bùi Thị Bích Trâm</t>
  </si>
  <si>
    <t>Trần Thị Phương Thùy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</si>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</sst>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  <numFmt numFmtId="170" formatCode="yyyy\-mm\-dd\ hh:mm:ss"/>
  </numFmts>
  <fonts count="19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12"/>
      <color rgb="FFFF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1"/>
      <color rgb="FFFF0000"/>
      <name val="Times New Roman"/>
    </font>
    <font>
      <sz val="12"/>
      <color rgb="FFFF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2"/>
      <color theme="1"/>
      <name val="Times New Roman"/>
    </font>
    <font>
      <sz val="11"/>
      <color rgb="FFFF0000"/>
      <name val="Times New Roman"/>
    </font>
    <font>
      <b/>
      <sz val="12"/>
      <color rgb="FF000000"/>
      <name val="Times New Roman"/>
    </font>
    <font>
      <b/>
      <sz val="13"/>
      <color rgb="FFFF0000"/>
      <name val="Times New Roman"/>
    </font>
    <font>
      <b/>
      <sz val="10"/>
      <color theme="1"/>
      <name val="&quot;Segoe UI&quot;"/>
    </font>
    <font>
      <b/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/>
    <xf numFmtId="16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3" fontId="9" fillId="4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center" vertical="center" wrapText="1"/>
    </xf>
    <xf numFmtId="3" fontId="9" fillId="4" borderId="0" xfId="0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center"/>
    </xf>
    <xf numFmtId="0" fontId="8" fillId="6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4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9" fontId="2" fillId="3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9" fontId="2" fillId="8" borderId="0" xfId="0" applyNumberFormat="1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3" fontId="2" fillId="10" borderId="0" xfId="0" applyNumberFormat="1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3" fontId="8" fillId="6" borderId="0" xfId="0" applyNumberFormat="1" applyFont="1" applyFill="1" applyAlignment="1">
      <alignment horizontal="center"/>
    </xf>
    <xf numFmtId="3" fontId="9" fillId="0" borderId="0" xfId="0" applyNumberFormat="1" applyFont="1"/>
    <xf numFmtId="3" fontId="4" fillId="2" borderId="0" xfId="0" applyNumberFormat="1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center" vertical="center" wrapText="1"/>
    </xf>
    <xf numFmtId="0" fontId="8" fillId="0" borderId="0" xfId="0" applyFont="1"/>
    <xf numFmtId="3" fontId="8" fillId="0" borderId="0" xfId="0" applyNumberFormat="1" applyFont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0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3" fontId="9" fillId="3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/>
    </xf>
    <xf numFmtId="3" fontId="9" fillId="5" borderId="0" xfId="0" applyNumberFormat="1" applyFont="1" applyFill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/>
    <xf numFmtId="3" fontId="9" fillId="14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0" fontId="4" fillId="7" borderId="0" xfId="0" applyNumberFormat="1" applyFont="1" applyFill="1" applyAlignment="1">
      <alignment horizontal="center" vertical="center"/>
    </xf>
    <xf numFmtId="3" fontId="4" fillId="11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/>
    </xf>
    <xf numFmtId="3" fontId="4" fillId="9" borderId="0" xfId="0" applyNumberFormat="1" applyFont="1" applyFill="1" applyAlignment="1">
      <alignment horizontal="center" vertical="center"/>
    </xf>
    <xf numFmtId="3" fontId="2" fillId="12" borderId="0" xfId="0" applyNumberFormat="1" applyFont="1" applyFill="1" applyAlignment="1">
      <alignment horizontal="center" vertical="center"/>
    </xf>
    <xf numFmtId="3" fontId="4" fillId="12" borderId="0" xfId="0" applyNumberFormat="1" applyFont="1" applyFill="1" applyAlignment="1">
      <alignment horizontal="center" vertical="center"/>
    </xf>
    <xf numFmtId="3" fontId="2" fillId="13" borderId="0" xfId="0" applyNumberFormat="1" applyFont="1" applyFill="1" applyAlignment="1">
      <alignment horizontal="center" vertical="center"/>
    </xf>
    <xf numFmtId="3" fontId="4" fillId="13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10" fontId="8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10" fontId="8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9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16" fillId="0" borderId="0" xfId="0" applyFont="1"/>
    <xf numFmtId="170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7" fillId="0" borderId="0" xfId="0" applyFont="1"/>
    <xf numFmtId="170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3" fontId="9" fillId="4" borderId="0" xfId="0" applyNumberFormat="1" applyFont="1" applyFill="1"/>
    <xf numFmtId="3" fontId="18" fillId="0" borderId="0" xfId="0" applyNumberFormat="1" applyFont="1"/>
    <xf numFmtId="0" fontId="9" fillId="0" borderId="0" xfId="0" applyFont="1" applyAlignment="1">
      <alignment horizontal="center"/>
    </xf>
    <xf numFmtId="10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3" fontId="8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/>
    <xf numFmtId="3" fontId="6" fillId="2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974"/>
  <sheetViews>
    <sheetView tabSelected="1" workbookViewId="0"/>
  </sheetViews>
  <sheetFormatPr defaultColWidth="12.6640625" defaultRowHeight="15" customHeight="1"/>
  <cols>
    <col min="1" max="1" width="16.33203125" customWidth="1"/>
    <col min="2" max="2" width="23.88671875" customWidth="1"/>
    <col min="3" max="8" width="18.109375" customWidth="1"/>
    <col min="9" max="9" width="11.77734375" customWidth="1"/>
    <col min="10" max="10" width="13.109375" customWidth="1"/>
    <col min="11" max="122" width="11.77734375" customWidth="1"/>
  </cols>
  <sheetData>
    <row r="1" spans="1:128" ht="27.75" customHeight="1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/>
      <c r="J1" s="7">
        <v>46262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3"/>
      <c r="DT1" s="3"/>
      <c r="DU1" s="3"/>
      <c r="DV1" s="3"/>
      <c r="DW1" s="3"/>
      <c r="DX1" s="3"/>
    </row>
    <row r="2" spans="1:128" ht="15.75" customHeight="1">
      <c r="A2" s="13" t="s">
        <v>12</v>
      </c>
      <c r="B2" s="14" t="s">
        <v>17</v>
      </c>
      <c r="C2" s="16">
        <v>20</v>
      </c>
      <c r="D2" s="16">
        <v>1503600</v>
      </c>
      <c r="E2" s="16">
        <v>14</v>
      </c>
      <c r="F2" s="16">
        <v>2401800</v>
      </c>
      <c r="G2" s="16">
        <v>34</v>
      </c>
      <c r="H2" s="16">
        <v>3905400</v>
      </c>
      <c r="I2" s="18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</row>
    <row r="3" spans="1:128" ht="15.75" customHeight="1">
      <c r="A3" s="13" t="s">
        <v>12</v>
      </c>
      <c r="B3" s="14" t="s">
        <v>25</v>
      </c>
      <c r="C3" s="16"/>
      <c r="D3" s="16"/>
      <c r="E3" s="16">
        <v>2</v>
      </c>
      <c r="F3" s="16">
        <v>773000</v>
      </c>
      <c r="G3" s="16">
        <v>2</v>
      </c>
      <c r="H3" s="16">
        <v>773000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</row>
    <row r="4" spans="1:128" ht="15.75" customHeight="1">
      <c r="A4" s="13" t="s">
        <v>12</v>
      </c>
      <c r="B4" s="14" t="s">
        <v>27</v>
      </c>
      <c r="C4" s="16">
        <v>273</v>
      </c>
      <c r="D4" s="16">
        <v>16360400</v>
      </c>
      <c r="E4" s="16">
        <v>168</v>
      </c>
      <c r="F4" s="16">
        <v>28002100</v>
      </c>
      <c r="G4" s="16">
        <v>441</v>
      </c>
      <c r="H4" s="16">
        <v>44362500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</row>
    <row r="5" spans="1:128" ht="15.75" customHeight="1">
      <c r="A5" s="13" t="s">
        <v>12</v>
      </c>
      <c r="B5" s="14" t="s">
        <v>28</v>
      </c>
      <c r="C5" s="16">
        <v>124</v>
      </c>
      <c r="D5" s="16">
        <v>7987200</v>
      </c>
      <c r="E5" s="16">
        <v>111</v>
      </c>
      <c r="F5" s="16">
        <v>14358250</v>
      </c>
      <c r="G5" s="16">
        <v>235</v>
      </c>
      <c r="H5" s="16">
        <v>22345450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</row>
    <row r="6" spans="1:128" ht="15.75" customHeight="1">
      <c r="A6" s="13" t="s">
        <v>12</v>
      </c>
      <c r="B6" s="14" t="s">
        <v>29</v>
      </c>
      <c r="C6" s="16">
        <v>359</v>
      </c>
      <c r="D6" s="16">
        <v>24147102</v>
      </c>
      <c r="E6" s="16">
        <v>222</v>
      </c>
      <c r="F6" s="16">
        <v>33293301</v>
      </c>
      <c r="G6" s="16">
        <v>581</v>
      </c>
      <c r="H6" s="16">
        <v>57440403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</row>
    <row r="7" spans="1:128" ht="15.75" customHeight="1">
      <c r="A7" s="13" t="s">
        <v>12</v>
      </c>
      <c r="B7" s="14" t="s">
        <v>31</v>
      </c>
      <c r="C7" s="16">
        <v>357</v>
      </c>
      <c r="D7" s="16">
        <v>25728300</v>
      </c>
      <c r="E7" s="16">
        <v>203</v>
      </c>
      <c r="F7" s="16">
        <v>39161850</v>
      </c>
      <c r="G7" s="16">
        <v>560</v>
      </c>
      <c r="H7" s="16">
        <v>64890150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</row>
    <row r="8" spans="1:128" ht="15.75" customHeight="1">
      <c r="A8" s="13" t="s">
        <v>12</v>
      </c>
      <c r="B8" s="14" t="s">
        <v>39</v>
      </c>
      <c r="C8" s="16">
        <v>465</v>
      </c>
      <c r="D8" s="16">
        <v>43483900</v>
      </c>
      <c r="E8" s="16">
        <v>393</v>
      </c>
      <c r="F8" s="16">
        <v>111327600</v>
      </c>
      <c r="G8" s="16">
        <v>858</v>
      </c>
      <c r="H8" s="16">
        <v>154811500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</row>
    <row r="9" spans="1:128" ht="15.75" customHeight="1">
      <c r="A9" s="13" t="s">
        <v>12</v>
      </c>
      <c r="B9" s="14" t="s">
        <v>48</v>
      </c>
      <c r="C9" s="16">
        <v>578</v>
      </c>
      <c r="D9" s="16">
        <v>52334100</v>
      </c>
      <c r="E9" s="16">
        <v>152</v>
      </c>
      <c r="F9" s="16">
        <v>21958640</v>
      </c>
      <c r="G9" s="16">
        <v>730</v>
      </c>
      <c r="H9" s="16">
        <v>74292740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</row>
    <row r="10" spans="1:128" ht="15.75" customHeight="1">
      <c r="A10" s="13" t="s">
        <v>12</v>
      </c>
      <c r="B10" s="52"/>
      <c r="C10" s="13"/>
      <c r="D10" s="13"/>
      <c r="E10" s="13"/>
      <c r="F10" s="13"/>
      <c r="G10" s="13"/>
      <c r="H10" s="1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</row>
    <row r="11" spans="1:128" ht="15.75" customHeight="1">
      <c r="A11" s="13"/>
      <c r="B11" s="52"/>
      <c r="C11" s="13"/>
      <c r="D11" s="13"/>
      <c r="E11" s="13"/>
      <c r="F11" s="13"/>
      <c r="G11" s="13"/>
      <c r="H11" s="13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</row>
    <row r="12" spans="1:128" ht="15.75" customHeight="1">
      <c r="A12" s="55" t="s">
        <v>70</v>
      </c>
      <c r="B12" s="14" t="s">
        <v>71</v>
      </c>
      <c r="C12" s="16">
        <v>22</v>
      </c>
      <c r="D12" s="16">
        <v>11025100</v>
      </c>
      <c r="E12" s="16">
        <v>3</v>
      </c>
      <c r="F12" s="16">
        <v>533000</v>
      </c>
      <c r="G12" s="16">
        <v>25</v>
      </c>
      <c r="H12" s="16">
        <v>11558100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</row>
    <row r="13" spans="1:128" ht="15.75" customHeight="1">
      <c r="A13" s="55" t="s">
        <v>70</v>
      </c>
      <c r="B13" s="14" t="s">
        <v>76</v>
      </c>
      <c r="C13" s="16">
        <v>570</v>
      </c>
      <c r="D13" s="16">
        <v>196157840</v>
      </c>
      <c r="E13" s="16">
        <v>205</v>
      </c>
      <c r="F13" s="16">
        <v>65403549</v>
      </c>
      <c r="G13" s="16">
        <v>775</v>
      </c>
      <c r="H13" s="16">
        <v>261561389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</row>
    <row r="14" spans="1:128" ht="15.75" customHeight="1">
      <c r="A14" s="55" t="s">
        <v>70</v>
      </c>
      <c r="B14" s="14" t="s">
        <v>77</v>
      </c>
      <c r="C14" s="16">
        <v>659</v>
      </c>
      <c r="D14" s="16">
        <v>125219600</v>
      </c>
      <c r="E14" s="16">
        <v>215</v>
      </c>
      <c r="F14" s="16">
        <v>45027700</v>
      </c>
      <c r="G14" s="16">
        <v>874</v>
      </c>
      <c r="H14" s="16">
        <v>170247300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</row>
    <row r="15" spans="1:128" ht="15.75" customHeight="1">
      <c r="A15" s="55" t="s">
        <v>70</v>
      </c>
      <c r="B15" s="14" t="s">
        <v>79</v>
      </c>
      <c r="C15" s="16">
        <v>381</v>
      </c>
      <c r="D15" s="16">
        <v>160380300</v>
      </c>
      <c r="E15" s="16">
        <v>135</v>
      </c>
      <c r="F15" s="16">
        <v>31240001</v>
      </c>
      <c r="G15" s="16">
        <v>516</v>
      </c>
      <c r="H15" s="16">
        <v>191620301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</row>
    <row r="16" spans="1:128" ht="15.75" customHeight="1">
      <c r="A16" s="55" t="s">
        <v>70</v>
      </c>
      <c r="B16" s="14" t="s">
        <v>80</v>
      </c>
      <c r="C16" s="16">
        <v>485</v>
      </c>
      <c r="D16" s="16">
        <v>97146800</v>
      </c>
      <c r="E16" s="16">
        <v>132</v>
      </c>
      <c r="F16" s="16">
        <v>19113000</v>
      </c>
      <c r="G16" s="16">
        <v>617</v>
      </c>
      <c r="H16" s="16">
        <v>116259800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</row>
    <row r="17" spans="1:128" ht="15.75" customHeight="1">
      <c r="A17" s="55" t="s">
        <v>70</v>
      </c>
      <c r="B17" s="52" t="s">
        <v>81</v>
      </c>
      <c r="C17" s="13">
        <v>508</v>
      </c>
      <c r="D17" s="13">
        <v>115542670</v>
      </c>
      <c r="E17" s="13">
        <v>125</v>
      </c>
      <c r="F17" s="13">
        <v>16581400</v>
      </c>
      <c r="G17" s="13">
        <v>633</v>
      </c>
      <c r="H17" s="13">
        <v>132124070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</row>
    <row r="18" spans="1:128" ht="15.75" customHeight="1">
      <c r="A18" s="55" t="s">
        <v>70</v>
      </c>
      <c r="B18" s="52"/>
      <c r="C18" s="13"/>
      <c r="D18" s="13"/>
      <c r="E18" s="13"/>
      <c r="F18" s="13"/>
      <c r="G18" s="13"/>
      <c r="H18" s="13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</row>
    <row r="19" spans="1:128" ht="15.75" customHeight="1">
      <c r="A19" s="55" t="s">
        <v>70</v>
      </c>
      <c r="B19" s="52"/>
      <c r="C19" s="13"/>
      <c r="D19" s="13"/>
      <c r="E19" s="13"/>
      <c r="F19" s="13"/>
      <c r="G19" s="13"/>
      <c r="H19" s="13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</row>
    <row r="20" spans="1:128" ht="15.75" customHeight="1">
      <c r="A20" s="55"/>
      <c r="B20" s="52"/>
      <c r="C20" s="13"/>
      <c r="D20" s="13"/>
      <c r="E20" s="13"/>
      <c r="F20" s="13"/>
      <c r="G20" s="13"/>
      <c r="H20" s="13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</row>
    <row r="21" spans="1:128" ht="15.75" customHeight="1">
      <c r="A21" s="55" t="s">
        <v>85</v>
      </c>
      <c r="B21" s="52" t="s">
        <v>86</v>
      </c>
      <c r="C21" s="13">
        <v>295</v>
      </c>
      <c r="D21" s="13">
        <v>24509200</v>
      </c>
      <c r="E21" s="13">
        <v>147</v>
      </c>
      <c r="F21" s="13">
        <v>22229750</v>
      </c>
      <c r="G21" s="13">
        <v>442</v>
      </c>
      <c r="H21" s="13">
        <v>46738950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</row>
    <row r="22" spans="1:128" ht="15.75" customHeight="1">
      <c r="A22" s="55" t="s">
        <v>85</v>
      </c>
      <c r="B22" s="52" t="s">
        <v>17</v>
      </c>
      <c r="C22" s="13">
        <v>298</v>
      </c>
      <c r="D22" s="13">
        <v>27340300</v>
      </c>
      <c r="E22" s="13">
        <v>103</v>
      </c>
      <c r="F22" s="13">
        <v>20564220</v>
      </c>
      <c r="G22" s="13">
        <v>401</v>
      </c>
      <c r="H22" s="13">
        <v>47904520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</row>
    <row r="23" spans="1:128" ht="15.75" customHeight="1">
      <c r="A23" s="55" t="s">
        <v>85</v>
      </c>
      <c r="B23" s="52" t="s">
        <v>71</v>
      </c>
      <c r="C23" s="13">
        <v>238</v>
      </c>
      <c r="D23" s="13">
        <v>27427500</v>
      </c>
      <c r="E23" s="13">
        <v>105</v>
      </c>
      <c r="F23" s="13">
        <v>21293500</v>
      </c>
      <c r="G23" s="13">
        <v>343</v>
      </c>
      <c r="H23" s="13">
        <v>48721000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</row>
    <row r="24" spans="1:128" ht="15.75" customHeight="1">
      <c r="A24" s="55" t="s">
        <v>85</v>
      </c>
      <c r="B24" s="52" t="s">
        <v>88</v>
      </c>
      <c r="C24" s="13">
        <v>177</v>
      </c>
      <c r="D24" s="13">
        <v>13537000</v>
      </c>
      <c r="E24" s="13">
        <v>76</v>
      </c>
      <c r="F24" s="13">
        <v>10291300</v>
      </c>
      <c r="G24" s="13">
        <v>253</v>
      </c>
      <c r="H24" s="13">
        <v>23828300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</row>
    <row r="25" spans="1:128" ht="15.75" customHeight="1">
      <c r="A25" s="55" t="s">
        <v>85</v>
      </c>
      <c r="B25" s="52" t="s">
        <v>90</v>
      </c>
      <c r="C25" s="13">
        <v>15</v>
      </c>
      <c r="D25" s="13">
        <v>1259000</v>
      </c>
      <c r="E25" s="13">
        <v>1</v>
      </c>
      <c r="F25" s="13">
        <v>105000</v>
      </c>
      <c r="G25" s="13">
        <v>16</v>
      </c>
      <c r="H25" s="13">
        <v>1364000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</row>
    <row r="26" spans="1:128" ht="15.75" customHeight="1">
      <c r="A26" s="55"/>
      <c r="B26" s="52"/>
      <c r="C26" s="13"/>
      <c r="D26" s="13"/>
      <c r="E26" s="13"/>
      <c r="F26" s="13"/>
      <c r="G26" s="13"/>
      <c r="H26" s="1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</row>
    <row r="27" spans="1:128" ht="15.75" customHeight="1">
      <c r="A27" s="13" t="s">
        <v>91</v>
      </c>
      <c r="B27" s="14" t="s">
        <v>92</v>
      </c>
      <c r="C27" s="16">
        <v>696</v>
      </c>
      <c r="D27" s="16">
        <v>59336500</v>
      </c>
      <c r="E27" s="16">
        <v>191</v>
      </c>
      <c r="F27" s="16">
        <v>29599100</v>
      </c>
      <c r="G27" s="16">
        <v>887</v>
      </c>
      <c r="H27" s="16">
        <v>88935600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</row>
    <row r="28" spans="1:128" ht="15.75" customHeight="1">
      <c r="A28" s="13" t="s">
        <v>91</v>
      </c>
      <c r="B28" s="14" t="s">
        <v>94</v>
      </c>
      <c r="C28" s="16">
        <v>118</v>
      </c>
      <c r="D28" s="16">
        <v>8323800</v>
      </c>
      <c r="E28" s="16">
        <v>15</v>
      </c>
      <c r="F28" s="16">
        <v>1540850</v>
      </c>
      <c r="G28" s="16">
        <v>133</v>
      </c>
      <c r="H28" s="16">
        <v>9864650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</row>
    <row r="29" spans="1:128" ht="15.75" customHeight="1">
      <c r="A29" s="13" t="s">
        <v>91</v>
      </c>
      <c r="B29" s="14" t="s">
        <v>95</v>
      </c>
      <c r="C29" s="16">
        <v>1028</v>
      </c>
      <c r="D29" s="16">
        <v>84409594</v>
      </c>
      <c r="E29" s="16">
        <v>138</v>
      </c>
      <c r="F29" s="16">
        <v>20035250</v>
      </c>
      <c r="G29" s="16">
        <v>1166</v>
      </c>
      <c r="H29" s="16">
        <v>104444844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</row>
    <row r="30" spans="1:128" ht="15.75" customHeight="1">
      <c r="A30" s="13" t="s">
        <v>91</v>
      </c>
      <c r="B30" s="31" t="s">
        <v>97</v>
      </c>
      <c r="C30" s="13">
        <v>505</v>
      </c>
      <c r="D30" s="13">
        <v>41868700</v>
      </c>
      <c r="E30" s="13">
        <v>117</v>
      </c>
      <c r="F30" s="13">
        <v>18342950</v>
      </c>
      <c r="G30" s="13">
        <v>622</v>
      </c>
      <c r="H30" s="13">
        <v>60211650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</row>
    <row r="31" spans="1:128" ht="15.75" customHeight="1">
      <c r="A31" s="13" t="s">
        <v>91</v>
      </c>
      <c r="B31" s="31" t="s">
        <v>48</v>
      </c>
      <c r="C31" s="13">
        <v>264</v>
      </c>
      <c r="D31" s="13">
        <v>21942900</v>
      </c>
      <c r="E31" s="13">
        <v>28</v>
      </c>
      <c r="F31" s="13">
        <v>3104300</v>
      </c>
      <c r="G31" s="13">
        <v>292</v>
      </c>
      <c r="H31" s="13">
        <v>25047200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</row>
    <row r="32" spans="1:128" ht="15.75" customHeight="1">
      <c r="A32" s="13"/>
      <c r="B32" s="31"/>
      <c r="C32" s="13"/>
      <c r="D32" s="13"/>
      <c r="E32" s="13"/>
      <c r="F32" s="13"/>
      <c r="G32" s="13"/>
      <c r="H32" s="13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</row>
    <row r="33" spans="1:128" ht="15.75" customHeight="1">
      <c r="A33" s="13"/>
      <c r="B33" s="31"/>
      <c r="C33" s="13"/>
      <c r="D33" s="13"/>
      <c r="E33" s="13"/>
      <c r="F33" s="13"/>
      <c r="G33" s="13"/>
      <c r="H33" s="13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</row>
    <row r="34" spans="1:128" ht="15.75" customHeight="1">
      <c r="A34" s="13" t="s">
        <v>98</v>
      </c>
      <c r="B34" s="31" t="s">
        <v>99</v>
      </c>
      <c r="C34" s="13">
        <v>248</v>
      </c>
      <c r="D34" s="13">
        <v>17563028</v>
      </c>
      <c r="E34" s="13">
        <v>113</v>
      </c>
      <c r="F34" s="13">
        <v>27843550</v>
      </c>
      <c r="G34" s="13">
        <v>361</v>
      </c>
      <c r="H34" s="13">
        <v>45406578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</row>
    <row r="35" spans="1:128" ht="15.75" customHeight="1">
      <c r="A35" s="55" t="s">
        <v>98</v>
      </c>
      <c r="B35" s="69" t="s">
        <v>100</v>
      </c>
      <c r="C35" s="18">
        <v>120</v>
      </c>
      <c r="D35" s="18">
        <v>10080700</v>
      </c>
      <c r="E35" s="18">
        <v>35</v>
      </c>
      <c r="F35" s="18">
        <v>7887900</v>
      </c>
      <c r="G35" s="18">
        <v>155</v>
      </c>
      <c r="H35" s="18">
        <v>17968600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</row>
    <row r="36" spans="1:128" ht="15.75" customHeight="1">
      <c r="A36" s="55" t="s">
        <v>98</v>
      </c>
      <c r="B36" s="69" t="s">
        <v>101</v>
      </c>
      <c r="C36" s="18">
        <v>72</v>
      </c>
      <c r="D36" s="18">
        <v>5530200</v>
      </c>
      <c r="E36" s="18">
        <v>14</v>
      </c>
      <c r="F36" s="18">
        <v>1220300</v>
      </c>
      <c r="G36" s="18">
        <v>86</v>
      </c>
      <c r="H36" s="18">
        <v>6750500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</row>
    <row r="37" spans="1:128" ht="15.75" customHeight="1">
      <c r="A37" s="55" t="s">
        <v>98</v>
      </c>
      <c r="B37" s="69" t="s">
        <v>90</v>
      </c>
      <c r="C37" s="18">
        <v>238</v>
      </c>
      <c r="D37" s="18">
        <v>14858800</v>
      </c>
      <c r="E37" s="18">
        <v>108</v>
      </c>
      <c r="F37" s="18">
        <v>29225500</v>
      </c>
      <c r="G37" s="18">
        <v>346</v>
      </c>
      <c r="H37" s="18">
        <v>44084300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</row>
    <row r="38" spans="1:128" ht="15.75" customHeight="1">
      <c r="A38" s="55" t="s">
        <v>98</v>
      </c>
      <c r="B38" s="69" t="s">
        <v>102</v>
      </c>
      <c r="C38" s="18">
        <v>33</v>
      </c>
      <c r="D38" s="18">
        <v>1708800</v>
      </c>
      <c r="E38" s="18">
        <v>7</v>
      </c>
      <c r="F38" s="18">
        <v>590000</v>
      </c>
      <c r="G38" s="18">
        <v>40</v>
      </c>
      <c r="H38" s="18">
        <v>2298800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</row>
    <row r="39" spans="1:128" ht="15.75" customHeight="1">
      <c r="A39" s="55" t="s">
        <v>98</v>
      </c>
      <c r="B39" s="69" t="s">
        <v>95</v>
      </c>
      <c r="C39" s="18">
        <v>30</v>
      </c>
      <c r="D39" s="18">
        <v>2641500</v>
      </c>
      <c r="E39" s="18">
        <v>14</v>
      </c>
      <c r="F39" s="18">
        <v>3150400</v>
      </c>
      <c r="G39" s="18">
        <v>44</v>
      </c>
      <c r="H39" s="18">
        <v>5791900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</row>
    <row r="40" spans="1:128" ht="15.75" customHeight="1">
      <c r="A40" s="55" t="s">
        <v>98</v>
      </c>
      <c r="B40" s="69" t="s">
        <v>103</v>
      </c>
      <c r="C40" s="18">
        <v>134</v>
      </c>
      <c r="D40" s="18">
        <v>10070600</v>
      </c>
      <c r="E40" s="18">
        <v>9</v>
      </c>
      <c r="F40" s="18">
        <v>874600</v>
      </c>
      <c r="G40" s="18">
        <v>143</v>
      </c>
      <c r="H40" s="18">
        <v>10945200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</row>
    <row r="41" spans="1:128" ht="15.75" customHeight="1">
      <c r="A41" s="55" t="s">
        <v>98</v>
      </c>
      <c r="B41" s="69" t="s">
        <v>104</v>
      </c>
      <c r="C41" s="18">
        <v>593</v>
      </c>
      <c r="D41" s="18">
        <v>45493300</v>
      </c>
      <c r="E41" s="18">
        <v>178</v>
      </c>
      <c r="F41" s="18">
        <v>27598600</v>
      </c>
      <c r="G41" s="18">
        <v>771</v>
      </c>
      <c r="H41" s="18">
        <v>73091900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</row>
    <row r="42" spans="1:128" ht="15.75" customHeight="1">
      <c r="A42" s="55" t="s">
        <v>98</v>
      </c>
      <c r="B42" s="6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</row>
    <row r="43" spans="1:128" ht="15.75" customHeight="1">
      <c r="A43" s="55" t="s">
        <v>98</v>
      </c>
      <c r="B43" s="69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</row>
    <row r="44" spans="1:128" ht="15.75" customHeight="1">
      <c r="A44" s="55"/>
      <c r="B44" s="6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</row>
    <row r="45" spans="1:128" ht="15.75" customHeight="1">
      <c r="A45" s="55" t="s">
        <v>106</v>
      </c>
      <c r="B45" s="69" t="s">
        <v>107</v>
      </c>
      <c r="C45" s="18">
        <v>346</v>
      </c>
      <c r="D45" s="18">
        <v>41488625</v>
      </c>
      <c r="E45" s="18">
        <v>219</v>
      </c>
      <c r="F45" s="18">
        <v>40219500</v>
      </c>
      <c r="G45" s="18">
        <v>565</v>
      </c>
      <c r="H45" s="18">
        <v>81708125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</row>
    <row r="46" spans="1:128" ht="15.75" customHeight="1">
      <c r="A46" s="55" t="s">
        <v>106</v>
      </c>
      <c r="B46" s="69" t="s">
        <v>108</v>
      </c>
      <c r="C46" s="18">
        <v>290</v>
      </c>
      <c r="D46" s="18">
        <v>25411600</v>
      </c>
      <c r="E46" s="18">
        <v>206</v>
      </c>
      <c r="F46" s="18">
        <v>104707300</v>
      </c>
      <c r="G46" s="18">
        <v>496</v>
      </c>
      <c r="H46" s="18">
        <v>130118900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</row>
    <row r="47" spans="1:128" ht="15.75" customHeight="1">
      <c r="A47" s="55" t="s">
        <v>106</v>
      </c>
      <c r="B47" s="69" t="s">
        <v>110</v>
      </c>
      <c r="C47" s="18">
        <v>725</v>
      </c>
      <c r="D47" s="18">
        <v>59614300</v>
      </c>
      <c r="E47" s="18">
        <v>94</v>
      </c>
      <c r="F47" s="18">
        <v>11636605</v>
      </c>
      <c r="G47" s="18">
        <v>819</v>
      </c>
      <c r="H47" s="18">
        <v>71250905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</row>
    <row r="48" spans="1:128" ht="15.75" customHeight="1">
      <c r="A48" s="55" t="s">
        <v>106</v>
      </c>
      <c r="B48" s="69" t="s">
        <v>102</v>
      </c>
      <c r="C48" s="18">
        <v>93</v>
      </c>
      <c r="D48" s="18">
        <v>4340800</v>
      </c>
      <c r="E48" s="18">
        <v>14</v>
      </c>
      <c r="F48" s="18">
        <v>1063100</v>
      </c>
      <c r="G48" s="18">
        <v>107</v>
      </c>
      <c r="H48" s="18">
        <v>5403900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</row>
    <row r="49" spans="1:128" ht="15.75" customHeight="1">
      <c r="A49" s="55" t="s">
        <v>106</v>
      </c>
      <c r="B49" s="69" t="s">
        <v>111</v>
      </c>
      <c r="C49" s="18">
        <v>737</v>
      </c>
      <c r="D49" s="18">
        <v>52913400</v>
      </c>
      <c r="E49" s="18">
        <v>181</v>
      </c>
      <c r="F49" s="18">
        <v>28349070</v>
      </c>
      <c r="G49" s="18">
        <v>918</v>
      </c>
      <c r="H49" s="18">
        <v>81262470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</row>
    <row r="50" spans="1:128" ht="15.75" customHeight="1">
      <c r="A50" s="55" t="s">
        <v>106</v>
      </c>
      <c r="B50" s="31"/>
      <c r="C50" s="13"/>
      <c r="D50" s="13"/>
      <c r="E50" s="13"/>
      <c r="F50" s="13"/>
      <c r="G50" s="13"/>
      <c r="H50" s="13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</row>
    <row r="51" spans="1:128" ht="15.75" customHeight="1">
      <c r="A51" s="55" t="s">
        <v>106</v>
      </c>
      <c r="B51" s="31"/>
      <c r="C51" s="13"/>
      <c r="D51" s="13"/>
      <c r="E51" s="13"/>
      <c r="F51" s="13"/>
      <c r="G51" s="13"/>
      <c r="H51" s="13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</row>
    <row r="52" spans="1:128" ht="15.75" customHeight="1">
      <c r="A52" s="55" t="s">
        <v>106</v>
      </c>
      <c r="B52" s="31"/>
      <c r="C52" s="13"/>
      <c r="D52" s="13"/>
      <c r="E52" s="13"/>
      <c r="F52" s="13"/>
      <c r="G52" s="13"/>
      <c r="H52" s="13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</row>
    <row r="53" spans="1:128" ht="15.75" customHeight="1">
      <c r="A53" s="55" t="s">
        <v>106</v>
      </c>
      <c r="B53" s="31"/>
      <c r="C53" s="13"/>
      <c r="D53" s="13"/>
      <c r="E53" s="13"/>
      <c r="F53" s="13"/>
      <c r="G53" s="13"/>
      <c r="H53" s="13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</row>
    <row r="54" spans="1:128" ht="15.75" customHeight="1">
      <c r="A54" s="55"/>
      <c r="B54" s="31"/>
      <c r="C54" s="13"/>
      <c r="D54" s="13"/>
      <c r="E54" s="13"/>
      <c r="F54" s="13"/>
      <c r="G54" s="13"/>
      <c r="H54" s="13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</row>
    <row r="55" spans="1:128" ht="15.75" customHeight="1">
      <c r="A55" s="55" t="s">
        <v>112</v>
      </c>
      <c r="B55" s="31" t="s">
        <v>113</v>
      </c>
      <c r="C55" s="13">
        <v>604</v>
      </c>
      <c r="D55" s="13">
        <v>41724300</v>
      </c>
      <c r="E55" s="13">
        <v>309</v>
      </c>
      <c r="F55" s="13">
        <v>60598768</v>
      </c>
      <c r="G55" s="13">
        <v>913</v>
      </c>
      <c r="H55" s="13">
        <v>102323068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</row>
    <row r="56" spans="1:128" ht="15.75" customHeight="1">
      <c r="A56" s="55" t="s">
        <v>112</v>
      </c>
      <c r="B56" s="69" t="s">
        <v>114</v>
      </c>
      <c r="C56" s="18">
        <v>10</v>
      </c>
      <c r="D56" s="18">
        <v>1098200</v>
      </c>
      <c r="E56" s="18">
        <v>14</v>
      </c>
      <c r="F56" s="18">
        <v>3604200</v>
      </c>
      <c r="G56" s="18">
        <v>24</v>
      </c>
      <c r="H56" s="18">
        <v>4702400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</row>
    <row r="57" spans="1:128" ht="15.75" customHeight="1">
      <c r="A57" s="55" t="s">
        <v>112</v>
      </c>
      <c r="B57" s="69" t="s">
        <v>71</v>
      </c>
      <c r="C57" s="18">
        <v>34</v>
      </c>
      <c r="D57" s="18">
        <v>3276900</v>
      </c>
      <c r="E57" s="18">
        <v>38</v>
      </c>
      <c r="F57" s="18">
        <v>9213700</v>
      </c>
      <c r="G57" s="18">
        <v>72</v>
      </c>
      <c r="H57" s="18">
        <v>12490600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</row>
    <row r="58" spans="1:128" ht="15.75" customHeight="1">
      <c r="A58" s="55" t="s">
        <v>112</v>
      </c>
      <c r="B58" s="69" t="s">
        <v>25</v>
      </c>
      <c r="C58" s="18"/>
      <c r="D58" s="18"/>
      <c r="E58" s="18">
        <v>1</v>
      </c>
      <c r="F58" s="18">
        <v>80000</v>
      </c>
      <c r="G58" s="18">
        <v>1</v>
      </c>
      <c r="H58" s="18">
        <v>80000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</row>
    <row r="59" spans="1:128" ht="15.75" customHeight="1">
      <c r="A59" s="55" t="s">
        <v>112</v>
      </c>
      <c r="B59" s="31" t="s">
        <v>102</v>
      </c>
      <c r="C59" s="13">
        <v>151</v>
      </c>
      <c r="D59" s="13">
        <v>9205400</v>
      </c>
      <c r="E59" s="13">
        <v>138</v>
      </c>
      <c r="F59" s="13">
        <v>23104000</v>
      </c>
      <c r="G59" s="13">
        <v>289</v>
      </c>
      <c r="H59" s="13">
        <v>32309400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</row>
    <row r="60" spans="1:128" ht="15.75" customHeight="1">
      <c r="A60" s="55" t="s">
        <v>112</v>
      </c>
      <c r="B60" s="31" t="s">
        <v>95</v>
      </c>
      <c r="C60" s="13">
        <v>12</v>
      </c>
      <c r="D60" s="13">
        <v>728100</v>
      </c>
      <c r="E60" s="13">
        <v>15</v>
      </c>
      <c r="F60" s="13">
        <v>3028900</v>
      </c>
      <c r="G60" s="13">
        <v>27</v>
      </c>
      <c r="H60" s="13">
        <v>3757000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</row>
    <row r="61" spans="1:128" ht="15.75" customHeight="1">
      <c r="A61" s="55" t="s">
        <v>112</v>
      </c>
      <c r="B61" s="31" t="s">
        <v>119</v>
      </c>
      <c r="C61" s="13">
        <v>628</v>
      </c>
      <c r="D61" s="13">
        <v>42581600</v>
      </c>
      <c r="E61" s="13">
        <v>266</v>
      </c>
      <c r="F61" s="13">
        <v>57312000</v>
      </c>
      <c r="G61" s="13">
        <v>894</v>
      </c>
      <c r="H61" s="13">
        <v>99893600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</row>
    <row r="62" spans="1:128" ht="15.75" customHeight="1">
      <c r="A62" s="55" t="s">
        <v>112</v>
      </c>
      <c r="B62" s="31" t="s">
        <v>115</v>
      </c>
      <c r="C62" s="13">
        <v>358</v>
      </c>
      <c r="D62" s="13">
        <v>24326100</v>
      </c>
      <c r="E62" s="13">
        <v>360</v>
      </c>
      <c r="F62" s="13">
        <v>91163900</v>
      </c>
      <c r="G62" s="13">
        <v>718</v>
      </c>
      <c r="H62" s="13">
        <v>115490000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</row>
    <row r="63" spans="1:128" ht="15.75" customHeight="1">
      <c r="A63" s="55"/>
      <c r="B63" s="31"/>
      <c r="C63" s="13"/>
      <c r="D63" s="13"/>
      <c r="E63" s="13"/>
      <c r="F63" s="13"/>
      <c r="G63" s="13"/>
      <c r="H63" s="1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</row>
    <row r="64" spans="1:128" ht="15.75" customHeight="1">
      <c r="A64" s="55" t="s">
        <v>118</v>
      </c>
      <c r="B64" s="31" t="s">
        <v>121</v>
      </c>
      <c r="C64" s="13">
        <v>701</v>
      </c>
      <c r="D64" s="13">
        <v>46905800</v>
      </c>
      <c r="E64" s="13">
        <v>103</v>
      </c>
      <c r="F64" s="13">
        <v>9581100</v>
      </c>
      <c r="G64" s="13">
        <v>804</v>
      </c>
      <c r="H64" s="13">
        <v>56486900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</row>
    <row r="65" spans="1:128" ht="15.75" customHeight="1">
      <c r="A65" s="55" t="s">
        <v>118</v>
      </c>
      <c r="B65" s="31" t="s">
        <v>122</v>
      </c>
      <c r="C65" s="13">
        <v>716</v>
      </c>
      <c r="D65" s="13">
        <v>49789250</v>
      </c>
      <c r="E65" s="13">
        <v>126</v>
      </c>
      <c r="F65" s="13">
        <v>18527500</v>
      </c>
      <c r="G65" s="13">
        <v>842</v>
      </c>
      <c r="H65" s="13">
        <v>68316750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</row>
    <row r="66" spans="1:128" ht="15.75" customHeight="1">
      <c r="A66" s="55" t="s">
        <v>118</v>
      </c>
      <c r="B66" s="69" t="s">
        <v>123</v>
      </c>
      <c r="C66" s="18">
        <v>898</v>
      </c>
      <c r="D66" s="18">
        <v>56292400</v>
      </c>
      <c r="E66" s="18">
        <v>189</v>
      </c>
      <c r="F66" s="18">
        <v>26604700</v>
      </c>
      <c r="G66" s="18">
        <v>1087</v>
      </c>
      <c r="H66" s="18">
        <v>82897100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</row>
    <row r="67" spans="1:128" ht="15.75" customHeight="1">
      <c r="A67" s="55" t="s">
        <v>118</v>
      </c>
      <c r="B67" s="69" t="s">
        <v>95</v>
      </c>
      <c r="C67" s="18">
        <v>7</v>
      </c>
      <c r="D67" s="18">
        <v>918000</v>
      </c>
      <c r="E67" s="18">
        <v>1</v>
      </c>
      <c r="F67" s="18">
        <v>20000</v>
      </c>
      <c r="G67" s="18">
        <v>8</v>
      </c>
      <c r="H67" s="18">
        <v>938000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</row>
    <row r="68" spans="1:128" ht="15.75" customHeight="1">
      <c r="A68" s="55" t="s">
        <v>118</v>
      </c>
      <c r="B68" s="69" t="s">
        <v>117</v>
      </c>
      <c r="C68" s="18">
        <v>374</v>
      </c>
      <c r="D68" s="18">
        <v>25419450</v>
      </c>
      <c r="E68" s="18">
        <v>99</v>
      </c>
      <c r="F68" s="18">
        <v>17072350</v>
      </c>
      <c r="G68" s="18">
        <v>473</v>
      </c>
      <c r="H68" s="18">
        <v>42491800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</row>
    <row r="69" spans="1:128" ht="15.75" customHeight="1">
      <c r="A69" s="55" t="s">
        <v>118</v>
      </c>
      <c r="B69" s="6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</row>
    <row r="70" spans="1:128" ht="15.75" customHeight="1">
      <c r="A70" s="55"/>
      <c r="B70" s="6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</row>
    <row r="71" spans="1:128" ht="15.75" customHeight="1">
      <c r="A71" s="55" t="s">
        <v>124</v>
      </c>
      <c r="B71" s="31" t="s">
        <v>114</v>
      </c>
      <c r="C71" s="13">
        <v>226</v>
      </c>
      <c r="D71" s="13">
        <v>22179500</v>
      </c>
      <c r="E71" s="13">
        <v>155</v>
      </c>
      <c r="F71" s="13">
        <v>61577000</v>
      </c>
      <c r="G71" s="13">
        <v>381</v>
      </c>
      <c r="H71" s="13">
        <v>83756500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</row>
    <row r="72" spans="1:128" ht="15.75" customHeight="1">
      <c r="A72" s="13" t="s">
        <v>124</v>
      </c>
      <c r="B72" s="31" t="s">
        <v>126</v>
      </c>
      <c r="C72" s="13">
        <v>585</v>
      </c>
      <c r="D72" s="13">
        <v>47365800</v>
      </c>
      <c r="E72" s="13">
        <v>158</v>
      </c>
      <c r="F72" s="13">
        <v>19445500</v>
      </c>
      <c r="G72" s="13">
        <v>743</v>
      </c>
      <c r="H72" s="13">
        <v>66811300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</row>
    <row r="73" spans="1:128" ht="15.75" customHeight="1">
      <c r="A73" s="13" t="s">
        <v>124</v>
      </c>
      <c r="B73" s="69" t="s">
        <v>127</v>
      </c>
      <c r="C73" s="18">
        <v>438</v>
      </c>
      <c r="D73" s="18">
        <v>31541700</v>
      </c>
      <c r="E73" s="18">
        <v>115</v>
      </c>
      <c r="F73" s="18">
        <v>16493600</v>
      </c>
      <c r="G73" s="18">
        <v>553</v>
      </c>
      <c r="H73" s="13">
        <v>48035300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</row>
    <row r="74" spans="1:128" ht="15.75" customHeight="1">
      <c r="A74" s="13" t="s">
        <v>124</v>
      </c>
      <c r="B74" s="69" t="s">
        <v>128</v>
      </c>
      <c r="C74" s="18">
        <v>20</v>
      </c>
      <c r="D74" s="18">
        <v>996900</v>
      </c>
      <c r="E74" s="18">
        <v>5</v>
      </c>
      <c r="F74" s="18">
        <v>865000</v>
      </c>
      <c r="G74" s="18">
        <v>25</v>
      </c>
      <c r="H74" s="13">
        <v>1861900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</row>
    <row r="75" spans="1:128" ht="15.75" customHeight="1">
      <c r="A75" s="13" t="s">
        <v>124</v>
      </c>
      <c r="B75" s="69" t="s">
        <v>129</v>
      </c>
      <c r="C75" s="18">
        <v>326</v>
      </c>
      <c r="D75" s="18">
        <v>28100200</v>
      </c>
      <c r="E75" s="18">
        <v>205</v>
      </c>
      <c r="F75" s="18">
        <v>65106000</v>
      </c>
      <c r="G75" s="18">
        <v>531</v>
      </c>
      <c r="H75" s="13">
        <v>93206200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</row>
    <row r="76" spans="1:128" ht="15.75" customHeight="1">
      <c r="A76" s="13" t="s">
        <v>124</v>
      </c>
      <c r="B76" s="69" t="s">
        <v>95</v>
      </c>
      <c r="C76" s="18">
        <v>45</v>
      </c>
      <c r="D76" s="18">
        <v>3515700</v>
      </c>
      <c r="E76" s="18">
        <v>25</v>
      </c>
      <c r="F76" s="18">
        <v>5316200</v>
      </c>
      <c r="G76" s="18">
        <v>70</v>
      </c>
      <c r="H76" s="13">
        <v>8831900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</row>
    <row r="77" spans="1:128" ht="15.75" customHeight="1">
      <c r="A77" s="13" t="s">
        <v>124</v>
      </c>
      <c r="B77" s="31"/>
      <c r="C77" s="13"/>
      <c r="D77" s="13"/>
      <c r="E77" s="13"/>
      <c r="F77" s="13"/>
      <c r="G77" s="13"/>
      <c r="H77" s="1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</row>
    <row r="78" spans="1:128" ht="15.75" customHeight="1">
      <c r="A78" s="13" t="s">
        <v>124</v>
      </c>
      <c r="B78" s="31"/>
      <c r="C78" s="13"/>
      <c r="D78" s="13"/>
      <c r="E78" s="13"/>
      <c r="F78" s="13"/>
      <c r="G78" s="13"/>
      <c r="H78" s="1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</row>
    <row r="79" spans="1:128" ht="15.75" customHeight="1">
      <c r="A79" s="13"/>
      <c r="B79" s="31"/>
      <c r="C79" s="13"/>
      <c r="D79" s="13"/>
      <c r="E79" s="13"/>
      <c r="F79" s="13"/>
      <c r="G79" s="13"/>
      <c r="H79" s="1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</row>
    <row r="80" spans="1:128" ht="15.75" customHeight="1">
      <c r="A80" s="13" t="s">
        <v>83</v>
      </c>
      <c r="B80" s="31" t="s">
        <v>84</v>
      </c>
      <c r="C80" s="13">
        <v>134</v>
      </c>
      <c r="D80" s="13">
        <v>11932300</v>
      </c>
      <c r="E80" s="13">
        <v>42</v>
      </c>
      <c r="F80" s="13">
        <v>17321300</v>
      </c>
      <c r="G80" s="13">
        <v>176</v>
      </c>
      <c r="H80" s="13">
        <v>29253600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</row>
    <row r="81" spans="1:128" ht="15.75" customHeight="1">
      <c r="A81" s="13" t="s">
        <v>83</v>
      </c>
      <c r="B81" s="69" t="s">
        <v>87</v>
      </c>
      <c r="C81" s="18">
        <v>745</v>
      </c>
      <c r="D81" s="18">
        <v>84823161</v>
      </c>
      <c r="E81" s="18">
        <v>548</v>
      </c>
      <c r="F81" s="18">
        <v>84092655</v>
      </c>
      <c r="G81" s="18">
        <v>1293</v>
      </c>
      <c r="H81" s="18">
        <v>168915816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</row>
    <row r="82" spans="1:128" ht="15.75" customHeight="1">
      <c r="A82" s="13" t="s">
        <v>83</v>
      </c>
      <c r="B82" s="69" t="s">
        <v>93</v>
      </c>
      <c r="C82" s="18">
        <v>411</v>
      </c>
      <c r="D82" s="18">
        <v>52500960</v>
      </c>
      <c r="E82" s="18">
        <v>516</v>
      </c>
      <c r="F82" s="18">
        <v>151502967</v>
      </c>
      <c r="G82" s="18">
        <v>927</v>
      </c>
      <c r="H82" s="18">
        <v>204003927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</row>
    <row r="83" spans="1:128" ht="15.75" customHeight="1">
      <c r="A83" s="13" t="s">
        <v>83</v>
      </c>
      <c r="B83" s="69" t="s">
        <v>89</v>
      </c>
      <c r="C83" s="18">
        <v>572</v>
      </c>
      <c r="D83" s="18">
        <v>69209294</v>
      </c>
      <c r="E83" s="18">
        <v>398</v>
      </c>
      <c r="F83" s="18">
        <v>97207592</v>
      </c>
      <c r="G83" s="18">
        <v>970</v>
      </c>
      <c r="H83" s="18">
        <v>166416886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</row>
    <row r="84" spans="1:128" ht="15.75" customHeight="1">
      <c r="A84" s="13" t="s">
        <v>83</v>
      </c>
      <c r="B84" s="69" t="s">
        <v>96</v>
      </c>
      <c r="C84" s="18">
        <v>257</v>
      </c>
      <c r="D84" s="18">
        <v>25130380</v>
      </c>
      <c r="E84" s="18">
        <v>350</v>
      </c>
      <c r="F84" s="18">
        <v>106621800</v>
      </c>
      <c r="G84" s="18">
        <v>607</v>
      </c>
      <c r="H84" s="18">
        <v>131752180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</row>
    <row r="85" spans="1:128" ht="15.75" customHeight="1">
      <c r="A85" s="13" t="s">
        <v>83</v>
      </c>
      <c r="B85" s="69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</row>
    <row r="86" spans="1:128" ht="15.75" customHeight="1">
      <c r="A86" s="13"/>
      <c r="B86" s="69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</row>
    <row r="87" spans="1:128" ht="15.75" customHeight="1">
      <c r="A87" s="13" t="s">
        <v>23</v>
      </c>
      <c r="B87" s="31" t="s">
        <v>82</v>
      </c>
      <c r="C87" s="13">
        <v>909</v>
      </c>
      <c r="D87" s="13">
        <v>227340258</v>
      </c>
      <c r="E87" s="13">
        <v>247</v>
      </c>
      <c r="F87" s="13">
        <v>56745127</v>
      </c>
      <c r="G87" s="13">
        <v>1156</v>
      </c>
      <c r="H87" s="13">
        <v>284085385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</row>
    <row r="88" spans="1:128" ht="15.75" customHeight="1">
      <c r="A88" s="13" t="s">
        <v>23</v>
      </c>
      <c r="B88" s="31" t="s">
        <v>24</v>
      </c>
      <c r="C88" s="13">
        <v>554</v>
      </c>
      <c r="D88" s="13">
        <v>103518742</v>
      </c>
      <c r="E88" s="13">
        <v>126</v>
      </c>
      <c r="F88" s="13">
        <v>24178501</v>
      </c>
      <c r="G88" s="13">
        <v>680</v>
      </c>
      <c r="H88" s="13">
        <v>127697243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</row>
    <row r="89" spans="1:128" ht="15.75" customHeight="1">
      <c r="A89" s="13" t="s">
        <v>23</v>
      </c>
      <c r="B89" s="61" t="s">
        <v>62</v>
      </c>
      <c r="C89" s="13">
        <v>715</v>
      </c>
      <c r="D89" s="13">
        <v>127357340</v>
      </c>
      <c r="E89" s="13">
        <v>400</v>
      </c>
      <c r="F89" s="13">
        <v>65579000</v>
      </c>
      <c r="G89" s="13">
        <v>1115</v>
      </c>
      <c r="H89" s="13">
        <v>192936340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</row>
    <row r="90" spans="1:128" ht="15.75" customHeight="1">
      <c r="A90" s="13" t="s">
        <v>23</v>
      </c>
      <c r="B90" s="69" t="s">
        <v>57</v>
      </c>
      <c r="C90" s="18">
        <v>794</v>
      </c>
      <c r="D90" s="18">
        <v>267188160</v>
      </c>
      <c r="E90" s="18">
        <v>190</v>
      </c>
      <c r="F90" s="18">
        <v>53876597</v>
      </c>
      <c r="G90" s="18">
        <v>984</v>
      </c>
      <c r="H90" s="18">
        <v>321064757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</row>
    <row r="91" spans="1:128" ht="15.75" customHeight="1">
      <c r="A91" s="13" t="s">
        <v>23</v>
      </c>
      <c r="B91" s="69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</row>
    <row r="92" spans="1:128" ht="15.75" customHeight="1">
      <c r="A92" s="13" t="s">
        <v>23</v>
      </c>
      <c r="B92" s="69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</row>
    <row r="93" spans="1:128" ht="15.75" customHeight="1">
      <c r="A93" s="13"/>
      <c r="B93" s="69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</row>
    <row r="94" spans="1:128" ht="15.75" customHeight="1">
      <c r="A94" s="13"/>
      <c r="B94" s="69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</row>
    <row r="95" spans="1:128" ht="15.75" customHeight="1">
      <c r="A95" s="13"/>
      <c r="B95" s="69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</row>
    <row r="96" spans="1:128" ht="15.75" customHeight="1">
      <c r="A96" s="13"/>
      <c r="B96" s="52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</row>
    <row r="97" spans="1:128" ht="15.75" customHeight="1">
      <c r="A97" s="13"/>
      <c r="B97" s="75"/>
      <c r="C97" s="18"/>
      <c r="D97" s="18"/>
      <c r="E97" s="76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</row>
    <row r="98" spans="1:128" ht="15.75" customHeight="1">
      <c r="A98" s="13"/>
      <c r="B98" s="75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</row>
    <row r="99" spans="1:128" ht="15.75" customHeight="1">
      <c r="A99" s="13"/>
      <c r="B99" s="75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</row>
    <row r="100" spans="1:128" ht="15.75" customHeight="1">
      <c r="A100" s="13"/>
      <c r="B100" s="75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</row>
    <row r="101" spans="1:128" ht="15.75" customHeight="1">
      <c r="A101" s="13"/>
      <c r="B101" s="75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</row>
    <row r="102" spans="1:128" ht="15.75" customHeight="1">
      <c r="A102" s="13"/>
      <c r="B102" s="6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</row>
    <row r="103" spans="1:128" ht="15.75" customHeight="1">
      <c r="A103" s="13"/>
      <c r="B103" s="6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</row>
    <row r="104" spans="1:128" ht="15.75" customHeight="1">
      <c r="A104" s="13"/>
      <c r="B104" s="6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</row>
    <row r="105" spans="1:128" ht="15.75" customHeight="1">
      <c r="A105" s="13"/>
      <c r="B105" s="6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</row>
    <row r="106" spans="1:128" ht="15.75" customHeight="1">
      <c r="A106" s="13"/>
      <c r="B106" s="6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</row>
    <row r="107" spans="1:128" ht="15.75" customHeight="1">
      <c r="A107" s="13"/>
      <c r="B107" s="69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</row>
    <row r="108" spans="1:128" ht="15.75" customHeight="1">
      <c r="A108" s="13"/>
      <c r="B108" s="6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</row>
    <row r="109" spans="1:128" ht="15.75" customHeight="1">
      <c r="A109" s="13"/>
      <c r="B109" s="69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</row>
    <row r="110" spans="1:128" ht="15.75" customHeight="1">
      <c r="A110" s="13"/>
      <c r="B110" s="69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</row>
    <row r="111" spans="1:128" ht="15.75" customHeight="1">
      <c r="A111" s="13"/>
      <c r="B111" s="69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</row>
    <row r="112" spans="1:128" ht="15.75" customHeight="1">
      <c r="A112" s="13"/>
      <c r="B112" s="69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</row>
    <row r="113" spans="1:128" ht="15.75" customHeight="1">
      <c r="A113" s="13"/>
      <c r="B113" s="79"/>
      <c r="C113" s="18"/>
      <c r="D113" s="18"/>
      <c r="E113" s="18"/>
      <c r="F113" s="18"/>
      <c r="G113" s="18"/>
      <c r="H113" s="18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/>
      <c r="DX113" s="76"/>
    </row>
    <row r="114" spans="1:128" ht="15.75" customHeight="1">
      <c r="A114" s="80"/>
      <c r="B114" s="79"/>
      <c r="C114" s="18"/>
      <c r="D114" s="18"/>
      <c r="E114" s="18"/>
      <c r="F114" s="18"/>
      <c r="G114" s="18"/>
      <c r="H114" s="18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</row>
    <row r="115" spans="1:128" ht="15.75" customHeight="1">
      <c r="A115" s="80"/>
      <c r="B115" s="79"/>
      <c r="C115" s="18"/>
      <c r="D115" s="18"/>
      <c r="E115" s="18"/>
      <c r="F115" s="18"/>
      <c r="G115" s="18"/>
      <c r="H115" s="18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/>
      <c r="DX115" s="76"/>
    </row>
    <row r="116" spans="1:128" ht="15.75" customHeight="1">
      <c r="A116" s="80"/>
      <c r="B116" s="79"/>
      <c r="C116" s="18"/>
      <c r="D116" s="18"/>
      <c r="E116" s="18"/>
      <c r="F116" s="18"/>
      <c r="G116" s="18"/>
      <c r="H116" s="18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/>
      <c r="DX116" s="76"/>
    </row>
    <row r="117" spans="1:128" ht="15.75" customHeight="1">
      <c r="A117" s="80"/>
      <c r="B117" s="79"/>
      <c r="C117" s="18"/>
      <c r="D117" s="18"/>
      <c r="E117" s="18"/>
      <c r="F117" s="18"/>
      <c r="G117" s="18"/>
      <c r="H117" s="18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/>
      <c r="DX117" s="76"/>
    </row>
    <row r="118" spans="1:128" ht="15.75" customHeight="1">
      <c r="A118" s="80"/>
      <c r="B118" s="79"/>
      <c r="C118" s="18"/>
      <c r="D118" s="18"/>
      <c r="E118" s="18"/>
      <c r="F118" s="18"/>
      <c r="G118" s="18"/>
      <c r="H118" s="18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/>
      <c r="DX118" s="76"/>
    </row>
    <row r="119" spans="1:128" ht="15.75" customHeight="1">
      <c r="A119" s="80"/>
      <c r="B119" s="79"/>
      <c r="C119" s="18"/>
      <c r="D119" s="18"/>
      <c r="E119" s="18"/>
      <c r="F119" s="18"/>
      <c r="G119" s="18"/>
      <c r="H119" s="18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/>
      <c r="DX119" s="76"/>
    </row>
    <row r="120" spans="1:128" ht="15.75" customHeight="1">
      <c r="A120" s="80"/>
      <c r="B120" s="79"/>
      <c r="C120" s="18"/>
      <c r="D120" s="18"/>
      <c r="E120" s="18"/>
      <c r="F120" s="18"/>
      <c r="G120" s="18"/>
      <c r="H120" s="18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/>
      <c r="DX120" s="76"/>
    </row>
    <row r="121" spans="1:128" ht="15.75" customHeight="1">
      <c r="A121" s="80"/>
      <c r="B121" s="79"/>
      <c r="C121" s="18"/>
      <c r="D121" s="18"/>
      <c r="E121" s="18"/>
      <c r="F121" s="18"/>
      <c r="G121" s="18"/>
      <c r="H121" s="18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/>
      <c r="DX121" s="76"/>
    </row>
    <row r="122" spans="1:128" ht="15.75" customHeight="1">
      <c r="A122" s="80"/>
      <c r="B122" s="79"/>
      <c r="C122" s="18"/>
      <c r="D122" s="18"/>
      <c r="E122" s="18"/>
      <c r="F122" s="18"/>
      <c r="G122" s="18"/>
      <c r="H122" s="18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6"/>
      <c r="DX122" s="76"/>
    </row>
    <row r="123" spans="1:128" ht="15.75" customHeight="1">
      <c r="A123" s="80"/>
      <c r="B123" s="79"/>
      <c r="C123" s="18"/>
      <c r="D123" s="18"/>
      <c r="E123" s="18"/>
      <c r="F123" s="18"/>
      <c r="G123" s="18"/>
      <c r="H123" s="18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</row>
    <row r="124" spans="1:128" ht="15.75" customHeight="1">
      <c r="A124" s="80"/>
      <c r="B124" s="79"/>
      <c r="C124" s="18"/>
      <c r="D124" s="18"/>
      <c r="E124" s="18"/>
      <c r="F124" s="18"/>
      <c r="G124" s="18"/>
      <c r="H124" s="18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</row>
    <row r="125" spans="1:128" ht="15.75" customHeight="1">
      <c r="A125" s="80"/>
      <c r="B125" s="79"/>
      <c r="C125" s="18"/>
      <c r="D125" s="18"/>
      <c r="E125" s="18"/>
      <c r="F125" s="18"/>
      <c r="G125" s="18"/>
      <c r="H125" s="18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</row>
    <row r="126" spans="1:128" ht="15.75" customHeight="1">
      <c r="A126" s="80"/>
      <c r="B126" s="79"/>
      <c r="C126" s="18"/>
      <c r="D126" s="18"/>
      <c r="E126" s="18"/>
      <c r="F126" s="18"/>
      <c r="G126" s="18"/>
      <c r="H126" s="18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6"/>
      <c r="DX126" s="76"/>
    </row>
    <row r="127" spans="1:128" ht="15.75" customHeight="1">
      <c r="A127" s="80"/>
      <c r="B127" s="79"/>
      <c r="C127" s="18"/>
      <c r="D127" s="18"/>
      <c r="E127" s="18"/>
      <c r="F127" s="18"/>
      <c r="G127" s="18"/>
      <c r="H127" s="18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6"/>
      <c r="DX127" s="76"/>
    </row>
    <row r="128" spans="1:128" ht="15.75" customHeight="1">
      <c r="A128" s="80"/>
      <c r="B128" s="79"/>
      <c r="C128" s="18"/>
      <c r="D128" s="18"/>
      <c r="E128" s="18"/>
      <c r="F128" s="18"/>
      <c r="G128" s="18"/>
      <c r="H128" s="18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/>
      <c r="DX128" s="76"/>
    </row>
    <row r="129" spans="1:128" ht="15.75" customHeight="1">
      <c r="A129" s="80"/>
      <c r="B129" s="79"/>
      <c r="C129" s="18"/>
      <c r="D129" s="18"/>
      <c r="E129" s="18"/>
      <c r="F129" s="18"/>
      <c r="G129" s="18"/>
      <c r="H129" s="18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/>
      <c r="DX129" s="76"/>
    </row>
    <row r="130" spans="1:128" ht="15.75" customHeight="1">
      <c r="A130" s="80"/>
      <c r="B130" s="79"/>
      <c r="C130" s="18"/>
      <c r="D130" s="18"/>
      <c r="E130" s="18"/>
      <c r="F130" s="13"/>
      <c r="G130" s="18"/>
      <c r="H130" s="18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6"/>
      <c r="DX130" s="76"/>
    </row>
    <row r="131" spans="1:128" ht="15.75" customHeight="1">
      <c r="A131" s="80"/>
      <c r="B131" s="79"/>
      <c r="C131" s="18"/>
      <c r="D131" s="18"/>
      <c r="E131" s="18"/>
      <c r="F131" s="13"/>
      <c r="G131" s="18"/>
      <c r="H131" s="18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6"/>
      <c r="DX131" s="76"/>
    </row>
    <row r="132" spans="1:128" ht="15.75" customHeight="1">
      <c r="A132" s="80"/>
      <c r="B132" s="79"/>
      <c r="C132" s="18"/>
      <c r="D132" s="18"/>
      <c r="E132" s="18"/>
      <c r="F132" s="13"/>
      <c r="G132" s="18"/>
      <c r="H132" s="18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6"/>
      <c r="DX132" s="76"/>
    </row>
    <row r="133" spans="1:128" ht="15.75" customHeight="1">
      <c r="A133" s="80"/>
      <c r="B133" s="79"/>
      <c r="C133" s="18"/>
      <c r="D133" s="18"/>
      <c r="E133" s="18"/>
      <c r="F133" s="13"/>
      <c r="G133" s="18"/>
      <c r="H133" s="18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76"/>
      <c r="DX133" s="76"/>
    </row>
    <row r="134" spans="1:128" ht="15.75" customHeight="1">
      <c r="A134" s="80"/>
      <c r="B134" s="79"/>
      <c r="C134" s="18"/>
      <c r="D134" s="18"/>
      <c r="E134" s="18"/>
      <c r="F134" s="13"/>
      <c r="G134" s="18"/>
      <c r="H134" s="18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</row>
    <row r="135" spans="1:128" ht="15.75" customHeight="1">
      <c r="A135" s="80"/>
      <c r="B135" s="79"/>
      <c r="C135" s="18"/>
      <c r="D135" s="18"/>
      <c r="E135" s="18"/>
      <c r="F135" s="18"/>
      <c r="G135" s="18"/>
      <c r="H135" s="18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</row>
    <row r="136" spans="1:128" ht="15.75" customHeight="1">
      <c r="A136" s="80"/>
      <c r="B136" s="79"/>
      <c r="C136" s="18"/>
      <c r="D136" s="18"/>
      <c r="E136" s="18"/>
      <c r="F136" s="18"/>
      <c r="G136" s="18"/>
      <c r="H136" s="18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</row>
    <row r="137" spans="1:128" ht="15.75" customHeight="1">
      <c r="A137" s="80"/>
      <c r="B137" s="79"/>
      <c r="C137" s="18"/>
      <c r="D137" s="18"/>
      <c r="E137" s="18"/>
      <c r="F137" s="18"/>
      <c r="G137" s="18"/>
      <c r="H137" s="18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</row>
    <row r="138" spans="1:128" ht="15.75" customHeight="1">
      <c r="A138" s="80"/>
      <c r="B138" s="79"/>
      <c r="C138" s="18"/>
      <c r="D138" s="18"/>
      <c r="E138" s="18"/>
      <c r="F138" s="18"/>
      <c r="G138" s="18"/>
      <c r="H138" s="18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</row>
    <row r="139" spans="1:128" ht="15.75" customHeight="1">
      <c r="A139" s="80"/>
      <c r="B139" s="79"/>
      <c r="C139" s="18"/>
      <c r="D139" s="18"/>
      <c r="E139" s="18"/>
      <c r="F139" s="18"/>
      <c r="G139" s="18"/>
      <c r="H139" s="18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</row>
    <row r="140" spans="1:128" ht="15.75" customHeight="1">
      <c r="A140" s="80"/>
      <c r="B140" s="60"/>
      <c r="C140" s="18"/>
      <c r="D140" s="18"/>
      <c r="E140" s="18"/>
      <c r="F140" s="18"/>
      <c r="G140" s="18"/>
      <c r="H140" s="18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</row>
    <row r="141" spans="1:128" ht="15.75" customHeight="1">
      <c r="A141" s="80"/>
      <c r="B141" s="60"/>
      <c r="C141" s="18"/>
      <c r="D141" s="18"/>
      <c r="E141" s="18"/>
      <c r="F141" s="18"/>
      <c r="G141" s="18"/>
      <c r="H141" s="18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</row>
    <row r="142" spans="1:128" ht="15.75" customHeight="1">
      <c r="A142" s="80"/>
      <c r="B142" s="60"/>
      <c r="C142" s="18"/>
      <c r="D142" s="18"/>
      <c r="E142" s="18"/>
      <c r="F142" s="18"/>
      <c r="G142" s="18"/>
      <c r="H142" s="18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</row>
    <row r="143" spans="1:128" ht="15.75" customHeight="1">
      <c r="A143" s="80"/>
      <c r="B143" s="60"/>
      <c r="C143" s="18"/>
      <c r="D143" s="18"/>
      <c r="E143" s="18"/>
      <c r="F143" s="18"/>
      <c r="G143" s="18"/>
      <c r="H143" s="18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</row>
    <row r="144" spans="1:128" ht="15.75" customHeight="1">
      <c r="A144" s="80"/>
      <c r="B144" s="60"/>
      <c r="C144" s="18"/>
      <c r="D144" s="18"/>
      <c r="E144" s="18"/>
      <c r="F144" s="18"/>
      <c r="G144" s="18"/>
      <c r="H144" s="18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</row>
    <row r="145" spans="1:128" ht="15.75" customHeight="1">
      <c r="A145" s="80"/>
      <c r="B145" s="60"/>
      <c r="C145" s="18"/>
      <c r="D145" s="18"/>
      <c r="E145" s="18"/>
      <c r="F145" s="18"/>
      <c r="G145" s="18"/>
      <c r="H145" s="18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</row>
    <row r="146" spans="1:128" ht="15.75" customHeight="1">
      <c r="A146" s="80"/>
      <c r="B146" s="60"/>
      <c r="C146" s="18"/>
      <c r="D146" s="18"/>
      <c r="E146" s="18"/>
      <c r="F146" s="18"/>
      <c r="G146" s="18"/>
      <c r="H146" s="18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</row>
    <row r="147" spans="1:128" ht="15.75" customHeight="1">
      <c r="A147" s="80"/>
      <c r="B147" s="60"/>
      <c r="C147" s="18"/>
      <c r="D147" s="18"/>
      <c r="E147" s="18"/>
      <c r="F147" s="18"/>
      <c r="G147" s="18"/>
      <c r="H147" s="18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</row>
    <row r="148" spans="1:128" ht="15.75" customHeight="1">
      <c r="A148" s="80"/>
      <c r="B148" s="60"/>
      <c r="C148" s="18"/>
      <c r="D148" s="18"/>
      <c r="E148" s="18"/>
      <c r="F148" s="18"/>
      <c r="G148" s="18"/>
      <c r="H148" s="18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</row>
    <row r="149" spans="1:128" ht="15.75" customHeight="1">
      <c r="A149" s="80"/>
      <c r="B149" s="60"/>
      <c r="C149" s="18"/>
      <c r="D149" s="18"/>
      <c r="E149" s="18"/>
      <c r="F149" s="18"/>
      <c r="G149" s="18"/>
      <c r="H149" s="18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</row>
    <row r="150" spans="1:128" ht="15.75" customHeight="1">
      <c r="A150" s="80"/>
      <c r="B150" s="60"/>
      <c r="C150" s="18"/>
      <c r="D150" s="18"/>
      <c r="E150" s="18"/>
      <c r="F150" s="18"/>
      <c r="G150" s="18"/>
      <c r="H150" s="18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</row>
    <row r="151" spans="1:128" ht="15.75" customHeight="1">
      <c r="A151" s="80"/>
      <c r="B151" s="60"/>
      <c r="C151" s="18"/>
      <c r="D151" s="18"/>
      <c r="E151" s="18"/>
      <c r="F151" s="18"/>
      <c r="G151" s="18"/>
      <c r="H151" s="18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</row>
    <row r="152" spans="1:128" ht="15.75" customHeight="1">
      <c r="A152" s="80"/>
      <c r="B152" s="60"/>
      <c r="C152" s="18"/>
      <c r="D152" s="18"/>
      <c r="E152" s="18"/>
      <c r="F152" s="18"/>
      <c r="G152" s="18"/>
      <c r="H152" s="18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</row>
    <row r="153" spans="1:128" ht="15.75" customHeight="1">
      <c r="A153" s="80"/>
      <c r="B153" s="60"/>
      <c r="C153" s="18"/>
      <c r="D153" s="18"/>
      <c r="E153" s="18"/>
      <c r="F153" s="18"/>
      <c r="G153" s="18"/>
      <c r="H153" s="18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</row>
    <row r="154" spans="1:128" ht="15.75" customHeight="1">
      <c r="A154" s="80"/>
      <c r="B154" s="60"/>
      <c r="C154" s="18"/>
      <c r="D154" s="18"/>
      <c r="E154" s="18"/>
      <c r="F154" s="18"/>
      <c r="G154" s="18"/>
      <c r="H154" s="18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</row>
    <row r="155" spans="1:128" ht="15.75" customHeight="1">
      <c r="A155" s="80"/>
      <c r="B155" s="60"/>
      <c r="C155" s="18"/>
      <c r="D155" s="18"/>
      <c r="E155" s="18"/>
      <c r="F155" s="18"/>
      <c r="G155" s="18"/>
      <c r="H155" s="18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</row>
    <row r="156" spans="1:128" ht="15.75" customHeight="1">
      <c r="A156" s="80"/>
      <c r="B156" s="60"/>
      <c r="C156" s="18"/>
      <c r="D156" s="18"/>
      <c r="E156" s="18"/>
      <c r="F156" s="18"/>
      <c r="G156" s="18"/>
      <c r="H156" s="18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</row>
    <row r="157" spans="1:128" ht="15.75" customHeight="1">
      <c r="A157" s="80"/>
      <c r="B157" s="60"/>
      <c r="C157" s="18"/>
      <c r="D157" s="18"/>
      <c r="E157" s="18"/>
      <c r="F157" s="18"/>
      <c r="G157" s="18"/>
      <c r="H157" s="18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</row>
    <row r="158" spans="1:128" ht="15.75" customHeight="1">
      <c r="A158" s="80"/>
      <c r="B158" s="60"/>
      <c r="C158" s="18"/>
      <c r="D158" s="18"/>
      <c r="E158" s="18"/>
      <c r="F158" s="18"/>
      <c r="G158" s="18"/>
      <c r="H158" s="18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</row>
    <row r="159" spans="1:128" ht="15.75" customHeight="1">
      <c r="A159" s="80"/>
      <c r="B159" s="60"/>
      <c r="C159" s="18"/>
      <c r="D159" s="18"/>
      <c r="E159" s="18"/>
      <c r="F159" s="18"/>
      <c r="G159" s="18"/>
      <c r="H159" s="18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</row>
    <row r="160" spans="1:128" ht="15.75" customHeight="1">
      <c r="A160" s="80"/>
      <c r="B160" s="60"/>
      <c r="C160" s="18"/>
      <c r="D160" s="18"/>
      <c r="E160" s="18"/>
      <c r="F160" s="18"/>
      <c r="G160" s="18"/>
      <c r="H160" s="18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</row>
    <row r="161" spans="1:128" ht="15.75" customHeight="1">
      <c r="A161" s="80"/>
      <c r="B161" s="60"/>
      <c r="C161" s="18"/>
      <c r="D161" s="18"/>
      <c r="E161" s="18"/>
      <c r="F161" s="18"/>
      <c r="G161" s="18"/>
      <c r="H161" s="18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</row>
    <row r="162" spans="1:128" ht="15.75" customHeight="1">
      <c r="A162" s="80"/>
      <c r="B162" s="60"/>
      <c r="C162" s="18"/>
      <c r="D162" s="18"/>
      <c r="E162" s="18"/>
      <c r="F162" s="18"/>
      <c r="G162" s="18"/>
      <c r="H162" s="18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</row>
    <row r="163" spans="1:128" ht="15.75" customHeight="1">
      <c r="A163" s="80"/>
      <c r="B163" s="60"/>
      <c r="C163" s="18"/>
      <c r="D163" s="18"/>
      <c r="E163" s="18"/>
      <c r="F163" s="18"/>
      <c r="G163" s="18"/>
      <c r="H163" s="18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</row>
    <row r="164" spans="1:128" ht="15.75" customHeight="1">
      <c r="A164" s="80"/>
      <c r="B164" s="60"/>
      <c r="C164" s="18"/>
      <c r="D164" s="18"/>
      <c r="E164" s="18"/>
      <c r="F164" s="18"/>
      <c r="G164" s="18"/>
      <c r="H164" s="18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</row>
    <row r="165" spans="1:128" ht="15.75" customHeight="1">
      <c r="A165" s="80"/>
      <c r="B165" s="60"/>
      <c r="C165" s="18"/>
      <c r="D165" s="18"/>
      <c r="E165" s="18"/>
      <c r="F165" s="18"/>
      <c r="G165" s="18"/>
      <c r="H165" s="18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</row>
    <row r="166" spans="1:128" ht="15.75" customHeight="1">
      <c r="A166" s="80"/>
      <c r="B166" s="60"/>
      <c r="C166" s="18"/>
      <c r="D166" s="18"/>
      <c r="E166" s="18"/>
      <c r="F166" s="18"/>
      <c r="G166" s="18"/>
      <c r="H166" s="18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</row>
    <row r="167" spans="1:128" ht="15.75" customHeight="1">
      <c r="A167" s="80"/>
      <c r="B167" s="60"/>
      <c r="C167" s="18"/>
      <c r="D167" s="18"/>
      <c r="E167" s="18"/>
      <c r="F167" s="18"/>
      <c r="G167" s="18"/>
      <c r="H167" s="18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</row>
    <row r="168" spans="1:128" ht="15.75" customHeight="1">
      <c r="A168" s="80"/>
      <c r="B168" s="60"/>
      <c r="C168" s="18"/>
      <c r="D168" s="18"/>
      <c r="E168" s="18"/>
      <c r="F168" s="18"/>
      <c r="G168" s="18"/>
      <c r="H168" s="18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</row>
    <row r="169" spans="1:128" ht="15.75" customHeight="1">
      <c r="A169" s="80"/>
      <c r="B169" s="60"/>
      <c r="C169" s="18"/>
      <c r="D169" s="18"/>
      <c r="E169" s="18"/>
      <c r="F169" s="18"/>
      <c r="G169" s="18"/>
      <c r="H169" s="18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</row>
    <row r="170" spans="1:128" ht="15.75" customHeight="1">
      <c r="A170" s="80"/>
      <c r="B170" s="60"/>
      <c r="C170" s="18"/>
      <c r="D170" s="18"/>
      <c r="E170" s="18"/>
      <c r="F170" s="18"/>
      <c r="G170" s="18"/>
      <c r="H170" s="18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</row>
    <row r="171" spans="1:128" ht="15.75" customHeight="1">
      <c r="A171" s="80"/>
      <c r="B171" s="60"/>
      <c r="C171" s="18"/>
      <c r="D171" s="18"/>
      <c r="E171" s="18"/>
      <c r="F171" s="18"/>
      <c r="G171" s="18"/>
      <c r="H171" s="18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</row>
    <row r="172" spans="1:128" ht="15.75" customHeight="1">
      <c r="A172" s="80"/>
      <c r="B172" s="60"/>
      <c r="C172" s="18"/>
      <c r="D172" s="18"/>
      <c r="E172" s="18"/>
      <c r="F172" s="18"/>
      <c r="G172" s="18"/>
      <c r="H172" s="18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</row>
    <row r="173" spans="1:128" ht="15.75" customHeight="1">
      <c r="A173" s="80"/>
      <c r="B173" s="60"/>
      <c r="C173" s="18"/>
      <c r="D173" s="18"/>
      <c r="E173" s="18"/>
      <c r="F173" s="18"/>
      <c r="G173" s="18"/>
      <c r="H173" s="18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</row>
    <row r="174" spans="1:128" ht="15.75" customHeight="1">
      <c r="A174" s="80"/>
      <c r="B174" s="60"/>
      <c r="C174" s="18"/>
      <c r="D174" s="18"/>
      <c r="E174" s="18"/>
      <c r="F174" s="18"/>
      <c r="G174" s="18"/>
      <c r="H174" s="18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</row>
    <row r="175" spans="1:128" ht="15.75" customHeight="1">
      <c r="A175" s="80"/>
      <c r="B175" s="60"/>
      <c r="C175" s="18"/>
      <c r="D175" s="18"/>
      <c r="E175" s="18"/>
      <c r="F175" s="18"/>
      <c r="G175" s="18"/>
      <c r="H175" s="18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</row>
    <row r="176" spans="1:128" ht="15.75" customHeight="1">
      <c r="A176" s="80"/>
      <c r="B176" s="60"/>
      <c r="C176" s="18"/>
      <c r="D176" s="18"/>
      <c r="E176" s="18"/>
      <c r="F176" s="18"/>
      <c r="G176" s="18"/>
      <c r="H176" s="18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</row>
    <row r="177" spans="1:128" ht="15.75" customHeight="1">
      <c r="A177" s="80"/>
      <c r="B177" s="60"/>
      <c r="C177" s="18"/>
      <c r="D177" s="18"/>
      <c r="E177" s="18"/>
      <c r="F177" s="18"/>
      <c r="G177" s="18"/>
      <c r="H177" s="18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</row>
    <row r="178" spans="1:128" ht="15.75" customHeight="1">
      <c r="A178" s="80"/>
      <c r="B178" s="60"/>
      <c r="C178" s="18"/>
      <c r="D178" s="18"/>
      <c r="E178" s="18"/>
      <c r="F178" s="18"/>
      <c r="G178" s="18"/>
      <c r="H178" s="18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</row>
    <row r="179" spans="1:128" ht="15.75" customHeight="1">
      <c r="A179" s="80"/>
      <c r="B179" s="60"/>
      <c r="C179" s="18"/>
      <c r="D179" s="18"/>
      <c r="E179" s="18"/>
      <c r="F179" s="18"/>
      <c r="G179" s="18"/>
      <c r="H179" s="18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</row>
    <row r="180" spans="1:128" ht="15.75" customHeight="1">
      <c r="A180" s="80"/>
      <c r="B180" s="60"/>
      <c r="C180" s="18"/>
      <c r="D180" s="18"/>
      <c r="E180" s="18"/>
      <c r="F180" s="18"/>
      <c r="G180" s="18"/>
      <c r="H180" s="18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</row>
    <row r="181" spans="1:128" ht="15.75" customHeight="1">
      <c r="A181" s="80"/>
      <c r="B181" s="60"/>
      <c r="C181" s="18"/>
      <c r="D181" s="18"/>
      <c r="E181" s="18"/>
      <c r="F181" s="18"/>
      <c r="G181" s="18"/>
      <c r="H181" s="18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</row>
    <row r="182" spans="1:128" ht="15.75" customHeight="1">
      <c r="A182" s="80"/>
      <c r="B182" s="60"/>
      <c r="C182" s="18"/>
      <c r="D182" s="18"/>
      <c r="E182" s="18"/>
      <c r="F182" s="18"/>
      <c r="G182" s="18"/>
      <c r="H182" s="18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</row>
    <row r="183" spans="1:128" ht="15.75" customHeight="1">
      <c r="A183" s="80"/>
      <c r="B183" s="60"/>
      <c r="C183" s="18"/>
      <c r="D183" s="18"/>
      <c r="E183" s="18"/>
      <c r="F183" s="18"/>
      <c r="G183" s="18"/>
      <c r="H183" s="18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</row>
    <row r="184" spans="1:128" ht="15.75" customHeight="1">
      <c r="A184" s="80"/>
      <c r="B184" s="60"/>
      <c r="C184" s="18"/>
      <c r="D184" s="18"/>
      <c r="E184" s="18"/>
      <c r="F184" s="18"/>
      <c r="G184" s="18"/>
      <c r="H184" s="18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</row>
    <row r="185" spans="1:128" ht="15.75" customHeight="1">
      <c r="A185" s="80"/>
      <c r="B185" s="60"/>
      <c r="C185" s="18"/>
      <c r="D185" s="18"/>
      <c r="E185" s="18"/>
      <c r="F185" s="18"/>
      <c r="G185" s="18"/>
      <c r="H185" s="18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</row>
    <row r="186" spans="1:128" ht="15.75" customHeight="1">
      <c r="A186" s="80"/>
      <c r="B186" s="60"/>
      <c r="C186" s="18"/>
      <c r="D186" s="18"/>
      <c r="E186" s="18"/>
      <c r="F186" s="18"/>
      <c r="G186" s="18"/>
      <c r="H186" s="18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</row>
    <row r="187" spans="1:128" ht="15.75" customHeight="1">
      <c r="A187" s="80"/>
      <c r="B187" s="60"/>
      <c r="C187" s="18"/>
      <c r="D187" s="18"/>
      <c r="E187" s="18"/>
      <c r="F187" s="18"/>
      <c r="G187" s="18"/>
      <c r="H187" s="18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</row>
    <row r="188" spans="1:128" ht="15.75" customHeight="1">
      <c r="A188" s="80"/>
      <c r="B188" s="60"/>
      <c r="C188" s="18"/>
      <c r="D188" s="18"/>
      <c r="E188" s="18"/>
      <c r="F188" s="18"/>
      <c r="G188" s="18"/>
      <c r="H188" s="18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</row>
    <row r="189" spans="1:128" ht="15.75" customHeight="1">
      <c r="A189" s="80"/>
      <c r="B189" s="60"/>
      <c r="C189" s="18"/>
      <c r="D189" s="18"/>
      <c r="E189" s="18"/>
      <c r="F189" s="18"/>
      <c r="G189" s="18"/>
      <c r="H189" s="18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</row>
    <row r="190" spans="1:128" ht="15.75" customHeight="1">
      <c r="A190" s="80"/>
      <c r="B190" s="60"/>
      <c r="C190" s="18"/>
      <c r="D190" s="18"/>
      <c r="E190" s="18"/>
      <c r="F190" s="18"/>
      <c r="G190" s="18"/>
      <c r="H190" s="18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</row>
    <row r="191" spans="1:128" ht="15.75" customHeight="1">
      <c r="A191" s="80"/>
      <c r="B191" s="60"/>
      <c r="C191" s="18"/>
      <c r="D191" s="18"/>
      <c r="E191" s="18"/>
      <c r="F191" s="18"/>
      <c r="G191" s="18"/>
      <c r="H191" s="18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</row>
    <row r="192" spans="1:128" ht="15.75" customHeight="1">
      <c r="A192" s="80"/>
      <c r="B192" s="60"/>
      <c r="C192" s="18"/>
      <c r="D192" s="18"/>
      <c r="E192" s="18"/>
      <c r="F192" s="18"/>
      <c r="G192" s="18"/>
      <c r="H192" s="18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</row>
    <row r="193" spans="1:128" ht="15.75" customHeight="1">
      <c r="A193" s="80"/>
      <c r="B193" s="60"/>
      <c r="C193" s="18"/>
      <c r="D193" s="18"/>
      <c r="E193" s="18"/>
      <c r="F193" s="18"/>
      <c r="G193" s="18"/>
      <c r="H193" s="18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</row>
    <row r="194" spans="1:128" ht="15.75" customHeight="1">
      <c r="A194" s="80"/>
      <c r="B194" s="60"/>
      <c r="C194" s="18"/>
      <c r="D194" s="18"/>
      <c r="E194" s="18"/>
      <c r="F194" s="18"/>
      <c r="G194" s="18"/>
      <c r="H194" s="18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</row>
    <row r="195" spans="1:128" ht="15.75" customHeight="1">
      <c r="A195" s="80"/>
      <c r="B195" s="60"/>
      <c r="C195" s="18"/>
      <c r="D195" s="18"/>
      <c r="E195" s="18"/>
      <c r="F195" s="18"/>
      <c r="G195" s="18"/>
      <c r="H195" s="18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</row>
    <row r="196" spans="1:128" ht="15.75" customHeight="1">
      <c r="A196" s="80"/>
      <c r="B196" s="60"/>
      <c r="C196" s="18"/>
      <c r="D196" s="18"/>
      <c r="E196" s="18"/>
      <c r="F196" s="18"/>
      <c r="G196" s="18"/>
      <c r="H196" s="18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</row>
    <row r="197" spans="1:128" ht="15.75" customHeight="1">
      <c r="A197" s="80"/>
      <c r="B197" s="60"/>
      <c r="C197" s="18"/>
      <c r="D197" s="18"/>
      <c r="E197" s="18"/>
      <c r="F197" s="18"/>
      <c r="G197" s="18"/>
      <c r="H197" s="18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</row>
    <row r="198" spans="1:128" ht="15.75" customHeight="1">
      <c r="A198" s="80"/>
      <c r="B198" s="60"/>
      <c r="C198" s="18"/>
      <c r="D198" s="18"/>
      <c r="E198" s="18"/>
      <c r="F198" s="18"/>
      <c r="G198" s="18"/>
      <c r="H198" s="18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</row>
    <row r="199" spans="1:128" ht="15.75" customHeight="1">
      <c r="A199" s="80"/>
      <c r="B199" s="60"/>
      <c r="C199" s="18"/>
      <c r="D199" s="18"/>
      <c r="E199" s="18"/>
      <c r="F199" s="18"/>
      <c r="G199" s="18"/>
      <c r="H199" s="18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</row>
    <row r="200" spans="1:128" ht="15.75" customHeight="1">
      <c r="A200" s="80"/>
      <c r="B200" s="60"/>
      <c r="C200" s="18"/>
      <c r="D200" s="18"/>
      <c r="E200" s="18"/>
      <c r="F200" s="18"/>
      <c r="G200" s="18"/>
      <c r="H200" s="18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</row>
    <row r="201" spans="1:128" ht="15.75" customHeight="1">
      <c r="A201" s="80"/>
      <c r="B201" s="60"/>
      <c r="C201" s="18"/>
      <c r="D201" s="18"/>
      <c r="E201" s="18"/>
      <c r="F201" s="18"/>
      <c r="G201" s="18"/>
      <c r="H201" s="18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</row>
    <row r="202" spans="1:128" ht="15.75" customHeight="1">
      <c r="A202" s="80"/>
      <c r="B202" s="60"/>
      <c r="C202" s="18"/>
      <c r="D202" s="18"/>
      <c r="E202" s="18"/>
      <c r="F202" s="18"/>
      <c r="G202" s="18"/>
      <c r="H202" s="18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</row>
    <row r="203" spans="1:128" ht="15.75" customHeight="1">
      <c r="A203" s="80"/>
      <c r="B203" s="60"/>
      <c r="C203" s="18"/>
      <c r="D203" s="18"/>
      <c r="E203" s="18"/>
      <c r="F203" s="18"/>
      <c r="G203" s="18"/>
      <c r="H203" s="18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</row>
    <row r="204" spans="1:128" ht="15.75" customHeight="1">
      <c r="A204" s="80"/>
      <c r="B204" s="60"/>
      <c r="C204" s="18"/>
      <c r="D204" s="18"/>
      <c r="E204" s="18"/>
      <c r="F204" s="18"/>
      <c r="G204" s="18"/>
      <c r="H204" s="18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</row>
    <row r="205" spans="1:128" ht="15.75" customHeight="1">
      <c r="A205" s="80"/>
      <c r="B205" s="60"/>
      <c r="C205" s="18"/>
      <c r="D205" s="18"/>
      <c r="E205" s="18"/>
      <c r="F205" s="18"/>
      <c r="G205" s="18"/>
      <c r="H205" s="18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</row>
    <row r="206" spans="1:128" ht="15.75" customHeight="1">
      <c r="A206" s="80"/>
      <c r="B206" s="60"/>
      <c r="C206" s="18"/>
      <c r="D206" s="18"/>
      <c r="E206" s="18"/>
      <c r="F206" s="18"/>
      <c r="G206" s="18"/>
      <c r="H206" s="18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</row>
    <row r="207" spans="1:128" ht="15.75" customHeight="1">
      <c r="A207" s="80"/>
      <c r="B207" s="60"/>
      <c r="C207" s="18"/>
      <c r="D207" s="18"/>
      <c r="E207" s="18"/>
      <c r="F207" s="18"/>
      <c r="G207" s="18"/>
      <c r="H207" s="18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</row>
    <row r="208" spans="1:128" ht="15.75" customHeight="1">
      <c r="A208" s="80"/>
      <c r="B208" s="60"/>
      <c r="C208" s="18"/>
      <c r="D208" s="18"/>
      <c r="E208" s="18"/>
      <c r="F208" s="18"/>
      <c r="G208" s="18"/>
      <c r="H208" s="18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</row>
    <row r="209" spans="1:128" ht="15.75" customHeight="1">
      <c r="A209" s="80"/>
      <c r="B209" s="60"/>
      <c r="C209" s="18"/>
      <c r="D209" s="18"/>
      <c r="E209" s="18"/>
      <c r="F209" s="18"/>
      <c r="G209" s="18"/>
      <c r="H209" s="18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</row>
    <row r="210" spans="1:128" ht="15.75" customHeight="1">
      <c r="A210" s="80"/>
      <c r="B210" s="60"/>
      <c r="C210" s="18"/>
      <c r="D210" s="18"/>
      <c r="E210" s="18"/>
      <c r="F210" s="18"/>
      <c r="G210" s="18"/>
      <c r="H210" s="18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</row>
    <row r="211" spans="1:128" ht="15.75" customHeight="1">
      <c r="A211" s="80"/>
      <c r="B211" s="60"/>
      <c r="C211" s="18"/>
      <c r="D211" s="18"/>
      <c r="E211" s="18"/>
      <c r="F211" s="18"/>
      <c r="G211" s="18"/>
      <c r="H211" s="18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</row>
    <row r="212" spans="1:128" ht="15.75" customHeight="1">
      <c r="A212" s="80"/>
      <c r="B212" s="60"/>
      <c r="C212" s="18"/>
      <c r="D212" s="18"/>
      <c r="E212" s="18"/>
      <c r="F212" s="18"/>
      <c r="G212" s="18"/>
      <c r="H212" s="18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</row>
    <row r="213" spans="1:128" ht="15.75" customHeight="1">
      <c r="A213" s="80"/>
      <c r="B213" s="60"/>
      <c r="C213" s="18"/>
      <c r="D213" s="18"/>
      <c r="E213" s="18"/>
      <c r="F213" s="18"/>
      <c r="G213" s="18"/>
      <c r="H213" s="18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</row>
    <row r="214" spans="1:128" ht="15.75" customHeight="1">
      <c r="A214" s="80"/>
      <c r="B214" s="60"/>
      <c r="C214" s="18"/>
      <c r="D214" s="18"/>
      <c r="E214" s="18"/>
      <c r="F214" s="18"/>
      <c r="G214" s="18"/>
      <c r="H214" s="18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</row>
    <row r="215" spans="1:128" ht="15.75" customHeight="1">
      <c r="A215" s="80"/>
      <c r="B215" s="60"/>
      <c r="C215" s="18"/>
      <c r="D215" s="18"/>
      <c r="E215" s="18"/>
      <c r="F215" s="18"/>
      <c r="G215" s="18"/>
      <c r="H215" s="18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</row>
    <row r="216" spans="1:128" ht="15.75" customHeight="1">
      <c r="A216" s="80"/>
      <c r="B216" s="60"/>
      <c r="C216" s="18"/>
      <c r="D216" s="18"/>
      <c r="E216" s="18"/>
      <c r="F216" s="18"/>
      <c r="G216" s="18"/>
      <c r="H216" s="18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</row>
    <row r="217" spans="1:128" ht="15.75" customHeight="1">
      <c r="A217" s="80"/>
      <c r="B217" s="60"/>
      <c r="C217" s="18"/>
      <c r="D217" s="18"/>
      <c r="E217" s="18"/>
      <c r="F217" s="18"/>
      <c r="G217" s="18"/>
      <c r="H217" s="18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</row>
    <row r="218" spans="1:128" ht="15.75" customHeight="1">
      <c r="A218" s="80"/>
      <c r="B218" s="60"/>
      <c r="C218" s="18"/>
      <c r="D218" s="18"/>
      <c r="E218" s="18"/>
      <c r="F218" s="18"/>
      <c r="G218" s="18"/>
      <c r="H218" s="18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</row>
    <row r="219" spans="1:128" ht="15.75" customHeight="1">
      <c r="A219" s="80"/>
      <c r="B219" s="60"/>
      <c r="C219" s="18"/>
      <c r="D219" s="18"/>
      <c r="E219" s="18"/>
      <c r="F219" s="18"/>
      <c r="G219" s="18"/>
      <c r="H219" s="18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</row>
    <row r="220" spans="1:128" ht="15.75" customHeight="1">
      <c r="A220" s="80"/>
      <c r="B220" s="60"/>
      <c r="C220" s="18"/>
      <c r="D220" s="18"/>
      <c r="E220" s="18"/>
      <c r="F220" s="18"/>
      <c r="G220" s="18"/>
      <c r="H220" s="18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</row>
    <row r="221" spans="1:128" ht="15.75" customHeight="1">
      <c r="A221" s="80"/>
      <c r="B221" s="60"/>
      <c r="C221" s="18"/>
      <c r="D221" s="18"/>
      <c r="E221" s="18"/>
      <c r="F221" s="18"/>
      <c r="G221" s="18"/>
      <c r="H221" s="18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</row>
    <row r="222" spans="1:128" ht="15.75" customHeight="1">
      <c r="A222" s="80"/>
      <c r="B222" s="60"/>
      <c r="C222" s="18"/>
      <c r="D222" s="18"/>
      <c r="E222" s="18"/>
      <c r="F222" s="18"/>
      <c r="G222" s="18"/>
      <c r="H222" s="18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</row>
    <row r="223" spans="1:128" ht="15.75" customHeight="1">
      <c r="A223" s="80"/>
      <c r="B223" s="60"/>
      <c r="C223" s="18"/>
      <c r="D223" s="18"/>
      <c r="E223" s="18"/>
      <c r="F223" s="18"/>
      <c r="G223" s="18"/>
      <c r="H223" s="18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</row>
    <row r="224" spans="1:128" ht="15.75" customHeight="1">
      <c r="A224" s="80"/>
      <c r="B224" s="60"/>
      <c r="C224" s="18"/>
      <c r="D224" s="18"/>
      <c r="E224" s="18"/>
      <c r="F224" s="18"/>
      <c r="G224" s="18"/>
      <c r="H224" s="18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</row>
    <row r="225" spans="1:128" ht="15.75" customHeight="1">
      <c r="A225" s="80"/>
      <c r="B225" s="60"/>
      <c r="C225" s="18"/>
      <c r="D225" s="18"/>
      <c r="E225" s="18"/>
      <c r="F225" s="18"/>
      <c r="G225" s="18"/>
      <c r="H225" s="18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</row>
    <row r="226" spans="1:128" ht="15.75" customHeight="1">
      <c r="A226" s="80"/>
      <c r="B226" s="60"/>
      <c r="C226" s="18"/>
      <c r="D226" s="18"/>
      <c r="E226" s="18"/>
      <c r="F226" s="18"/>
      <c r="G226" s="18"/>
      <c r="H226" s="18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</row>
    <row r="227" spans="1:128" ht="15.75" customHeight="1">
      <c r="A227" s="80"/>
      <c r="B227" s="60"/>
      <c r="C227" s="18"/>
      <c r="D227" s="18"/>
      <c r="E227" s="18"/>
      <c r="F227" s="18"/>
      <c r="G227" s="18"/>
      <c r="H227" s="18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</row>
    <row r="228" spans="1:128" ht="15.75" customHeight="1">
      <c r="A228" s="80"/>
      <c r="B228" s="60"/>
      <c r="C228" s="18"/>
      <c r="D228" s="18"/>
      <c r="E228" s="18"/>
      <c r="F228" s="18"/>
      <c r="G228" s="18"/>
      <c r="H228" s="18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</row>
    <row r="229" spans="1:128" ht="15.75" customHeight="1">
      <c r="A229" s="80"/>
      <c r="B229" s="60"/>
      <c r="C229" s="18"/>
      <c r="D229" s="18"/>
      <c r="E229" s="18"/>
      <c r="F229" s="18"/>
      <c r="G229" s="18"/>
      <c r="H229" s="18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</row>
    <row r="230" spans="1:128" ht="15.75" customHeight="1">
      <c r="A230" s="80"/>
      <c r="B230" s="60"/>
      <c r="C230" s="18"/>
      <c r="D230" s="18"/>
      <c r="E230" s="18"/>
      <c r="F230" s="18"/>
      <c r="G230" s="18"/>
      <c r="H230" s="18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</row>
    <row r="231" spans="1:128" ht="15.75" customHeight="1">
      <c r="A231" s="80"/>
      <c r="B231" s="60"/>
      <c r="C231" s="18"/>
      <c r="D231" s="18"/>
      <c r="E231" s="18"/>
      <c r="F231" s="18"/>
      <c r="G231" s="18"/>
      <c r="H231" s="18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</row>
    <row r="232" spans="1:128" ht="15.75" customHeight="1">
      <c r="A232" s="80"/>
      <c r="B232" s="60"/>
      <c r="C232" s="18"/>
      <c r="D232" s="18"/>
      <c r="E232" s="18"/>
      <c r="F232" s="18"/>
      <c r="G232" s="18"/>
      <c r="H232" s="18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</row>
    <row r="233" spans="1:128" ht="15.75" customHeight="1">
      <c r="A233" s="80"/>
      <c r="B233" s="60"/>
      <c r="C233" s="18"/>
      <c r="D233" s="18"/>
      <c r="E233" s="18"/>
      <c r="F233" s="18"/>
      <c r="G233" s="18"/>
      <c r="H233" s="18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</row>
    <row r="234" spans="1:128" ht="15.75" customHeight="1">
      <c r="A234" s="80"/>
      <c r="B234" s="60"/>
      <c r="C234" s="18"/>
      <c r="D234" s="18"/>
      <c r="E234" s="18"/>
      <c r="F234" s="18"/>
      <c r="G234" s="18"/>
      <c r="H234" s="18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6"/>
      <c r="DX234" s="76"/>
    </row>
    <row r="235" spans="1:128" ht="15.75" customHeight="1">
      <c r="A235" s="80"/>
      <c r="B235" s="60"/>
      <c r="C235" s="18"/>
      <c r="D235" s="18"/>
      <c r="E235" s="18"/>
      <c r="F235" s="18"/>
      <c r="G235" s="18"/>
      <c r="H235" s="18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6"/>
      <c r="DX235" s="76"/>
    </row>
    <row r="236" spans="1:128" ht="15.75" customHeight="1">
      <c r="A236" s="80"/>
      <c r="B236" s="60"/>
      <c r="C236" s="18"/>
      <c r="D236" s="18"/>
      <c r="E236" s="18"/>
      <c r="F236" s="18"/>
      <c r="G236" s="18"/>
      <c r="H236" s="18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6"/>
      <c r="DX236" s="76"/>
    </row>
    <row r="237" spans="1:128" ht="15.75" customHeight="1">
      <c r="A237" s="80"/>
      <c r="B237" s="60"/>
      <c r="C237" s="18"/>
      <c r="D237" s="18"/>
      <c r="E237" s="18"/>
      <c r="F237" s="18"/>
      <c r="G237" s="18"/>
      <c r="H237" s="18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6"/>
      <c r="DX237" s="76"/>
    </row>
    <row r="238" spans="1:128" ht="15.75" customHeight="1">
      <c r="A238" s="80"/>
      <c r="B238" s="60"/>
      <c r="C238" s="18"/>
      <c r="D238" s="18"/>
      <c r="E238" s="18"/>
      <c r="F238" s="18"/>
      <c r="G238" s="18"/>
      <c r="H238" s="18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6"/>
      <c r="DX238" s="76"/>
    </row>
    <row r="239" spans="1:128" ht="15.75" customHeight="1">
      <c r="A239" s="80"/>
      <c r="B239" s="60"/>
      <c r="C239" s="18"/>
      <c r="D239" s="18"/>
      <c r="E239" s="18"/>
      <c r="F239" s="18"/>
      <c r="G239" s="18"/>
      <c r="H239" s="18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6"/>
      <c r="DX239" s="76"/>
    </row>
    <row r="240" spans="1:128" ht="15.75" customHeight="1">
      <c r="A240" s="80"/>
      <c r="B240" s="60"/>
      <c r="C240" s="18"/>
      <c r="D240" s="18"/>
      <c r="E240" s="18"/>
      <c r="F240" s="18"/>
      <c r="G240" s="18"/>
      <c r="H240" s="18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6"/>
      <c r="DX240" s="76"/>
    </row>
    <row r="241" spans="1:128" ht="15.75" customHeight="1">
      <c r="A241" s="80"/>
      <c r="B241" s="60"/>
      <c r="C241" s="18"/>
      <c r="D241" s="18"/>
      <c r="E241" s="18"/>
      <c r="F241" s="18"/>
      <c r="G241" s="18"/>
      <c r="H241" s="18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6"/>
      <c r="DX241" s="76"/>
    </row>
    <row r="242" spans="1:128" ht="15.75" customHeight="1">
      <c r="A242" s="80"/>
      <c r="B242" s="60"/>
      <c r="C242" s="18"/>
      <c r="D242" s="18"/>
      <c r="E242" s="18"/>
      <c r="F242" s="18"/>
      <c r="G242" s="18"/>
      <c r="H242" s="18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</row>
    <row r="243" spans="1:128" ht="15.75" customHeight="1">
      <c r="A243" s="80"/>
      <c r="B243" s="60"/>
      <c r="C243" s="18"/>
      <c r="D243" s="18"/>
      <c r="E243" s="18"/>
      <c r="F243" s="18"/>
      <c r="G243" s="18"/>
      <c r="H243" s="18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/>
      <c r="DX243" s="76"/>
    </row>
    <row r="244" spans="1:128" ht="15.75" customHeight="1">
      <c r="A244" s="80"/>
      <c r="B244" s="60"/>
      <c r="C244" s="18"/>
      <c r="D244" s="18"/>
      <c r="E244" s="18"/>
      <c r="F244" s="18"/>
      <c r="G244" s="18"/>
      <c r="H244" s="18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/>
      <c r="DX244" s="76"/>
    </row>
    <row r="245" spans="1:128" ht="15.75" customHeight="1">
      <c r="A245" s="80"/>
      <c r="B245" s="60"/>
      <c r="C245" s="18"/>
      <c r="D245" s="18"/>
      <c r="E245" s="18"/>
      <c r="F245" s="18"/>
      <c r="G245" s="18"/>
      <c r="H245" s="18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/>
      <c r="DX245" s="76"/>
    </row>
    <row r="246" spans="1:128" ht="15.75" customHeight="1">
      <c r="A246" s="80"/>
      <c r="B246" s="60"/>
      <c r="C246" s="18"/>
      <c r="D246" s="18"/>
      <c r="E246" s="18"/>
      <c r="F246" s="18"/>
      <c r="G246" s="18"/>
      <c r="H246" s="18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/>
      <c r="DX246" s="76"/>
    </row>
    <row r="247" spans="1:128" ht="15.75" customHeight="1">
      <c r="A247" s="80"/>
      <c r="B247" s="60"/>
      <c r="C247" s="18"/>
      <c r="D247" s="18"/>
      <c r="E247" s="18"/>
      <c r="F247" s="18"/>
      <c r="G247" s="18"/>
      <c r="H247" s="18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/>
      <c r="DX247" s="76"/>
    </row>
    <row r="248" spans="1:128" ht="15.75" customHeight="1">
      <c r="A248" s="80"/>
      <c r="B248" s="60"/>
      <c r="C248" s="18"/>
      <c r="D248" s="18"/>
      <c r="E248" s="18"/>
      <c r="F248" s="18"/>
      <c r="G248" s="18"/>
      <c r="H248" s="18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/>
      <c r="DX248" s="76"/>
    </row>
    <row r="249" spans="1:128" ht="15.75" customHeight="1">
      <c r="A249" s="80"/>
      <c r="B249" s="60"/>
      <c r="C249" s="18"/>
      <c r="D249" s="18"/>
      <c r="E249" s="18"/>
      <c r="F249" s="18"/>
      <c r="G249" s="18"/>
      <c r="H249" s="18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/>
      <c r="DX249" s="76"/>
    </row>
    <row r="250" spans="1:128" ht="15.75" customHeight="1">
      <c r="A250" s="80"/>
      <c r="B250" s="60"/>
      <c r="C250" s="18"/>
      <c r="D250" s="18"/>
      <c r="E250" s="18"/>
      <c r="F250" s="18"/>
      <c r="G250" s="18"/>
      <c r="H250" s="18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/>
      <c r="DX250" s="76"/>
    </row>
    <row r="251" spans="1:128" ht="15.75" customHeight="1">
      <c r="A251" s="80"/>
      <c r="B251" s="60"/>
      <c r="C251" s="18"/>
      <c r="D251" s="18"/>
      <c r="E251" s="18"/>
      <c r="F251" s="18"/>
      <c r="G251" s="18"/>
      <c r="H251" s="18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76"/>
      <c r="DX251" s="76"/>
    </row>
    <row r="252" spans="1:128" ht="15.75" customHeight="1">
      <c r="A252" s="80"/>
      <c r="B252" s="60"/>
      <c r="C252" s="18"/>
      <c r="D252" s="18"/>
      <c r="E252" s="18"/>
      <c r="F252" s="18"/>
      <c r="G252" s="18"/>
      <c r="H252" s="18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76"/>
      <c r="DX252" s="76"/>
    </row>
    <row r="253" spans="1:128" ht="15.75" customHeight="1">
      <c r="A253" s="80"/>
      <c r="B253" s="60"/>
      <c r="C253" s="18"/>
      <c r="D253" s="18"/>
      <c r="E253" s="18"/>
      <c r="F253" s="18"/>
      <c r="G253" s="18"/>
      <c r="H253" s="18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76"/>
      <c r="DX253" s="76"/>
    </row>
    <row r="254" spans="1:128" ht="15.75" customHeight="1">
      <c r="A254" s="80"/>
      <c r="B254" s="60"/>
      <c r="C254" s="18"/>
      <c r="D254" s="18"/>
      <c r="E254" s="18"/>
      <c r="F254" s="18"/>
      <c r="G254" s="18"/>
      <c r="H254" s="18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76"/>
      <c r="DX254" s="76"/>
    </row>
    <row r="255" spans="1:128" ht="15.75" customHeight="1">
      <c r="A255" s="80"/>
      <c r="B255" s="60"/>
      <c r="C255" s="18"/>
      <c r="D255" s="18"/>
      <c r="E255" s="18"/>
      <c r="F255" s="18"/>
      <c r="G255" s="18"/>
      <c r="H255" s="18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76"/>
      <c r="DX255" s="76"/>
    </row>
    <row r="256" spans="1:128" ht="15.75" customHeight="1">
      <c r="A256" s="80"/>
      <c r="B256" s="60"/>
      <c r="C256" s="18"/>
      <c r="D256" s="18"/>
      <c r="E256" s="18"/>
      <c r="F256" s="18"/>
      <c r="G256" s="18"/>
      <c r="H256" s="18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76"/>
      <c r="DX256" s="76"/>
    </row>
    <row r="257" spans="1:128" ht="15.75" customHeight="1">
      <c r="A257" s="80"/>
      <c r="B257" s="60"/>
      <c r="C257" s="18"/>
      <c r="D257" s="18"/>
      <c r="E257" s="18"/>
      <c r="F257" s="18"/>
      <c r="G257" s="18"/>
      <c r="H257" s="18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76"/>
      <c r="DX257" s="76"/>
    </row>
    <row r="258" spans="1:128" ht="15.75" customHeight="1">
      <c r="A258" s="80"/>
      <c r="B258" s="60"/>
      <c r="C258" s="18"/>
      <c r="D258" s="18"/>
      <c r="E258" s="18"/>
      <c r="F258" s="18"/>
      <c r="G258" s="18"/>
      <c r="H258" s="18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76"/>
      <c r="DX258" s="76"/>
    </row>
    <row r="259" spans="1:128" ht="15.75" customHeight="1">
      <c r="A259" s="80"/>
      <c r="B259" s="60"/>
      <c r="C259" s="18"/>
      <c r="D259" s="18"/>
      <c r="E259" s="18"/>
      <c r="F259" s="18"/>
      <c r="G259" s="18"/>
      <c r="H259" s="18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76"/>
      <c r="DX259" s="76"/>
    </row>
    <row r="260" spans="1:128" ht="15.75" customHeight="1">
      <c r="A260" s="80"/>
      <c r="B260" s="60"/>
      <c r="C260" s="18"/>
      <c r="D260" s="18"/>
      <c r="E260" s="18"/>
      <c r="F260" s="18"/>
      <c r="G260" s="18"/>
      <c r="H260" s="18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76"/>
      <c r="DX260" s="76"/>
    </row>
    <row r="261" spans="1:128" ht="15.75" customHeight="1">
      <c r="A261" s="80"/>
      <c r="B261" s="60"/>
      <c r="C261" s="18"/>
      <c r="D261" s="18"/>
      <c r="E261" s="18"/>
      <c r="F261" s="18"/>
      <c r="G261" s="18"/>
      <c r="H261" s="18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76"/>
      <c r="DX261" s="76"/>
    </row>
    <row r="262" spans="1:128" ht="15.75" customHeight="1">
      <c r="A262" s="80"/>
      <c r="B262" s="60"/>
      <c r="C262" s="18"/>
      <c r="D262" s="18"/>
      <c r="E262" s="18"/>
      <c r="F262" s="18"/>
      <c r="G262" s="18"/>
      <c r="H262" s="18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</row>
    <row r="263" spans="1:128" ht="15.75" customHeight="1">
      <c r="A263" s="80"/>
      <c r="B263" s="60"/>
      <c r="C263" s="18"/>
      <c r="D263" s="18"/>
      <c r="E263" s="18"/>
      <c r="F263" s="18"/>
      <c r="G263" s="18"/>
      <c r="H263" s="18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</row>
    <row r="264" spans="1:128" ht="15.75" customHeight="1">
      <c r="A264" s="76"/>
      <c r="B264" s="79"/>
      <c r="C264" s="18"/>
      <c r="D264" s="18"/>
      <c r="E264" s="18"/>
      <c r="F264" s="18"/>
      <c r="G264" s="18"/>
      <c r="H264" s="18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</row>
    <row r="265" spans="1:128" ht="15.75" customHeight="1">
      <c r="A265" s="76"/>
      <c r="B265" s="79"/>
      <c r="C265" s="18"/>
      <c r="D265" s="18"/>
      <c r="E265" s="18"/>
      <c r="F265" s="18"/>
      <c r="G265" s="18"/>
      <c r="H265" s="18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</row>
    <row r="266" spans="1:128" ht="15.75" customHeight="1">
      <c r="A266" s="76"/>
      <c r="B266" s="79"/>
      <c r="C266" s="18"/>
      <c r="D266" s="18"/>
      <c r="E266" s="18"/>
      <c r="F266" s="18"/>
      <c r="G266" s="18"/>
      <c r="H266" s="18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</row>
    <row r="267" spans="1:128" ht="15.75" customHeight="1">
      <c r="A267" s="76"/>
      <c r="B267" s="79"/>
      <c r="C267" s="18"/>
      <c r="D267" s="18"/>
      <c r="E267" s="18"/>
      <c r="F267" s="18"/>
      <c r="G267" s="18"/>
      <c r="H267" s="18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</row>
    <row r="268" spans="1:128" ht="15.75" customHeight="1">
      <c r="A268" s="76"/>
      <c r="B268" s="79"/>
      <c r="C268" s="18"/>
      <c r="D268" s="18"/>
      <c r="E268" s="18"/>
      <c r="F268" s="18"/>
      <c r="G268" s="18"/>
      <c r="H268" s="18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</row>
    <row r="269" spans="1:128" ht="15.75" customHeight="1">
      <c r="A269" s="76"/>
      <c r="B269" s="79"/>
      <c r="C269" s="18"/>
      <c r="D269" s="18"/>
      <c r="E269" s="18"/>
      <c r="F269" s="18"/>
      <c r="G269" s="18"/>
      <c r="H269" s="18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</row>
    <row r="270" spans="1:128" ht="15.75" customHeight="1">
      <c r="A270" s="76"/>
      <c r="B270" s="79"/>
      <c r="C270" s="18"/>
      <c r="D270" s="18"/>
      <c r="E270" s="18"/>
      <c r="F270" s="18"/>
      <c r="G270" s="18"/>
      <c r="H270" s="18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</row>
    <row r="271" spans="1:128" ht="15.75" customHeight="1">
      <c r="A271" s="76"/>
      <c r="B271" s="79"/>
      <c r="C271" s="18"/>
      <c r="D271" s="18"/>
      <c r="E271" s="18"/>
      <c r="F271" s="18"/>
      <c r="G271" s="18"/>
      <c r="H271" s="18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</row>
    <row r="272" spans="1:128" ht="15.75" customHeight="1">
      <c r="A272" s="76"/>
      <c r="B272" s="79"/>
      <c r="C272" s="18"/>
      <c r="D272" s="18"/>
      <c r="E272" s="18"/>
      <c r="F272" s="18"/>
      <c r="G272" s="18"/>
      <c r="H272" s="18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</row>
    <row r="273" spans="1:128" ht="15.75" customHeight="1">
      <c r="A273" s="76"/>
      <c r="B273" s="79"/>
      <c r="C273" s="18"/>
      <c r="D273" s="18"/>
      <c r="E273" s="18"/>
      <c r="F273" s="18"/>
      <c r="G273" s="18"/>
      <c r="H273" s="18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</row>
    <row r="274" spans="1:128" ht="15.75" customHeight="1">
      <c r="A274" s="76"/>
      <c r="B274" s="79"/>
      <c r="C274" s="18"/>
      <c r="D274" s="18"/>
      <c r="E274" s="18"/>
      <c r="F274" s="18"/>
      <c r="G274" s="18"/>
      <c r="H274" s="18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</row>
    <row r="275" spans="1:128" ht="15.75" customHeight="1">
      <c r="A275" s="76"/>
      <c r="B275" s="79"/>
      <c r="C275" s="18"/>
      <c r="D275" s="18"/>
      <c r="E275" s="18"/>
      <c r="F275" s="18"/>
      <c r="G275" s="18"/>
      <c r="H275" s="18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</row>
    <row r="276" spans="1:128" ht="15.75" customHeight="1">
      <c r="A276" s="76"/>
      <c r="B276" s="79"/>
      <c r="C276" s="18"/>
      <c r="D276" s="18"/>
      <c r="E276" s="18"/>
      <c r="F276" s="18"/>
      <c r="G276" s="18"/>
      <c r="H276" s="18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</row>
    <row r="277" spans="1:128" ht="15.75" customHeight="1">
      <c r="A277" s="76"/>
      <c r="B277" s="79"/>
      <c r="C277" s="18"/>
      <c r="D277" s="18"/>
      <c r="E277" s="18"/>
      <c r="F277" s="18"/>
      <c r="G277" s="18"/>
      <c r="H277" s="18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</row>
    <row r="278" spans="1:128" ht="15.75" customHeight="1">
      <c r="A278" s="76"/>
      <c r="B278" s="79"/>
      <c r="C278" s="18"/>
      <c r="D278" s="18"/>
      <c r="E278" s="18"/>
      <c r="F278" s="18"/>
      <c r="G278" s="18"/>
      <c r="H278" s="18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</row>
    <row r="279" spans="1:128" ht="15.75" customHeight="1">
      <c r="A279" s="76"/>
      <c r="B279" s="79"/>
      <c r="C279" s="18"/>
      <c r="D279" s="18"/>
      <c r="E279" s="18"/>
      <c r="F279" s="18"/>
      <c r="G279" s="18"/>
      <c r="H279" s="18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</row>
    <row r="280" spans="1:128" ht="15.75" customHeight="1">
      <c r="A280" s="76"/>
      <c r="B280" s="79"/>
      <c r="C280" s="18"/>
      <c r="D280" s="18"/>
      <c r="E280" s="18"/>
      <c r="F280" s="18"/>
      <c r="G280" s="18"/>
      <c r="H280" s="18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</row>
    <row r="281" spans="1:128" ht="15.75" customHeight="1">
      <c r="A281" s="76"/>
      <c r="B281" s="79"/>
      <c r="C281" s="18"/>
      <c r="D281" s="18"/>
      <c r="E281" s="18"/>
      <c r="F281" s="18"/>
      <c r="G281" s="18"/>
      <c r="H281" s="18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</row>
    <row r="282" spans="1:128" ht="15.75" customHeight="1">
      <c r="A282" s="76"/>
      <c r="B282" s="79"/>
      <c r="C282" s="18"/>
      <c r="D282" s="18"/>
      <c r="E282" s="18"/>
      <c r="F282" s="18"/>
      <c r="G282" s="18"/>
      <c r="H282" s="18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</row>
    <row r="283" spans="1:128" ht="15.75" customHeight="1">
      <c r="A283" s="76"/>
      <c r="B283" s="79"/>
      <c r="C283" s="18"/>
      <c r="D283" s="18"/>
      <c r="E283" s="18"/>
      <c r="F283" s="18"/>
      <c r="G283" s="18"/>
      <c r="H283" s="18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</row>
    <row r="284" spans="1:128" ht="15.75" customHeight="1">
      <c r="A284" s="76"/>
      <c r="B284" s="79"/>
      <c r="C284" s="18"/>
      <c r="D284" s="18"/>
      <c r="E284" s="18"/>
      <c r="F284" s="18"/>
      <c r="G284" s="18"/>
      <c r="H284" s="18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</row>
    <row r="285" spans="1:128" ht="15.75" customHeight="1">
      <c r="A285" s="76"/>
      <c r="B285" s="79"/>
      <c r="C285" s="18"/>
      <c r="D285" s="18"/>
      <c r="E285" s="18"/>
      <c r="F285" s="18"/>
      <c r="G285" s="18"/>
      <c r="H285" s="18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</row>
    <row r="286" spans="1:128" ht="15.75" customHeight="1">
      <c r="A286" s="76"/>
      <c r="B286" s="79"/>
      <c r="C286" s="18"/>
      <c r="D286" s="18"/>
      <c r="E286" s="18"/>
      <c r="F286" s="18"/>
      <c r="G286" s="18"/>
      <c r="H286" s="18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</row>
    <row r="287" spans="1:128" ht="15.75" customHeight="1">
      <c r="A287" s="76"/>
      <c r="B287" s="79"/>
      <c r="C287" s="18"/>
      <c r="D287" s="18"/>
      <c r="E287" s="18"/>
      <c r="F287" s="18"/>
      <c r="G287" s="18"/>
      <c r="H287" s="18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</row>
    <row r="288" spans="1:128" ht="15.75" customHeight="1">
      <c r="A288" s="76"/>
      <c r="B288" s="79"/>
      <c r="C288" s="18"/>
      <c r="D288" s="18"/>
      <c r="E288" s="18"/>
      <c r="F288" s="18"/>
      <c r="G288" s="18"/>
      <c r="H288" s="18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</row>
    <row r="289" spans="1:128" ht="15.75" customHeight="1">
      <c r="A289" s="76"/>
      <c r="B289" s="79"/>
      <c r="C289" s="18"/>
      <c r="D289" s="18"/>
      <c r="E289" s="18"/>
      <c r="F289" s="18"/>
      <c r="G289" s="18"/>
      <c r="H289" s="18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</row>
    <row r="290" spans="1:128" ht="15.75" customHeight="1">
      <c r="A290" s="76"/>
      <c r="B290" s="79"/>
      <c r="C290" s="18"/>
      <c r="D290" s="18"/>
      <c r="E290" s="18"/>
      <c r="F290" s="18"/>
      <c r="G290" s="18"/>
      <c r="H290" s="18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</row>
    <row r="291" spans="1:128" ht="15.75" customHeight="1">
      <c r="A291" s="76"/>
      <c r="B291" s="79"/>
      <c r="C291" s="18"/>
      <c r="D291" s="18"/>
      <c r="E291" s="18"/>
      <c r="F291" s="18"/>
      <c r="G291" s="18"/>
      <c r="H291" s="18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</row>
    <row r="292" spans="1:128" ht="15.75" customHeight="1">
      <c r="A292" s="76"/>
      <c r="B292" s="79"/>
      <c r="C292" s="18"/>
      <c r="D292" s="18"/>
      <c r="E292" s="18"/>
      <c r="F292" s="18"/>
      <c r="G292" s="18"/>
      <c r="H292" s="18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</row>
    <row r="293" spans="1:128" ht="15.75" customHeight="1">
      <c r="A293" s="76"/>
      <c r="B293" s="79"/>
      <c r="C293" s="18"/>
      <c r="D293" s="18"/>
      <c r="E293" s="18"/>
      <c r="F293" s="18"/>
      <c r="G293" s="18"/>
      <c r="H293" s="18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</row>
    <row r="294" spans="1:128" ht="15.75" customHeight="1">
      <c r="A294" s="76"/>
      <c r="B294" s="79"/>
      <c r="C294" s="18"/>
      <c r="D294" s="18"/>
      <c r="E294" s="18"/>
      <c r="F294" s="18"/>
      <c r="G294" s="18"/>
      <c r="H294" s="18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</row>
    <row r="295" spans="1:128" ht="15.75" customHeight="1">
      <c r="A295" s="76"/>
      <c r="B295" s="79"/>
      <c r="C295" s="18"/>
      <c r="D295" s="18"/>
      <c r="E295" s="18"/>
      <c r="F295" s="18"/>
      <c r="G295" s="18"/>
      <c r="H295" s="18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</row>
    <row r="296" spans="1:128" ht="15.75" customHeight="1">
      <c r="A296" s="76"/>
      <c r="B296" s="79"/>
      <c r="C296" s="18"/>
      <c r="D296" s="18"/>
      <c r="E296" s="18"/>
      <c r="F296" s="18"/>
      <c r="G296" s="18"/>
      <c r="H296" s="18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</row>
    <row r="297" spans="1:128" ht="15.75" customHeight="1">
      <c r="A297" s="76"/>
      <c r="B297" s="79"/>
      <c r="C297" s="18"/>
      <c r="D297" s="18"/>
      <c r="E297" s="18"/>
      <c r="F297" s="18"/>
      <c r="G297" s="18"/>
      <c r="H297" s="18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</row>
    <row r="298" spans="1:128" ht="15.75" customHeight="1">
      <c r="A298" s="76"/>
      <c r="B298" s="79"/>
      <c r="C298" s="18"/>
      <c r="D298" s="18"/>
      <c r="E298" s="18"/>
      <c r="F298" s="18"/>
      <c r="G298" s="18"/>
      <c r="H298" s="18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</row>
    <row r="299" spans="1:128" ht="15.75" customHeight="1">
      <c r="A299" s="76"/>
      <c r="B299" s="79"/>
      <c r="C299" s="18"/>
      <c r="D299" s="18"/>
      <c r="E299" s="18"/>
      <c r="F299" s="18"/>
      <c r="G299" s="18"/>
      <c r="H299" s="18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</row>
    <row r="300" spans="1:128" ht="15.75" customHeight="1">
      <c r="A300" s="76"/>
      <c r="B300" s="79"/>
      <c r="C300" s="18"/>
      <c r="D300" s="18"/>
      <c r="E300" s="18"/>
      <c r="F300" s="18"/>
      <c r="G300" s="18"/>
      <c r="H300" s="18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</row>
    <row r="301" spans="1:128" ht="15.75" customHeight="1">
      <c r="A301" s="76"/>
      <c r="B301" s="79"/>
      <c r="C301" s="18"/>
      <c r="D301" s="18"/>
      <c r="E301" s="18"/>
      <c r="F301" s="18"/>
      <c r="G301" s="18"/>
      <c r="H301" s="18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</row>
    <row r="302" spans="1:128" ht="15.75" customHeight="1">
      <c r="A302" s="76"/>
      <c r="B302" s="79"/>
      <c r="C302" s="18"/>
      <c r="D302" s="18"/>
      <c r="E302" s="18"/>
      <c r="F302" s="18"/>
      <c r="G302" s="18"/>
      <c r="H302" s="18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</row>
    <row r="303" spans="1:128" ht="15.75" customHeight="1">
      <c r="A303" s="76"/>
      <c r="B303" s="79"/>
      <c r="C303" s="18"/>
      <c r="D303" s="18"/>
      <c r="E303" s="18"/>
      <c r="F303" s="18"/>
      <c r="G303" s="18"/>
      <c r="H303" s="18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</row>
    <row r="304" spans="1:128" ht="15.75" customHeight="1">
      <c r="A304" s="76"/>
      <c r="B304" s="79"/>
      <c r="C304" s="18"/>
      <c r="D304" s="18"/>
      <c r="E304" s="18"/>
      <c r="F304" s="18"/>
      <c r="G304" s="18"/>
      <c r="H304" s="18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</row>
    <row r="305" spans="1:128" ht="15.75" customHeight="1">
      <c r="A305" s="76"/>
      <c r="B305" s="79"/>
      <c r="C305" s="18"/>
      <c r="D305" s="18"/>
      <c r="E305" s="18"/>
      <c r="F305" s="18"/>
      <c r="G305" s="18"/>
      <c r="H305" s="18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</row>
    <row r="306" spans="1:128" ht="15.75" customHeight="1">
      <c r="A306" s="76"/>
      <c r="B306" s="79"/>
      <c r="C306" s="18"/>
      <c r="D306" s="18"/>
      <c r="E306" s="18"/>
      <c r="F306" s="18"/>
      <c r="G306" s="18"/>
      <c r="H306" s="18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</row>
    <row r="307" spans="1:128" ht="15.75" customHeight="1">
      <c r="A307" s="76"/>
      <c r="B307" s="79"/>
      <c r="C307" s="18"/>
      <c r="D307" s="18"/>
      <c r="E307" s="18"/>
      <c r="F307" s="18"/>
      <c r="G307" s="18"/>
      <c r="H307" s="18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</row>
    <row r="308" spans="1:128" ht="15.75" customHeight="1">
      <c r="A308" s="76"/>
      <c r="B308" s="79"/>
      <c r="C308" s="18"/>
      <c r="D308" s="18"/>
      <c r="E308" s="18"/>
      <c r="F308" s="18"/>
      <c r="G308" s="18"/>
      <c r="H308" s="18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</row>
    <row r="309" spans="1:128" ht="15.75" customHeight="1">
      <c r="A309" s="76"/>
      <c r="B309" s="79"/>
      <c r="C309" s="18"/>
      <c r="D309" s="18"/>
      <c r="E309" s="18"/>
      <c r="F309" s="18"/>
      <c r="G309" s="18"/>
      <c r="H309" s="18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</row>
    <row r="310" spans="1:128" ht="15.75" customHeight="1">
      <c r="A310" s="76"/>
      <c r="B310" s="79"/>
      <c r="C310" s="18"/>
      <c r="D310" s="18"/>
      <c r="E310" s="18"/>
      <c r="F310" s="18"/>
      <c r="G310" s="18"/>
      <c r="H310" s="18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</row>
    <row r="311" spans="1:128" ht="15.75" customHeight="1">
      <c r="A311" s="76"/>
      <c r="B311" s="79"/>
      <c r="C311" s="18"/>
      <c r="D311" s="18"/>
      <c r="E311" s="18"/>
      <c r="F311" s="18"/>
      <c r="G311" s="18"/>
      <c r="H311" s="18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</row>
    <row r="312" spans="1:128" ht="15.75" customHeight="1">
      <c r="A312" s="76"/>
      <c r="B312" s="79"/>
      <c r="C312" s="18"/>
      <c r="D312" s="18"/>
      <c r="E312" s="18"/>
      <c r="F312" s="18"/>
      <c r="G312" s="18"/>
      <c r="H312" s="18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</row>
    <row r="313" spans="1:128" ht="15.75" customHeight="1">
      <c r="A313" s="76"/>
      <c r="B313" s="79"/>
      <c r="C313" s="18"/>
      <c r="D313" s="18"/>
      <c r="E313" s="18"/>
      <c r="F313" s="18"/>
      <c r="G313" s="18"/>
      <c r="H313" s="18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</row>
    <row r="314" spans="1:128" ht="15.75" customHeight="1">
      <c r="A314" s="76"/>
      <c r="B314" s="79"/>
      <c r="C314" s="18"/>
      <c r="D314" s="18"/>
      <c r="E314" s="18"/>
      <c r="F314" s="18"/>
      <c r="G314" s="18"/>
      <c r="H314" s="18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</row>
    <row r="315" spans="1:128" ht="15.75" customHeight="1">
      <c r="A315" s="76"/>
      <c r="B315" s="79"/>
      <c r="C315" s="18"/>
      <c r="D315" s="18"/>
      <c r="E315" s="18"/>
      <c r="F315" s="18"/>
      <c r="G315" s="18"/>
      <c r="H315" s="18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</row>
    <row r="316" spans="1:128" ht="15.75" customHeight="1">
      <c r="A316" s="76"/>
      <c r="B316" s="79"/>
      <c r="C316" s="18"/>
      <c r="D316" s="18"/>
      <c r="E316" s="18"/>
      <c r="F316" s="18"/>
      <c r="G316" s="18"/>
      <c r="H316" s="18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</row>
    <row r="317" spans="1:128" ht="15.75" customHeight="1">
      <c r="A317" s="76"/>
      <c r="B317" s="79"/>
      <c r="C317" s="18"/>
      <c r="D317" s="18"/>
      <c r="E317" s="18"/>
      <c r="F317" s="18"/>
      <c r="G317" s="18"/>
      <c r="H317" s="18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</row>
    <row r="318" spans="1:128" ht="15.75" customHeight="1">
      <c r="A318" s="76"/>
      <c r="B318" s="79"/>
      <c r="C318" s="18"/>
      <c r="D318" s="18"/>
      <c r="E318" s="18"/>
      <c r="F318" s="18"/>
      <c r="G318" s="18"/>
      <c r="H318" s="18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</row>
    <row r="319" spans="1:128" ht="15.75" customHeight="1">
      <c r="A319" s="76"/>
      <c r="B319" s="79"/>
      <c r="C319" s="18"/>
      <c r="D319" s="18"/>
      <c r="E319" s="18"/>
      <c r="F319" s="18"/>
      <c r="G319" s="18"/>
      <c r="H319" s="18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</row>
    <row r="320" spans="1:128" ht="15.75" customHeight="1">
      <c r="A320" s="76"/>
      <c r="B320" s="79"/>
      <c r="C320" s="18"/>
      <c r="D320" s="18"/>
      <c r="E320" s="18"/>
      <c r="F320" s="18"/>
      <c r="G320" s="18"/>
      <c r="H320" s="18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</row>
    <row r="321" spans="1:128" ht="15.75" customHeight="1">
      <c r="A321" s="76"/>
      <c r="B321" s="79"/>
      <c r="C321" s="18"/>
      <c r="D321" s="18"/>
      <c r="E321" s="18"/>
      <c r="F321" s="18"/>
      <c r="G321" s="18"/>
      <c r="H321" s="18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</row>
    <row r="322" spans="1:128" ht="15.75" customHeight="1">
      <c r="A322" s="76"/>
      <c r="B322" s="79"/>
      <c r="C322" s="18"/>
      <c r="D322" s="18"/>
      <c r="E322" s="18"/>
      <c r="F322" s="18"/>
      <c r="G322" s="18"/>
      <c r="H322" s="18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</row>
    <row r="323" spans="1:128" ht="15.75" customHeight="1">
      <c r="A323" s="76"/>
      <c r="B323" s="79"/>
      <c r="C323" s="18"/>
      <c r="D323" s="18"/>
      <c r="E323" s="18"/>
      <c r="F323" s="18"/>
      <c r="G323" s="18"/>
      <c r="H323" s="18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</row>
    <row r="324" spans="1:128" ht="15.75" customHeight="1">
      <c r="A324" s="76"/>
      <c r="B324" s="79"/>
      <c r="C324" s="18"/>
      <c r="D324" s="18"/>
      <c r="E324" s="18"/>
      <c r="F324" s="18"/>
      <c r="G324" s="18"/>
      <c r="H324" s="18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</row>
    <row r="325" spans="1:128" ht="15.75" customHeight="1">
      <c r="A325" s="76"/>
      <c r="B325" s="79"/>
      <c r="C325" s="18"/>
      <c r="D325" s="18"/>
      <c r="E325" s="18"/>
      <c r="F325" s="18"/>
      <c r="G325" s="18"/>
      <c r="H325" s="18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</row>
    <row r="326" spans="1:128" ht="15.75" customHeight="1">
      <c r="A326" s="76"/>
      <c r="B326" s="79"/>
      <c r="C326" s="18"/>
      <c r="D326" s="18"/>
      <c r="E326" s="18"/>
      <c r="F326" s="18"/>
      <c r="G326" s="18"/>
      <c r="H326" s="18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</row>
    <row r="327" spans="1:128" ht="15.75" customHeight="1">
      <c r="A327" s="76"/>
      <c r="B327" s="79"/>
      <c r="C327" s="18"/>
      <c r="D327" s="18"/>
      <c r="E327" s="18"/>
      <c r="F327" s="18"/>
      <c r="G327" s="18"/>
      <c r="H327" s="18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</row>
    <row r="328" spans="1:128" ht="15.75" customHeight="1">
      <c r="A328" s="76"/>
      <c r="B328" s="79"/>
      <c r="C328" s="18"/>
      <c r="D328" s="18"/>
      <c r="E328" s="18"/>
      <c r="F328" s="18"/>
      <c r="G328" s="18"/>
      <c r="H328" s="18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</row>
    <row r="329" spans="1:128" ht="15.75" customHeight="1">
      <c r="A329" s="76"/>
      <c r="B329" s="79"/>
      <c r="C329" s="18"/>
      <c r="D329" s="18"/>
      <c r="E329" s="18"/>
      <c r="F329" s="18"/>
      <c r="G329" s="18"/>
      <c r="H329" s="18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</row>
    <row r="330" spans="1:128" ht="15.75" customHeight="1">
      <c r="A330" s="76"/>
      <c r="B330" s="79"/>
      <c r="C330" s="18"/>
      <c r="D330" s="18"/>
      <c r="E330" s="18"/>
      <c r="F330" s="18"/>
      <c r="G330" s="18"/>
      <c r="H330" s="18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</row>
    <row r="331" spans="1:128" ht="15.75" customHeight="1">
      <c r="A331" s="76"/>
      <c r="B331" s="79"/>
      <c r="C331" s="18"/>
      <c r="D331" s="18"/>
      <c r="E331" s="18"/>
      <c r="F331" s="18"/>
      <c r="G331" s="18"/>
      <c r="H331" s="18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</row>
    <row r="332" spans="1:128" ht="15.75" customHeight="1">
      <c r="A332" s="76"/>
      <c r="B332" s="79"/>
      <c r="C332" s="18"/>
      <c r="D332" s="18"/>
      <c r="E332" s="18"/>
      <c r="F332" s="18"/>
      <c r="G332" s="18"/>
      <c r="H332" s="18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</row>
    <row r="333" spans="1:128" ht="15.75" customHeight="1">
      <c r="A333" s="76"/>
      <c r="B333" s="79"/>
      <c r="C333" s="18"/>
      <c r="D333" s="18"/>
      <c r="E333" s="18"/>
      <c r="F333" s="18"/>
      <c r="G333" s="18"/>
      <c r="H333" s="18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</row>
    <row r="334" spans="1:128" ht="15.75" customHeight="1">
      <c r="A334" s="76"/>
      <c r="B334" s="79"/>
      <c r="C334" s="18"/>
      <c r="D334" s="18"/>
      <c r="E334" s="18"/>
      <c r="F334" s="18"/>
      <c r="G334" s="18"/>
      <c r="H334" s="18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</row>
    <row r="335" spans="1:128" ht="15.75" customHeight="1">
      <c r="A335" s="76"/>
      <c r="B335" s="79"/>
      <c r="C335" s="18"/>
      <c r="D335" s="18"/>
      <c r="E335" s="18"/>
      <c r="F335" s="18"/>
      <c r="G335" s="18"/>
      <c r="H335" s="18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</row>
    <row r="336" spans="1:128" ht="15.75" customHeight="1">
      <c r="A336" s="76"/>
      <c r="B336" s="79"/>
      <c r="C336" s="18"/>
      <c r="D336" s="18"/>
      <c r="E336" s="18"/>
      <c r="F336" s="18"/>
      <c r="G336" s="18"/>
      <c r="H336" s="18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</row>
    <row r="337" spans="1:128" ht="15.75" customHeight="1">
      <c r="A337" s="76"/>
      <c r="B337" s="79"/>
      <c r="C337" s="18"/>
      <c r="D337" s="18"/>
      <c r="E337" s="18"/>
      <c r="F337" s="18"/>
      <c r="G337" s="18"/>
      <c r="H337" s="18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</row>
    <row r="338" spans="1:128" ht="15.75" customHeight="1">
      <c r="A338" s="76"/>
      <c r="B338" s="79"/>
      <c r="C338" s="18"/>
      <c r="D338" s="18"/>
      <c r="E338" s="18"/>
      <c r="F338" s="18"/>
      <c r="G338" s="18"/>
      <c r="H338" s="18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</row>
    <row r="339" spans="1:128" ht="15.75" customHeight="1">
      <c r="A339" s="76"/>
      <c r="B339" s="79"/>
      <c r="C339" s="18"/>
      <c r="D339" s="18"/>
      <c r="E339" s="18"/>
      <c r="F339" s="18"/>
      <c r="G339" s="18"/>
      <c r="H339" s="18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</row>
    <row r="340" spans="1:128" ht="15.75" customHeight="1">
      <c r="A340" s="76"/>
      <c r="B340" s="79"/>
      <c r="C340" s="18"/>
      <c r="D340" s="18"/>
      <c r="E340" s="18"/>
      <c r="F340" s="18"/>
      <c r="G340" s="18"/>
      <c r="H340" s="18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</row>
    <row r="341" spans="1:128" ht="15.75" customHeight="1">
      <c r="A341" s="76"/>
      <c r="B341" s="79"/>
      <c r="C341" s="18"/>
      <c r="D341" s="18"/>
      <c r="E341" s="18"/>
      <c r="F341" s="18"/>
      <c r="G341" s="18"/>
      <c r="H341" s="18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</row>
    <row r="342" spans="1:128" ht="15.75" customHeight="1">
      <c r="A342" s="76"/>
      <c r="B342" s="79"/>
      <c r="C342" s="18"/>
      <c r="D342" s="18"/>
      <c r="E342" s="18"/>
      <c r="F342" s="18"/>
      <c r="G342" s="18"/>
      <c r="H342" s="18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</row>
    <row r="343" spans="1:128" ht="15.75" customHeight="1">
      <c r="A343" s="76"/>
      <c r="B343" s="79"/>
      <c r="C343" s="18"/>
      <c r="D343" s="18"/>
      <c r="E343" s="18"/>
      <c r="F343" s="18"/>
      <c r="G343" s="18"/>
      <c r="H343" s="18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</row>
    <row r="344" spans="1:128" ht="15.75" customHeight="1">
      <c r="A344" s="76"/>
      <c r="B344" s="79"/>
      <c r="C344" s="18"/>
      <c r="D344" s="18"/>
      <c r="E344" s="18"/>
      <c r="F344" s="18"/>
      <c r="G344" s="18"/>
      <c r="H344" s="18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</row>
    <row r="345" spans="1:128" ht="15.75" customHeight="1">
      <c r="A345" s="76"/>
      <c r="B345" s="79"/>
      <c r="C345" s="18"/>
      <c r="D345" s="18"/>
      <c r="E345" s="18"/>
      <c r="F345" s="18"/>
      <c r="G345" s="18"/>
      <c r="H345" s="18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</row>
    <row r="346" spans="1:128" ht="15.75" customHeight="1">
      <c r="A346" s="76"/>
      <c r="B346" s="79"/>
      <c r="C346" s="18"/>
      <c r="D346" s="18"/>
      <c r="E346" s="18"/>
      <c r="F346" s="18"/>
      <c r="G346" s="18"/>
      <c r="H346" s="18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</row>
    <row r="347" spans="1:128" ht="15.75" customHeight="1">
      <c r="A347" s="76"/>
      <c r="B347" s="79"/>
      <c r="C347" s="18"/>
      <c r="D347" s="18"/>
      <c r="E347" s="18"/>
      <c r="F347" s="18"/>
      <c r="G347" s="18"/>
      <c r="H347" s="18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</row>
    <row r="348" spans="1:128" ht="15.75" customHeight="1">
      <c r="A348" s="76"/>
      <c r="B348" s="79"/>
      <c r="C348" s="18"/>
      <c r="D348" s="18"/>
      <c r="E348" s="18"/>
      <c r="F348" s="18"/>
      <c r="G348" s="18"/>
      <c r="H348" s="18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</row>
    <row r="349" spans="1:128" ht="15.75" customHeight="1">
      <c r="A349" s="76"/>
      <c r="B349" s="79"/>
      <c r="C349" s="18"/>
      <c r="D349" s="18"/>
      <c r="E349" s="18"/>
      <c r="F349" s="18"/>
      <c r="G349" s="18"/>
      <c r="H349" s="18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</row>
    <row r="350" spans="1:128" ht="15.75" customHeight="1">
      <c r="A350" s="76"/>
      <c r="B350" s="79"/>
      <c r="C350" s="18"/>
      <c r="D350" s="18"/>
      <c r="E350" s="18"/>
      <c r="F350" s="18"/>
      <c r="G350" s="18"/>
      <c r="H350" s="18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</row>
    <row r="351" spans="1:128" ht="15.75" customHeight="1">
      <c r="A351" s="76"/>
      <c r="B351" s="79"/>
      <c r="C351" s="18"/>
      <c r="D351" s="18"/>
      <c r="E351" s="18"/>
      <c r="F351" s="18"/>
      <c r="G351" s="18"/>
      <c r="H351" s="18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</row>
    <row r="352" spans="1:128" ht="15.75" customHeight="1">
      <c r="A352" s="76"/>
      <c r="B352" s="79"/>
      <c r="C352" s="18"/>
      <c r="D352" s="18"/>
      <c r="E352" s="18"/>
      <c r="F352" s="18"/>
      <c r="G352" s="18"/>
      <c r="H352" s="18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</row>
    <row r="353" spans="1:128" ht="15.75" customHeight="1">
      <c r="A353" s="76"/>
      <c r="B353" s="79"/>
      <c r="C353" s="18"/>
      <c r="D353" s="18"/>
      <c r="E353" s="18"/>
      <c r="F353" s="18"/>
      <c r="G353" s="18"/>
      <c r="H353" s="18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</row>
    <row r="354" spans="1:128" ht="15.75" customHeight="1">
      <c r="A354" s="76"/>
      <c r="B354" s="79"/>
      <c r="C354" s="18"/>
      <c r="D354" s="18"/>
      <c r="E354" s="18"/>
      <c r="F354" s="18"/>
      <c r="G354" s="18"/>
      <c r="H354" s="18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</row>
    <row r="355" spans="1:128" ht="15.75" customHeight="1">
      <c r="A355" s="76"/>
      <c r="B355" s="79"/>
      <c r="C355" s="18"/>
      <c r="D355" s="18"/>
      <c r="E355" s="18"/>
      <c r="F355" s="18"/>
      <c r="G355" s="18"/>
      <c r="H355" s="18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</row>
    <row r="356" spans="1:128" ht="15.75" customHeight="1">
      <c r="A356" s="76"/>
      <c r="B356" s="79"/>
      <c r="C356" s="18"/>
      <c r="D356" s="18"/>
      <c r="E356" s="18"/>
      <c r="F356" s="18"/>
      <c r="G356" s="18"/>
      <c r="H356" s="18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</row>
    <row r="357" spans="1:128" ht="15.75" customHeight="1">
      <c r="A357" s="76"/>
      <c r="B357" s="79"/>
      <c r="C357" s="18"/>
      <c r="D357" s="18"/>
      <c r="E357" s="18"/>
      <c r="F357" s="18"/>
      <c r="G357" s="18"/>
      <c r="H357" s="18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</row>
    <row r="358" spans="1:128" ht="15.75" customHeight="1">
      <c r="A358" s="76"/>
      <c r="B358" s="79"/>
      <c r="C358" s="18"/>
      <c r="D358" s="18"/>
      <c r="E358" s="18"/>
      <c r="F358" s="18"/>
      <c r="G358" s="18"/>
      <c r="H358" s="18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</row>
    <row r="359" spans="1:128" ht="15.75" customHeight="1">
      <c r="A359" s="76"/>
      <c r="B359" s="79"/>
      <c r="C359" s="18"/>
      <c r="D359" s="18"/>
      <c r="E359" s="18"/>
      <c r="F359" s="18"/>
      <c r="G359" s="18"/>
      <c r="H359" s="18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</row>
    <row r="360" spans="1:128" ht="15.75" customHeight="1">
      <c r="A360" s="76"/>
      <c r="B360" s="79"/>
      <c r="C360" s="18"/>
      <c r="D360" s="18"/>
      <c r="E360" s="18"/>
      <c r="F360" s="18"/>
      <c r="G360" s="18"/>
      <c r="H360" s="18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</row>
    <row r="361" spans="1:128" ht="15.75" customHeight="1">
      <c r="A361" s="76"/>
      <c r="B361" s="79"/>
      <c r="C361" s="18"/>
      <c r="D361" s="18"/>
      <c r="E361" s="18"/>
      <c r="F361" s="18"/>
      <c r="G361" s="18"/>
      <c r="H361" s="18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</row>
    <row r="362" spans="1:128" ht="15.75" customHeight="1">
      <c r="A362" s="76"/>
      <c r="B362" s="79"/>
      <c r="C362" s="18"/>
      <c r="D362" s="18"/>
      <c r="E362" s="18"/>
      <c r="F362" s="18"/>
      <c r="G362" s="18"/>
      <c r="H362" s="18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</row>
    <row r="363" spans="1:128" ht="15.75" customHeight="1">
      <c r="A363" s="76"/>
      <c r="B363" s="79"/>
      <c r="C363" s="18"/>
      <c r="D363" s="18"/>
      <c r="E363" s="18"/>
      <c r="F363" s="18"/>
      <c r="G363" s="18"/>
      <c r="H363" s="18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6"/>
      <c r="DX363" s="76"/>
    </row>
    <row r="364" spans="1:128" ht="15.75" customHeight="1">
      <c r="A364" s="76"/>
      <c r="B364" s="79"/>
      <c r="C364" s="18"/>
      <c r="D364" s="18"/>
      <c r="E364" s="18"/>
      <c r="F364" s="18"/>
      <c r="G364" s="18"/>
      <c r="H364" s="18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/>
      <c r="DX364" s="76"/>
    </row>
    <row r="365" spans="1:128" ht="15.75" customHeight="1">
      <c r="A365" s="76"/>
      <c r="B365" s="79"/>
      <c r="C365" s="18"/>
      <c r="D365" s="18"/>
      <c r="E365" s="18"/>
      <c r="F365" s="18"/>
      <c r="G365" s="18"/>
      <c r="H365" s="18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/>
      <c r="DX365" s="76"/>
    </row>
    <row r="366" spans="1:128" ht="15.75" customHeight="1">
      <c r="A366" s="76"/>
      <c r="B366" s="79"/>
      <c r="C366" s="18"/>
      <c r="D366" s="18"/>
      <c r="E366" s="18"/>
      <c r="F366" s="18"/>
      <c r="G366" s="18"/>
      <c r="H366" s="18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/>
      <c r="DX366" s="76"/>
    </row>
    <row r="367" spans="1:128" ht="15.75" customHeight="1">
      <c r="A367" s="76"/>
      <c r="B367" s="79"/>
      <c r="C367" s="18"/>
      <c r="D367" s="18"/>
      <c r="E367" s="18"/>
      <c r="F367" s="18"/>
      <c r="G367" s="18"/>
      <c r="H367" s="18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/>
      <c r="DX367" s="76"/>
    </row>
    <row r="368" spans="1:128" ht="15.75" customHeight="1">
      <c r="A368" s="76"/>
      <c r="B368" s="79"/>
      <c r="C368" s="18"/>
      <c r="D368" s="18"/>
      <c r="E368" s="18"/>
      <c r="F368" s="18"/>
      <c r="G368" s="18"/>
      <c r="H368" s="18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6"/>
      <c r="DX368" s="76"/>
    </row>
    <row r="369" spans="1:128" ht="15.75" customHeight="1">
      <c r="A369" s="76"/>
      <c r="B369" s="79"/>
      <c r="C369" s="18"/>
      <c r="D369" s="18"/>
      <c r="E369" s="18"/>
      <c r="F369" s="18"/>
      <c r="G369" s="18"/>
      <c r="H369" s="18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6"/>
      <c r="DX369" s="76"/>
    </row>
    <row r="370" spans="1:128" ht="15.75" customHeight="1">
      <c r="A370" s="76"/>
      <c r="B370" s="79"/>
      <c r="C370" s="18"/>
      <c r="D370" s="18"/>
      <c r="E370" s="18"/>
      <c r="F370" s="18"/>
      <c r="G370" s="18"/>
      <c r="H370" s="18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6"/>
      <c r="DX370" s="76"/>
    </row>
    <row r="371" spans="1:128" ht="15.75" customHeight="1">
      <c r="A371" s="76"/>
      <c r="B371" s="79"/>
      <c r="C371" s="18"/>
      <c r="D371" s="18"/>
      <c r="E371" s="18"/>
      <c r="F371" s="18"/>
      <c r="G371" s="18"/>
      <c r="H371" s="18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6"/>
      <c r="DX371" s="76"/>
    </row>
    <row r="372" spans="1:128" ht="15.75" customHeight="1">
      <c r="A372" s="76"/>
      <c r="B372" s="79"/>
      <c r="C372" s="18"/>
      <c r="D372" s="18"/>
      <c r="E372" s="18"/>
      <c r="F372" s="18"/>
      <c r="G372" s="18"/>
      <c r="H372" s="18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6"/>
      <c r="DX372" s="76"/>
    </row>
    <row r="373" spans="1:128" ht="15.75" customHeight="1">
      <c r="A373" s="76"/>
      <c r="B373" s="79"/>
      <c r="C373" s="18"/>
      <c r="D373" s="18"/>
      <c r="E373" s="18"/>
      <c r="F373" s="18"/>
      <c r="G373" s="18"/>
      <c r="H373" s="18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6"/>
      <c r="DX373" s="76"/>
    </row>
    <row r="374" spans="1:128" ht="15.75" customHeight="1">
      <c r="A374" s="76"/>
      <c r="B374" s="79"/>
      <c r="C374" s="18"/>
      <c r="D374" s="18"/>
      <c r="E374" s="18"/>
      <c r="F374" s="18"/>
      <c r="G374" s="18"/>
      <c r="H374" s="18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6"/>
      <c r="DX374" s="76"/>
    </row>
    <row r="375" spans="1:128" ht="15.75" customHeight="1">
      <c r="A375" s="76"/>
      <c r="B375" s="79"/>
      <c r="C375" s="18"/>
      <c r="D375" s="18"/>
      <c r="E375" s="18"/>
      <c r="F375" s="18"/>
      <c r="G375" s="18"/>
      <c r="H375" s="18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6"/>
      <c r="DX375" s="76"/>
    </row>
    <row r="376" spans="1:128" ht="15.75" customHeight="1">
      <c r="A376" s="76"/>
      <c r="B376" s="79"/>
      <c r="C376" s="18"/>
      <c r="D376" s="18"/>
      <c r="E376" s="18"/>
      <c r="F376" s="18"/>
      <c r="G376" s="18"/>
      <c r="H376" s="18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</row>
    <row r="377" spans="1:128" ht="15.75" customHeight="1">
      <c r="A377" s="76"/>
      <c r="B377" s="79"/>
      <c r="C377" s="18"/>
      <c r="D377" s="18"/>
      <c r="E377" s="18"/>
      <c r="F377" s="18"/>
      <c r="G377" s="18"/>
      <c r="H377" s="18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6"/>
      <c r="DX377" s="76"/>
    </row>
    <row r="378" spans="1:128" ht="15.75" customHeight="1">
      <c r="A378" s="76"/>
      <c r="B378" s="79"/>
      <c r="C378" s="18"/>
      <c r="D378" s="18"/>
      <c r="E378" s="18"/>
      <c r="F378" s="18"/>
      <c r="G378" s="18"/>
      <c r="H378" s="18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/>
      <c r="DX378" s="76"/>
    </row>
    <row r="379" spans="1:128" ht="15.75" customHeight="1">
      <c r="A379" s="76"/>
      <c r="B379" s="79"/>
      <c r="C379" s="18"/>
      <c r="D379" s="18"/>
      <c r="E379" s="18"/>
      <c r="F379" s="18"/>
      <c r="G379" s="18"/>
      <c r="H379" s="18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76"/>
      <c r="DX379" s="76"/>
    </row>
    <row r="380" spans="1:128" ht="15.75" customHeight="1">
      <c r="A380" s="76"/>
      <c r="B380" s="79"/>
      <c r="C380" s="18"/>
      <c r="D380" s="18"/>
      <c r="E380" s="18"/>
      <c r="F380" s="18"/>
      <c r="G380" s="18"/>
      <c r="H380" s="18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76"/>
      <c r="DX380" s="76"/>
    </row>
    <row r="381" spans="1:128" ht="15.75" customHeight="1">
      <c r="A381" s="76"/>
      <c r="B381" s="79"/>
      <c r="C381" s="18"/>
      <c r="D381" s="18"/>
      <c r="E381" s="18"/>
      <c r="F381" s="18"/>
      <c r="G381" s="18"/>
      <c r="H381" s="18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76"/>
      <c r="DX381" s="76"/>
    </row>
    <row r="382" spans="1:128" ht="15.75" customHeight="1">
      <c r="A382" s="76"/>
      <c r="B382" s="79"/>
      <c r="C382" s="18"/>
      <c r="D382" s="18"/>
      <c r="E382" s="18"/>
      <c r="F382" s="18"/>
      <c r="G382" s="18"/>
      <c r="H382" s="18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76"/>
      <c r="DX382" s="76"/>
    </row>
    <row r="383" spans="1:128" ht="15.75" customHeight="1">
      <c r="A383" s="76"/>
      <c r="B383" s="79"/>
      <c r="C383" s="18"/>
      <c r="D383" s="18"/>
      <c r="E383" s="18"/>
      <c r="F383" s="18"/>
      <c r="G383" s="18"/>
      <c r="H383" s="18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76"/>
      <c r="DX383" s="76"/>
    </row>
    <row r="384" spans="1:128" ht="15.75" customHeight="1">
      <c r="A384" s="76"/>
      <c r="B384" s="79"/>
      <c r="C384" s="18"/>
      <c r="D384" s="18"/>
      <c r="E384" s="18"/>
      <c r="F384" s="18"/>
      <c r="G384" s="18"/>
      <c r="H384" s="18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76"/>
      <c r="DX384" s="76"/>
    </row>
    <row r="385" spans="1:128" ht="15.75" customHeight="1">
      <c r="A385" s="76"/>
      <c r="B385" s="79"/>
      <c r="C385" s="18"/>
      <c r="D385" s="18"/>
      <c r="E385" s="18"/>
      <c r="F385" s="18"/>
      <c r="G385" s="18"/>
      <c r="H385" s="18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76"/>
      <c r="DX385" s="76"/>
    </row>
    <row r="386" spans="1:128" ht="15.75" customHeight="1">
      <c r="A386" s="76"/>
      <c r="B386" s="79"/>
      <c r="C386" s="18"/>
      <c r="D386" s="18"/>
      <c r="E386" s="18"/>
      <c r="F386" s="18"/>
      <c r="G386" s="18"/>
      <c r="H386" s="18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76"/>
      <c r="DX386" s="76"/>
    </row>
    <row r="387" spans="1:128" ht="15.75" customHeight="1">
      <c r="A387" s="76"/>
      <c r="B387" s="79"/>
      <c r="C387" s="18"/>
      <c r="D387" s="18"/>
      <c r="E387" s="18"/>
      <c r="F387" s="18"/>
      <c r="G387" s="18"/>
      <c r="H387" s="18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6"/>
      <c r="DX387" s="76"/>
    </row>
    <row r="388" spans="1:128" ht="15.75" customHeight="1">
      <c r="A388" s="76"/>
      <c r="B388" s="79"/>
      <c r="C388" s="18"/>
      <c r="D388" s="18"/>
      <c r="E388" s="18"/>
      <c r="F388" s="18"/>
      <c r="G388" s="18"/>
      <c r="H388" s="18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76"/>
      <c r="DX388" s="76"/>
    </row>
    <row r="389" spans="1:128" ht="15.75" customHeight="1">
      <c r="A389" s="76"/>
      <c r="B389" s="79"/>
      <c r="C389" s="18"/>
      <c r="D389" s="18"/>
      <c r="E389" s="18"/>
      <c r="F389" s="18"/>
      <c r="G389" s="18"/>
      <c r="H389" s="18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76"/>
      <c r="DX389" s="76"/>
    </row>
    <row r="390" spans="1:128" ht="15.75" customHeight="1">
      <c r="A390" s="76"/>
      <c r="B390" s="79"/>
      <c r="C390" s="18"/>
      <c r="D390" s="18"/>
      <c r="E390" s="18"/>
      <c r="F390" s="18"/>
      <c r="G390" s="18"/>
      <c r="H390" s="18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76"/>
      <c r="DX390" s="76"/>
    </row>
    <row r="391" spans="1:128" ht="15.75" customHeight="1">
      <c r="A391" s="76"/>
      <c r="B391" s="79"/>
      <c r="C391" s="18"/>
      <c r="D391" s="18"/>
      <c r="E391" s="18"/>
      <c r="F391" s="18"/>
      <c r="G391" s="18"/>
      <c r="H391" s="18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6"/>
      <c r="DX391" s="76"/>
    </row>
    <row r="392" spans="1:128" ht="15.75" customHeight="1">
      <c r="A392" s="76"/>
      <c r="B392" s="79"/>
      <c r="C392" s="18"/>
      <c r="D392" s="18"/>
      <c r="E392" s="18"/>
      <c r="F392" s="18"/>
      <c r="G392" s="18"/>
      <c r="H392" s="18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6"/>
      <c r="DX392" s="76"/>
    </row>
    <row r="393" spans="1:128" ht="15.75" customHeight="1">
      <c r="A393" s="76"/>
      <c r="B393" s="79"/>
      <c r="C393" s="18"/>
      <c r="D393" s="18"/>
      <c r="E393" s="18"/>
      <c r="F393" s="18"/>
      <c r="G393" s="18"/>
      <c r="H393" s="18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6"/>
      <c r="DX393" s="76"/>
    </row>
    <row r="394" spans="1:128" ht="15.75" customHeight="1">
      <c r="A394" s="76"/>
      <c r="B394" s="79"/>
      <c r="C394" s="18"/>
      <c r="D394" s="18"/>
      <c r="E394" s="18"/>
      <c r="F394" s="18"/>
      <c r="G394" s="18"/>
      <c r="H394" s="18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6"/>
      <c r="DX394" s="76"/>
    </row>
    <row r="395" spans="1:128" ht="15.75" customHeight="1">
      <c r="A395" s="76"/>
      <c r="B395" s="79"/>
      <c r="C395" s="18"/>
      <c r="D395" s="18"/>
      <c r="E395" s="18"/>
      <c r="F395" s="18"/>
      <c r="G395" s="18"/>
      <c r="H395" s="18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6"/>
      <c r="DX395" s="76"/>
    </row>
    <row r="396" spans="1:128" ht="15.75" customHeight="1">
      <c r="A396" s="76"/>
      <c r="B396" s="79"/>
      <c r="C396" s="18"/>
      <c r="D396" s="18"/>
      <c r="E396" s="18"/>
      <c r="F396" s="18"/>
      <c r="G396" s="18"/>
      <c r="H396" s="18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6"/>
      <c r="DX396" s="76"/>
    </row>
    <row r="397" spans="1:128" ht="15.75" customHeight="1">
      <c r="A397" s="76"/>
      <c r="B397" s="79"/>
      <c r="C397" s="18"/>
      <c r="D397" s="18"/>
      <c r="E397" s="18"/>
      <c r="F397" s="18"/>
      <c r="G397" s="18"/>
      <c r="H397" s="18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/>
      <c r="DX397" s="76"/>
    </row>
    <row r="398" spans="1:128" ht="15.75" customHeight="1">
      <c r="A398" s="76"/>
      <c r="B398" s="79"/>
      <c r="C398" s="18"/>
      <c r="D398" s="18"/>
      <c r="E398" s="18"/>
      <c r="F398" s="18"/>
      <c r="G398" s="18"/>
      <c r="H398" s="18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6"/>
      <c r="DX398" s="76"/>
    </row>
    <row r="399" spans="1:128" ht="15.75" customHeight="1">
      <c r="A399" s="76"/>
      <c r="B399" s="79"/>
      <c r="C399" s="18"/>
      <c r="D399" s="18"/>
      <c r="E399" s="18"/>
      <c r="F399" s="18"/>
      <c r="G399" s="18"/>
      <c r="H399" s="18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6"/>
      <c r="DX399" s="76"/>
    </row>
    <row r="400" spans="1:128" ht="15.75" customHeight="1">
      <c r="A400" s="76"/>
      <c r="B400" s="79"/>
      <c r="C400" s="18"/>
      <c r="D400" s="18"/>
      <c r="E400" s="18"/>
      <c r="F400" s="18"/>
      <c r="G400" s="18"/>
      <c r="H400" s="18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6"/>
      <c r="DX400" s="76"/>
    </row>
    <row r="401" spans="1:128" ht="15.75" customHeight="1">
      <c r="A401" s="76"/>
      <c r="B401" s="79"/>
      <c r="C401" s="18"/>
      <c r="D401" s="18"/>
      <c r="E401" s="18"/>
      <c r="F401" s="18"/>
      <c r="G401" s="18"/>
      <c r="H401" s="18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/>
      <c r="DX401" s="76"/>
    </row>
    <row r="402" spans="1:128" ht="15.75" customHeight="1">
      <c r="A402" s="76"/>
      <c r="B402" s="79"/>
      <c r="C402" s="18"/>
      <c r="D402" s="18"/>
      <c r="E402" s="18"/>
      <c r="F402" s="18"/>
      <c r="G402" s="18"/>
      <c r="H402" s="18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6"/>
      <c r="DX402" s="76"/>
    </row>
    <row r="403" spans="1:128" ht="15.75" customHeight="1">
      <c r="A403" s="76"/>
      <c r="B403" s="79"/>
      <c r="C403" s="18"/>
      <c r="D403" s="18"/>
      <c r="E403" s="18"/>
      <c r="F403" s="18"/>
      <c r="G403" s="18"/>
      <c r="H403" s="18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6"/>
      <c r="DX403" s="76"/>
    </row>
    <row r="404" spans="1:128" ht="15.75" customHeight="1">
      <c r="A404" s="76"/>
      <c r="B404" s="79"/>
      <c r="C404" s="18"/>
      <c r="D404" s="18"/>
      <c r="E404" s="18"/>
      <c r="F404" s="18"/>
      <c r="G404" s="18"/>
      <c r="H404" s="18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6"/>
      <c r="DX404" s="76"/>
    </row>
    <row r="405" spans="1:128" ht="15.75" customHeight="1">
      <c r="A405" s="76"/>
      <c r="B405" s="79"/>
      <c r="C405" s="18"/>
      <c r="D405" s="18"/>
      <c r="E405" s="18"/>
      <c r="F405" s="18"/>
      <c r="G405" s="18"/>
      <c r="H405" s="18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6"/>
      <c r="DX405" s="76"/>
    </row>
    <row r="406" spans="1:128" ht="15.75" customHeight="1">
      <c r="A406" s="76"/>
      <c r="B406" s="79"/>
      <c r="C406" s="18"/>
      <c r="D406" s="18"/>
      <c r="E406" s="18"/>
      <c r="F406" s="18"/>
      <c r="G406" s="18"/>
      <c r="H406" s="18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6"/>
      <c r="DX406" s="76"/>
    </row>
    <row r="407" spans="1:128" ht="15.75" customHeight="1">
      <c r="A407" s="76"/>
      <c r="B407" s="79"/>
      <c r="C407" s="18"/>
      <c r="D407" s="18"/>
      <c r="E407" s="18"/>
      <c r="F407" s="18"/>
      <c r="G407" s="18"/>
      <c r="H407" s="18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6"/>
      <c r="DX407" s="76"/>
    </row>
    <row r="408" spans="1:128" ht="15.75" customHeight="1">
      <c r="A408" s="76"/>
      <c r="B408" s="79"/>
      <c r="C408" s="18"/>
      <c r="D408" s="18"/>
      <c r="E408" s="18"/>
      <c r="F408" s="18"/>
      <c r="G408" s="18"/>
      <c r="H408" s="18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6"/>
      <c r="DX408" s="76"/>
    </row>
    <row r="409" spans="1:128" ht="15.75" customHeight="1">
      <c r="A409" s="76"/>
      <c r="B409" s="79"/>
      <c r="C409" s="18"/>
      <c r="D409" s="18"/>
      <c r="E409" s="18"/>
      <c r="F409" s="18"/>
      <c r="G409" s="18"/>
      <c r="H409" s="18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76"/>
      <c r="DX409" s="76"/>
    </row>
    <row r="410" spans="1:128" ht="15.75" customHeight="1">
      <c r="A410" s="76"/>
      <c r="B410" s="79"/>
      <c r="C410" s="18"/>
      <c r="D410" s="18"/>
      <c r="E410" s="18"/>
      <c r="F410" s="18"/>
      <c r="G410" s="18"/>
      <c r="H410" s="18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6"/>
      <c r="DX410" s="76"/>
    </row>
    <row r="411" spans="1:128" ht="15.75" customHeight="1">
      <c r="A411" s="76"/>
      <c r="B411" s="79"/>
      <c r="C411" s="18"/>
      <c r="D411" s="18"/>
      <c r="E411" s="18"/>
      <c r="F411" s="18"/>
      <c r="G411" s="18"/>
      <c r="H411" s="18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6"/>
      <c r="DX411" s="76"/>
    </row>
    <row r="412" spans="1:128" ht="15.75" customHeight="1">
      <c r="A412" s="76"/>
      <c r="B412" s="79"/>
      <c r="C412" s="18"/>
      <c r="D412" s="18"/>
      <c r="E412" s="18"/>
      <c r="F412" s="18"/>
      <c r="G412" s="18"/>
      <c r="H412" s="18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</row>
    <row r="413" spans="1:128" ht="15.75" customHeight="1">
      <c r="A413" s="76"/>
      <c r="B413" s="79"/>
      <c r="C413" s="18"/>
      <c r="D413" s="18"/>
      <c r="E413" s="18"/>
      <c r="F413" s="18"/>
      <c r="G413" s="18"/>
      <c r="H413" s="18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6"/>
      <c r="DX413" s="76"/>
    </row>
    <row r="414" spans="1:128" ht="15.75" customHeight="1">
      <c r="A414" s="76"/>
      <c r="B414" s="79"/>
      <c r="C414" s="18"/>
      <c r="D414" s="18"/>
      <c r="E414" s="18"/>
      <c r="F414" s="18"/>
      <c r="G414" s="18"/>
      <c r="H414" s="18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6"/>
      <c r="DX414" s="76"/>
    </row>
    <row r="415" spans="1:128" ht="15.75" customHeight="1">
      <c r="A415" s="76"/>
      <c r="B415" s="79"/>
      <c r="C415" s="18"/>
      <c r="D415" s="18"/>
      <c r="E415" s="18"/>
      <c r="F415" s="18"/>
      <c r="G415" s="18"/>
      <c r="H415" s="18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6"/>
      <c r="DX415" s="76"/>
    </row>
    <row r="416" spans="1:128" ht="15.75" customHeight="1">
      <c r="A416" s="76"/>
      <c r="B416" s="79"/>
      <c r="C416" s="18"/>
      <c r="D416" s="18"/>
      <c r="E416" s="18"/>
      <c r="F416" s="18"/>
      <c r="G416" s="18"/>
      <c r="H416" s="18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6"/>
      <c r="DX416" s="76"/>
    </row>
    <row r="417" spans="1:128" ht="15.75" customHeight="1">
      <c r="A417" s="76"/>
      <c r="B417" s="79"/>
      <c r="C417" s="18"/>
      <c r="D417" s="18"/>
      <c r="E417" s="18"/>
      <c r="F417" s="18"/>
      <c r="G417" s="18"/>
      <c r="H417" s="18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6"/>
      <c r="DX417" s="76"/>
    </row>
    <row r="418" spans="1:128" ht="15.75" customHeight="1">
      <c r="A418" s="76"/>
      <c r="B418" s="79"/>
      <c r="C418" s="18"/>
      <c r="D418" s="18"/>
      <c r="E418" s="18"/>
      <c r="F418" s="18"/>
      <c r="G418" s="18"/>
      <c r="H418" s="18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6"/>
      <c r="DX418" s="76"/>
    </row>
    <row r="419" spans="1:128" ht="15.75" customHeight="1">
      <c r="A419" s="76"/>
      <c r="B419" s="79"/>
      <c r="C419" s="18"/>
      <c r="D419" s="18"/>
      <c r="E419" s="18"/>
      <c r="F419" s="18"/>
      <c r="G419" s="18"/>
      <c r="H419" s="18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6"/>
      <c r="DX419" s="76"/>
    </row>
    <row r="420" spans="1:128" ht="15.75" customHeight="1">
      <c r="A420" s="76"/>
      <c r="B420" s="79"/>
      <c r="C420" s="18"/>
      <c r="D420" s="18"/>
      <c r="E420" s="18"/>
      <c r="F420" s="18"/>
      <c r="G420" s="18"/>
      <c r="H420" s="18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6"/>
      <c r="DX420" s="76"/>
    </row>
    <row r="421" spans="1:128" ht="15.75" customHeight="1">
      <c r="A421" s="76"/>
      <c r="B421" s="79"/>
      <c r="C421" s="18"/>
      <c r="D421" s="18"/>
      <c r="E421" s="18"/>
      <c r="F421" s="18"/>
      <c r="G421" s="18"/>
      <c r="H421" s="18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6"/>
      <c r="DX421" s="76"/>
    </row>
    <row r="422" spans="1:128" ht="15.75" customHeight="1">
      <c r="A422" s="76"/>
      <c r="B422" s="79"/>
      <c r="C422" s="18"/>
      <c r="D422" s="18"/>
      <c r="E422" s="18"/>
      <c r="F422" s="18"/>
      <c r="G422" s="18"/>
      <c r="H422" s="18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6"/>
      <c r="DX422" s="76"/>
    </row>
    <row r="423" spans="1:128" ht="15.75" customHeight="1">
      <c r="A423" s="76"/>
      <c r="B423" s="79"/>
      <c r="C423" s="18"/>
      <c r="D423" s="18"/>
      <c r="E423" s="18"/>
      <c r="F423" s="18"/>
      <c r="G423" s="18"/>
      <c r="H423" s="18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6"/>
      <c r="DX423" s="76"/>
    </row>
    <row r="424" spans="1:128" ht="15.75" customHeight="1">
      <c r="A424" s="76"/>
      <c r="B424" s="79"/>
      <c r="C424" s="18"/>
      <c r="D424" s="18"/>
      <c r="E424" s="18"/>
      <c r="F424" s="18"/>
      <c r="G424" s="18"/>
      <c r="H424" s="18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6"/>
      <c r="DX424" s="76"/>
    </row>
    <row r="425" spans="1:128" ht="15.75" customHeight="1">
      <c r="A425" s="76"/>
      <c r="B425" s="79"/>
      <c r="C425" s="18"/>
      <c r="D425" s="18"/>
      <c r="E425" s="18"/>
      <c r="F425" s="18"/>
      <c r="G425" s="18"/>
      <c r="H425" s="18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6"/>
      <c r="DX425" s="76"/>
    </row>
    <row r="426" spans="1:128" ht="15.75" customHeight="1">
      <c r="A426" s="76"/>
      <c r="B426" s="79"/>
      <c r="C426" s="18"/>
      <c r="D426" s="18"/>
      <c r="E426" s="18"/>
      <c r="F426" s="18"/>
      <c r="G426" s="18"/>
      <c r="H426" s="18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6"/>
      <c r="DX426" s="76"/>
    </row>
    <row r="427" spans="1:128" ht="15.75" customHeight="1">
      <c r="A427" s="76"/>
      <c r="B427" s="79"/>
      <c r="C427" s="18"/>
      <c r="D427" s="18"/>
      <c r="E427" s="18"/>
      <c r="F427" s="18"/>
      <c r="G427" s="18"/>
      <c r="H427" s="18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6"/>
      <c r="DX427" s="76"/>
    </row>
    <row r="428" spans="1:128" ht="15.75" customHeight="1">
      <c r="A428" s="76"/>
      <c r="B428" s="79"/>
      <c r="C428" s="18"/>
      <c r="D428" s="18"/>
      <c r="E428" s="18"/>
      <c r="F428" s="18"/>
      <c r="G428" s="18"/>
      <c r="H428" s="18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/>
      <c r="DX428" s="76"/>
    </row>
    <row r="429" spans="1:128" ht="15.75" customHeight="1">
      <c r="A429" s="76"/>
      <c r="B429" s="79"/>
      <c r="C429" s="18"/>
      <c r="D429" s="18"/>
      <c r="E429" s="18"/>
      <c r="F429" s="18"/>
      <c r="G429" s="18"/>
      <c r="H429" s="18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/>
      <c r="DX429" s="76"/>
    </row>
    <row r="430" spans="1:128" ht="15.75" customHeight="1">
      <c r="A430" s="76"/>
      <c r="B430" s="79"/>
      <c r="C430" s="18"/>
      <c r="D430" s="18"/>
      <c r="E430" s="18"/>
      <c r="F430" s="18"/>
      <c r="G430" s="18"/>
      <c r="H430" s="18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/>
      <c r="DX430" s="76"/>
    </row>
    <row r="431" spans="1:128" ht="15.75" customHeight="1">
      <c r="A431" s="76"/>
      <c r="B431" s="79"/>
      <c r="C431" s="18"/>
      <c r="D431" s="18"/>
      <c r="E431" s="18"/>
      <c r="F431" s="18"/>
      <c r="G431" s="18"/>
      <c r="H431" s="18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/>
      <c r="DX431" s="76"/>
    </row>
    <row r="432" spans="1:128" ht="15.75" customHeight="1">
      <c r="A432" s="76"/>
      <c r="B432" s="79"/>
      <c r="C432" s="18"/>
      <c r="D432" s="18"/>
      <c r="E432" s="18"/>
      <c r="F432" s="18"/>
      <c r="G432" s="18"/>
      <c r="H432" s="18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/>
      <c r="DX432" s="76"/>
    </row>
    <row r="433" spans="1:128" ht="15.75" customHeight="1">
      <c r="A433" s="76"/>
      <c r="B433" s="79"/>
      <c r="C433" s="18"/>
      <c r="D433" s="18"/>
      <c r="E433" s="18"/>
      <c r="F433" s="18"/>
      <c r="G433" s="18"/>
      <c r="H433" s="18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/>
      <c r="DX433" s="76"/>
    </row>
    <row r="434" spans="1:128" ht="15.75" customHeight="1">
      <c r="A434" s="76"/>
      <c r="B434" s="79"/>
      <c r="C434" s="18"/>
      <c r="D434" s="18"/>
      <c r="E434" s="18"/>
      <c r="F434" s="18"/>
      <c r="G434" s="18"/>
      <c r="H434" s="18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/>
      <c r="DX434" s="76"/>
    </row>
    <row r="435" spans="1:128" ht="15.75" customHeight="1">
      <c r="A435" s="76"/>
      <c r="B435" s="79"/>
      <c r="C435" s="18"/>
      <c r="D435" s="18"/>
      <c r="E435" s="18"/>
      <c r="F435" s="18"/>
      <c r="G435" s="18"/>
      <c r="H435" s="18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/>
      <c r="DX435" s="76"/>
    </row>
    <row r="436" spans="1:128" ht="15.75" customHeight="1">
      <c r="A436" s="76"/>
      <c r="B436" s="79"/>
      <c r="C436" s="18"/>
      <c r="D436" s="18"/>
      <c r="E436" s="18"/>
      <c r="F436" s="18"/>
      <c r="G436" s="18"/>
      <c r="H436" s="18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/>
      <c r="DX436" s="76"/>
    </row>
    <row r="437" spans="1:128" ht="15.75" customHeight="1">
      <c r="A437" s="76"/>
      <c r="B437" s="79"/>
      <c r="C437" s="18"/>
      <c r="D437" s="18"/>
      <c r="E437" s="18"/>
      <c r="F437" s="18"/>
      <c r="G437" s="18"/>
      <c r="H437" s="18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/>
      <c r="DX437" s="76"/>
    </row>
    <row r="438" spans="1:128" ht="15.75" customHeight="1">
      <c r="A438" s="76"/>
      <c r="B438" s="79"/>
      <c r="C438" s="18"/>
      <c r="D438" s="18"/>
      <c r="E438" s="18"/>
      <c r="F438" s="18"/>
      <c r="G438" s="18"/>
      <c r="H438" s="18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</row>
    <row r="439" spans="1:128" ht="15.75" customHeight="1">
      <c r="A439" s="76"/>
      <c r="B439" s="79"/>
      <c r="C439" s="18"/>
      <c r="D439" s="18"/>
      <c r="E439" s="18"/>
      <c r="F439" s="18"/>
      <c r="G439" s="18"/>
      <c r="H439" s="18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6"/>
      <c r="DX439" s="76"/>
    </row>
    <row r="440" spans="1:128" ht="15.75" customHeight="1">
      <c r="A440" s="76"/>
      <c r="B440" s="79"/>
      <c r="C440" s="18"/>
      <c r="D440" s="18"/>
      <c r="E440" s="18"/>
      <c r="F440" s="18"/>
      <c r="G440" s="18"/>
      <c r="H440" s="18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6"/>
      <c r="DX440" s="76"/>
    </row>
    <row r="441" spans="1:128" ht="15.75" customHeight="1">
      <c r="A441" s="76"/>
      <c r="B441" s="79"/>
      <c r="C441" s="18"/>
      <c r="D441" s="18"/>
      <c r="E441" s="18"/>
      <c r="F441" s="18"/>
      <c r="G441" s="18"/>
      <c r="H441" s="18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6"/>
      <c r="DX441" s="76"/>
    </row>
    <row r="442" spans="1:128" ht="15.75" customHeight="1">
      <c r="A442" s="76"/>
      <c r="B442" s="79"/>
      <c r="C442" s="18"/>
      <c r="D442" s="18"/>
      <c r="E442" s="18"/>
      <c r="F442" s="18"/>
      <c r="G442" s="18"/>
      <c r="H442" s="18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/>
      <c r="DX442" s="76"/>
    </row>
    <row r="443" spans="1:128" ht="15.75" customHeight="1">
      <c r="A443" s="76"/>
      <c r="B443" s="79"/>
      <c r="C443" s="18"/>
      <c r="D443" s="18"/>
      <c r="E443" s="18"/>
      <c r="F443" s="18"/>
      <c r="G443" s="18"/>
      <c r="H443" s="18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/>
      <c r="DX443" s="76"/>
    </row>
    <row r="444" spans="1:128" ht="15.75" customHeight="1">
      <c r="A444" s="76"/>
      <c r="B444" s="79"/>
      <c r="C444" s="18"/>
      <c r="D444" s="18"/>
      <c r="E444" s="18"/>
      <c r="F444" s="18"/>
      <c r="G444" s="18"/>
      <c r="H444" s="18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/>
      <c r="DX444" s="76"/>
    </row>
    <row r="445" spans="1:128" ht="15.75" customHeight="1">
      <c r="A445" s="76"/>
      <c r="B445" s="79"/>
      <c r="C445" s="18"/>
      <c r="D445" s="18"/>
      <c r="E445" s="18"/>
      <c r="F445" s="18"/>
      <c r="G445" s="18"/>
      <c r="H445" s="18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6"/>
      <c r="DX445" s="76"/>
    </row>
    <row r="446" spans="1:128" ht="15.75" customHeight="1">
      <c r="A446" s="76"/>
      <c r="B446" s="79"/>
      <c r="C446" s="18"/>
      <c r="D446" s="18"/>
      <c r="E446" s="18"/>
      <c r="F446" s="18"/>
      <c r="G446" s="18"/>
      <c r="H446" s="18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76"/>
      <c r="DX446" s="76"/>
    </row>
    <row r="447" spans="1:128" ht="15.75" customHeight="1">
      <c r="A447" s="76"/>
      <c r="B447" s="79"/>
      <c r="C447" s="18"/>
      <c r="D447" s="18"/>
      <c r="E447" s="18"/>
      <c r="F447" s="18"/>
      <c r="G447" s="18"/>
      <c r="H447" s="18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76"/>
      <c r="DX447" s="76"/>
    </row>
    <row r="448" spans="1:128" ht="15.75" customHeight="1">
      <c r="A448" s="76"/>
      <c r="B448" s="79"/>
      <c r="C448" s="18"/>
      <c r="D448" s="18"/>
      <c r="E448" s="18"/>
      <c r="F448" s="18"/>
      <c r="G448" s="18"/>
      <c r="H448" s="18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/>
      <c r="DX448" s="76"/>
    </row>
    <row r="449" spans="1:128" ht="15.75" customHeight="1">
      <c r="A449" s="76"/>
      <c r="B449" s="79"/>
      <c r="C449" s="18"/>
      <c r="D449" s="18"/>
      <c r="E449" s="18"/>
      <c r="F449" s="18"/>
      <c r="G449" s="18"/>
      <c r="H449" s="18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/>
      <c r="DX449" s="76"/>
    </row>
    <row r="450" spans="1:128" ht="15.75" customHeight="1">
      <c r="A450" s="76"/>
      <c r="B450" s="79"/>
      <c r="C450" s="18"/>
      <c r="D450" s="18"/>
      <c r="E450" s="18"/>
      <c r="F450" s="18"/>
      <c r="G450" s="18"/>
      <c r="H450" s="18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/>
      <c r="DX450" s="76"/>
    </row>
    <row r="451" spans="1:128" ht="15.75" customHeight="1">
      <c r="A451" s="76"/>
      <c r="B451" s="79"/>
      <c r="C451" s="18"/>
      <c r="D451" s="18"/>
      <c r="E451" s="18"/>
      <c r="F451" s="18"/>
      <c r="G451" s="18"/>
      <c r="H451" s="18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76"/>
      <c r="DX451" s="76"/>
    </row>
    <row r="452" spans="1:128" ht="15.75" customHeight="1">
      <c r="A452" s="76"/>
      <c r="B452" s="79"/>
      <c r="C452" s="18"/>
      <c r="D452" s="18"/>
      <c r="E452" s="18"/>
      <c r="F452" s="18"/>
      <c r="G452" s="18"/>
      <c r="H452" s="18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76"/>
      <c r="DX452" s="76"/>
    </row>
    <row r="453" spans="1:128" ht="15.75" customHeight="1">
      <c r="A453" s="76"/>
      <c r="B453" s="79"/>
      <c r="C453" s="18"/>
      <c r="D453" s="18"/>
      <c r="E453" s="18"/>
      <c r="F453" s="18"/>
      <c r="G453" s="18"/>
      <c r="H453" s="18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/>
      <c r="DX453" s="76"/>
    </row>
    <row r="454" spans="1:128" ht="15.75" customHeight="1">
      <c r="A454" s="76"/>
      <c r="B454" s="79"/>
      <c r="C454" s="18"/>
      <c r="D454" s="18"/>
      <c r="E454" s="18"/>
      <c r="F454" s="18"/>
      <c r="G454" s="18"/>
      <c r="H454" s="18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/>
      <c r="DX454" s="76"/>
    </row>
    <row r="455" spans="1:128" ht="15.75" customHeight="1">
      <c r="A455" s="76"/>
      <c r="B455" s="79"/>
      <c r="C455" s="18"/>
      <c r="D455" s="18"/>
      <c r="E455" s="18"/>
      <c r="F455" s="18"/>
      <c r="G455" s="18"/>
      <c r="H455" s="18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/>
      <c r="DX455" s="76"/>
    </row>
    <row r="456" spans="1:128" ht="15.75" customHeight="1">
      <c r="A456" s="76"/>
      <c r="B456" s="79"/>
      <c r="C456" s="18"/>
      <c r="D456" s="18"/>
      <c r="E456" s="18"/>
      <c r="F456" s="18"/>
      <c r="G456" s="18"/>
      <c r="H456" s="18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/>
      <c r="DX456" s="76"/>
    </row>
    <row r="457" spans="1:128" ht="15.75" customHeight="1">
      <c r="A457" s="76"/>
      <c r="B457" s="79"/>
      <c r="C457" s="18"/>
      <c r="D457" s="18"/>
      <c r="E457" s="18"/>
      <c r="F457" s="18"/>
      <c r="G457" s="18"/>
      <c r="H457" s="18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6"/>
      <c r="DX457" s="76"/>
    </row>
    <row r="458" spans="1:128" ht="15.75" customHeight="1">
      <c r="A458" s="76"/>
      <c r="B458" s="79"/>
      <c r="C458" s="18"/>
      <c r="D458" s="18"/>
      <c r="E458" s="18"/>
      <c r="F458" s="18"/>
      <c r="G458" s="18"/>
      <c r="H458" s="18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6"/>
      <c r="DX458" s="76"/>
    </row>
    <row r="459" spans="1:128" ht="15.75" customHeight="1">
      <c r="A459" s="76"/>
      <c r="B459" s="79"/>
      <c r="C459" s="18"/>
      <c r="D459" s="18"/>
      <c r="E459" s="18"/>
      <c r="F459" s="18"/>
      <c r="G459" s="18"/>
      <c r="H459" s="18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/>
      <c r="DX459" s="76"/>
    </row>
    <row r="460" spans="1:128" ht="15.75" customHeight="1">
      <c r="A460" s="76"/>
      <c r="B460" s="79"/>
      <c r="C460" s="18"/>
      <c r="D460" s="18"/>
      <c r="E460" s="18"/>
      <c r="F460" s="18"/>
      <c r="G460" s="18"/>
      <c r="H460" s="18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6"/>
      <c r="DX460" s="76"/>
    </row>
    <row r="461" spans="1:128" ht="15.75" customHeight="1">
      <c r="A461" s="76"/>
      <c r="B461" s="79"/>
      <c r="C461" s="18"/>
      <c r="D461" s="18"/>
      <c r="E461" s="18"/>
      <c r="F461" s="18"/>
      <c r="G461" s="18"/>
      <c r="H461" s="18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6"/>
      <c r="DX461" s="76"/>
    </row>
    <row r="462" spans="1:128" ht="15.75" customHeight="1">
      <c r="A462" s="76"/>
      <c r="B462" s="79"/>
      <c r="C462" s="18"/>
      <c r="D462" s="18"/>
      <c r="E462" s="18"/>
      <c r="F462" s="18"/>
      <c r="G462" s="18"/>
      <c r="H462" s="18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</row>
    <row r="463" spans="1:128" ht="15.75" customHeight="1">
      <c r="A463" s="76"/>
      <c r="B463" s="79"/>
      <c r="C463" s="18"/>
      <c r="D463" s="18"/>
      <c r="E463" s="18"/>
      <c r="F463" s="18"/>
      <c r="G463" s="18"/>
      <c r="H463" s="18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6"/>
      <c r="DX463" s="76"/>
    </row>
    <row r="464" spans="1:128" ht="15.75" customHeight="1">
      <c r="A464" s="76"/>
      <c r="B464" s="79"/>
      <c r="C464" s="18"/>
      <c r="D464" s="18"/>
      <c r="E464" s="18"/>
      <c r="F464" s="18"/>
      <c r="G464" s="18"/>
      <c r="H464" s="18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6"/>
      <c r="DX464" s="76"/>
    </row>
    <row r="465" spans="1:128" ht="15.75" customHeight="1">
      <c r="A465" s="76"/>
      <c r="B465" s="79"/>
      <c r="C465" s="18"/>
      <c r="D465" s="18"/>
      <c r="E465" s="18"/>
      <c r="F465" s="18"/>
      <c r="G465" s="18"/>
      <c r="H465" s="18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/>
      <c r="DX465" s="76"/>
    </row>
    <row r="466" spans="1:128" ht="15.75" customHeight="1">
      <c r="A466" s="76"/>
      <c r="B466" s="79"/>
      <c r="C466" s="18"/>
      <c r="D466" s="18"/>
      <c r="E466" s="18"/>
      <c r="F466" s="18"/>
      <c r="G466" s="18"/>
      <c r="H466" s="18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6"/>
      <c r="DX466" s="76"/>
    </row>
    <row r="467" spans="1:128" ht="15.75" customHeight="1">
      <c r="A467" s="76"/>
      <c r="B467" s="79"/>
      <c r="C467" s="18"/>
      <c r="D467" s="18"/>
      <c r="E467" s="18"/>
      <c r="F467" s="18"/>
      <c r="G467" s="18"/>
      <c r="H467" s="18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6"/>
      <c r="DX467" s="76"/>
    </row>
    <row r="468" spans="1:128" ht="15.75" customHeight="1">
      <c r="A468" s="76"/>
      <c r="B468" s="79"/>
      <c r="C468" s="18"/>
      <c r="D468" s="18"/>
      <c r="E468" s="18"/>
      <c r="F468" s="18"/>
      <c r="G468" s="18"/>
      <c r="H468" s="18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/>
      <c r="DX468" s="76"/>
    </row>
    <row r="469" spans="1:128" ht="15.75" customHeight="1">
      <c r="A469" s="76"/>
      <c r="B469" s="79"/>
      <c r="C469" s="18"/>
      <c r="D469" s="18"/>
      <c r="E469" s="18"/>
      <c r="F469" s="18"/>
      <c r="G469" s="18"/>
      <c r="H469" s="18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6"/>
      <c r="DX469" s="76"/>
    </row>
    <row r="470" spans="1:128" ht="15.75" customHeight="1">
      <c r="A470" s="76"/>
      <c r="B470" s="79"/>
      <c r="C470" s="18"/>
      <c r="D470" s="18"/>
      <c r="E470" s="18"/>
      <c r="F470" s="18"/>
      <c r="G470" s="18"/>
      <c r="H470" s="18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6"/>
      <c r="DX470" s="76"/>
    </row>
    <row r="471" spans="1:128" ht="15.75" customHeight="1">
      <c r="A471" s="76"/>
      <c r="B471" s="79"/>
      <c r="C471" s="18"/>
      <c r="D471" s="18"/>
      <c r="E471" s="18"/>
      <c r="F471" s="18"/>
      <c r="G471" s="18"/>
      <c r="H471" s="18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/>
      <c r="DX471" s="76"/>
    </row>
    <row r="472" spans="1:128" ht="15.75" customHeight="1">
      <c r="A472" s="76"/>
      <c r="B472" s="79"/>
      <c r="C472" s="18"/>
      <c r="D472" s="18"/>
      <c r="E472" s="18"/>
      <c r="F472" s="18"/>
      <c r="G472" s="18"/>
      <c r="H472" s="18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6"/>
      <c r="DX472" s="76"/>
    </row>
    <row r="473" spans="1:128" ht="15.75" customHeight="1">
      <c r="A473" s="76"/>
      <c r="B473" s="79"/>
      <c r="C473" s="18"/>
      <c r="D473" s="18"/>
      <c r="E473" s="18"/>
      <c r="F473" s="18"/>
      <c r="G473" s="18"/>
      <c r="H473" s="18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6"/>
      <c r="DX473" s="76"/>
    </row>
    <row r="474" spans="1:128" ht="15.75" customHeight="1">
      <c r="A474" s="76"/>
      <c r="B474" s="79"/>
      <c r="C474" s="18"/>
      <c r="D474" s="18"/>
      <c r="E474" s="18"/>
      <c r="F474" s="18"/>
      <c r="G474" s="18"/>
      <c r="H474" s="18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/>
      <c r="DX474" s="76"/>
    </row>
    <row r="475" spans="1:128" ht="15.75" customHeight="1">
      <c r="A475" s="76"/>
      <c r="B475" s="79"/>
      <c r="C475" s="18"/>
      <c r="D475" s="18"/>
      <c r="E475" s="18"/>
      <c r="F475" s="18"/>
      <c r="G475" s="18"/>
      <c r="H475" s="18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6"/>
      <c r="DX475" s="76"/>
    </row>
    <row r="476" spans="1:128" ht="15.75" customHeight="1">
      <c r="A476" s="76"/>
      <c r="B476" s="79"/>
      <c r="C476" s="18"/>
      <c r="D476" s="18"/>
      <c r="E476" s="18"/>
      <c r="F476" s="18"/>
      <c r="G476" s="18"/>
      <c r="H476" s="18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6"/>
      <c r="DX476" s="76"/>
    </row>
    <row r="477" spans="1:128" ht="15.75" customHeight="1">
      <c r="A477" s="76"/>
      <c r="B477" s="79"/>
      <c r="C477" s="18"/>
      <c r="D477" s="18"/>
      <c r="E477" s="18"/>
      <c r="F477" s="18"/>
      <c r="G477" s="18"/>
      <c r="H477" s="18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/>
      <c r="DX477" s="76"/>
    </row>
    <row r="478" spans="1:128" ht="15.75" customHeight="1">
      <c r="A478" s="76"/>
      <c r="B478" s="79"/>
      <c r="C478" s="18"/>
      <c r="D478" s="18"/>
      <c r="E478" s="18"/>
      <c r="F478" s="18"/>
      <c r="G478" s="18"/>
      <c r="H478" s="18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6"/>
      <c r="DX478" s="76"/>
    </row>
    <row r="479" spans="1:128" ht="15.75" customHeight="1">
      <c r="A479" s="76"/>
      <c r="B479" s="79"/>
      <c r="C479" s="18"/>
      <c r="D479" s="18"/>
      <c r="E479" s="18"/>
      <c r="F479" s="18"/>
      <c r="G479" s="18"/>
      <c r="H479" s="18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6"/>
      <c r="DX479" s="76"/>
    </row>
    <row r="480" spans="1:128" ht="15.75" customHeight="1">
      <c r="A480" s="76"/>
      <c r="B480" s="79"/>
      <c r="C480" s="18"/>
      <c r="D480" s="18"/>
      <c r="E480" s="18"/>
      <c r="F480" s="18"/>
      <c r="G480" s="18"/>
      <c r="H480" s="18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/>
      <c r="DX480" s="76"/>
    </row>
    <row r="481" spans="1:128" ht="15.75" customHeight="1">
      <c r="A481" s="76"/>
      <c r="B481" s="79"/>
      <c r="C481" s="18"/>
      <c r="D481" s="18"/>
      <c r="E481" s="18"/>
      <c r="F481" s="18"/>
      <c r="G481" s="18"/>
      <c r="H481" s="18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6"/>
      <c r="DX481" s="76"/>
    </row>
    <row r="482" spans="1:128" ht="15.75" customHeight="1">
      <c r="A482" s="76"/>
      <c r="B482" s="79"/>
      <c r="C482" s="18"/>
      <c r="D482" s="18"/>
      <c r="E482" s="18"/>
      <c r="F482" s="18"/>
      <c r="G482" s="18"/>
      <c r="H482" s="18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6"/>
      <c r="DX482" s="76"/>
    </row>
    <row r="483" spans="1:128" ht="15.75" customHeight="1">
      <c r="A483" s="76"/>
      <c r="B483" s="79"/>
      <c r="C483" s="18"/>
      <c r="D483" s="18"/>
      <c r="E483" s="18"/>
      <c r="F483" s="18"/>
      <c r="G483" s="18"/>
      <c r="H483" s="18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/>
      <c r="DX483" s="76"/>
    </row>
    <row r="484" spans="1:128" ht="15.75" customHeight="1">
      <c r="A484" s="76"/>
      <c r="B484" s="79"/>
      <c r="C484" s="18"/>
      <c r="D484" s="18"/>
      <c r="E484" s="18"/>
      <c r="F484" s="18"/>
      <c r="G484" s="18"/>
      <c r="H484" s="18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/>
      <c r="DX484" s="76"/>
    </row>
    <row r="485" spans="1:128" ht="15.75" customHeight="1">
      <c r="A485" s="76"/>
      <c r="B485" s="79"/>
      <c r="C485" s="18"/>
      <c r="D485" s="18"/>
      <c r="E485" s="18"/>
      <c r="F485" s="18"/>
      <c r="G485" s="18"/>
      <c r="H485" s="18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/>
      <c r="DX485" s="76"/>
    </row>
    <row r="486" spans="1:128" ht="15.75" customHeight="1">
      <c r="A486" s="76"/>
      <c r="B486" s="79"/>
      <c r="C486" s="18"/>
      <c r="D486" s="18"/>
      <c r="E486" s="18"/>
      <c r="F486" s="18"/>
      <c r="G486" s="18"/>
      <c r="H486" s="18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6"/>
      <c r="DX486" s="76"/>
    </row>
    <row r="487" spans="1:128" ht="15.75" customHeight="1">
      <c r="A487" s="76"/>
      <c r="B487" s="79"/>
      <c r="C487" s="18"/>
      <c r="D487" s="18"/>
      <c r="E487" s="18"/>
      <c r="F487" s="18"/>
      <c r="G487" s="18"/>
      <c r="H487" s="18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/>
      <c r="DX487" s="76"/>
    </row>
    <row r="488" spans="1:128" ht="15.75" customHeight="1">
      <c r="A488" s="76"/>
      <c r="B488" s="79"/>
      <c r="C488" s="18"/>
      <c r="D488" s="18"/>
      <c r="E488" s="18"/>
      <c r="F488" s="18"/>
      <c r="G488" s="18"/>
      <c r="H488" s="18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/>
      <c r="DX488" s="76"/>
    </row>
    <row r="489" spans="1:128" ht="15.75" customHeight="1">
      <c r="A489" s="76"/>
      <c r="B489" s="79"/>
      <c r="C489" s="18"/>
      <c r="D489" s="18"/>
      <c r="E489" s="18"/>
      <c r="F489" s="18"/>
      <c r="G489" s="18"/>
      <c r="H489" s="18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76"/>
      <c r="DX489" s="76"/>
    </row>
    <row r="490" spans="1:128" ht="15.75" customHeight="1">
      <c r="A490" s="76"/>
      <c r="B490" s="79"/>
      <c r="C490" s="18"/>
      <c r="D490" s="18"/>
      <c r="E490" s="18"/>
      <c r="F490" s="18"/>
      <c r="G490" s="18"/>
      <c r="H490" s="18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76"/>
      <c r="DX490" s="76"/>
    </row>
    <row r="491" spans="1:128" ht="15.75" customHeight="1">
      <c r="A491" s="76"/>
      <c r="B491" s="79"/>
      <c r="C491" s="18"/>
      <c r="D491" s="18"/>
      <c r="E491" s="18"/>
      <c r="F491" s="18"/>
      <c r="G491" s="18"/>
      <c r="H491" s="18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76"/>
      <c r="DX491" s="76"/>
    </row>
    <row r="492" spans="1:128" ht="15.75" customHeight="1">
      <c r="A492" s="76"/>
      <c r="B492" s="79"/>
      <c r="C492" s="18"/>
      <c r="D492" s="18"/>
      <c r="E492" s="18"/>
      <c r="F492" s="18"/>
      <c r="G492" s="18"/>
      <c r="H492" s="18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76"/>
      <c r="DX492" s="76"/>
    </row>
    <row r="493" spans="1:128" ht="15.75" customHeight="1">
      <c r="A493" s="76"/>
      <c r="B493" s="79"/>
      <c r="C493" s="18"/>
      <c r="D493" s="18"/>
      <c r="E493" s="18"/>
      <c r="F493" s="18"/>
      <c r="G493" s="18"/>
      <c r="H493" s="18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76"/>
      <c r="DX493" s="76"/>
    </row>
    <row r="494" spans="1:128" ht="15.75" customHeight="1">
      <c r="A494" s="76"/>
      <c r="B494" s="79"/>
      <c r="C494" s="18"/>
      <c r="D494" s="18"/>
      <c r="E494" s="18"/>
      <c r="F494" s="18"/>
      <c r="G494" s="18"/>
      <c r="H494" s="18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76"/>
      <c r="DX494" s="76"/>
    </row>
    <row r="495" spans="1:128" ht="15.75" customHeight="1">
      <c r="A495" s="76"/>
      <c r="B495" s="79"/>
      <c r="C495" s="18"/>
      <c r="D495" s="18"/>
      <c r="E495" s="18"/>
      <c r="F495" s="18"/>
      <c r="G495" s="18"/>
      <c r="H495" s="18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76"/>
      <c r="DX495" s="76"/>
    </row>
    <row r="496" spans="1:128" ht="15.75" customHeight="1">
      <c r="A496" s="76"/>
      <c r="B496" s="79"/>
      <c r="C496" s="18"/>
      <c r="D496" s="18"/>
      <c r="E496" s="18"/>
      <c r="F496" s="18"/>
      <c r="G496" s="18"/>
      <c r="H496" s="18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76"/>
      <c r="DX496" s="76"/>
    </row>
    <row r="497" spans="1:128" ht="15.75" customHeight="1">
      <c r="A497" s="76"/>
      <c r="B497" s="79"/>
      <c r="C497" s="18"/>
      <c r="D497" s="18"/>
      <c r="E497" s="18"/>
      <c r="F497" s="18"/>
      <c r="G497" s="18"/>
      <c r="H497" s="18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76"/>
      <c r="DX497" s="76"/>
    </row>
    <row r="498" spans="1:128" ht="15.75" customHeight="1">
      <c r="A498" s="76"/>
      <c r="B498" s="79"/>
      <c r="C498" s="18"/>
      <c r="D498" s="18"/>
      <c r="E498" s="18"/>
      <c r="F498" s="18"/>
      <c r="G498" s="18"/>
      <c r="H498" s="18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76"/>
      <c r="DX498" s="76"/>
    </row>
    <row r="499" spans="1:128" ht="15.75" customHeight="1">
      <c r="A499" s="76"/>
      <c r="B499" s="79"/>
      <c r="C499" s="18"/>
      <c r="D499" s="18"/>
      <c r="E499" s="18"/>
      <c r="F499" s="18"/>
      <c r="G499" s="18"/>
      <c r="H499" s="18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76"/>
      <c r="DX499" s="76"/>
    </row>
    <row r="500" spans="1:128" ht="15.75" customHeight="1">
      <c r="A500" s="76"/>
      <c r="B500" s="79"/>
      <c r="C500" s="18"/>
      <c r="D500" s="18"/>
      <c r="E500" s="18"/>
      <c r="F500" s="18"/>
      <c r="G500" s="18"/>
      <c r="H500" s="18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76"/>
      <c r="DX500" s="76"/>
    </row>
    <row r="501" spans="1:128" ht="15.75" customHeight="1">
      <c r="A501" s="76"/>
      <c r="B501" s="79"/>
      <c r="C501" s="18"/>
      <c r="D501" s="18"/>
      <c r="E501" s="18"/>
      <c r="F501" s="18"/>
      <c r="G501" s="18"/>
      <c r="H501" s="18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76"/>
      <c r="DX501" s="76"/>
    </row>
    <row r="502" spans="1:128" ht="15.75" customHeight="1">
      <c r="A502" s="76"/>
      <c r="B502" s="79"/>
      <c r="C502" s="18"/>
      <c r="D502" s="18"/>
      <c r="E502" s="18"/>
      <c r="F502" s="18"/>
      <c r="G502" s="18"/>
      <c r="H502" s="18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76"/>
      <c r="DN502" s="76"/>
      <c r="DO502" s="76"/>
      <c r="DP502" s="76"/>
      <c r="DQ502" s="76"/>
      <c r="DR502" s="76"/>
      <c r="DS502" s="76"/>
      <c r="DT502" s="76"/>
      <c r="DU502" s="76"/>
      <c r="DV502" s="76"/>
      <c r="DW502" s="76"/>
      <c r="DX502" s="76"/>
    </row>
    <row r="503" spans="1:128" ht="15.75" customHeight="1">
      <c r="A503" s="76"/>
      <c r="B503" s="79"/>
      <c r="C503" s="18"/>
      <c r="D503" s="18"/>
      <c r="E503" s="18"/>
      <c r="F503" s="18"/>
      <c r="G503" s="18"/>
      <c r="H503" s="18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76"/>
      <c r="DX503" s="76"/>
    </row>
    <row r="504" spans="1:128" ht="15.75" customHeight="1">
      <c r="A504" s="76"/>
      <c r="B504" s="79"/>
      <c r="C504" s="18"/>
      <c r="D504" s="18"/>
      <c r="E504" s="18"/>
      <c r="F504" s="18"/>
      <c r="G504" s="18"/>
      <c r="H504" s="18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76"/>
      <c r="DX504" s="76"/>
    </row>
    <row r="505" spans="1:128" ht="15.75" customHeight="1">
      <c r="A505" s="76"/>
      <c r="B505" s="79"/>
      <c r="C505" s="18"/>
      <c r="D505" s="18"/>
      <c r="E505" s="18"/>
      <c r="F505" s="18"/>
      <c r="G505" s="18"/>
      <c r="H505" s="18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76"/>
      <c r="DX505" s="76"/>
    </row>
    <row r="506" spans="1:128" ht="15.75" customHeight="1">
      <c r="A506" s="76"/>
      <c r="B506" s="79"/>
      <c r="C506" s="18"/>
      <c r="D506" s="18"/>
      <c r="E506" s="18"/>
      <c r="F506" s="18"/>
      <c r="G506" s="18"/>
      <c r="H506" s="18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76"/>
      <c r="DX506" s="76"/>
    </row>
    <row r="507" spans="1:128" ht="15.75" customHeight="1">
      <c r="A507" s="76"/>
      <c r="B507" s="79"/>
      <c r="C507" s="18"/>
      <c r="D507" s="18"/>
      <c r="E507" s="18"/>
      <c r="F507" s="18"/>
      <c r="G507" s="18"/>
      <c r="H507" s="18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76"/>
      <c r="DX507" s="76"/>
    </row>
    <row r="508" spans="1:128" ht="15.75" customHeight="1">
      <c r="A508" s="76"/>
      <c r="B508" s="79"/>
      <c r="C508" s="18"/>
      <c r="D508" s="18"/>
      <c r="E508" s="18"/>
      <c r="F508" s="18"/>
      <c r="G508" s="18"/>
      <c r="H508" s="18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76"/>
      <c r="DX508" s="76"/>
    </row>
    <row r="509" spans="1:128" ht="15.75" customHeight="1">
      <c r="A509" s="76"/>
      <c r="B509" s="79"/>
      <c r="C509" s="18"/>
      <c r="D509" s="18"/>
      <c r="E509" s="18"/>
      <c r="F509" s="18"/>
      <c r="G509" s="18"/>
      <c r="H509" s="18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76"/>
      <c r="DX509" s="76"/>
    </row>
    <row r="510" spans="1:128" ht="15.75" customHeight="1">
      <c r="A510" s="76"/>
      <c r="B510" s="79"/>
      <c r="C510" s="18"/>
      <c r="D510" s="18"/>
      <c r="E510" s="18"/>
      <c r="F510" s="18"/>
      <c r="G510" s="18"/>
      <c r="H510" s="18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76"/>
      <c r="DX510" s="76"/>
    </row>
    <row r="511" spans="1:128" ht="15.75" customHeight="1">
      <c r="A511" s="76"/>
      <c r="B511" s="79"/>
      <c r="C511" s="18"/>
      <c r="D511" s="18"/>
      <c r="E511" s="18"/>
      <c r="F511" s="18"/>
      <c r="G511" s="18"/>
      <c r="H511" s="18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76"/>
      <c r="DX511" s="76"/>
    </row>
    <row r="512" spans="1:128" ht="15.75" customHeight="1">
      <c r="A512" s="76"/>
      <c r="B512" s="79"/>
      <c r="C512" s="18"/>
      <c r="D512" s="18"/>
      <c r="E512" s="18"/>
      <c r="F512" s="18"/>
      <c r="G512" s="18"/>
      <c r="H512" s="18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76"/>
      <c r="DX512" s="76"/>
    </row>
    <row r="513" spans="1:128" ht="15.75" customHeight="1">
      <c r="A513" s="76"/>
      <c r="B513" s="79"/>
      <c r="C513" s="18"/>
      <c r="D513" s="18"/>
      <c r="E513" s="18"/>
      <c r="F513" s="18"/>
      <c r="G513" s="18"/>
      <c r="H513" s="18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76"/>
      <c r="DX513" s="76"/>
    </row>
    <row r="514" spans="1:128" ht="15.75" customHeight="1">
      <c r="A514" s="76"/>
      <c r="B514" s="79"/>
      <c r="C514" s="18"/>
      <c r="D514" s="18"/>
      <c r="E514" s="18"/>
      <c r="F514" s="18"/>
      <c r="G514" s="18"/>
      <c r="H514" s="18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76"/>
      <c r="DX514" s="76"/>
    </row>
    <row r="515" spans="1:128" ht="15.75" customHeight="1">
      <c r="A515" s="76"/>
      <c r="B515" s="79"/>
      <c r="C515" s="18"/>
      <c r="D515" s="18"/>
      <c r="E515" s="18"/>
      <c r="F515" s="18"/>
      <c r="G515" s="18"/>
      <c r="H515" s="18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76"/>
      <c r="DX515" s="76"/>
    </row>
    <row r="516" spans="1:128" ht="15.75" customHeight="1">
      <c r="A516" s="76"/>
      <c r="B516" s="79"/>
      <c r="C516" s="18"/>
      <c r="D516" s="18"/>
      <c r="E516" s="18"/>
      <c r="F516" s="18"/>
      <c r="G516" s="18"/>
      <c r="H516" s="18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76"/>
      <c r="DX516" s="76"/>
    </row>
    <row r="517" spans="1:128" ht="15.75" customHeight="1">
      <c r="A517" s="76"/>
      <c r="B517" s="79"/>
      <c r="C517" s="18"/>
      <c r="D517" s="18"/>
      <c r="E517" s="18"/>
      <c r="F517" s="18"/>
      <c r="G517" s="18"/>
      <c r="H517" s="18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/>
      <c r="DX517" s="76"/>
    </row>
    <row r="518" spans="1:128" ht="15.75" customHeight="1">
      <c r="A518" s="76"/>
      <c r="B518" s="79"/>
      <c r="C518" s="18"/>
      <c r="D518" s="18"/>
      <c r="E518" s="18"/>
      <c r="F518" s="18"/>
      <c r="G518" s="18"/>
      <c r="H518" s="18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/>
      <c r="DX518" s="76"/>
    </row>
    <row r="519" spans="1:128" ht="15.75" customHeight="1">
      <c r="A519" s="76"/>
      <c r="B519" s="79"/>
      <c r="C519" s="18"/>
      <c r="D519" s="18"/>
      <c r="E519" s="18"/>
      <c r="F519" s="18"/>
      <c r="G519" s="18"/>
      <c r="H519" s="18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6"/>
      <c r="DX519" s="76"/>
    </row>
    <row r="520" spans="1:128" ht="15.75" customHeight="1">
      <c r="A520" s="76"/>
      <c r="B520" s="79"/>
      <c r="C520" s="18"/>
      <c r="D520" s="18"/>
      <c r="E520" s="18"/>
      <c r="F520" s="18"/>
      <c r="G520" s="18"/>
      <c r="H520" s="18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6"/>
      <c r="DX520" s="76"/>
    </row>
    <row r="521" spans="1:128" ht="15.75" customHeight="1">
      <c r="A521" s="76"/>
      <c r="B521" s="79"/>
      <c r="C521" s="18"/>
      <c r="D521" s="18"/>
      <c r="E521" s="18"/>
      <c r="F521" s="18"/>
      <c r="G521" s="18"/>
      <c r="H521" s="18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6"/>
      <c r="DX521" s="76"/>
    </row>
    <row r="522" spans="1:128" ht="15.75" customHeight="1">
      <c r="A522" s="76"/>
      <c r="B522" s="79"/>
      <c r="C522" s="18"/>
      <c r="D522" s="18"/>
      <c r="E522" s="18"/>
      <c r="F522" s="18"/>
      <c r="G522" s="18"/>
      <c r="H522" s="18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6"/>
      <c r="DX522" s="76"/>
    </row>
    <row r="523" spans="1:128" ht="15.75" customHeight="1">
      <c r="A523" s="76"/>
      <c r="B523" s="79"/>
      <c r="C523" s="18"/>
      <c r="D523" s="18"/>
      <c r="E523" s="18"/>
      <c r="F523" s="18"/>
      <c r="G523" s="18"/>
      <c r="H523" s="18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6"/>
      <c r="DX523" s="76"/>
    </row>
    <row r="524" spans="1:128" ht="15.75" customHeight="1">
      <c r="A524" s="76"/>
      <c r="B524" s="79"/>
      <c r="C524" s="18"/>
      <c r="D524" s="18"/>
      <c r="E524" s="18"/>
      <c r="F524" s="18"/>
      <c r="G524" s="18"/>
      <c r="H524" s="18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/>
      <c r="DX524" s="76"/>
    </row>
    <row r="525" spans="1:128" ht="15.75" customHeight="1">
      <c r="A525" s="76"/>
      <c r="B525" s="79"/>
      <c r="C525" s="18"/>
      <c r="D525" s="18"/>
      <c r="E525" s="18"/>
      <c r="F525" s="18"/>
      <c r="G525" s="18"/>
      <c r="H525" s="18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/>
      <c r="DX525" s="76"/>
    </row>
    <row r="526" spans="1:128" ht="15.75" customHeight="1">
      <c r="A526" s="76"/>
      <c r="B526" s="79"/>
      <c r="C526" s="18"/>
      <c r="D526" s="18"/>
      <c r="E526" s="18"/>
      <c r="F526" s="18"/>
      <c r="G526" s="18"/>
      <c r="H526" s="18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/>
      <c r="DX526" s="76"/>
    </row>
    <row r="527" spans="1:128" ht="15.75" customHeight="1">
      <c r="A527" s="76"/>
      <c r="B527" s="79"/>
      <c r="C527" s="18"/>
      <c r="D527" s="18"/>
      <c r="E527" s="18"/>
      <c r="F527" s="18"/>
      <c r="G527" s="18"/>
      <c r="H527" s="18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/>
      <c r="DX527" s="76"/>
    </row>
    <row r="528" spans="1:128" ht="15.75" customHeight="1">
      <c r="A528" s="76"/>
      <c r="B528" s="79"/>
      <c r="C528" s="18"/>
      <c r="D528" s="18"/>
      <c r="E528" s="18"/>
      <c r="F528" s="18"/>
      <c r="G528" s="18"/>
      <c r="H528" s="18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6"/>
      <c r="DX528" s="76"/>
    </row>
    <row r="529" spans="1:128" ht="15.75" customHeight="1">
      <c r="A529" s="76"/>
      <c r="B529" s="79"/>
      <c r="C529" s="18"/>
      <c r="D529" s="18"/>
      <c r="E529" s="18"/>
      <c r="F529" s="18"/>
      <c r="G529" s="18"/>
      <c r="H529" s="18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6"/>
      <c r="DX529" s="76"/>
    </row>
    <row r="530" spans="1:128" ht="15.75" customHeight="1">
      <c r="A530" s="76"/>
      <c r="B530" s="79"/>
      <c r="C530" s="18"/>
      <c r="D530" s="18"/>
      <c r="E530" s="18"/>
      <c r="F530" s="18"/>
      <c r="G530" s="18"/>
      <c r="H530" s="18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6"/>
      <c r="DX530" s="76"/>
    </row>
    <row r="531" spans="1:128" ht="15.75" customHeight="1">
      <c r="A531" s="76"/>
      <c r="B531" s="79"/>
      <c r="C531" s="18"/>
      <c r="D531" s="18"/>
      <c r="E531" s="18"/>
      <c r="F531" s="18"/>
      <c r="G531" s="18"/>
      <c r="H531" s="18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6"/>
      <c r="DX531" s="76"/>
    </row>
    <row r="532" spans="1:128" ht="15.75" customHeight="1">
      <c r="A532" s="76"/>
      <c r="B532" s="79"/>
      <c r="C532" s="18"/>
      <c r="D532" s="18"/>
      <c r="E532" s="18"/>
      <c r="F532" s="18"/>
      <c r="G532" s="18"/>
      <c r="H532" s="18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6"/>
      <c r="DX532" s="76"/>
    </row>
    <row r="533" spans="1:128" ht="15.75" customHeight="1">
      <c r="A533" s="76"/>
      <c r="B533" s="79"/>
      <c r="C533" s="18"/>
      <c r="D533" s="18"/>
      <c r="E533" s="18"/>
      <c r="F533" s="18"/>
      <c r="G533" s="18"/>
      <c r="H533" s="18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6"/>
      <c r="DX533" s="76"/>
    </row>
    <row r="534" spans="1:128" ht="15.75" customHeight="1">
      <c r="A534" s="76"/>
      <c r="B534" s="79"/>
      <c r="C534" s="18"/>
      <c r="D534" s="18"/>
      <c r="E534" s="18"/>
      <c r="F534" s="18"/>
      <c r="G534" s="18"/>
      <c r="H534" s="18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76"/>
      <c r="DX534" s="76"/>
    </row>
    <row r="535" spans="1:128" ht="15.75" customHeight="1">
      <c r="A535" s="76"/>
      <c r="B535" s="79"/>
      <c r="C535" s="18"/>
      <c r="D535" s="18"/>
      <c r="E535" s="18"/>
      <c r="F535" s="18"/>
      <c r="G535" s="18"/>
      <c r="H535" s="18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/>
      <c r="DX535" s="76"/>
    </row>
    <row r="536" spans="1:128" ht="15.75" customHeight="1">
      <c r="A536" s="76"/>
      <c r="B536" s="79"/>
      <c r="C536" s="18"/>
      <c r="D536" s="18"/>
      <c r="E536" s="18"/>
      <c r="F536" s="18"/>
      <c r="G536" s="18"/>
      <c r="H536" s="18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/>
      <c r="DX536" s="76"/>
    </row>
    <row r="537" spans="1:128" ht="15.75" customHeight="1">
      <c r="A537" s="76"/>
      <c r="B537" s="79"/>
      <c r="C537" s="18"/>
      <c r="D537" s="18"/>
      <c r="E537" s="18"/>
      <c r="F537" s="18"/>
      <c r="G537" s="18"/>
      <c r="H537" s="18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/>
      <c r="DX537" s="76"/>
    </row>
    <row r="538" spans="1:128" ht="15.75" customHeight="1">
      <c r="A538" s="76"/>
      <c r="B538" s="79"/>
      <c r="C538" s="18"/>
      <c r="D538" s="18"/>
      <c r="E538" s="18"/>
      <c r="F538" s="18"/>
      <c r="G538" s="18"/>
      <c r="H538" s="18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76"/>
      <c r="DX538" s="76"/>
    </row>
    <row r="539" spans="1:128" ht="15.75" customHeight="1">
      <c r="A539" s="76"/>
      <c r="B539" s="79"/>
      <c r="C539" s="18"/>
      <c r="D539" s="18"/>
      <c r="E539" s="18"/>
      <c r="F539" s="18"/>
      <c r="G539" s="18"/>
      <c r="H539" s="18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76"/>
      <c r="DX539" s="76"/>
    </row>
    <row r="540" spans="1:128" ht="15.75" customHeight="1">
      <c r="A540" s="76"/>
      <c r="B540" s="79"/>
      <c r="C540" s="18"/>
      <c r="D540" s="18"/>
      <c r="E540" s="18"/>
      <c r="F540" s="18"/>
      <c r="G540" s="18"/>
      <c r="H540" s="18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76"/>
      <c r="DX540" s="76"/>
    </row>
    <row r="541" spans="1:128" ht="15.75" customHeight="1">
      <c r="A541" s="76"/>
      <c r="B541" s="79"/>
      <c r="C541" s="18"/>
      <c r="D541" s="18"/>
      <c r="E541" s="18"/>
      <c r="F541" s="18"/>
      <c r="G541" s="18"/>
      <c r="H541" s="18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6"/>
      <c r="DX541" s="76"/>
    </row>
    <row r="542" spans="1:128" ht="15.75" customHeight="1">
      <c r="A542" s="76"/>
      <c r="B542" s="79"/>
      <c r="C542" s="18"/>
      <c r="D542" s="18"/>
      <c r="E542" s="18"/>
      <c r="F542" s="18"/>
      <c r="G542" s="18"/>
      <c r="H542" s="18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76"/>
      <c r="DX542" s="76"/>
    </row>
    <row r="543" spans="1:128" ht="15.75" customHeight="1">
      <c r="A543" s="76"/>
      <c r="B543" s="79"/>
      <c r="C543" s="18"/>
      <c r="D543" s="18"/>
      <c r="E543" s="18"/>
      <c r="F543" s="18"/>
      <c r="G543" s="18"/>
      <c r="H543" s="18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6"/>
      <c r="DX543" s="76"/>
    </row>
    <row r="544" spans="1:128" ht="15.75" customHeight="1">
      <c r="A544" s="76"/>
      <c r="B544" s="79"/>
      <c r="C544" s="18"/>
      <c r="D544" s="18"/>
      <c r="E544" s="18"/>
      <c r="F544" s="18"/>
      <c r="G544" s="18"/>
      <c r="H544" s="18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/>
      <c r="DX544" s="76"/>
    </row>
    <row r="545" spans="1:128" ht="15.75" customHeight="1">
      <c r="A545" s="76"/>
      <c r="B545" s="79"/>
      <c r="C545" s="18"/>
      <c r="D545" s="18"/>
      <c r="E545" s="18"/>
      <c r="F545" s="18"/>
      <c r="G545" s="18"/>
      <c r="H545" s="18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/>
      <c r="DX545" s="76"/>
    </row>
    <row r="546" spans="1:128" ht="15.75" customHeight="1">
      <c r="A546" s="76"/>
      <c r="B546" s="79"/>
      <c r="C546" s="18"/>
      <c r="D546" s="18"/>
      <c r="E546" s="18"/>
      <c r="F546" s="18"/>
      <c r="G546" s="18"/>
      <c r="H546" s="18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/>
      <c r="DX546" s="76"/>
    </row>
    <row r="547" spans="1:128" ht="15.75" customHeight="1">
      <c r="A547" s="76"/>
      <c r="B547" s="79"/>
      <c r="C547" s="18"/>
      <c r="D547" s="18"/>
      <c r="E547" s="18"/>
      <c r="F547" s="18"/>
      <c r="G547" s="18"/>
      <c r="H547" s="18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76"/>
      <c r="DX547" s="76"/>
    </row>
    <row r="548" spans="1:128" ht="15.75" customHeight="1">
      <c r="A548" s="76"/>
      <c r="B548" s="79"/>
      <c r="C548" s="18"/>
      <c r="D548" s="18"/>
      <c r="E548" s="18"/>
      <c r="F548" s="18"/>
      <c r="G548" s="18"/>
      <c r="H548" s="18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76"/>
      <c r="DX548" s="76"/>
    </row>
    <row r="549" spans="1:128" ht="15.75" customHeight="1">
      <c r="A549" s="76"/>
      <c r="B549" s="79"/>
      <c r="C549" s="18"/>
      <c r="D549" s="18"/>
      <c r="E549" s="18"/>
      <c r="F549" s="18"/>
      <c r="G549" s="18"/>
      <c r="H549" s="18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76"/>
      <c r="DX549" s="76"/>
    </row>
    <row r="550" spans="1:128" ht="15.75" customHeight="1">
      <c r="A550" s="76"/>
      <c r="B550" s="79"/>
      <c r="C550" s="18"/>
      <c r="D550" s="18"/>
      <c r="E550" s="18"/>
      <c r="F550" s="18"/>
      <c r="G550" s="18"/>
      <c r="H550" s="18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76"/>
      <c r="DX550" s="76"/>
    </row>
    <row r="551" spans="1:128" ht="15.75" customHeight="1">
      <c r="A551" s="76"/>
      <c r="B551" s="79"/>
      <c r="C551" s="18"/>
      <c r="D551" s="18"/>
      <c r="E551" s="18"/>
      <c r="F551" s="18"/>
      <c r="G551" s="18"/>
      <c r="H551" s="18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76"/>
      <c r="DX551" s="76"/>
    </row>
    <row r="552" spans="1:128" ht="15.75" customHeight="1">
      <c r="A552" s="76"/>
      <c r="B552" s="79"/>
      <c r="C552" s="18"/>
      <c r="D552" s="18"/>
      <c r="E552" s="18"/>
      <c r="F552" s="18"/>
      <c r="G552" s="18"/>
      <c r="H552" s="18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76"/>
      <c r="DN552" s="76"/>
      <c r="DO552" s="76"/>
      <c r="DP552" s="76"/>
      <c r="DQ552" s="76"/>
      <c r="DR552" s="76"/>
      <c r="DS552" s="76"/>
      <c r="DT552" s="76"/>
      <c r="DU552" s="76"/>
      <c r="DV552" s="76"/>
      <c r="DW552" s="76"/>
      <c r="DX552" s="76"/>
    </row>
    <row r="553" spans="1:128" ht="15.75" customHeight="1">
      <c r="A553" s="76"/>
      <c r="B553" s="79"/>
      <c r="C553" s="18"/>
      <c r="D553" s="18"/>
      <c r="E553" s="18"/>
      <c r="F553" s="18"/>
      <c r="G553" s="18"/>
      <c r="H553" s="18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  <c r="DI553" s="76"/>
      <c r="DJ553" s="76"/>
      <c r="DK553" s="76"/>
      <c r="DL553" s="76"/>
      <c r="DM553" s="76"/>
      <c r="DN553" s="76"/>
      <c r="DO553" s="76"/>
      <c r="DP553" s="76"/>
      <c r="DQ553" s="76"/>
      <c r="DR553" s="76"/>
      <c r="DS553" s="76"/>
      <c r="DT553" s="76"/>
      <c r="DU553" s="76"/>
      <c r="DV553" s="76"/>
      <c r="DW553" s="76"/>
      <c r="DX553" s="76"/>
    </row>
    <row r="554" spans="1:128" ht="15.75" customHeight="1">
      <c r="A554" s="76"/>
      <c r="B554" s="79"/>
      <c r="C554" s="18"/>
      <c r="D554" s="18"/>
      <c r="E554" s="18"/>
      <c r="F554" s="18"/>
      <c r="G554" s="18"/>
      <c r="H554" s="18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76"/>
      <c r="DX554" s="76"/>
    </row>
    <row r="555" spans="1:128" ht="15.75" customHeight="1">
      <c r="A555" s="76"/>
      <c r="B555" s="79"/>
      <c r="C555" s="18"/>
      <c r="D555" s="18"/>
      <c r="E555" s="18"/>
      <c r="F555" s="18"/>
      <c r="G555" s="18"/>
      <c r="H555" s="18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76"/>
      <c r="DX555" s="76"/>
    </row>
    <row r="556" spans="1:128" ht="15.75" customHeight="1">
      <c r="A556" s="76"/>
      <c r="B556" s="79"/>
      <c r="C556" s="18"/>
      <c r="D556" s="18"/>
      <c r="E556" s="18"/>
      <c r="F556" s="18"/>
      <c r="G556" s="18"/>
      <c r="H556" s="18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76"/>
      <c r="DX556" s="76"/>
    </row>
    <row r="557" spans="1:128" ht="15.75" customHeight="1">
      <c r="A557" s="76"/>
      <c r="B557" s="79"/>
      <c r="C557" s="18"/>
      <c r="D557" s="18"/>
      <c r="E557" s="18"/>
      <c r="F557" s="18"/>
      <c r="G557" s="18"/>
      <c r="H557" s="18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76"/>
      <c r="DX557" s="76"/>
    </row>
    <row r="558" spans="1:128" ht="15.75" customHeight="1">
      <c r="A558" s="76"/>
      <c r="B558" s="79"/>
      <c r="C558" s="18"/>
      <c r="D558" s="18"/>
      <c r="E558" s="18"/>
      <c r="F558" s="18"/>
      <c r="G558" s="18"/>
      <c r="H558" s="18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6"/>
      <c r="DX558" s="76"/>
    </row>
    <row r="559" spans="1:128" ht="15.75" customHeight="1">
      <c r="A559" s="76"/>
      <c r="B559" s="79"/>
      <c r="C559" s="18"/>
      <c r="D559" s="18"/>
      <c r="E559" s="18"/>
      <c r="F559" s="18"/>
      <c r="G559" s="18"/>
      <c r="H559" s="18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6"/>
      <c r="DX559" s="76"/>
    </row>
    <row r="560" spans="1:128" ht="15.75" customHeight="1">
      <c r="A560" s="76"/>
      <c r="B560" s="79"/>
      <c r="C560" s="18"/>
      <c r="D560" s="18"/>
      <c r="E560" s="18"/>
      <c r="F560" s="18"/>
      <c r="G560" s="18"/>
      <c r="H560" s="18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</row>
    <row r="561" spans="1:128" ht="15.75" customHeight="1">
      <c r="A561" s="76"/>
      <c r="B561" s="79"/>
      <c r="C561" s="18"/>
      <c r="D561" s="18"/>
      <c r="E561" s="18"/>
      <c r="F561" s="18"/>
      <c r="G561" s="18"/>
      <c r="H561" s="18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6"/>
      <c r="DX561" s="76"/>
    </row>
    <row r="562" spans="1:128" ht="15.75" customHeight="1">
      <c r="A562" s="76"/>
      <c r="B562" s="79"/>
      <c r="C562" s="18"/>
      <c r="D562" s="18"/>
      <c r="E562" s="18"/>
      <c r="F562" s="18"/>
      <c r="G562" s="18"/>
      <c r="H562" s="18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6"/>
      <c r="DX562" s="76"/>
    </row>
    <row r="563" spans="1:128" ht="15.75" customHeight="1">
      <c r="A563" s="76"/>
      <c r="B563" s="79"/>
      <c r="C563" s="18"/>
      <c r="D563" s="18"/>
      <c r="E563" s="18"/>
      <c r="F563" s="18"/>
      <c r="G563" s="18"/>
      <c r="H563" s="18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6"/>
      <c r="DX563" s="76"/>
    </row>
    <row r="564" spans="1:128" ht="15.75" customHeight="1">
      <c r="A564" s="76"/>
      <c r="B564" s="79"/>
      <c r="C564" s="18"/>
      <c r="D564" s="18"/>
      <c r="E564" s="18"/>
      <c r="F564" s="18"/>
      <c r="G564" s="18"/>
      <c r="H564" s="18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6"/>
      <c r="DX564" s="76"/>
    </row>
    <row r="565" spans="1:128" ht="15.75" customHeight="1">
      <c r="A565" s="76"/>
      <c r="B565" s="79"/>
      <c r="C565" s="18"/>
      <c r="D565" s="18"/>
      <c r="E565" s="18"/>
      <c r="F565" s="18"/>
      <c r="G565" s="18"/>
      <c r="H565" s="18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6"/>
      <c r="DX565" s="76"/>
    </row>
    <row r="566" spans="1:128" ht="15.75" customHeight="1">
      <c r="A566" s="76"/>
      <c r="B566" s="79"/>
      <c r="C566" s="18"/>
      <c r="D566" s="18"/>
      <c r="E566" s="18"/>
      <c r="F566" s="18"/>
      <c r="G566" s="18"/>
      <c r="H566" s="18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6"/>
      <c r="DX566" s="76"/>
    </row>
    <row r="567" spans="1:128" ht="15.75" customHeight="1">
      <c r="A567" s="76"/>
      <c r="B567" s="79"/>
      <c r="C567" s="18"/>
      <c r="D567" s="18"/>
      <c r="E567" s="18"/>
      <c r="F567" s="18"/>
      <c r="G567" s="18"/>
      <c r="H567" s="18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6"/>
      <c r="DX567" s="76"/>
    </row>
    <row r="568" spans="1:128" ht="15.75" customHeight="1">
      <c r="A568" s="76"/>
      <c r="B568" s="79"/>
      <c r="C568" s="18"/>
      <c r="D568" s="18"/>
      <c r="E568" s="18"/>
      <c r="F568" s="18"/>
      <c r="G568" s="18"/>
      <c r="H568" s="18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6"/>
      <c r="DX568" s="76"/>
    </row>
    <row r="569" spans="1:128" ht="15.75" customHeight="1">
      <c r="A569" s="76"/>
      <c r="B569" s="79"/>
      <c r="C569" s="18"/>
      <c r="D569" s="18"/>
      <c r="E569" s="18"/>
      <c r="F569" s="18"/>
      <c r="G569" s="18"/>
      <c r="H569" s="18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6"/>
      <c r="DX569" s="76"/>
    </row>
    <row r="570" spans="1:128" ht="15.75" customHeight="1">
      <c r="A570" s="76"/>
      <c r="B570" s="79"/>
      <c r="C570" s="18"/>
      <c r="D570" s="18"/>
      <c r="E570" s="18"/>
      <c r="F570" s="18"/>
      <c r="G570" s="18"/>
      <c r="H570" s="18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6"/>
      <c r="DX570" s="76"/>
    </row>
    <row r="571" spans="1:128" ht="15.75" customHeight="1">
      <c r="A571" s="76"/>
      <c r="B571" s="79"/>
      <c r="C571" s="18"/>
      <c r="D571" s="18"/>
      <c r="E571" s="18"/>
      <c r="F571" s="18"/>
      <c r="G571" s="18"/>
      <c r="H571" s="18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6"/>
      <c r="DX571" s="76"/>
    </row>
    <row r="572" spans="1:128" ht="15.75" customHeight="1">
      <c r="A572" s="76"/>
      <c r="B572" s="79"/>
      <c r="C572" s="18"/>
      <c r="D572" s="18"/>
      <c r="E572" s="18"/>
      <c r="F572" s="18"/>
      <c r="G572" s="18"/>
      <c r="H572" s="18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6"/>
      <c r="DX572" s="76"/>
    </row>
    <row r="573" spans="1:128" ht="15.75" customHeight="1">
      <c r="A573" s="76"/>
      <c r="B573" s="79"/>
      <c r="C573" s="18"/>
      <c r="D573" s="18"/>
      <c r="E573" s="18"/>
      <c r="F573" s="18"/>
      <c r="G573" s="18"/>
      <c r="H573" s="18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6"/>
      <c r="DX573" s="76"/>
    </row>
    <row r="574" spans="1:128" ht="15.75" customHeight="1">
      <c r="A574" s="76"/>
      <c r="B574" s="79"/>
      <c r="C574" s="18"/>
      <c r="D574" s="18"/>
      <c r="E574" s="18"/>
      <c r="F574" s="18"/>
      <c r="G574" s="18"/>
      <c r="H574" s="18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76"/>
      <c r="DX574" s="76"/>
    </row>
    <row r="575" spans="1:128" ht="15.75" customHeight="1">
      <c r="A575" s="76"/>
      <c r="B575" s="79"/>
      <c r="C575" s="18"/>
      <c r="D575" s="18"/>
      <c r="E575" s="18"/>
      <c r="F575" s="18"/>
      <c r="G575" s="18"/>
      <c r="H575" s="18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76"/>
      <c r="DX575" s="76"/>
    </row>
    <row r="576" spans="1:128" ht="15.75" customHeight="1">
      <c r="A576" s="76"/>
      <c r="B576" s="79"/>
      <c r="C576" s="18"/>
      <c r="D576" s="18"/>
      <c r="E576" s="18"/>
      <c r="F576" s="18"/>
      <c r="G576" s="18"/>
      <c r="H576" s="18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/>
      <c r="DX576" s="76"/>
    </row>
    <row r="577" spans="1:128" ht="15.75" customHeight="1">
      <c r="A577" s="76"/>
      <c r="B577" s="79"/>
      <c r="C577" s="18"/>
      <c r="D577" s="18"/>
      <c r="E577" s="18"/>
      <c r="F577" s="18"/>
      <c r="G577" s="18"/>
      <c r="H577" s="18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/>
      <c r="DX577" s="76"/>
    </row>
    <row r="578" spans="1:128" ht="15.75" customHeight="1">
      <c r="A578" s="76"/>
      <c r="B578" s="79"/>
      <c r="C578" s="18"/>
      <c r="D578" s="18"/>
      <c r="E578" s="18"/>
      <c r="F578" s="18"/>
      <c r="G578" s="18"/>
      <c r="H578" s="18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/>
      <c r="DX578" s="76"/>
    </row>
    <row r="579" spans="1:128" ht="15.75" customHeight="1">
      <c r="A579" s="76"/>
      <c r="B579" s="79"/>
      <c r="C579" s="18"/>
      <c r="D579" s="18"/>
      <c r="E579" s="18"/>
      <c r="F579" s="18"/>
      <c r="G579" s="18"/>
      <c r="H579" s="18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76"/>
      <c r="DX579" s="76"/>
    </row>
    <row r="580" spans="1:128" ht="15.75" customHeight="1">
      <c r="A580" s="76"/>
      <c r="B580" s="79"/>
      <c r="C580" s="18"/>
      <c r="D580" s="18"/>
      <c r="E580" s="18"/>
      <c r="F580" s="18"/>
      <c r="G580" s="18"/>
      <c r="H580" s="18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6"/>
      <c r="DX580" s="76"/>
    </row>
    <row r="581" spans="1:128" ht="15.75" customHeight="1">
      <c r="A581" s="76"/>
      <c r="B581" s="79"/>
      <c r="C581" s="18"/>
      <c r="D581" s="18"/>
      <c r="E581" s="18"/>
      <c r="F581" s="18"/>
      <c r="G581" s="18"/>
      <c r="H581" s="18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76"/>
      <c r="DX581" s="76"/>
    </row>
    <row r="582" spans="1:128" ht="15.75" customHeight="1">
      <c r="A582" s="76"/>
      <c r="B582" s="79"/>
      <c r="C582" s="18"/>
      <c r="D582" s="18"/>
      <c r="E582" s="18"/>
      <c r="F582" s="18"/>
      <c r="G582" s="18"/>
      <c r="H582" s="18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76"/>
      <c r="DX582" s="76"/>
    </row>
    <row r="583" spans="1:128" ht="15.75" customHeight="1">
      <c r="A583" s="76"/>
      <c r="B583" s="79"/>
      <c r="C583" s="18"/>
      <c r="D583" s="18"/>
      <c r="E583" s="18"/>
      <c r="F583" s="18"/>
      <c r="G583" s="18"/>
      <c r="H583" s="18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6"/>
      <c r="DX583" s="76"/>
    </row>
    <row r="584" spans="1:128" ht="15.75" customHeight="1">
      <c r="A584" s="76"/>
      <c r="B584" s="79"/>
      <c r="C584" s="18"/>
      <c r="D584" s="18"/>
      <c r="E584" s="18"/>
      <c r="F584" s="18"/>
      <c r="G584" s="18"/>
      <c r="H584" s="18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6"/>
      <c r="DX584" s="76"/>
    </row>
    <row r="585" spans="1:128" ht="15.75" customHeight="1">
      <c r="A585" s="76"/>
      <c r="B585" s="79"/>
      <c r="C585" s="18"/>
      <c r="D585" s="18"/>
      <c r="E585" s="18"/>
      <c r="F585" s="18"/>
      <c r="G585" s="18"/>
      <c r="H585" s="18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76"/>
      <c r="DX585" s="76"/>
    </row>
    <row r="586" spans="1:128" ht="15.75" customHeight="1">
      <c r="A586" s="76"/>
      <c r="B586" s="79"/>
      <c r="C586" s="18"/>
      <c r="D586" s="18"/>
      <c r="E586" s="18"/>
      <c r="F586" s="18"/>
      <c r="G586" s="18"/>
      <c r="H586" s="18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76"/>
      <c r="DX586" s="76"/>
    </row>
    <row r="587" spans="1:128" ht="15.75" customHeight="1">
      <c r="A587" s="76"/>
      <c r="B587" s="79"/>
      <c r="C587" s="18"/>
      <c r="D587" s="18"/>
      <c r="E587" s="18"/>
      <c r="F587" s="18"/>
      <c r="G587" s="18"/>
      <c r="H587" s="18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6"/>
      <c r="DX587" s="76"/>
    </row>
    <row r="588" spans="1:128" ht="15.75" customHeight="1">
      <c r="A588" s="76"/>
      <c r="B588" s="79"/>
      <c r="C588" s="18"/>
      <c r="D588" s="18"/>
      <c r="E588" s="18"/>
      <c r="F588" s="18"/>
      <c r="G588" s="18"/>
      <c r="H588" s="18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6"/>
      <c r="DX588" s="76"/>
    </row>
    <row r="589" spans="1:128" ht="15.75" customHeight="1">
      <c r="A589" s="76"/>
      <c r="B589" s="79"/>
      <c r="C589" s="18"/>
      <c r="D589" s="18"/>
      <c r="E589" s="18"/>
      <c r="F589" s="18"/>
      <c r="G589" s="18"/>
      <c r="H589" s="18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/>
      <c r="DX589" s="76"/>
    </row>
    <row r="590" spans="1:128" ht="15.75" customHeight="1">
      <c r="A590" s="76"/>
      <c r="B590" s="79"/>
      <c r="C590" s="18"/>
      <c r="D590" s="18"/>
      <c r="E590" s="18"/>
      <c r="F590" s="18"/>
      <c r="G590" s="18"/>
      <c r="H590" s="18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/>
      <c r="DX590" s="76"/>
    </row>
    <row r="591" spans="1:128" ht="15.75" customHeight="1">
      <c r="A591" s="76"/>
      <c r="B591" s="79"/>
      <c r="C591" s="18"/>
      <c r="D591" s="18"/>
      <c r="E591" s="18"/>
      <c r="F591" s="18"/>
      <c r="G591" s="18"/>
      <c r="H591" s="18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76"/>
      <c r="DX591" s="76"/>
    </row>
    <row r="592" spans="1:128" ht="15.75" customHeight="1">
      <c r="A592" s="76"/>
      <c r="B592" s="79"/>
      <c r="C592" s="18"/>
      <c r="D592" s="18"/>
      <c r="E592" s="18"/>
      <c r="F592" s="18"/>
      <c r="G592" s="18"/>
      <c r="H592" s="18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76"/>
      <c r="DX592" s="76"/>
    </row>
    <row r="593" spans="1:128" ht="15.75" customHeight="1">
      <c r="A593" s="76"/>
      <c r="B593" s="79"/>
      <c r="C593" s="18"/>
      <c r="D593" s="18"/>
      <c r="E593" s="18"/>
      <c r="F593" s="18"/>
      <c r="G593" s="18"/>
      <c r="H593" s="18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76"/>
      <c r="DX593" s="76"/>
    </row>
    <row r="594" spans="1:128" ht="15.75" customHeight="1">
      <c r="A594" s="76"/>
      <c r="B594" s="79"/>
      <c r="C594" s="18"/>
      <c r="D594" s="18"/>
      <c r="E594" s="18"/>
      <c r="F594" s="18"/>
      <c r="G594" s="18"/>
      <c r="H594" s="18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6"/>
      <c r="DX594" s="76"/>
    </row>
    <row r="595" spans="1:128" ht="15.75" customHeight="1">
      <c r="A595" s="76"/>
      <c r="B595" s="79"/>
      <c r="C595" s="18"/>
      <c r="D595" s="18"/>
      <c r="E595" s="18"/>
      <c r="F595" s="18"/>
      <c r="G595" s="18"/>
      <c r="H595" s="18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76"/>
      <c r="DX595" s="76"/>
    </row>
    <row r="596" spans="1:128" ht="15.75" customHeight="1">
      <c r="A596" s="76"/>
      <c r="B596" s="79"/>
      <c r="C596" s="18"/>
      <c r="D596" s="18"/>
      <c r="E596" s="18"/>
      <c r="F596" s="18"/>
      <c r="G596" s="18"/>
      <c r="H596" s="18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76"/>
      <c r="DX596" s="76"/>
    </row>
    <row r="597" spans="1:128" ht="15.75" customHeight="1">
      <c r="A597" s="76"/>
      <c r="B597" s="79"/>
      <c r="C597" s="18"/>
      <c r="D597" s="18"/>
      <c r="E597" s="18"/>
      <c r="F597" s="18"/>
      <c r="G597" s="18"/>
      <c r="H597" s="18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76"/>
      <c r="DX597" s="76"/>
    </row>
    <row r="598" spans="1:128" ht="15.75" customHeight="1">
      <c r="A598" s="76"/>
      <c r="B598" s="79"/>
      <c r="C598" s="18"/>
      <c r="D598" s="18"/>
      <c r="E598" s="18"/>
      <c r="F598" s="18"/>
      <c r="G598" s="18"/>
      <c r="H598" s="18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76"/>
      <c r="DX598" s="76"/>
    </row>
    <row r="599" spans="1:128" ht="15.75" customHeight="1">
      <c r="A599" s="76"/>
      <c r="B599" s="79"/>
      <c r="C599" s="18"/>
      <c r="D599" s="18"/>
      <c r="E599" s="18"/>
      <c r="F599" s="18"/>
      <c r="G599" s="18"/>
      <c r="H599" s="18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76"/>
      <c r="DX599" s="76"/>
    </row>
    <row r="600" spans="1:128" ht="15.75" customHeight="1">
      <c r="A600" s="76"/>
      <c r="B600" s="79"/>
      <c r="C600" s="18"/>
      <c r="D600" s="18"/>
      <c r="E600" s="18"/>
      <c r="F600" s="18"/>
      <c r="G600" s="18"/>
      <c r="H600" s="18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76"/>
      <c r="DX600" s="76"/>
    </row>
    <row r="601" spans="1:128" ht="15.75" customHeight="1">
      <c r="A601" s="76"/>
      <c r="B601" s="79"/>
      <c r="C601" s="18"/>
      <c r="D601" s="18"/>
      <c r="E601" s="18"/>
      <c r="F601" s="18"/>
      <c r="G601" s="18"/>
      <c r="H601" s="18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76"/>
      <c r="DX601" s="76"/>
    </row>
    <row r="602" spans="1:128" ht="15.75" customHeight="1">
      <c r="A602" s="76"/>
      <c r="B602" s="79"/>
      <c r="C602" s="18"/>
      <c r="D602" s="18"/>
      <c r="E602" s="18"/>
      <c r="F602" s="18"/>
      <c r="G602" s="18"/>
      <c r="H602" s="18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</row>
    <row r="603" spans="1:128" ht="15.75" customHeight="1">
      <c r="A603" s="76"/>
      <c r="B603" s="79"/>
      <c r="C603" s="18"/>
      <c r="D603" s="18"/>
      <c r="E603" s="18"/>
      <c r="F603" s="18"/>
      <c r="G603" s="18"/>
      <c r="H603" s="18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</row>
    <row r="604" spans="1:128" ht="15.75" customHeight="1">
      <c r="A604" s="76"/>
      <c r="B604" s="79"/>
      <c r="C604" s="18"/>
      <c r="D604" s="18"/>
      <c r="E604" s="18"/>
      <c r="F604" s="18"/>
      <c r="G604" s="18"/>
      <c r="H604" s="18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/>
      <c r="DX604" s="76"/>
    </row>
    <row r="605" spans="1:128" ht="15.75" customHeight="1">
      <c r="A605" s="76"/>
      <c r="B605" s="79"/>
      <c r="C605" s="18"/>
      <c r="D605" s="18"/>
      <c r="E605" s="18"/>
      <c r="F605" s="18"/>
      <c r="G605" s="18"/>
      <c r="H605" s="18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/>
      <c r="DX605" s="76"/>
    </row>
    <row r="606" spans="1:128" ht="15.75" customHeight="1">
      <c r="A606" s="76"/>
      <c r="B606" s="79"/>
      <c r="C606" s="18"/>
      <c r="D606" s="18"/>
      <c r="E606" s="18"/>
      <c r="F606" s="18"/>
      <c r="G606" s="18"/>
      <c r="H606" s="18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/>
      <c r="DX606" s="76"/>
    </row>
    <row r="607" spans="1:128" ht="15.75" customHeight="1">
      <c r="A607" s="76"/>
      <c r="B607" s="79"/>
      <c r="C607" s="18"/>
      <c r="D607" s="18"/>
      <c r="E607" s="18"/>
      <c r="F607" s="18"/>
      <c r="G607" s="18"/>
      <c r="H607" s="18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/>
      <c r="DX607" s="76"/>
    </row>
    <row r="608" spans="1:128" ht="15.75" customHeight="1">
      <c r="A608" s="76"/>
      <c r="B608" s="79"/>
      <c r="C608" s="18"/>
      <c r="D608" s="18"/>
      <c r="E608" s="18"/>
      <c r="F608" s="18"/>
      <c r="G608" s="18"/>
      <c r="H608" s="18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/>
      <c r="DX608" s="76"/>
    </row>
    <row r="609" spans="1:128" ht="15.75" customHeight="1">
      <c r="A609" s="76"/>
      <c r="B609" s="79"/>
      <c r="C609" s="18"/>
      <c r="D609" s="18"/>
      <c r="E609" s="18"/>
      <c r="F609" s="18"/>
      <c r="G609" s="18"/>
      <c r="H609" s="18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/>
      <c r="DX609" s="76"/>
    </row>
    <row r="610" spans="1:128" ht="15.75" customHeight="1">
      <c r="A610" s="76"/>
      <c r="B610" s="79"/>
      <c r="C610" s="18"/>
      <c r="D610" s="18"/>
      <c r="E610" s="18"/>
      <c r="F610" s="18"/>
      <c r="G610" s="18"/>
      <c r="H610" s="18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/>
      <c r="DX610" s="76"/>
    </row>
    <row r="611" spans="1:128" ht="15.75" customHeight="1">
      <c r="A611" s="76"/>
      <c r="B611" s="79"/>
      <c r="C611" s="18"/>
      <c r="D611" s="18"/>
      <c r="E611" s="18"/>
      <c r="F611" s="18"/>
      <c r="G611" s="18"/>
      <c r="H611" s="18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/>
      <c r="DX611" s="76"/>
    </row>
    <row r="612" spans="1:128" ht="15.75" customHeight="1">
      <c r="A612" s="76"/>
      <c r="B612" s="79"/>
      <c r="C612" s="18"/>
      <c r="D612" s="18"/>
      <c r="E612" s="18"/>
      <c r="F612" s="18"/>
      <c r="G612" s="18"/>
      <c r="H612" s="18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/>
      <c r="DX612" s="76"/>
    </row>
    <row r="613" spans="1:128" ht="15.75" customHeight="1">
      <c r="A613" s="76"/>
      <c r="B613" s="79"/>
      <c r="C613" s="18"/>
      <c r="D613" s="18"/>
      <c r="E613" s="18"/>
      <c r="F613" s="18"/>
      <c r="G613" s="18"/>
      <c r="H613" s="18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/>
      <c r="DX613" s="76"/>
    </row>
    <row r="614" spans="1:128" ht="15.75" customHeight="1">
      <c r="A614" s="76"/>
      <c r="B614" s="79"/>
      <c r="C614" s="18"/>
      <c r="D614" s="18"/>
      <c r="E614" s="18"/>
      <c r="F614" s="18"/>
      <c r="G614" s="18"/>
      <c r="H614" s="18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/>
      <c r="DX614" s="76"/>
    </row>
    <row r="615" spans="1:128" ht="15.75" customHeight="1">
      <c r="A615" s="76"/>
      <c r="B615" s="79"/>
      <c r="C615" s="18"/>
      <c r="D615" s="18"/>
      <c r="E615" s="18"/>
      <c r="F615" s="18"/>
      <c r="G615" s="18"/>
      <c r="H615" s="18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/>
      <c r="DX615" s="76"/>
    </row>
    <row r="616" spans="1:128" ht="15.75" customHeight="1">
      <c r="A616" s="76"/>
      <c r="B616" s="79"/>
      <c r="C616" s="18"/>
      <c r="D616" s="18"/>
      <c r="E616" s="18"/>
      <c r="F616" s="18"/>
      <c r="G616" s="18"/>
      <c r="H616" s="18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/>
      <c r="DX616" s="76"/>
    </row>
    <row r="617" spans="1:128" ht="15.75" customHeight="1">
      <c r="A617" s="76"/>
      <c r="B617" s="79"/>
      <c r="C617" s="18"/>
      <c r="D617" s="18"/>
      <c r="E617" s="18"/>
      <c r="F617" s="18"/>
      <c r="G617" s="18"/>
      <c r="H617" s="18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/>
      <c r="DX617" s="76"/>
    </row>
    <row r="618" spans="1:128" ht="15.75" customHeight="1">
      <c r="A618" s="76"/>
      <c r="B618" s="79"/>
      <c r="C618" s="18"/>
      <c r="D618" s="18"/>
      <c r="E618" s="18"/>
      <c r="F618" s="18"/>
      <c r="G618" s="18"/>
      <c r="H618" s="18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/>
      <c r="DX618" s="76"/>
    </row>
    <row r="619" spans="1:128" ht="15.75" customHeight="1">
      <c r="A619" s="76"/>
      <c r="B619" s="79"/>
      <c r="C619" s="18"/>
      <c r="D619" s="18"/>
      <c r="E619" s="18"/>
      <c r="F619" s="18"/>
      <c r="G619" s="18"/>
      <c r="H619" s="18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6"/>
      <c r="DX619" s="76"/>
    </row>
    <row r="620" spans="1:128" ht="15.75" customHeight="1">
      <c r="A620" s="76"/>
      <c r="B620" s="79"/>
      <c r="C620" s="18"/>
      <c r="D620" s="18"/>
      <c r="E620" s="18"/>
      <c r="F620" s="18"/>
      <c r="G620" s="18"/>
      <c r="H620" s="18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76"/>
      <c r="DX620" s="76"/>
    </row>
    <row r="621" spans="1:128" ht="15.75" customHeight="1">
      <c r="A621" s="76"/>
      <c r="B621" s="79"/>
      <c r="C621" s="18"/>
      <c r="D621" s="18"/>
      <c r="E621" s="18"/>
      <c r="F621" s="18"/>
      <c r="G621" s="18"/>
      <c r="H621" s="18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6"/>
      <c r="DX621" s="76"/>
    </row>
    <row r="622" spans="1:128" ht="15.75" customHeight="1">
      <c r="A622" s="76"/>
      <c r="B622" s="79"/>
      <c r="C622" s="18"/>
      <c r="D622" s="18"/>
      <c r="E622" s="18"/>
      <c r="F622" s="18"/>
      <c r="G622" s="18"/>
      <c r="H622" s="18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76"/>
      <c r="DX622" s="76"/>
    </row>
    <row r="623" spans="1:128" ht="15.75" customHeight="1">
      <c r="A623" s="76"/>
      <c r="B623" s="79"/>
      <c r="C623" s="18"/>
      <c r="D623" s="18"/>
      <c r="E623" s="18"/>
      <c r="F623" s="18"/>
      <c r="G623" s="18"/>
      <c r="H623" s="18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  <c r="DI623" s="76"/>
      <c r="DJ623" s="76"/>
      <c r="DK623" s="76"/>
      <c r="DL623" s="76"/>
      <c r="DM623" s="76"/>
      <c r="DN623" s="76"/>
      <c r="DO623" s="76"/>
      <c r="DP623" s="76"/>
      <c r="DQ623" s="76"/>
      <c r="DR623" s="76"/>
      <c r="DS623" s="76"/>
      <c r="DT623" s="76"/>
      <c r="DU623" s="76"/>
      <c r="DV623" s="76"/>
      <c r="DW623" s="76"/>
      <c r="DX623" s="76"/>
    </row>
    <row r="624" spans="1:128" ht="15.75" customHeight="1">
      <c r="A624" s="76"/>
      <c r="B624" s="79"/>
      <c r="C624" s="18"/>
      <c r="D624" s="18"/>
      <c r="E624" s="18"/>
      <c r="F624" s="18"/>
      <c r="G624" s="18"/>
      <c r="H624" s="18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76"/>
      <c r="DN624" s="76"/>
      <c r="DO624" s="76"/>
      <c r="DP624" s="76"/>
      <c r="DQ624" s="76"/>
      <c r="DR624" s="76"/>
      <c r="DS624" s="76"/>
      <c r="DT624" s="76"/>
      <c r="DU624" s="76"/>
      <c r="DV624" s="76"/>
      <c r="DW624" s="76"/>
      <c r="DX624" s="76"/>
    </row>
    <row r="625" spans="1:128" ht="15.75" customHeight="1">
      <c r="A625" s="76"/>
      <c r="B625" s="79"/>
      <c r="C625" s="18"/>
      <c r="D625" s="18"/>
      <c r="E625" s="18"/>
      <c r="F625" s="18"/>
      <c r="G625" s="18"/>
      <c r="H625" s="18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  <c r="DI625" s="76"/>
      <c r="DJ625" s="76"/>
      <c r="DK625" s="76"/>
      <c r="DL625" s="76"/>
      <c r="DM625" s="76"/>
      <c r="DN625" s="76"/>
      <c r="DO625" s="76"/>
      <c r="DP625" s="76"/>
      <c r="DQ625" s="76"/>
      <c r="DR625" s="76"/>
      <c r="DS625" s="76"/>
      <c r="DT625" s="76"/>
      <c r="DU625" s="76"/>
      <c r="DV625" s="76"/>
      <c r="DW625" s="76"/>
      <c r="DX625" s="76"/>
    </row>
    <row r="626" spans="1:128" ht="15.75" customHeight="1">
      <c r="A626" s="76"/>
      <c r="B626" s="79"/>
      <c r="C626" s="18"/>
      <c r="D626" s="18"/>
      <c r="E626" s="18"/>
      <c r="F626" s="18"/>
      <c r="G626" s="18"/>
      <c r="H626" s="18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76"/>
      <c r="DN626" s="76"/>
      <c r="DO626" s="76"/>
      <c r="DP626" s="76"/>
      <c r="DQ626" s="76"/>
      <c r="DR626" s="76"/>
      <c r="DS626" s="76"/>
      <c r="DT626" s="76"/>
      <c r="DU626" s="76"/>
      <c r="DV626" s="76"/>
      <c r="DW626" s="76"/>
      <c r="DX626" s="76"/>
    </row>
    <row r="627" spans="1:128" ht="15.75" customHeight="1">
      <c r="A627" s="76"/>
      <c r="B627" s="79"/>
      <c r="C627" s="18"/>
      <c r="D627" s="18"/>
      <c r="E627" s="18"/>
      <c r="F627" s="18"/>
      <c r="G627" s="18"/>
      <c r="H627" s="18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  <c r="DI627" s="76"/>
      <c r="DJ627" s="76"/>
      <c r="DK627" s="76"/>
      <c r="DL627" s="76"/>
      <c r="DM627" s="76"/>
      <c r="DN627" s="76"/>
      <c r="DO627" s="76"/>
      <c r="DP627" s="76"/>
      <c r="DQ627" s="76"/>
      <c r="DR627" s="76"/>
      <c r="DS627" s="76"/>
      <c r="DT627" s="76"/>
      <c r="DU627" s="76"/>
      <c r="DV627" s="76"/>
      <c r="DW627" s="76"/>
      <c r="DX627" s="76"/>
    </row>
    <row r="628" spans="1:128" ht="15.75" customHeight="1">
      <c r="A628" s="76"/>
      <c r="B628" s="79"/>
      <c r="C628" s="18"/>
      <c r="D628" s="18"/>
      <c r="E628" s="18"/>
      <c r="F628" s="18"/>
      <c r="G628" s="18"/>
      <c r="H628" s="18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76"/>
      <c r="DN628" s="76"/>
      <c r="DO628" s="76"/>
      <c r="DP628" s="76"/>
      <c r="DQ628" s="76"/>
      <c r="DR628" s="76"/>
      <c r="DS628" s="76"/>
      <c r="DT628" s="76"/>
      <c r="DU628" s="76"/>
      <c r="DV628" s="76"/>
      <c r="DW628" s="76"/>
      <c r="DX628" s="76"/>
    </row>
    <row r="629" spans="1:128" ht="15.75" customHeight="1">
      <c r="A629" s="76"/>
      <c r="B629" s="79"/>
      <c r="C629" s="18"/>
      <c r="D629" s="18"/>
      <c r="E629" s="18"/>
      <c r="F629" s="18"/>
      <c r="G629" s="18"/>
      <c r="H629" s="18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76"/>
      <c r="DX629" s="76"/>
    </row>
    <row r="630" spans="1:128" ht="15.75" customHeight="1">
      <c r="A630" s="76"/>
      <c r="B630" s="79"/>
      <c r="C630" s="18"/>
      <c r="D630" s="18"/>
      <c r="E630" s="18"/>
      <c r="F630" s="18"/>
      <c r="G630" s="18"/>
      <c r="H630" s="18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76"/>
      <c r="DX630" s="76"/>
    </row>
    <row r="631" spans="1:128" ht="15.75" customHeight="1">
      <c r="A631" s="76"/>
      <c r="B631" s="79"/>
      <c r="C631" s="18"/>
      <c r="D631" s="18"/>
      <c r="E631" s="18"/>
      <c r="F631" s="18"/>
      <c r="G631" s="18"/>
      <c r="H631" s="18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  <c r="DI631" s="76"/>
      <c r="DJ631" s="76"/>
      <c r="DK631" s="76"/>
      <c r="DL631" s="76"/>
      <c r="DM631" s="76"/>
      <c r="DN631" s="76"/>
      <c r="DO631" s="76"/>
      <c r="DP631" s="76"/>
      <c r="DQ631" s="76"/>
      <c r="DR631" s="76"/>
      <c r="DS631" s="76"/>
      <c r="DT631" s="76"/>
      <c r="DU631" s="76"/>
      <c r="DV631" s="76"/>
      <c r="DW631" s="76"/>
      <c r="DX631" s="76"/>
    </row>
    <row r="632" spans="1:128" ht="15.75" customHeight="1">
      <c r="A632" s="76"/>
      <c r="B632" s="79"/>
      <c r="C632" s="18"/>
      <c r="D632" s="18"/>
      <c r="E632" s="18"/>
      <c r="F632" s="18"/>
      <c r="G632" s="18"/>
      <c r="H632" s="18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76"/>
      <c r="DX632" s="76"/>
    </row>
    <row r="633" spans="1:128" ht="15.75" customHeight="1">
      <c r="A633" s="76"/>
      <c r="B633" s="79"/>
      <c r="C633" s="18"/>
      <c r="D633" s="18"/>
      <c r="E633" s="18"/>
      <c r="F633" s="18"/>
      <c r="G633" s="18"/>
      <c r="H633" s="18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  <c r="DI633" s="76"/>
      <c r="DJ633" s="76"/>
      <c r="DK633" s="76"/>
      <c r="DL633" s="76"/>
      <c r="DM633" s="76"/>
      <c r="DN633" s="76"/>
      <c r="DO633" s="76"/>
      <c r="DP633" s="76"/>
      <c r="DQ633" s="76"/>
      <c r="DR633" s="76"/>
      <c r="DS633" s="76"/>
      <c r="DT633" s="76"/>
      <c r="DU633" s="76"/>
      <c r="DV633" s="76"/>
      <c r="DW633" s="76"/>
      <c r="DX633" s="76"/>
    </row>
    <row r="634" spans="1:128" ht="15.75" customHeight="1">
      <c r="A634" s="76"/>
      <c r="B634" s="79"/>
      <c r="C634" s="18"/>
      <c r="D634" s="18"/>
      <c r="E634" s="18"/>
      <c r="F634" s="18"/>
      <c r="G634" s="18"/>
      <c r="H634" s="18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76"/>
      <c r="DN634" s="76"/>
      <c r="DO634" s="76"/>
      <c r="DP634" s="76"/>
      <c r="DQ634" s="76"/>
      <c r="DR634" s="76"/>
      <c r="DS634" s="76"/>
      <c r="DT634" s="76"/>
      <c r="DU634" s="76"/>
      <c r="DV634" s="76"/>
      <c r="DW634" s="76"/>
      <c r="DX634" s="76"/>
    </row>
    <row r="635" spans="1:128" ht="15.75" customHeight="1">
      <c r="A635" s="76"/>
      <c r="B635" s="79"/>
      <c r="C635" s="18"/>
      <c r="D635" s="18"/>
      <c r="E635" s="18"/>
      <c r="F635" s="18"/>
      <c r="G635" s="18"/>
      <c r="H635" s="18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  <c r="DI635" s="76"/>
      <c r="DJ635" s="76"/>
      <c r="DK635" s="76"/>
      <c r="DL635" s="76"/>
      <c r="DM635" s="76"/>
      <c r="DN635" s="76"/>
      <c r="DO635" s="76"/>
      <c r="DP635" s="76"/>
      <c r="DQ635" s="76"/>
      <c r="DR635" s="76"/>
      <c r="DS635" s="76"/>
      <c r="DT635" s="76"/>
      <c r="DU635" s="76"/>
      <c r="DV635" s="76"/>
      <c r="DW635" s="76"/>
      <c r="DX635" s="76"/>
    </row>
    <row r="636" spans="1:128" ht="15.75" customHeight="1">
      <c r="A636" s="76"/>
      <c r="B636" s="79"/>
      <c r="C636" s="18"/>
      <c r="D636" s="18"/>
      <c r="E636" s="18"/>
      <c r="F636" s="18"/>
      <c r="G636" s="18"/>
      <c r="H636" s="18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76"/>
      <c r="DN636" s="76"/>
      <c r="DO636" s="76"/>
      <c r="DP636" s="76"/>
      <c r="DQ636" s="76"/>
      <c r="DR636" s="76"/>
      <c r="DS636" s="76"/>
      <c r="DT636" s="76"/>
      <c r="DU636" s="76"/>
      <c r="DV636" s="76"/>
      <c r="DW636" s="76"/>
      <c r="DX636" s="76"/>
    </row>
    <row r="637" spans="1:128" ht="15.75" customHeight="1">
      <c r="A637" s="76"/>
      <c r="B637" s="79"/>
      <c r="C637" s="18"/>
      <c r="D637" s="18"/>
      <c r="E637" s="18"/>
      <c r="F637" s="18"/>
      <c r="G637" s="18"/>
      <c r="H637" s="18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  <c r="DI637" s="76"/>
      <c r="DJ637" s="76"/>
      <c r="DK637" s="76"/>
      <c r="DL637" s="76"/>
      <c r="DM637" s="76"/>
      <c r="DN637" s="76"/>
      <c r="DO637" s="76"/>
      <c r="DP637" s="76"/>
      <c r="DQ637" s="76"/>
      <c r="DR637" s="76"/>
      <c r="DS637" s="76"/>
      <c r="DT637" s="76"/>
      <c r="DU637" s="76"/>
      <c r="DV637" s="76"/>
      <c r="DW637" s="76"/>
      <c r="DX637" s="76"/>
    </row>
    <row r="638" spans="1:128" ht="15.75" customHeight="1">
      <c r="A638" s="76"/>
      <c r="B638" s="79"/>
      <c r="C638" s="18"/>
      <c r="D638" s="18"/>
      <c r="E638" s="18"/>
      <c r="F638" s="18"/>
      <c r="G638" s="18"/>
      <c r="H638" s="18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76"/>
      <c r="DN638" s="76"/>
      <c r="DO638" s="76"/>
      <c r="DP638" s="76"/>
      <c r="DQ638" s="76"/>
      <c r="DR638" s="76"/>
      <c r="DS638" s="76"/>
      <c r="DT638" s="76"/>
      <c r="DU638" s="76"/>
      <c r="DV638" s="76"/>
      <c r="DW638" s="76"/>
      <c r="DX638" s="76"/>
    </row>
    <row r="639" spans="1:128" ht="15.75" customHeight="1">
      <c r="A639" s="76"/>
      <c r="B639" s="79"/>
      <c r="C639" s="18"/>
      <c r="D639" s="18"/>
      <c r="E639" s="18"/>
      <c r="F639" s="18"/>
      <c r="G639" s="18"/>
      <c r="H639" s="18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  <c r="DI639" s="76"/>
      <c r="DJ639" s="76"/>
      <c r="DK639" s="76"/>
      <c r="DL639" s="76"/>
      <c r="DM639" s="76"/>
      <c r="DN639" s="76"/>
      <c r="DO639" s="76"/>
      <c r="DP639" s="76"/>
      <c r="DQ639" s="76"/>
      <c r="DR639" s="76"/>
      <c r="DS639" s="76"/>
      <c r="DT639" s="76"/>
      <c r="DU639" s="76"/>
      <c r="DV639" s="76"/>
      <c r="DW639" s="76"/>
      <c r="DX639" s="76"/>
    </row>
    <row r="640" spans="1:128" ht="15.75" customHeight="1">
      <c r="A640" s="76"/>
      <c r="B640" s="79"/>
      <c r="C640" s="18"/>
      <c r="D640" s="18"/>
      <c r="E640" s="18"/>
      <c r="F640" s="18"/>
      <c r="G640" s="18"/>
      <c r="H640" s="18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76"/>
      <c r="DN640" s="76"/>
      <c r="DO640" s="76"/>
      <c r="DP640" s="76"/>
      <c r="DQ640" s="76"/>
      <c r="DR640" s="76"/>
      <c r="DS640" s="76"/>
      <c r="DT640" s="76"/>
      <c r="DU640" s="76"/>
      <c r="DV640" s="76"/>
      <c r="DW640" s="76"/>
      <c r="DX640" s="76"/>
    </row>
    <row r="641" spans="1:128" ht="15.75" customHeight="1">
      <c r="A641" s="76"/>
      <c r="B641" s="79"/>
      <c r="C641" s="18"/>
      <c r="D641" s="18"/>
      <c r="E641" s="18"/>
      <c r="F641" s="18"/>
      <c r="G641" s="18"/>
      <c r="H641" s="18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  <c r="DI641" s="76"/>
      <c r="DJ641" s="76"/>
      <c r="DK641" s="76"/>
      <c r="DL641" s="76"/>
      <c r="DM641" s="76"/>
      <c r="DN641" s="76"/>
      <c r="DO641" s="76"/>
      <c r="DP641" s="76"/>
      <c r="DQ641" s="76"/>
      <c r="DR641" s="76"/>
      <c r="DS641" s="76"/>
      <c r="DT641" s="76"/>
      <c r="DU641" s="76"/>
      <c r="DV641" s="76"/>
      <c r="DW641" s="76"/>
      <c r="DX641" s="76"/>
    </row>
    <row r="642" spans="1:128" ht="15.75" customHeight="1">
      <c r="A642" s="76"/>
      <c r="B642" s="79"/>
      <c r="C642" s="18"/>
      <c r="D642" s="18"/>
      <c r="E642" s="18"/>
      <c r="F642" s="18"/>
      <c r="G642" s="18"/>
      <c r="H642" s="18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76"/>
      <c r="DX642" s="76"/>
    </row>
    <row r="643" spans="1:128" ht="15.75" customHeight="1">
      <c r="A643" s="76"/>
      <c r="B643" s="79"/>
      <c r="C643" s="18"/>
      <c r="D643" s="18"/>
      <c r="E643" s="18"/>
      <c r="F643" s="18"/>
      <c r="G643" s="18"/>
      <c r="H643" s="18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76"/>
      <c r="DX643" s="76"/>
    </row>
    <row r="644" spans="1:128" ht="15.75" customHeight="1">
      <c r="A644" s="76"/>
      <c r="B644" s="79"/>
      <c r="C644" s="18"/>
      <c r="D644" s="18"/>
      <c r="E644" s="18"/>
      <c r="F644" s="18"/>
      <c r="G644" s="18"/>
      <c r="H644" s="18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76"/>
      <c r="DN644" s="76"/>
      <c r="DO644" s="76"/>
      <c r="DP644" s="76"/>
      <c r="DQ644" s="76"/>
      <c r="DR644" s="76"/>
      <c r="DS644" s="76"/>
      <c r="DT644" s="76"/>
      <c r="DU644" s="76"/>
      <c r="DV644" s="76"/>
      <c r="DW644" s="76"/>
      <c r="DX644" s="76"/>
    </row>
    <row r="645" spans="1:128" ht="15.75" customHeight="1">
      <c r="A645" s="76"/>
      <c r="B645" s="79"/>
      <c r="C645" s="18"/>
      <c r="D645" s="18"/>
      <c r="E645" s="18"/>
      <c r="F645" s="18"/>
      <c r="G645" s="18"/>
      <c r="H645" s="18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  <c r="DI645" s="76"/>
      <c r="DJ645" s="76"/>
      <c r="DK645" s="76"/>
      <c r="DL645" s="76"/>
      <c r="DM645" s="76"/>
      <c r="DN645" s="76"/>
      <c r="DO645" s="76"/>
      <c r="DP645" s="76"/>
      <c r="DQ645" s="76"/>
      <c r="DR645" s="76"/>
      <c r="DS645" s="76"/>
      <c r="DT645" s="76"/>
      <c r="DU645" s="76"/>
      <c r="DV645" s="76"/>
      <c r="DW645" s="76"/>
      <c r="DX645" s="76"/>
    </row>
    <row r="646" spans="1:128" ht="15.75" customHeight="1">
      <c r="A646" s="76"/>
      <c r="B646" s="79"/>
      <c r="C646" s="18"/>
      <c r="D646" s="18"/>
      <c r="E646" s="18"/>
      <c r="F646" s="18"/>
      <c r="G646" s="18"/>
      <c r="H646" s="18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76"/>
      <c r="DN646" s="76"/>
      <c r="DO646" s="76"/>
      <c r="DP646" s="76"/>
      <c r="DQ646" s="76"/>
      <c r="DR646" s="76"/>
      <c r="DS646" s="76"/>
      <c r="DT646" s="76"/>
      <c r="DU646" s="76"/>
      <c r="DV646" s="76"/>
      <c r="DW646" s="76"/>
      <c r="DX646" s="76"/>
    </row>
    <row r="647" spans="1:128" ht="15.75" customHeight="1">
      <c r="A647" s="76"/>
      <c r="B647" s="79"/>
      <c r="C647" s="18"/>
      <c r="D647" s="18"/>
      <c r="E647" s="18"/>
      <c r="F647" s="18"/>
      <c r="G647" s="18"/>
      <c r="H647" s="18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  <c r="DI647" s="76"/>
      <c r="DJ647" s="76"/>
      <c r="DK647" s="76"/>
      <c r="DL647" s="76"/>
      <c r="DM647" s="76"/>
      <c r="DN647" s="76"/>
      <c r="DO647" s="76"/>
      <c r="DP647" s="76"/>
      <c r="DQ647" s="76"/>
      <c r="DR647" s="76"/>
      <c r="DS647" s="76"/>
      <c r="DT647" s="76"/>
      <c r="DU647" s="76"/>
      <c r="DV647" s="76"/>
      <c r="DW647" s="76"/>
      <c r="DX647" s="76"/>
    </row>
    <row r="648" spans="1:128" ht="15.75" customHeight="1">
      <c r="A648" s="76"/>
      <c r="B648" s="79"/>
      <c r="C648" s="18"/>
      <c r="D648" s="18"/>
      <c r="E648" s="18"/>
      <c r="F648" s="18"/>
      <c r="G648" s="18"/>
      <c r="H648" s="18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76"/>
      <c r="DX648" s="76"/>
    </row>
    <row r="649" spans="1:128" ht="15.75" customHeight="1">
      <c r="A649" s="76"/>
      <c r="B649" s="79"/>
      <c r="C649" s="18"/>
      <c r="D649" s="18"/>
      <c r="E649" s="18"/>
      <c r="F649" s="18"/>
      <c r="G649" s="18"/>
      <c r="H649" s="18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76"/>
      <c r="DX649" s="76"/>
    </row>
    <row r="650" spans="1:128" ht="15.75" customHeight="1">
      <c r="A650" s="76"/>
      <c r="B650" s="79"/>
      <c r="C650" s="18"/>
      <c r="D650" s="18"/>
      <c r="E650" s="18"/>
      <c r="F650" s="18"/>
      <c r="G650" s="18"/>
      <c r="H650" s="18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6"/>
      <c r="DX650" s="76"/>
    </row>
    <row r="651" spans="1:128" ht="15.75" customHeight="1">
      <c r="A651" s="76"/>
      <c r="B651" s="79"/>
      <c r="C651" s="18"/>
      <c r="D651" s="18"/>
      <c r="E651" s="18"/>
      <c r="F651" s="18"/>
      <c r="G651" s="18"/>
      <c r="H651" s="18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/>
      <c r="DX651" s="76"/>
    </row>
    <row r="652" spans="1:128" ht="15.75" customHeight="1">
      <c r="A652" s="76"/>
      <c r="B652" s="79"/>
      <c r="C652" s="18"/>
      <c r="D652" s="18"/>
      <c r="E652" s="18"/>
      <c r="F652" s="18"/>
      <c r="G652" s="18"/>
      <c r="H652" s="18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6"/>
      <c r="DX652" s="76"/>
    </row>
    <row r="653" spans="1:128" ht="15.75" customHeight="1">
      <c r="A653" s="76"/>
      <c r="B653" s="79"/>
      <c r="C653" s="18"/>
      <c r="D653" s="18"/>
      <c r="E653" s="18"/>
      <c r="F653" s="18"/>
      <c r="G653" s="18"/>
      <c r="H653" s="18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/>
      <c r="DX653" s="76"/>
    </row>
    <row r="654" spans="1:128" ht="15.75" customHeight="1">
      <c r="A654" s="76"/>
      <c r="B654" s="79"/>
      <c r="C654" s="18"/>
      <c r="D654" s="18"/>
      <c r="E654" s="18"/>
      <c r="F654" s="18"/>
      <c r="G654" s="18"/>
      <c r="H654" s="18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6"/>
      <c r="DX654" s="76"/>
    </row>
    <row r="655" spans="1:128" ht="15.75" customHeight="1">
      <c r="A655" s="76"/>
      <c r="B655" s="79"/>
      <c r="C655" s="18"/>
      <c r="D655" s="18"/>
      <c r="E655" s="18"/>
      <c r="F655" s="18"/>
      <c r="G655" s="18"/>
      <c r="H655" s="18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/>
      <c r="DX655" s="76"/>
    </row>
    <row r="656" spans="1:128" ht="15.75" customHeight="1">
      <c r="A656" s="76"/>
      <c r="B656" s="79"/>
      <c r="C656" s="18"/>
      <c r="D656" s="18"/>
      <c r="E656" s="18"/>
      <c r="F656" s="18"/>
      <c r="G656" s="18"/>
      <c r="H656" s="18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6"/>
      <c r="DX656" s="76"/>
    </row>
    <row r="657" spans="1:128" ht="15.75" customHeight="1">
      <c r="A657" s="76"/>
      <c r="B657" s="79"/>
      <c r="C657" s="18"/>
      <c r="D657" s="18"/>
      <c r="E657" s="18"/>
      <c r="F657" s="18"/>
      <c r="G657" s="18"/>
      <c r="H657" s="18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6"/>
      <c r="DX657" s="76"/>
    </row>
    <row r="658" spans="1:128" ht="15.75" customHeight="1">
      <c r="A658" s="76"/>
      <c r="B658" s="79"/>
      <c r="C658" s="18"/>
      <c r="D658" s="18"/>
      <c r="E658" s="18"/>
      <c r="F658" s="18"/>
      <c r="G658" s="18"/>
      <c r="H658" s="18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6"/>
      <c r="DX658" s="76"/>
    </row>
    <row r="659" spans="1:128" ht="15.75" customHeight="1">
      <c r="A659" s="76"/>
      <c r="B659" s="79"/>
      <c r="C659" s="18"/>
      <c r="D659" s="18"/>
      <c r="E659" s="18"/>
      <c r="F659" s="18"/>
      <c r="G659" s="18"/>
      <c r="H659" s="18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76"/>
      <c r="DX659" s="76"/>
    </row>
    <row r="660" spans="1:128" ht="15.75" customHeight="1">
      <c r="A660" s="76"/>
      <c r="B660" s="79"/>
      <c r="C660" s="18"/>
      <c r="D660" s="18"/>
      <c r="E660" s="18"/>
      <c r="F660" s="18"/>
      <c r="G660" s="18"/>
      <c r="H660" s="18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76"/>
      <c r="DX660" s="76"/>
    </row>
    <row r="661" spans="1:128" ht="15.75" customHeight="1">
      <c r="A661" s="76"/>
      <c r="B661" s="79"/>
      <c r="C661" s="18"/>
      <c r="D661" s="18"/>
      <c r="E661" s="18"/>
      <c r="F661" s="18"/>
      <c r="G661" s="18"/>
      <c r="H661" s="18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76"/>
      <c r="DX661" s="76"/>
    </row>
    <row r="662" spans="1:128" ht="15.75" customHeight="1">
      <c r="A662" s="76"/>
      <c r="B662" s="79"/>
      <c r="C662" s="18"/>
      <c r="D662" s="18"/>
      <c r="E662" s="18"/>
      <c r="F662" s="18"/>
      <c r="G662" s="18"/>
      <c r="H662" s="18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6"/>
      <c r="DX662" s="76"/>
    </row>
    <row r="663" spans="1:128" ht="15.75" customHeight="1">
      <c r="A663" s="76"/>
      <c r="B663" s="79"/>
      <c r="C663" s="18"/>
      <c r="D663" s="18"/>
      <c r="E663" s="18"/>
      <c r="F663" s="18"/>
      <c r="G663" s="18"/>
      <c r="H663" s="18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6"/>
      <c r="DX663" s="76"/>
    </row>
    <row r="664" spans="1:128" ht="15.75" customHeight="1">
      <c r="A664" s="76"/>
      <c r="B664" s="79"/>
      <c r="C664" s="18"/>
      <c r="D664" s="18"/>
      <c r="E664" s="18"/>
      <c r="F664" s="18"/>
      <c r="G664" s="18"/>
      <c r="H664" s="18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6"/>
      <c r="DX664" s="76"/>
    </row>
    <row r="665" spans="1:128" ht="15.75" customHeight="1">
      <c r="A665" s="76"/>
      <c r="B665" s="79"/>
      <c r="C665" s="18"/>
      <c r="D665" s="18"/>
      <c r="E665" s="18"/>
      <c r="F665" s="18"/>
      <c r="G665" s="18"/>
      <c r="H665" s="18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/>
      <c r="DX665" s="76"/>
    </row>
    <row r="666" spans="1:128" ht="15.75" customHeight="1">
      <c r="A666" s="76"/>
      <c r="B666" s="79"/>
      <c r="C666" s="18"/>
      <c r="D666" s="18"/>
      <c r="E666" s="18"/>
      <c r="F666" s="18"/>
      <c r="G666" s="18"/>
      <c r="H666" s="18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6"/>
      <c r="DX666" s="76"/>
    </row>
    <row r="667" spans="1:128" ht="15.75" customHeight="1">
      <c r="A667" s="76"/>
      <c r="B667" s="79"/>
      <c r="C667" s="18"/>
      <c r="D667" s="18"/>
      <c r="E667" s="18"/>
      <c r="F667" s="18"/>
      <c r="G667" s="18"/>
      <c r="H667" s="18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/>
      <c r="DX667" s="76"/>
    </row>
    <row r="668" spans="1:128" ht="15.75" customHeight="1">
      <c r="A668" s="76"/>
      <c r="B668" s="79"/>
      <c r="C668" s="18"/>
      <c r="D668" s="18"/>
      <c r="E668" s="18"/>
      <c r="F668" s="18"/>
      <c r="G668" s="18"/>
      <c r="H668" s="18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/>
      <c r="DX668" s="76"/>
    </row>
    <row r="669" spans="1:128" ht="15.75" customHeight="1">
      <c r="A669" s="76"/>
      <c r="B669" s="79"/>
      <c r="C669" s="18"/>
      <c r="D669" s="18"/>
      <c r="E669" s="18"/>
      <c r="F669" s="18"/>
      <c r="G669" s="18"/>
      <c r="H669" s="18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76"/>
      <c r="DX669" s="76"/>
    </row>
    <row r="670" spans="1:128" ht="15.75" customHeight="1">
      <c r="A670" s="76"/>
      <c r="B670" s="79"/>
      <c r="C670" s="18"/>
      <c r="D670" s="18"/>
      <c r="E670" s="18"/>
      <c r="F670" s="18"/>
      <c r="G670" s="18"/>
      <c r="H670" s="18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/>
      <c r="DX670" s="76"/>
    </row>
    <row r="671" spans="1:128" ht="15.75" customHeight="1">
      <c r="A671" s="76"/>
      <c r="B671" s="79"/>
      <c r="C671" s="18"/>
      <c r="D671" s="18"/>
      <c r="E671" s="18"/>
      <c r="F671" s="18"/>
      <c r="G671" s="18"/>
      <c r="H671" s="18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/>
      <c r="DX671" s="76"/>
    </row>
    <row r="672" spans="1:128" ht="15.75" customHeight="1">
      <c r="A672" s="76"/>
      <c r="B672" s="79"/>
      <c r="C672" s="18"/>
      <c r="D672" s="18"/>
      <c r="E672" s="18"/>
      <c r="F672" s="18"/>
      <c r="G672" s="18"/>
      <c r="H672" s="18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/>
      <c r="DX672" s="76"/>
    </row>
    <row r="673" spans="1:128" ht="15.75" customHeight="1">
      <c r="A673" s="76"/>
      <c r="B673" s="79"/>
      <c r="C673" s="18"/>
      <c r="D673" s="18"/>
      <c r="E673" s="18"/>
      <c r="F673" s="18"/>
      <c r="G673" s="18"/>
      <c r="H673" s="18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/>
      <c r="DX673" s="76"/>
    </row>
    <row r="674" spans="1:128" ht="15.75" customHeight="1">
      <c r="A674" s="76"/>
      <c r="B674" s="79"/>
      <c r="C674" s="18"/>
      <c r="D674" s="18"/>
      <c r="E674" s="18"/>
      <c r="F674" s="18"/>
      <c r="G674" s="18"/>
      <c r="H674" s="18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6"/>
      <c r="DX674" s="76"/>
    </row>
    <row r="675" spans="1:128" ht="15.75" customHeight="1">
      <c r="A675" s="76"/>
      <c r="B675" s="79"/>
      <c r="C675" s="18"/>
      <c r="D675" s="18"/>
      <c r="E675" s="18"/>
      <c r="F675" s="18"/>
      <c r="G675" s="18"/>
      <c r="H675" s="18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6"/>
      <c r="DX675" s="76"/>
    </row>
    <row r="676" spans="1:128" ht="15.75" customHeight="1">
      <c r="A676" s="76"/>
      <c r="B676" s="79"/>
      <c r="C676" s="18"/>
      <c r="D676" s="18"/>
      <c r="E676" s="18"/>
      <c r="F676" s="18"/>
      <c r="G676" s="18"/>
      <c r="H676" s="18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6"/>
      <c r="DX676" s="76"/>
    </row>
    <row r="677" spans="1:128" ht="15.75" customHeight="1">
      <c r="A677" s="76"/>
      <c r="B677" s="79"/>
      <c r="C677" s="18"/>
      <c r="D677" s="18"/>
      <c r="E677" s="18"/>
      <c r="F677" s="18"/>
      <c r="G677" s="18"/>
      <c r="H677" s="18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6"/>
      <c r="DX677" s="76"/>
    </row>
    <row r="678" spans="1:128" ht="15.75" customHeight="1">
      <c r="A678" s="76"/>
      <c r="B678" s="79"/>
      <c r="C678" s="18"/>
      <c r="D678" s="18"/>
      <c r="E678" s="18"/>
      <c r="F678" s="18"/>
      <c r="G678" s="18"/>
      <c r="H678" s="18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/>
      <c r="DX678" s="76"/>
    </row>
    <row r="679" spans="1:128" ht="15.75" customHeight="1">
      <c r="A679" s="76"/>
      <c r="B679" s="79"/>
      <c r="C679" s="18"/>
      <c r="D679" s="18"/>
      <c r="E679" s="18"/>
      <c r="F679" s="18"/>
      <c r="G679" s="18"/>
      <c r="H679" s="18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/>
      <c r="DX679" s="76"/>
    </row>
    <row r="680" spans="1:128" ht="15.75" customHeight="1">
      <c r="A680" s="76"/>
      <c r="B680" s="79"/>
      <c r="C680" s="18"/>
      <c r="D680" s="18"/>
      <c r="E680" s="18"/>
      <c r="F680" s="18"/>
      <c r="G680" s="18"/>
      <c r="H680" s="18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6"/>
      <c r="DX680" s="76"/>
    </row>
    <row r="681" spans="1:128" ht="15.75" customHeight="1">
      <c r="A681" s="76"/>
      <c r="B681" s="79"/>
      <c r="C681" s="18"/>
      <c r="D681" s="18"/>
      <c r="E681" s="18"/>
      <c r="F681" s="18"/>
      <c r="G681" s="18"/>
      <c r="H681" s="18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/>
      <c r="DX681" s="76"/>
    </row>
    <row r="682" spans="1:128" ht="15.75" customHeight="1">
      <c r="A682" s="76"/>
      <c r="B682" s="79"/>
      <c r="C682" s="18"/>
      <c r="D682" s="18"/>
      <c r="E682" s="18"/>
      <c r="F682" s="18"/>
      <c r="G682" s="18"/>
      <c r="H682" s="18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/>
      <c r="DX682" s="76"/>
    </row>
    <row r="683" spans="1:128" ht="15.75" customHeight="1">
      <c r="A683" s="76"/>
      <c r="B683" s="79"/>
      <c r="C683" s="18"/>
      <c r="D683" s="18"/>
      <c r="E683" s="18"/>
      <c r="F683" s="18"/>
      <c r="G683" s="18"/>
      <c r="H683" s="18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/>
      <c r="DX683" s="76"/>
    </row>
    <row r="684" spans="1:128" ht="15.75" customHeight="1">
      <c r="A684" s="76"/>
      <c r="B684" s="79"/>
      <c r="C684" s="18"/>
      <c r="D684" s="18"/>
      <c r="E684" s="18"/>
      <c r="F684" s="18"/>
      <c r="G684" s="18"/>
      <c r="H684" s="18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6"/>
      <c r="DX684" s="76"/>
    </row>
    <row r="685" spans="1:128" ht="15.75" customHeight="1">
      <c r="A685" s="76"/>
      <c r="B685" s="79"/>
      <c r="C685" s="18"/>
      <c r="D685" s="18"/>
      <c r="E685" s="18"/>
      <c r="F685" s="18"/>
      <c r="G685" s="18"/>
      <c r="H685" s="18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6"/>
      <c r="DX685" s="76"/>
    </row>
    <row r="686" spans="1:128" ht="15.75" customHeight="1">
      <c r="A686" s="76"/>
      <c r="B686" s="79"/>
      <c r="C686" s="18"/>
      <c r="D686" s="18"/>
      <c r="E686" s="18"/>
      <c r="F686" s="18"/>
      <c r="G686" s="18"/>
      <c r="H686" s="18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6"/>
      <c r="DX686" s="76"/>
    </row>
    <row r="687" spans="1:128" ht="15.75" customHeight="1">
      <c r="A687" s="76"/>
      <c r="B687" s="79"/>
      <c r="C687" s="18"/>
      <c r="D687" s="18"/>
      <c r="E687" s="18"/>
      <c r="F687" s="18"/>
      <c r="G687" s="18"/>
      <c r="H687" s="18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</row>
    <row r="688" spans="1:128" ht="15.75" customHeight="1">
      <c r="A688" s="76"/>
      <c r="B688" s="79"/>
      <c r="C688" s="18"/>
      <c r="D688" s="18"/>
      <c r="E688" s="18"/>
      <c r="F688" s="18"/>
      <c r="G688" s="18"/>
      <c r="H688" s="18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6"/>
      <c r="DX688" s="76"/>
    </row>
    <row r="689" spans="1:128" ht="15.75" customHeight="1">
      <c r="A689" s="76"/>
      <c r="B689" s="79"/>
      <c r="C689" s="18"/>
      <c r="D689" s="18"/>
      <c r="E689" s="18"/>
      <c r="F689" s="18"/>
      <c r="G689" s="18"/>
      <c r="H689" s="18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6"/>
      <c r="DX689" s="76"/>
    </row>
    <row r="690" spans="1:128" ht="15.75" customHeight="1">
      <c r="A690" s="76"/>
      <c r="B690" s="79"/>
      <c r="C690" s="18"/>
      <c r="D690" s="18"/>
      <c r="E690" s="18"/>
      <c r="F690" s="18"/>
      <c r="G690" s="18"/>
      <c r="H690" s="18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6"/>
      <c r="DX690" s="76"/>
    </row>
    <row r="691" spans="1:128" ht="15.75" customHeight="1">
      <c r="A691" s="76"/>
      <c r="B691" s="79"/>
      <c r="C691" s="18"/>
      <c r="D691" s="18"/>
      <c r="E691" s="18"/>
      <c r="F691" s="18"/>
      <c r="G691" s="18"/>
      <c r="H691" s="18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/>
      <c r="DX691" s="76"/>
    </row>
    <row r="692" spans="1:128" ht="15.75" customHeight="1">
      <c r="A692" s="76"/>
      <c r="B692" s="79"/>
      <c r="C692" s="18"/>
      <c r="D692" s="18"/>
      <c r="E692" s="18"/>
      <c r="F692" s="18"/>
      <c r="G692" s="18"/>
      <c r="H692" s="18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/>
      <c r="DX692" s="76"/>
    </row>
    <row r="693" spans="1:128" ht="15.75" customHeight="1">
      <c r="A693" s="76"/>
      <c r="B693" s="79"/>
      <c r="C693" s="18"/>
      <c r="D693" s="18"/>
      <c r="E693" s="18"/>
      <c r="F693" s="18"/>
      <c r="G693" s="18"/>
      <c r="H693" s="18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/>
      <c r="DX693" s="76"/>
    </row>
    <row r="694" spans="1:128" ht="15.75" customHeight="1">
      <c r="A694" s="76"/>
      <c r="B694" s="79"/>
      <c r="C694" s="18"/>
      <c r="D694" s="18"/>
      <c r="E694" s="18"/>
      <c r="F694" s="18"/>
      <c r="G694" s="18"/>
      <c r="H694" s="18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6"/>
      <c r="DX694" s="76"/>
    </row>
    <row r="695" spans="1:128" ht="15.75" customHeight="1">
      <c r="A695" s="76"/>
      <c r="B695" s="79"/>
      <c r="C695" s="18"/>
      <c r="D695" s="18"/>
      <c r="E695" s="18"/>
      <c r="F695" s="18"/>
      <c r="G695" s="18"/>
      <c r="H695" s="18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6"/>
      <c r="DX695" s="76"/>
    </row>
    <row r="696" spans="1:128" ht="15.75" customHeight="1">
      <c r="A696" s="76"/>
      <c r="B696" s="79"/>
      <c r="C696" s="18"/>
      <c r="D696" s="18"/>
      <c r="E696" s="18"/>
      <c r="F696" s="18"/>
      <c r="G696" s="18"/>
      <c r="H696" s="18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6"/>
      <c r="DX696" s="76"/>
    </row>
    <row r="697" spans="1:128" ht="15.75" customHeight="1">
      <c r="A697" s="76"/>
      <c r="B697" s="79"/>
      <c r="C697" s="18"/>
      <c r="D697" s="18"/>
      <c r="E697" s="18"/>
      <c r="F697" s="18"/>
      <c r="G697" s="18"/>
      <c r="H697" s="18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</row>
    <row r="698" spans="1:128" ht="15.75" customHeight="1">
      <c r="A698" s="76"/>
      <c r="B698" s="79"/>
      <c r="C698" s="18"/>
      <c r="D698" s="18"/>
      <c r="E698" s="18"/>
      <c r="F698" s="18"/>
      <c r="G698" s="18"/>
      <c r="H698" s="18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</row>
    <row r="699" spans="1:128" ht="15.75" customHeight="1">
      <c r="A699" s="76"/>
      <c r="B699" s="79"/>
      <c r="C699" s="18"/>
      <c r="D699" s="18"/>
      <c r="E699" s="18"/>
      <c r="F699" s="18"/>
      <c r="G699" s="18"/>
      <c r="H699" s="18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</row>
    <row r="700" spans="1:128" ht="15.75" customHeight="1">
      <c r="A700" s="76"/>
      <c r="B700" s="79"/>
      <c r="C700" s="18"/>
      <c r="D700" s="18"/>
      <c r="E700" s="18"/>
      <c r="F700" s="18"/>
      <c r="G700" s="18"/>
      <c r="H700" s="18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6"/>
      <c r="DX700" s="76"/>
    </row>
    <row r="701" spans="1:128" ht="15.75" customHeight="1">
      <c r="A701" s="76"/>
      <c r="B701" s="79"/>
      <c r="C701" s="18"/>
      <c r="D701" s="18"/>
      <c r="E701" s="18"/>
      <c r="F701" s="18"/>
      <c r="G701" s="18"/>
      <c r="H701" s="18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6"/>
      <c r="DX701" s="76"/>
    </row>
    <row r="702" spans="1:128" ht="15.75" customHeight="1">
      <c r="A702" s="76"/>
      <c r="B702" s="79"/>
      <c r="C702" s="18"/>
      <c r="D702" s="18"/>
      <c r="E702" s="18"/>
      <c r="F702" s="18"/>
      <c r="G702" s="18"/>
      <c r="H702" s="18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6"/>
      <c r="DX702" s="76"/>
    </row>
    <row r="703" spans="1:128" ht="15.75" customHeight="1">
      <c r="A703" s="76"/>
      <c r="B703" s="79"/>
      <c r="C703" s="18"/>
      <c r="D703" s="18"/>
      <c r="E703" s="18"/>
      <c r="F703" s="18"/>
      <c r="G703" s="18"/>
      <c r="H703" s="18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6"/>
      <c r="DX703" s="76"/>
    </row>
    <row r="704" spans="1:128" ht="15.75" customHeight="1">
      <c r="A704" s="76"/>
      <c r="B704" s="79"/>
      <c r="C704" s="18"/>
      <c r="D704" s="18"/>
      <c r="E704" s="18"/>
      <c r="F704" s="18"/>
      <c r="G704" s="18"/>
      <c r="H704" s="18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6"/>
      <c r="DX704" s="76"/>
    </row>
    <row r="705" spans="1:128" ht="15.75" customHeight="1">
      <c r="A705" s="76"/>
      <c r="B705" s="79"/>
      <c r="C705" s="18"/>
      <c r="D705" s="18"/>
      <c r="E705" s="18"/>
      <c r="F705" s="18"/>
      <c r="G705" s="18"/>
      <c r="H705" s="18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6"/>
      <c r="DX705" s="76"/>
    </row>
    <row r="706" spans="1:128" ht="15.75" customHeight="1">
      <c r="A706" s="76"/>
      <c r="B706" s="79"/>
      <c r="C706" s="18"/>
      <c r="D706" s="18"/>
      <c r="E706" s="18"/>
      <c r="F706" s="18"/>
      <c r="G706" s="18"/>
      <c r="H706" s="18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6"/>
      <c r="DX706" s="76"/>
    </row>
    <row r="707" spans="1:128" ht="15.75" customHeight="1">
      <c r="A707" s="76"/>
      <c r="B707" s="79"/>
      <c r="C707" s="18"/>
      <c r="D707" s="18"/>
      <c r="E707" s="18"/>
      <c r="F707" s="18"/>
      <c r="G707" s="18"/>
      <c r="H707" s="18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6"/>
      <c r="DX707" s="76"/>
    </row>
    <row r="708" spans="1:128" ht="15.75" customHeight="1">
      <c r="A708" s="76"/>
      <c r="B708" s="79"/>
      <c r="C708" s="18"/>
      <c r="D708" s="18"/>
      <c r="E708" s="18"/>
      <c r="F708" s="18"/>
      <c r="G708" s="18"/>
      <c r="H708" s="18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6"/>
      <c r="DX708" s="76"/>
    </row>
    <row r="709" spans="1:128" ht="15.75" customHeight="1">
      <c r="A709" s="76"/>
      <c r="B709" s="79"/>
      <c r="C709" s="18"/>
      <c r="D709" s="18"/>
      <c r="E709" s="18"/>
      <c r="F709" s="18"/>
      <c r="G709" s="18"/>
      <c r="H709" s="18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/>
      <c r="DX709" s="76"/>
    </row>
    <row r="710" spans="1:128" ht="15.75" customHeight="1">
      <c r="A710" s="76"/>
      <c r="B710" s="79"/>
      <c r="C710" s="18"/>
      <c r="D710" s="18"/>
      <c r="E710" s="18"/>
      <c r="F710" s="18"/>
      <c r="G710" s="18"/>
      <c r="H710" s="18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/>
      <c r="DX710" s="76"/>
    </row>
    <row r="711" spans="1:128" ht="15.75" customHeight="1">
      <c r="A711" s="76"/>
      <c r="B711" s="79"/>
      <c r="C711" s="18"/>
      <c r="D711" s="18"/>
      <c r="E711" s="18"/>
      <c r="F711" s="18"/>
      <c r="G711" s="18"/>
      <c r="H711" s="18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6"/>
      <c r="DX711" s="76"/>
    </row>
    <row r="712" spans="1:128" ht="15.75" customHeight="1">
      <c r="A712" s="76"/>
      <c r="B712" s="79"/>
      <c r="C712" s="18"/>
      <c r="D712" s="18"/>
      <c r="E712" s="18"/>
      <c r="F712" s="18"/>
      <c r="G712" s="18"/>
      <c r="H712" s="18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/>
      <c r="DX712" s="76"/>
    </row>
    <row r="713" spans="1:128" ht="15.75" customHeight="1">
      <c r="A713" s="76"/>
      <c r="B713" s="79"/>
      <c r="C713" s="18"/>
      <c r="D713" s="18"/>
      <c r="E713" s="18"/>
      <c r="F713" s="18"/>
      <c r="G713" s="18"/>
      <c r="H713" s="18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/>
      <c r="DA713" s="76"/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/>
      <c r="DX713" s="76"/>
    </row>
    <row r="714" spans="1:128" ht="15.75" customHeight="1">
      <c r="A714" s="76"/>
      <c r="B714" s="79"/>
      <c r="C714" s="18"/>
      <c r="D714" s="18"/>
      <c r="E714" s="18"/>
      <c r="F714" s="18"/>
      <c r="G714" s="18"/>
      <c r="H714" s="18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6"/>
      <c r="DX714" s="76"/>
    </row>
    <row r="715" spans="1:128" ht="15.75" customHeight="1">
      <c r="A715" s="76"/>
      <c r="B715" s="79"/>
      <c r="C715" s="18"/>
      <c r="D715" s="18"/>
      <c r="E715" s="18"/>
      <c r="F715" s="18"/>
      <c r="G715" s="18"/>
      <c r="H715" s="18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6"/>
      <c r="DX715" s="76"/>
    </row>
    <row r="716" spans="1:128" ht="15.75" customHeight="1">
      <c r="A716" s="76"/>
      <c r="B716" s="79"/>
      <c r="C716" s="18"/>
      <c r="D716" s="18"/>
      <c r="E716" s="18"/>
      <c r="F716" s="18"/>
      <c r="G716" s="18"/>
      <c r="H716" s="18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6"/>
      <c r="DX716" s="76"/>
    </row>
    <row r="717" spans="1:128" ht="15.75" customHeight="1">
      <c r="A717" s="76"/>
      <c r="B717" s="79"/>
      <c r="C717" s="18"/>
      <c r="D717" s="18"/>
      <c r="E717" s="18"/>
      <c r="F717" s="18"/>
      <c r="G717" s="18"/>
      <c r="H717" s="18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/>
      <c r="DA717" s="76"/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6"/>
      <c r="DX717" s="76"/>
    </row>
    <row r="718" spans="1:128" ht="15.75" customHeight="1">
      <c r="A718" s="76"/>
      <c r="B718" s="79"/>
      <c r="C718" s="18"/>
      <c r="D718" s="18"/>
      <c r="E718" s="18"/>
      <c r="F718" s="18"/>
      <c r="G718" s="18"/>
      <c r="H718" s="18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6"/>
      <c r="DX718" s="76"/>
    </row>
    <row r="719" spans="1:128" ht="15.75" customHeight="1">
      <c r="A719" s="76"/>
      <c r="B719" s="79"/>
      <c r="C719" s="18"/>
      <c r="D719" s="18"/>
      <c r="E719" s="18"/>
      <c r="F719" s="18"/>
      <c r="G719" s="18"/>
      <c r="H719" s="18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6"/>
      <c r="DX719" s="76"/>
    </row>
    <row r="720" spans="1:128" ht="15.75" customHeight="1">
      <c r="A720" s="76"/>
      <c r="B720" s="79"/>
      <c r="C720" s="18"/>
      <c r="D720" s="18"/>
      <c r="E720" s="18"/>
      <c r="F720" s="18"/>
      <c r="G720" s="18"/>
      <c r="H720" s="18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6"/>
      <c r="DX720" s="76"/>
    </row>
    <row r="721" spans="1:128" ht="15.75" customHeight="1">
      <c r="A721" s="76"/>
      <c r="B721" s="79"/>
      <c r="C721" s="18"/>
      <c r="D721" s="18"/>
      <c r="E721" s="18"/>
      <c r="F721" s="18"/>
      <c r="G721" s="18"/>
      <c r="H721" s="18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6"/>
      <c r="DX721" s="76"/>
    </row>
    <row r="722" spans="1:128" ht="15.75" customHeight="1">
      <c r="A722" s="76"/>
      <c r="B722" s="79"/>
      <c r="C722" s="18"/>
      <c r="D722" s="18"/>
      <c r="E722" s="18"/>
      <c r="F722" s="18"/>
      <c r="G722" s="18"/>
      <c r="H722" s="18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6"/>
      <c r="DX722" s="76"/>
    </row>
    <row r="723" spans="1:128" ht="15.75" customHeight="1">
      <c r="A723" s="76"/>
      <c r="B723" s="79"/>
      <c r="C723" s="18"/>
      <c r="D723" s="18"/>
      <c r="E723" s="18"/>
      <c r="F723" s="18"/>
      <c r="G723" s="18"/>
      <c r="H723" s="18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/>
      <c r="DA723" s="76"/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6"/>
      <c r="DX723" s="76"/>
    </row>
    <row r="724" spans="1:128" ht="15.75" customHeight="1">
      <c r="A724" s="76"/>
      <c r="B724" s="79"/>
      <c r="C724" s="18"/>
      <c r="D724" s="18"/>
      <c r="E724" s="18"/>
      <c r="F724" s="18"/>
      <c r="G724" s="18"/>
      <c r="H724" s="18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/>
      <c r="DX724" s="76"/>
    </row>
    <row r="725" spans="1:128" ht="15.75" customHeight="1">
      <c r="A725" s="76"/>
      <c r="B725" s="79"/>
      <c r="C725" s="18"/>
      <c r="D725" s="18"/>
      <c r="E725" s="18"/>
      <c r="F725" s="18"/>
      <c r="G725" s="18"/>
      <c r="H725" s="18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6"/>
      <c r="DX725" s="76"/>
    </row>
    <row r="726" spans="1:128" ht="15.75" customHeight="1">
      <c r="A726" s="76"/>
      <c r="B726" s="79"/>
      <c r="C726" s="18"/>
      <c r="D726" s="18"/>
      <c r="E726" s="18"/>
      <c r="F726" s="18"/>
      <c r="G726" s="18"/>
      <c r="H726" s="18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6"/>
      <c r="DX726" s="76"/>
    </row>
    <row r="727" spans="1:128" ht="15.75" customHeight="1">
      <c r="A727" s="76"/>
      <c r="B727" s="79"/>
      <c r="C727" s="18"/>
      <c r="D727" s="18"/>
      <c r="E727" s="18"/>
      <c r="F727" s="18"/>
      <c r="G727" s="18"/>
      <c r="H727" s="18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6"/>
      <c r="DX727" s="76"/>
    </row>
    <row r="728" spans="1:128" ht="15.75" customHeight="1">
      <c r="A728" s="76"/>
      <c r="B728" s="79"/>
      <c r="C728" s="18"/>
      <c r="D728" s="18"/>
      <c r="E728" s="18"/>
      <c r="F728" s="18"/>
      <c r="G728" s="18"/>
      <c r="H728" s="18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6"/>
      <c r="DX728" s="76"/>
    </row>
    <row r="729" spans="1:128" ht="15.75" customHeight="1">
      <c r="A729" s="76"/>
      <c r="B729" s="79"/>
      <c r="C729" s="18"/>
      <c r="D729" s="18"/>
      <c r="E729" s="18"/>
      <c r="F729" s="18"/>
      <c r="G729" s="18"/>
      <c r="H729" s="18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6"/>
      <c r="DX729" s="76"/>
    </row>
    <row r="730" spans="1:128" ht="15.75" customHeight="1">
      <c r="A730" s="76"/>
      <c r="B730" s="79"/>
      <c r="C730" s="18"/>
      <c r="D730" s="18"/>
      <c r="E730" s="18"/>
      <c r="F730" s="18"/>
      <c r="G730" s="18"/>
      <c r="H730" s="18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6"/>
      <c r="DX730" s="76"/>
    </row>
    <row r="731" spans="1:128" ht="15.75" customHeight="1">
      <c r="A731" s="76"/>
      <c r="B731" s="79"/>
      <c r="C731" s="18"/>
      <c r="D731" s="18"/>
      <c r="E731" s="18"/>
      <c r="F731" s="18"/>
      <c r="G731" s="18"/>
      <c r="H731" s="18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6"/>
      <c r="DX731" s="76"/>
    </row>
    <row r="732" spans="1:128" ht="15.75" customHeight="1">
      <c r="A732" s="76"/>
      <c r="B732" s="79"/>
      <c r="C732" s="18"/>
      <c r="D732" s="18"/>
      <c r="E732" s="18"/>
      <c r="F732" s="18"/>
      <c r="G732" s="18"/>
      <c r="H732" s="18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6"/>
      <c r="DX732" s="76"/>
    </row>
    <row r="733" spans="1:128" ht="15.75" customHeight="1">
      <c r="A733" s="76"/>
      <c r="B733" s="79"/>
      <c r="C733" s="18"/>
      <c r="D733" s="18"/>
      <c r="E733" s="18"/>
      <c r="F733" s="18"/>
      <c r="G733" s="18"/>
      <c r="H733" s="18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6"/>
      <c r="DX733" s="76"/>
    </row>
    <row r="734" spans="1:128" ht="15.75" customHeight="1">
      <c r="A734" s="76"/>
      <c r="B734" s="79"/>
      <c r="C734" s="18"/>
      <c r="D734" s="18"/>
      <c r="E734" s="18"/>
      <c r="F734" s="18"/>
      <c r="G734" s="18"/>
      <c r="H734" s="18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6"/>
      <c r="DX734" s="76"/>
    </row>
    <row r="735" spans="1:128" ht="15.75" customHeight="1">
      <c r="A735" s="76"/>
      <c r="B735" s="79"/>
      <c r="C735" s="18"/>
      <c r="D735" s="18"/>
      <c r="E735" s="18"/>
      <c r="F735" s="18"/>
      <c r="G735" s="18"/>
      <c r="H735" s="18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/>
      <c r="DX735" s="76"/>
    </row>
    <row r="736" spans="1:128" ht="15.75" customHeight="1">
      <c r="A736" s="76"/>
      <c r="B736" s="79"/>
      <c r="C736" s="18"/>
      <c r="D736" s="18"/>
      <c r="E736" s="18"/>
      <c r="F736" s="18"/>
      <c r="G736" s="18"/>
      <c r="H736" s="18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/>
      <c r="DX736" s="76"/>
    </row>
    <row r="737" spans="1:128" ht="15.75" customHeight="1">
      <c r="A737" s="76"/>
      <c r="B737" s="79"/>
      <c r="C737" s="18"/>
      <c r="D737" s="18"/>
      <c r="E737" s="18"/>
      <c r="F737" s="18"/>
      <c r="G737" s="18"/>
      <c r="H737" s="18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/>
      <c r="DX737" s="76"/>
    </row>
    <row r="738" spans="1:128" ht="15.75" customHeight="1">
      <c r="A738" s="76"/>
      <c r="B738" s="79"/>
      <c r="C738" s="18"/>
      <c r="D738" s="18"/>
      <c r="E738" s="18"/>
      <c r="F738" s="18"/>
      <c r="G738" s="18"/>
      <c r="H738" s="18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/>
      <c r="DX738" s="76"/>
    </row>
    <row r="739" spans="1:128" ht="15.75" customHeight="1">
      <c r="A739" s="76"/>
      <c r="B739" s="79"/>
      <c r="C739" s="18"/>
      <c r="D739" s="18"/>
      <c r="E739" s="18"/>
      <c r="F739" s="18"/>
      <c r="G739" s="18"/>
      <c r="H739" s="18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6"/>
      <c r="DX739" s="76"/>
    </row>
    <row r="740" spans="1:128" ht="15.75" customHeight="1">
      <c r="A740" s="76"/>
      <c r="B740" s="79"/>
      <c r="C740" s="18"/>
      <c r="D740" s="18"/>
      <c r="E740" s="18"/>
      <c r="F740" s="18"/>
      <c r="G740" s="18"/>
      <c r="H740" s="18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6"/>
      <c r="DX740" s="76"/>
    </row>
    <row r="741" spans="1:128" ht="15.75" customHeight="1">
      <c r="A741" s="76"/>
      <c r="B741" s="79"/>
      <c r="C741" s="18"/>
      <c r="D741" s="18"/>
      <c r="E741" s="18"/>
      <c r="F741" s="18"/>
      <c r="G741" s="18"/>
      <c r="H741" s="18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/>
      <c r="DX741" s="76"/>
    </row>
    <row r="742" spans="1:128" ht="15.75" customHeight="1">
      <c r="A742" s="76"/>
      <c r="B742" s="79"/>
      <c r="C742" s="18"/>
      <c r="D742" s="18"/>
      <c r="E742" s="18"/>
      <c r="F742" s="18"/>
      <c r="G742" s="18"/>
      <c r="H742" s="18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/>
      <c r="DX742" s="76"/>
    </row>
    <row r="743" spans="1:128" ht="15.75" customHeight="1">
      <c r="A743" s="76"/>
      <c r="B743" s="79"/>
      <c r="C743" s="18"/>
      <c r="D743" s="18"/>
      <c r="E743" s="18"/>
      <c r="F743" s="18"/>
      <c r="G743" s="18"/>
      <c r="H743" s="18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6"/>
      <c r="DX743" s="76"/>
    </row>
    <row r="744" spans="1:128" ht="15.75" customHeight="1">
      <c r="A744" s="76"/>
      <c r="B744" s="79"/>
      <c r="C744" s="18"/>
      <c r="D744" s="18"/>
      <c r="E744" s="18"/>
      <c r="F744" s="18"/>
      <c r="G744" s="18"/>
      <c r="H744" s="18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6"/>
      <c r="DX744" s="76"/>
    </row>
    <row r="745" spans="1:128" ht="15.75" customHeight="1">
      <c r="A745" s="76"/>
      <c r="B745" s="79"/>
      <c r="C745" s="18"/>
      <c r="D745" s="18"/>
      <c r="E745" s="18"/>
      <c r="F745" s="18"/>
      <c r="G745" s="18"/>
      <c r="H745" s="18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/>
      <c r="DX745" s="76"/>
    </row>
    <row r="746" spans="1:128" ht="15.75" customHeight="1">
      <c r="A746" s="76"/>
      <c r="B746" s="79"/>
      <c r="C746" s="18"/>
      <c r="D746" s="18"/>
      <c r="E746" s="18"/>
      <c r="F746" s="18"/>
      <c r="G746" s="18"/>
      <c r="H746" s="18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6"/>
      <c r="DX746" s="76"/>
    </row>
    <row r="747" spans="1:128" ht="15.75" customHeight="1">
      <c r="A747" s="76"/>
      <c r="B747" s="79"/>
      <c r="C747" s="18"/>
      <c r="D747" s="18"/>
      <c r="E747" s="18"/>
      <c r="F747" s="18"/>
      <c r="G747" s="18"/>
      <c r="H747" s="18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6"/>
      <c r="DX747" s="76"/>
    </row>
    <row r="748" spans="1:128" ht="15.75" customHeight="1">
      <c r="A748" s="76"/>
      <c r="B748" s="79"/>
      <c r="C748" s="18"/>
      <c r="D748" s="18"/>
      <c r="E748" s="18"/>
      <c r="F748" s="18"/>
      <c r="G748" s="18"/>
      <c r="H748" s="18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6"/>
      <c r="DX748" s="76"/>
    </row>
    <row r="749" spans="1:128" ht="15.75" customHeight="1">
      <c r="A749" s="76"/>
      <c r="B749" s="79"/>
      <c r="C749" s="18"/>
      <c r="D749" s="18"/>
      <c r="E749" s="18"/>
      <c r="F749" s="18"/>
      <c r="G749" s="18"/>
      <c r="H749" s="18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6"/>
      <c r="DX749" s="76"/>
    </row>
    <row r="750" spans="1:128" ht="15.75" customHeight="1">
      <c r="A750" s="76"/>
      <c r="B750" s="79"/>
      <c r="C750" s="18"/>
      <c r="D750" s="18"/>
      <c r="E750" s="18"/>
      <c r="F750" s="18"/>
      <c r="G750" s="18"/>
      <c r="H750" s="18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76"/>
      <c r="DX750" s="76"/>
    </row>
    <row r="751" spans="1:128" ht="15.75" customHeight="1">
      <c r="A751" s="76"/>
      <c r="B751" s="79"/>
      <c r="C751" s="18"/>
      <c r="D751" s="18"/>
      <c r="E751" s="18"/>
      <c r="F751" s="18"/>
      <c r="G751" s="18"/>
      <c r="H751" s="18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76"/>
      <c r="DX751" s="76"/>
    </row>
    <row r="752" spans="1:128" ht="15.75" customHeight="1">
      <c r="A752" s="76"/>
      <c r="B752" s="79"/>
      <c r="C752" s="18"/>
      <c r="D752" s="18"/>
      <c r="E752" s="18"/>
      <c r="F752" s="18"/>
      <c r="G752" s="18"/>
      <c r="H752" s="18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76"/>
      <c r="DX752" s="76"/>
    </row>
    <row r="753" spans="1:128" ht="15.75" customHeight="1">
      <c r="A753" s="76"/>
      <c r="B753" s="79"/>
      <c r="C753" s="18"/>
      <c r="D753" s="18"/>
      <c r="E753" s="18"/>
      <c r="F753" s="18"/>
      <c r="G753" s="18"/>
      <c r="H753" s="18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76"/>
      <c r="DX753" s="76"/>
    </row>
    <row r="754" spans="1:128" ht="15.75" customHeight="1">
      <c r="A754" s="76"/>
      <c r="B754" s="79"/>
      <c r="C754" s="18"/>
      <c r="D754" s="18"/>
      <c r="E754" s="18"/>
      <c r="F754" s="18"/>
      <c r="G754" s="18"/>
      <c r="H754" s="18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76"/>
      <c r="DX754" s="76"/>
    </row>
    <row r="755" spans="1:128" ht="15.75" customHeight="1">
      <c r="A755" s="76"/>
      <c r="B755" s="79"/>
      <c r="C755" s="18"/>
      <c r="D755" s="18"/>
      <c r="E755" s="18"/>
      <c r="F755" s="18"/>
      <c r="G755" s="18"/>
      <c r="H755" s="18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76"/>
      <c r="DX755" s="76"/>
    </row>
    <row r="756" spans="1:128" ht="15.75" customHeight="1">
      <c r="A756" s="76"/>
      <c r="B756" s="79"/>
      <c r="C756" s="18"/>
      <c r="D756" s="18"/>
      <c r="E756" s="18"/>
      <c r="F756" s="18"/>
      <c r="G756" s="18"/>
      <c r="H756" s="18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76"/>
      <c r="DX756" s="76"/>
    </row>
    <row r="757" spans="1:128" ht="15.75" customHeight="1">
      <c r="A757" s="76"/>
      <c r="B757" s="79"/>
      <c r="C757" s="18"/>
      <c r="D757" s="18"/>
      <c r="E757" s="18"/>
      <c r="F757" s="18"/>
      <c r="G757" s="18"/>
      <c r="H757" s="18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76"/>
      <c r="DX757" s="76"/>
    </row>
    <row r="758" spans="1:128" ht="15.75" customHeight="1">
      <c r="A758" s="76"/>
      <c r="B758" s="79"/>
      <c r="C758" s="18"/>
      <c r="D758" s="18"/>
      <c r="E758" s="18"/>
      <c r="F758" s="18"/>
      <c r="G758" s="18"/>
      <c r="H758" s="18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76"/>
      <c r="DX758" s="76"/>
    </row>
    <row r="759" spans="1:128" ht="15.75" customHeight="1">
      <c r="A759" s="76"/>
      <c r="B759" s="79"/>
      <c r="C759" s="18"/>
      <c r="D759" s="18"/>
      <c r="E759" s="18"/>
      <c r="F759" s="18"/>
      <c r="G759" s="18"/>
      <c r="H759" s="18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76"/>
      <c r="DX759" s="76"/>
    </row>
    <row r="760" spans="1:128" ht="15.75" customHeight="1">
      <c r="A760" s="76"/>
      <c r="B760" s="79"/>
      <c r="C760" s="18"/>
      <c r="D760" s="18"/>
      <c r="E760" s="18"/>
      <c r="F760" s="18"/>
      <c r="G760" s="18"/>
      <c r="H760" s="18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76"/>
      <c r="DX760" s="76"/>
    </row>
    <row r="761" spans="1:128" ht="15.75" customHeight="1">
      <c r="A761" s="76"/>
      <c r="B761" s="79"/>
      <c r="C761" s="18"/>
      <c r="D761" s="18"/>
      <c r="E761" s="18"/>
      <c r="F761" s="18"/>
      <c r="G761" s="18"/>
      <c r="H761" s="18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76"/>
      <c r="DX761" s="76"/>
    </row>
    <row r="762" spans="1:128" ht="15.75" customHeight="1">
      <c r="A762" s="76"/>
      <c r="B762" s="79"/>
      <c r="C762" s="18"/>
      <c r="D762" s="18"/>
      <c r="E762" s="18"/>
      <c r="F762" s="18"/>
      <c r="G762" s="18"/>
      <c r="H762" s="18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76"/>
      <c r="DX762" s="76"/>
    </row>
    <row r="763" spans="1:128" ht="15.75" customHeight="1">
      <c r="A763" s="76"/>
      <c r="B763" s="79"/>
      <c r="C763" s="18"/>
      <c r="D763" s="18"/>
      <c r="E763" s="18"/>
      <c r="F763" s="18"/>
      <c r="G763" s="18"/>
      <c r="H763" s="18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76"/>
      <c r="DX763" s="76"/>
    </row>
    <row r="764" spans="1:128" ht="15.75" customHeight="1">
      <c r="A764" s="76"/>
      <c r="B764" s="79"/>
      <c r="C764" s="18"/>
      <c r="D764" s="18"/>
      <c r="E764" s="18"/>
      <c r="F764" s="18"/>
      <c r="G764" s="18"/>
      <c r="H764" s="18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76"/>
      <c r="DX764" s="76"/>
    </row>
    <row r="765" spans="1:128" ht="15.75" customHeight="1">
      <c r="A765" s="76"/>
      <c r="B765" s="79"/>
      <c r="C765" s="18"/>
      <c r="D765" s="18"/>
      <c r="E765" s="18"/>
      <c r="F765" s="18"/>
      <c r="G765" s="18"/>
      <c r="H765" s="18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76"/>
      <c r="DX765" s="76"/>
    </row>
    <row r="766" spans="1:128" ht="15.75" customHeight="1">
      <c r="A766" s="76"/>
      <c r="B766" s="79"/>
      <c r="C766" s="18"/>
      <c r="D766" s="18"/>
      <c r="E766" s="18"/>
      <c r="F766" s="18"/>
      <c r="G766" s="18"/>
      <c r="H766" s="18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76"/>
      <c r="DX766" s="76"/>
    </row>
    <row r="767" spans="1:128" ht="15.75" customHeight="1">
      <c r="A767" s="76"/>
      <c r="B767" s="79"/>
      <c r="C767" s="18"/>
      <c r="D767" s="18"/>
      <c r="E767" s="18"/>
      <c r="F767" s="18"/>
      <c r="G767" s="18"/>
      <c r="H767" s="18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76"/>
      <c r="DX767" s="76"/>
    </row>
    <row r="768" spans="1:128" ht="15.75" customHeight="1">
      <c r="A768" s="76"/>
      <c r="B768" s="79"/>
      <c r="C768" s="18"/>
      <c r="D768" s="18"/>
      <c r="E768" s="18"/>
      <c r="F768" s="18"/>
      <c r="G768" s="18"/>
      <c r="H768" s="18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76"/>
      <c r="DX768" s="76"/>
    </row>
    <row r="769" spans="1:128" ht="15.75" customHeight="1">
      <c r="A769" s="76"/>
      <c r="B769" s="79"/>
      <c r="C769" s="18"/>
      <c r="D769" s="18"/>
      <c r="E769" s="18"/>
      <c r="F769" s="18"/>
      <c r="G769" s="18"/>
      <c r="H769" s="18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76"/>
      <c r="DX769" s="76"/>
    </row>
    <row r="770" spans="1:128" ht="15.75" customHeight="1">
      <c r="A770" s="76"/>
      <c r="B770" s="79"/>
      <c r="C770" s="18"/>
      <c r="D770" s="18"/>
      <c r="E770" s="18"/>
      <c r="F770" s="18"/>
      <c r="G770" s="18"/>
      <c r="H770" s="18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76"/>
      <c r="DX770" s="76"/>
    </row>
    <row r="771" spans="1:128" ht="15.75" customHeight="1">
      <c r="A771" s="76"/>
      <c r="B771" s="79"/>
      <c r="C771" s="18"/>
      <c r="D771" s="18"/>
      <c r="E771" s="18"/>
      <c r="F771" s="18"/>
      <c r="G771" s="18"/>
      <c r="H771" s="18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76"/>
      <c r="DX771" s="76"/>
    </row>
    <row r="772" spans="1:128" ht="15.75" customHeight="1">
      <c r="A772" s="76"/>
      <c r="B772" s="79"/>
      <c r="C772" s="18"/>
      <c r="D772" s="18"/>
      <c r="E772" s="18"/>
      <c r="F772" s="18"/>
      <c r="G772" s="18"/>
      <c r="H772" s="18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76"/>
      <c r="DX772" s="76"/>
    </row>
    <row r="773" spans="1:128" ht="15.75" customHeight="1">
      <c r="A773" s="76"/>
      <c r="B773" s="79"/>
      <c r="C773" s="18"/>
      <c r="D773" s="18"/>
      <c r="E773" s="18"/>
      <c r="F773" s="18"/>
      <c r="G773" s="18"/>
      <c r="H773" s="18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76"/>
      <c r="DX773" s="76"/>
    </row>
    <row r="774" spans="1:128" ht="15.75" customHeight="1">
      <c r="A774" s="76"/>
      <c r="B774" s="79"/>
      <c r="C774" s="18"/>
      <c r="D774" s="18"/>
      <c r="E774" s="18"/>
      <c r="F774" s="18"/>
      <c r="G774" s="18"/>
      <c r="H774" s="18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6"/>
      <c r="DX774" s="76"/>
    </row>
    <row r="775" spans="1:128" ht="15.75" customHeight="1">
      <c r="A775" s="76"/>
      <c r="B775" s="79"/>
      <c r="C775" s="18"/>
      <c r="D775" s="18"/>
      <c r="E775" s="18"/>
      <c r="F775" s="18"/>
      <c r="G775" s="18"/>
      <c r="H775" s="18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6"/>
      <c r="CT775" s="76"/>
      <c r="CU775" s="76"/>
      <c r="CV775" s="76"/>
      <c r="CW775" s="76"/>
      <c r="CX775" s="76"/>
      <c r="CY775" s="76"/>
      <c r="CZ775" s="76"/>
      <c r="DA775" s="76"/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76"/>
      <c r="DX775" s="76"/>
    </row>
    <row r="776" spans="1:128" ht="15.75" customHeight="1">
      <c r="A776" s="76"/>
      <c r="B776" s="79"/>
      <c r="C776" s="18"/>
      <c r="D776" s="18"/>
      <c r="E776" s="18"/>
      <c r="F776" s="18"/>
      <c r="G776" s="18"/>
      <c r="H776" s="18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6"/>
      <c r="CT776" s="76"/>
      <c r="CU776" s="76"/>
      <c r="CV776" s="76"/>
      <c r="CW776" s="76"/>
      <c r="CX776" s="76"/>
      <c r="CY776" s="76"/>
      <c r="CZ776" s="76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76"/>
      <c r="DX776" s="76"/>
    </row>
    <row r="777" spans="1:128" ht="15.75" customHeight="1">
      <c r="A777" s="76"/>
      <c r="B777" s="79"/>
      <c r="C777" s="18"/>
      <c r="D777" s="18"/>
      <c r="E777" s="18"/>
      <c r="F777" s="18"/>
      <c r="G777" s="18"/>
      <c r="H777" s="18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76"/>
      <c r="DX777" s="76"/>
    </row>
    <row r="778" spans="1:128" ht="15.75" customHeight="1">
      <c r="A778" s="76"/>
      <c r="B778" s="79"/>
      <c r="C778" s="18"/>
      <c r="D778" s="18"/>
      <c r="E778" s="18"/>
      <c r="F778" s="18"/>
      <c r="G778" s="18"/>
      <c r="H778" s="18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6"/>
      <c r="CT778" s="76"/>
      <c r="CU778" s="76"/>
      <c r="CV778" s="76"/>
      <c r="CW778" s="76"/>
      <c r="CX778" s="76"/>
      <c r="CY778" s="76"/>
      <c r="CZ778" s="76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76"/>
      <c r="DX778" s="76"/>
    </row>
    <row r="779" spans="1:128" ht="15.75" customHeight="1">
      <c r="A779" s="76"/>
      <c r="B779" s="79"/>
      <c r="C779" s="18"/>
      <c r="D779" s="18"/>
      <c r="E779" s="18"/>
      <c r="F779" s="18"/>
      <c r="G779" s="18"/>
      <c r="H779" s="18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6"/>
      <c r="CT779" s="76"/>
      <c r="CU779" s="76"/>
      <c r="CV779" s="76"/>
      <c r="CW779" s="76"/>
      <c r="CX779" s="76"/>
      <c r="CY779" s="76"/>
      <c r="CZ779" s="76"/>
      <c r="DA779" s="76"/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76"/>
      <c r="DX779" s="76"/>
    </row>
    <row r="780" spans="1:128" ht="15.75" customHeight="1">
      <c r="A780" s="76"/>
      <c r="B780" s="79"/>
      <c r="C780" s="18"/>
      <c r="D780" s="18"/>
      <c r="E780" s="18"/>
      <c r="F780" s="18"/>
      <c r="G780" s="18"/>
      <c r="H780" s="18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/>
      <c r="DX780" s="76"/>
    </row>
    <row r="781" spans="1:128" ht="15.75" customHeight="1">
      <c r="A781" s="76"/>
      <c r="B781" s="79"/>
      <c r="C781" s="18"/>
      <c r="D781" s="18"/>
      <c r="E781" s="18"/>
      <c r="F781" s="18"/>
      <c r="G781" s="18"/>
      <c r="H781" s="18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6"/>
      <c r="CT781" s="76"/>
      <c r="CU781" s="76"/>
      <c r="CV781" s="76"/>
      <c r="CW781" s="76"/>
      <c r="CX781" s="76"/>
      <c r="CY781" s="76"/>
      <c r="CZ781" s="76"/>
      <c r="DA781" s="76"/>
      <c r="DB781" s="76"/>
      <c r="DC781" s="76"/>
      <c r="DD781" s="76"/>
      <c r="DE781" s="76"/>
      <c r="DF781" s="76"/>
      <c r="DG781" s="76"/>
      <c r="DH781" s="76"/>
      <c r="DI781" s="76"/>
      <c r="DJ781" s="76"/>
      <c r="DK781" s="76"/>
      <c r="DL781" s="76"/>
      <c r="DM781" s="76"/>
      <c r="DN781" s="76"/>
      <c r="DO781" s="76"/>
      <c r="DP781" s="76"/>
      <c r="DQ781" s="76"/>
      <c r="DR781" s="76"/>
      <c r="DS781" s="76"/>
      <c r="DT781" s="76"/>
      <c r="DU781" s="76"/>
      <c r="DV781" s="76"/>
      <c r="DW781" s="76"/>
      <c r="DX781" s="76"/>
    </row>
    <row r="782" spans="1:128" ht="15.75" customHeight="1">
      <c r="A782" s="76"/>
      <c r="B782" s="79"/>
      <c r="C782" s="18"/>
      <c r="D782" s="18"/>
      <c r="E782" s="18"/>
      <c r="F782" s="18"/>
      <c r="G782" s="18"/>
      <c r="H782" s="18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6"/>
      <c r="CT782" s="76"/>
      <c r="CU782" s="76"/>
      <c r="CV782" s="76"/>
      <c r="CW782" s="76"/>
      <c r="CX782" s="76"/>
      <c r="CY782" s="76"/>
      <c r="CZ782" s="76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76"/>
      <c r="DX782" s="76"/>
    </row>
    <row r="783" spans="1:128" ht="15.75" customHeight="1">
      <c r="A783" s="76"/>
      <c r="B783" s="79"/>
      <c r="C783" s="18"/>
      <c r="D783" s="18"/>
      <c r="E783" s="18"/>
      <c r="F783" s="18"/>
      <c r="G783" s="18"/>
      <c r="H783" s="18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6"/>
      <c r="CT783" s="76"/>
      <c r="CU783" s="76"/>
      <c r="CV783" s="76"/>
      <c r="CW783" s="76"/>
      <c r="CX783" s="76"/>
      <c r="CY783" s="76"/>
      <c r="CZ783" s="76"/>
      <c r="DA783" s="76"/>
      <c r="DB783" s="76"/>
      <c r="DC783" s="76"/>
      <c r="DD783" s="76"/>
      <c r="DE783" s="76"/>
      <c r="DF783" s="76"/>
      <c r="DG783" s="76"/>
      <c r="DH783" s="76"/>
      <c r="DI783" s="76"/>
      <c r="DJ783" s="76"/>
      <c r="DK783" s="76"/>
      <c r="DL783" s="76"/>
      <c r="DM783" s="76"/>
      <c r="DN783" s="76"/>
      <c r="DO783" s="76"/>
      <c r="DP783" s="76"/>
      <c r="DQ783" s="76"/>
      <c r="DR783" s="76"/>
      <c r="DS783" s="76"/>
      <c r="DT783" s="76"/>
      <c r="DU783" s="76"/>
      <c r="DV783" s="76"/>
      <c r="DW783" s="76"/>
      <c r="DX783" s="76"/>
    </row>
    <row r="784" spans="1:128" ht="15.75" customHeight="1">
      <c r="A784" s="76"/>
      <c r="B784" s="79"/>
      <c r="C784" s="18"/>
      <c r="D784" s="18"/>
      <c r="E784" s="18"/>
      <c r="F784" s="18"/>
      <c r="G784" s="18"/>
      <c r="H784" s="18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6"/>
      <c r="CT784" s="76"/>
      <c r="CU784" s="76"/>
      <c r="CV784" s="76"/>
      <c r="CW784" s="76"/>
      <c r="CX784" s="76"/>
      <c r="CY784" s="76"/>
      <c r="CZ784" s="76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76"/>
      <c r="DX784" s="76"/>
    </row>
    <row r="785" spans="1:128" ht="15.75" customHeight="1">
      <c r="A785" s="76"/>
      <c r="B785" s="79"/>
      <c r="C785" s="18"/>
      <c r="D785" s="18"/>
      <c r="E785" s="18"/>
      <c r="F785" s="18"/>
      <c r="G785" s="18"/>
      <c r="H785" s="18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6"/>
      <c r="CT785" s="76"/>
      <c r="CU785" s="76"/>
      <c r="CV785" s="76"/>
      <c r="CW785" s="76"/>
      <c r="CX785" s="76"/>
      <c r="CY785" s="76"/>
      <c r="CZ785" s="76"/>
      <c r="DA785" s="76"/>
      <c r="DB785" s="76"/>
      <c r="DC785" s="76"/>
      <c r="DD785" s="76"/>
      <c r="DE785" s="76"/>
      <c r="DF785" s="76"/>
      <c r="DG785" s="76"/>
      <c r="DH785" s="76"/>
      <c r="DI785" s="76"/>
      <c r="DJ785" s="76"/>
      <c r="DK785" s="76"/>
      <c r="DL785" s="76"/>
      <c r="DM785" s="76"/>
      <c r="DN785" s="76"/>
      <c r="DO785" s="76"/>
      <c r="DP785" s="76"/>
      <c r="DQ785" s="76"/>
      <c r="DR785" s="76"/>
      <c r="DS785" s="76"/>
      <c r="DT785" s="76"/>
      <c r="DU785" s="76"/>
      <c r="DV785" s="76"/>
      <c r="DW785" s="76"/>
      <c r="DX785" s="76"/>
    </row>
    <row r="786" spans="1:128" ht="15.75" customHeight="1">
      <c r="A786" s="76"/>
      <c r="B786" s="79"/>
      <c r="C786" s="18"/>
      <c r="D786" s="18"/>
      <c r="E786" s="18"/>
      <c r="F786" s="18"/>
      <c r="G786" s="18"/>
      <c r="H786" s="18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6"/>
      <c r="CT786" s="76"/>
      <c r="CU786" s="76"/>
      <c r="CV786" s="76"/>
      <c r="CW786" s="76"/>
      <c r="CX786" s="76"/>
      <c r="CY786" s="76"/>
      <c r="CZ786" s="76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76"/>
      <c r="DN786" s="76"/>
      <c r="DO786" s="76"/>
      <c r="DP786" s="76"/>
      <c r="DQ786" s="76"/>
      <c r="DR786" s="76"/>
      <c r="DS786" s="76"/>
      <c r="DT786" s="76"/>
      <c r="DU786" s="76"/>
      <c r="DV786" s="76"/>
      <c r="DW786" s="76"/>
      <c r="DX786" s="76"/>
    </row>
    <row r="787" spans="1:128" ht="15.75" customHeight="1">
      <c r="A787" s="76"/>
      <c r="B787" s="79"/>
      <c r="C787" s="18"/>
      <c r="D787" s="18"/>
      <c r="E787" s="18"/>
      <c r="F787" s="18"/>
      <c r="G787" s="18"/>
      <c r="H787" s="18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6"/>
      <c r="CT787" s="76"/>
      <c r="CU787" s="76"/>
      <c r="CV787" s="76"/>
      <c r="CW787" s="76"/>
      <c r="CX787" s="76"/>
      <c r="CY787" s="76"/>
      <c r="CZ787" s="76"/>
      <c r="DA787" s="76"/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76"/>
      <c r="DX787" s="76"/>
    </row>
    <row r="788" spans="1:128" ht="15.75" customHeight="1">
      <c r="A788" s="76"/>
      <c r="B788" s="79"/>
      <c r="C788" s="18"/>
      <c r="D788" s="18"/>
      <c r="E788" s="18"/>
      <c r="F788" s="18"/>
      <c r="G788" s="18"/>
      <c r="H788" s="18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6"/>
      <c r="CT788" s="76"/>
      <c r="CU788" s="76"/>
      <c r="CV788" s="76"/>
      <c r="CW788" s="76"/>
      <c r="CX788" s="76"/>
      <c r="CY788" s="76"/>
      <c r="CZ788" s="76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76"/>
      <c r="DX788" s="76"/>
    </row>
    <row r="789" spans="1:128" ht="15.75" customHeight="1">
      <c r="A789" s="76"/>
      <c r="B789" s="79"/>
      <c r="C789" s="18"/>
      <c r="D789" s="18"/>
      <c r="E789" s="18"/>
      <c r="F789" s="18"/>
      <c r="G789" s="18"/>
      <c r="H789" s="18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76"/>
      <c r="DX789" s="76"/>
    </row>
    <row r="790" spans="1:128" ht="15.75" customHeight="1">
      <c r="A790" s="76"/>
      <c r="B790" s="79"/>
      <c r="C790" s="18"/>
      <c r="D790" s="18"/>
      <c r="E790" s="18"/>
      <c r="F790" s="18"/>
      <c r="G790" s="18"/>
      <c r="H790" s="18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6"/>
      <c r="CT790" s="76"/>
      <c r="CU790" s="76"/>
      <c r="CV790" s="76"/>
      <c r="CW790" s="76"/>
      <c r="CX790" s="76"/>
      <c r="CY790" s="76"/>
      <c r="CZ790" s="76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76"/>
      <c r="DN790" s="76"/>
      <c r="DO790" s="76"/>
      <c r="DP790" s="76"/>
      <c r="DQ790" s="76"/>
      <c r="DR790" s="76"/>
      <c r="DS790" s="76"/>
      <c r="DT790" s="76"/>
      <c r="DU790" s="76"/>
      <c r="DV790" s="76"/>
      <c r="DW790" s="76"/>
      <c r="DX790" s="76"/>
    </row>
    <row r="791" spans="1:128" ht="15.75" customHeight="1">
      <c r="A791" s="76"/>
      <c r="B791" s="79"/>
      <c r="C791" s="18"/>
      <c r="D791" s="18"/>
      <c r="E791" s="18"/>
      <c r="F791" s="18"/>
      <c r="G791" s="18"/>
      <c r="H791" s="18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6"/>
      <c r="CT791" s="76"/>
      <c r="CU791" s="76"/>
      <c r="CV791" s="76"/>
      <c r="CW791" s="76"/>
      <c r="CX791" s="76"/>
      <c r="CY791" s="76"/>
      <c r="CZ791" s="76"/>
      <c r="DA791" s="76"/>
      <c r="DB791" s="76"/>
      <c r="DC791" s="76"/>
      <c r="DD791" s="76"/>
      <c r="DE791" s="76"/>
      <c r="DF791" s="76"/>
      <c r="DG791" s="76"/>
      <c r="DH791" s="76"/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76"/>
      <c r="DX791" s="76"/>
    </row>
    <row r="792" spans="1:128" ht="15.75" customHeight="1">
      <c r="A792" s="76"/>
      <c r="B792" s="79"/>
      <c r="C792" s="18"/>
      <c r="D792" s="18"/>
      <c r="E792" s="18"/>
      <c r="F792" s="18"/>
      <c r="G792" s="18"/>
      <c r="H792" s="18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6"/>
      <c r="CT792" s="76"/>
      <c r="CU792" s="76"/>
      <c r="CV792" s="76"/>
      <c r="CW792" s="76"/>
      <c r="CX792" s="76"/>
      <c r="CY792" s="76"/>
      <c r="CZ792" s="76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76"/>
      <c r="DX792" s="76"/>
    </row>
    <row r="793" spans="1:128" ht="15.75" customHeight="1">
      <c r="A793" s="76"/>
      <c r="B793" s="79"/>
      <c r="C793" s="18"/>
      <c r="D793" s="18"/>
      <c r="E793" s="18"/>
      <c r="F793" s="18"/>
      <c r="G793" s="18"/>
      <c r="H793" s="18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6"/>
      <c r="CT793" s="76"/>
      <c r="CU793" s="76"/>
      <c r="CV793" s="76"/>
      <c r="CW793" s="76"/>
      <c r="CX793" s="76"/>
      <c r="CY793" s="76"/>
      <c r="CZ793" s="76"/>
      <c r="DA793" s="76"/>
      <c r="DB793" s="76"/>
      <c r="DC793" s="76"/>
      <c r="DD793" s="76"/>
      <c r="DE793" s="76"/>
      <c r="DF793" s="76"/>
      <c r="DG793" s="76"/>
      <c r="DH793" s="76"/>
      <c r="DI793" s="76"/>
      <c r="DJ793" s="76"/>
      <c r="DK793" s="76"/>
      <c r="DL793" s="76"/>
      <c r="DM793" s="76"/>
      <c r="DN793" s="76"/>
      <c r="DO793" s="76"/>
      <c r="DP793" s="76"/>
      <c r="DQ793" s="76"/>
      <c r="DR793" s="76"/>
      <c r="DS793" s="76"/>
      <c r="DT793" s="76"/>
      <c r="DU793" s="76"/>
      <c r="DV793" s="76"/>
      <c r="DW793" s="76"/>
      <c r="DX793" s="76"/>
    </row>
    <row r="794" spans="1:128" ht="15.75" customHeight="1">
      <c r="A794" s="76"/>
      <c r="B794" s="79"/>
      <c r="C794" s="18"/>
      <c r="D794" s="18"/>
      <c r="E794" s="18"/>
      <c r="F794" s="18"/>
      <c r="G794" s="18"/>
      <c r="H794" s="18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76"/>
      <c r="DX794" s="76"/>
    </row>
    <row r="795" spans="1:128" ht="15.75" customHeight="1">
      <c r="A795" s="76"/>
      <c r="B795" s="79"/>
      <c r="C795" s="18"/>
      <c r="D795" s="18"/>
      <c r="E795" s="18"/>
      <c r="F795" s="18"/>
      <c r="G795" s="18"/>
      <c r="H795" s="18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6"/>
      <c r="CT795" s="76"/>
      <c r="CU795" s="76"/>
      <c r="CV795" s="76"/>
      <c r="CW795" s="76"/>
      <c r="CX795" s="76"/>
      <c r="CY795" s="76"/>
      <c r="CZ795" s="76"/>
      <c r="DA795" s="76"/>
      <c r="DB795" s="76"/>
      <c r="DC795" s="76"/>
      <c r="DD795" s="76"/>
      <c r="DE795" s="76"/>
      <c r="DF795" s="76"/>
      <c r="DG795" s="76"/>
      <c r="DH795" s="76"/>
      <c r="DI795" s="76"/>
      <c r="DJ795" s="76"/>
      <c r="DK795" s="76"/>
      <c r="DL795" s="76"/>
      <c r="DM795" s="76"/>
      <c r="DN795" s="76"/>
      <c r="DO795" s="76"/>
      <c r="DP795" s="76"/>
      <c r="DQ795" s="76"/>
      <c r="DR795" s="76"/>
      <c r="DS795" s="76"/>
      <c r="DT795" s="76"/>
      <c r="DU795" s="76"/>
      <c r="DV795" s="76"/>
      <c r="DW795" s="76"/>
      <c r="DX795" s="76"/>
    </row>
    <row r="796" spans="1:128" ht="15.75" customHeight="1">
      <c r="A796" s="76"/>
      <c r="B796" s="79"/>
      <c r="C796" s="18"/>
      <c r="D796" s="18"/>
      <c r="E796" s="18"/>
      <c r="F796" s="18"/>
      <c r="G796" s="18"/>
      <c r="H796" s="18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6"/>
      <c r="CK796" s="76"/>
      <c r="CL796" s="76"/>
      <c r="CM796" s="76"/>
      <c r="CN796" s="76"/>
      <c r="CO796" s="76"/>
      <c r="CP796" s="76"/>
      <c r="CQ796" s="76"/>
      <c r="CR796" s="76"/>
      <c r="CS796" s="76"/>
      <c r="CT796" s="76"/>
      <c r="CU796" s="76"/>
      <c r="CV796" s="76"/>
      <c r="CW796" s="76"/>
      <c r="CX796" s="76"/>
      <c r="CY796" s="76"/>
      <c r="CZ796" s="76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76"/>
      <c r="DN796" s="76"/>
      <c r="DO796" s="76"/>
      <c r="DP796" s="76"/>
      <c r="DQ796" s="76"/>
      <c r="DR796" s="76"/>
      <c r="DS796" s="76"/>
      <c r="DT796" s="76"/>
      <c r="DU796" s="76"/>
      <c r="DV796" s="76"/>
      <c r="DW796" s="76"/>
      <c r="DX796" s="76"/>
    </row>
    <row r="797" spans="1:128" ht="15.75" customHeight="1">
      <c r="A797" s="76"/>
      <c r="B797" s="79"/>
      <c r="C797" s="18"/>
      <c r="D797" s="18"/>
      <c r="E797" s="18"/>
      <c r="F797" s="18"/>
      <c r="G797" s="18"/>
      <c r="H797" s="18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6"/>
      <c r="CT797" s="76"/>
      <c r="CU797" s="76"/>
      <c r="CV797" s="76"/>
      <c r="CW797" s="76"/>
      <c r="CX797" s="76"/>
      <c r="CY797" s="76"/>
      <c r="CZ797" s="76"/>
      <c r="DA797" s="76"/>
      <c r="DB797" s="76"/>
      <c r="DC797" s="76"/>
      <c r="DD797" s="76"/>
      <c r="DE797" s="76"/>
      <c r="DF797" s="76"/>
      <c r="DG797" s="76"/>
      <c r="DH797" s="76"/>
      <c r="DI797" s="76"/>
      <c r="DJ797" s="76"/>
      <c r="DK797" s="76"/>
      <c r="DL797" s="76"/>
      <c r="DM797" s="76"/>
      <c r="DN797" s="76"/>
      <c r="DO797" s="76"/>
      <c r="DP797" s="76"/>
      <c r="DQ797" s="76"/>
      <c r="DR797" s="76"/>
      <c r="DS797" s="76"/>
      <c r="DT797" s="76"/>
      <c r="DU797" s="76"/>
      <c r="DV797" s="76"/>
      <c r="DW797" s="76"/>
      <c r="DX797" s="76"/>
    </row>
    <row r="798" spans="1:128" ht="15.75" customHeight="1">
      <c r="A798" s="76"/>
      <c r="B798" s="79"/>
      <c r="C798" s="18"/>
      <c r="D798" s="18"/>
      <c r="E798" s="18"/>
      <c r="F798" s="18"/>
      <c r="G798" s="18"/>
      <c r="H798" s="18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/>
      <c r="DX798" s="76"/>
    </row>
    <row r="799" spans="1:128" ht="15.75" customHeight="1">
      <c r="A799" s="76"/>
      <c r="B799" s="79"/>
      <c r="C799" s="18"/>
      <c r="D799" s="18"/>
      <c r="E799" s="18"/>
      <c r="F799" s="18"/>
      <c r="G799" s="18"/>
      <c r="H799" s="18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6"/>
      <c r="CT799" s="76"/>
      <c r="CU799" s="76"/>
      <c r="CV799" s="76"/>
      <c r="CW799" s="76"/>
      <c r="CX799" s="76"/>
      <c r="CY799" s="76"/>
      <c r="CZ799" s="76"/>
      <c r="DA799" s="76"/>
      <c r="DB799" s="76"/>
      <c r="DC799" s="76"/>
      <c r="DD799" s="76"/>
      <c r="DE799" s="76"/>
      <c r="DF799" s="76"/>
      <c r="DG799" s="76"/>
      <c r="DH799" s="7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76"/>
      <c r="DX799" s="76"/>
    </row>
    <row r="800" spans="1:128" ht="15.75" customHeight="1">
      <c r="A800" s="76"/>
      <c r="B800" s="79"/>
      <c r="C800" s="18"/>
      <c r="D800" s="18"/>
      <c r="E800" s="18"/>
      <c r="F800" s="18"/>
      <c r="G800" s="18"/>
      <c r="H800" s="18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6"/>
      <c r="CT800" s="76"/>
      <c r="CU800" s="76"/>
      <c r="CV800" s="76"/>
      <c r="CW800" s="76"/>
      <c r="CX800" s="76"/>
      <c r="CY800" s="76"/>
      <c r="CZ800" s="76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76"/>
      <c r="DX800" s="76"/>
    </row>
    <row r="801" spans="1:128" ht="15.75" customHeight="1">
      <c r="A801" s="76"/>
      <c r="B801" s="79"/>
      <c r="C801" s="18"/>
      <c r="D801" s="18"/>
      <c r="E801" s="18"/>
      <c r="F801" s="18"/>
      <c r="G801" s="18"/>
      <c r="H801" s="18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6"/>
      <c r="CT801" s="76"/>
      <c r="CU801" s="76"/>
      <c r="CV801" s="76"/>
      <c r="CW801" s="76"/>
      <c r="CX801" s="76"/>
      <c r="CY801" s="76"/>
      <c r="CZ801" s="76"/>
      <c r="DA801" s="76"/>
      <c r="DB801" s="76"/>
      <c r="DC801" s="76"/>
      <c r="DD801" s="76"/>
      <c r="DE801" s="76"/>
      <c r="DF801" s="76"/>
      <c r="DG801" s="76"/>
      <c r="DH801" s="7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76"/>
      <c r="DX801" s="76"/>
    </row>
    <row r="802" spans="1:128" ht="15.75" customHeight="1">
      <c r="A802" s="76"/>
      <c r="B802" s="79"/>
      <c r="C802" s="18"/>
      <c r="D802" s="18"/>
      <c r="E802" s="18"/>
      <c r="F802" s="18"/>
      <c r="G802" s="18"/>
      <c r="H802" s="18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6"/>
      <c r="CT802" s="76"/>
      <c r="CU802" s="76"/>
      <c r="CV802" s="76"/>
      <c r="CW802" s="76"/>
      <c r="CX802" s="76"/>
      <c r="CY802" s="76"/>
      <c r="CZ802" s="76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76"/>
      <c r="DX802" s="76"/>
    </row>
    <row r="803" spans="1:128" ht="15.75" customHeight="1">
      <c r="A803" s="76"/>
      <c r="B803" s="79"/>
      <c r="C803" s="18"/>
      <c r="D803" s="18"/>
      <c r="E803" s="18"/>
      <c r="F803" s="18"/>
      <c r="G803" s="18"/>
      <c r="H803" s="18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6"/>
      <c r="CT803" s="76"/>
      <c r="CU803" s="76"/>
      <c r="CV803" s="76"/>
      <c r="CW803" s="76"/>
      <c r="CX803" s="76"/>
      <c r="CY803" s="76"/>
      <c r="CZ803" s="76"/>
      <c r="DA803" s="76"/>
      <c r="DB803" s="76"/>
      <c r="DC803" s="76"/>
      <c r="DD803" s="76"/>
      <c r="DE803" s="76"/>
      <c r="DF803" s="76"/>
      <c r="DG803" s="76"/>
      <c r="DH803" s="7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76"/>
      <c r="DX803" s="76"/>
    </row>
    <row r="804" spans="1:128" ht="15.75" customHeight="1">
      <c r="A804" s="76"/>
      <c r="B804" s="79"/>
      <c r="C804" s="18"/>
      <c r="D804" s="18"/>
      <c r="E804" s="18"/>
      <c r="F804" s="18"/>
      <c r="G804" s="18"/>
      <c r="H804" s="18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6"/>
      <c r="CT804" s="76"/>
      <c r="CU804" s="76"/>
      <c r="CV804" s="76"/>
      <c r="CW804" s="76"/>
      <c r="CX804" s="76"/>
      <c r="CY804" s="76"/>
      <c r="CZ804" s="76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76"/>
      <c r="DX804" s="76"/>
    </row>
    <row r="805" spans="1:128" ht="15.75" customHeight="1">
      <c r="A805" s="76"/>
      <c r="B805" s="79"/>
      <c r="C805" s="18"/>
      <c r="D805" s="18"/>
      <c r="E805" s="18"/>
      <c r="F805" s="18"/>
      <c r="G805" s="18"/>
      <c r="H805" s="18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6"/>
      <c r="CT805" s="76"/>
      <c r="CU805" s="76"/>
      <c r="CV805" s="76"/>
      <c r="CW805" s="76"/>
      <c r="CX805" s="76"/>
      <c r="CY805" s="76"/>
      <c r="CZ805" s="76"/>
      <c r="DA805" s="76"/>
      <c r="DB805" s="76"/>
      <c r="DC805" s="76"/>
      <c r="DD805" s="76"/>
      <c r="DE805" s="76"/>
      <c r="DF805" s="76"/>
      <c r="DG805" s="76"/>
      <c r="DH805" s="7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76"/>
      <c r="DX805" s="76"/>
    </row>
    <row r="806" spans="1:128" ht="15.75" customHeight="1">
      <c r="A806" s="76"/>
      <c r="B806" s="79"/>
      <c r="C806" s="18"/>
      <c r="D806" s="18"/>
      <c r="E806" s="18"/>
      <c r="F806" s="18"/>
      <c r="G806" s="18"/>
      <c r="H806" s="18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6"/>
      <c r="CT806" s="76"/>
      <c r="CU806" s="76"/>
      <c r="CV806" s="76"/>
      <c r="CW806" s="76"/>
      <c r="CX806" s="76"/>
      <c r="CY806" s="76"/>
      <c r="CZ806" s="76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76"/>
      <c r="DN806" s="76"/>
      <c r="DO806" s="76"/>
      <c r="DP806" s="76"/>
      <c r="DQ806" s="76"/>
      <c r="DR806" s="76"/>
      <c r="DS806" s="76"/>
      <c r="DT806" s="76"/>
      <c r="DU806" s="76"/>
      <c r="DV806" s="76"/>
      <c r="DW806" s="76"/>
      <c r="DX806" s="76"/>
    </row>
    <row r="807" spans="1:128" ht="15.75" customHeight="1">
      <c r="A807" s="76"/>
      <c r="B807" s="79"/>
      <c r="C807" s="18"/>
      <c r="D807" s="18"/>
      <c r="E807" s="18"/>
      <c r="F807" s="18"/>
      <c r="G807" s="18"/>
      <c r="H807" s="18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6"/>
      <c r="CT807" s="76"/>
      <c r="CU807" s="76"/>
      <c r="CV807" s="76"/>
      <c r="CW807" s="76"/>
      <c r="CX807" s="76"/>
      <c r="CY807" s="76"/>
      <c r="CZ807" s="76"/>
      <c r="DA807" s="76"/>
      <c r="DB807" s="76"/>
      <c r="DC807" s="76"/>
      <c r="DD807" s="76"/>
      <c r="DE807" s="76"/>
      <c r="DF807" s="76"/>
      <c r="DG807" s="76"/>
      <c r="DH807" s="7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76"/>
      <c r="DX807" s="76"/>
    </row>
    <row r="808" spans="1:128" ht="15.75" customHeight="1">
      <c r="A808" s="76"/>
      <c r="B808" s="79"/>
      <c r="C808" s="18"/>
      <c r="D808" s="18"/>
      <c r="E808" s="18"/>
      <c r="F808" s="18"/>
      <c r="G808" s="18"/>
      <c r="H808" s="18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6"/>
      <c r="CT808" s="76"/>
      <c r="CU808" s="76"/>
      <c r="CV808" s="76"/>
      <c r="CW808" s="76"/>
      <c r="CX808" s="76"/>
      <c r="CY808" s="76"/>
      <c r="CZ808" s="76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76"/>
      <c r="DX808" s="76"/>
    </row>
    <row r="809" spans="1:128" ht="15.75" customHeight="1">
      <c r="A809" s="76"/>
      <c r="B809" s="79"/>
      <c r="C809" s="18"/>
      <c r="D809" s="18"/>
      <c r="E809" s="18"/>
      <c r="F809" s="18"/>
      <c r="G809" s="18"/>
      <c r="H809" s="18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6"/>
      <c r="CT809" s="76"/>
      <c r="CU809" s="76"/>
      <c r="CV809" s="76"/>
      <c r="CW809" s="76"/>
      <c r="CX809" s="76"/>
      <c r="CY809" s="76"/>
      <c r="CZ809" s="76"/>
      <c r="DA809" s="76"/>
      <c r="DB809" s="76"/>
      <c r="DC809" s="76"/>
      <c r="DD809" s="76"/>
      <c r="DE809" s="76"/>
      <c r="DF809" s="76"/>
      <c r="DG809" s="76"/>
      <c r="DH809" s="7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76"/>
      <c r="DX809" s="76"/>
    </row>
    <row r="810" spans="1:128" ht="15.75" customHeight="1">
      <c r="A810" s="76"/>
      <c r="B810" s="79"/>
      <c r="C810" s="18"/>
      <c r="D810" s="18"/>
      <c r="E810" s="18"/>
      <c r="F810" s="18"/>
      <c r="G810" s="18"/>
      <c r="H810" s="18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6"/>
      <c r="CT810" s="76"/>
      <c r="CU810" s="76"/>
      <c r="CV810" s="76"/>
      <c r="CW810" s="76"/>
      <c r="CX810" s="76"/>
      <c r="CY810" s="76"/>
      <c r="CZ810" s="76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76"/>
      <c r="DX810" s="76"/>
    </row>
    <row r="811" spans="1:128" ht="15.75" customHeight="1">
      <c r="A811" s="76"/>
      <c r="B811" s="79"/>
      <c r="C811" s="18"/>
      <c r="D811" s="18"/>
      <c r="E811" s="18"/>
      <c r="F811" s="18"/>
      <c r="G811" s="18"/>
      <c r="H811" s="18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6"/>
      <c r="CT811" s="76"/>
      <c r="CU811" s="76"/>
      <c r="CV811" s="76"/>
      <c r="CW811" s="76"/>
      <c r="CX811" s="76"/>
      <c r="CY811" s="76"/>
      <c r="CZ811" s="76"/>
      <c r="DA811" s="76"/>
      <c r="DB811" s="76"/>
      <c r="DC811" s="76"/>
      <c r="DD811" s="76"/>
      <c r="DE811" s="76"/>
      <c r="DF811" s="76"/>
      <c r="DG811" s="76"/>
      <c r="DH811" s="7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76"/>
      <c r="DX811" s="76"/>
    </row>
    <row r="812" spans="1:128" ht="15.75" customHeight="1">
      <c r="A812" s="76"/>
      <c r="B812" s="79"/>
      <c r="C812" s="18"/>
      <c r="D812" s="18"/>
      <c r="E812" s="18"/>
      <c r="F812" s="18"/>
      <c r="G812" s="18"/>
      <c r="H812" s="18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6"/>
      <c r="CT812" s="76"/>
      <c r="CU812" s="76"/>
      <c r="CV812" s="76"/>
      <c r="CW812" s="76"/>
      <c r="CX812" s="76"/>
      <c r="CY812" s="76"/>
      <c r="CZ812" s="76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76"/>
      <c r="DX812" s="76"/>
    </row>
    <row r="813" spans="1:128" ht="15.75" customHeight="1">
      <c r="A813" s="76"/>
      <c r="B813" s="79"/>
      <c r="C813" s="18"/>
      <c r="D813" s="18"/>
      <c r="E813" s="18"/>
      <c r="F813" s="18"/>
      <c r="G813" s="18"/>
      <c r="H813" s="18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6"/>
      <c r="CT813" s="76"/>
      <c r="CU813" s="76"/>
      <c r="CV813" s="76"/>
      <c r="CW813" s="76"/>
      <c r="CX813" s="76"/>
      <c r="CY813" s="76"/>
      <c r="CZ813" s="76"/>
      <c r="DA813" s="76"/>
      <c r="DB813" s="76"/>
      <c r="DC813" s="76"/>
      <c r="DD813" s="76"/>
      <c r="DE813" s="76"/>
      <c r="DF813" s="76"/>
      <c r="DG813" s="76"/>
      <c r="DH813" s="7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76"/>
      <c r="DX813" s="76"/>
    </row>
    <row r="814" spans="1:128" ht="15.75" customHeight="1">
      <c r="A814" s="76"/>
      <c r="B814" s="79"/>
      <c r="C814" s="18"/>
      <c r="D814" s="18"/>
      <c r="E814" s="18"/>
      <c r="F814" s="18"/>
      <c r="G814" s="18"/>
      <c r="H814" s="18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6"/>
      <c r="CT814" s="76"/>
      <c r="CU814" s="76"/>
      <c r="CV814" s="76"/>
      <c r="CW814" s="76"/>
      <c r="CX814" s="76"/>
      <c r="CY814" s="76"/>
      <c r="CZ814" s="76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76"/>
      <c r="DX814" s="76"/>
    </row>
    <row r="815" spans="1:128" ht="15.75" customHeight="1">
      <c r="A815" s="76"/>
      <c r="B815" s="79"/>
      <c r="C815" s="18"/>
      <c r="D815" s="18"/>
      <c r="E815" s="18"/>
      <c r="F815" s="18"/>
      <c r="G815" s="18"/>
      <c r="H815" s="18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6"/>
      <c r="CT815" s="76"/>
      <c r="CU815" s="76"/>
      <c r="CV815" s="76"/>
      <c r="CW815" s="76"/>
      <c r="CX815" s="76"/>
      <c r="CY815" s="76"/>
      <c r="CZ815" s="76"/>
      <c r="DA815" s="76"/>
      <c r="DB815" s="76"/>
      <c r="DC815" s="76"/>
      <c r="DD815" s="76"/>
      <c r="DE815" s="76"/>
      <c r="DF815" s="76"/>
      <c r="DG815" s="76"/>
      <c r="DH815" s="7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76"/>
      <c r="DX815" s="76"/>
    </row>
    <row r="816" spans="1:128" ht="15.75" customHeight="1">
      <c r="A816" s="76"/>
      <c r="B816" s="79"/>
      <c r="C816" s="18"/>
      <c r="D816" s="18"/>
      <c r="E816" s="18"/>
      <c r="F816" s="18"/>
      <c r="G816" s="18"/>
      <c r="H816" s="18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6"/>
      <c r="CT816" s="76"/>
      <c r="CU816" s="76"/>
      <c r="CV816" s="76"/>
      <c r="CW816" s="76"/>
      <c r="CX816" s="76"/>
      <c r="CY816" s="76"/>
      <c r="CZ816" s="76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76"/>
      <c r="DX816" s="76"/>
    </row>
    <row r="817" spans="1:128" ht="15.75" customHeight="1">
      <c r="A817" s="76"/>
      <c r="B817" s="79"/>
      <c r="C817" s="18"/>
      <c r="D817" s="18"/>
      <c r="E817" s="18"/>
      <c r="F817" s="18"/>
      <c r="G817" s="18"/>
      <c r="H817" s="18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6"/>
      <c r="CT817" s="76"/>
      <c r="CU817" s="76"/>
      <c r="CV817" s="76"/>
      <c r="CW817" s="76"/>
      <c r="CX817" s="76"/>
      <c r="CY817" s="76"/>
      <c r="CZ817" s="76"/>
      <c r="DA817" s="76"/>
      <c r="DB817" s="76"/>
      <c r="DC817" s="76"/>
      <c r="DD817" s="76"/>
      <c r="DE817" s="76"/>
      <c r="DF817" s="76"/>
      <c r="DG817" s="76"/>
      <c r="DH817" s="7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76"/>
      <c r="DX817" s="76"/>
    </row>
    <row r="818" spans="1:128" ht="15.75" customHeight="1">
      <c r="A818" s="76"/>
      <c r="B818" s="79"/>
      <c r="C818" s="18"/>
      <c r="D818" s="18"/>
      <c r="E818" s="18"/>
      <c r="F818" s="18"/>
      <c r="G818" s="18"/>
      <c r="H818" s="18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6"/>
      <c r="CT818" s="76"/>
      <c r="CU818" s="76"/>
      <c r="CV818" s="76"/>
      <c r="CW818" s="76"/>
      <c r="CX818" s="76"/>
      <c r="CY818" s="76"/>
      <c r="CZ818" s="76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76"/>
      <c r="DX818" s="76"/>
    </row>
    <row r="819" spans="1:128" ht="15.75" customHeight="1">
      <c r="A819" s="76"/>
      <c r="B819" s="79"/>
      <c r="C819" s="18"/>
      <c r="D819" s="18"/>
      <c r="E819" s="18"/>
      <c r="F819" s="18"/>
      <c r="G819" s="18"/>
      <c r="H819" s="18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6"/>
      <c r="CK819" s="76"/>
      <c r="CL819" s="76"/>
      <c r="CM819" s="76"/>
      <c r="CN819" s="76"/>
      <c r="CO819" s="76"/>
      <c r="CP819" s="76"/>
      <c r="CQ819" s="76"/>
      <c r="CR819" s="76"/>
      <c r="CS819" s="76"/>
      <c r="CT819" s="76"/>
      <c r="CU819" s="76"/>
      <c r="CV819" s="76"/>
      <c r="CW819" s="76"/>
      <c r="CX819" s="76"/>
      <c r="CY819" s="76"/>
      <c r="CZ819" s="76"/>
      <c r="DA819" s="76"/>
      <c r="DB819" s="76"/>
      <c r="DC819" s="76"/>
      <c r="DD819" s="76"/>
      <c r="DE819" s="76"/>
      <c r="DF819" s="76"/>
      <c r="DG819" s="76"/>
      <c r="DH819" s="7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76"/>
      <c r="DX819" s="76"/>
    </row>
    <row r="820" spans="1:128" ht="15.75" customHeight="1">
      <c r="A820" s="76"/>
      <c r="B820" s="79"/>
      <c r="C820" s="18"/>
      <c r="D820" s="18"/>
      <c r="E820" s="18"/>
      <c r="F820" s="18"/>
      <c r="G820" s="18"/>
      <c r="H820" s="18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6"/>
      <c r="CT820" s="76"/>
      <c r="CU820" s="76"/>
      <c r="CV820" s="76"/>
      <c r="CW820" s="76"/>
      <c r="CX820" s="76"/>
      <c r="CY820" s="76"/>
      <c r="CZ820" s="76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76"/>
      <c r="DX820" s="76"/>
    </row>
    <row r="821" spans="1:128" ht="15.75" customHeight="1">
      <c r="A821" s="76"/>
      <c r="B821" s="79"/>
      <c r="C821" s="18"/>
      <c r="D821" s="18"/>
      <c r="E821" s="18"/>
      <c r="F821" s="18"/>
      <c r="G821" s="18"/>
      <c r="H821" s="18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6"/>
      <c r="CT821" s="76"/>
      <c r="CU821" s="76"/>
      <c r="CV821" s="76"/>
      <c r="CW821" s="76"/>
      <c r="CX821" s="76"/>
      <c r="CY821" s="76"/>
      <c r="CZ821" s="76"/>
      <c r="DA821" s="76"/>
      <c r="DB821" s="76"/>
      <c r="DC821" s="76"/>
      <c r="DD821" s="76"/>
      <c r="DE821" s="76"/>
      <c r="DF821" s="76"/>
      <c r="DG821" s="76"/>
      <c r="DH821" s="7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76"/>
      <c r="DX821" s="76"/>
    </row>
    <row r="822" spans="1:128" ht="15.75" customHeight="1">
      <c r="A822" s="76"/>
      <c r="B822" s="79"/>
      <c r="C822" s="18"/>
      <c r="D822" s="18"/>
      <c r="E822" s="18"/>
      <c r="F822" s="18"/>
      <c r="G822" s="18"/>
      <c r="H822" s="18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6"/>
      <c r="CK822" s="76"/>
      <c r="CL822" s="76"/>
      <c r="CM822" s="76"/>
      <c r="CN822" s="76"/>
      <c r="CO822" s="76"/>
      <c r="CP822" s="76"/>
      <c r="CQ822" s="76"/>
      <c r="CR822" s="76"/>
      <c r="CS822" s="76"/>
      <c r="CT822" s="76"/>
      <c r="CU822" s="76"/>
      <c r="CV822" s="76"/>
      <c r="CW822" s="76"/>
      <c r="CX822" s="76"/>
      <c r="CY822" s="76"/>
      <c r="CZ822" s="76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76"/>
      <c r="DX822" s="76"/>
    </row>
    <row r="823" spans="1:128" ht="15.75" customHeight="1">
      <c r="A823" s="76"/>
      <c r="B823" s="79"/>
      <c r="C823" s="18"/>
      <c r="D823" s="18"/>
      <c r="E823" s="18"/>
      <c r="F823" s="18"/>
      <c r="G823" s="18"/>
      <c r="H823" s="18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6"/>
      <c r="CK823" s="76"/>
      <c r="CL823" s="76"/>
      <c r="CM823" s="76"/>
      <c r="CN823" s="76"/>
      <c r="CO823" s="76"/>
      <c r="CP823" s="76"/>
      <c r="CQ823" s="76"/>
      <c r="CR823" s="76"/>
      <c r="CS823" s="76"/>
      <c r="CT823" s="76"/>
      <c r="CU823" s="76"/>
      <c r="CV823" s="76"/>
      <c r="CW823" s="76"/>
      <c r="CX823" s="76"/>
      <c r="CY823" s="76"/>
      <c r="CZ823" s="76"/>
      <c r="DA823" s="76"/>
      <c r="DB823" s="76"/>
      <c r="DC823" s="76"/>
      <c r="DD823" s="76"/>
      <c r="DE823" s="76"/>
      <c r="DF823" s="76"/>
      <c r="DG823" s="76"/>
      <c r="DH823" s="7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76"/>
      <c r="DX823" s="76"/>
    </row>
    <row r="824" spans="1:128" ht="15.75" customHeight="1">
      <c r="A824" s="76"/>
      <c r="B824" s="79"/>
      <c r="C824" s="18"/>
      <c r="D824" s="18"/>
      <c r="E824" s="18"/>
      <c r="F824" s="18"/>
      <c r="G824" s="18"/>
      <c r="H824" s="18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6"/>
      <c r="CK824" s="76"/>
      <c r="CL824" s="76"/>
      <c r="CM824" s="76"/>
      <c r="CN824" s="76"/>
      <c r="CO824" s="76"/>
      <c r="CP824" s="76"/>
      <c r="CQ824" s="76"/>
      <c r="CR824" s="76"/>
      <c r="CS824" s="76"/>
      <c r="CT824" s="76"/>
      <c r="CU824" s="76"/>
      <c r="CV824" s="76"/>
      <c r="CW824" s="76"/>
      <c r="CX824" s="76"/>
      <c r="CY824" s="76"/>
      <c r="CZ824" s="76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76"/>
      <c r="DX824" s="76"/>
    </row>
    <row r="825" spans="1:128" ht="15.75" customHeight="1">
      <c r="A825" s="76"/>
      <c r="B825" s="79"/>
      <c r="C825" s="18"/>
      <c r="D825" s="18"/>
      <c r="E825" s="18"/>
      <c r="F825" s="18"/>
      <c r="G825" s="18"/>
      <c r="H825" s="18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76"/>
      <c r="DX825" s="76"/>
    </row>
    <row r="826" spans="1:128" ht="15.75" customHeight="1">
      <c r="A826" s="76"/>
      <c r="B826" s="79"/>
      <c r="C826" s="18"/>
      <c r="D826" s="18"/>
      <c r="E826" s="18"/>
      <c r="F826" s="18"/>
      <c r="G826" s="18"/>
      <c r="H826" s="18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76"/>
      <c r="DX826" s="76"/>
    </row>
    <row r="827" spans="1:128" ht="15.75" customHeight="1">
      <c r="A827" s="76"/>
      <c r="B827" s="79"/>
      <c r="C827" s="18"/>
      <c r="D827" s="18"/>
      <c r="E827" s="18"/>
      <c r="F827" s="18"/>
      <c r="G827" s="18"/>
      <c r="H827" s="18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76"/>
      <c r="DX827" s="76"/>
    </row>
    <row r="828" spans="1:128" ht="15.75" customHeight="1">
      <c r="A828" s="76"/>
      <c r="B828" s="79"/>
      <c r="C828" s="18"/>
      <c r="D828" s="18"/>
      <c r="E828" s="18"/>
      <c r="F828" s="18"/>
      <c r="G828" s="18"/>
      <c r="H828" s="18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6"/>
      <c r="CT828" s="76"/>
      <c r="CU828" s="76"/>
      <c r="CV828" s="76"/>
      <c r="CW828" s="76"/>
      <c r="CX828" s="76"/>
      <c r="CY828" s="76"/>
      <c r="CZ828" s="76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76"/>
      <c r="DX828" s="76"/>
    </row>
    <row r="829" spans="1:128" ht="15.75" customHeight="1">
      <c r="A829" s="76"/>
      <c r="B829" s="79"/>
      <c r="C829" s="18"/>
      <c r="D829" s="18"/>
      <c r="E829" s="18"/>
      <c r="F829" s="18"/>
      <c r="G829" s="18"/>
      <c r="H829" s="18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6"/>
      <c r="CT829" s="76"/>
      <c r="CU829" s="76"/>
      <c r="CV829" s="76"/>
      <c r="CW829" s="76"/>
      <c r="CX829" s="76"/>
      <c r="CY829" s="76"/>
      <c r="CZ829" s="76"/>
      <c r="DA829" s="76"/>
      <c r="DB829" s="76"/>
      <c r="DC829" s="76"/>
      <c r="DD829" s="76"/>
      <c r="DE829" s="76"/>
      <c r="DF829" s="76"/>
      <c r="DG829" s="76"/>
      <c r="DH829" s="7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76"/>
      <c r="DX829" s="76"/>
    </row>
    <row r="830" spans="1:128" ht="15.75" customHeight="1">
      <c r="A830" s="76"/>
      <c r="B830" s="79"/>
      <c r="C830" s="18"/>
      <c r="D830" s="18"/>
      <c r="E830" s="18"/>
      <c r="F830" s="18"/>
      <c r="G830" s="18"/>
      <c r="H830" s="18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6"/>
      <c r="CT830" s="76"/>
      <c r="CU830" s="76"/>
      <c r="CV830" s="76"/>
      <c r="CW830" s="76"/>
      <c r="CX830" s="76"/>
      <c r="CY830" s="76"/>
      <c r="CZ830" s="76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76"/>
      <c r="DX830" s="76"/>
    </row>
    <row r="831" spans="1:128" ht="15.75" customHeight="1">
      <c r="A831" s="76"/>
      <c r="B831" s="79"/>
      <c r="C831" s="18"/>
      <c r="D831" s="18"/>
      <c r="E831" s="18"/>
      <c r="F831" s="18"/>
      <c r="G831" s="18"/>
      <c r="H831" s="18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6"/>
      <c r="CT831" s="76"/>
      <c r="CU831" s="76"/>
      <c r="CV831" s="76"/>
      <c r="CW831" s="76"/>
      <c r="CX831" s="76"/>
      <c r="CY831" s="76"/>
      <c r="CZ831" s="76"/>
      <c r="DA831" s="76"/>
      <c r="DB831" s="76"/>
      <c r="DC831" s="76"/>
      <c r="DD831" s="76"/>
      <c r="DE831" s="76"/>
      <c r="DF831" s="76"/>
      <c r="DG831" s="76"/>
      <c r="DH831" s="7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76"/>
      <c r="DX831" s="76"/>
    </row>
    <row r="832" spans="1:128" ht="15.75" customHeight="1">
      <c r="A832" s="76"/>
      <c r="B832" s="79"/>
      <c r="C832" s="18"/>
      <c r="D832" s="18"/>
      <c r="E832" s="18"/>
      <c r="F832" s="18"/>
      <c r="G832" s="18"/>
      <c r="H832" s="18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6"/>
      <c r="CT832" s="76"/>
      <c r="CU832" s="76"/>
      <c r="CV832" s="76"/>
      <c r="CW832" s="76"/>
      <c r="CX832" s="76"/>
      <c r="CY832" s="76"/>
      <c r="CZ832" s="76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76"/>
      <c r="DX832" s="76"/>
    </row>
    <row r="833" spans="1:128" ht="15.75" customHeight="1">
      <c r="A833" s="76"/>
      <c r="B833" s="79"/>
      <c r="C833" s="18"/>
      <c r="D833" s="18"/>
      <c r="E833" s="18"/>
      <c r="F833" s="18"/>
      <c r="G833" s="18"/>
      <c r="H833" s="18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6"/>
      <c r="CT833" s="76"/>
      <c r="CU833" s="76"/>
      <c r="CV833" s="76"/>
      <c r="CW833" s="76"/>
      <c r="CX833" s="76"/>
      <c r="CY833" s="76"/>
      <c r="CZ833" s="76"/>
      <c r="DA833" s="76"/>
      <c r="DB833" s="76"/>
      <c r="DC833" s="76"/>
      <c r="DD833" s="76"/>
      <c r="DE833" s="76"/>
      <c r="DF833" s="76"/>
      <c r="DG833" s="76"/>
      <c r="DH833" s="7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76"/>
      <c r="DX833" s="76"/>
    </row>
    <row r="834" spans="1:128" ht="15.75" customHeight="1">
      <c r="A834" s="76"/>
      <c r="B834" s="79"/>
      <c r="C834" s="18"/>
      <c r="D834" s="18"/>
      <c r="E834" s="18"/>
      <c r="F834" s="18"/>
      <c r="G834" s="18"/>
      <c r="H834" s="18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6"/>
      <c r="CT834" s="76"/>
      <c r="CU834" s="76"/>
      <c r="CV834" s="76"/>
      <c r="CW834" s="76"/>
      <c r="CX834" s="76"/>
      <c r="CY834" s="76"/>
      <c r="CZ834" s="76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76"/>
      <c r="DX834" s="76"/>
    </row>
    <row r="835" spans="1:128" ht="15.75" customHeight="1">
      <c r="A835" s="76"/>
      <c r="B835" s="79"/>
      <c r="C835" s="18"/>
      <c r="D835" s="18"/>
      <c r="E835" s="18"/>
      <c r="F835" s="18"/>
      <c r="G835" s="18"/>
      <c r="H835" s="18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6"/>
      <c r="CT835" s="76"/>
      <c r="CU835" s="76"/>
      <c r="CV835" s="76"/>
      <c r="CW835" s="76"/>
      <c r="CX835" s="76"/>
      <c r="CY835" s="76"/>
      <c r="CZ835" s="76"/>
      <c r="DA835" s="76"/>
      <c r="DB835" s="76"/>
      <c r="DC835" s="76"/>
      <c r="DD835" s="76"/>
      <c r="DE835" s="76"/>
      <c r="DF835" s="76"/>
      <c r="DG835" s="76"/>
      <c r="DH835" s="7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76"/>
      <c r="DX835" s="76"/>
    </row>
    <row r="836" spans="1:128" ht="15.75" customHeight="1">
      <c r="A836" s="76"/>
      <c r="B836" s="79"/>
      <c r="C836" s="18"/>
      <c r="D836" s="18"/>
      <c r="E836" s="18"/>
      <c r="F836" s="18"/>
      <c r="G836" s="18"/>
      <c r="H836" s="18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6"/>
      <c r="CT836" s="76"/>
      <c r="CU836" s="76"/>
      <c r="CV836" s="76"/>
      <c r="CW836" s="76"/>
      <c r="CX836" s="76"/>
      <c r="CY836" s="76"/>
      <c r="CZ836" s="76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76"/>
      <c r="DX836" s="76"/>
    </row>
    <row r="837" spans="1:128" ht="15.75" customHeight="1">
      <c r="A837" s="76"/>
      <c r="B837" s="79"/>
      <c r="C837" s="18"/>
      <c r="D837" s="18"/>
      <c r="E837" s="18"/>
      <c r="F837" s="18"/>
      <c r="G837" s="18"/>
      <c r="H837" s="18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6"/>
      <c r="CT837" s="76"/>
      <c r="CU837" s="76"/>
      <c r="CV837" s="76"/>
      <c r="CW837" s="76"/>
      <c r="CX837" s="76"/>
      <c r="CY837" s="76"/>
      <c r="CZ837" s="76"/>
      <c r="DA837" s="76"/>
      <c r="DB837" s="76"/>
      <c r="DC837" s="76"/>
      <c r="DD837" s="76"/>
      <c r="DE837" s="76"/>
      <c r="DF837" s="76"/>
      <c r="DG837" s="76"/>
      <c r="DH837" s="7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76"/>
      <c r="DX837" s="76"/>
    </row>
    <row r="838" spans="1:128" ht="15.75" customHeight="1">
      <c r="A838" s="76"/>
      <c r="B838" s="79"/>
      <c r="C838" s="18"/>
      <c r="D838" s="18"/>
      <c r="E838" s="18"/>
      <c r="F838" s="18"/>
      <c r="G838" s="18"/>
      <c r="H838" s="18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6"/>
      <c r="CT838" s="76"/>
      <c r="CU838" s="76"/>
      <c r="CV838" s="76"/>
      <c r="CW838" s="76"/>
      <c r="CX838" s="76"/>
      <c r="CY838" s="76"/>
      <c r="CZ838" s="76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76"/>
      <c r="DX838" s="76"/>
    </row>
    <row r="839" spans="1:128" ht="15.75" customHeight="1">
      <c r="A839" s="76"/>
      <c r="B839" s="79"/>
      <c r="C839" s="18"/>
      <c r="D839" s="18"/>
      <c r="E839" s="18"/>
      <c r="F839" s="18"/>
      <c r="G839" s="18"/>
      <c r="H839" s="18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/>
      <c r="CK839" s="76"/>
      <c r="CL839" s="76"/>
      <c r="CM839" s="76"/>
      <c r="CN839" s="76"/>
      <c r="CO839" s="76"/>
      <c r="CP839" s="76"/>
      <c r="CQ839" s="76"/>
      <c r="CR839" s="76"/>
      <c r="CS839" s="76"/>
      <c r="CT839" s="76"/>
      <c r="CU839" s="76"/>
      <c r="CV839" s="76"/>
      <c r="CW839" s="76"/>
      <c r="CX839" s="76"/>
      <c r="CY839" s="76"/>
      <c r="CZ839" s="76"/>
      <c r="DA839" s="76"/>
      <c r="DB839" s="76"/>
      <c r="DC839" s="76"/>
      <c r="DD839" s="76"/>
      <c r="DE839" s="76"/>
      <c r="DF839" s="76"/>
      <c r="DG839" s="76"/>
      <c r="DH839" s="7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76"/>
      <c r="DX839" s="76"/>
    </row>
    <row r="840" spans="1:128" ht="15.75" customHeight="1">
      <c r="A840" s="76"/>
      <c r="B840" s="79"/>
      <c r="C840" s="18"/>
      <c r="D840" s="18"/>
      <c r="E840" s="18"/>
      <c r="F840" s="18"/>
      <c r="G840" s="18"/>
      <c r="H840" s="18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6"/>
      <c r="CT840" s="76"/>
      <c r="CU840" s="76"/>
      <c r="CV840" s="76"/>
      <c r="CW840" s="76"/>
      <c r="CX840" s="76"/>
      <c r="CY840" s="76"/>
      <c r="CZ840" s="76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76"/>
      <c r="DX840" s="76"/>
    </row>
    <row r="841" spans="1:128" ht="15.75" customHeight="1">
      <c r="A841" s="76"/>
      <c r="B841" s="79"/>
      <c r="C841" s="18"/>
      <c r="D841" s="18"/>
      <c r="E841" s="18"/>
      <c r="F841" s="18"/>
      <c r="G841" s="18"/>
      <c r="H841" s="18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6"/>
      <c r="CT841" s="76"/>
      <c r="CU841" s="76"/>
      <c r="CV841" s="76"/>
      <c r="CW841" s="76"/>
      <c r="CX841" s="76"/>
      <c r="CY841" s="76"/>
      <c r="CZ841" s="76"/>
      <c r="DA841" s="76"/>
      <c r="DB841" s="76"/>
      <c r="DC841" s="76"/>
      <c r="DD841" s="76"/>
      <c r="DE841" s="76"/>
      <c r="DF841" s="76"/>
      <c r="DG841" s="76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/>
      <c r="DX841" s="76"/>
    </row>
    <row r="842" spans="1:128" ht="15.75" customHeight="1">
      <c r="A842" s="76"/>
      <c r="B842" s="79"/>
      <c r="C842" s="18"/>
      <c r="D842" s="18"/>
      <c r="E842" s="18"/>
      <c r="F842" s="18"/>
      <c r="G842" s="18"/>
      <c r="H842" s="18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6"/>
      <c r="CT842" s="76"/>
      <c r="CU842" s="76"/>
      <c r="CV842" s="76"/>
      <c r="CW842" s="76"/>
      <c r="CX842" s="76"/>
      <c r="CY842" s="76"/>
      <c r="CZ842" s="76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76"/>
      <c r="DX842" s="76"/>
    </row>
    <row r="843" spans="1:128" ht="15.75" customHeight="1">
      <c r="A843" s="76"/>
      <c r="B843" s="79"/>
      <c r="C843" s="18"/>
      <c r="D843" s="18"/>
      <c r="E843" s="18"/>
      <c r="F843" s="18"/>
      <c r="G843" s="18"/>
      <c r="H843" s="18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6"/>
      <c r="CT843" s="76"/>
      <c r="CU843" s="76"/>
      <c r="CV843" s="76"/>
      <c r="CW843" s="76"/>
      <c r="CX843" s="76"/>
      <c r="CY843" s="76"/>
      <c r="CZ843" s="76"/>
      <c r="DA843" s="76"/>
      <c r="DB843" s="76"/>
      <c r="DC843" s="76"/>
      <c r="DD843" s="76"/>
      <c r="DE843" s="76"/>
      <c r="DF843" s="76"/>
      <c r="DG843" s="76"/>
      <c r="DH843" s="7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76"/>
      <c r="DX843" s="76"/>
    </row>
    <row r="844" spans="1:128" ht="15.75" customHeight="1">
      <c r="A844" s="76"/>
      <c r="B844" s="79"/>
      <c r="C844" s="18"/>
      <c r="D844" s="18"/>
      <c r="E844" s="18"/>
      <c r="F844" s="18"/>
      <c r="G844" s="18"/>
      <c r="H844" s="18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6"/>
      <c r="CK844" s="76"/>
      <c r="CL844" s="76"/>
      <c r="CM844" s="76"/>
      <c r="CN844" s="76"/>
      <c r="CO844" s="76"/>
      <c r="CP844" s="76"/>
      <c r="CQ844" s="76"/>
      <c r="CR844" s="76"/>
      <c r="CS844" s="76"/>
      <c r="CT844" s="76"/>
      <c r="CU844" s="76"/>
      <c r="CV844" s="76"/>
      <c r="CW844" s="76"/>
      <c r="CX844" s="76"/>
      <c r="CY844" s="76"/>
      <c r="CZ844" s="76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76"/>
      <c r="DX844" s="76"/>
    </row>
    <row r="845" spans="1:128" ht="15.75" customHeight="1">
      <c r="A845" s="76"/>
      <c r="B845" s="79"/>
      <c r="C845" s="18"/>
      <c r="D845" s="18"/>
      <c r="E845" s="18"/>
      <c r="F845" s="18"/>
      <c r="G845" s="18"/>
      <c r="H845" s="18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6"/>
      <c r="CK845" s="76"/>
      <c r="CL845" s="76"/>
      <c r="CM845" s="76"/>
      <c r="CN845" s="76"/>
      <c r="CO845" s="76"/>
      <c r="CP845" s="76"/>
      <c r="CQ845" s="76"/>
      <c r="CR845" s="76"/>
      <c r="CS845" s="76"/>
      <c r="CT845" s="76"/>
      <c r="CU845" s="76"/>
      <c r="CV845" s="76"/>
      <c r="CW845" s="76"/>
      <c r="CX845" s="76"/>
      <c r="CY845" s="76"/>
      <c r="CZ845" s="76"/>
      <c r="DA845" s="76"/>
      <c r="DB845" s="76"/>
      <c r="DC845" s="76"/>
      <c r="DD845" s="76"/>
      <c r="DE845" s="76"/>
      <c r="DF845" s="76"/>
      <c r="DG845" s="76"/>
      <c r="DH845" s="7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76"/>
      <c r="DX845" s="76"/>
    </row>
    <row r="846" spans="1:128" ht="15.75" customHeight="1">
      <c r="A846" s="76"/>
      <c r="B846" s="79"/>
      <c r="C846" s="18"/>
      <c r="D846" s="18"/>
      <c r="E846" s="18"/>
      <c r="F846" s="18"/>
      <c r="G846" s="18"/>
      <c r="H846" s="18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6"/>
      <c r="CT846" s="76"/>
      <c r="CU846" s="76"/>
      <c r="CV846" s="76"/>
      <c r="CW846" s="76"/>
      <c r="CX846" s="76"/>
      <c r="CY846" s="76"/>
      <c r="CZ846" s="76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76"/>
      <c r="DX846" s="76"/>
    </row>
    <row r="847" spans="1:128" ht="15.75" customHeight="1">
      <c r="A847" s="76"/>
      <c r="B847" s="79"/>
      <c r="C847" s="18"/>
      <c r="D847" s="18"/>
      <c r="E847" s="18"/>
      <c r="F847" s="18"/>
      <c r="G847" s="18"/>
      <c r="H847" s="18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6"/>
      <c r="CT847" s="76"/>
      <c r="CU847" s="76"/>
      <c r="CV847" s="76"/>
      <c r="CW847" s="76"/>
      <c r="CX847" s="76"/>
      <c r="CY847" s="76"/>
      <c r="CZ847" s="76"/>
      <c r="DA847" s="76"/>
      <c r="DB847" s="76"/>
      <c r="DC847" s="76"/>
      <c r="DD847" s="76"/>
      <c r="DE847" s="76"/>
      <c r="DF847" s="76"/>
      <c r="DG847" s="76"/>
      <c r="DH847" s="7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76"/>
      <c r="DX847" s="76"/>
    </row>
    <row r="848" spans="1:128" ht="15.75" customHeight="1">
      <c r="A848" s="76"/>
      <c r="B848" s="79"/>
      <c r="C848" s="18"/>
      <c r="D848" s="18"/>
      <c r="E848" s="18"/>
      <c r="F848" s="18"/>
      <c r="G848" s="18"/>
      <c r="H848" s="18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6"/>
      <c r="CK848" s="76"/>
      <c r="CL848" s="76"/>
      <c r="CM848" s="76"/>
      <c r="CN848" s="76"/>
      <c r="CO848" s="76"/>
      <c r="CP848" s="76"/>
      <c r="CQ848" s="76"/>
      <c r="CR848" s="76"/>
      <c r="CS848" s="76"/>
      <c r="CT848" s="76"/>
      <c r="CU848" s="76"/>
      <c r="CV848" s="76"/>
      <c r="CW848" s="76"/>
      <c r="CX848" s="76"/>
      <c r="CY848" s="76"/>
      <c r="CZ848" s="76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76"/>
      <c r="DX848" s="76"/>
    </row>
    <row r="849" spans="1:128" ht="15.75" customHeight="1">
      <c r="A849" s="76"/>
      <c r="B849" s="79"/>
      <c r="C849" s="18"/>
      <c r="D849" s="18"/>
      <c r="E849" s="18"/>
      <c r="F849" s="18"/>
      <c r="G849" s="18"/>
      <c r="H849" s="18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6"/>
      <c r="CK849" s="76"/>
      <c r="CL849" s="76"/>
      <c r="CM849" s="76"/>
      <c r="CN849" s="76"/>
      <c r="CO849" s="76"/>
      <c r="CP849" s="76"/>
      <c r="CQ849" s="76"/>
      <c r="CR849" s="76"/>
      <c r="CS849" s="76"/>
      <c r="CT849" s="76"/>
      <c r="CU849" s="76"/>
      <c r="CV849" s="76"/>
      <c r="CW849" s="76"/>
      <c r="CX849" s="76"/>
      <c r="CY849" s="76"/>
      <c r="CZ849" s="76"/>
      <c r="DA849" s="76"/>
      <c r="DB849" s="76"/>
      <c r="DC849" s="76"/>
      <c r="DD849" s="76"/>
      <c r="DE849" s="76"/>
      <c r="DF849" s="76"/>
      <c r="DG849" s="76"/>
      <c r="DH849" s="7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76"/>
      <c r="DX849" s="76"/>
    </row>
    <row r="850" spans="1:128" ht="15.75" customHeight="1">
      <c r="A850" s="76"/>
      <c r="B850" s="79"/>
      <c r="C850" s="18"/>
      <c r="D850" s="18"/>
      <c r="E850" s="18"/>
      <c r="F850" s="18"/>
      <c r="G850" s="18"/>
      <c r="H850" s="18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6"/>
      <c r="CK850" s="76"/>
      <c r="CL850" s="76"/>
      <c r="CM850" s="76"/>
      <c r="CN850" s="76"/>
      <c r="CO850" s="76"/>
      <c r="CP850" s="76"/>
      <c r="CQ850" s="76"/>
      <c r="CR850" s="76"/>
      <c r="CS850" s="76"/>
      <c r="CT850" s="76"/>
      <c r="CU850" s="76"/>
      <c r="CV850" s="76"/>
      <c r="CW850" s="76"/>
      <c r="CX850" s="76"/>
      <c r="CY850" s="76"/>
      <c r="CZ850" s="76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76"/>
      <c r="DX850" s="76"/>
    </row>
    <row r="851" spans="1:128" ht="15.75" customHeight="1">
      <c r="A851" s="76"/>
      <c r="B851" s="79"/>
      <c r="C851" s="18"/>
      <c r="D851" s="18"/>
      <c r="E851" s="18"/>
      <c r="F851" s="18"/>
      <c r="G851" s="18"/>
      <c r="H851" s="18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6"/>
      <c r="CK851" s="76"/>
      <c r="CL851" s="76"/>
      <c r="CM851" s="76"/>
      <c r="CN851" s="76"/>
      <c r="CO851" s="76"/>
      <c r="CP851" s="76"/>
      <c r="CQ851" s="76"/>
      <c r="CR851" s="76"/>
      <c r="CS851" s="76"/>
      <c r="CT851" s="76"/>
      <c r="CU851" s="76"/>
      <c r="CV851" s="76"/>
      <c r="CW851" s="76"/>
      <c r="CX851" s="76"/>
      <c r="CY851" s="76"/>
      <c r="CZ851" s="76"/>
      <c r="DA851" s="76"/>
      <c r="DB851" s="76"/>
      <c r="DC851" s="76"/>
      <c r="DD851" s="76"/>
      <c r="DE851" s="76"/>
      <c r="DF851" s="76"/>
      <c r="DG851" s="76"/>
      <c r="DH851" s="76"/>
      <c r="DI851" s="76"/>
      <c r="DJ851" s="76"/>
      <c r="DK851" s="76"/>
      <c r="DL851" s="76"/>
      <c r="DM851" s="76"/>
      <c r="DN851" s="76"/>
      <c r="DO851" s="76"/>
      <c r="DP851" s="76"/>
      <c r="DQ851" s="76"/>
      <c r="DR851" s="76"/>
      <c r="DS851" s="76"/>
      <c r="DT851" s="76"/>
      <c r="DU851" s="76"/>
      <c r="DV851" s="76"/>
      <c r="DW851" s="76"/>
      <c r="DX851" s="76"/>
    </row>
    <row r="852" spans="1:128" ht="15.75" customHeight="1">
      <c r="A852" s="76"/>
      <c r="B852" s="79"/>
      <c r="C852" s="18"/>
      <c r="D852" s="18"/>
      <c r="E852" s="18"/>
      <c r="F852" s="18"/>
      <c r="G852" s="18"/>
      <c r="H852" s="18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6"/>
      <c r="CT852" s="76"/>
      <c r="CU852" s="76"/>
      <c r="CV852" s="76"/>
      <c r="CW852" s="76"/>
      <c r="CX852" s="76"/>
      <c r="CY852" s="76"/>
      <c r="CZ852" s="76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6"/>
      <c r="DX852" s="76"/>
    </row>
    <row r="853" spans="1:128" ht="15.75" customHeight="1">
      <c r="A853" s="76"/>
      <c r="B853" s="79"/>
      <c r="C853" s="18"/>
      <c r="D853" s="18"/>
      <c r="E853" s="18"/>
      <c r="F853" s="18"/>
      <c r="G853" s="18"/>
      <c r="H853" s="18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6"/>
      <c r="CK853" s="76"/>
      <c r="CL853" s="76"/>
      <c r="CM853" s="76"/>
      <c r="CN853" s="76"/>
      <c r="CO853" s="76"/>
      <c r="CP853" s="76"/>
      <c r="CQ853" s="76"/>
      <c r="CR853" s="76"/>
      <c r="CS853" s="76"/>
      <c r="CT853" s="76"/>
      <c r="CU853" s="76"/>
      <c r="CV853" s="76"/>
      <c r="CW853" s="76"/>
      <c r="CX853" s="76"/>
      <c r="CY853" s="76"/>
      <c r="CZ853" s="76"/>
      <c r="DA853" s="76"/>
      <c r="DB853" s="76"/>
      <c r="DC853" s="76"/>
      <c r="DD853" s="76"/>
      <c r="DE853" s="76"/>
      <c r="DF853" s="76"/>
      <c r="DG853" s="76"/>
      <c r="DH853" s="76"/>
      <c r="DI853" s="76"/>
      <c r="DJ853" s="76"/>
      <c r="DK853" s="76"/>
      <c r="DL853" s="76"/>
      <c r="DM853" s="76"/>
      <c r="DN853" s="76"/>
      <c r="DO853" s="76"/>
      <c r="DP853" s="76"/>
      <c r="DQ853" s="76"/>
      <c r="DR853" s="76"/>
      <c r="DS853" s="76"/>
      <c r="DT853" s="76"/>
      <c r="DU853" s="76"/>
      <c r="DV853" s="76"/>
      <c r="DW853" s="76"/>
      <c r="DX853" s="76"/>
    </row>
    <row r="854" spans="1:128" ht="15.75" customHeight="1">
      <c r="A854" s="76"/>
      <c r="B854" s="79"/>
      <c r="C854" s="18"/>
      <c r="D854" s="18"/>
      <c r="E854" s="18"/>
      <c r="F854" s="18"/>
      <c r="G854" s="18"/>
      <c r="H854" s="18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6"/>
      <c r="CK854" s="76"/>
      <c r="CL854" s="76"/>
      <c r="CM854" s="76"/>
      <c r="CN854" s="76"/>
      <c r="CO854" s="76"/>
      <c r="CP854" s="76"/>
      <c r="CQ854" s="76"/>
      <c r="CR854" s="76"/>
      <c r="CS854" s="76"/>
      <c r="CT854" s="76"/>
      <c r="CU854" s="76"/>
      <c r="CV854" s="76"/>
      <c r="CW854" s="76"/>
      <c r="CX854" s="76"/>
      <c r="CY854" s="76"/>
      <c r="CZ854" s="76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76"/>
      <c r="DN854" s="76"/>
      <c r="DO854" s="76"/>
      <c r="DP854" s="76"/>
      <c r="DQ854" s="76"/>
      <c r="DR854" s="76"/>
      <c r="DS854" s="76"/>
      <c r="DT854" s="76"/>
      <c r="DU854" s="76"/>
      <c r="DV854" s="76"/>
      <c r="DW854" s="76"/>
      <c r="DX854" s="76"/>
    </row>
    <row r="855" spans="1:128" ht="15.75" customHeight="1">
      <c r="A855" s="76"/>
      <c r="B855" s="79"/>
      <c r="C855" s="18"/>
      <c r="D855" s="18"/>
      <c r="E855" s="18"/>
      <c r="F855" s="18"/>
      <c r="G855" s="18"/>
      <c r="H855" s="18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6"/>
      <c r="CK855" s="76"/>
      <c r="CL855" s="76"/>
      <c r="CM855" s="76"/>
      <c r="CN855" s="76"/>
      <c r="CO855" s="76"/>
      <c r="CP855" s="76"/>
      <c r="CQ855" s="76"/>
      <c r="CR855" s="76"/>
      <c r="CS855" s="76"/>
      <c r="CT855" s="76"/>
      <c r="CU855" s="76"/>
      <c r="CV855" s="76"/>
      <c r="CW855" s="76"/>
      <c r="CX855" s="76"/>
      <c r="CY855" s="76"/>
      <c r="CZ855" s="76"/>
      <c r="DA855" s="76"/>
      <c r="DB855" s="76"/>
      <c r="DC855" s="76"/>
      <c r="DD855" s="76"/>
      <c r="DE855" s="76"/>
      <c r="DF855" s="76"/>
      <c r="DG855" s="76"/>
      <c r="DH855" s="76"/>
      <c r="DI855" s="76"/>
      <c r="DJ855" s="76"/>
      <c r="DK855" s="76"/>
      <c r="DL855" s="76"/>
      <c r="DM855" s="76"/>
      <c r="DN855" s="76"/>
      <c r="DO855" s="76"/>
      <c r="DP855" s="76"/>
      <c r="DQ855" s="76"/>
      <c r="DR855" s="76"/>
      <c r="DS855" s="76"/>
      <c r="DT855" s="76"/>
      <c r="DU855" s="76"/>
      <c r="DV855" s="76"/>
      <c r="DW855" s="76"/>
      <c r="DX855" s="76"/>
    </row>
    <row r="856" spans="1:128" ht="15.75" customHeight="1">
      <c r="A856" s="76"/>
      <c r="B856" s="79"/>
      <c r="C856" s="18"/>
      <c r="D856" s="18"/>
      <c r="E856" s="18"/>
      <c r="F856" s="18"/>
      <c r="G856" s="18"/>
      <c r="H856" s="18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6"/>
      <c r="CK856" s="76"/>
      <c r="CL856" s="76"/>
      <c r="CM856" s="76"/>
      <c r="CN856" s="76"/>
      <c r="CO856" s="76"/>
      <c r="CP856" s="76"/>
      <c r="CQ856" s="76"/>
      <c r="CR856" s="76"/>
      <c r="CS856" s="76"/>
      <c r="CT856" s="76"/>
      <c r="CU856" s="76"/>
      <c r="CV856" s="76"/>
      <c r="CW856" s="76"/>
      <c r="CX856" s="76"/>
      <c r="CY856" s="76"/>
      <c r="CZ856" s="76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76"/>
      <c r="DN856" s="76"/>
      <c r="DO856" s="76"/>
      <c r="DP856" s="76"/>
      <c r="DQ856" s="76"/>
      <c r="DR856" s="76"/>
      <c r="DS856" s="76"/>
      <c r="DT856" s="76"/>
      <c r="DU856" s="76"/>
      <c r="DV856" s="76"/>
      <c r="DW856" s="76"/>
      <c r="DX856" s="76"/>
    </row>
    <row r="857" spans="1:128" ht="15.75" customHeight="1">
      <c r="A857" s="76"/>
      <c r="B857" s="79"/>
      <c r="C857" s="18"/>
      <c r="D857" s="18"/>
      <c r="E857" s="18"/>
      <c r="F857" s="18"/>
      <c r="G857" s="18"/>
      <c r="H857" s="18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6"/>
      <c r="CK857" s="76"/>
      <c r="CL857" s="76"/>
      <c r="CM857" s="76"/>
      <c r="CN857" s="76"/>
      <c r="CO857" s="76"/>
      <c r="CP857" s="76"/>
      <c r="CQ857" s="76"/>
      <c r="CR857" s="76"/>
      <c r="CS857" s="76"/>
      <c r="CT857" s="76"/>
      <c r="CU857" s="76"/>
      <c r="CV857" s="76"/>
      <c r="CW857" s="76"/>
      <c r="CX857" s="76"/>
      <c r="CY857" s="76"/>
      <c r="CZ857" s="76"/>
      <c r="DA857" s="76"/>
      <c r="DB857" s="76"/>
      <c r="DC857" s="76"/>
      <c r="DD857" s="76"/>
      <c r="DE857" s="76"/>
      <c r="DF857" s="76"/>
      <c r="DG857" s="76"/>
      <c r="DH857" s="76"/>
      <c r="DI857" s="76"/>
      <c r="DJ857" s="76"/>
      <c r="DK857" s="76"/>
      <c r="DL857" s="76"/>
      <c r="DM857" s="76"/>
      <c r="DN857" s="76"/>
      <c r="DO857" s="76"/>
      <c r="DP857" s="76"/>
      <c r="DQ857" s="76"/>
      <c r="DR857" s="76"/>
      <c r="DS857" s="76"/>
      <c r="DT857" s="76"/>
      <c r="DU857" s="76"/>
      <c r="DV857" s="76"/>
      <c r="DW857" s="76"/>
      <c r="DX857" s="76"/>
    </row>
    <row r="858" spans="1:128" ht="15.75" customHeight="1">
      <c r="A858" s="76"/>
      <c r="B858" s="79"/>
      <c r="C858" s="18"/>
      <c r="D858" s="18"/>
      <c r="E858" s="18"/>
      <c r="F858" s="18"/>
      <c r="G858" s="18"/>
      <c r="H858" s="18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6"/>
      <c r="CK858" s="76"/>
      <c r="CL858" s="76"/>
      <c r="CM858" s="76"/>
      <c r="CN858" s="76"/>
      <c r="CO858" s="76"/>
      <c r="CP858" s="76"/>
      <c r="CQ858" s="76"/>
      <c r="CR858" s="76"/>
      <c r="CS858" s="76"/>
      <c r="CT858" s="76"/>
      <c r="CU858" s="76"/>
      <c r="CV858" s="76"/>
      <c r="CW858" s="76"/>
      <c r="CX858" s="76"/>
      <c r="CY858" s="76"/>
      <c r="CZ858" s="76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76"/>
      <c r="DN858" s="76"/>
      <c r="DO858" s="76"/>
      <c r="DP858" s="76"/>
      <c r="DQ858" s="76"/>
      <c r="DR858" s="76"/>
      <c r="DS858" s="76"/>
      <c r="DT858" s="76"/>
      <c r="DU858" s="76"/>
      <c r="DV858" s="76"/>
      <c r="DW858" s="76"/>
      <c r="DX858" s="76"/>
    </row>
    <row r="859" spans="1:128" ht="15.75" customHeight="1">
      <c r="A859" s="76"/>
      <c r="B859" s="79"/>
      <c r="C859" s="18"/>
      <c r="D859" s="18"/>
      <c r="E859" s="18"/>
      <c r="F859" s="18"/>
      <c r="G859" s="18"/>
      <c r="H859" s="18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6"/>
      <c r="CK859" s="76"/>
      <c r="CL859" s="76"/>
      <c r="CM859" s="76"/>
      <c r="CN859" s="76"/>
      <c r="CO859" s="76"/>
      <c r="CP859" s="76"/>
      <c r="CQ859" s="76"/>
      <c r="CR859" s="76"/>
      <c r="CS859" s="76"/>
      <c r="CT859" s="76"/>
      <c r="CU859" s="76"/>
      <c r="CV859" s="76"/>
      <c r="CW859" s="76"/>
      <c r="CX859" s="76"/>
      <c r="CY859" s="76"/>
      <c r="CZ859" s="76"/>
      <c r="DA859" s="76"/>
      <c r="DB859" s="76"/>
      <c r="DC859" s="76"/>
      <c r="DD859" s="76"/>
      <c r="DE859" s="76"/>
      <c r="DF859" s="76"/>
      <c r="DG859" s="76"/>
      <c r="DH859" s="76"/>
      <c r="DI859" s="76"/>
      <c r="DJ859" s="76"/>
      <c r="DK859" s="76"/>
      <c r="DL859" s="76"/>
      <c r="DM859" s="76"/>
      <c r="DN859" s="76"/>
      <c r="DO859" s="76"/>
      <c r="DP859" s="76"/>
      <c r="DQ859" s="76"/>
      <c r="DR859" s="76"/>
      <c r="DS859" s="76"/>
      <c r="DT859" s="76"/>
      <c r="DU859" s="76"/>
      <c r="DV859" s="76"/>
      <c r="DW859" s="76"/>
      <c r="DX859" s="76"/>
    </row>
    <row r="860" spans="1:128" ht="15.75" customHeight="1">
      <c r="A860" s="76"/>
      <c r="B860" s="79"/>
      <c r="C860" s="18"/>
      <c r="D860" s="18"/>
      <c r="E860" s="18"/>
      <c r="F860" s="18"/>
      <c r="G860" s="18"/>
      <c r="H860" s="18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6"/>
      <c r="CK860" s="76"/>
      <c r="CL860" s="76"/>
      <c r="CM860" s="76"/>
      <c r="CN860" s="76"/>
      <c r="CO860" s="76"/>
      <c r="CP860" s="76"/>
      <c r="CQ860" s="76"/>
      <c r="CR860" s="76"/>
      <c r="CS860" s="76"/>
      <c r="CT860" s="76"/>
      <c r="CU860" s="76"/>
      <c r="CV860" s="76"/>
      <c r="CW860" s="76"/>
      <c r="CX860" s="76"/>
      <c r="CY860" s="76"/>
      <c r="CZ860" s="76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76"/>
      <c r="DN860" s="76"/>
      <c r="DO860" s="76"/>
      <c r="DP860" s="76"/>
      <c r="DQ860" s="76"/>
      <c r="DR860" s="76"/>
      <c r="DS860" s="76"/>
      <c r="DT860" s="76"/>
      <c r="DU860" s="76"/>
      <c r="DV860" s="76"/>
      <c r="DW860" s="76"/>
      <c r="DX860" s="76"/>
    </row>
    <row r="861" spans="1:128" ht="15.75" customHeight="1">
      <c r="A861" s="76"/>
      <c r="B861" s="79"/>
      <c r="C861" s="18"/>
      <c r="D861" s="18"/>
      <c r="E861" s="18"/>
      <c r="F861" s="18"/>
      <c r="G861" s="18"/>
      <c r="H861" s="18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6"/>
      <c r="CK861" s="76"/>
      <c r="CL861" s="76"/>
      <c r="CM861" s="76"/>
      <c r="CN861" s="76"/>
      <c r="CO861" s="76"/>
      <c r="CP861" s="76"/>
      <c r="CQ861" s="76"/>
      <c r="CR861" s="76"/>
      <c r="CS861" s="76"/>
      <c r="CT861" s="76"/>
      <c r="CU861" s="76"/>
      <c r="CV861" s="76"/>
      <c r="CW861" s="76"/>
      <c r="CX861" s="76"/>
      <c r="CY861" s="76"/>
      <c r="CZ861" s="76"/>
      <c r="DA861" s="76"/>
      <c r="DB861" s="76"/>
      <c r="DC861" s="76"/>
      <c r="DD861" s="76"/>
      <c r="DE861" s="76"/>
      <c r="DF861" s="76"/>
      <c r="DG861" s="76"/>
      <c r="DH861" s="76"/>
      <c r="DI861" s="76"/>
      <c r="DJ861" s="76"/>
      <c r="DK861" s="76"/>
      <c r="DL861" s="76"/>
      <c r="DM861" s="76"/>
      <c r="DN861" s="76"/>
      <c r="DO861" s="76"/>
      <c r="DP861" s="76"/>
      <c r="DQ861" s="76"/>
      <c r="DR861" s="76"/>
      <c r="DS861" s="76"/>
      <c r="DT861" s="76"/>
      <c r="DU861" s="76"/>
      <c r="DV861" s="76"/>
      <c r="DW861" s="76"/>
      <c r="DX861" s="76"/>
    </row>
    <row r="862" spans="1:128" ht="15.75" customHeight="1">
      <c r="A862" s="76"/>
      <c r="B862" s="79"/>
      <c r="C862" s="18"/>
      <c r="D862" s="18"/>
      <c r="E862" s="18"/>
      <c r="F862" s="18"/>
      <c r="G862" s="18"/>
      <c r="H862" s="18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6"/>
      <c r="CK862" s="76"/>
      <c r="CL862" s="76"/>
      <c r="CM862" s="76"/>
      <c r="CN862" s="76"/>
      <c r="CO862" s="76"/>
      <c r="CP862" s="76"/>
      <c r="CQ862" s="76"/>
      <c r="CR862" s="76"/>
      <c r="CS862" s="76"/>
      <c r="CT862" s="76"/>
      <c r="CU862" s="76"/>
      <c r="CV862" s="76"/>
      <c r="CW862" s="76"/>
      <c r="CX862" s="76"/>
      <c r="CY862" s="76"/>
      <c r="CZ862" s="76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76"/>
      <c r="DN862" s="76"/>
      <c r="DO862" s="76"/>
      <c r="DP862" s="76"/>
      <c r="DQ862" s="76"/>
      <c r="DR862" s="76"/>
      <c r="DS862" s="76"/>
      <c r="DT862" s="76"/>
      <c r="DU862" s="76"/>
      <c r="DV862" s="76"/>
      <c r="DW862" s="76"/>
      <c r="DX862" s="76"/>
    </row>
    <row r="863" spans="1:128" ht="15.75" customHeight="1">
      <c r="A863" s="76"/>
      <c r="B863" s="79"/>
      <c r="C863" s="18"/>
      <c r="D863" s="18"/>
      <c r="E863" s="18"/>
      <c r="F863" s="18"/>
      <c r="G863" s="18"/>
      <c r="H863" s="18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6"/>
      <c r="CK863" s="76"/>
      <c r="CL863" s="76"/>
      <c r="CM863" s="76"/>
      <c r="CN863" s="76"/>
      <c r="CO863" s="76"/>
      <c r="CP863" s="76"/>
      <c r="CQ863" s="76"/>
      <c r="CR863" s="76"/>
      <c r="CS863" s="76"/>
      <c r="CT863" s="76"/>
      <c r="CU863" s="76"/>
      <c r="CV863" s="76"/>
      <c r="CW863" s="76"/>
      <c r="CX863" s="76"/>
      <c r="CY863" s="76"/>
      <c r="CZ863" s="76"/>
      <c r="DA863" s="76"/>
      <c r="DB863" s="76"/>
      <c r="DC863" s="76"/>
      <c r="DD863" s="76"/>
      <c r="DE863" s="76"/>
      <c r="DF863" s="76"/>
      <c r="DG863" s="76"/>
      <c r="DH863" s="76"/>
      <c r="DI863" s="76"/>
      <c r="DJ863" s="76"/>
      <c r="DK863" s="76"/>
      <c r="DL863" s="76"/>
      <c r="DM863" s="76"/>
      <c r="DN863" s="76"/>
      <c r="DO863" s="76"/>
      <c r="DP863" s="76"/>
      <c r="DQ863" s="76"/>
      <c r="DR863" s="76"/>
      <c r="DS863" s="76"/>
      <c r="DT863" s="76"/>
      <c r="DU863" s="76"/>
      <c r="DV863" s="76"/>
      <c r="DW863" s="76"/>
      <c r="DX863" s="76"/>
    </row>
    <row r="864" spans="1:128" ht="15.75" customHeight="1">
      <c r="A864" s="76"/>
      <c r="B864" s="79"/>
      <c r="C864" s="18"/>
      <c r="D864" s="18"/>
      <c r="E864" s="18"/>
      <c r="F864" s="18"/>
      <c r="G864" s="18"/>
      <c r="H864" s="18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6"/>
      <c r="CK864" s="76"/>
      <c r="CL864" s="76"/>
      <c r="CM864" s="76"/>
      <c r="CN864" s="76"/>
      <c r="CO864" s="76"/>
      <c r="CP864" s="76"/>
      <c r="CQ864" s="76"/>
      <c r="CR864" s="76"/>
      <c r="CS864" s="76"/>
      <c r="CT864" s="76"/>
      <c r="CU864" s="76"/>
      <c r="CV864" s="76"/>
      <c r="CW864" s="76"/>
      <c r="CX864" s="76"/>
      <c r="CY864" s="76"/>
      <c r="CZ864" s="76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76"/>
      <c r="DN864" s="76"/>
      <c r="DO864" s="76"/>
      <c r="DP864" s="76"/>
      <c r="DQ864" s="76"/>
      <c r="DR864" s="76"/>
      <c r="DS864" s="76"/>
      <c r="DT864" s="76"/>
      <c r="DU864" s="76"/>
      <c r="DV864" s="76"/>
      <c r="DW864" s="76"/>
      <c r="DX864" s="76"/>
    </row>
    <row r="865" spans="1:128" ht="15.75" customHeight="1">
      <c r="A865" s="76"/>
      <c r="B865" s="79"/>
      <c r="C865" s="18"/>
      <c r="D865" s="18"/>
      <c r="E865" s="18"/>
      <c r="F865" s="18"/>
      <c r="G865" s="18"/>
      <c r="H865" s="18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6"/>
      <c r="CK865" s="76"/>
      <c r="CL865" s="76"/>
      <c r="CM865" s="76"/>
      <c r="CN865" s="76"/>
      <c r="CO865" s="76"/>
      <c r="CP865" s="76"/>
      <c r="CQ865" s="76"/>
      <c r="CR865" s="76"/>
      <c r="CS865" s="76"/>
      <c r="CT865" s="76"/>
      <c r="CU865" s="76"/>
      <c r="CV865" s="76"/>
      <c r="CW865" s="76"/>
      <c r="CX865" s="76"/>
      <c r="CY865" s="76"/>
      <c r="CZ865" s="76"/>
      <c r="DA865" s="76"/>
      <c r="DB865" s="76"/>
      <c r="DC865" s="76"/>
      <c r="DD865" s="76"/>
      <c r="DE865" s="76"/>
      <c r="DF865" s="76"/>
      <c r="DG865" s="76"/>
      <c r="DH865" s="76"/>
      <c r="DI865" s="76"/>
      <c r="DJ865" s="76"/>
      <c r="DK865" s="76"/>
      <c r="DL865" s="76"/>
      <c r="DM865" s="76"/>
      <c r="DN865" s="76"/>
      <c r="DO865" s="76"/>
      <c r="DP865" s="76"/>
      <c r="DQ865" s="76"/>
      <c r="DR865" s="76"/>
      <c r="DS865" s="76"/>
      <c r="DT865" s="76"/>
      <c r="DU865" s="76"/>
      <c r="DV865" s="76"/>
      <c r="DW865" s="76"/>
      <c r="DX865" s="76"/>
    </row>
    <row r="866" spans="1:128" ht="15.75" customHeight="1">
      <c r="A866" s="76"/>
      <c r="B866" s="79"/>
      <c r="C866" s="18"/>
      <c r="D866" s="18"/>
      <c r="E866" s="18"/>
      <c r="F866" s="18"/>
      <c r="G866" s="18"/>
      <c r="H866" s="18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6"/>
      <c r="CK866" s="76"/>
      <c r="CL866" s="76"/>
      <c r="CM866" s="76"/>
      <c r="CN866" s="76"/>
      <c r="CO866" s="76"/>
      <c r="CP866" s="76"/>
      <c r="CQ866" s="76"/>
      <c r="CR866" s="76"/>
      <c r="CS866" s="76"/>
      <c r="CT866" s="76"/>
      <c r="CU866" s="76"/>
      <c r="CV866" s="76"/>
      <c r="CW866" s="76"/>
      <c r="CX866" s="76"/>
      <c r="CY866" s="76"/>
      <c r="CZ866" s="76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76"/>
      <c r="DN866" s="76"/>
      <c r="DO866" s="76"/>
      <c r="DP866" s="76"/>
      <c r="DQ866" s="76"/>
      <c r="DR866" s="76"/>
      <c r="DS866" s="76"/>
      <c r="DT866" s="76"/>
      <c r="DU866" s="76"/>
      <c r="DV866" s="76"/>
      <c r="DW866" s="76"/>
      <c r="DX866" s="76"/>
    </row>
    <row r="867" spans="1:128" ht="15.75" customHeight="1">
      <c r="A867" s="76"/>
      <c r="B867" s="79"/>
      <c r="C867" s="18"/>
      <c r="D867" s="18"/>
      <c r="E867" s="18"/>
      <c r="F867" s="18"/>
      <c r="G867" s="18"/>
      <c r="H867" s="18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6"/>
      <c r="CK867" s="76"/>
      <c r="CL867" s="76"/>
      <c r="CM867" s="76"/>
      <c r="CN867" s="76"/>
      <c r="CO867" s="76"/>
      <c r="CP867" s="76"/>
      <c r="CQ867" s="76"/>
      <c r="CR867" s="76"/>
      <c r="CS867" s="76"/>
      <c r="CT867" s="76"/>
      <c r="CU867" s="76"/>
      <c r="CV867" s="76"/>
      <c r="CW867" s="76"/>
      <c r="CX867" s="76"/>
      <c r="CY867" s="76"/>
      <c r="CZ867" s="76"/>
      <c r="DA867" s="76"/>
      <c r="DB867" s="76"/>
      <c r="DC867" s="76"/>
      <c r="DD867" s="76"/>
      <c r="DE867" s="76"/>
      <c r="DF867" s="76"/>
      <c r="DG867" s="76"/>
      <c r="DH867" s="76"/>
      <c r="DI867" s="76"/>
      <c r="DJ867" s="76"/>
      <c r="DK867" s="76"/>
      <c r="DL867" s="76"/>
      <c r="DM867" s="76"/>
      <c r="DN867" s="76"/>
      <c r="DO867" s="76"/>
      <c r="DP867" s="76"/>
      <c r="DQ867" s="76"/>
      <c r="DR867" s="76"/>
      <c r="DS867" s="76"/>
      <c r="DT867" s="76"/>
      <c r="DU867" s="76"/>
      <c r="DV867" s="76"/>
      <c r="DW867" s="76"/>
      <c r="DX867" s="76"/>
    </row>
    <row r="868" spans="1:128" ht="15.75" customHeight="1">
      <c r="A868" s="76"/>
      <c r="B868" s="79"/>
      <c r="C868" s="18"/>
      <c r="D868" s="18"/>
      <c r="E868" s="18"/>
      <c r="F868" s="18"/>
      <c r="G868" s="18"/>
      <c r="H868" s="18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6"/>
      <c r="CK868" s="76"/>
      <c r="CL868" s="76"/>
      <c r="CM868" s="76"/>
      <c r="CN868" s="76"/>
      <c r="CO868" s="76"/>
      <c r="CP868" s="76"/>
      <c r="CQ868" s="76"/>
      <c r="CR868" s="76"/>
      <c r="CS868" s="76"/>
      <c r="CT868" s="76"/>
      <c r="CU868" s="76"/>
      <c r="CV868" s="76"/>
      <c r="CW868" s="76"/>
      <c r="CX868" s="76"/>
      <c r="CY868" s="76"/>
      <c r="CZ868" s="76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76"/>
      <c r="DN868" s="76"/>
      <c r="DO868" s="76"/>
      <c r="DP868" s="76"/>
      <c r="DQ868" s="76"/>
      <c r="DR868" s="76"/>
      <c r="DS868" s="76"/>
      <c r="DT868" s="76"/>
      <c r="DU868" s="76"/>
      <c r="DV868" s="76"/>
      <c r="DW868" s="76"/>
      <c r="DX868" s="76"/>
    </row>
    <row r="869" spans="1:128" ht="15.75" customHeight="1">
      <c r="A869" s="76"/>
      <c r="B869" s="79"/>
      <c r="C869" s="18"/>
      <c r="D869" s="18"/>
      <c r="E869" s="18"/>
      <c r="F869" s="18"/>
      <c r="G869" s="18"/>
      <c r="H869" s="18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6"/>
      <c r="CK869" s="76"/>
      <c r="CL869" s="76"/>
      <c r="CM869" s="76"/>
      <c r="CN869" s="76"/>
      <c r="CO869" s="76"/>
      <c r="CP869" s="76"/>
      <c r="CQ869" s="76"/>
      <c r="CR869" s="76"/>
      <c r="CS869" s="76"/>
      <c r="CT869" s="76"/>
      <c r="CU869" s="76"/>
      <c r="CV869" s="76"/>
      <c r="CW869" s="76"/>
      <c r="CX869" s="76"/>
      <c r="CY869" s="76"/>
      <c r="CZ869" s="76"/>
      <c r="DA869" s="76"/>
      <c r="DB869" s="76"/>
      <c r="DC869" s="76"/>
      <c r="DD869" s="76"/>
      <c r="DE869" s="76"/>
      <c r="DF869" s="76"/>
      <c r="DG869" s="76"/>
      <c r="DH869" s="76"/>
      <c r="DI869" s="76"/>
      <c r="DJ869" s="76"/>
      <c r="DK869" s="76"/>
      <c r="DL869" s="76"/>
      <c r="DM869" s="76"/>
      <c r="DN869" s="76"/>
      <c r="DO869" s="76"/>
      <c r="DP869" s="76"/>
      <c r="DQ869" s="76"/>
      <c r="DR869" s="76"/>
      <c r="DS869" s="76"/>
      <c r="DT869" s="76"/>
      <c r="DU869" s="76"/>
      <c r="DV869" s="76"/>
      <c r="DW869" s="76"/>
      <c r="DX869" s="76"/>
    </row>
    <row r="870" spans="1:128" ht="15.75" customHeight="1">
      <c r="A870" s="76"/>
      <c r="B870" s="79"/>
      <c r="C870" s="18"/>
      <c r="D870" s="18"/>
      <c r="E870" s="18"/>
      <c r="F870" s="18"/>
      <c r="G870" s="18"/>
      <c r="H870" s="18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6"/>
      <c r="CT870" s="76"/>
      <c r="CU870" s="76"/>
      <c r="CV870" s="76"/>
      <c r="CW870" s="76"/>
      <c r="CX870" s="76"/>
      <c r="CY870" s="76"/>
      <c r="CZ870" s="76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6"/>
      <c r="DX870" s="76"/>
    </row>
    <row r="871" spans="1:128" ht="15.75" customHeight="1">
      <c r="A871" s="76"/>
      <c r="B871" s="79"/>
      <c r="C871" s="18"/>
      <c r="D871" s="18"/>
      <c r="E871" s="18"/>
      <c r="F871" s="18"/>
      <c r="G871" s="18"/>
      <c r="H871" s="18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6"/>
      <c r="CT871" s="76"/>
      <c r="CU871" s="76"/>
      <c r="CV871" s="76"/>
      <c r="CW871" s="76"/>
      <c r="CX871" s="76"/>
      <c r="CY871" s="76"/>
      <c r="CZ871" s="76"/>
      <c r="DA871" s="76"/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6"/>
      <c r="DX871" s="76"/>
    </row>
    <row r="872" spans="1:128" ht="15.75" customHeight="1">
      <c r="A872" s="76"/>
      <c r="B872" s="79"/>
      <c r="C872" s="18"/>
      <c r="D872" s="18"/>
      <c r="E872" s="18"/>
      <c r="F872" s="18"/>
      <c r="G872" s="18"/>
      <c r="H872" s="18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6"/>
      <c r="CK872" s="76"/>
      <c r="CL872" s="76"/>
      <c r="CM872" s="76"/>
      <c r="CN872" s="76"/>
      <c r="CO872" s="76"/>
      <c r="CP872" s="76"/>
      <c r="CQ872" s="76"/>
      <c r="CR872" s="76"/>
      <c r="CS872" s="76"/>
      <c r="CT872" s="76"/>
      <c r="CU872" s="76"/>
      <c r="CV872" s="76"/>
      <c r="CW872" s="76"/>
      <c r="CX872" s="76"/>
      <c r="CY872" s="76"/>
      <c r="CZ872" s="76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76"/>
      <c r="DN872" s="76"/>
      <c r="DO872" s="76"/>
      <c r="DP872" s="76"/>
      <c r="DQ872" s="76"/>
      <c r="DR872" s="76"/>
      <c r="DS872" s="76"/>
      <c r="DT872" s="76"/>
      <c r="DU872" s="76"/>
      <c r="DV872" s="76"/>
      <c r="DW872" s="76"/>
      <c r="DX872" s="76"/>
    </row>
    <row r="873" spans="1:128" ht="15.75" customHeight="1">
      <c r="A873" s="76"/>
      <c r="B873" s="79"/>
      <c r="C873" s="18"/>
      <c r="D873" s="18"/>
      <c r="E873" s="18"/>
      <c r="F873" s="18"/>
      <c r="G873" s="18"/>
      <c r="H873" s="18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6"/>
      <c r="CK873" s="76"/>
      <c r="CL873" s="76"/>
      <c r="CM873" s="76"/>
      <c r="CN873" s="76"/>
      <c r="CO873" s="76"/>
      <c r="CP873" s="76"/>
      <c r="CQ873" s="76"/>
      <c r="CR873" s="76"/>
      <c r="CS873" s="76"/>
      <c r="CT873" s="76"/>
      <c r="CU873" s="76"/>
      <c r="CV873" s="76"/>
      <c r="CW873" s="76"/>
      <c r="CX873" s="76"/>
      <c r="CY873" s="76"/>
      <c r="CZ873" s="76"/>
      <c r="DA873" s="76"/>
      <c r="DB873" s="76"/>
      <c r="DC873" s="76"/>
      <c r="DD873" s="76"/>
      <c r="DE873" s="76"/>
      <c r="DF873" s="76"/>
      <c r="DG873" s="76"/>
      <c r="DH873" s="76"/>
      <c r="DI873" s="76"/>
      <c r="DJ873" s="76"/>
      <c r="DK873" s="76"/>
      <c r="DL873" s="76"/>
      <c r="DM873" s="76"/>
      <c r="DN873" s="76"/>
      <c r="DO873" s="76"/>
      <c r="DP873" s="76"/>
      <c r="DQ873" s="76"/>
      <c r="DR873" s="76"/>
      <c r="DS873" s="76"/>
      <c r="DT873" s="76"/>
      <c r="DU873" s="76"/>
      <c r="DV873" s="76"/>
      <c r="DW873" s="76"/>
      <c r="DX873" s="76"/>
    </row>
    <row r="874" spans="1:128" ht="15.75" customHeight="1">
      <c r="A874" s="76"/>
      <c r="B874" s="79"/>
      <c r="C874" s="18"/>
      <c r="D874" s="18"/>
      <c r="E874" s="18"/>
      <c r="F874" s="18"/>
      <c r="G874" s="18"/>
      <c r="H874" s="18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6"/>
      <c r="CT874" s="76"/>
      <c r="CU874" s="76"/>
      <c r="CV874" s="76"/>
      <c r="CW874" s="76"/>
      <c r="CX874" s="76"/>
      <c r="CY874" s="76"/>
      <c r="CZ874" s="76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6"/>
      <c r="DX874" s="76"/>
    </row>
    <row r="875" spans="1:128" ht="15.75" customHeight="1">
      <c r="A875" s="76"/>
      <c r="B875" s="79"/>
      <c r="C875" s="18"/>
      <c r="D875" s="18"/>
      <c r="E875" s="18"/>
      <c r="F875" s="18"/>
      <c r="G875" s="18"/>
      <c r="H875" s="18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6"/>
      <c r="CK875" s="76"/>
      <c r="CL875" s="76"/>
      <c r="CM875" s="76"/>
      <c r="CN875" s="76"/>
      <c r="CO875" s="76"/>
      <c r="CP875" s="76"/>
      <c r="CQ875" s="76"/>
      <c r="CR875" s="76"/>
      <c r="CS875" s="76"/>
      <c r="CT875" s="76"/>
      <c r="CU875" s="76"/>
      <c r="CV875" s="76"/>
      <c r="CW875" s="76"/>
      <c r="CX875" s="76"/>
      <c r="CY875" s="76"/>
      <c r="CZ875" s="76"/>
      <c r="DA875" s="76"/>
      <c r="DB875" s="76"/>
      <c r="DC875" s="76"/>
      <c r="DD875" s="76"/>
      <c r="DE875" s="76"/>
      <c r="DF875" s="76"/>
      <c r="DG875" s="76"/>
      <c r="DH875" s="76"/>
      <c r="DI875" s="76"/>
      <c r="DJ875" s="76"/>
      <c r="DK875" s="76"/>
      <c r="DL875" s="76"/>
      <c r="DM875" s="76"/>
      <c r="DN875" s="76"/>
      <c r="DO875" s="76"/>
      <c r="DP875" s="76"/>
      <c r="DQ875" s="76"/>
      <c r="DR875" s="76"/>
      <c r="DS875" s="76"/>
      <c r="DT875" s="76"/>
      <c r="DU875" s="76"/>
      <c r="DV875" s="76"/>
      <c r="DW875" s="76"/>
      <c r="DX875" s="76"/>
    </row>
    <row r="876" spans="1:128" ht="15.75" customHeight="1">
      <c r="A876" s="76"/>
      <c r="B876" s="79"/>
      <c r="C876" s="18"/>
      <c r="D876" s="18"/>
      <c r="E876" s="18"/>
      <c r="F876" s="18"/>
      <c r="G876" s="18"/>
      <c r="H876" s="18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6"/>
      <c r="CK876" s="76"/>
      <c r="CL876" s="76"/>
      <c r="CM876" s="76"/>
      <c r="CN876" s="76"/>
      <c r="CO876" s="76"/>
      <c r="CP876" s="76"/>
      <c r="CQ876" s="76"/>
      <c r="CR876" s="76"/>
      <c r="CS876" s="76"/>
      <c r="CT876" s="76"/>
      <c r="CU876" s="76"/>
      <c r="CV876" s="76"/>
      <c r="CW876" s="76"/>
      <c r="CX876" s="76"/>
      <c r="CY876" s="76"/>
      <c r="CZ876" s="76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76"/>
      <c r="DN876" s="76"/>
      <c r="DO876" s="76"/>
      <c r="DP876" s="76"/>
      <c r="DQ876" s="76"/>
      <c r="DR876" s="76"/>
      <c r="DS876" s="76"/>
      <c r="DT876" s="76"/>
      <c r="DU876" s="76"/>
      <c r="DV876" s="76"/>
      <c r="DW876" s="76"/>
      <c r="DX876" s="76"/>
    </row>
    <row r="877" spans="1:128" ht="15.75" customHeight="1">
      <c r="A877" s="76"/>
      <c r="B877" s="79"/>
      <c r="C877" s="18"/>
      <c r="D877" s="18"/>
      <c r="E877" s="18"/>
      <c r="F877" s="18"/>
      <c r="G877" s="18"/>
      <c r="H877" s="18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6"/>
      <c r="CK877" s="76"/>
      <c r="CL877" s="76"/>
      <c r="CM877" s="76"/>
      <c r="CN877" s="76"/>
      <c r="CO877" s="76"/>
      <c r="CP877" s="76"/>
      <c r="CQ877" s="76"/>
      <c r="CR877" s="76"/>
      <c r="CS877" s="76"/>
      <c r="CT877" s="76"/>
      <c r="CU877" s="76"/>
      <c r="CV877" s="76"/>
      <c r="CW877" s="76"/>
      <c r="CX877" s="76"/>
      <c r="CY877" s="76"/>
      <c r="CZ877" s="76"/>
      <c r="DA877" s="76"/>
      <c r="DB877" s="76"/>
      <c r="DC877" s="76"/>
      <c r="DD877" s="76"/>
      <c r="DE877" s="76"/>
      <c r="DF877" s="76"/>
      <c r="DG877" s="76"/>
      <c r="DH877" s="76"/>
      <c r="DI877" s="76"/>
      <c r="DJ877" s="76"/>
      <c r="DK877" s="76"/>
      <c r="DL877" s="76"/>
      <c r="DM877" s="76"/>
      <c r="DN877" s="76"/>
      <c r="DO877" s="76"/>
      <c r="DP877" s="76"/>
      <c r="DQ877" s="76"/>
      <c r="DR877" s="76"/>
      <c r="DS877" s="76"/>
      <c r="DT877" s="76"/>
      <c r="DU877" s="76"/>
      <c r="DV877" s="76"/>
      <c r="DW877" s="76"/>
      <c r="DX877" s="76"/>
    </row>
    <row r="878" spans="1:128" ht="15.75" customHeight="1">
      <c r="A878" s="76"/>
      <c r="B878" s="79"/>
      <c r="C878" s="18"/>
      <c r="D878" s="18"/>
      <c r="E878" s="18"/>
      <c r="F878" s="18"/>
      <c r="G878" s="18"/>
      <c r="H878" s="18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6"/>
      <c r="CK878" s="76"/>
      <c r="CL878" s="76"/>
      <c r="CM878" s="76"/>
      <c r="CN878" s="76"/>
      <c r="CO878" s="76"/>
      <c r="CP878" s="76"/>
      <c r="CQ878" s="76"/>
      <c r="CR878" s="76"/>
      <c r="CS878" s="76"/>
      <c r="CT878" s="76"/>
      <c r="CU878" s="76"/>
      <c r="CV878" s="76"/>
      <c r="CW878" s="76"/>
      <c r="CX878" s="76"/>
      <c r="CY878" s="76"/>
      <c r="CZ878" s="76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76"/>
      <c r="DN878" s="76"/>
      <c r="DO878" s="76"/>
      <c r="DP878" s="76"/>
      <c r="DQ878" s="76"/>
      <c r="DR878" s="76"/>
      <c r="DS878" s="76"/>
      <c r="DT878" s="76"/>
      <c r="DU878" s="76"/>
      <c r="DV878" s="76"/>
      <c r="DW878" s="76"/>
      <c r="DX878" s="76"/>
    </row>
    <row r="879" spans="1:128" ht="15.75" customHeight="1">
      <c r="A879" s="76"/>
      <c r="B879" s="79"/>
      <c r="C879" s="18"/>
      <c r="D879" s="18"/>
      <c r="E879" s="18"/>
      <c r="F879" s="18"/>
      <c r="G879" s="18"/>
      <c r="H879" s="18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6"/>
      <c r="CK879" s="76"/>
      <c r="CL879" s="76"/>
      <c r="CM879" s="76"/>
      <c r="CN879" s="76"/>
      <c r="CO879" s="76"/>
      <c r="CP879" s="76"/>
      <c r="CQ879" s="76"/>
      <c r="CR879" s="76"/>
      <c r="CS879" s="76"/>
      <c r="CT879" s="76"/>
      <c r="CU879" s="76"/>
      <c r="CV879" s="76"/>
      <c r="CW879" s="76"/>
      <c r="CX879" s="76"/>
      <c r="CY879" s="76"/>
      <c r="CZ879" s="76"/>
      <c r="DA879" s="76"/>
      <c r="DB879" s="76"/>
      <c r="DC879" s="76"/>
      <c r="DD879" s="76"/>
      <c r="DE879" s="76"/>
      <c r="DF879" s="76"/>
      <c r="DG879" s="76"/>
      <c r="DH879" s="76"/>
      <c r="DI879" s="76"/>
      <c r="DJ879" s="76"/>
      <c r="DK879" s="76"/>
      <c r="DL879" s="76"/>
      <c r="DM879" s="76"/>
      <c r="DN879" s="76"/>
      <c r="DO879" s="76"/>
      <c r="DP879" s="76"/>
      <c r="DQ879" s="76"/>
      <c r="DR879" s="76"/>
      <c r="DS879" s="76"/>
      <c r="DT879" s="76"/>
      <c r="DU879" s="76"/>
      <c r="DV879" s="76"/>
      <c r="DW879" s="76"/>
      <c r="DX879" s="76"/>
    </row>
    <row r="880" spans="1:128" ht="15.75" customHeight="1">
      <c r="A880" s="76"/>
      <c r="B880" s="79"/>
      <c r="C880" s="18"/>
      <c r="D880" s="18"/>
      <c r="E880" s="18"/>
      <c r="F880" s="18"/>
      <c r="G880" s="18"/>
      <c r="H880" s="18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6"/>
      <c r="CK880" s="76"/>
      <c r="CL880" s="76"/>
      <c r="CM880" s="76"/>
      <c r="CN880" s="76"/>
      <c r="CO880" s="76"/>
      <c r="CP880" s="76"/>
      <c r="CQ880" s="76"/>
      <c r="CR880" s="76"/>
      <c r="CS880" s="76"/>
      <c r="CT880" s="76"/>
      <c r="CU880" s="76"/>
      <c r="CV880" s="76"/>
      <c r="CW880" s="76"/>
      <c r="CX880" s="76"/>
      <c r="CY880" s="76"/>
      <c r="CZ880" s="76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76"/>
      <c r="DN880" s="76"/>
      <c r="DO880" s="76"/>
      <c r="DP880" s="76"/>
      <c r="DQ880" s="76"/>
      <c r="DR880" s="76"/>
      <c r="DS880" s="76"/>
      <c r="DT880" s="76"/>
      <c r="DU880" s="76"/>
      <c r="DV880" s="76"/>
      <c r="DW880" s="76"/>
      <c r="DX880" s="76"/>
    </row>
    <row r="881" spans="1:128" ht="15.75" customHeight="1">
      <c r="A881" s="76"/>
      <c r="B881" s="79"/>
      <c r="C881" s="18"/>
      <c r="D881" s="18"/>
      <c r="E881" s="18"/>
      <c r="F881" s="18"/>
      <c r="G881" s="18"/>
      <c r="H881" s="18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6"/>
      <c r="CK881" s="76"/>
      <c r="CL881" s="76"/>
      <c r="CM881" s="76"/>
      <c r="CN881" s="76"/>
      <c r="CO881" s="76"/>
      <c r="CP881" s="76"/>
      <c r="CQ881" s="76"/>
      <c r="CR881" s="76"/>
      <c r="CS881" s="76"/>
      <c r="CT881" s="76"/>
      <c r="CU881" s="76"/>
      <c r="CV881" s="76"/>
      <c r="CW881" s="76"/>
      <c r="CX881" s="76"/>
      <c r="CY881" s="76"/>
      <c r="CZ881" s="76"/>
      <c r="DA881" s="76"/>
      <c r="DB881" s="76"/>
      <c r="DC881" s="76"/>
      <c r="DD881" s="76"/>
      <c r="DE881" s="76"/>
      <c r="DF881" s="76"/>
      <c r="DG881" s="76"/>
      <c r="DH881" s="76"/>
      <c r="DI881" s="76"/>
      <c r="DJ881" s="76"/>
      <c r="DK881" s="76"/>
      <c r="DL881" s="76"/>
      <c r="DM881" s="76"/>
      <c r="DN881" s="76"/>
      <c r="DO881" s="76"/>
      <c r="DP881" s="76"/>
      <c r="DQ881" s="76"/>
      <c r="DR881" s="76"/>
      <c r="DS881" s="76"/>
      <c r="DT881" s="76"/>
      <c r="DU881" s="76"/>
      <c r="DV881" s="76"/>
      <c r="DW881" s="76"/>
      <c r="DX881" s="76"/>
    </row>
    <row r="882" spans="1:128" ht="15.75" customHeight="1">
      <c r="A882" s="76"/>
      <c r="B882" s="79"/>
      <c r="C882" s="18"/>
      <c r="D882" s="18"/>
      <c r="E882" s="18"/>
      <c r="F882" s="18"/>
      <c r="G882" s="18"/>
      <c r="H882" s="18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6"/>
      <c r="CK882" s="76"/>
      <c r="CL882" s="76"/>
      <c r="CM882" s="76"/>
      <c r="CN882" s="76"/>
      <c r="CO882" s="76"/>
      <c r="CP882" s="76"/>
      <c r="CQ882" s="76"/>
      <c r="CR882" s="76"/>
      <c r="CS882" s="76"/>
      <c r="CT882" s="76"/>
      <c r="CU882" s="76"/>
      <c r="CV882" s="76"/>
      <c r="CW882" s="76"/>
      <c r="CX882" s="76"/>
      <c r="CY882" s="76"/>
      <c r="CZ882" s="76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76"/>
      <c r="DN882" s="76"/>
      <c r="DO882" s="76"/>
      <c r="DP882" s="76"/>
      <c r="DQ882" s="76"/>
      <c r="DR882" s="76"/>
      <c r="DS882" s="76"/>
      <c r="DT882" s="76"/>
      <c r="DU882" s="76"/>
      <c r="DV882" s="76"/>
      <c r="DW882" s="76"/>
      <c r="DX882" s="76"/>
    </row>
    <row r="883" spans="1:128" ht="15.75" customHeight="1">
      <c r="A883" s="76"/>
      <c r="B883" s="79"/>
      <c r="C883" s="18"/>
      <c r="D883" s="18"/>
      <c r="E883" s="18"/>
      <c r="F883" s="18"/>
      <c r="G883" s="18"/>
      <c r="H883" s="18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6"/>
      <c r="CK883" s="76"/>
      <c r="CL883" s="76"/>
      <c r="CM883" s="76"/>
      <c r="CN883" s="76"/>
      <c r="CO883" s="76"/>
      <c r="CP883" s="76"/>
      <c r="CQ883" s="76"/>
      <c r="CR883" s="76"/>
      <c r="CS883" s="76"/>
      <c r="CT883" s="76"/>
      <c r="CU883" s="76"/>
      <c r="CV883" s="76"/>
      <c r="CW883" s="76"/>
      <c r="CX883" s="76"/>
      <c r="CY883" s="76"/>
      <c r="CZ883" s="76"/>
      <c r="DA883" s="76"/>
      <c r="DB883" s="76"/>
      <c r="DC883" s="76"/>
      <c r="DD883" s="76"/>
      <c r="DE883" s="76"/>
      <c r="DF883" s="76"/>
      <c r="DG883" s="76"/>
      <c r="DH883" s="76"/>
      <c r="DI883" s="76"/>
      <c r="DJ883" s="76"/>
      <c r="DK883" s="76"/>
      <c r="DL883" s="76"/>
      <c r="DM883" s="76"/>
      <c r="DN883" s="76"/>
      <c r="DO883" s="76"/>
      <c r="DP883" s="76"/>
      <c r="DQ883" s="76"/>
      <c r="DR883" s="76"/>
      <c r="DS883" s="76"/>
      <c r="DT883" s="76"/>
      <c r="DU883" s="76"/>
      <c r="DV883" s="76"/>
      <c r="DW883" s="76"/>
      <c r="DX883" s="76"/>
    </row>
    <row r="884" spans="1:128" ht="15.75" customHeight="1">
      <c r="A884" s="76"/>
      <c r="B884" s="79"/>
      <c r="C884" s="18"/>
      <c r="D884" s="18"/>
      <c r="E884" s="18"/>
      <c r="F884" s="18"/>
      <c r="G884" s="18"/>
      <c r="H884" s="18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6"/>
      <c r="CK884" s="76"/>
      <c r="CL884" s="76"/>
      <c r="CM884" s="76"/>
      <c r="CN884" s="76"/>
      <c r="CO884" s="76"/>
      <c r="CP884" s="76"/>
      <c r="CQ884" s="76"/>
      <c r="CR884" s="76"/>
      <c r="CS884" s="76"/>
      <c r="CT884" s="76"/>
      <c r="CU884" s="76"/>
      <c r="CV884" s="76"/>
      <c r="CW884" s="76"/>
      <c r="CX884" s="76"/>
      <c r="CY884" s="76"/>
      <c r="CZ884" s="76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76"/>
      <c r="DN884" s="76"/>
      <c r="DO884" s="76"/>
      <c r="DP884" s="76"/>
      <c r="DQ884" s="76"/>
      <c r="DR884" s="76"/>
      <c r="DS884" s="76"/>
      <c r="DT884" s="76"/>
      <c r="DU884" s="76"/>
      <c r="DV884" s="76"/>
      <c r="DW884" s="76"/>
      <c r="DX884" s="76"/>
    </row>
    <row r="885" spans="1:128" ht="15.75" customHeight="1">
      <c r="A885" s="76"/>
      <c r="B885" s="79"/>
      <c r="C885" s="18"/>
      <c r="D885" s="18"/>
      <c r="E885" s="18"/>
      <c r="F885" s="18"/>
      <c r="G885" s="18"/>
      <c r="H885" s="18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6"/>
      <c r="CK885" s="76"/>
      <c r="CL885" s="76"/>
      <c r="CM885" s="76"/>
      <c r="CN885" s="76"/>
      <c r="CO885" s="76"/>
      <c r="CP885" s="76"/>
      <c r="CQ885" s="76"/>
      <c r="CR885" s="76"/>
      <c r="CS885" s="76"/>
      <c r="CT885" s="76"/>
      <c r="CU885" s="76"/>
      <c r="CV885" s="76"/>
      <c r="CW885" s="76"/>
      <c r="CX885" s="76"/>
      <c r="CY885" s="76"/>
      <c r="CZ885" s="76"/>
      <c r="DA885" s="76"/>
      <c r="DB885" s="76"/>
      <c r="DC885" s="76"/>
      <c r="DD885" s="76"/>
      <c r="DE885" s="76"/>
      <c r="DF885" s="76"/>
      <c r="DG885" s="76"/>
      <c r="DH885" s="76"/>
      <c r="DI885" s="76"/>
      <c r="DJ885" s="76"/>
      <c r="DK885" s="76"/>
      <c r="DL885" s="76"/>
      <c r="DM885" s="76"/>
      <c r="DN885" s="76"/>
      <c r="DO885" s="76"/>
      <c r="DP885" s="76"/>
      <c r="DQ885" s="76"/>
      <c r="DR885" s="76"/>
      <c r="DS885" s="76"/>
      <c r="DT885" s="76"/>
      <c r="DU885" s="76"/>
      <c r="DV885" s="76"/>
      <c r="DW885" s="76"/>
      <c r="DX885" s="76"/>
    </row>
    <row r="886" spans="1:128" ht="15.75" customHeight="1">
      <c r="A886" s="76"/>
      <c r="B886" s="79"/>
      <c r="C886" s="18"/>
      <c r="D886" s="18"/>
      <c r="E886" s="18"/>
      <c r="F886" s="18"/>
      <c r="G886" s="18"/>
      <c r="H886" s="18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6"/>
      <c r="CK886" s="76"/>
      <c r="CL886" s="76"/>
      <c r="CM886" s="76"/>
      <c r="CN886" s="76"/>
      <c r="CO886" s="76"/>
      <c r="CP886" s="76"/>
      <c r="CQ886" s="76"/>
      <c r="CR886" s="76"/>
      <c r="CS886" s="76"/>
      <c r="CT886" s="76"/>
      <c r="CU886" s="76"/>
      <c r="CV886" s="76"/>
      <c r="CW886" s="76"/>
      <c r="CX886" s="76"/>
      <c r="CY886" s="76"/>
      <c r="CZ886" s="76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76"/>
      <c r="DN886" s="76"/>
      <c r="DO886" s="76"/>
      <c r="DP886" s="76"/>
      <c r="DQ886" s="76"/>
      <c r="DR886" s="76"/>
      <c r="DS886" s="76"/>
      <c r="DT886" s="76"/>
      <c r="DU886" s="76"/>
      <c r="DV886" s="76"/>
      <c r="DW886" s="76"/>
      <c r="DX886" s="76"/>
    </row>
    <row r="887" spans="1:128" ht="15.75" customHeight="1">
      <c r="A887" s="76"/>
      <c r="B887" s="79"/>
      <c r="C887" s="18"/>
      <c r="D887" s="18"/>
      <c r="E887" s="18"/>
      <c r="F887" s="18"/>
      <c r="G887" s="18"/>
      <c r="H887" s="18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6"/>
      <c r="CK887" s="76"/>
      <c r="CL887" s="76"/>
      <c r="CM887" s="76"/>
      <c r="CN887" s="76"/>
      <c r="CO887" s="76"/>
      <c r="CP887" s="76"/>
      <c r="CQ887" s="76"/>
      <c r="CR887" s="76"/>
      <c r="CS887" s="76"/>
      <c r="CT887" s="76"/>
      <c r="CU887" s="76"/>
      <c r="CV887" s="76"/>
      <c r="CW887" s="76"/>
      <c r="CX887" s="76"/>
      <c r="CY887" s="76"/>
      <c r="CZ887" s="76"/>
      <c r="DA887" s="76"/>
      <c r="DB887" s="76"/>
      <c r="DC887" s="76"/>
      <c r="DD887" s="76"/>
      <c r="DE887" s="76"/>
      <c r="DF887" s="76"/>
      <c r="DG887" s="76"/>
      <c r="DH887" s="76"/>
      <c r="DI887" s="76"/>
      <c r="DJ887" s="76"/>
      <c r="DK887" s="76"/>
      <c r="DL887" s="76"/>
      <c r="DM887" s="76"/>
      <c r="DN887" s="76"/>
      <c r="DO887" s="76"/>
      <c r="DP887" s="76"/>
      <c r="DQ887" s="76"/>
      <c r="DR887" s="76"/>
      <c r="DS887" s="76"/>
      <c r="DT887" s="76"/>
      <c r="DU887" s="76"/>
      <c r="DV887" s="76"/>
      <c r="DW887" s="76"/>
      <c r="DX887" s="76"/>
    </row>
    <row r="888" spans="1:128" ht="15.75" customHeight="1">
      <c r="A888" s="76"/>
      <c r="B888" s="79"/>
      <c r="C888" s="18"/>
      <c r="D888" s="18"/>
      <c r="E888" s="18"/>
      <c r="F888" s="18"/>
      <c r="G888" s="18"/>
      <c r="H888" s="18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6"/>
      <c r="CK888" s="76"/>
      <c r="CL888" s="76"/>
      <c r="CM888" s="76"/>
      <c r="CN888" s="76"/>
      <c r="CO888" s="76"/>
      <c r="CP888" s="76"/>
      <c r="CQ888" s="76"/>
      <c r="CR888" s="76"/>
      <c r="CS888" s="76"/>
      <c r="CT888" s="76"/>
      <c r="CU888" s="76"/>
      <c r="CV888" s="76"/>
      <c r="CW888" s="76"/>
      <c r="CX888" s="76"/>
      <c r="CY888" s="76"/>
      <c r="CZ888" s="76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76"/>
      <c r="DN888" s="76"/>
      <c r="DO888" s="76"/>
      <c r="DP888" s="76"/>
      <c r="DQ888" s="76"/>
      <c r="DR888" s="76"/>
      <c r="DS888" s="76"/>
      <c r="DT888" s="76"/>
      <c r="DU888" s="76"/>
      <c r="DV888" s="76"/>
      <c r="DW888" s="76"/>
      <c r="DX888" s="76"/>
    </row>
    <row r="889" spans="1:128" ht="15.75" customHeight="1">
      <c r="A889" s="76"/>
      <c r="B889" s="79"/>
      <c r="C889" s="18"/>
      <c r="D889" s="18"/>
      <c r="E889" s="18"/>
      <c r="F889" s="18"/>
      <c r="G889" s="18"/>
      <c r="H889" s="18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6"/>
      <c r="CT889" s="76"/>
      <c r="CU889" s="76"/>
      <c r="CV889" s="76"/>
      <c r="CW889" s="76"/>
      <c r="CX889" s="76"/>
      <c r="CY889" s="76"/>
      <c r="CZ889" s="76"/>
      <c r="DA889" s="76"/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  <c r="DS889" s="76"/>
      <c r="DT889" s="76"/>
      <c r="DU889" s="76"/>
      <c r="DV889" s="76"/>
      <c r="DW889" s="76"/>
      <c r="DX889" s="76"/>
    </row>
    <row r="890" spans="1:128" ht="15.75" customHeight="1">
      <c r="A890" s="76"/>
      <c r="B890" s="79"/>
      <c r="C890" s="18"/>
      <c r="D890" s="18"/>
      <c r="E890" s="18"/>
      <c r="F890" s="18"/>
      <c r="G890" s="18"/>
      <c r="H890" s="18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6"/>
      <c r="CT890" s="76"/>
      <c r="CU890" s="76"/>
      <c r="CV890" s="76"/>
      <c r="CW890" s="76"/>
      <c r="CX890" s="76"/>
      <c r="CY890" s="76"/>
      <c r="CZ890" s="76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  <c r="DS890" s="76"/>
      <c r="DT890" s="76"/>
      <c r="DU890" s="76"/>
      <c r="DV890" s="76"/>
      <c r="DW890" s="76"/>
      <c r="DX890" s="76"/>
    </row>
    <row r="891" spans="1:128" ht="15.75" customHeight="1">
      <c r="A891" s="76"/>
      <c r="B891" s="79"/>
      <c r="C891" s="18"/>
      <c r="D891" s="18"/>
      <c r="E891" s="18"/>
      <c r="F891" s="18"/>
      <c r="G891" s="18"/>
      <c r="H891" s="18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6"/>
      <c r="CT891" s="76"/>
      <c r="CU891" s="76"/>
      <c r="CV891" s="76"/>
      <c r="CW891" s="76"/>
      <c r="CX891" s="76"/>
      <c r="CY891" s="76"/>
      <c r="CZ891" s="76"/>
      <c r="DA891" s="76"/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  <c r="DS891" s="76"/>
      <c r="DT891" s="76"/>
      <c r="DU891" s="76"/>
      <c r="DV891" s="76"/>
      <c r="DW891" s="76"/>
      <c r="DX891" s="76"/>
    </row>
    <row r="892" spans="1:128" ht="15.75" customHeight="1">
      <c r="A892" s="76"/>
      <c r="B892" s="79"/>
      <c r="C892" s="18"/>
      <c r="D892" s="18"/>
      <c r="E892" s="18"/>
      <c r="F892" s="18"/>
      <c r="G892" s="18"/>
      <c r="H892" s="18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6"/>
      <c r="CK892" s="76"/>
      <c r="CL892" s="76"/>
      <c r="CM892" s="76"/>
      <c r="CN892" s="76"/>
      <c r="CO892" s="76"/>
      <c r="CP892" s="76"/>
      <c r="CQ892" s="76"/>
      <c r="CR892" s="76"/>
      <c r="CS892" s="76"/>
      <c r="CT892" s="76"/>
      <c r="CU892" s="76"/>
      <c r="CV892" s="76"/>
      <c r="CW892" s="76"/>
      <c r="CX892" s="76"/>
      <c r="CY892" s="76"/>
      <c r="CZ892" s="76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76"/>
      <c r="DN892" s="76"/>
      <c r="DO892" s="76"/>
      <c r="DP892" s="76"/>
      <c r="DQ892" s="76"/>
      <c r="DR892" s="76"/>
      <c r="DS892" s="76"/>
      <c r="DT892" s="76"/>
      <c r="DU892" s="76"/>
      <c r="DV892" s="76"/>
      <c r="DW892" s="76"/>
      <c r="DX892" s="76"/>
    </row>
    <row r="893" spans="1:128" ht="15.75" customHeight="1">
      <c r="A893" s="76"/>
      <c r="B893" s="79"/>
      <c r="C893" s="18"/>
      <c r="D893" s="18"/>
      <c r="E893" s="18"/>
      <c r="F893" s="18"/>
      <c r="G893" s="18"/>
      <c r="H893" s="18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6"/>
      <c r="CK893" s="76"/>
      <c r="CL893" s="76"/>
      <c r="CM893" s="76"/>
      <c r="CN893" s="76"/>
      <c r="CO893" s="76"/>
      <c r="CP893" s="76"/>
      <c r="CQ893" s="76"/>
      <c r="CR893" s="76"/>
      <c r="CS893" s="76"/>
      <c r="CT893" s="76"/>
      <c r="CU893" s="76"/>
      <c r="CV893" s="76"/>
      <c r="CW893" s="76"/>
      <c r="CX893" s="76"/>
      <c r="CY893" s="76"/>
      <c r="CZ893" s="76"/>
      <c r="DA893" s="76"/>
      <c r="DB893" s="76"/>
      <c r="DC893" s="76"/>
      <c r="DD893" s="76"/>
      <c r="DE893" s="76"/>
      <c r="DF893" s="76"/>
      <c r="DG893" s="76"/>
      <c r="DH893" s="76"/>
      <c r="DI893" s="76"/>
      <c r="DJ893" s="76"/>
      <c r="DK893" s="76"/>
      <c r="DL893" s="76"/>
      <c r="DM893" s="76"/>
      <c r="DN893" s="76"/>
      <c r="DO893" s="76"/>
      <c r="DP893" s="76"/>
      <c r="DQ893" s="76"/>
      <c r="DR893" s="76"/>
      <c r="DS893" s="76"/>
      <c r="DT893" s="76"/>
      <c r="DU893" s="76"/>
      <c r="DV893" s="76"/>
      <c r="DW893" s="76"/>
      <c r="DX893" s="76"/>
    </row>
    <row r="894" spans="1:128" ht="15.75" customHeight="1">
      <c r="A894" s="76"/>
      <c r="B894" s="79"/>
      <c r="C894" s="18"/>
      <c r="D894" s="18"/>
      <c r="E894" s="18"/>
      <c r="F894" s="18"/>
      <c r="G894" s="18"/>
      <c r="H894" s="18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6"/>
      <c r="CK894" s="76"/>
      <c r="CL894" s="76"/>
      <c r="CM894" s="76"/>
      <c r="CN894" s="76"/>
      <c r="CO894" s="76"/>
      <c r="CP894" s="76"/>
      <c r="CQ894" s="76"/>
      <c r="CR894" s="76"/>
      <c r="CS894" s="76"/>
      <c r="CT894" s="76"/>
      <c r="CU894" s="76"/>
      <c r="CV894" s="76"/>
      <c r="CW894" s="76"/>
      <c r="CX894" s="76"/>
      <c r="CY894" s="76"/>
      <c r="CZ894" s="76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76"/>
      <c r="DN894" s="76"/>
      <c r="DO894" s="76"/>
      <c r="DP894" s="76"/>
      <c r="DQ894" s="76"/>
      <c r="DR894" s="76"/>
      <c r="DS894" s="76"/>
      <c r="DT894" s="76"/>
      <c r="DU894" s="76"/>
      <c r="DV894" s="76"/>
      <c r="DW894" s="76"/>
      <c r="DX894" s="76"/>
    </row>
    <row r="895" spans="1:128" ht="15.75" customHeight="1">
      <c r="A895" s="76"/>
      <c r="B895" s="79"/>
      <c r="C895" s="18"/>
      <c r="D895" s="18"/>
      <c r="E895" s="18"/>
      <c r="F895" s="18"/>
      <c r="G895" s="18"/>
      <c r="H895" s="18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6"/>
      <c r="CK895" s="76"/>
      <c r="CL895" s="76"/>
      <c r="CM895" s="76"/>
      <c r="CN895" s="76"/>
      <c r="CO895" s="76"/>
      <c r="CP895" s="76"/>
      <c r="CQ895" s="76"/>
      <c r="CR895" s="76"/>
      <c r="CS895" s="76"/>
      <c r="CT895" s="76"/>
      <c r="CU895" s="76"/>
      <c r="CV895" s="76"/>
      <c r="CW895" s="76"/>
      <c r="CX895" s="76"/>
      <c r="CY895" s="76"/>
      <c r="CZ895" s="76"/>
      <c r="DA895" s="76"/>
      <c r="DB895" s="76"/>
      <c r="DC895" s="76"/>
      <c r="DD895" s="76"/>
      <c r="DE895" s="76"/>
      <c r="DF895" s="76"/>
      <c r="DG895" s="76"/>
      <c r="DH895" s="76"/>
      <c r="DI895" s="76"/>
      <c r="DJ895" s="76"/>
      <c r="DK895" s="76"/>
      <c r="DL895" s="76"/>
      <c r="DM895" s="76"/>
      <c r="DN895" s="76"/>
      <c r="DO895" s="76"/>
      <c r="DP895" s="76"/>
      <c r="DQ895" s="76"/>
      <c r="DR895" s="76"/>
      <c r="DS895" s="76"/>
      <c r="DT895" s="76"/>
      <c r="DU895" s="76"/>
      <c r="DV895" s="76"/>
      <c r="DW895" s="76"/>
      <c r="DX895" s="76"/>
    </row>
    <row r="896" spans="1:128" ht="15.75" customHeight="1">
      <c r="A896" s="76"/>
      <c r="B896" s="79"/>
      <c r="C896" s="18"/>
      <c r="D896" s="18"/>
      <c r="E896" s="18"/>
      <c r="F896" s="18"/>
      <c r="G896" s="18"/>
      <c r="H896" s="18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6"/>
      <c r="CK896" s="76"/>
      <c r="CL896" s="76"/>
      <c r="CM896" s="76"/>
      <c r="CN896" s="76"/>
      <c r="CO896" s="76"/>
      <c r="CP896" s="76"/>
      <c r="CQ896" s="76"/>
      <c r="CR896" s="76"/>
      <c r="CS896" s="76"/>
      <c r="CT896" s="76"/>
      <c r="CU896" s="76"/>
      <c r="CV896" s="76"/>
      <c r="CW896" s="76"/>
      <c r="CX896" s="76"/>
      <c r="CY896" s="76"/>
      <c r="CZ896" s="76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76"/>
      <c r="DN896" s="76"/>
      <c r="DO896" s="76"/>
      <c r="DP896" s="76"/>
      <c r="DQ896" s="76"/>
      <c r="DR896" s="76"/>
      <c r="DS896" s="76"/>
      <c r="DT896" s="76"/>
      <c r="DU896" s="76"/>
      <c r="DV896" s="76"/>
      <c r="DW896" s="76"/>
      <c r="DX896" s="76"/>
    </row>
    <row r="897" spans="1:128" ht="15.75" customHeight="1">
      <c r="A897" s="76"/>
      <c r="B897" s="79"/>
      <c r="C897" s="18"/>
      <c r="D897" s="18"/>
      <c r="E897" s="18"/>
      <c r="F897" s="18"/>
      <c r="G897" s="18"/>
      <c r="H897" s="18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6"/>
      <c r="CK897" s="76"/>
      <c r="CL897" s="76"/>
      <c r="CM897" s="76"/>
      <c r="CN897" s="76"/>
      <c r="CO897" s="76"/>
      <c r="CP897" s="76"/>
      <c r="CQ897" s="76"/>
      <c r="CR897" s="76"/>
      <c r="CS897" s="76"/>
      <c r="CT897" s="76"/>
      <c r="CU897" s="76"/>
      <c r="CV897" s="76"/>
      <c r="CW897" s="76"/>
      <c r="CX897" s="76"/>
      <c r="CY897" s="76"/>
      <c r="CZ897" s="76"/>
      <c r="DA897" s="76"/>
      <c r="DB897" s="76"/>
      <c r="DC897" s="76"/>
      <c r="DD897" s="76"/>
      <c r="DE897" s="76"/>
      <c r="DF897" s="76"/>
      <c r="DG897" s="76"/>
      <c r="DH897" s="76"/>
      <c r="DI897" s="76"/>
      <c r="DJ897" s="76"/>
      <c r="DK897" s="76"/>
      <c r="DL897" s="76"/>
      <c r="DM897" s="76"/>
      <c r="DN897" s="76"/>
      <c r="DO897" s="76"/>
      <c r="DP897" s="76"/>
      <c r="DQ897" s="76"/>
      <c r="DR897" s="76"/>
      <c r="DS897" s="76"/>
      <c r="DT897" s="76"/>
      <c r="DU897" s="76"/>
      <c r="DV897" s="76"/>
      <c r="DW897" s="76"/>
      <c r="DX897" s="76"/>
    </row>
    <row r="898" spans="1:128" ht="15.75" customHeight="1">
      <c r="A898" s="76"/>
      <c r="B898" s="79"/>
      <c r="C898" s="18"/>
      <c r="D898" s="18"/>
      <c r="E898" s="18"/>
      <c r="F898" s="18"/>
      <c r="G898" s="18"/>
      <c r="H898" s="18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6"/>
      <c r="CK898" s="76"/>
      <c r="CL898" s="76"/>
      <c r="CM898" s="76"/>
      <c r="CN898" s="76"/>
      <c r="CO898" s="76"/>
      <c r="CP898" s="76"/>
      <c r="CQ898" s="76"/>
      <c r="CR898" s="76"/>
      <c r="CS898" s="76"/>
      <c r="CT898" s="76"/>
      <c r="CU898" s="76"/>
      <c r="CV898" s="76"/>
      <c r="CW898" s="76"/>
      <c r="CX898" s="76"/>
      <c r="CY898" s="76"/>
      <c r="CZ898" s="76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76"/>
      <c r="DN898" s="76"/>
      <c r="DO898" s="76"/>
      <c r="DP898" s="76"/>
      <c r="DQ898" s="76"/>
      <c r="DR898" s="76"/>
      <c r="DS898" s="76"/>
      <c r="DT898" s="76"/>
      <c r="DU898" s="76"/>
      <c r="DV898" s="76"/>
      <c r="DW898" s="76"/>
      <c r="DX898" s="76"/>
    </row>
    <row r="899" spans="1:128" ht="15.75" customHeight="1">
      <c r="A899" s="76"/>
      <c r="B899" s="79"/>
      <c r="C899" s="18"/>
      <c r="D899" s="18"/>
      <c r="E899" s="18"/>
      <c r="F899" s="18"/>
      <c r="G899" s="18"/>
      <c r="H899" s="18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6"/>
      <c r="CK899" s="76"/>
      <c r="CL899" s="76"/>
      <c r="CM899" s="76"/>
      <c r="CN899" s="76"/>
      <c r="CO899" s="76"/>
      <c r="CP899" s="76"/>
      <c r="CQ899" s="76"/>
      <c r="CR899" s="76"/>
      <c r="CS899" s="76"/>
      <c r="CT899" s="76"/>
      <c r="CU899" s="76"/>
      <c r="CV899" s="76"/>
      <c r="CW899" s="76"/>
      <c r="CX899" s="76"/>
      <c r="CY899" s="76"/>
      <c r="CZ899" s="76"/>
      <c r="DA899" s="76"/>
      <c r="DB899" s="76"/>
      <c r="DC899" s="76"/>
      <c r="DD899" s="76"/>
      <c r="DE899" s="76"/>
      <c r="DF899" s="76"/>
      <c r="DG899" s="76"/>
      <c r="DH899" s="76"/>
      <c r="DI899" s="76"/>
      <c r="DJ899" s="76"/>
      <c r="DK899" s="76"/>
      <c r="DL899" s="76"/>
      <c r="DM899" s="76"/>
      <c r="DN899" s="76"/>
      <c r="DO899" s="76"/>
      <c r="DP899" s="76"/>
      <c r="DQ899" s="76"/>
      <c r="DR899" s="76"/>
      <c r="DS899" s="76"/>
      <c r="DT899" s="76"/>
      <c r="DU899" s="76"/>
      <c r="DV899" s="76"/>
      <c r="DW899" s="76"/>
      <c r="DX899" s="76"/>
    </row>
    <row r="900" spans="1:128" ht="15.75" customHeight="1">
      <c r="A900" s="76"/>
      <c r="B900" s="79"/>
      <c r="C900" s="18"/>
      <c r="D900" s="18"/>
      <c r="E900" s="18"/>
      <c r="F900" s="18"/>
      <c r="G900" s="18"/>
      <c r="H900" s="18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6"/>
      <c r="CK900" s="76"/>
      <c r="CL900" s="76"/>
      <c r="CM900" s="76"/>
      <c r="CN900" s="76"/>
      <c r="CO900" s="76"/>
      <c r="CP900" s="76"/>
      <c r="CQ900" s="76"/>
      <c r="CR900" s="76"/>
      <c r="CS900" s="76"/>
      <c r="CT900" s="76"/>
      <c r="CU900" s="76"/>
      <c r="CV900" s="76"/>
      <c r="CW900" s="76"/>
      <c r="CX900" s="76"/>
      <c r="CY900" s="76"/>
      <c r="CZ900" s="76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76"/>
      <c r="DN900" s="76"/>
      <c r="DO900" s="76"/>
      <c r="DP900" s="76"/>
      <c r="DQ900" s="76"/>
      <c r="DR900" s="76"/>
      <c r="DS900" s="76"/>
      <c r="DT900" s="76"/>
      <c r="DU900" s="76"/>
      <c r="DV900" s="76"/>
      <c r="DW900" s="76"/>
      <c r="DX900" s="76"/>
    </row>
    <row r="901" spans="1:128" ht="15.75" customHeight="1">
      <c r="A901" s="76"/>
      <c r="B901" s="79"/>
      <c r="C901" s="18"/>
      <c r="D901" s="18"/>
      <c r="E901" s="18"/>
      <c r="F901" s="18"/>
      <c r="G901" s="18"/>
      <c r="H901" s="18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6"/>
      <c r="CK901" s="76"/>
      <c r="CL901" s="76"/>
      <c r="CM901" s="76"/>
      <c r="CN901" s="76"/>
      <c r="CO901" s="76"/>
      <c r="CP901" s="76"/>
      <c r="CQ901" s="76"/>
      <c r="CR901" s="76"/>
      <c r="CS901" s="76"/>
      <c r="CT901" s="76"/>
      <c r="CU901" s="76"/>
      <c r="CV901" s="76"/>
      <c r="CW901" s="76"/>
      <c r="CX901" s="76"/>
      <c r="CY901" s="76"/>
      <c r="CZ901" s="76"/>
      <c r="DA901" s="76"/>
      <c r="DB901" s="76"/>
      <c r="DC901" s="76"/>
      <c r="DD901" s="76"/>
      <c r="DE901" s="76"/>
      <c r="DF901" s="76"/>
      <c r="DG901" s="76"/>
      <c r="DH901" s="76"/>
      <c r="DI901" s="76"/>
      <c r="DJ901" s="76"/>
      <c r="DK901" s="76"/>
      <c r="DL901" s="76"/>
      <c r="DM901" s="76"/>
      <c r="DN901" s="76"/>
      <c r="DO901" s="76"/>
      <c r="DP901" s="76"/>
      <c r="DQ901" s="76"/>
      <c r="DR901" s="76"/>
      <c r="DS901" s="76"/>
      <c r="DT901" s="76"/>
      <c r="DU901" s="76"/>
      <c r="DV901" s="76"/>
      <c r="DW901" s="76"/>
      <c r="DX901" s="76"/>
    </row>
    <row r="902" spans="1:128" ht="15.75" customHeight="1">
      <c r="A902" s="76"/>
      <c r="B902" s="79"/>
      <c r="C902" s="18"/>
      <c r="D902" s="18"/>
      <c r="E902" s="18"/>
      <c r="F902" s="18"/>
      <c r="G902" s="18"/>
      <c r="H902" s="18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6"/>
      <c r="CK902" s="76"/>
      <c r="CL902" s="76"/>
      <c r="CM902" s="76"/>
      <c r="CN902" s="76"/>
      <c r="CO902" s="76"/>
      <c r="CP902" s="76"/>
      <c r="CQ902" s="76"/>
      <c r="CR902" s="76"/>
      <c r="CS902" s="76"/>
      <c r="CT902" s="76"/>
      <c r="CU902" s="76"/>
      <c r="CV902" s="76"/>
      <c r="CW902" s="76"/>
      <c r="CX902" s="76"/>
      <c r="CY902" s="76"/>
      <c r="CZ902" s="76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76"/>
      <c r="DN902" s="76"/>
      <c r="DO902" s="76"/>
      <c r="DP902" s="76"/>
      <c r="DQ902" s="76"/>
      <c r="DR902" s="76"/>
      <c r="DS902" s="76"/>
      <c r="DT902" s="76"/>
      <c r="DU902" s="76"/>
      <c r="DV902" s="76"/>
      <c r="DW902" s="76"/>
      <c r="DX902" s="76"/>
    </row>
    <row r="903" spans="1:128" ht="15.75" customHeight="1">
      <c r="A903" s="76"/>
      <c r="B903" s="79"/>
      <c r="C903" s="18"/>
      <c r="D903" s="18"/>
      <c r="E903" s="18"/>
      <c r="F903" s="18"/>
      <c r="G903" s="18"/>
      <c r="H903" s="18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6"/>
      <c r="CK903" s="76"/>
      <c r="CL903" s="76"/>
      <c r="CM903" s="76"/>
      <c r="CN903" s="76"/>
      <c r="CO903" s="76"/>
      <c r="CP903" s="76"/>
      <c r="CQ903" s="76"/>
      <c r="CR903" s="76"/>
      <c r="CS903" s="76"/>
      <c r="CT903" s="76"/>
      <c r="CU903" s="76"/>
      <c r="CV903" s="76"/>
      <c r="CW903" s="76"/>
      <c r="CX903" s="76"/>
      <c r="CY903" s="76"/>
      <c r="CZ903" s="76"/>
      <c r="DA903" s="76"/>
      <c r="DB903" s="76"/>
      <c r="DC903" s="76"/>
      <c r="DD903" s="76"/>
      <c r="DE903" s="76"/>
      <c r="DF903" s="76"/>
      <c r="DG903" s="76"/>
      <c r="DH903" s="76"/>
      <c r="DI903" s="76"/>
      <c r="DJ903" s="76"/>
      <c r="DK903" s="76"/>
      <c r="DL903" s="76"/>
      <c r="DM903" s="76"/>
      <c r="DN903" s="76"/>
      <c r="DO903" s="76"/>
      <c r="DP903" s="76"/>
      <c r="DQ903" s="76"/>
      <c r="DR903" s="76"/>
      <c r="DS903" s="76"/>
      <c r="DT903" s="76"/>
      <c r="DU903" s="76"/>
      <c r="DV903" s="76"/>
      <c r="DW903" s="76"/>
      <c r="DX903" s="76"/>
    </row>
    <row r="904" spans="1:128" ht="15.75" customHeight="1">
      <c r="A904" s="76"/>
      <c r="B904" s="79"/>
      <c r="C904" s="18"/>
      <c r="D904" s="18"/>
      <c r="E904" s="18"/>
      <c r="F904" s="18"/>
      <c r="G904" s="18"/>
      <c r="H904" s="18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6"/>
      <c r="CK904" s="76"/>
      <c r="CL904" s="76"/>
      <c r="CM904" s="76"/>
      <c r="CN904" s="76"/>
      <c r="CO904" s="76"/>
      <c r="CP904" s="76"/>
      <c r="CQ904" s="76"/>
      <c r="CR904" s="76"/>
      <c r="CS904" s="76"/>
      <c r="CT904" s="76"/>
      <c r="CU904" s="76"/>
      <c r="CV904" s="76"/>
      <c r="CW904" s="76"/>
      <c r="CX904" s="76"/>
      <c r="CY904" s="76"/>
      <c r="CZ904" s="76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76"/>
      <c r="DN904" s="76"/>
      <c r="DO904" s="76"/>
      <c r="DP904" s="76"/>
      <c r="DQ904" s="76"/>
      <c r="DR904" s="76"/>
      <c r="DS904" s="76"/>
      <c r="DT904" s="76"/>
      <c r="DU904" s="76"/>
      <c r="DV904" s="76"/>
      <c r="DW904" s="76"/>
      <c r="DX904" s="76"/>
    </row>
    <row r="905" spans="1:128" ht="15.75" customHeight="1">
      <c r="A905" s="76"/>
      <c r="B905" s="79"/>
      <c r="C905" s="18"/>
      <c r="D905" s="18"/>
      <c r="E905" s="18"/>
      <c r="F905" s="18"/>
      <c r="G905" s="18"/>
      <c r="H905" s="18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6"/>
      <c r="CK905" s="76"/>
      <c r="CL905" s="76"/>
      <c r="CM905" s="76"/>
      <c r="CN905" s="76"/>
      <c r="CO905" s="76"/>
      <c r="CP905" s="76"/>
      <c r="CQ905" s="76"/>
      <c r="CR905" s="76"/>
      <c r="CS905" s="76"/>
      <c r="CT905" s="76"/>
      <c r="CU905" s="76"/>
      <c r="CV905" s="76"/>
      <c r="CW905" s="76"/>
      <c r="CX905" s="76"/>
      <c r="CY905" s="76"/>
      <c r="CZ905" s="76"/>
      <c r="DA905" s="76"/>
      <c r="DB905" s="76"/>
      <c r="DC905" s="76"/>
      <c r="DD905" s="76"/>
      <c r="DE905" s="76"/>
      <c r="DF905" s="76"/>
      <c r="DG905" s="76"/>
      <c r="DH905" s="76"/>
      <c r="DI905" s="76"/>
      <c r="DJ905" s="76"/>
      <c r="DK905" s="76"/>
      <c r="DL905" s="76"/>
      <c r="DM905" s="76"/>
      <c r="DN905" s="76"/>
      <c r="DO905" s="76"/>
      <c r="DP905" s="76"/>
      <c r="DQ905" s="76"/>
      <c r="DR905" s="76"/>
      <c r="DS905" s="76"/>
      <c r="DT905" s="76"/>
      <c r="DU905" s="76"/>
      <c r="DV905" s="76"/>
      <c r="DW905" s="76"/>
      <c r="DX905" s="76"/>
    </row>
    <row r="906" spans="1:128" ht="15.75" customHeight="1">
      <c r="A906" s="76"/>
      <c r="B906" s="79"/>
      <c r="C906" s="18"/>
      <c r="D906" s="18"/>
      <c r="E906" s="18"/>
      <c r="F906" s="18"/>
      <c r="G906" s="18"/>
      <c r="H906" s="18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6"/>
      <c r="CK906" s="76"/>
      <c r="CL906" s="76"/>
      <c r="CM906" s="76"/>
      <c r="CN906" s="76"/>
      <c r="CO906" s="76"/>
      <c r="CP906" s="76"/>
      <c r="CQ906" s="76"/>
      <c r="CR906" s="76"/>
      <c r="CS906" s="76"/>
      <c r="CT906" s="76"/>
      <c r="CU906" s="76"/>
      <c r="CV906" s="76"/>
      <c r="CW906" s="76"/>
      <c r="CX906" s="76"/>
      <c r="CY906" s="76"/>
      <c r="CZ906" s="76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76"/>
      <c r="DN906" s="76"/>
      <c r="DO906" s="76"/>
      <c r="DP906" s="76"/>
      <c r="DQ906" s="76"/>
      <c r="DR906" s="76"/>
      <c r="DS906" s="76"/>
      <c r="DT906" s="76"/>
      <c r="DU906" s="76"/>
      <c r="DV906" s="76"/>
      <c r="DW906" s="76"/>
      <c r="DX906" s="76"/>
    </row>
    <row r="907" spans="1:128" ht="15.75" customHeight="1">
      <c r="A907" s="76"/>
      <c r="B907" s="79"/>
      <c r="C907" s="18"/>
      <c r="D907" s="18"/>
      <c r="E907" s="18"/>
      <c r="F907" s="18"/>
      <c r="G907" s="18"/>
      <c r="H907" s="18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6"/>
      <c r="CK907" s="76"/>
      <c r="CL907" s="76"/>
      <c r="CM907" s="76"/>
      <c r="CN907" s="76"/>
      <c r="CO907" s="76"/>
      <c r="CP907" s="76"/>
      <c r="CQ907" s="76"/>
      <c r="CR907" s="76"/>
      <c r="CS907" s="76"/>
      <c r="CT907" s="76"/>
      <c r="CU907" s="76"/>
      <c r="CV907" s="76"/>
      <c r="CW907" s="76"/>
      <c r="CX907" s="76"/>
      <c r="CY907" s="76"/>
      <c r="CZ907" s="76"/>
      <c r="DA907" s="76"/>
      <c r="DB907" s="76"/>
      <c r="DC907" s="76"/>
      <c r="DD907" s="76"/>
      <c r="DE907" s="76"/>
      <c r="DF907" s="76"/>
      <c r="DG907" s="76"/>
      <c r="DH907" s="76"/>
      <c r="DI907" s="76"/>
      <c r="DJ907" s="76"/>
      <c r="DK907" s="76"/>
      <c r="DL907" s="76"/>
      <c r="DM907" s="76"/>
      <c r="DN907" s="76"/>
      <c r="DO907" s="76"/>
      <c r="DP907" s="76"/>
      <c r="DQ907" s="76"/>
      <c r="DR907" s="76"/>
      <c r="DS907" s="76"/>
      <c r="DT907" s="76"/>
      <c r="DU907" s="76"/>
      <c r="DV907" s="76"/>
      <c r="DW907" s="76"/>
      <c r="DX907" s="76"/>
    </row>
    <row r="908" spans="1:128" ht="15.75" customHeight="1">
      <c r="A908" s="76"/>
      <c r="B908" s="79"/>
      <c r="C908" s="18"/>
      <c r="D908" s="18"/>
      <c r="E908" s="18"/>
      <c r="F908" s="18"/>
      <c r="G908" s="18"/>
      <c r="H908" s="18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6"/>
      <c r="CK908" s="76"/>
      <c r="CL908" s="76"/>
      <c r="CM908" s="76"/>
      <c r="CN908" s="76"/>
      <c r="CO908" s="76"/>
      <c r="CP908" s="76"/>
      <c r="CQ908" s="76"/>
      <c r="CR908" s="76"/>
      <c r="CS908" s="76"/>
      <c r="CT908" s="76"/>
      <c r="CU908" s="76"/>
      <c r="CV908" s="76"/>
      <c r="CW908" s="76"/>
      <c r="CX908" s="76"/>
      <c r="CY908" s="76"/>
      <c r="CZ908" s="76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76"/>
      <c r="DN908" s="76"/>
      <c r="DO908" s="76"/>
      <c r="DP908" s="76"/>
      <c r="DQ908" s="76"/>
      <c r="DR908" s="76"/>
      <c r="DS908" s="76"/>
      <c r="DT908" s="76"/>
      <c r="DU908" s="76"/>
      <c r="DV908" s="76"/>
      <c r="DW908" s="76"/>
      <c r="DX908" s="76"/>
    </row>
    <row r="909" spans="1:128" ht="15.75" customHeight="1">
      <c r="A909" s="76"/>
      <c r="B909" s="79"/>
      <c r="C909" s="18"/>
      <c r="D909" s="18"/>
      <c r="E909" s="18"/>
      <c r="F909" s="18"/>
      <c r="G909" s="18"/>
      <c r="H909" s="18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6"/>
      <c r="CK909" s="76"/>
      <c r="CL909" s="76"/>
      <c r="CM909" s="76"/>
      <c r="CN909" s="76"/>
      <c r="CO909" s="76"/>
      <c r="CP909" s="76"/>
      <c r="CQ909" s="76"/>
      <c r="CR909" s="76"/>
      <c r="CS909" s="76"/>
      <c r="CT909" s="76"/>
      <c r="CU909" s="76"/>
      <c r="CV909" s="76"/>
      <c r="CW909" s="76"/>
      <c r="CX909" s="76"/>
      <c r="CY909" s="76"/>
      <c r="CZ909" s="76"/>
      <c r="DA909" s="76"/>
      <c r="DB909" s="76"/>
      <c r="DC909" s="76"/>
      <c r="DD909" s="76"/>
      <c r="DE909" s="76"/>
      <c r="DF909" s="76"/>
      <c r="DG909" s="76"/>
      <c r="DH909" s="76"/>
      <c r="DI909" s="76"/>
      <c r="DJ909" s="76"/>
      <c r="DK909" s="76"/>
      <c r="DL909" s="76"/>
      <c r="DM909" s="76"/>
      <c r="DN909" s="76"/>
      <c r="DO909" s="76"/>
      <c r="DP909" s="76"/>
      <c r="DQ909" s="76"/>
      <c r="DR909" s="76"/>
      <c r="DS909" s="76"/>
      <c r="DT909" s="76"/>
      <c r="DU909" s="76"/>
      <c r="DV909" s="76"/>
      <c r="DW909" s="76"/>
      <c r="DX909" s="76"/>
    </row>
    <row r="910" spans="1:128" ht="15.75" customHeight="1">
      <c r="A910" s="76"/>
      <c r="B910" s="79"/>
      <c r="C910" s="18"/>
      <c r="D910" s="18"/>
      <c r="E910" s="18"/>
      <c r="F910" s="18"/>
      <c r="G910" s="18"/>
      <c r="H910" s="18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/>
      <c r="CK910" s="76"/>
      <c r="CL910" s="76"/>
      <c r="CM910" s="76"/>
      <c r="CN910" s="76"/>
      <c r="CO910" s="76"/>
      <c r="CP910" s="76"/>
      <c r="CQ910" s="76"/>
      <c r="CR910" s="76"/>
      <c r="CS910" s="76"/>
      <c r="CT910" s="76"/>
      <c r="CU910" s="76"/>
      <c r="CV910" s="76"/>
      <c r="CW910" s="76"/>
      <c r="CX910" s="76"/>
      <c r="CY910" s="76"/>
      <c r="CZ910" s="76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76"/>
      <c r="DN910" s="76"/>
      <c r="DO910" s="76"/>
      <c r="DP910" s="76"/>
      <c r="DQ910" s="76"/>
      <c r="DR910" s="76"/>
      <c r="DS910" s="76"/>
      <c r="DT910" s="76"/>
      <c r="DU910" s="76"/>
      <c r="DV910" s="76"/>
      <c r="DW910" s="76"/>
      <c r="DX910" s="76"/>
    </row>
    <row r="911" spans="1:128" ht="15.75" customHeight="1">
      <c r="A911" s="76"/>
      <c r="B911" s="79"/>
      <c r="C911" s="18"/>
      <c r="D911" s="18"/>
      <c r="E911" s="18"/>
      <c r="F911" s="18"/>
      <c r="G911" s="18"/>
      <c r="H911" s="18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/>
      <c r="CK911" s="76"/>
      <c r="CL911" s="76"/>
      <c r="CM911" s="76"/>
      <c r="CN911" s="76"/>
      <c r="CO911" s="76"/>
      <c r="CP911" s="76"/>
      <c r="CQ911" s="76"/>
      <c r="CR911" s="76"/>
      <c r="CS911" s="76"/>
      <c r="CT911" s="76"/>
      <c r="CU911" s="76"/>
      <c r="CV911" s="76"/>
      <c r="CW911" s="76"/>
      <c r="CX911" s="76"/>
      <c r="CY911" s="76"/>
      <c r="CZ911" s="76"/>
      <c r="DA911" s="76"/>
      <c r="DB911" s="76"/>
      <c r="DC911" s="76"/>
      <c r="DD911" s="76"/>
      <c r="DE911" s="76"/>
      <c r="DF911" s="76"/>
      <c r="DG911" s="76"/>
      <c r="DH911" s="76"/>
      <c r="DI911" s="76"/>
      <c r="DJ911" s="76"/>
      <c r="DK911" s="76"/>
      <c r="DL911" s="76"/>
      <c r="DM911" s="76"/>
      <c r="DN911" s="76"/>
      <c r="DO911" s="76"/>
      <c r="DP911" s="76"/>
      <c r="DQ911" s="76"/>
      <c r="DR911" s="76"/>
      <c r="DS911" s="76"/>
      <c r="DT911" s="76"/>
      <c r="DU911" s="76"/>
      <c r="DV911" s="76"/>
      <c r="DW911" s="76"/>
      <c r="DX911" s="76"/>
    </row>
    <row r="912" spans="1:128" ht="15.75" customHeight="1">
      <c r="A912" s="76"/>
      <c r="B912" s="79"/>
      <c r="C912" s="18"/>
      <c r="D912" s="18"/>
      <c r="E912" s="18"/>
      <c r="F912" s="18"/>
      <c r="G912" s="18"/>
      <c r="H912" s="18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6"/>
      <c r="CK912" s="76"/>
      <c r="CL912" s="76"/>
      <c r="CM912" s="76"/>
      <c r="CN912" s="76"/>
      <c r="CO912" s="76"/>
      <c r="CP912" s="76"/>
      <c r="CQ912" s="76"/>
      <c r="CR912" s="76"/>
      <c r="CS912" s="76"/>
      <c r="CT912" s="76"/>
      <c r="CU912" s="76"/>
      <c r="CV912" s="76"/>
      <c r="CW912" s="76"/>
      <c r="CX912" s="76"/>
      <c r="CY912" s="76"/>
      <c r="CZ912" s="76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76"/>
      <c r="DN912" s="76"/>
      <c r="DO912" s="76"/>
      <c r="DP912" s="76"/>
      <c r="DQ912" s="76"/>
      <c r="DR912" s="76"/>
      <c r="DS912" s="76"/>
      <c r="DT912" s="76"/>
      <c r="DU912" s="76"/>
      <c r="DV912" s="76"/>
      <c r="DW912" s="76"/>
      <c r="DX912" s="76"/>
    </row>
    <row r="913" spans="1:128" ht="15.75" customHeight="1">
      <c r="A913" s="76"/>
      <c r="B913" s="79"/>
      <c r="C913" s="18"/>
      <c r="D913" s="18"/>
      <c r="E913" s="18"/>
      <c r="F913" s="18"/>
      <c r="G913" s="18"/>
      <c r="H913" s="18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6"/>
      <c r="CK913" s="76"/>
      <c r="CL913" s="76"/>
      <c r="CM913" s="76"/>
      <c r="CN913" s="76"/>
      <c r="CO913" s="76"/>
      <c r="CP913" s="76"/>
      <c r="CQ913" s="76"/>
      <c r="CR913" s="76"/>
      <c r="CS913" s="76"/>
      <c r="CT913" s="76"/>
      <c r="CU913" s="76"/>
      <c r="CV913" s="76"/>
      <c r="CW913" s="76"/>
      <c r="CX913" s="76"/>
      <c r="CY913" s="76"/>
      <c r="CZ913" s="76"/>
      <c r="DA913" s="76"/>
      <c r="DB913" s="76"/>
      <c r="DC913" s="76"/>
      <c r="DD913" s="76"/>
      <c r="DE913" s="76"/>
      <c r="DF913" s="76"/>
      <c r="DG913" s="76"/>
      <c r="DH913" s="76"/>
      <c r="DI913" s="76"/>
      <c r="DJ913" s="76"/>
      <c r="DK913" s="76"/>
      <c r="DL913" s="76"/>
      <c r="DM913" s="76"/>
      <c r="DN913" s="76"/>
      <c r="DO913" s="76"/>
      <c r="DP913" s="76"/>
      <c r="DQ913" s="76"/>
      <c r="DR913" s="76"/>
      <c r="DS913" s="76"/>
      <c r="DT913" s="76"/>
      <c r="DU913" s="76"/>
      <c r="DV913" s="76"/>
      <c r="DW913" s="76"/>
      <c r="DX913" s="76"/>
    </row>
    <row r="914" spans="1:128" ht="15.75" customHeight="1">
      <c r="A914" s="76"/>
      <c r="B914" s="79"/>
      <c r="C914" s="18"/>
      <c r="D914" s="18"/>
      <c r="E914" s="18"/>
      <c r="F914" s="18"/>
      <c r="G914" s="18"/>
      <c r="H914" s="18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6"/>
      <c r="CK914" s="76"/>
      <c r="CL914" s="76"/>
      <c r="CM914" s="76"/>
      <c r="CN914" s="76"/>
      <c r="CO914" s="76"/>
      <c r="CP914" s="76"/>
      <c r="CQ914" s="76"/>
      <c r="CR914" s="76"/>
      <c r="CS914" s="76"/>
      <c r="CT914" s="76"/>
      <c r="CU914" s="76"/>
      <c r="CV914" s="76"/>
      <c r="CW914" s="76"/>
      <c r="CX914" s="76"/>
      <c r="CY914" s="76"/>
      <c r="CZ914" s="76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76"/>
      <c r="DN914" s="76"/>
      <c r="DO914" s="76"/>
      <c r="DP914" s="76"/>
      <c r="DQ914" s="76"/>
      <c r="DR914" s="76"/>
      <c r="DS914" s="76"/>
      <c r="DT914" s="76"/>
      <c r="DU914" s="76"/>
      <c r="DV914" s="76"/>
      <c r="DW914" s="76"/>
      <c r="DX914" s="76"/>
    </row>
    <row r="915" spans="1:128" ht="15.75" customHeight="1">
      <c r="A915" s="76"/>
      <c r="B915" s="79"/>
      <c r="C915" s="18"/>
      <c r="D915" s="18"/>
      <c r="E915" s="18"/>
      <c r="F915" s="18"/>
      <c r="G915" s="18"/>
      <c r="H915" s="18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6"/>
      <c r="CK915" s="76"/>
      <c r="CL915" s="76"/>
      <c r="CM915" s="76"/>
      <c r="CN915" s="76"/>
      <c r="CO915" s="76"/>
      <c r="CP915" s="76"/>
      <c r="CQ915" s="76"/>
      <c r="CR915" s="76"/>
      <c r="CS915" s="76"/>
      <c r="CT915" s="76"/>
      <c r="CU915" s="76"/>
      <c r="CV915" s="76"/>
      <c r="CW915" s="76"/>
      <c r="CX915" s="76"/>
      <c r="CY915" s="76"/>
      <c r="CZ915" s="76"/>
      <c r="DA915" s="76"/>
      <c r="DB915" s="76"/>
      <c r="DC915" s="76"/>
      <c r="DD915" s="76"/>
      <c r="DE915" s="76"/>
      <c r="DF915" s="76"/>
      <c r="DG915" s="76"/>
      <c r="DH915" s="76"/>
      <c r="DI915" s="76"/>
      <c r="DJ915" s="76"/>
      <c r="DK915" s="76"/>
      <c r="DL915" s="76"/>
      <c r="DM915" s="76"/>
      <c r="DN915" s="76"/>
      <c r="DO915" s="76"/>
      <c r="DP915" s="76"/>
      <c r="DQ915" s="76"/>
      <c r="DR915" s="76"/>
      <c r="DS915" s="76"/>
      <c r="DT915" s="76"/>
      <c r="DU915" s="76"/>
      <c r="DV915" s="76"/>
      <c r="DW915" s="76"/>
      <c r="DX915" s="76"/>
    </row>
    <row r="916" spans="1:128" ht="15.75" customHeight="1">
      <c r="A916" s="76"/>
      <c r="B916" s="79"/>
      <c r="C916" s="18"/>
      <c r="D916" s="18"/>
      <c r="E916" s="18"/>
      <c r="F916" s="18"/>
      <c r="G916" s="18"/>
      <c r="H916" s="18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6"/>
      <c r="CK916" s="76"/>
      <c r="CL916" s="76"/>
      <c r="CM916" s="76"/>
      <c r="CN916" s="76"/>
      <c r="CO916" s="76"/>
      <c r="CP916" s="76"/>
      <c r="CQ916" s="76"/>
      <c r="CR916" s="76"/>
      <c r="CS916" s="76"/>
      <c r="CT916" s="76"/>
      <c r="CU916" s="76"/>
      <c r="CV916" s="76"/>
      <c r="CW916" s="76"/>
      <c r="CX916" s="76"/>
      <c r="CY916" s="76"/>
      <c r="CZ916" s="76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76"/>
      <c r="DN916" s="76"/>
      <c r="DO916" s="76"/>
      <c r="DP916" s="76"/>
      <c r="DQ916" s="76"/>
      <c r="DR916" s="76"/>
      <c r="DS916" s="76"/>
      <c r="DT916" s="76"/>
      <c r="DU916" s="76"/>
      <c r="DV916" s="76"/>
      <c r="DW916" s="76"/>
      <c r="DX916" s="76"/>
    </row>
    <row r="917" spans="1:128" ht="15.75" customHeight="1">
      <c r="A917" s="76"/>
      <c r="B917" s="79"/>
      <c r="C917" s="18"/>
      <c r="D917" s="18"/>
      <c r="E917" s="18"/>
      <c r="F917" s="18"/>
      <c r="G917" s="18"/>
      <c r="H917" s="18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6"/>
      <c r="CK917" s="76"/>
      <c r="CL917" s="76"/>
      <c r="CM917" s="76"/>
      <c r="CN917" s="76"/>
      <c r="CO917" s="76"/>
      <c r="CP917" s="76"/>
      <c r="CQ917" s="76"/>
      <c r="CR917" s="76"/>
      <c r="CS917" s="76"/>
      <c r="CT917" s="76"/>
      <c r="CU917" s="76"/>
      <c r="CV917" s="76"/>
      <c r="CW917" s="76"/>
      <c r="CX917" s="76"/>
      <c r="CY917" s="76"/>
      <c r="CZ917" s="76"/>
      <c r="DA917" s="76"/>
      <c r="DB917" s="76"/>
      <c r="DC917" s="76"/>
      <c r="DD917" s="76"/>
      <c r="DE917" s="76"/>
      <c r="DF917" s="76"/>
      <c r="DG917" s="76"/>
      <c r="DH917" s="76"/>
      <c r="DI917" s="76"/>
      <c r="DJ917" s="76"/>
      <c r="DK917" s="76"/>
      <c r="DL917" s="76"/>
      <c r="DM917" s="76"/>
      <c r="DN917" s="76"/>
      <c r="DO917" s="76"/>
      <c r="DP917" s="76"/>
      <c r="DQ917" s="76"/>
      <c r="DR917" s="76"/>
      <c r="DS917" s="76"/>
      <c r="DT917" s="76"/>
      <c r="DU917" s="76"/>
      <c r="DV917" s="76"/>
      <c r="DW917" s="76"/>
      <c r="DX917" s="76"/>
    </row>
    <row r="918" spans="1:128" ht="15.75" customHeight="1">
      <c r="A918" s="76"/>
      <c r="B918" s="79"/>
      <c r="C918" s="18"/>
      <c r="D918" s="18"/>
      <c r="E918" s="18"/>
      <c r="F918" s="18"/>
      <c r="G918" s="18"/>
      <c r="H918" s="18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6"/>
      <c r="CK918" s="76"/>
      <c r="CL918" s="76"/>
      <c r="CM918" s="76"/>
      <c r="CN918" s="76"/>
      <c r="CO918" s="76"/>
      <c r="CP918" s="76"/>
      <c r="CQ918" s="76"/>
      <c r="CR918" s="76"/>
      <c r="CS918" s="76"/>
      <c r="CT918" s="76"/>
      <c r="CU918" s="76"/>
      <c r="CV918" s="76"/>
      <c r="CW918" s="76"/>
      <c r="CX918" s="76"/>
      <c r="CY918" s="76"/>
      <c r="CZ918" s="76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76"/>
      <c r="DN918" s="76"/>
      <c r="DO918" s="76"/>
      <c r="DP918" s="76"/>
      <c r="DQ918" s="76"/>
      <c r="DR918" s="76"/>
      <c r="DS918" s="76"/>
      <c r="DT918" s="76"/>
      <c r="DU918" s="76"/>
      <c r="DV918" s="76"/>
      <c r="DW918" s="76"/>
      <c r="DX918" s="76"/>
    </row>
    <row r="919" spans="1:128" ht="15.75" customHeight="1">
      <c r="A919" s="76"/>
      <c r="B919" s="79"/>
      <c r="C919" s="18"/>
      <c r="D919" s="18"/>
      <c r="E919" s="18"/>
      <c r="F919" s="18"/>
      <c r="G919" s="18"/>
      <c r="H919" s="18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6"/>
      <c r="CT919" s="76"/>
      <c r="CU919" s="76"/>
      <c r="CV919" s="76"/>
      <c r="CW919" s="76"/>
      <c r="CX919" s="76"/>
      <c r="CY919" s="76"/>
      <c r="CZ919" s="76"/>
      <c r="DA919" s="76"/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6"/>
      <c r="DX919" s="76"/>
    </row>
    <row r="920" spans="1:128" ht="15.75" customHeight="1">
      <c r="A920" s="76"/>
      <c r="B920" s="79"/>
      <c r="C920" s="18"/>
      <c r="D920" s="18"/>
      <c r="E920" s="18"/>
      <c r="F920" s="18"/>
      <c r="G920" s="18"/>
      <c r="H920" s="18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6"/>
      <c r="CK920" s="76"/>
      <c r="CL920" s="76"/>
      <c r="CM920" s="76"/>
      <c r="CN920" s="76"/>
      <c r="CO920" s="76"/>
      <c r="CP920" s="76"/>
      <c r="CQ920" s="76"/>
      <c r="CR920" s="76"/>
      <c r="CS920" s="76"/>
      <c r="CT920" s="76"/>
      <c r="CU920" s="76"/>
      <c r="CV920" s="76"/>
      <c r="CW920" s="76"/>
      <c r="CX920" s="76"/>
      <c r="CY920" s="76"/>
      <c r="CZ920" s="76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76"/>
      <c r="DN920" s="76"/>
      <c r="DO920" s="76"/>
      <c r="DP920" s="76"/>
      <c r="DQ920" s="76"/>
      <c r="DR920" s="76"/>
      <c r="DS920" s="76"/>
      <c r="DT920" s="76"/>
      <c r="DU920" s="76"/>
      <c r="DV920" s="76"/>
      <c r="DW920" s="76"/>
      <c r="DX920" s="76"/>
    </row>
    <row r="921" spans="1:128" ht="15.75" customHeight="1">
      <c r="A921" s="76"/>
      <c r="B921" s="79"/>
      <c r="C921" s="18"/>
      <c r="D921" s="18"/>
      <c r="E921" s="18"/>
      <c r="F921" s="18"/>
      <c r="G921" s="18"/>
      <c r="H921" s="18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6"/>
      <c r="CK921" s="76"/>
      <c r="CL921" s="76"/>
      <c r="CM921" s="76"/>
      <c r="CN921" s="76"/>
      <c r="CO921" s="76"/>
      <c r="CP921" s="76"/>
      <c r="CQ921" s="76"/>
      <c r="CR921" s="76"/>
      <c r="CS921" s="76"/>
      <c r="CT921" s="76"/>
      <c r="CU921" s="76"/>
      <c r="CV921" s="76"/>
      <c r="CW921" s="76"/>
      <c r="CX921" s="76"/>
      <c r="CY921" s="76"/>
      <c r="CZ921" s="76"/>
      <c r="DA921" s="76"/>
      <c r="DB921" s="76"/>
      <c r="DC921" s="76"/>
      <c r="DD921" s="76"/>
      <c r="DE921" s="76"/>
      <c r="DF921" s="76"/>
      <c r="DG921" s="76"/>
      <c r="DH921" s="76"/>
      <c r="DI921" s="76"/>
      <c r="DJ921" s="76"/>
      <c r="DK921" s="76"/>
      <c r="DL921" s="76"/>
      <c r="DM921" s="76"/>
      <c r="DN921" s="76"/>
      <c r="DO921" s="76"/>
      <c r="DP921" s="76"/>
      <c r="DQ921" s="76"/>
      <c r="DR921" s="76"/>
      <c r="DS921" s="76"/>
      <c r="DT921" s="76"/>
      <c r="DU921" s="76"/>
      <c r="DV921" s="76"/>
      <c r="DW921" s="76"/>
      <c r="DX921" s="76"/>
    </row>
    <row r="922" spans="1:128" ht="15.75" customHeight="1">
      <c r="A922" s="76"/>
      <c r="B922" s="79"/>
      <c r="C922" s="18"/>
      <c r="D922" s="18"/>
      <c r="E922" s="18"/>
      <c r="F922" s="18"/>
      <c r="G922" s="18"/>
      <c r="H922" s="18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6"/>
      <c r="CK922" s="76"/>
      <c r="CL922" s="76"/>
      <c r="CM922" s="76"/>
      <c r="CN922" s="76"/>
      <c r="CO922" s="76"/>
      <c r="CP922" s="76"/>
      <c r="CQ922" s="76"/>
      <c r="CR922" s="76"/>
      <c r="CS922" s="76"/>
      <c r="CT922" s="76"/>
      <c r="CU922" s="76"/>
      <c r="CV922" s="76"/>
      <c r="CW922" s="76"/>
      <c r="CX922" s="76"/>
      <c r="CY922" s="76"/>
      <c r="CZ922" s="76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76"/>
      <c r="DN922" s="76"/>
      <c r="DO922" s="76"/>
      <c r="DP922" s="76"/>
      <c r="DQ922" s="76"/>
      <c r="DR922" s="76"/>
      <c r="DS922" s="76"/>
      <c r="DT922" s="76"/>
      <c r="DU922" s="76"/>
      <c r="DV922" s="76"/>
      <c r="DW922" s="76"/>
      <c r="DX922" s="76"/>
    </row>
    <row r="923" spans="1:128" ht="15.75" customHeight="1">
      <c r="A923" s="76"/>
      <c r="B923" s="79"/>
      <c r="C923" s="18"/>
      <c r="D923" s="18"/>
      <c r="E923" s="18"/>
      <c r="F923" s="18"/>
      <c r="G923" s="18"/>
      <c r="H923" s="18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6"/>
      <c r="CK923" s="76"/>
      <c r="CL923" s="76"/>
      <c r="CM923" s="76"/>
      <c r="CN923" s="76"/>
      <c r="CO923" s="76"/>
      <c r="CP923" s="76"/>
      <c r="CQ923" s="76"/>
      <c r="CR923" s="76"/>
      <c r="CS923" s="76"/>
      <c r="CT923" s="76"/>
      <c r="CU923" s="76"/>
      <c r="CV923" s="76"/>
      <c r="CW923" s="76"/>
      <c r="CX923" s="76"/>
      <c r="CY923" s="76"/>
      <c r="CZ923" s="76"/>
      <c r="DA923" s="76"/>
      <c r="DB923" s="76"/>
      <c r="DC923" s="76"/>
      <c r="DD923" s="76"/>
      <c r="DE923" s="76"/>
      <c r="DF923" s="76"/>
      <c r="DG923" s="76"/>
      <c r="DH923" s="76"/>
      <c r="DI923" s="76"/>
      <c r="DJ923" s="76"/>
      <c r="DK923" s="76"/>
      <c r="DL923" s="76"/>
      <c r="DM923" s="76"/>
      <c r="DN923" s="76"/>
      <c r="DO923" s="76"/>
      <c r="DP923" s="76"/>
      <c r="DQ923" s="76"/>
      <c r="DR923" s="76"/>
      <c r="DS923" s="76"/>
      <c r="DT923" s="76"/>
      <c r="DU923" s="76"/>
      <c r="DV923" s="76"/>
      <c r="DW923" s="76"/>
      <c r="DX923" s="76"/>
    </row>
    <row r="924" spans="1:128" ht="15.75" customHeight="1">
      <c r="A924" s="76"/>
      <c r="B924" s="79"/>
      <c r="C924" s="18"/>
      <c r="D924" s="18"/>
      <c r="E924" s="18"/>
      <c r="F924" s="18"/>
      <c r="G924" s="18"/>
      <c r="H924" s="18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6"/>
      <c r="CK924" s="76"/>
      <c r="CL924" s="76"/>
      <c r="CM924" s="76"/>
      <c r="CN924" s="76"/>
      <c r="CO924" s="76"/>
      <c r="CP924" s="76"/>
      <c r="CQ924" s="76"/>
      <c r="CR924" s="76"/>
      <c r="CS924" s="76"/>
      <c r="CT924" s="76"/>
      <c r="CU924" s="76"/>
      <c r="CV924" s="76"/>
      <c r="CW924" s="76"/>
      <c r="CX924" s="76"/>
      <c r="CY924" s="76"/>
      <c r="CZ924" s="76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76"/>
      <c r="DN924" s="76"/>
      <c r="DO924" s="76"/>
      <c r="DP924" s="76"/>
      <c r="DQ924" s="76"/>
      <c r="DR924" s="76"/>
      <c r="DS924" s="76"/>
      <c r="DT924" s="76"/>
      <c r="DU924" s="76"/>
      <c r="DV924" s="76"/>
      <c r="DW924" s="76"/>
      <c r="DX924" s="76"/>
    </row>
    <row r="925" spans="1:128" ht="15.75" customHeight="1">
      <c r="A925" s="76"/>
      <c r="B925" s="79"/>
      <c r="C925" s="18"/>
      <c r="D925" s="18"/>
      <c r="E925" s="18"/>
      <c r="F925" s="18"/>
      <c r="G925" s="18"/>
      <c r="H925" s="18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6"/>
      <c r="CK925" s="76"/>
      <c r="CL925" s="76"/>
      <c r="CM925" s="76"/>
      <c r="CN925" s="76"/>
      <c r="CO925" s="76"/>
      <c r="CP925" s="76"/>
      <c r="CQ925" s="76"/>
      <c r="CR925" s="76"/>
      <c r="CS925" s="76"/>
      <c r="CT925" s="76"/>
      <c r="CU925" s="76"/>
      <c r="CV925" s="76"/>
      <c r="CW925" s="76"/>
      <c r="CX925" s="76"/>
      <c r="CY925" s="76"/>
      <c r="CZ925" s="76"/>
      <c r="DA925" s="76"/>
      <c r="DB925" s="76"/>
      <c r="DC925" s="76"/>
      <c r="DD925" s="76"/>
      <c r="DE925" s="76"/>
      <c r="DF925" s="76"/>
      <c r="DG925" s="76"/>
      <c r="DH925" s="76"/>
      <c r="DI925" s="76"/>
      <c r="DJ925" s="76"/>
      <c r="DK925" s="76"/>
      <c r="DL925" s="76"/>
      <c r="DM925" s="76"/>
      <c r="DN925" s="76"/>
      <c r="DO925" s="76"/>
      <c r="DP925" s="76"/>
      <c r="DQ925" s="76"/>
      <c r="DR925" s="76"/>
      <c r="DS925" s="76"/>
      <c r="DT925" s="76"/>
      <c r="DU925" s="76"/>
      <c r="DV925" s="76"/>
      <c r="DW925" s="76"/>
      <c r="DX925" s="76"/>
    </row>
    <row r="926" spans="1:128" ht="15.75" customHeight="1">
      <c r="A926" s="76"/>
      <c r="B926" s="79"/>
      <c r="C926" s="18"/>
      <c r="D926" s="18"/>
      <c r="E926" s="18"/>
      <c r="F926" s="18"/>
      <c r="G926" s="18"/>
      <c r="H926" s="18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6"/>
      <c r="CK926" s="76"/>
      <c r="CL926" s="76"/>
      <c r="CM926" s="76"/>
      <c r="CN926" s="76"/>
      <c r="CO926" s="76"/>
      <c r="CP926" s="76"/>
      <c r="CQ926" s="76"/>
      <c r="CR926" s="76"/>
      <c r="CS926" s="76"/>
      <c r="CT926" s="76"/>
      <c r="CU926" s="76"/>
      <c r="CV926" s="76"/>
      <c r="CW926" s="76"/>
      <c r="CX926" s="76"/>
      <c r="CY926" s="76"/>
      <c r="CZ926" s="76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76"/>
      <c r="DN926" s="76"/>
      <c r="DO926" s="76"/>
      <c r="DP926" s="76"/>
      <c r="DQ926" s="76"/>
      <c r="DR926" s="76"/>
      <c r="DS926" s="76"/>
      <c r="DT926" s="76"/>
      <c r="DU926" s="76"/>
      <c r="DV926" s="76"/>
      <c r="DW926" s="76"/>
      <c r="DX926" s="76"/>
    </row>
    <row r="927" spans="1:128" ht="15.75" customHeight="1">
      <c r="A927" s="76"/>
      <c r="B927" s="79"/>
      <c r="C927" s="18"/>
      <c r="D927" s="18"/>
      <c r="E927" s="18"/>
      <c r="F927" s="18"/>
      <c r="G927" s="18"/>
      <c r="H927" s="18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6"/>
      <c r="CK927" s="76"/>
      <c r="CL927" s="76"/>
      <c r="CM927" s="76"/>
      <c r="CN927" s="76"/>
      <c r="CO927" s="76"/>
      <c r="CP927" s="76"/>
      <c r="CQ927" s="76"/>
      <c r="CR927" s="76"/>
      <c r="CS927" s="76"/>
      <c r="CT927" s="76"/>
      <c r="CU927" s="76"/>
      <c r="CV927" s="76"/>
      <c r="CW927" s="76"/>
      <c r="CX927" s="76"/>
      <c r="CY927" s="76"/>
      <c r="CZ927" s="76"/>
      <c r="DA927" s="76"/>
      <c r="DB927" s="76"/>
      <c r="DC927" s="76"/>
      <c r="DD927" s="76"/>
      <c r="DE927" s="76"/>
      <c r="DF927" s="76"/>
      <c r="DG927" s="76"/>
      <c r="DH927" s="76"/>
      <c r="DI927" s="76"/>
      <c r="DJ927" s="76"/>
      <c r="DK927" s="76"/>
      <c r="DL927" s="76"/>
      <c r="DM927" s="76"/>
      <c r="DN927" s="76"/>
      <c r="DO927" s="76"/>
      <c r="DP927" s="76"/>
      <c r="DQ927" s="76"/>
      <c r="DR927" s="76"/>
      <c r="DS927" s="76"/>
      <c r="DT927" s="76"/>
      <c r="DU927" s="76"/>
      <c r="DV927" s="76"/>
      <c r="DW927" s="76"/>
      <c r="DX927" s="76"/>
    </row>
    <row r="928" spans="1:128" ht="15.75" customHeight="1">
      <c r="A928" s="76"/>
      <c r="B928" s="79"/>
      <c r="C928" s="18"/>
      <c r="D928" s="18"/>
      <c r="E928" s="18"/>
      <c r="F928" s="18"/>
      <c r="G928" s="18"/>
      <c r="H928" s="18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6"/>
      <c r="CK928" s="76"/>
      <c r="CL928" s="76"/>
      <c r="CM928" s="76"/>
      <c r="CN928" s="76"/>
      <c r="CO928" s="76"/>
      <c r="CP928" s="76"/>
      <c r="CQ928" s="76"/>
      <c r="CR928" s="76"/>
      <c r="CS928" s="76"/>
      <c r="CT928" s="76"/>
      <c r="CU928" s="76"/>
      <c r="CV928" s="76"/>
      <c r="CW928" s="76"/>
      <c r="CX928" s="76"/>
      <c r="CY928" s="76"/>
      <c r="CZ928" s="76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76"/>
      <c r="DN928" s="76"/>
      <c r="DO928" s="76"/>
      <c r="DP928" s="76"/>
      <c r="DQ928" s="76"/>
      <c r="DR928" s="76"/>
      <c r="DS928" s="76"/>
      <c r="DT928" s="76"/>
      <c r="DU928" s="76"/>
      <c r="DV928" s="76"/>
      <c r="DW928" s="76"/>
      <c r="DX928" s="76"/>
    </row>
    <row r="929" spans="1:128" ht="15.75" customHeight="1">
      <c r="A929" s="76"/>
      <c r="B929" s="79"/>
      <c r="C929" s="18"/>
      <c r="D929" s="18"/>
      <c r="E929" s="18"/>
      <c r="F929" s="18"/>
      <c r="G929" s="18"/>
      <c r="H929" s="18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6"/>
      <c r="CT929" s="76"/>
      <c r="CU929" s="76"/>
      <c r="CV929" s="76"/>
      <c r="CW929" s="76"/>
      <c r="CX929" s="76"/>
      <c r="CY929" s="76"/>
      <c r="CZ929" s="76"/>
      <c r="DA929" s="76"/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6"/>
      <c r="DX929" s="76"/>
    </row>
    <row r="930" spans="1:128" ht="15.75" customHeight="1">
      <c r="A930" s="76"/>
      <c r="B930" s="79"/>
      <c r="C930" s="18"/>
      <c r="D930" s="18"/>
      <c r="E930" s="18"/>
      <c r="F930" s="18"/>
      <c r="G930" s="18"/>
      <c r="H930" s="18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6"/>
      <c r="CK930" s="76"/>
      <c r="CL930" s="76"/>
      <c r="CM930" s="76"/>
      <c r="CN930" s="76"/>
      <c r="CO930" s="76"/>
      <c r="CP930" s="76"/>
      <c r="CQ930" s="76"/>
      <c r="CR930" s="76"/>
      <c r="CS930" s="76"/>
      <c r="CT930" s="76"/>
      <c r="CU930" s="76"/>
      <c r="CV930" s="76"/>
      <c r="CW930" s="76"/>
      <c r="CX930" s="76"/>
      <c r="CY930" s="76"/>
      <c r="CZ930" s="76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76"/>
      <c r="DN930" s="76"/>
      <c r="DO930" s="76"/>
      <c r="DP930" s="76"/>
      <c r="DQ930" s="76"/>
      <c r="DR930" s="76"/>
      <c r="DS930" s="76"/>
      <c r="DT930" s="76"/>
      <c r="DU930" s="76"/>
      <c r="DV930" s="76"/>
      <c r="DW930" s="76"/>
      <c r="DX930" s="76"/>
    </row>
    <row r="931" spans="1:128" ht="15.75" customHeight="1">
      <c r="A931" s="76"/>
      <c r="B931" s="79"/>
      <c r="C931" s="18"/>
      <c r="D931" s="18"/>
      <c r="E931" s="18"/>
      <c r="F931" s="18"/>
      <c r="G931" s="18"/>
      <c r="H931" s="18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6"/>
      <c r="CK931" s="76"/>
      <c r="CL931" s="76"/>
      <c r="CM931" s="76"/>
      <c r="CN931" s="76"/>
      <c r="CO931" s="76"/>
      <c r="CP931" s="76"/>
      <c r="CQ931" s="76"/>
      <c r="CR931" s="76"/>
      <c r="CS931" s="76"/>
      <c r="CT931" s="76"/>
      <c r="CU931" s="76"/>
      <c r="CV931" s="76"/>
      <c r="CW931" s="76"/>
      <c r="CX931" s="76"/>
      <c r="CY931" s="76"/>
      <c r="CZ931" s="76"/>
      <c r="DA931" s="76"/>
      <c r="DB931" s="76"/>
      <c r="DC931" s="76"/>
      <c r="DD931" s="76"/>
      <c r="DE931" s="76"/>
      <c r="DF931" s="76"/>
      <c r="DG931" s="76"/>
      <c r="DH931" s="76"/>
      <c r="DI931" s="76"/>
      <c r="DJ931" s="76"/>
      <c r="DK931" s="76"/>
      <c r="DL931" s="76"/>
      <c r="DM931" s="76"/>
      <c r="DN931" s="76"/>
      <c r="DO931" s="76"/>
      <c r="DP931" s="76"/>
      <c r="DQ931" s="76"/>
      <c r="DR931" s="76"/>
      <c r="DS931" s="76"/>
      <c r="DT931" s="76"/>
      <c r="DU931" s="76"/>
      <c r="DV931" s="76"/>
      <c r="DW931" s="76"/>
      <c r="DX931" s="76"/>
    </row>
    <row r="932" spans="1:128" ht="15.75" customHeight="1">
      <c r="A932" s="76"/>
      <c r="B932" s="79"/>
      <c r="C932" s="18"/>
      <c r="D932" s="18"/>
      <c r="E932" s="18"/>
      <c r="F932" s="18"/>
      <c r="G932" s="18"/>
      <c r="H932" s="18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6"/>
      <c r="CK932" s="76"/>
      <c r="CL932" s="76"/>
      <c r="CM932" s="76"/>
      <c r="CN932" s="76"/>
      <c r="CO932" s="76"/>
      <c r="CP932" s="76"/>
      <c r="CQ932" s="76"/>
      <c r="CR932" s="76"/>
      <c r="CS932" s="76"/>
      <c r="CT932" s="76"/>
      <c r="CU932" s="76"/>
      <c r="CV932" s="76"/>
      <c r="CW932" s="76"/>
      <c r="CX932" s="76"/>
      <c r="CY932" s="76"/>
      <c r="CZ932" s="76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76"/>
      <c r="DN932" s="76"/>
      <c r="DO932" s="76"/>
      <c r="DP932" s="76"/>
      <c r="DQ932" s="76"/>
      <c r="DR932" s="76"/>
      <c r="DS932" s="76"/>
      <c r="DT932" s="76"/>
      <c r="DU932" s="76"/>
      <c r="DV932" s="76"/>
      <c r="DW932" s="76"/>
      <c r="DX932" s="76"/>
    </row>
    <row r="933" spans="1:128" ht="15.75" customHeight="1">
      <c r="A933" s="76"/>
      <c r="B933" s="79"/>
      <c r="C933" s="18"/>
      <c r="D933" s="18"/>
      <c r="E933" s="18"/>
      <c r="F933" s="18"/>
      <c r="G933" s="18"/>
      <c r="H933" s="18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6"/>
      <c r="CK933" s="76"/>
      <c r="CL933" s="76"/>
      <c r="CM933" s="76"/>
      <c r="CN933" s="76"/>
      <c r="CO933" s="76"/>
      <c r="CP933" s="76"/>
      <c r="CQ933" s="76"/>
      <c r="CR933" s="76"/>
      <c r="CS933" s="76"/>
      <c r="CT933" s="76"/>
      <c r="CU933" s="76"/>
      <c r="CV933" s="76"/>
      <c r="CW933" s="76"/>
      <c r="CX933" s="76"/>
      <c r="CY933" s="76"/>
      <c r="CZ933" s="76"/>
      <c r="DA933" s="76"/>
      <c r="DB933" s="76"/>
      <c r="DC933" s="76"/>
      <c r="DD933" s="76"/>
      <c r="DE933" s="76"/>
      <c r="DF933" s="76"/>
      <c r="DG933" s="76"/>
      <c r="DH933" s="76"/>
      <c r="DI933" s="76"/>
      <c r="DJ933" s="76"/>
      <c r="DK933" s="76"/>
      <c r="DL933" s="76"/>
      <c r="DM933" s="76"/>
      <c r="DN933" s="76"/>
      <c r="DO933" s="76"/>
      <c r="DP933" s="76"/>
      <c r="DQ933" s="76"/>
      <c r="DR933" s="76"/>
      <c r="DS933" s="76"/>
      <c r="DT933" s="76"/>
      <c r="DU933" s="76"/>
      <c r="DV933" s="76"/>
      <c r="DW933" s="76"/>
      <c r="DX933" s="76"/>
    </row>
    <row r="934" spans="1:128" ht="15.75" customHeight="1">
      <c r="A934" s="76"/>
      <c r="B934" s="79"/>
      <c r="C934" s="18"/>
      <c r="D934" s="18"/>
      <c r="E934" s="18"/>
      <c r="F934" s="18"/>
      <c r="G934" s="18"/>
      <c r="H934" s="18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6"/>
      <c r="CK934" s="76"/>
      <c r="CL934" s="76"/>
      <c r="CM934" s="76"/>
      <c r="CN934" s="76"/>
      <c r="CO934" s="76"/>
      <c r="CP934" s="76"/>
      <c r="CQ934" s="76"/>
      <c r="CR934" s="76"/>
      <c r="CS934" s="76"/>
      <c r="CT934" s="76"/>
      <c r="CU934" s="76"/>
      <c r="CV934" s="76"/>
      <c r="CW934" s="76"/>
      <c r="CX934" s="76"/>
      <c r="CY934" s="76"/>
      <c r="CZ934" s="76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76"/>
      <c r="DN934" s="76"/>
      <c r="DO934" s="76"/>
      <c r="DP934" s="76"/>
      <c r="DQ934" s="76"/>
      <c r="DR934" s="76"/>
      <c r="DS934" s="76"/>
      <c r="DT934" s="76"/>
      <c r="DU934" s="76"/>
      <c r="DV934" s="76"/>
      <c r="DW934" s="76"/>
      <c r="DX934" s="76"/>
    </row>
    <row r="935" spans="1:128" ht="15.75" customHeight="1">
      <c r="A935" s="76"/>
      <c r="B935" s="79"/>
      <c r="C935" s="18"/>
      <c r="D935" s="18"/>
      <c r="E935" s="18"/>
      <c r="F935" s="18"/>
      <c r="G935" s="18"/>
      <c r="H935" s="18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6"/>
      <c r="CT935" s="76"/>
      <c r="CU935" s="76"/>
      <c r="CV935" s="76"/>
      <c r="CW935" s="76"/>
      <c r="CX935" s="76"/>
      <c r="CY935" s="76"/>
      <c r="CZ935" s="76"/>
      <c r="DA935" s="76"/>
      <c r="DB935" s="76"/>
      <c r="DC935" s="76"/>
      <c r="DD935" s="76"/>
      <c r="DE935" s="76"/>
      <c r="DF935" s="76"/>
      <c r="DG935" s="76"/>
      <c r="DH935" s="76"/>
      <c r="DI935" s="76"/>
      <c r="DJ935" s="76"/>
      <c r="DK935" s="76"/>
      <c r="DL935" s="76"/>
      <c r="DM935" s="76"/>
      <c r="DN935" s="76"/>
      <c r="DO935" s="76"/>
      <c r="DP935" s="76"/>
      <c r="DQ935" s="76"/>
      <c r="DR935" s="76"/>
      <c r="DS935" s="76"/>
      <c r="DT935" s="76"/>
      <c r="DU935" s="76"/>
      <c r="DV935" s="76"/>
      <c r="DW935" s="76"/>
      <c r="DX935" s="76"/>
    </row>
    <row r="936" spans="1:128" ht="15.75" customHeight="1">
      <c r="A936" s="76"/>
      <c r="B936" s="79"/>
      <c r="C936" s="18"/>
      <c r="D936" s="18"/>
      <c r="E936" s="18"/>
      <c r="F936" s="18"/>
      <c r="G936" s="18"/>
      <c r="H936" s="18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6"/>
      <c r="CK936" s="76"/>
      <c r="CL936" s="76"/>
      <c r="CM936" s="76"/>
      <c r="CN936" s="76"/>
      <c r="CO936" s="76"/>
      <c r="CP936" s="76"/>
      <c r="CQ936" s="76"/>
      <c r="CR936" s="76"/>
      <c r="CS936" s="76"/>
      <c r="CT936" s="76"/>
      <c r="CU936" s="76"/>
      <c r="CV936" s="76"/>
      <c r="CW936" s="76"/>
      <c r="CX936" s="76"/>
      <c r="CY936" s="76"/>
      <c r="CZ936" s="76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76"/>
      <c r="DN936" s="76"/>
      <c r="DO936" s="76"/>
      <c r="DP936" s="76"/>
      <c r="DQ936" s="76"/>
      <c r="DR936" s="76"/>
      <c r="DS936" s="76"/>
      <c r="DT936" s="76"/>
      <c r="DU936" s="76"/>
      <c r="DV936" s="76"/>
      <c r="DW936" s="76"/>
      <c r="DX936" s="76"/>
    </row>
    <row r="937" spans="1:128" ht="15.75" customHeight="1">
      <c r="A937" s="76"/>
      <c r="B937" s="79"/>
      <c r="C937" s="18"/>
      <c r="D937" s="18"/>
      <c r="E937" s="18"/>
      <c r="F937" s="18"/>
      <c r="G937" s="18"/>
      <c r="H937" s="18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6"/>
      <c r="CK937" s="76"/>
      <c r="CL937" s="76"/>
      <c r="CM937" s="76"/>
      <c r="CN937" s="76"/>
      <c r="CO937" s="76"/>
      <c r="CP937" s="76"/>
      <c r="CQ937" s="76"/>
      <c r="CR937" s="76"/>
      <c r="CS937" s="76"/>
      <c r="CT937" s="76"/>
      <c r="CU937" s="76"/>
      <c r="CV937" s="76"/>
      <c r="CW937" s="76"/>
      <c r="CX937" s="76"/>
      <c r="CY937" s="76"/>
      <c r="CZ937" s="76"/>
      <c r="DA937" s="76"/>
      <c r="DB937" s="76"/>
      <c r="DC937" s="76"/>
      <c r="DD937" s="76"/>
      <c r="DE937" s="76"/>
      <c r="DF937" s="76"/>
      <c r="DG937" s="76"/>
      <c r="DH937" s="76"/>
      <c r="DI937" s="76"/>
      <c r="DJ937" s="76"/>
      <c r="DK937" s="76"/>
      <c r="DL937" s="76"/>
      <c r="DM937" s="76"/>
      <c r="DN937" s="76"/>
      <c r="DO937" s="76"/>
      <c r="DP937" s="76"/>
      <c r="DQ937" s="76"/>
      <c r="DR937" s="76"/>
      <c r="DS937" s="76"/>
      <c r="DT937" s="76"/>
      <c r="DU937" s="76"/>
      <c r="DV937" s="76"/>
      <c r="DW937" s="76"/>
      <c r="DX937" s="76"/>
    </row>
    <row r="938" spans="1:128" ht="15.75" customHeight="1">
      <c r="A938" s="76"/>
      <c r="B938" s="79"/>
      <c r="C938" s="18"/>
      <c r="D938" s="18"/>
      <c r="E938" s="18"/>
      <c r="F938" s="18"/>
      <c r="G938" s="18"/>
      <c r="H938" s="18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6"/>
      <c r="CK938" s="76"/>
      <c r="CL938" s="76"/>
      <c r="CM938" s="76"/>
      <c r="CN938" s="76"/>
      <c r="CO938" s="76"/>
      <c r="CP938" s="76"/>
      <c r="CQ938" s="76"/>
      <c r="CR938" s="76"/>
      <c r="CS938" s="76"/>
      <c r="CT938" s="76"/>
      <c r="CU938" s="76"/>
      <c r="CV938" s="76"/>
      <c r="CW938" s="76"/>
      <c r="CX938" s="76"/>
      <c r="CY938" s="76"/>
      <c r="CZ938" s="76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76"/>
      <c r="DN938" s="76"/>
      <c r="DO938" s="76"/>
      <c r="DP938" s="76"/>
      <c r="DQ938" s="76"/>
      <c r="DR938" s="76"/>
      <c r="DS938" s="76"/>
      <c r="DT938" s="76"/>
      <c r="DU938" s="76"/>
      <c r="DV938" s="76"/>
      <c r="DW938" s="76"/>
      <c r="DX938" s="76"/>
    </row>
    <row r="939" spans="1:128" ht="15.75" customHeight="1">
      <c r="A939" s="76"/>
      <c r="B939" s="79"/>
      <c r="C939" s="18"/>
      <c r="D939" s="18"/>
      <c r="E939" s="18"/>
      <c r="F939" s="18"/>
      <c r="G939" s="18"/>
      <c r="H939" s="18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6"/>
      <c r="CK939" s="76"/>
      <c r="CL939" s="76"/>
      <c r="CM939" s="76"/>
      <c r="CN939" s="76"/>
      <c r="CO939" s="76"/>
      <c r="CP939" s="76"/>
      <c r="CQ939" s="76"/>
      <c r="CR939" s="76"/>
      <c r="CS939" s="76"/>
      <c r="CT939" s="76"/>
      <c r="CU939" s="76"/>
      <c r="CV939" s="76"/>
      <c r="CW939" s="76"/>
      <c r="CX939" s="76"/>
      <c r="CY939" s="76"/>
      <c r="CZ939" s="76"/>
      <c r="DA939" s="76"/>
      <c r="DB939" s="76"/>
      <c r="DC939" s="76"/>
      <c r="DD939" s="76"/>
      <c r="DE939" s="76"/>
      <c r="DF939" s="76"/>
      <c r="DG939" s="76"/>
      <c r="DH939" s="76"/>
      <c r="DI939" s="76"/>
      <c r="DJ939" s="76"/>
      <c r="DK939" s="76"/>
      <c r="DL939" s="76"/>
      <c r="DM939" s="76"/>
      <c r="DN939" s="76"/>
      <c r="DO939" s="76"/>
      <c r="DP939" s="76"/>
      <c r="DQ939" s="76"/>
      <c r="DR939" s="76"/>
      <c r="DS939" s="76"/>
      <c r="DT939" s="76"/>
      <c r="DU939" s="76"/>
      <c r="DV939" s="76"/>
      <c r="DW939" s="76"/>
      <c r="DX939" s="76"/>
    </row>
    <row r="940" spans="1:128" ht="15.75" customHeight="1">
      <c r="A940" s="76"/>
      <c r="B940" s="79"/>
      <c r="C940" s="18"/>
      <c r="D940" s="18"/>
      <c r="E940" s="18"/>
      <c r="F940" s="18"/>
      <c r="G940" s="18"/>
      <c r="H940" s="18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/>
      <c r="CK940" s="76"/>
      <c r="CL940" s="76"/>
      <c r="CM940" s="76"/>
      <c r="CN940" s="76"/>
      <c r="CO940" s="76"/>
      <c r="CP940" s="76"/>
      <c r="CQ940" s="76"/>
      <c r="CR940" s="76"/>
      <c r="CS940" s="76"/>
      <c r="CT940" s="76"/>
      <c r="CU940" s="76"/>
      <c r="CV940" s="76"/>
      <c r="CW940" s="76"/>
      <c r="CX940" s="76"/>
      <c r="CY940" s="76"/>
      <c r="CZ940" s="76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76"/>
      <c r="DN940" s="76"/>
      <c r="DO940" s="76"/>
      <c r="DP940" s="76"/>
      <c r="DQ940" s="76"/>
      <c r="DR940" s="76"/>
      <c r="DS940" s="76"/>
      <c r="DT940" s="76"/>
      <c r="DU940" s="76"/>
      <c r="DV940" s="76"/>
      <c r="DW940" s="76"/>
      <c r="DX940" s="76"/>
    </row>
    <row r="941" spans="1:128" ht="15.75" customHeight="1">
      <c r="A941" s="76"/>
      <c r="B941" s="79"/>
      <c r="C941" s="18"/>
      <c r="D941" s="18"/>
      <c r="E941" s="18"/>
      <c r="F941" s="18"/>
      <c r="G941" s="18"/>
      <c r="H941" s="18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6"/>
      <c r="CT941" s="76"/>
      <c r="CU941" s="76"/>
      <c r="CV941" s="76"/>
      <c r="CW941" s="76"/>
      <c r="CX941" s="76"/>
      <c r="CY941" s="76"/>
      <c r="CZ941" s="76"/>
      <c r="DA941" s="76"/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6"/>
      <c r="DX941" s="76"/>
    </row>
    <row r="942" spans="1:128" ht="15.75" customHeight="1">
      <c r="A942" s="76"/>
      <c r="B942" s="79"/>
      <c r="C942" s="18"/>
      <c r="D942" s="18"/>
      <c r="E942" s="18"/>
      <c r="F942" s="18"/>
      <c r="G942" s="18"/>
      <c r="H942" s="18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6"/>
      <c r="CK942" s="76"/>
      <c r="CL942" s="76"/>
      <c r="CM942" s="76"/>
      <c r="CN942" s="76"/>
      <c r="CO942" s="76"/>
      <c r="CP942" s="76"/>
      <c r="CQ942" s="76"/>
      <c r="CR942" s="76"/>
      <c r="CS942" s="76"/>
      <c r="CT942" s="76"/>
      <c r="CU942" s="76"/>
      <c r="CV942" s="76"/>
      <c r="CW942" s="76"/>
      <c r="CX942" s="76"/>
      <c r="CY942" s="76"/>
      <c r="CZ942" s="76"/>
      <c r="DA942" s="76"/>
      <c r="DB942" s="76"/>
      <c r="DC942" s="76"/>
      <c r="DD942" s="76"/>
      <c r="DE942" s="76"/>
      <c r="DF942" s="76"/>
      <c r="DG942" s="76"/>
      <c r="DH942" s="76"/>
      <c r="DI942" s="76"/>
      <c r="DJ942" s="76"/>
      <c r="DK942" s="76"/>
      <c r="DL942" s="76"/>
      <c r="DM942" s="76"/>
      <c r="DN942" s="76"/>
      <c r="DO942" s="76"/>
      <c r="DP942" s="76"/>
      <c r="DQ942" s="76"/>
      <c r="DR942" s="76"/>
      <c r="DS942" s="76"/>
      <c r="DT942" s="76"/>
      <c r="DU942" s="76"/>
      <c r="DV942" s="76"/>
      <c r="DW942" s="76"/>
      <c r="DX942" s="76"/>
    </row>
    <row r="943" spans="1:128" ht="15.75" customHeight="1">
      <c r="A943" s="76"/>
      <c r="B943" s="79"/>
      <c r="C943" s="18"/>
      <c r="D943" s="18"/>
      <c r="E943" s="18"/>
      <c r="F943" s="18"/>
      <c r="G943" s="18"/>
      <c r="H943" s="18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6"/>
      <c r="CK943" s="76"/>
      <c r="CL943" s="76"/>
      <c r="CM943" s="76"/>
      <c r="CN943" s="76"/>
      <c r="CO943" s="76"/>
      <c r="CP943" s="76"/>
      <c r="CQ943" s="76"/>
      <c r="CR943" s="76"/>
      <c r="CS943" s="76"/>
      <c r="CT943" s="76"/>
      <c r="CU943" s="76"/>
      <c r="CV943" s="76"/>
      <c r="CW943" s="76"/>
      <c r="CX943" s="76"/>
      <c r="CY943" s="76"/>
      <c r="CZ943" s="76"/>
      <c r="DA943" s="76"/>
      <c r="DB943" s="76"/>
      <c r="DC943" s="76"/>
      <c r="DD943" s="76"/>
      <c r="DE943" s="76"/>
      <c r="DF943" s="76"/>
      <c r="DG943" s="76"/>
      <c r="DH943" s="76"/>
      <c r="DI943" s="76"/>
      <c r="DJ943" s="76"/>
      <c r="DK943" s="76"/>
      <c r="DL943" s="76"/>
      <c r="DM943" s="76"/>
      <c r="DN943" s="76"/>
      <c r="DO943" s="76"/>
      <c r="DP943" s="76"/>
      <c r="DQ943" s="76"/>
      <c r="DR943" s="76"/>
      <c r="DS943" s="76"/>
      <c r="DT943" s="76"/>
      <c r="DU943" s="76"/>
      <c r="DV943" s="76"/>
      <c r="DW943" s="76"/>
      <c r="DX943" s="76"/>
    </row>
    <row r="944" spans="1:128" ht="15.75" customHeight="1">
      <c r="A944" s="76"/>
      <c r="B944" s="79"/>
      <c r="C944" s="18"/>
      <c r="D944" s="18"/>
      <c r="E944" s="18"/>
      <c r="F944" s="18"/>
      <c r="G944" s="18"/>
      <c r="H944" s="18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6"/>
      <c r="CK944" s="76"/>
      <c r="CL944" s="76"/>
      <c r="CM944" s="76"/>
      <c r="CN944" s="76"/>
      <c r="CO944" s="76"/>
      <c r="CP944" s="76"/>
      <c r="CQ944" s="76"/>
      <c r="CR944" s="76"/>
      <c r="CS944" s="76"/>
      <c r="CT944" s="76"/>
      <c r="CU944" s="76"/>
      <c r="CV944" s="76"/>
      <c r="CW944" s="76"/>
      <c r="CX944" s="76"/>
      <c r="CY944" s="76"/>
      <c r="CZ944" s="76"/>
      <c r="DA944" s="76"/>
      <c r="DB944" s="76"/>
      <c r="DC944" s="76"/>
      <c r="DD944" s="76"/>
      <c r="DE944" s="76"/>
      <c r="DF944" s="76"/>
      <c r="DG944" s="76"/>
      <c r="DH944" s="76"/>
      <c r="DI944" s="76"/>
      <c r="DJ944" s="76"/>
      <c r="DK944" s="76"/>
      <c r="DL944" s="76"/>
      <c r="DM944" s="76"/>
      <c r="DN944" s="76"/>
      <c r="DO944" s="76"/>
      <c r="DP944" s="76"/>
      <c r="DQ944" s="76"/>
      <c r="DR944" s="76"/>
      <c r="DS944" s="76"/>
      <c r="DT944" s="76"/>
      <c r="DU944" s="76"/>
      <c r="DV944" s="76"/>
      <c r="DW944" s="76"/>
      <c r="DX944" s="76"/>
    </row>
    <row r="945" spans="1:128" ht="15.75" customHeight="1">
      <c r="A945" s="76"/>
      <c r="B945" s="79"/>
      <c r="C945" s="18"/>
      <c r="D945" s="18"/>
      <c r="E945" s="18"/>
      <c r="F945" s="18"/>
      <c r="G945" s="18"/>
      <c r="H945" s="18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6"/>
      <c r="CK945" s="76"/>
      <c r="CL945" s="76"/>
      <c r="CM945" s="76"/>
      <c r="CN945" s="76"/>
      <c r="CO945" s="76"/>
      <c r="CP945" s="76"/>
      <c r="CQ945" s="76"/>
      <c r="CR945" s="76"/>
      <c r="CS945" s="76"/>
      <c r="CT945" s="76"/>
      <c r="CU945" s="76"/>
      <c r="CV945" s="76"/>
      <c r="CW945" s="76"/>
      <c r="CX945" s="76"/>
      <c r="CY945" s="76"/>
      <c r="CZ945" s="76"/>
      <c r="DA945" s="76"/>
      <c r="DB945" s="76"/>
      <c r="DC945" s="76"/>
      <c r="DD945" s="76"/>
      <c r="DE945" s="76"/>
      <c r="DF945" s="76"/>
      <c r="DG945" s="76"/>
      <c r="DH945" s="76"/>
      <c r="DI945" s="76"/>
      <c r="DJ945" s="76"/>
      <c r="DK945" s="76"/>
      <c r="DL945" s="76"/>
      <c r="DM945" s="76"/>
      <c r="DN945" s="76"/>
      <c r="DO945" s="76"/>
      <c r="DP945" s="76"/>
      <c r="DQ945" s="76"/>
      <c r="DR945" s="76"/>
      <c r="DS945" s="76"/>
      <c r="DT945" s="76"/>
      <c r="DU945" s="76"/>
      <c r="DV945" s="76"/>
      <c r="DW945" s="76"/>
      <c r="DX945" s="76"/>
    </row>
    <row r="946" spans="1:128" ht="15.75" customHeight="1">
      <c r="A946" s="76"/>
      <c r="B946" s="79"/>
      <c r="C946" s="18"/>
      <c r="D946" s="18"/>
      <c r="E946" s="18"/>
      <c r="F946" s="18"/>
      <c r="G946" s="18"/>
      <c r="H946" s="18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/>
      <c r="CK946" s="76"/>
      <c r="CL946" s="76"/>
      <c r="CM946" s="76"/>
      <c r="CN946" s="76"/>
      <c r="CO946" s="76"/>
      <c r="CP946" s="76"/>
      <c r="CQ946" s="76"/>
      <c r="CR946" s="76"/>
      <c r="CS946" s="76"/>
      <c r="CT946" s="76"/>
      <c r="CU946" s="76"/>
      <c r="CV946" s="76"/>
      <c r="CW946" s="76"/>
      <c r="CX946" s="76"/>
      <c r="CY946" s="76"/>
      <c r="CZ946" s="76"/>
      <c r="DA946" s="76"/>
      <c r="DB946" s="76"/>
      <c r="DC946" s="76"/>
      <c r="DD946" s="76"/>
      <c r="DE946" s="76"/>
      <c r="DF946" s="76"/>
      <c r="DG946" s="76"/>
      <c r="DH946" s="76"/>
      <c r="DI946" s="76"/>
      <c r="DJ946" s="76"/>
      <c r="DK946" s="76"/>
      <c r="DL946" s="76"/>
      <c r="DM946" s="76"/>
      <c r="DN946" s="76"/>
      <c r="DO946" s="76"/>
      <c r="DP946" s="76"/>
      <c r="DQ946" s="76"/>
      <c r="DR946" s="76"/>
      <c r="DS946" s="76"/>
      <c r="DT946" s="76"/>
      <c r="DU946" s="76"/>
      <c r="DV946" s="76"/>
      <c r="DW946" s="76"/>
      <c r="DX946" s="76"/>
    </row>
    <row r="947" spans="1:128" ht="15.75" customHeight="1">
      <c r="A947" s="76"/>
      <c r="B947" s="79"/>
      <c r="C947" s="18"/>
      <c r="D947" s="18"/>
      <c r="E947" s="18"/>
      <c r="F947" s="18"/>
      <c r="G947" s="18"/>
      <c r="H947" s="18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6"/>
      <c r="CK947" s="76"/>
      <c r="CL947" s="76"/>
      <c r="CM947" s="76"/>
      <c r="CN947" s="76"/>
      <c r="CO947" s="76"/>
      <c r="CP947" s="76"/>
      <c r="CQ947" s="76"/>
      <c r="CR947" s="76"/>
      <c r="CS947" s="76"/>
      <c r="CT947" s="76"/>
      <c r="CU947" s="76"/>
      <c r="CV947" s="76"/>
      <c r="CW947" s="76"/>
      <c r="CX947" s="76"/>
      <c r="CY947" s="76"/>
      <c r="CZ947" s="76"/>
      <c r="DA947" s="76"/>
      <c r="DB947" s="76"/>
      <c r="DC947" s="76"/>
      <c r="DD947" s="76"/>
      <c r="DE947" s="76"/>
      <c r="DF947" s="76"/>
      <c r="DG947" s="76"/>
      <c r="DH947" s="76"/>
      <c r="DI947" s="76"/>
      <c r="DJ947" s="76"/>
      <c r="DK947" s="76"/>
      <c r="DL947" s="76"/>
      <c r="DM947" s="76"/>
      <c r="DN947" s="76"/>
      <c r="DO947" s="76"/>
      <c r="DP947" s="76"/>
      <c r="DQ947" s="76"/>
      <c r="DR947" s="76"/>
      <c r="DS947" s="76"/>
      <c r="DT947" s="76"/>
      <c r="DU947" s="76"/>
      <c r="DV947" s="76"/>
      <c r="DW947" s="76"/>
      <c r="DX947" s="76"/>
    </row>
    <row r="948" spans="1:128" ht="15.75" customHeight="1">
      <c r="A948" s="76"/>
      <c r="B948" s="79"/>
      <c r="C948" s="18"/>
      <c r="D948" s="18"/>
      <c r="E948" s="18"/>
      <c r="F948" s="18"/>
      <c r="G948" s="18"/>
      <c r="H948" s="18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6"/>
      <c r="CT948" s="76"/>
      <c r="CU948" s="76"/>
      <c r="CV948" s="76"/>
      <c r="CW948" s="76"/>
      <c r="CX948" s="76"/>
      <c r="CY948" s="76"/>
      <c r="CZ948" s="76"/>
      <c r="DA948" s="76"/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6"/>
      <c r="DX948" s="76"/>
    </row>
    <row r="949" spans="1:128" ht="15.75" customHeight="1">
      <c r="A949" s="76"/>
      <c r="B949" s="79"/>
      <c r="C949" s="18"/>
      <c r="D949" s="18"/>
      <c r="E949" s="18"/>
      <c r="F949" s="18"/>
      <c r="G949" s="18"/>
      <c r="H949" s="18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6"/>
      <c r="CT949" s="76"/>
      <c r="CU949" s="76"/>
      <c r="CV949" s="76"/>
      <c r="CW949" s="76"/>
      <c r="CX949" s="76"/>
      <c r="CY949" s="76"/>
      <c r="CZ949" s="76"/>
      <c r="DA949" s="76"/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/>
      <c r="DX949" s="76"/>
    </row>
    <row r="950" spans="1:128" ht="15.75" customHeight="1">
      <c r="A950" s="76"/>
      <c r="B950" s="79"/>
      <c r="C950" s="18"/>
      <c r="D950" s="18"/>
      <c r="E950" s="18"/>
      <c r="F950" s="18"/>
      <c r="G950" s="18"/>
      <c r="H950" s="18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/>
      <c r="CK950" s="76"/>
      <c r="CL950" s="76"/>
      <c r="CM950" s="76"/>
      <c r="CN950" s="76"/>
      <c r="CO950" s="76"/>
      <c r="CP950" s="76"/>
      <c r="CQ950" s="76"/>
      <c r="CR950" s="76"/>
      <c r="CS950" s="76"/>
      <c r="CT950" s="76"/>
      <c r="CU950" s="76"/>
      <c r="CV950" s="76"/>
      <c r="CW950" s="76"/>
      <c r="CX950" s="76"/>
      <c r="CY950" s="76"/>
      <c r="CZ950" s="76"/>
      <c r="DA950" s="76"/>
      <c r="DB950" s="76"/>
      <c r="DC950" s="76"/>
      <c r="DD950" s="76"/>
      <c r="DE950" s="76"/>
      <c r="DF950" s="76"/>
      <c r="DG950" s="76"/>
      <c r="DH950" s="76"/>
      <c r="DI950" s="76"/>
      <c r="DJ950" s="76"/>
      <c r="DK950" s="76"/>
      <c r="DL950" s="76"/>
      <c r="DM950" s="76"/>
      <c r="DN950" s="76"/>
      <c r="DO950" s="76"/>
      <c r="DP950" s="76"/>
      <c r="DQ950" s="76"/>
      <c r="DR950" s="76"/>
      <c r="DS950" s="76"/>
      <c r="DT950" s="76"/>
      <c r="DU950" s="76"/>
      <c r="DV950" s="76"/>
      <c r="DW950" s="76"/>
      <c r="DX950" s="76"/>
    </row>
    <row r="951" spans="1:128" ht="15.75" customHeight="1">
      <c r="A951" s="76"/>
      <c r="B951" s="79"/>
      <c r="C951" s="18"/>
      <c r="D951" s="18"/>
      <c r="E951" s="18"/>
      <c r="F951" s="18"/>
      <c r="G951" s="18"/>
      <c r="H951" s="18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/>
      <c r="CK951" s="76"/>
      <c r="CL951" s="76"/>
      <c r="CM951" s="76"/>
      <c r="CN951" s="76"/>
      <c r="CO951" s="76"/>
      <c r="CP951" s="76"/>
      <c r="CQ951" s="76"/>
      <c r="CR951" s="76"/>
      <c r="CS951" s="76"/>
      <c r="CT951" s="76"/>
      <c r="CU951" s="76"/>
      <c r="CV951" s="76"/>
      <c r="CW951" s="76"/>
      <c r="CX951" s="76"/>
      <c r="CY951" s="76"/>
      <c r="CZ951" s="76"/>
      <c r="DA951" s="76"/>
      <c r="DB951" s="76"/>
      <c r="DC951" s="76"/>
      <c r="DD951" s="76"/>
      <c r="DE951" s="76"/>
      <c r="DF951" s="76"/>
      <c r="DG951" s="76"/>
      <c r="DH951" s="76"/>
      <c r="DI951" s="76"/>
      <c r="DJ951" s="76"/>
      <c r="DK951" s="76"/>
      <c r="DL951" s="76"/>
      <c r="DM951" s="76"/>
      <c r="DN951" s="76"/>
      <c r="DO951" s="76"/>
      <c r="DP951" s="76"/>
      <c r="DQ951" s="76"/>
      <c r="DR951" s="76"/>
      <c r="DS951" s="76"/>
      <c r="DT951" s="76"/>
      <c r="DU951" s="76"/>
      <c r="DV951" s="76"/>
      <c r="DW951" s="76"/>
      <c r="DX951" s="76"/>
    </row>
    <row r="952" spans="1:128" ht="15.75" customHeight="1">
      <c r="A952" s="76"/>
      <c r="B952" s="79"/>
      <c r="C952" s="18"/>
      <c r="D952" s="18"/>
      <c r="E952" s="18"/>
      <c r="F952" s="18"/>
      <c r="G952" s="18"/>
      <c r="H952" s="18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6"/>
      <c r="CK952" s="76"/>
      <c r="CL952" s="76"/>
      <c r="CM952" s="76"/>
      <c r="CN952" s="76"/>
      <c r="CO952" s="76"/>
      <c r="CP952" s="76"/>
      <c r="CQ952" s="76"/>
      <c r="CR952" s="76"/>
      <c r="CS952" s="76"/>
      <c r="CT952" s="76"/>
      <c r="CU952" s="76"/>
      <c r="CV952" s="76"/>
      <c r="CW952" s="76"/>
      <c r="CX952" s="76"/>
      <c r="CY952" s="76"/>
      <c r="CZ952" s="76"/>
      <c r="DA952" s="76"/>
      <c r="DB952" s="76"/>
      <c r="DC952" s="76"/>
      <c r="DD952" s="76"/>
      <c r="DE952" s="76"/>
      <c r="DF952" s="76"/>
      <c r="DG952" s="76"/>
      <c r="DH952" s="76"/>
      <c r="DI952" s="76"/>
      <c r="DJ952" s="76"/>
      <c r="DK952" s="76"/>
      <c r="DL952" s="76"/>
      <c r="DM952" s="76"/>
      <c r="DN952" s="76"/>
      <c r="DO952" s="76"/>
      <c r="DP952" s="76"/>
      <c r="DQ952" s="76"/>
      <c r="DR952" s="76"/>
      <c r="DS952" s="76"/>
      <c r="DT952" s="76"/>
      <c r="DU952" s="76"/>
      <c r="DV952" s="76"/>
      <c r="DW952" s="76"/>
      <c r="DX952" s="76"/>
    </row>
    <row r="953" spans="1:128" ht="15.75" customHeight="1">
      <c r="A953" s="76"/>
      <c r="B953" s="79"/>
      <c r="C953" s="18"/>
      <c r="D953" s="18"/>
      <c r="E953" s="18"/>
      <c r="F953" s="18"/>
      <c r="G953" s="18"/>
      <c r="H953" s="18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6"/>
      <c r="CK953" s="76"/>
      <c r="CL953" s="76"/>
      <c r="CM953" s="76"/>
      <c r="CN953" s="76"/>
      <c r="CO953" s="76"/>
      <c r="CP953" s="76"/>
      <c r="CQ953" s="76"/>
      <c r="CR953" s="76"/>
      <c r="CS953" s="76"/>
      <c r="CT953" s="76"/>
      <c r="CU953" s="76"/>
      <c r="CV953" s="76"/>
      <c r="CW953" s="76"/>
      <c r="CX953" s="76"/>
      <c r="CY953" s="76"/>
      <c r="CZ953" s="76"/>
      <c r="DA953" s="76"/>
      <c r="DB953" s="76"/>
      <c r="DC953" s="76"/>
      <c r="DD953" s="76"/>
      <c r="DE953" s="76"/>
      <c r="DF953" s="76"/>
      <c r="DG953" s="76"/>
      <c r="DH953" s="76"/>
      <c r="DI953" s="76"/>
      <c r="DJ953" s="76"/>
      <c r="DK953" s="76"/>
      <c r="DL953" s="76"/>
      <c r="DM953" s="76"/>
      <c r="DN953" s="76"/>
      <c r="DO953" s="76"/>
      <c r="DP953" s="76"/>
      <c r="DQ953" s="76"/>
      <c r="DR953" s="76"/>
      <c r="DS953" s="76"/>
      <c r="DT953" s="76"/>
      <c r="DU953" s="76"/>
      <c r="DV953" s="76"/>
      <c r="DW953" s="76"/>
      <c r="DX953" s="76"/>
    </row>
    <row r="954" spans="1:128" ht="15.75" customHeight="1">
      <c r="A954" s="76"/>
      <c r="B954" s="79"/>
      <c r="C954" s="18"/>
      <c r="D954" s="18"/>
      <c r="E954" s="18"/>
      <c r="F954" s="18"/>
      <c r="G954" s="18"/>
      <c r="H954" s="18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6"/>
      <c r="CK954" s="76"/>
      <c r="CL954" s="76"/>
      <c r="CM954" s="76"/>
      <c r="CN954" s="76"/>
      <c r="CO954" s="76"/>
      <c r="CP954" s="76"/>
      <c r="CQ954" s="76"/>
      <c r="CR954" s="76"/>
      <c r="CS954" s="76"/>
      <c r="CT954" s="76"/>
      <c r="CU954" s="76"/>
      <c r="CV954" s="76"/>
      <c r="CW954" s="76"/>
      <c r="CX954" s="76"/>
      <c r="CY954" s="76"/>
      <c r="CZ954" s="76"/>
      <c r="DA954" s="76"/>
      <c r="DB954" s="76"/>
      <c r="DC954" s="76"/>
      <c r="DD954" s="76"/>
      <c r="DE954" s="76"/>
      <c r="DF954" s="76"/>
      <c r="DG954" s="76"/>
      <c r="DH954" s="76"/>
      <c r="DI954" s="76"/>
      <c r="DJ954" s="76"/>
      <c r="DK954" s="76"/>
      <c r="DL954" s="76"/>
      <c r="DM954" s="76"/>
      <c r="DN954" s="76"/>
      <c r="DO954" s="76"/>
      <c r="DP954" s="76"/>
      <c r="DQ954" s="76"/>
      <c r="DR954" s="76"/>
      <c r="DS954" s="76"/>
      <c r="DT954" s="76"/>
      <c r="DU954" s="76"/>
      <c r="DV954" s="76"/>
      <c r="DW954" s="76"/>
      <c r="DX954" s="76"/>
    </row>
    <row r="955" spans="1:128" ht="15.75" customHeight="1">
      <c r="A955" s="76"/>
      <c r="B955" s="79"/>
      <c r="C955" s="18"/>
      <c r="D955" s="18"/>
      <c r="E955" s="18"/>
      <c r="F955" s="18"/>
      <c r="G955" s="18"/>
      <c r="H955" s="18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6"/>
      <c r="CK955" s="76"/>
      <c r="CL955" s="76"/>
      <c r="CM955" s="76"/>
      <c r="CN955" s="76"/>
      <c r="CO955" s="76"/>
      <c r="CP955" s="76"/>
      <c r="CQ955" s="76"/>
      <c r="CR955" s="76"/>
      <c r="CS955" s="76"/>
      <c r="CT955" s="76"/>
      <c r="CU955" s="76"/>
      <c r="CV955" s="76"/>
      <c r="CW955" s="76"/>
      <c r="CX955" s="76"/>
      <c r="CY955" s="76"/>
      <c r="CZ955" s="76"/>
      <c r="DA955" s="76"/>
      <c r="DB955" s="76"/>
      <c r="DC955" s="76"/>
      <c r="DD955" s="76"/>
      <c r="DE955" s="76"/>
      <c r="DF955" s="76"/>
      <c r="DG955" s="76"/>
      <c r="DH955" s="76"/>
      <c r="DI955" s="76"/>
      <c r="DJ955" s="76"/>
      <c r="DK955" s="76"/>
      <c r="DL955" s="76"/>
      <c r="DM955" s="76"/>
      <c r="DN955" s="76"/>
      <c r="DO955" s="76"/>
      <c r="DP955" s="76"/>
      <c r="DQ955" s="76"/>
      <c r="DR955" s="76"/>
      <c r="DS955" s="76"/>
      <c r="DT955" s="76"/>
      <c r="DU955" s="76"/>
      <c r="DV955" s="76"/>
      <c r="DW955" s="76"/>
      <c r="DX955" s="76"/>
    </row>
    <row r="956" spans="1:128" ht="15.75" customHeight="1">
      <c r="A956" s="76"/>
      <c r="B956" s="79"/>
      <c r="C956" s="18"/>
      <c r="D956" s="18"/>
      <c r="E956" s="18"/>
      <c r="F956" s="18"/>
      <c r="G956" s="18"/>
      <c r="H956" s="18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6"/>
      <c r="CK956" s="76"/>
      <c r="CL956" s="76"/>
      <c r="CM956" s="76"/>
      <c r="CN956" s="76"/>
      <c r="CO956" s="76"/>
      <c r="CP956" s="76"/>
      <c r="CQ956" s="76"/>
      <c r="CR956" s="76"/>
      <c r="CS956" s="76"/>
      <c r="CT956" s="76"/>
      <c r="CU956" s="76"/>
      <c r="CV956" s="76"/>
      <c r="CW956" s="76"/>
      <c r="CX956" s="76"/>
      <c r="CY956" s="76"/>
      <c r="CZ956" s="76"/>
      <c r="DA956" s="76"/>
      <c r="DB956" s="76"/>
      <c r="DC956" s="76"/>
      <c r="DD956" s="76"/>
      <c r="DE956" s="76"/>
      <c r="DF956" s="76"/>
      <c r="DG956" s="76"/>
      <c r="DH956" s="76"/>
      <c r="DI956" s="76"/>
      <c r="DJ956" s="76"/>
      <c r="DK956" s="76"/>
      <c r="DL956" s="76"/>
      <c r="DM956" s="76"/>
      <c r="DN956" s="76"/>
      <c r="DO956" s="76"/>
      <c r="DP956" s="76"/>
      <c r="DQ956" s="76"/>
      <c r="DR956" s="76"/>
      <c r="DS956" s="76"/>
      <c r="DT956" s="76"/>
      <c r="DU956" s="76"/>
      <c r="DV956" s="76"/>
      <c r="DW956" s="76"/>
      <c r="DX956" s="76"/>
    </row>
    <row r="957" spans="1:128" ht="15.75" customHeight="1">
      <c r="A957" s="76"/>
      <c r="B957" s="79"/>
      <c r="C957" s="18"/>
      <c r="D957" s="18"/>
      <c r="E957" s="18"/>
      <c r="F957" s="18"/>
      <c r="G957" s="18"/>
      <c r="H957" s="18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6"/>
      <c r="CK957" s="76"/>
      <c r="CL957" s="76"/>
      <c r="CM957" s="76"/>
      <c r="CN957" s="76"/>
      <c r="CO957" s="76"/>
      <c r="CP957" s="76"/>
      <c r="CQ957" s="76"/>
      <c r="CR957" s="76"/>
      <c r="CS957" s="76"/>
      <c r="CT957" s="76"/>
      <c r="CU957" s="76"/>
      <c r="CV957" s="76"/>
      <c r="CW957" s="76"/>
      <c r="CX957" s="76"/>
      <c r="CY957" s="76"/>
      <c r="CZ957" s="76"/>
      <c r="DA957" s="76"/>
      <c r="DB957" s="76"/>
      <c r="DC957" s="76"/>
      <c r="DD957" s="76"/>
      <c r="DE957" s="76"/>
      <c r="DF957" s="76"/>
      <c r="DG957" s="76"/>
      <c r="DH957" s="76"/>
      <c r="DI957" s="76"/>
      <c r="DJ957" s="76"/>
      <c r="DK957" s="76"/>
      <c r="DL957" s="76"/>
      <c r="DM957" s="76"/>
      <c r="DN957" s="76"/>
      <c r="DO957" s="76"/>
      <c r="DP957" s="76"/>
      <c r="DQ957" s="76"/>
      <c r="DR957" s="76"/>
      <c r="DS957" s="76"/>
      <c r="DT957" s="76"/>
      <c r="DU957" s="76"/>
      <c r="DV957" s="76"/>
      <c r="DW957" s="76"/>
      <c r="DX957" s="76"/>
    </row>
    <row r="958" spans="1:128" ht="15.75" customHeight="1">
      <c r="A958" s="76"/>
      <c r="B958" s="79"/>
      <c r="C958" s="18"/>
      <c r="D958" s="18"/>
      <c r="E958" s="18"/>
      <c r="F958" s="18"/>
      <c r="G958" s="18"/>
      <c r="H958" s="18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6"/>
      <c r="CK958" s="76"/>
      <c r="CL958" s="76"/>
      <c r="CM958" s="76"/>
      <c r="CN958" s="76"/>
      <c r="CO958" s="76"/>
      <c r="CP958" s="76"/>
      <c r="CQ958" s="76"/>
      <c r="CR958" s="76"/>
      <c r="CS958" s="76"/>
      <c r="CT958" s="76"/>
      <c r="CU958" s="76"/>
      <c r="CV958" s="76"/>
      <c r="CW958" s="76"/>
      <c r="CX958" s="76"/>
      <c r="CY958" s="76"/>
      <c r="CZ958" s="76"/>
      <c r="DA958" s="76"/>
      <c r="DB958" s="76"/>
      <c r="DC958" s="76"/>
      <c r="DD958" s="76"/>
      <c r="DE958" s="76"/>
      <c r="DF958" s="76"/>
      <c r="DG958" s="76"/>
      <c r="DH958" s="76"/>
      <c r="DI958" s="76"/>
      <c r="DJ958" s="76"/>
      <c r="DK958" s="76"/>
      <c r="DL958" s="76"/>
      <c r="DM958" s="76"/>
      <c r="DN958" s="76"/>
      <c r="DO958" s="76"/>
      <c r="DP958" s="76"/>
      <c r="DQ958" s="76"/>
      <c r="DR958" s="76"/>
      <c r="DS958" s="76"/>
      <c r="DT958" s="76"/>
      <c r="DU958" s="76"/>
      <c r="DV958" s="76"/>
      <c r="DW958" s="76"/>
      <c r="DX958" s="76"/>
    </row>
    <row r="959" spans="1:128" ht="15.75" customHeight="1">
      <c r="A959" s="76"/>
      <c r="B959" s="79"/>
      <c r="C959" s="18"/>
      <c r="D959" s="18"/>
      <c r="E959" s="18"/>
      <c r="F959" s="18"/>
      <c r="G959" s="18"/>
      <c r="H959" s="18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/>
      <c r="CK959" s="76"/>
      <c r="CL959" s="76"/>
      <c r="CM959" s="76"/>
      <c r="CN959" s="76"/>
      <c r="CO959" s="76"/>
      <c r="CP959" s="76"/>
      <c r="CQ959" s="76"/>
      <c r="CR959" s="76"/>
      <c r="CS959" s="76"/>
      <c r="CT959" s="76"/>
      <c r="CU959" s="76"/>
      <c r="CV959" s="76"/>
      <c r="CW959" s="76"/>
      <c r="CX959" s="76"/>
      <c r="CY959" s="76"/>
      <c r="CZ959" s="76"/>
      <c r="DA959" s="76"/>
      <c r="DB959" s="76"/>
      <c r="DC959" s="76"/>
      <c r="DD959" s="76"/>
      <c r="DE959" s="76"/>
      <c r="DF959" s="76"/>
      <c r="DG959" s="76"/>
      <c r="DH959" s="76"/>
      <c r="DI959" s="76"/>
      <c r="DJ959" s="76"/>
      <c r="DK959" s="76"/>
      <c r="DL959" s="76"/>
      <c r="DM959" s="76"/>
      <c r="DN959" s="76"/>
      <c r="DO959" s="76"/>
      <c r="DP959" s="76"/>
      <c r="DQ959" s="76"/>
      <c r="DR959" s="76"/>
      <c r="DS959" s="76"/>
      <c r="DT959" s="76"/>
      <c r="DU959" s="76"/>
      <c r="DV959" s="76"/>
      <c r="DW959" s="76"/>
      <c r="DX959" s="76"/>
    </row>
    <row r="960" spans="1:128" ht="15.75" customHeight="1">
      <c r="A960" s="76"/>
      <c r="B960" s="79"/>
      <c r="C960" s="18"/>
      <c r="D960" s="18"/>
      <c r="E960" s="18"/>
      <c r="F960" s="18"/>
      <c r="G960" s="18"/>
      <c r="H960" s="18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6"/>
      <c r="CK960" s="76"/>
      <c r="CL960" s="76"/>
      <c r="CM960" s="76"/>
      <c r="CN960" s="76"/>
      <c r="CO960" s="76"/>
      <c r="CP960" s="76"/>
      <c r="CQ960" s="76"/>
      <c r="CR960" s="76"/>
      <c r="CS960" s="76"/>
      <c r="CT960" s="76"/>
      <c r="CU960" s="76"/>
      <c r="CV960" s="76"/>
      <c r="CW960" s="76"/>
      <c r="CX960" s="76"/>
      <c r="CY960" s="76"/>
      <c r="CZ960" s="76"/>
      <c r="DA960" s="76"/>
      <c r="DB960" s="76"/>
      <c r="DC960" s="76"/>
      <c r="DD960" s="76"/>
      <c r="DE960" s="76"/>
      <c r="DF960" s="76"/>
      <c r="DG960" s="76"/>
      <c r="DH960" s="76"/>
      <c r="DI960" s="76"/>
      <c r="DJ960" s="76"/>
      <c r="DK960" s="76"/>
      <c r="DL960" s="76"/>
      <c r="DM960" s="76"/>
      <c r="DN960" s="76"/>
      <c r="DO960" s="76"/>
      <c r="DP960" s="76"/>
      <c r="DQ960" s="76"/>
      <c r="DR960" s="76"/>
      <c r="DS960" s="76"/>
      <c r="DT960" s="76"/>
      <c r="DU960" s="76"/>
      <c r="DV960" s="76"/>
      <c r="DW960" s="76"/>
      <c r="DX960" s="76"/>
    </row>
    <row r="961" spans="1:128" ht="15.75" customHeight="1">
      <c r="A961" s="76"/>
      <c r="B961" s="79"/>
      <c r="C961" s="18"/>
      <c r="D961" s="18"/>
      <c r="E961" s="18"/>
      <c r="F961" s="18"/>
      <c r="G961" s="18"/>
      <c r="H961" s="18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  <c r="CF961" s="76"/>
      <c r="CG961" s="76"/>
      <c r="CH961" s="76"/>
      <c r="CI961" s="76"/>
      <c r="CJ961" s="76"/>
      <c r="CK961" s="76"/>
      <c r="CL961" s="76"/>
      <c r="CM961" s="76"/>
      <c r="CN961" s="76"/>
      <c r="CO961" s="76"/>
      <c r="CP961" s="76"/>
      <c r="CQ961" s="76"/>
      <c r="CR961" s="76"/>
      <c r="CS961" s="76"/>
      <c r="CT961" s="76"/>
      <c r="CU961" s="76"/>
      <c r="CV961" s="76"/>
      <c r="CW961" s="76"/>
      <c r="CX961" s="76"/>
      <c r="CY961" s="76"/>
      <c r="CZ961" s="76"/>
      <c r="DA961" s="76"/>
      <c r="DB961" s="76"/>
      <c r="DC961" s="76"/>
      <c r="DD961" s="76"/>
      <c r="DE961" s="76"/>
      <c r="DF961" s="76"/>
      <c r="DG961" s="76"/>
      <c r="DH961" s="76"/>
      <c r="DI961" s="76"/>
      <c r="DJ961" s="76"/>
      <c r="DK961" s="76"/>
      <c r="DL961" s="76"/>
      <c r="DM961" s="76"/>
      <c r="DN961" s="76"/>
      <c r="DO961" s="76"/>
      <c r="DP961" s="76"/>
      <c r="DQ961" s="76"/>
      <c r="DR961" s="76"/>
      <c r="DS961" s="76"/>
      <c r="DT961" s="76"/>
      <c r="DU961" s="76"/>
      <c r="DV961" s="76"/>
      <c r="DW961" s="76"/>
      <c r="DX961" s="76"/>
    </row>
    <row r="962" spans="1:128" ht="15.75" customHeight="1">
      <c r="A962" s="76"/>
      <c r="B962" s="79"/>
      <c r="C962" s="18"/>
      <c r="D962" s="18"/>
      <c r="E962" s="18"/>
      <c r="F962" s="18"/>
      <c r="G962" s="18"/>
      <c r="H962" s="18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6"/>
      <c r="CK962" s="76"/>
      <c r="CL962" s="76"/>
      <c r="CM962" s="76"/>
      <c r="CN962" s="76"/>
      <c r="CO962" s="76"/>
      <c r="CP962" s="76"/>
      <c r="CQ962" s="76"/>
      <c r="CR962" s="76"/>
      <c r="CS962" s="76"/>
      <c r="CT962" s="76"/>
      <c r="CU962" s="76"/>
      <c r="CV962" s="76"/>
      <c r="CW962" s="76"/>
      <c r="CX962" s="76"/>
      <c r="CY962" s="76"/>
      <c r="CZ962" s="76"/>
      <c r="DA962" s="76"/>
      <c r="DB962" s="76"/>
      <c r="DC962" s="76"/>
      <c r="DD962" s="76"/>
      <c r="DE962" s="76"/>
      <c r="DF962" s="76"/>
      <c r="DG962" s="76"/>
      <c r="DH962" s="76"/>
      <c r="DI962" s="76"/>
      <c r="DJ962" s="76"/>
      <c r="DK962" s="76"/>
      <c r="DL962" s="76"/>
      <c r="DM962" s="76"/>
      <c r="DN962" s="76"/>
      <c r="DO962" s="76"/>
      <c r="DP962" s="76"/>
      <c r="DQ962" s="76"/>
      <c r="DR962" s="76"/>
      <c r="DS962" s="76"/>
      <c r="DT962" s="76"/>
      <c r="DU962" s="76"/>
      <c r="DV962" s="76"/>
      <c r="DW962" s="76"/>
      <c r="DX962" s="76"/>
    </row>
    <row r="963" spans="1:128" ht="15.75" customHeight="1">
      <c r="A963" s="76"/>
      <c r="B963" s="79"/>
      <c r="C963" s="18"/>
      <c r="D963" s="18"/>
      <c r="E963" s="18"/>
      <c r="F963" s="18"/>
      <c r="G963" s="18"/>
      <c r="H963" s="18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6"/>
      <c r="CK963" s="76"/>
      <c r="CL963" s="76"/>
      <c r="CM963" s="76"/>
      <c r="CN963" s="76"/>
      <c r="CO963" s="76"/>
      <c r="CP963" s="76"/>
      <c r="CQ963" s="76"/>
      <c r="CR963" s="76"/>
      <c r="CS963" s="76"/>
      <c r="CT963" s="76"/>
      <c r="CU963" s="76"/>
      <c r="CV963" s="76"/>
      <c r="CW963" s="76"/>
      <c r="CX963" s="76"/>
      <c r="CY963" s="76"/>
      <c r="CZ963" s="76"/>
      <c r="DA963" s="76"/>
      <c r="DB963" s="76"/>
      <c r="DC963" s="76"/>
      <c r="DD963" s="76"/>
      <c r="DE963" s="76"/>
      <c r="DF963" s="76"/>
      <c r="DG963" s="76"/>
      <c r="DH963" s="76"/>
      <c r="DI963" s="76"/>
      <c r="DJ963" s="76"/>
      <c r="DK963" s="76"/>
      <c r="DL963" s="76"/>
      <c r="DM963" s="76"/>
      <c r="DN963" s="76"/>
      <c r="DO963" s="76"/>
      <c r="DP963" s="76"/>
      <c r="DQ963" s="76"/>
      <c r="DR963" s="76"/>
      <c r="DS963" s="76"/>
      <c r="DT963" s="76"/>
      <c r="DU963" s="76"/>
      <c r="DV963" s="76"/>
      <c r="DW963" s="76"/>
      <c r="DX963" s="76"/>
    </row>
    <row r="964" spans="1:128" ht="15.75" customHeight="1">
      <c r="A964" s="76"/>
      <c r="B964" s="79"/>
      <c r="C964" s="18"/>
      <c r="D964" s="18"/>
      <c r="E964" s="18"/>
      <c r="F964" s="18"/>
      <c r="G964" s="18"/>
      <c r="H964" s="18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6"/>
      <c r="CK964" s="76"/>
      <c r="CL964" s="76"/>
      <c r="CM964" s="76"/>
      <c r="CN964" s="76"/>
      <c r="CO964" s="76"/>
      <c r="CP964" s="76"/>
      <c r="CQ964" s="76"/>
      <c r="CR964" s="76"/>
      <c r="CS964" s="76"/>
      <c r="CT964" s="76"/>
      <c r="CU964" s="76"/>
      <c r="CV964" s="76"/>
      <c r="CW964" s="76"/>
      <c r="CX964" s="76"/>
      <c r="CY964" s="76"/>
      <c r="CZ964" s="76"/>
      <c r="DA964" s="76"/>
      <c r="DB964" s="76"/>
      <c r="DC964" s="76"/>
      <c r="DD964" s="76"/>
      <c r="DE964" s="76"/>
      <c r="DF964" s="76"/>
      <c r="DG964" s="76"/>
      <c r="DH964" s="76"/>
      <c r="DI964" s="76"/>
      <c r="DJ964" s="76"/>
      <c r="DK964" s="76"/>
      <c r="DL964" s="76"/>
      <c r="DM964" s="76"/>
      <c r="DN964" s="76"/>
      <c r="DO964" s="76"/>
      <c r="DP964" s="76"/>
      <c r="DQ964" s="76"/>
      <c r="DR964" s="76"/>
      <c r="DS964" s="76"/>
      <c r="DT964" s="76"/>
      <c r="DU964" s="76"/>
      <c r="DV964" s="76"/>
      <c r="DW964" s="76"/>
      <c r="DX964" s="76"/>
    </row>
    <row r="965" spans="1:128" ht="15.75" customHeight="1">
      <c r="A965" s="76"/>
      <c r="B965" s="79"/>
      <c r="C965" s="18"/>
      <c r="D965" s="18"/>
      <c r="E965" s="18"/>
      <c r="F965" s="18"/>
      <c r="G965" s="18"/>
      <c r="H965" s="18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6"/>
      <c r="CK965" s="76"/>
      <c r="CL965" s="76"/>
      <c r="CM965" s="76"/>
      <c r="CN965" s="76"/>
      <c r="CO965" s="76"/>
      <c r="CP965" s="76"/>
      <c r="CQ965" s="76"/>
      <c r="CR965" s="76"/>
      <c r="CS965" s="76"/>
      <c r="CT965" s="76"/>
      <c r="CU965" s="76"/>
      <c r="CV965" s="76"/>
      <c r="CW965" s="76"/>
      <c r="CX965" s="76"/>
      <c r="CY965" s="76"/>
      <c r="CZ965" s="76"/>
      <c r="DA965" s="76"/>
      <c r="DB965" s="76"/>
      <c r="DC965" s="76"/>
      <c r="DD965" s="76"/>
      <c r="DE965" s="76"/>
      <c r="DF965" s="76"/>
      <c r="DG965" s="76"/>
      <c r="DH965" s="76"/>
      <c r="DI965" s="76"/>
      <c r="DJ965" s="76"/>
      <c r="DK965" s="76"/>
      <c r="DL965" s="76"/>
      <c r="DM965" s="76"/>
      <c r="DN965" s="76"/>
      <c r="DO965" s="76"/>
      <c r="DP965" s="76"/>
      <c r="DQ965" s="76"/>
      <c r="DR965" s="76"/>
      <c r="DS965" s="76"/>
      <c r="DT965" s="76"/>
      <c r="DU965" s="76"/>
      <c r="DV965" s="76"/>
      <c r="DW965" s="76"/>
      <c r="DX965" s="76"/>
    </row>
    <row r="966" spans="1:128" ht="15.75" customHeight="1">
      <c r="A966" s="76"/>
      <c r="B966" s="79"/>
      <c r="C966" s="18"/>
      <c r="D966" s="18"/>
      <c r="E966" s="18"/>
      <c r="F966" s="18"/>
      <c r="G966" s="18"/>
      <c r="H966" s="18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  <c r="CF966" s="76"/>
      <c r="CG966" s="76"/>
      <c r="CH966" s="76"/>
      <c r="CI966" s="76"/>
      <c r="CJ966" s="76"/>
      <c r="CK966" s="76"/>
      <c r="CL966" s="76"/>
      <c r="CM966" s="76"/>
      <c r="CN966" s="76"/>
      <c r="CO966" s="76"/>
      <c r="CP966" s="76"/>
      <c r="CQ966" s="76"/>
      <c r="CR966" s="76"/>
      <c r="CS966" s="76"/>
      <c r="CT966" s="76"/>
      <c r="CU966" s="76"/>
      <c r="CV966" s="76"/>
      <c r="CW966" s="76"/>
      <c r="CX966" s="76"/>
      <c r="CY966" s="76"/>
      <c r="CZ966" s="76"/>
      <c r="DA966" s="76"/>
      <c r="DB966" s="76"/>
      <c r="DC966" s="76"/>
      <c r="DD966" s="76"/>
      <c r="DE966" s="76"/>
      <c r="DF966" s="76"/>
      <c r="DG966" s="76"/>
      <c r="DH966" s="76"/>
      <c r="DI966" s="76"/>
      <c r="DJ966" s="76"/>
      <c r="DK966" s="76"/>
      <c r="DL966" s="76"/>
      <c r="DM966" s="76"/>
      <c r="DN966" s="76"/>
      <c r="DO966" s="76"/>
      <c r="DP966" s="76"/>
      <c r="DQ966" s="76"/>
      <c r="DR966" s="76"/>
      <c r="DS966" s="76"/>
      <c r="DT966" s="76"/>
      <c r="DU966" s="76"/>
      <c r="DV966" s="76"/>
      <c r="DW966" s="76"/>
      <c r="DX966" s="76"/>
    </row>
    <row r="967" spans="1:128" ht="15.75" customHeight="1">
      <c r="A967" s="76"/>
      <c r="B967" s="79"/>
      <c r="C967" s="18"/>
      <c r="D967" s="18"/>
      <c r="E967" s="18"/>
      <c r="F967" s="18"/>
      <c r="G967" s="18"/>
      <c r="H967" s="18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  <c r="CF967" s="76"/>
      <c r="CG967" s="76"/>
      <c r="CH967" s="76"/>
      <c r="CI967" s="76"/>
      <c r="CJ967" s="76"/>
      <c r="CK967" s="76"/>
      <c r="CL967" s="76"/>
      <c r="CM967" s="76"/>
      <c r="CN967" s="76"/>
      <c r="CO967" s="76"/>
      <c r="CP967" s="76"/>
      <c r="CQ967" s="76"/>
      <c r="CR967" s="76"/>
      <c r="CS967" s="76"/>
      <c r="CT967" s="76"/>
      <c r="CU967" s="76"/>
      <c r="CV967" s="76"/>
      <c r="CW967" s="76"/>
      <c r="CX967" s="76"/>
      <c r="CY967" s="76"/>
      <c r="CZ967" s="76"/>
      <c r="DA967" s="76"/>
      <c r="DB967" s="76"/>
      <c r="DC967" s="76"/>
      <c r="DD967" s="76"/>
      <c r="DE967" s="76"/>
      <c r="DF967" s="76"/>
      <c r="DG967" s="76"/>
      <c r="DH967" s="76"/>
      <c r="DI967" s="76"/>
      <c r="DJ967" s="76"/>
      <c r="DK967" s="76"/>
      <c r="DL967" s="76"/>
      <c r="DM967" s="76"/>
      <c r="DN967" s="76"/>
      <c r="DO967" s="76"/>
      <c r="DP967" s="76"/>
      <c r="DQ967" s="76"/>
      <c r="DR967" s="76"/>
      <c r="DS967" s="76"/>
      <c r="DT967" s="76"/>
      <c r="DU967" s="76"/>
      <c r="DV967" s="76"/>
      <c r="DW967" s="76"/>
      <c r="DX967" s="76"/>
    </row>
    <row r="968" spans="1:128" ht="15.75" customHeight="1">
      <c r="A968" s="76"/>
      <c r="B968" s="79"/>
      <c r="C968" s="18"/>
      <c r="D968" s="18"/>
      <c r="E968" s="18"/>
      <c r="F968" s="18"/>
      <c r="G968" s="18"/>
      <c r="H968" s="18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6"/>
      <c r="CK968" s="76"/>
      <c r="CL968" s="76"/>
      <c r="CM968" s="76"/>
      <c r="CN968" s="76"/>
      <c r="CO968" s="76"/>
      <c r="CP968" s="76"/>
      <c r="CQ968" s="76"/>
      <c r="CR968" s="76"/>
      <c r="CS968" s="76"/>
      <c r="CT968" s="76"/>
      <c r="CU968" s="76"/>
      <c r="CV968" s="76"/>
      <c r="CW968" s="76"/>
      <c r="CX968" s="76"/>
      <c r="CY968" s="76"/>
      <c r="CZ968" s="76"/>
      <c r="DA968" s="76"/>
      <c r="DB968" s="76"/>
      <c r="DC968" s="76"/>
      <c r="DD968" s="76"/>
      <c r="DE968" s="76"/>
      <c r="DF968" s="76"/>
      <c r="DG968" s="76"/>
      <c r="DH968" s="76"/>
      <c r="DI968" s="76"/>
      <c r="DJ968" s="76"/>
      <c r="DK968" s="76"/>
      <c r="DL968" s="76"/>
      <c r="DM968" s="76"/>
      <c r="DN968" s="76"/>
      <c r="DO968" s="76"/>
      <c r="DP968" s="76"/>
      <c r="DQ968" s="76"/>
      <c r="DR968" s="76"/>
      <c r="DS968" s="76"/>
      <c r="DT968" s="76"/>
      <c r="DU968" s="76"/>
      <c r="DV968" s="76"/>
      <c r="DW968" s="76"/>
      <c r="DX968" s="76"/>
    </row>
    <row r="969" spans="1:128" ht="15.75" customHeight="1">
      <c r="A969" s="76"/>
      <c r="B969" s="79"/>
      <c r="C969" s="18"/>
      <c r="D969" s="18"/>
      <c r="E969" s="18"/>
      <c r="F969" s="18"/>
      <c r="G969" s="18"/>
      <c r="H969" s="18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6"/>
      <c r="CK969" s="76"/>
      <c r="CL969" s="76"/>
      <c r="CM969" s="76"/>
      <c r="CN969" s="76"/>
      <c r="CO969" s="76"/>
      <c r="CP969" s="76"/>
      <c r="CQ969" s="76"/>
      <c r="CR969" s="76"/>
      <c r="CS969" s="76"/>
      <c r="CT969" s="76"/>
      <c r="CU969" s="76"/>
      <c r="CV969" s="76"/>
      <c r="CW969" s="76"/>
      <c r="CX969" s="76"/>
      <c r="CY969" s="76"/>
      <c r="CZ969" s="76"/>
      <c r="DA969" s="76"/>
      <c r="DB969" s="76"/>
      <c r="DC969" s="76"/>
      <c r="DD969" s="76"/>
      <c r="DE969" s="76"/>
      <c r="DF969" s="76"/>
      <c r="DG969" s="76"/>
      <c r="DH969" s="76"/>
      <c r="DI969" s="76"/>
      <c r="DJ969" s="76"/>
      <c r="DK969" s="76"/>
      <c r="DL969" s="76"/>
      <c r="DM969" s="76"/>
      <c r="DN969" s="76"/>
      <c r="DO969" s="76"/>
      <c r="DP969" s="76"/>
      <c r="DQ969" s="76"/>
      <c r="DR969" s="76"/>
      <c r="DS969" s="76"/>
      <c r="DT969" s="76"/>
      <c r="DU969" s="76"/>
      <c r="DV969" s="76"/>
      <c r="DW969" s="76"/>
      <c r="DX969" s="76"/>
    </row>
    <row r="970" spans="1:128" ht="15.75" customHeight="1">
      <c r="A970" s="76"/>
      <c r="B970" s="79"/>
      <c r="C970" s="18"/>
      <c r="D970" s="18"/>
      <c r="E970" s="18"/>
      <c r="F970" s="18"/>
      <c r="G970" s="18"/>
      <c r="H970" s="18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6"/>
      <c r="CK970" s="76"/>
      <c r="CL970" s="76"/>
      <c r="CM970" s="76"/>
      <c r="CN970" s="76"/>
      <c r="CO970" s="76"/>
      <c r="CP970" s="76"/>
      <c r="CQ970" s="76"/>
      <c r="CR970" s="76"/>
      <c r="CS970" s="76"/>
      <c r="CT970" s="76"/>
      <c r="CU970" s="76"/>
      <c r="CV970" s="76"/>
      <c r="CW970" s="76"/>
      <c r="CX970" s="76"/>
      <c r="CY970" s="76"/>
      <c r="CZ970" s="76"/>
      <c r="DA970" s="76"/>
      <c r="DB970" s="76"/>
      <c r="DC970" s="76"/>
      <c r="DD970" s="76"/>
      <c r="DE970" s="76"/>
      <c r="DF970" s="76"/>
      <c r="DG970" s="76"/>
      <c r="DH970" s="76"/>
      <c r="DI970" s="76"/>
      <c r="DJ970" s="76"/>
      <c r="DK970" s="76"/>
      <c r="DL970" s="76"/>
      <c r="DM970" s="76"/>
      <c r="DN970" s="76"/>
      <c r="DO970" s="76"/>
      <c r="DP970" s="76"/>
      <c r="DQ970" s="76"/>
      <c r="DR970" s="76"/>
      <c r="DS970" s="76"/>
      <c r="DT970" s="76"/>
      <c r="DU970" s="76"/>
      <c r="DV970" s="76"/>
      <c r="DW970" s="76"/>
      <c r="DX970" s="76"/>
    </row>
    <row r="971" spans="1:128" ht="15.75" customHeight="1">
      <c r="A971" s="76"/>
      <c r="B971" s="79"/>
      <c r="C971" s="18"/>
      <c r="D971" s="18"/>
      <c r="E971" s="18"/>
      <c r="F971" s="18"/>
      <c r="G971" s="18"/>
      <c r="H971" s="18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6"/>
      <c r="CK971" s="76"/>
      <c r="CL971" s="76"/>
      <c r="CM971" s="76"/>
      <c r="CN971" s="76"/>
      <c r="CO971" s="76"/>
      <c r="CP971" s="76"/>
      <c r="CQ971" s="76"/>
      <c r="CR971" s="76"/>
      <c r="CS971" s="76"/>
      <c r="CT971" s="76"/>
      <c r="CU971" s="76"/>
      <c r="CV971" s="76"/>
      <c r="CW971" s="76"/>
      <c r="CX971" s="76"/>
      <c r="CY971" s="76"/>
      <c r="CZ971" s="76"/>
      <c r="DA971" s="76"/>
      <c r="DB971" s="76"/>
      <c r="DC971" s="76"/>
      <c r="DD971" s="76"/>
      <c r="DE971" s="76"/>
      <c r="DF971" s="76"/>
      <c r="DG971" s="76"/>
      <c r="DH971" s="76"/>
      <c r="DI971" s="76"/>
      <c r="DJ971" s="76"/>
      <c r="DK971" s="76"/>
      <c r="DL971" s="76"/>
      <c r="DM971" s="76"/>
      <c r="DN971" s="76"/>
      <c r="DO971" s="76"/>
      <c r="DP971" s="76"/>
      <c r="DQ971" s="76"/>
      <c r="DR971" s="76"/>
      <c r="DS971" s="76"/>
      <c r="DT971" s="76"/>
      <c r="DU971" s="76"/>
      <c r="DV971" s="76"/>
      <c r="DW971" s="76"/>
      <c r="DX971" s="76"/>
    </row>
    <row r="972" spans="1:128" ht="15.75" customHeight="1">
      <c r="A972" s="76"/>
      <c r="B972" s="79"/>
      <c r="C972" s="18"/>
      <c r="D972" s="18"/>
      <c r="E972" s="18"/>
      <c r="F972" s="18"/>
      <c r="G972" s="18"/>
      <c r="H972" s="18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/>
      <c r="CK972" s="76"/>
      <c r="CL972" s="76"/>
      <c r="CM972" s="76"/>
      <c r="CN972" s="76"/>
      <c r="CO972" s="76"/>
      <c r="CP972" s="76"/>
      <c r="CQ972" s="76"/>
      <c r="CR972" s="76"/>
      <c r="CS972" s="76"/>
      <c r="CT972" s="76"/>
      <c r="CU972" s="76"/>
      <c r="CV972" s="76"/>
      <c r="CW972" s="76"/>
      <c r="CX972" s="76"/>
      <c r="CY972" s="76"/>
      <c r="CZ972" s="76"/>
      <c r="DA972" s="76"/>
      <c r="DB972" s="76"/>
      <c r="DC972" s="76"/>
      <c r="DD972" s="76"/>
      <c r="DE972" s="76"/>
      <c r="DF972" s="76"/>
      <c r="DG972" s="76"/>
      <c r="DH972" s="76"/>
      <c r="DI972" s="76"/>
      <c r="DJ972" s="76"/>
      <c r="DK972" s="76"/>
      <c r="DL972" s="76"/>
      <c r="DM972" s="76"/>
      <c r="DN972" s="76"/>
      <c r="DO972" s="76"/>
      <c r="DP972" s="76"/>
      <c r="DQ972" s="76"/>
      <c r="DR972" s="76"/>
      <c r="DS972" s="76"/>
      <c r="DT972" s="76"/>
      <c r="DU972" s="76"/>
      <c r="DV972" s="76"/>
      <c r="DW972" s="76"/>
      <c r="DX972" s="76"/>
    </row>
    <row r="973" spans="1:128" ht="15.75" customHeight="1">
      <c r="A973" s="76"/>
      <c r="B973" s="79"/>
      <c r="C973" s="18"/>
      <c r="D973" s="18"/>
      <c r="E973" s="18"/>
      <c r="F973" s="18"/>
      <c r="G973" s="18"/>
      <c r="H973" s="18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/>
      <c r="CK973" s="76"/>
      <c r="CL973" s="76"/>
      <c r="CM973" s="76"/>
      <c r="CN973" s="76"/>
      <c r="CO973" s="76"/>
      <c r="CP973" s="76"/>
      <c r="CQ973" s="76"/>
      <c r="CR973" s="76"/>
      <c r="CS973" s="76"/>
      <c r="CT973" s="76"/>
      <c r="CU973" s="76"/>
      <c r="CV973" s="76"/>
      <c r="CW973" s="76"/>
      <c r="CX973" s="76"/>
      <c r="CY973" s="76"/>
      <c r="CZ973" s="76"/>
      <c r="DA973" s="76"/>
      <c r="DB973" s="76"/>
      <c r="DC973" s="76"/>
      <c r="DD973" s="76"/>
      <c r="DE973" s="76"/>
      <c r="DF973" s="76"/>
      <c r="DG973" s="76"/>
      <c r="DH973" s="76"/>
      <c r="DI973" s="76"/>
      <c r="DJ973" s="76"/>
      <c r="DK973" s="76"/>
      <c r="DL973" s="76"/>
      <c r="DM973" s="76"/>
      <c r="DN973" s="76"/>
      <c r="DO973" s="76"/>
      <c r="DP973" s="76"/>
      <c r="DQ973" s="76"/>
      <c r="DR973" s="76"/>
      <c r="DS973" s="76"/>
      <c r="DT973" s="76"/>
      <c r="DU973" s="76"/>
      <c r="DV973" s="76"/>
      <c r="DW973" s="76"/>
      <c r="DX973" s="76"/>
    </row>
    <row r="974" spans="1:128" ht="15.75" customHeight="1">
      <c r="A974" s="76"/>
      <c r="B974" s="79"/>
      <c r="C974" s="18"/>
      <c r="D974" s="18"/>
      <c r="E974" s="18"/>
      <c r="F974" s="18"/>
      <c r="G974" s="18"/>
      <c r="H974" s="18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/>
      <c r="CK974" s="76"/>
      <c r="CL974" s="76"/>
      <c r="CM974" s="76"/>
      <c r="CN974" s="76"/>
      <c r="CO974" s="76"/>
      <c r="CP974" s="76"/>
      <c r="CQ974" s="76"/>
      <c r="CR974" s="76"/>
      <c r="CS974" s="76"/>
      <c r="CT974" s="76"/>
      <c r="CU974" s="76"/>
      <c r="CV974" s="76"/>
      <c r="CW974" s="76"/>
      <c r="CX974" s="76"/>
      <c r="CY974" s="76"/>
      <c r="CZ974" s="76"/>
      <c r="DA974" s="76"/>
      <c r="DB974" s="76"/>
      <c r="DC974" s="76"/>
      <c r="DD974" s="76"/>
      <c r="DE974" s="76"/>
      <c r="DF974" s="76"/>
      <c r="DG974" s="76"/>
      <c r="DH974" s="76"/>
      <c r="DI974" s="76"/>
      <c r="DJ974" s="76"/>
      <c r="DK974" s="76"/>
      <c r="DL974" s="76"/>
      <c r="DM974" s="76"/>
      <c r="DN974" s="76"/>
      <c r="DO974" s="76"/>
      <c r="DP974" s="76"/>
      <c r="DQ974" s="76"/>
      <c r="DR974" s="76"/>
      <c r="DS974" s="76"/>
      <c r="DT974" s="76"/>
      <c r="DU974" s="76"/>
      <c r="DV974" s="76"/>
      <c r="DW974" s="76"/>
      <c r="DX974" s="76"/>
    </row>
  </sheetData>
  <conditionalFormatting sqref="B2:B102">
    <cfRule type="expression" dxfId="21" priority="1">
      <formula>COUNTIF($B$2:$B$102,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94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6640625" defaultRowHeight="15" customHeight="1"/>
  <cols>
    <col min="1" max="1" width="15.6640625" customWidth="1"/>
    <col min="2" max="2" width="25" customWidth="1"/>
    <col min="3" max="3" width="19" customWidth="1"/>
    <col min="4" max="4" width="14.44140625" hidden="1" customWidth="1"/>
    <col min="5" max="5" width="14.44140625" customWidth="1"/>
    <col min="6" max="6" width="18.6640625" customWidth="1"/>
    <col min="7" max="7" width="15" customWidth="1"/>
    <col min="8" max="8" width="19.77734375" customWidth="1"/>
    <col min="9" max="9" width="14.44140625" customWidth="1"/>
    <col min="10" max="10" width="11.77734375" customWidth="1"/>
    <col min="11" max="11" width="11.21875" customWidth="1"/>
    <col min="12" max="12" width="10.77734375" customWidth="1"/>
    <col min="13" max="13" width="11.21875" customWidth="1"/>
    <col min="14" max="14" width="15.109375" customWidth="1"/>
    <col min="15" max="17" width="10.77734375" customWidth="1"/>
    <col min="18" max="20" width="10.77734375" hidden="1" customWidth="1"/>
    <col min="21" max="22" width="15.6640625" customWidth="1"/>
    <col min="29" max="31" width="12.6640625" customWidth="1"/>
  </cols>
  <sheetData>
    <row r="1" spans="1:38" ht="19.5" customHeight="1">
      <c r="A1" s="120" t="s">
        <v>0</v>
      </c>
      <c r="B1" s="121"/>
      <c r="C1" s="26">
        <f>data!J1</f>
        <v>46262</v>
      </c>
      <c r="D1" s="27"/>
      <c r="E1" s="27"/>
      <c r="F1" s="27"/>
      <c r="G1" s="27"/>
      <c r="H1" s="27"/>
      <c r="I1" s="27"/>
      <c r="J1" s="28"/>
      <c r="K1" s="27"/>
      <c r="L1" s="27"/>
      <c r="M1" s="27"/>
      <c r="N1" s="29"/>
      <c r="O1" s="122" t="s">
        <v>30</v>
      </c>
      <c r="P1" s="121"/>
      <c r="Q1" s="121"/>
      <c r="R1" s="122" t="s">
        <v>30</v>
      </c>
      <c r="S1" s="121"/>
      <c r="T1" s="121"/>
      <c r="U1" s="29"/>
      <c r="V1" s="29"/>
      <c r="W1" s="31"/>
      <c r="X1" s="32"/>
      <c r="Y1" s="32"/>
      <c r="Z1" s="32"/>
      <c r="AA1" s="32"/>
      <c r="AB1" s="32"/>
      <c r="AC1" s="34"/>
      <c r="AD1" s="35"/>
      <c r="AE1" s="27"/>
      <c r="AF1" s="32"/>
      <c r="AG1" s="32"/>
      <c r="AH1" s="32"/>
      <c r="AI1" s="32"/>
      <c r="AJ1" s="32"/>
      <c r="AK1" s="32"/>
      <c r="AL1" s="32"/>
    </row>
    <row r="2" spans="1:38" ht="30.75" customHeight="1">
      <c r="A2" s="11" t="s">
        <v>1</v>
      </c>
      <c r="B2" s="11" t="s">
        <v>9</v>
      </c>
      <c r="C2" s="11" t="s">
        <v>10</v>
      </c>
      <c r="D2" s="36" t="s">
        <v>32</v>
      </c>
      <c r="E2" s="36" t="s">
        <v>33</v>
      </c>
      <c r="F2" s="36" t="s">
        <v>34</v>
      </c>
      <c r="G2" s="36" t="s">
        <v>11</v>
      </c>
      <c r="H2" s="36" t="s">
        <v>35</v>
      </c>
      <c r="I2" s="37" t="s">
        <v>36</v>
      </c>
      <c r="J2" s="38" t="s">
        <v>37</v>
      </c>
      <c r="K2" s="39" t="s">
        <v>38</v>
      </c>
      <c r="L2" s="41" t="s">
        <v>41</v>
      </c>
      <c r="M2" s="39" t="s">
        <v>42</v>
      </c>
      <c r="N2" s="39" t="s">
        <v>43</v>
      </c>
      <c r="O2" s="42">
        <v>0.8</v>
      </c>
      <c r="P2" s="42">
        <v>0.9</v>
      </c>
      <c r="Q2" s="42">
        <v>1</v>
      </c>
      <c r="R2" s="42">
        <v>0.8</v>
      </c>
      <c r="S2" s="42">
        <v>0.9</v>
      </c>
      <c r="T2" s="42">
        <v>1</v>
      </c>
      <c r="U2" s="45" t="s">
        <v>47</v>
      </c>
      <c r="V2" s="45" t="s">
        <v>50</v>
      </c>
      <c r="W2" s="47" t="s">
        <v>3</v>
      </c>
      <c r="X2" s="51" t="s">
        <v>4</v>
      </c>
      <c r="Y2" s="51" t="s">
        <v>59</v>
      </c>
      <c r="Z2" s="15" t="s">
        <v>5</v>
      </c>
      <c r="AA2" s="12" t="s">
        <v>6</v>
      </c>
      <c r="AB2" s="12" t="s">
        <v>60</v>
      </c>
      <c r="AC2" s="53" t="s">
        <v>7</v>
      </c>
      <c r="AD2" s="36" t="s">
        <v>8</v>
      </c>
      <c r="AE2" s="36" t="s">
        <v>61</v>
      </c>
      <c r="AF2" s="17"/>
      <c r="AG2" s="17"/>
      <c r="AH2" s="17"/>
      <c r="AI2" s="17"/>
      <c r="AJ2" s="17"/>
      <c r="AK2" s="17"/>
      <c r="AL2" s="17"/>
    </row>
    <row r="3" spans="1:38" ht="13.8">
      <c r="A3" s="22" t="s">
        <v>23</v>
      </c>
      <c r="B3" s="54" t="s">
        <v>24</v>
      </c>
      <c r="C3" s="22" t="s">
        <v>26</v>
      </c>
      <c r="D3" s="24">
        <v>150000</v>
      </c>
      <c r="E3" s="24">
        <f t="shared" ref="E3:E55" si="0">AE3</f>
        <v>187790.06323529413</v>
      </c>
      <c r="F3" s="24">
        <f t="array" aca="1" ref="F3" ca="1">IFERROR(
  ROUND(
    _xludf.LET(
      nt,$A3,
      nv,$B3,
      songay,DAY(EOMONTH($C$1,0)),
      doanhthungay,$I3,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" s="24">
        <f t="array" ref="G3">_xlfn.XLOOKUP(B3,'Dự án T8'!B:B,'Dự án T8'!D:D,0)</f>
        <v>2758480.5357142859</v>
      </c>
      <c r="H3" s="24">
        <f t="shared" ref="H3:H55" si="1">Q3</f>
        <v>8800000</v>
      </c>
      <c r="I3" s="24">
        <f t="shared" ref="I3:I55" si="2">(AD3/DAY($C$1))</f>
        <v>4560615.8214285718</v>
      </c>
      <c r="J3" s="63">
        <f t="array" ref="J3">_xlfn.XLOOKUP(B3,'kpi nhà thuốc'!A:A,'kpi nhà thuốc'!F:F,(AD3/DAY($C$1))/U3)</f>
        <v>0.80706680188413937</v>
      </c>
      <c r="K3" s="24" t="e">
        <f t="array" aca="1" ref="K3" ca="1">_xlfn.XLOOKUP(
    B3,
    'kpi nhà thuốc'!A:A,
    'kpi nhà thuốc'!G:G,
    IF(
        AND(
            OR(C3="DSXC",C3="DSCD"),
            G3&gt;=F3),IF(AND(I3&gt;=T3,E3&gt;=D3),AD3*1.5%,IF(AND(I3&gt;=T3,E3&lt;D3),AD3*1.3%,IF(AND(I3&gt;=S3,E3&gt;=D3),AD3*1.3%,IF(AND(I3&gt;=S3,E3&lt;D3),AD3*1.1%,IF(AND(I3&gt;=R3,E3&gt;=D3),AD3*1.2%,IF(AND(I3&gt;=R3,E3&lt;D3),AD3*1%,"")))))),""
    )
)</f>
        <v>#NAME?</v>
      </c>
      <c r="L3" s="65">
        <f t="shared" ref="L3:L55" si="3">IF(C3="DSTV","", IF(J3&lt;0.6, 0.8, 1))</f>
        <v>1</v>
      </c>
      <c r="M3" s="24">
        <f t="array" aca="1" ref="M3" ca="1">IFERROR(
  _xlfn.XLOOKUP(
    $A3&amp;$B3,
    'Dự án T8'!$A:$A&amp;'Dự án T8'!$B:$B,
    'Dự án T8'!$M:$M,
    0
  )*$L3,
0)</f>
        <v>600000</v>
      </c>
      <c r="N3" s="68" t="e">
        <f t="shared" ref="N3:N55" ca="1" si="4">K3+M3*L3</f>
        <v>#NAME?</v>
      </c>
      <c r="O3" s="24">
        <f t="shared" ref="O3:Q3" si="5">CEILING(R3,100000)</f>
        <v>7000000</v>
      </c>
      <c r="P3" s="24">
        <f t="shared" si="5"/>
        <v>7900000</v>
      </c>
      <c r="Q3" s="24">
        <f t="shared" si="5"/>
        <v>8800000</v>
      </c>
      <c r="R3" s="24">
        <f t="shared" ref="R3:R55" si="6">U3*$R$2</f>
        <v>6967741.935483872</v>
      </c>
      <c r="S3" s="24">
        <f t="shared" ref="S3:S55" si="7">U3*$S$2</f>
        <v>7838709.6774193551</v>
      </c>
      <c r="T3" s="24">
        <f t="shared" ref="T3:T55" si="8">U3*$T$2</f>
        <v>8709677.4193548393</v>
      </c>
      <c r="U3" s="24">
        <f>V3/DAY('kpi nhà thuốc'!$T$1)</f>
        <v>8709677.4193548393</v>
      </c>
      <c r="V3" s="24">
        <v>270000000</v>
      </c>
      <c r="W3" s="23">
        <f>SUMIF(data!$B:$B,B3,data!$C:$C)</f>
        <v>554</v>
      </c>
      <c r="X3" s="24">
        <f>SUMIF(data!$B:$B,B3,data!$D:$D)</f>
        <v>103518742</v>
      </c>
      <c r="Y3" s="24">
        <f t="shared" ref="Y3:Y55" si="9">IF(W3&gt;0,X3/W3,0)</f>
        <v>186856.93501805054</v>
      </c>
      <c r="Z3" s="24">
        <f>SUMIF(data!$B:$B,B3,data!$E:$E)</f>
        <v>126</v>
      </c>
      <c r="AA3" s="24">
        <f>SUMIF(data!$B:$B,B3,data!$F:$F)</f>
        <v>24178501</v>
      </c>
      <c r="AB3" s="24">
        <f t="shared" ref="AB3:AB55" si="10">IF(Z3&gt;0,AA3/Z3,0)</f>
        <v>191892.86507936509</v>
      </c>
      <c r="AC3" s="24">
        <f t="shared" ref="AC3:AD3" si="11">W3+Z3</f>
        <v>680</v>
      </c>
      <c r="AD3" s="24">
        <f t="shared" si="11"/>
        <v>127697243</v>
      </c>
      <c r="AE3" s="24">
        <f t="shared" ref="AE3:AE55" si="12">IF(AC3&gt;0,AD3/AC3,0)</f>
        <v>187790.06323529413</v>
      </c>
      <c r="AF3" s="50"/>
      <c r="AG3" s="50"/>
      <c r="AH3" s="50"/>
      <c r="AI3" s="50"/>
      <c r="AJ3" s="50"/>
      <c r="AK3" s="50"/>
      <c r="AL3" s="50"/>
    </row>
    <row r="4" spans="1:38" ht="13.8">
      <c r="A4" s="22" t="s">
        <v>23</v>
      </c>
      <c r="B4" s="54" t="s">
        <v>57</v>
      </c>
      <c r="C4" s="22" t="s">
        <v>105</v>
      </c>
      <c r="D4" s="24">
        <v>245000</v>
      </c>
      <c r="E4" s="24">
        <f t="shared" si="0"/>
        <v>326285.32215447153</v>
      </c>
      <c r="F4" s="24">
        <f t="array" aca="1" ref="F4" ca="1">IFERROR(
  ROUND(
    _xludf.LET(
      nt,$A4,
      nv,$B4,
      songay,DAY(EOMONTH($C$1,0)),
      doanhthungay,$I4,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" s="24">
        <f t="array" ref="G4">_xlfn.XLOOKUP(B4,'Dự án T8'!B:B,'Dự án T8'!D:D,0)</f>
        <v>8078076.8928571427</v>
      </c>
      <c r="H4" s="24">
        <f t="shared" si="1"/>
        <v>11300000</v>
      </c>
      <c r="I4" s="24">
        <f t="shared" si="2"/>
        <v>11466598.464285715</v>
      </c>
      <c r="J4" s="63">
        <f t="array" ref="J4">_xlfn.XLOOKUP(B4,'kpi nhà thuốc'!A:A,'kpi nhà thuốc'!F:F,(AD4/DAY($C$1))/U4)</f>
        <v>1.0156130068367348</v>
      </c>
      <c r="K4" s="24" t="e">
        <f t="array" aca="1" ref="K4" ca="1">_xlfn.XLOOKUP(
    B4,
    'kpi nhà thuốc'!A:A,
    'kpi nhà thuốc'!G:G,
    IF(
        AND(
            OR(C4="DSXC",C4="DSCD"),
            G4&gt;=F4),IF(AND(I4&gt;=T4,E4&gt;=D4),AD4*1.5%,IF(AND(I4&gt;=T4,E4&lt;D4),AD4*1.3%,IF(AND(I4&gt;=S4,E4&gt;=D4),AD4*1.3%,IF(AND(I4&gt;=S4,E4&lt;D4),AD4*1.1%,IF(AND(I4&gt;=R4,E4&gt;=D4),AD4*1.2%,IF(AND(I4&gt;=R4,E4&lt;D4),AD4*1%,"")))))),""
    )
)</f>
        <v>#NAME?</v>
      </c>
      <c r="L4" s="65">
        <f t="shared" si="3"/>
        <v>1</v>
      </c>
      <c r="M4" s="24">
        <f t="array" aca="1" ref="M4" ca="1">IFERROR(
  _xlfn.XLOOKUP(
    $A4&amp;$B4,
    'Dự án T8'!$A:$A&amp;'Dự án T8'!$B:$B,
    'Dự án T8'!$M:$M,
    0
  )*$L4,
0)</f>
        <v>1400000</v>
      </c>
      <c r="N4" s="68" t="e">
        <f t="shared" ca="1" si="4"/>
        <v>#NAME?</v>
      </c>
      <c r="O4" s="24">
        <f t="shared" ref="O4:Q4" si="13">CEILING(R4,100000)</f>
        <v>9100000</v>
      </c>
      <c r="P4" s="24">
        <f t="shared" si="13"/>
        <v>10200000</v>
      </c>
      <c r="Q4" s="24">
        <f t="shared" si="13"/>
        <v>11300000</v>
      </c>
      <c r="R4" s="24">
        <f t="shared" si="6"/>
        <v>9032258.064516129</v>
      </c>
      <c r="S4" s="24">
        <f t="shared" si="7"/>
        <v>10161290.322580645</v>
      </c>
      <c r="T4" s="24">
        <f t="shared" si="8"/>
        <v>11290322.580645161</v>
      </c>
      <c r="U4" s="24">
        <f>V4/DAY('kpi nhà thuốc'!$T$1)</f>
        <v>11290322.580645161</v>
      </c>
      <c r="V4" s="24">
        <v>350000000</v>
      </c>
      <c r="W4" s="23">
        <f>SUMIF(data!$B:$B,B4,data!$C:$C)</f>
        <v>794</v>
      </c>
      <c r="X4" s="24">
        <f>SUMIF(data!$B:$B,B4,data!$D:$D)</f>
        <v>267188160</v>
      </c>
      <c r="Y4" s="24">
        <f t="shared" si="9"/>
        <v>336509.01763224183</v>
      </c>
      <c r="Z4" s="24">
        <f>SUMIF(data!$B:$B,B4,data!$E:$E)</f>
        <v>190</v>
      </c>
      <c r="AA4" s="24">
        <f>SUMIF(data!$B:$B,B4,data!$F:$F)</f>
        <v>53876597</v>
      </c>
      <c r="AB4" s="24">
        <f t="shared" si="10"/>
        <v>283561.03684210527</v>
      </c>
      <c r="AC4" s="24">
        <f t="shared" ref="AC4:AD4" si="14">W4+Z4</f>
        <v>984</v>
      </c>
      <c r="AD4" s="24">
        <f t="shared" si="14"/>
        <v>321064757</v>
      </c>
      <c r="AE4" s="24">
        <f t="shared" si="12"/>
        <v>326285.32215447153</v>
      </c>
      <c r="AF4" s="50"/>
      <c r="AG4" s="50"/>
      <c r="AH4" s="50"/>
      <c r="AI4" s="50"/>
      <c r="AJ4" s="50"/>
      <c r="AK4" s="50"/>
      <c r="AL4" s="50"/>
    </row>
    <row r="5" spans="1:38" ht="13.8">
      <c r="A5" s="22" t="s">
        <v>23</v>
      </c>
      <c r="B5" s="54" t="s">
        <v>62</v>
      </c>
      <c r="C5" s="22" t="s">
        <v>120</v>
      </c>
      <c r="D5" s="24">
        <v>250000</v>
      </c>
      <c r="E5" s="24">
        <f t="shared" si="0"/>
        <v>173037.07623318385</v>
      </c>
      <c r="F5" s="24">
        <f t="array" aca="1" ref="F5" ca="1">IFERROR(
  ROUND(
    _xludf.LET(
      nt,$A5,
      nv,$B5,
      songay,DAY(EOMONTH($C$1,0)),
      doanhthungay,$I5,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" s="24">
        <f t="array" ref="G5">_xlfn.XLOOKUP(B5,'Dự án T8'!B:B,'Dự án T8'!D:D,0)</f>
        <v>2185630.4285714286</v>
      </c>
      <c r="H5" s="24">
        <f t="shared" si="1"/>
        <v>9700000</v>
      </c>
      <c r="I5" s="24">
        <f t="shared" si="2"/>
        <v>6890583.5714285718</v>
      </c>
      <c r="J5" s="63">
        <f t="array" ref="J5">_xlfn.XLOOKUP(B5,'kpi nhà thuốc'!A:A,'kpi nhà thuốc'!F:F,(AD5/DAY($C$1))/U5)</f>
        <v>0.71202696904761908</v>
      </c>
      <c r="K5" s="24" t="e">
        <f t="array" aca="1" ref="K5" ca="1">_xlfn.XLOOKUP(
    B5,
    'kpi nhà thuốc'!A:A,
    'kpi nhà thuốc'!G:G,
    IF(
        AND(
            OR(C5="DSXC",C5="DSCD"),
            G5&gt;=F5),IF(AND(I5&gt;=T5,E5&gt;=D5),AD5*1.5%,IF(AND(I5&gt;=T5,E5&lt;D5),AD5*1.3%,IF(AND(I5&gt;=S5,E5&gt;=D5),AD5*1.3%,IF(AND(I5&gt;=S5,E5&lt;D5),AD5*1.1%,IF(AND(I5&gt;=R5,E5&gt;=D5),AD5*1.2%,IF(AND(I5&gt;=R5,E5&lt;D5),AD5*1%,"")))))),""
    )
)</f>
        <v>#NAME?</v>
      </c>
      <c r="L5" s="65">
        <f t="shared" si="3"/>
        <v>1</v>
      </c>
      <c r="M5" s="24">
        <f t="array" aca="1" ref="M5" ca="1">IFERROR(
  _xlfn.XLOOKUP(
    $A5&amp;$B5,
    'Dự án T8'!$A:$A&amp;'Dự án T8'!$B:$B,
    'Dự án T8'!$M:$M,
    0
  )*$L5,
0)</f>
        <v>600000</v>
      </c>
      <c r="N5" s="68" t="e">
        <f t="shared" ca="1" si="4"/>
        <v>#NAME?</v>
      </c>
      <c r="O5" s="24">
        <f t="shared" ref="O5:Q5" si="15">CEILING(R5,100000)</f>
        <v>7800000</v>
      </c>
      <c r="P5" s="24">
        <f t="shared" si="15"/>
        <v>8800000</v>
      </c>
      <c r="Q5" s="24">
        <f t="shared" si="15"/>
        <v>9700000</v>
      </c>
      <c r="R5" s="24">
        <f t="shared" si="6"/>
        <v>7741935.4838709682</v>
      </c>
      <c r="S5" s="24">
        <f t="shared" si="7"/>
        <v>8709677.4193548393</v>
      </c>
      <c r="T5" s="24">
        <f t="shared" si="8"/>
        <v>9677419.3548387103</v>
      </c>
      <c r="U5" s="24">
        <f>V5/DAY('kpi nhà thuốc'!$T$1)</f>
        <v>9677419.3548387103</v>
      </c>
      <c r="V5" s="24">
        <v>300000000</v>
      </c>
      <c r="W5" s="23">
        <f>SUMIF(data!$B:$B,B5,data!$C:$C)</f>
        <v>715</v>
      </c>
      <c r="X5" s="24">
        <f>SUMIF(data!$B:$B,B5,data!$D:$D)</f>
        <v>127357340</v>
      </c>
      <c r="Y5" s="24">
        <f t="shared" si="9"/>
        <v>178122.15384615384</v>
      </c>
      <c r="Z5" s="24">
        <f>SUMIF(data!$B:$B,B5,data!$E:$E)</f>
        <v>400</v>
      </c>
      <c r="AA5" s="24">
        <f>SUMIF(data!$B:$B,B5,data!$F:$F)</f>
        <v>65579000</v>
      </c>
      <c r="AB5" s="24">
        <f t="shared" si="10"/>
        <v>163947.5</v>
      </c>
      <c r="AC5" s="24">
        <f t="shared" ref="AC5:AD5" si="16">W5+Z5</f>
        <v>1115</v>
      </c>
      <c r="AD5" s="24">
        <f t="shared" si="16"/>
        <v>192936340</v>
      </c>
      <c r="AE5" s="24">
        <f t="shared" si="12"/>
        <v>173037.07623318385</v>
      </c>
      <c r="AF5" s="50"/>
      <c r="AG5" s="50"/>
      <c r="AH5" s="50"/>
      <c r="AI5" s="50"/>
      <c r="AJ5" s="50"/>
      <c r="AK5" s="50"/>
      <c r="AL5" s="50"/>
    </row>
    <row r="6" spans="1:38" ht="13.8">
      <c r="A6" s="22" t="s">
        <v>23</v>
      </c>
      <c r="B6" s="54" t="s">
        <v>82</v>
      </c>
      <c r="C6" s="22" t="s">
        <v>105</v>
      </c>
      <c r="D6" s="24">
        <v>204000</v>
      </c>
      <c r="E6" s="24">
        <f t="shared" si="0"/>
        <v>245748.60294117648</v>
      </c>
      <c r="F6" s="24">
        <f t="array" aca="1" ref="F6" ca="1">IFERROR(
  ROUND(
    _xludf.LET(
      nt,$A6,
      nv,$B6,
      songay,DAY(EOMONTH($C$1,0)),
      doanhthungay,$I6,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6" s="24">
        <f t="array" ref="G6">_xlfn.XLOOKUP(B6,'Dự án T8'!B:B,'Dự án T8'!D:D,0)</f>
        <v>3697575.0714285714</v>
      </c>
      <c r="H6" s="24">
        <f t="shared" si="1"/>
        <v>11300000</v>
      </c>
      <c r="I6" s="24">
        <f t="shared" si="2"/>
        <v>10145906.607142856</v>
      </c>
      <c r="J6" s="63">
        <f t="array" ref="J6">_xlfn.XLOOKUP(B6,'kpi nhà thuốc'!A:A,'kpi nhà thuốc'!F:F,(AD6/DAY($C$1))/U6)</f>
        <v>0.89863744234693876</v>
      </c>
      <c r="K6" s="24" t="e">
        <f t="array" aca="1" ref="K6" ca="1">_xlfn.XLOOKUP(
    B6,
    'kpi nhà thuốc'!A:A,
    'kpi nhà thuốc'!G:G,
    IF(
        AND(
            OR(C6="DSXC",C6="DSCD"),
            G6&gt;=F6),IF(AND(I6&gt;=T6,E6&gt;=D6),AD6*1.5%,IF(AND(I6&gt;=T6,E6&lt;D6),AD6*1.3%,IF(AND(I6&gt;=S6,E6&gt;=D6),AD6*1.3%,IF(AND(I6&gt;=S6,E6&lt;D6),AD6*1.1%,IF(AND(I6&gt;=R6,E6&gt;=D6),AD6*1.2%,IF(AND(I6&gt;=R6,E6&lt;D6),AD6*1%,"")))))),""
    )
)</f>
        <v>#NAME?</v>
      </c>
      <c r="L6" s="65">
        <f t="shared" si="3"/>
        <v>1</v>
      </c>
      <c r="M6" s="24">
        <f t="array" aca="1" ref="M6" ca="1">IFERROR(
  _xlfn.XLOOKUP(
    $A6&amp;$B6,
    'Dự án T8'!$A:$A&amp;'Dự án T8'!$B:$B,
    'Dự án T8'!$M:$M,
    0
  )*$L6,
0)</f>
        <v>850000</v>
      </c>
      <c r="N6" s="68" t="e">
        <f t="shared" ca="1" si="4"/>
        <v>#NAME?</v>
      </c>
      <c r="O6" s="24">
        <f t="shared" ref="O6:Q6" si="17">CEILING(R6,100000)</f>
        <v>9100000</v>
      </c>
      <c r="P6" s="24">
        <f t="shared" si="17"/>
        <v>10200000</v>
      </c>
      <c r="Q6" s="24">
        <f t="shared" si="17"/>
        <v>11300000</v>
      </c>
      <c r="R6" s="24">
        <f t="shared" si="6"/>
        <v>9032258.064516129</v>
      </c>
      <c r="S6" s="24">
        <f t="shared" si="7"/>
        <v>10161290.322580645</v>
      </c>
      <c r="T6" s="24">
        <f t="shared" si="8"/>
        <v>11290322.580645161</v>
      </c>
      <c r="U6" s="24">
        <f>V6/DAY('kpi nhà thuốc'!$T$1)</f>
        <v>11290322.580645161</v>
      </c>
      <c r="V6" s="24">
        <v>350000000</v>
      </c>
      <c r="W6" s="23">
        <f>SUMIF(data!$B:$B,B6,data!$C:$C)</f>
        <v>909</v>
      </c>
      <c r="X6" s="24">
        <f>SUMIF(data!$B:$B,B6,data!$D:$D)</f>
        <v>227340258</v>
      </c>
      <c r="Y6" s="24">
        <f t="shared" si="9"/>
        <v>250099.29372937293</v>
      </c>
      <c r="Z6" s="24">
        <f>SUMIF(data!$B:$B,B6,data!$E:$E)</f>
        <v>247</v>
      </c>
      <c r="AA6" s="24">
        <f>SUMIF(data!$B:$B,B6,data!$F:$F)</f>
        <v>56745127</v>
      </c>
      <c r="AB6" s="24">
        <f t="shared" si="10"/>
        <v>229737.35627530364</v>
      </c>
      <c r="AC6" s="24">
        <f t="shared" ref="AC6:AD6" si="18">W6+Z6</f>
        <v>1156</v>
      </c>
      <c r="AD6" s="24">
        <f t="shared" si="18"/>
        <v>284085385</v>
      </c>
      <c r="AE6" s="24">
        <f t="shared" si="12"/>
        <v>245748.60294117648</v>
      </c>
      <c r="AF6" s="50"/>
      <c r="AG6" s="50"/>
      <c r="AH6" s="50"/>
      <c r="AI6" s="50"/>
      <c r="AJ6" s="50"/>
      <c r="AK6" s="50"/>
      <c r="AL6" s="50"/>
    </row>
    <row r="7" spans="1:38" ht="13.8">
      <c r="A7" s="22" t="s">
        <v>83</v>
      </c>
      <c r="B7" s="54" t="s">
        <v>84</v>
      </c>
      <c r="C7" s="22" t="s">
        <v>26</v>
      </c>
      <c r="D7" s="24">
        <v>150000</v>
      </c>
      <c r="E7" s="24">
        <f t="shared" si="0"/>
        <v>166213.63636363635</v>
      </c>
      <c r="F7" s="24">
        <f t="array" aca="1" ref="F7" ca="1">IFERROR(
  ROUND(
    _xludf.LET(
      nt,$A7,
      nv,$B7,
      songay,DAY(EOMONTH($C$1,0)),
      doanhthungay,$I7,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7" s="24">
        <f t="array" ref="G7">_xlfn.XLOOKUP(B7,'Dự án T8'!B:B,'Dự án T8'!D:D,0)</f>
        <v>268285.64285714284</v>
      </c>
      <c r="H7" s="24">
        <f t="shared" si="1"/>
        <v>3900000</v>
      </c>
      <c r="I7" s="24">
        <f t="shared" si="2"/>
        <v>1044771.4285714285</v>
      </c>
      <c r="J7" s="63">
        <f t="array" ref="J7">_xlfn.XLOOKUP(B7,'kpi nhà thuốc'!A:A,'kpi nhà thuốc'!F:F,(AD7/DAY($C$1))/U7)</f>
        <v>0.79120315885568504</v>
      </c>
      <c r="K7" s="24">
        <f t="array" aca="1" ref="K7" ca="1">_xlfn.XLOOKUP(
    B7,
    'kpi nhà thuốc'!A:A,
    'kpi nhà thuốc'!G:G,
    IF(
        AND(
            OR(C7="DSXC",C7="DSCD"),
            G7&gt;=F7),IF(AND(I7&gt;=T7,E7&gt;=D7),AD7*1.5%,IF(AND(I7&gt;=T7,E7&lt;D7),AD7*1.3%,IF(AND(I7&gt;=S7,E7&gt;=D7),AD7*1.3%,IF(AND(I7&gt;=S7,E7&lt;D7),AD7*1.1%,IF(AND(I7&gt;=R7,E7&gt;=D7),AD7*1.2%,IF(AND(I7&gt;=R7,E7&lt;D7),AD7*1%,"")))))),""
    )
)</f>
        <v>0</v>
      </c>
      <c r="L7" s="65">
        <f t="shared" si="3"/>
        <v>1</v>
      </c>
      <c r="M7" s="24">
        <f t="array" aca="1" ref="M7" ca="1">IFERROR(
  _xlfn.XLOOKUP(
    $A7&amp;$B7,
    'Dự án T8'!$A:$A&amp;'Dự án T8'!$B:$B,
    'Dự án T8'!$M:$M,
    0
  )*$L7,
0)</f>
        <v>0</v>
      </c>
      <c r="N7" s="68">
        <f t="shared" ca="1" si="4"/>
        <v>0</v>
      </c>
      <c r="O7" s="24">
        <f t="shared" ref="O7:Q7" si="19">CEILING(R7,100000)</f>
        <v>3100000</v>
      </c>
      <c r="P7" s="24">
        <f t="shared" si="19"/>
        <v>3500000</v>
      </c>
      <c r="Q7" s="24">
        <f t="shared" si="19"/>
        <v>3900000</v>
      </c>
      <c r="R7" s="24">
        <f t="shared" si="6"/>
        <v>3096774.1935483869</v>
      </c>
      <c r="S7" s="24">
        <f t="shared" si="7"/>
        <v>3483870.9677419355</v>
      </c>
      <c r="T7" s="24">
        <f t="shared" si="8"/>
        <v>3870967.7419354836</v>
      </c>
      <c r="U7" s="24">
        <f>V7/DAY('kpi nhà thuốc'!$T$1)</f>
        <v>3870967.7419354836</v>
      </c>
      <c r="V7" s="24">
        <v>120000000</v>
      </c>
      <c r="W7" s="23">
        <f>SUMIF(data!$B:$B,B7,data!$C:$C)</f>
        <v>134</v>
      </c>
      <c r="X7" s="24">
        <f>SUMIF(data!$B:$B,B7,data!$D:$D)</f>
        <v>11932300</v>
      </c>
      <c r="Y7" s="24">
        <f t="shared" si="9"/>
        <v>89047.014925373136</v>
      </c>
      <c r="Z7" s="24">
        <f>SUMIF(data!$B:$B,B7,data!$E:$E)</f>
        <v>42</v>
      </c>
      <c r="AA7" s="24">
        <f>SUMIF(data!$B:$B,B7,data!$F:$F)</f>
        <v>17321300</v>
      </c>
      <c r="AB7" s="24">
        <f t="shared" si="10"/>
        <v>412411.90476190473</v>
      </c>
      <c r="AC7" s="24">
        <f t="shared" ref="AC7:AD7" si="20">W7+Z7</f>
        <v>176</v>
      </c>
      <c r="AD7" s="24">
        <f t="shared" si="20"/>
        <v>29253600</v>
      </c>
      <c r="AE7" s="24">
        <f t="shared" si="12"/>
        <v>166213.63636363635</v>
      </c>
      <c r="AF7" s="50"/>
      <c r="AG7" s="50"/>
      <c r="AH7" s="50"/>
      <c r="AI7" s="50"/>
      <c r="AJ7" s="50"/>
      <c r="AK7" s="50"/>
      <c r="AL7" s="50"/>
    </row>
    <row r="8" spans="1:38" ht="13.8">
      <c r="A8" s="22" t="s">
        <v>83</v>
      </c>
      <c r="B8" s="54" t="s">
        <v>87</v>
      </c>
      <c r="C8" s="22" t="s">
        <v>120</v>
      </c>
      <c r="D8" s="24">
        <v>183000</v>
      </c>
      <c r="E8" s="24">
        <f t="shared" si="0"/>
        <v>130638.68213457077</v>
      </c>
      <c r="F8" s="24">
        <f t="array" aca="1" ref="F8" ca="1">IFERROR(
  ROUND(
    _xludf.LET(
      nt,$A8,
      nv,$B8,
      songay,DAY(EOMONTH($C$1,0)),
      doanhthungay,$I8,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8" s="24">
        <f t="array" ref="G8">_xlfn.XLOOKUP(B8,'Dự án T8'!B:B,'Dự án T8'!D:D,0)</f>
        <v>3421011.9642857141</v>
      </c>
      <c r="H8" s="24">
        <f t="shared" si="1"/>
        <v>7500000</v>
      </c>
      <c r="I8" s="24">
        <f t="shared" si="2"/>
        <v>6032707.7142857146</v>
      </c>
      <c r="J8" s="63">
        <f t="array" ref="J8">_xlfn.XLOOKUP(B8,'kpi nhà thuốc'!A:A,'kpi nhà thuốc'!F:F,(AD8/DAY($C$1))/U8)</f>
        <v>0.81310408322981365</v>
      </c>
      <c r="K8" s="24" t="e">
        <f t="array" aca="1" ref="K8" ca="1">_xlfn.XLOOKUP(
    B8,
    'kpi nhà thuốc'!A:A,
    'kpi nhà thuốc'!G:G,
    IF(
        AND(
            OR(C8="DSXC",C8="DSCD"),
            G8&gt;=F8),IF(AND(I8&gt;=T8,E8&gt;=D8),AD8*1.5%,IF(AND(I8&gt;=T8,E8&lt;D8),AD8*1.3%,IF(AND(I8&gt;=S8,E8&gt;=D8),AD8*1.3%,IF(AND(I8&gt;=S8,E8&lt;D8),AD8*1.1%,IF(AND(I8&gt;=R8,E8&gt;=D8),AD8*1.2%,IF(AND(I8&gt;=R8,E8&lt;D8),AD8*1%,"")))))),""
    )
)</f>
        <v>#NAME?</v>
      </c>
      <c r="L8" s="65">
        <f t="shared" si="3"/>
        <v>1</v>
      </c>
      <c r="M8" s="24">
        <f t="array" aca="1" ref="M8" ca="1">IFERROR(
  _xlfn.XLOOKUP(
    $A8&amp;$B8,
    'Dự án T8'!$A:$A&amp;'Dự án T8'!$B:$B,
    'Dự án T8'!$M:$M,
    0
  )*$L8,
0)</f>
        <v>550000</v>
      </c>
      <c r="N8" s="68" t="e">
        <f t="shared" ca="1" si="4"/>
        <v>#NAME?</v>
      </c>
      <c r="O8" s="24">
        <f t="shared" ref="O8:Q8" si="21">CEILING(R8,100000)</f>
        <v>6000000</v>
      </c>
      <c r="P8" s="24">
        <f t="shared" si="21"/>
        <v>6700000</v>
      </c>
      <c r="Q8" s="24">
        <f t="shared" si="21"/>
        <v>7500000</v>
      </c>
      <c r="R8" s="24">
        <f t="shared" si="6"/>
        <v>5935483.8709677421</v>
      </c>
      <c r="S8" s="24">
        <f t="shared" si="7"/>
        <v>6677419.3548387103</v>
      </c>
      <c r="T8" s="24">
        <f t="shared" si="8"/>
        <v>7419354.8387096776</v>
      </c>
      <c r="U8" s="24">
        <f>V8/DAY('kpi nhà thuốc'!$T$1)</f>
        <v>7419354.8387096776</v>
      </c>
      <c r="V8" s="24">
        <v>230000000</v>
      </c>
      <c r="W8" s="23">
        <f>SUMIF(data!$B:$B,B8,data!$C:$C)</f>
        <v>745</v>
      </c>
      <c r="X8" s="24">
        <f>SUMIF(data!$B:$B,B8,data!$D:$D)</f>
        <v>84823161</v>
      </c>
      <c r="Y8" s="24">
        <f t="shared" si="9"/>
        <v>113856.59194630872</v>
      </c>
      <c r="Z8" s="24">
        <f>SUMIF(data!$B:$B,B8,data!$E:$E)</f>
        <v>548</v>
      </c>
      <c r="AA8" s="24">
        <f>SUMIF(data!$B:$B,B8,data!$F:$F)</f>
        <v>84092655</v>
      </c>
      <c r="AB8" s="24">
        <f t="shared" si="10"/>
        <v>153453.75</v>
      </c>
      <c r="AC8" s="24">
        <f t="shared" ref="AC8:AD8" si="22">W8+Z8</f>
        <v>1293</v>
      </c>
      <c r="AD8" s="24">
        <f t="shared" si="22"/>
        <v>168915816</v>
      </c>
      <c r="AE8" s="24">
        <f t="shared" si="12"/>
        <v>130638.68213457077</v>
      </c>
      <c r="AF8" s="50"/>
      <c r="AG8" s="50"/>
      <c r="AH8" s="50"/>
      <c r="AI8" s="50"/>
      <c r="AJ8" s="50"/>
      <c r="AK8" s="50"/>
      <c r="AL8" s="50"/>
    </row>
    <row r="9" spans="1:38" ht="13.8">
      <c r="A9" s="22" t="s">
        <v>83</v>
      </c>
      <c r="B9" s="54" t="s">
        <v>89</v>
      </c>
      <c r="C9" s="22" t="s">
        <v>105</v>
      </c>
      <c r="D9" s="24">
        <v>178000</v>
      </c>
      <c r="E9" s="24">
        <f t="shared" si="0"/>
        <v>171563.8</v>
      </c>
      <c r="F9" s="24">
        <f t="array" aca="1" ref="F9" ca="1">IFERROR(
  ROUND(
    _xludf.LET(
      nt,$A9,
      nv,$B9,
      songay,DAY(EOMONTH($C$1,0)),
      doanhthungay,$I9,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9" s="24">
        <f t="array" ref="G9">_xlfn.XLOOKUP(B9,'Dự án T8'!B:B,'Dự án T8'!D:D,0)</f>
        <v>2881220.8214285714</v>
      </c>
      <c r="H9" s="24">
        <f t="shared" si="1"/>
        <v>6500000</v>
      </c>
      <c r="I9" s="24">
        <f t="shared" si="2"/>
        <v>5943460.2142857146</v>
      </c>
      <c r="J9" s="63">
        <f t="array" ref="J9">_xlfn.XLOOKUP(B9,'kpi nhà thuốc'!A:A,'kpi nhà thuốc'!F:F,(AD9/DAY($C$1))/U9)</f>
        <v>0.92123633321428577</v>
      </c>
      <c r="K9" s="24" t="e">
        <f t="array" aca="1" ref="K9" ca="1">_xlfn.XLOOKUP(
    B9,
    'kpi nhà thuốc'!A:A,
    'kpi nhà thuốc'!G:G,
    IF(
        AND(
            OR(C9="DSXC",C9="DSCD"),
            G9&gt;=F9),IF(AND(I9&gt;=T9,E9&gt;=D9),AD9*1.5%,IF(AND(I9&gt;=T9,E9&lt;D9),AD9*1.3%,IF(AND(I9&gt;=S9,E9&gt;=D9),AD9*1.3%,IF(AND(I9&gt;=S9,E9&lt;D9),AD9*1.1%,IF(AND(I9&gt;=R9,E9&gt;=D9),AD9*1.2%,IF(AND(I9&gt;=R9,E9&lt;D9),AD9*1%,"")))))),""
    )
)</f>
        <v>#NAME?</v>
      </c>
      <c r="L9" s="65">
        <f t="shared" si="3"/>
        <v>1</v>
      </c>
      <c r="M9" s="24">
        <f t="array" aca="1" ref="M9" ca="1">IFERROR(
  _xlfn.XLOOKUP(
    $A9&amp;$B9,
    'Dự án T8'!$A:$A&amp;'Dự án T8'!$B:$B,
    'Dự án T8'!$M:$M,
    0
  )*$L9,
0)</f>
        <v>600000</v>
      </c>
      <c r="N9" s="68" t="e">
        <f t="shared" ca="1" si="4"/>
        <v>#NAME?</v>
      </c>
      <c r="O9" s="24">
        <f t="shared" ref="O9:Q9" si="23">CEILING(R9,100000)</f>
        <v>5200000</v>
      </c>
      <c r="P9" s="24">
        <f t="shared" si="23"/>
        <v>5900000</v>
      </c>
      <c r="Q9" s="24">
        <f t="shared" si="23"/>
        <v>6500000</v>
      </c>
      <c r="R9" s="24">
        <f t="shared" si="6"/>
        <v>5161290.3225806458</v>
      </c>
      <c r="S9" s="24">
        <f t="shared" si="7"/>
        <v>5806451.6129032262</v>
      </c>
      <c r="T9" s="24">
        <f t="shared" si="8"/>
        <v>6451612.9032258065</v>
      </c>
      <c r="U9" s="24">
        <f>V9/DAY('kpi nhà thuốc'!$T$1)</f>
        <v>6451612.9032258065</v>
      </c>
      <c r="V9" s="24">
        <v>200000000</v>
      </c>
      <c r="W9" s="23">
        <f>SUMIF(data!$B:$B,B9,data!$C:$C)</f>
        <v>572</v>
      </c>
      <c r="X9" s="24">
        <f>SUMIF(data!$B:$B,B9,data!$D:$D)</f>
        <v>69209294</v>
      </c>
      <c r="Y9" s="24">
        <f t="shared" si="9"/>
        <v>120995.26923076923</v>
      </c>
      <c r="Z9" s="24">
        <f>SUMIF(data!$B:$B,B9,data!$E:$E)</f>
        <v>398</v>
      </c>
      <c r="AA9" s="24">
        <f>SUMIF(data!$B:$B,B9,data!$F:$F)</f>
        <v>97207592</v>
      </c>
      <c r="AB9" s="24">
        <f t="shared" si="10"/>
        <v>244240.18090452263</v>
      </c>
      <c r="AC9" s="24">
        <f t="shared" ref="AC9:AD9" si="24">W9+Z9</f>
        <v>970</v>
      </c>
      <c r="AD9" s="24">
        <f t="shared" si="24"/>
        <v>166416886</v>
      </c>
      <c r="AE9" s="24">
        <f t="shared" si="12"/>
        <v>171563.8</v>
      </c>
      <c r="AF9" s="50"/>
      <c r="AG9" s="50"/>
      <c r="AH9" s="50"/>
      <c r="AI9" s="50"/>
      <c r="AJ9" s="50"/>
      <c r="AK9" s="50"/>
      <c r="AL9" s="50"/>
    </row>
    <row r="10" spans="1:38" ht="14.25" customHeight="1">
      <c r="A10" s="22" t="s">
        <v>83</v>
      </c>
      <c r="B10" s="54" t="s">
        <v>93</v>
      </c>
      <c r="C10" s="22" t="s">
        <v>105</v>
      </c>
      <c r="D10" s="24">
        <v>241000</v>
      </c>
      <c r="E10" s="24">
        <f t="shared" si="0"/>
        <v>220068.96116504853</v>
      </c>
      <c r="F10" s="24">
        <f t="array" aca="1" ref="F10" ca="1">IFERROR(
  ROUND(
    _xludf.LET(
      nt,$A10,
      nv,$B10,
      songay,DAY(EOMONTH($C$1,0)),
      doanhthungay,$I10,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0" s="24">
        <f t="array" ref="G10">_xlfn.XLOOKUP(B10,'Dự án T8'!B:B,'Dự án T8'!D:D,0)</f>
        <v>3368580.6785714286</v>
      </c>
      <c r="H10" s="24">
        <f t="shared" si="1"/>
        <v>7500000</v>
      </c>
      <c r="I10" s="24">
        <f t="shared" si="2"/>
        <v>7285854.5357142854</v>
      </c>
      <c r="J10" s="63">
        <f t="array" ref="J10">_xlfn.XLOOKUP(B10,'kpi nhà thuốc'!A:A,'kpi nhà thuốc'!F:F,(AD10/DAY($C$1))/U10)</f>
        <v>0.98200648090062104</v>
      </c>
      <c r="K10" s="24" t="e">
        <f t="array" aca="1" ref="K10" ca="1">_xlfn.XLOOKUP(
    B10,
    'kpi nhà thuốc'!A:A,
    'kpi nhà thuốc'!G:G,
    IF(
        AND(
            OR(C10="DSXC",C10="DSCD"),
            G10&gt;=F10),IF(AND(I10&gt;=T10,E10&gt;=D10),AD10*1.5%,IF(AND(I10&gt;=T10,E10&lt;D10),AD10*1.3%,IF(AND(I10&gt;=S10,E10&gt;=D10),AD10*1.3%,IF(AND(I10&gt;=S10,E10&lt;D10),AD10*1.1%,IF(AND(I10&gt;=R10,E10&gt;=D10),AD10*1.2%,IF(AND(I10&gt;=R10,E10&lt;D10),AD10*1%,"")))))),""
    )
)</f>
        <v>#NAME?</v>
      </c>
      <c r="L10" s="65">
        <f t="shared" si="3"/>
        <v>1</v>
      </c>
      <c r="M10" s="24">
        <f t="array" aca="1" ref="M10" ca="1">IFERROR(
  _xlfn.XLOOKUP(
    $A10&amp;$B10,
    'Dự án T8'!$A:$A&amp;'Dự án T8'!$B:$B,
    'Dự án T8'!$M:$M,
    0
  )*$L10,
0)</f>
        <v>700000</v>
      </c>
      <c r="N10" s="68" t="e">
        <f t="shared" ca="1" si="4"/>
        <v>#NAME?</v>
      </c>
      <c r="O10" s="24">
        <f t="shared" ref="O10:Q10" si="25">CEILING(R10,100000)</f>
        <v>6000000</v>
      </c>
      <c r="P10" s="24">
        <f t="shared" si="25"/>
        <v>6700000</v>
      </c>
      <c r="Q10" s="24">
        <f t="shared" si="25"/>
        <v>7500000</v>
      </c>
      <c r="R10" s="24">
        <f t="shared" si="6"/>
        <v>5935483.8709677421</v>
      </c>
      <c r="S10" s="24">
        <f t="shared" si="7"/>
        <v>6677419.3548387103</v>
      </c>
      <c r="T10" s="24">
        <f t="shared" si="8"/>
        <v>7419354.8387096776</v>
      </c>
      <c r="U10" s="24">
        <f>V10/DAY('kpi nhà thuốc'!$T$1)</f>
        <v>7419354.8387096776</v>
      </c>
      <c r="V10" s="24">
        <v>230000000</v>
      </c>
      <c r="W10" s="23">
        <f>SUMIF(data!$B:$B,B10,data!$C:$C)</f>
        <v>411</v>
      </c>
      <c r="X10" s="24">
        <f>SUMIF(data!$B:$B,B10,data!$D:$D)</f>
        <v>52500960</v>
      </c>
      <c r="Y10" s="24">
        <f t="shared" si="9"/>
        <v>127739.56204379562</v>
      </c>
      <c r="Z10" s="24">
        <f>SUMIF(data!$B:$B,B10,data!$E:$E)</f>
        <v>516</v>
      </c>
      <c r="AA10" s="24">
        <f>SUMIF(data!$B:$B,B10,data!$F:$F)</f>
        <v>151502967</v>
      </c>
      <c r="AB10" s="24">
        <f t="shared" si="10"/>
        <v>293610.40116279072</v>
      </c>
      <c r="AC10" s="24">
        <f t="shared" ref="AC10:AD10" si="26">W10+Z10</f>
        <v>927</v>
      </c>
      <c r="AD10" s="24">
        <f t="shared" si="26"/>
        <v>204003927</v>
      </c>
      <c r="AE10" s="24">
        <f t="shared" si="12"/>
        <v>220068.96116504853</v>
      </c>
      <c r="AF10" s="50"/>
      <c r="AG10" s="50"/>
      <c r="AH10" s="50"/>
      <c r="AI10" s="50"/>
      <c r="AJ10" s="50"/>
      <c r="AK10" s="50"/>
      <c r="AL10" s="50"/>
    </row>
    <row r="11" spans="1:38" ht="14.25" customHeight="1">
      <c r="A11" s="22" t="s">
        <v>83</v>
      </c>
      <c r="B11" s="54" t="s">
        <v>96</v>
      </c>
      <c r="C11" s="22" t="s">
        <v>105</v>
      </c>
      <c r="D11" s="24">
        <v>150000</v>
      </c>
      <c r="E11" s="24">
        <f t="shared" si="0"/>
        <v>217054.6622734761</v>
      </c>
      <c r="F11" s="24">
        <f t="array" aca="1" ref="F11" ca="1">IFERROR(
  ROUND(
    _xludf.LET(
      nt,$A11,
      nv,$B11,
      songay,DAY(EOMONTH($C$1,0)),
      doanhthungay,$I11,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1" s="24">
        <f t="array" ref="G11">_xlfn.XLOOKUP(B11,'Dự án T8'!B:B,'Dự án T8'!D:D,0)</f>
        <v>763078.42857142852</v>
      </c>
      <c r="H11" s="24">
        <f t="shared" si="1"/>
        <v>6500000</v>
      </c>
      <c r="I11" s="24">
        <f t="shared" si="2"/>
        <v>4705435</v>
      </c>
      <c r="J11" s="63">
        <f t="array" ref="J11">_xlfn.XLOOKUP(B11,'kpi nhà thuốc'!A:A,'kpi nhà thuốc'!F:F,(AD11/DAY($C$1))/U11)</f>
        <v>0.72934242500000002</v>
      </c>
      <c r="K11" s="24" t="e">
        <f t="array" aca="1" ref="K11" ca="1">_xlfn.XLOOKUP(
    B11,
    'kpi nhà thuốc'!A:A,
    'kpi nhà thuốc'!G:G,
    IF(
        AND(
            OR(C11="DSXC",C11="DSCD"),
            G11&gt;=F11),IF(AND(I11&gt;=T11,E11&gt;=D11),AD11*1.5%,IF(AND(I11&gt;=T11,E11&lt;D11),AD11*1.3%,IF(AND(I11&gt;=S11,E11&gt;=D11),AD11*1.3%,IF(AND(I11&gt;=S11,E11&lt;D11),AD11*1.1%,IF(AND(I11&gt;=R11,E11&gt;=D11),AD11*1.2%,IF(AND(I11&gt;=R11,E11&lt;D11),AD11*1%,"")))))),""
    )
)</f>
        <v>#NAME?</v>
      </c>
      <c r="L11" s="65">
        <f t="shared" si="3"/>
        <v>1</v>
      </c>
      <c r="M11" s="24">
        <f t="array" aca="1" ref="M11" ca="1">IFERROR(
  _xlfn.XLOOKUP(
    $A11&amp;$B11,
    'Dự án T8'!$A:$A&amp;'Dự án T8'!$B:$B,
    'Dự án T8'!$M:$M,
    0
  )*$L11,
0)</f>
        <v>0</v>
      </c>
      <c r="N11" s="68" t="e">
        <f t="shared" ca="1" si="4"/>
        <v>#NAME?</v>
      </c>
      <c r="O11" s="24">
        <f t="shared" ref="O11:Q11" si="27">CEILING(R11,100000)</f>
        <v>5200000</v>
      </c>
      <c r="P11" s="24">
        <f t="shared" si="27"/>
        <v>5900000</v>
      </c>
      <c r="Q11" s="24">
        <f t="shared" si="27"/>
        <v>6500000</v>
      </c>
      <c r="R11" s="24">
        <f t="shared" si="6"/>
        <v>5161290.3225806458</v>
      </c>
      <c r="S11" s="24">
        <f t="shared" si="7"/>
        <v>5806451.6129032262</v>
      </c>
      <c r="T11" s="24">
        <f t="shared" si="8"/>
        <v>6451612.9032258065</v>
      </c>
      <c r="U11" s="24">
        <f>V11/DAY('kpi nhà thuốc'!$T$1)</f>
        <v>6451612.9032258065</v>
      </c>
      <c r="V11" s="24">
        <v>200000000</v>
      </c>
      <c r="W11" s="23">
        <f>SUMIF(data!$B:$B,B11,data!$C:$C)</f>
        <v>257</v>
      </c>
      <c r="X11" s="24">
        <f>SUMIF(data!$B:$B,B11,data!$D:$D)</f>
        <v>25130380</v>
      </c>
      <c r="Y11" s="24">
        <f t="shared" si="9"/>
        <v>97783.579766536961</v>
      </c>
      <c r="Z11" s="24">
        <f>SUMIF(data!$B:$B,B11,data!$E:$E)</f>
        <v>350</v>
      </c>
      <c r="AA11" s="24">
        <f>SUMIF(data!$B:$B,B11,data!$F:$F)</f>
        <v>106621800</v>
      </c>
      <c r="AB11" s="24">
        <f t="shared" si="10"/>
        <v>304633.71428571426</v>
      </c>
      <c r="AC11" s="24">
        <f t="shared" ref="AC11:AD11" si="28">W11+Z11</f>
        <v>607</v>
      </c>
      <c r="AD11" s="24">
        <f t="shared" si="28"/>
        <v>131752180</v>
      </c>
      <c r="AE11" s="24">
        <f t="shared" si="12"/>
        <v>217054.6622734761</v>
      </c>
      <c r="AF11" s="50"/>
      <c r="AG11" s="50"/>
      <c r="AH11" s="50"/>
      <c r="AI11" s="50"/>
      <c r="AJ11" s="50"/>
      <c r="AK11" s="50"/>
      <c r="AL11" s="50"/>
    </row>
    <row r="12" spans="1:38" ht="14.25" customHeight="1">
      <c r="A12" s="22" t="s">
        <v>12</v>
      </c>
      <c r="B12" s="54" t="s">
        <v>29</v>
      </c>
      <c r="C12" s="22" t="s">
        <v>130</v>
      </c>
      <c r="D12" s="24">
        <v>150000</v>
      </c>
      <c r="E12" s="24">
        <f t="shared" si="0"/>
        <v>98864.721170395875</v>
      </c>
      <c r="F12" s="24">
        <f t="array" aca="1" ref="F12" ca="1">IFERROR(
  ROUND(
    _xludf.LET(
      nt,$A12,
      nv,$B12,
      songay,DAY(EOMONTH($C$1,0)),
      doanhthungay,$I12,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2" s="24">
        <f t="array" ref="G12">_xlfn.XLOOKUP(B12,'Dự án T8'!B:B,'Dự án T8'!D:D,0)</f>
        <v>820280.39285714284</v>
      </c>
      <c r="H12" s="24">
        <f t="shared" si="1"/>
        <v>3600000</v>
      </c>
      <c r="I12" s="24">
        <f t="shared" si="2"/>
        <v>2051442.9642857143</v>
      </c>
      <c r="J12" s="63">
        <f t="array" ref="J12">_xlfn.XLOOKUP(B12,'kpi nhà thuốc'!A:A,'kpi nhà thuốc'!F:F,(AD12/DAY($C$1))/U12)</f>
        <v>0.73144282550223216</v>
      </c>
      <c r="K12" s="24">
        <f t="array" aca="1" ref="K12" ca="1">_xlfn.XLOOKUP(
    B12,
    'kpi nhà thuốc'!A:A,
    'kpi nhà thuốc'!G:G,
    IF(
        AND(
            OR(C12="DSXC",C12="DSCD"),
            G12&gt;=F12),IF(AND(I12&gt;=T12,E12&gt;=D12),AD12*1.5%,IF(AND(I12&gt;=T12,E12&lt;D12),AD12*1.3%,IF(AND(I12&gt;=S12,E12&gt;=D12),AD12*1.3%,IF(AND(I12&gt;=S12,E12&lt;D12),AD12*1.1%,IF(AND(I12&gt;=R12,E12&gt;=D12),AD12*1.2%,IF(AND(I12&gt;=R12,E12&lt;D12),AD12*1%,"")))))),""
    )
)</f>
        <v>0</v>
      </c>
      <c r="L12" s="65">
        <f t="shared" si="3"/>
        <v>1</v>
      </c>
      <c r="M12" s="24">
        <f t="array" aca="1" ref="M12" ca="1">IFERROR(
  _xlfn.XLOOKUP(
    $A12&amp;$B12,
    'Dự án T8'!$A:$A&amp;'Dự án T8'!$B:$B,
    'Dự án T8'!$M:$M,
    0
  )*$L12,
0)</f>
        <v>0</v>
      </c>
      <c r="N12" s="68">
        <f t="shared" ca="1" si="4"/>
        <v>0</v>
      </c>
      <c r="O12" s="24">
        <f t="shared" ref="O12:Q12" si="29">CEILING(R12,100000)</f>
        <v>2900000</v>
      </c>
      <c r="P12" s="24">
        <f t="shared" si="29"/>
        <v>3200000</v>
      </c>
      <c r="Q12" s="24">
        <f t="shared" si="29"/>
        <v>3600000</v>
      </c>
      <c r="R12" s="24">
        <f t="shared" si="6"/>
        <v>2838709.6774193551</v>
      </c>
      <c r="S12" s="24">
        <f t="shared" si="7"/>
        <v>3193548.3870967743</v>
      </c>
      <c r="T12" s="24">
        <f t="shared" si="8"/>
        <v>3548387.0967741935</v>
      </c>
      <c r="U12" s="24">
        <f>V12/DAY('kpi nhà thuốc'!$T$1)</f>
        <v>3548387.0967741935</v>
      </c>
      <c r="V12" s="24">
        <v>110000000</v>
      </c>
      <c r="W12" s="23">
        <f>SUMIF(data!$B:$B,B12,data!$C:$C)</f>
        <v>359</v>
      </c>
      <c r="X12" s="24">
        <f>SUMIF(data!$B:$B,B12,data!$D:$D)</f>
        <v>24147102</v>
      </c>
      <c r="Y12" s="24">
        <f t="shared" si="9"/>
        <v>67262.122562674092</v>
      </c>
      <c r="Z12" s="24">
        <f>SUMIF(data!$B:$B,B12,data!$E:$E)</f>
        <v>222</v>
      </c>
      <c r="AA12" s="24">
        <f>SUMIF(data!$B:$B,B12,data!$F:$F)</f>
        <v>33293301</v>
      </c>
      <c r="AB12" s="24">
        <f t="shared" si="10"/>
        <v>149969.82432432432</v>
      </c>
      <c r="AC12" s="24">
        <f t="shared" ref="AC12:AD12" si="30">W12+Z12</f>
        <v>581</v>
      </c>
      <c r="AD12" s="24">
        <f t="shared" si="30"/>
        <v>57440403</v>
      </c>
      <c r="AE12" s="24">
        <f t="shared" si="12"/>
        <v>98864.721170395875</v>
      </c>
      <c r="AF12" s="50"/>
      <c r="AG12" s="50"/>
      <c r="AH12" s="50"/>
      <c r="AI12" s="50"/>
      <c r="AJ12" s="50"/>
      <c r="AK12" s="50"/>
      <c r="AL12" s="50"/>
    </row>
    <row r="13" spans="1:38" ht="13.8">
      <c r="A13" s="22" t="s">
        <v>12</v>
      </c>
      <c r="B13" s="54" t="s">
        <v>31</v>
      </c>
      <c r="C13" s="22" t="s">
        <v>105</v>
      </c>
      <c r="D13" s="24">
        <v>175000</v>
      </c>
      <c r="E13" s="24">
        <f t="shared" si="0"/>
        <v>115875.26785714286</v>
      </c>
      <c r="F13" s="24">
        <f t="array" aca="1" ref="F13" ca="1">IFERROR(
  ROUND(
    _xludf.LET(
      nt,$A13,
      nv,$B13,
      songay,DAY(EOMONTH($C$1,0)),
      doanhthungay,$I13,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3" s="24">
        <f t="array" ref="G13">_xlfn.XLOOKUP(B13,'Dự án T8'!B:B,'Dự án T8'!D:D,0)</f>
        <v>835680.64285714284</v>
      </c>
      <c r="H13" s="24">
        <f t="shared" si="1"/>
        <v>3800000</v>
      </c>
      <c r="I13" s="24">
        <f t="shared" si="2"/>
        <v>2317505.3571428573</v>
      </c>
      <c r="J13" s="63">
        <f t="array" ref="J13">_xlfn.XLOOKUP(B13,'kpi nhà thuốc'!A:A,'kpi nhà thuốc'!F:F,(AD13/DAY($C$1))/U13)</f>
        <v>0.62471883540372675</v>
      </c>
      <c r="K13" s="24" t="e">
        <f t="array" aca="1" ref="K13" ca="1">_xlfn.XLOOKUP(
    B13,
    'kpi nhà thuốc'!A:A,
    'kpi nhà thuốc'!G:G,
    IF(
        AND(
            OR(C13="DSXC",C13="DSCD"),
            G13&gt;=F13),IF(AND(I13&gt;=T13,E13&gt;=D13),AD13*1.5%,IF(AND(I13&gt;=T13,E13&lt;D13),AD13*1.3%,IF(AND(I13&gt;=S13,E13&gt;=D13),AD13*1.3%,IF(AND(I13&gt;=S13,E13&lt;D13),AD13*1.1%,IF(AND(I13&gt;=R13,E13&gt;=D13),AD13*1.2%,IF(AND(I13&gt;=R13,E13&lt;D13),AD13*1%,"")))))),""
    )
)</f>
        <v>#NAME?</v>
      </c>
      <c r="L13" s="65">
        <f t="shared" si="3"/>
        <v>1</v>
      </c>
      <c r="M13" s="24">
        <f t="array" aca="1" ref="M13" ca="1">IFERROR(
  _xlfn.XLOOKUP(
    $A13&amp;$B13,
    'Dự án T8'!$A:$A&amp;'Dự án T8'!$B:$B,
    'Dự án T8'!$M:$M,
    0
  )*$L13,
0)</f>
        <v>0</v>
      </c>
      <c r="N13" s="68" t="e">
        <f t="shared" ca="1" si="4"/>
        <v>#NAME?</v>
      </c>
      <c r="O13" s="24">
        <f t="shared" ref="O13:Q13" si="31">CEILING(R13,100000)</f>
        <v>3000000</v>
      </c>
      <c r="P13" s="24">
        <f t="shared" si="31"/>
        <v>3400000</v>
      </c>
      <c r="Q13" s="24">
        <f t="shared" si="31"/>
        <v>3800000</v>
      </c>
      <c r="R13" s="24">
        <f t="shared" si="6"/>
        <v>2967741.935483871</v>
      </c>
      <c r="S13" s="24">
        <f t="shared" si="7"/>
        <v>3338709.6774193551</v>
      </c>
      <c r="T13" s="24">
        <f t="shared" si="8"/>
        <v>3709677.4193548388</v>
      </c>
      <c r="U13" s="24">
        <f>V13/DAY('kpi nhà thuốc'!$T$1)</f>
        <v>3709677.4193548388</v>
      </c>
      <c r="V13" s="24">
        <v>115000000</v>
      </c>
      <c r="W13" s="23">
        <f>SUMIF(data!$B:$B,B13,data!$C:$C)</f>
        <v>357</v>
      </c>
      <c r="X13" s="24">
        <f>SUMIF(data!$B:$B,B13,data!$D:$D)</f>
        <v>25728300</v>
      </c>
      <c r="Y13" s="24">
        <f t="shared" si="9"/>
        <v>72068.067226890751</v>
      </c>
      <c r="Z13" s="24">
        <f>SUMIF(data!$B:$B,B13,data!$E:$E)</f>
        <v>203</v>
      </c>
      <c r="AA13" s="24">
        <f>SUMIF(data!$B:$B,B13,data!$F:$F)</f>
        <v>39161850</v>
      </c>
      <c r="AB13" s="24">
        <f t="shared" si="10"/>
        <v>192915.5172413793</v>
      </c>
      <c r="AC13" s="24">
        <f t="shared" ref="AC13:AD13" si="32">W13+Z13</f>
        <v>560</v>
      </c>
      <c r="AD13" s="24">
        <f t="shared" si="32"/>
        <v>64890150</v>
      </c>
      <c r="AE13" s="24">
        <f t="shared" si="12"/>
        <v>115875.26785714286</v>
      </c>
      <c r="AF13" s="50"/>
      <c r="AG13" s="50"/>
      <c r="AH13" s="50"/>
      <c r="AI13" s="50"/>
      <c r="AJ13" s="50"/>
      <c r="AK13" s="50"/>
      <c r="AL13" s="50"/>
    </row>
    <row r="14" spans="1:38" ht="13.8">
      <c r="A14" s="22" t="s">
        <v>12</v>
      </c>
      <c r="B14" s="54" t="s">
        <v>28</v>
      </c>
      <c r="C14" s="22" t="s">
        <v>131</v>
      </c>
      <c r="D14" s="24">
        <v>150000</v>
      </c>
      <c r="E14" s="24">
        <f t="shared" si="0"/>
        <v>95087.02127659574</v>
      </c>
      <c r="F14" s="24">
        <f t="array" aca="1" ref="F14" ca="1">IFERROR(
  ROUND(
    _xludf.LET(
      nt,$A14,
      nv,$B14,
      songay,DAY(EOMONTH($C$1,0)),
      doanhthungay,$I14,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4" s="24">
        <f t="array" ref="G14">_xlfn.XLOOKUP(B14,'Dự án T8'!B:B,'Dự án T8'!D:D,0)</f>
        <v>323234.28571428574</v>
      </c>
      <c r="H14" s="24">
        <f t="shared" si="1"/>
        <v>3100000</v>
      </c>
      <c r="I14" s="24">
        <f t="shared" si="2"/>
        <v>798051.78571428568</v>
      </c>
      <c r="J14" s="63">
        <f t="array" ref="J14">_xlfn.XLOOKUP(B14,'kpi nhà thuốc'!A:A,'kpi nhà thuốc'!F:F,(AD14/DAY($C$1))/U14)</f>
        <v>0.26041689849624061</v>
      </c>
      <c r="K14" s="24" t="str">
        <f t="array" aca="1" ref="K14" ca="1">_xlfn.XLOOKUP(
    B14,
    'kpi nhà thuốc'!A:A,
    'kpi nhà thuốc'!G:G,
    IF(
        AND(
            OR(C14="DSXC",C14="DSCD"),
            G14&gt;=F14),IF(AND(I14&gt;=T14,E14&gt;=D14),AD14*1.5%,IF(AND(I14&gt;=T14,E14&lt;D14),AD14*1.3%,IF(AND(I14&gt;=S14,E14&gt;=D14),AD14*1.3%,IF(AND(I14&gt;=S14,E14&lt;D14),AD14*1.1%,IF(AND(I14&gt;=R14,E14&gt;=D14),AD14*1.2%,IF(AND(I14&gt;=R14,E14&lt;D14),AD14*1%,"")))))),""
    )
)</f>
        <v/>
      </c>
      <c r="L14" s="65">
        <f t="shared" si="3"/>
        <v>0.8</v>
      </c>
      <c r="M14" s="24">
        <f t="array" aca="1" ref="M14" ca="1">IFERROR(
  _xlfn.XLOOKUP(
    $A14&amp;$B14,
    'Dự án T8'!$A:$A&amp;'Dự án T8'!$B:$B,
    'Dự án T8'!$M:$M,
    0
  )*$L14,
0)</f>
        <v>0</v>
      </c>
      <c r="N14" s="68" t="e">
        <f t="shared" ca="1" si="4"/>
        <v>#VALUE!</v>
      </c>
      <c r="O14" s="24">
        <f t="shared" ref="O14:Q14" si="33">CEILING(R14,100000)</f>
        <v>2500000</v>
      </c>
      <c r="P14" s="24">
        <f t="shared" si="33"/>
        <v>2800000</v>
      </c>
      <c r="Q14" s="24">
        <f t="shared" si="33"/>
        <v>3100000</v>
      </c>
      <c r="R14" s="24">
        <f t="shared" si="6"/>
        <v>2451612.9032258065</v>
      </c>
      <c r="S14" s="24">
        <f t="shared" si="7"/>
        <v>2758064.5161290322</v>
      </c>
      <c r="T14" s="24">
        <f t="shared" si="8"/>
        <v>3064516.1290322579</v>
      </c>
      <c r="U14" s="24">
        <f>V14/DAY('kpi nhà thuốc'!$T$1)</f>
        <v>3064516.1290322579</v>
      </c>
      <c r="V14" s="24">
        <v>95000000</v>
      </c>
      <c r="W14" s="23">
        <f>SUMIF(data!$B:$B,B14,data!$C:$C)</f>
        <v>124</v>
      </c>
      <c r="X14" s="24">
        <f>SUMIF(data!$B:$B,B14,data!$D:$D)</f>
        <v>7987200</v>
      </c>
      <c r="Y14" s="24">
        <f t="shared" si="9"/>
        <v>64412.903225806454</v>
      </c>
      <c r="Z14" s="24">
        <f>SUMIF(data!$B:$B,B14,data!$E:$E)</f>
        <v>111</v>
      </c>
      <c r="AA14" s="24">
        <f>SUMIF(data!$B:$B,B14,data!$F:$F)</f>
        <v>14358250</v>
      </c>
      <c r="AB14" s="24">
        <f t="shared" si="10"/>
        <v>129353.60360360361</v>
      </c>
      <c r="AC14" s="24">
        <f t="shared" ref="AC14:AD14" si="34">W14+Z14</f>
        <v>235</v>
      </c>
      <c r="AD14" s="24">
        <f t="shared" si="34"/>
        <v>22345450</v>
      </c>
      <c r="AE14" s="24">
        <f t="shared" si="12"/>
        <v>95087.02127659574</v>
      </c>
      <c r="AF14" s="50"/>
      <c r="AG14" s="50"/>
      <c r="AH14" s="50"/>
      <c r="AI14" s="50"/>
      <c r="AJ14" s="50"/>
      <c r="AK14" s="50"/>
      <c r="AL14" s="50"/>
    </row>
    <row r="15" spans="1:38" ht="13.8">
      <c r="A15" s="22" t="s">
        <v>12</v>
      </c>
      <c r="B15" s="54" t="s">
        <v>39</v>
      </c>
      <c r="C15" s="22" t="s">
        <v>105</v>
      </c>
      <c r="D15" s="24">
        <v>112000</v>
      </c>
      <c r="E15" s="24">
        <f t="shared" si="0"/>
        <v>180432.98368298367</v>
      </c>
      <c r="F15" s="24">
        <f t="array" aca="1" ref="F15" ca="1">IFERROR(
  ROUND(
    _xludf.LET(
      nt,$A15,
      nv,$B15,
      songay,DAY(EOMONTH($C$1,0)),
      doanhthungay,$I15,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5" s="24">
        <f t="array" ref="G15">_xlfn.XLOOKUP(B15,'Dự án T8'!B:B,'Dự án T8'!D:D,0)</f>
        <v>2011880.8214285714</v>
      </c>
      <c r="H15" s="24">
        <f t="shared" si="1"/>
        <v>3800000</v>
      </c>
      <c r="I15" s="24">
        <f t="shared" si="2"/>
        <v>5528982.1428571427</v>
      </c>
      <c r="J15" s="63">
        <f t="array" ref="J15">_xlfn.XLOOKUP(B15,'kpi nhà thuốc'!A:A,'kpi nhà thuốc'!F:F,(AD15/DAY($C$1))/U15)</f>
        <v>1.4904212732919253</v>
      </c>
      <c r="K15" s="24" t="e">
        <f t="array" aca="1" ref="K15" ca="1">_xlfn.XLOOKUP(
    B15,
    'kpi nhà thuốc'!A:A,
    'kpi nhà thuốc'!G:G,
    IF(
        AND(
            OR(C15="DSXC",C15="DSCD"),
            G15&gt;=F15),IF(AND(I15&gt;=T15,E15&gt;=D15),AD15*1.5%,IF(AND(I15&gt;=T15,E15&lt;D15),AD15*1.3%,IF(AND(I15&gt;=S15,E15&gt;=D15),AD15*1.3%,IF(AND(I15&gt;=S15,E15&lt;D15),AD15*1.1%,IF(AND(I15&gt;=R15,E15&gt;=D15),AD15*1.2%,IF(AND(I15&gt;=R15,E15&lt;D15),AD15*1%,"")))))),""
    )
)</f>
        <v>#NAME?</v>
      </c>
      <c r="L15" s="65">
        <f t="shared" si="3"/>
        <v>1</v>
      </c>
      <c r="M15" s="24">
        <f t="array" aca="1" ref="M15" ca="1">IFERROR(
  _xlfn.XLOOKUP(
    $A15&amp;$B15,
    'Dự án T8'!$A:$A&amp;'Dự án T8'!$B:$B,
    'Dự án T8'!$M:$M,
    0
  )*$L15,
0)</f>
        <v>500000</v>
      </c>
      <c r="N15" s="68" t="e">
        <f t="shared" ca="1" si="4"/>
        <v>#NAME?</v>
      </c>
      <c r="O15" s="24">
        <f t="shared" ref="O15:Q15" si="35">CEILING(R15,100000)</f>
        <v>3000000</v>
      </c>
      <c r="P15" s="24">
        <f t="shared" si="35"/>
        <v>3400000</v>
      </c>
      <c r="Q15" s="24">
        <f t="shared" si="35"/>
        <v>3800000</v>
      </c>
      <c r="R15" s="24">
        <f t="shared" si="6"/>
        <v>2967741.935483871</v>
      </c>
      <c r="S15" s="24">
        <f t="shared" si="7"/>
        <v>3338709.6774193551</v>
      </c>
      <c r="T15" s="24">
        <f t="shared" si="8"/>
        <v>3709677.4193548388</v>
      </c>
      <c r="U15" s="24">
        <f>V15/DAY('kpi nhà thuốc'!$T$1)</f>
        <v>3709677.4193548388</v>
      </c>
      <c r="V15" s="24">
        <v>115000000</v>
      </c>
      <c r="W15" s="23">
        <f>SUMIF(data!$B:$B,B15,data!$C:$C)</f>
        <v>465</v>
      </c>
      <c r="X15" s="24">
        <f>SUMIF(data!$B:$B,B15,data!$D:$D)</f>
        <v>43483900</v>
      </c>
      <c r="Y15" s="24">
        <f t="shared" si="9"/>
        <v>93513.763440860217</v>
      </c>
      <c r="Z15" s="24">
        <f>SUMIF(data!$B:$B,B15,data!$E:$E)</f>
        <v>393</v>
      </c>
      <c r="AA15" s="24">
        <f>SUMIF(data!$B:$B,B15,data!$F:$F)</f>
        <v>111327600</v>
      </c>
      <c r="AB15" s="24">
        <f t="shared" si="10"/>
        <v>283276.33587786258</v>
      </c>
      <c r="AC15" s="24">
        <f t="shared" ref="AC15:AD15" si="36">W15+Z15</f>
        <v>858</v>
      </c>
      <c r="AD15" s="24">
        <f t="shared" si="36"/>
        <v>154811500</v>
      </c>
      <c r="AE15" s="24">
        <f t="shared" si="12"/>
        <v>180432.98368298367</v>
      </c>
      <c r="AF15" s="50"/>
      <c r="AG15" s="50"/>
      <c r="AH15" s="50"/>
      <c r="AI15" s="50"/>
      <c r="AJ15" s="50"/>
      <c r="AK15" s="50"/>
      <c r="AL15" s="50"/>
    </row>
    <row r="16" spans="1:38" ht="13.8">
      <c r="A16" s="22" t="s">
        <v>12</v>
      </c>
      <c r="B16" s="54" t="s">
        <v>27</v>
      </c>
      <c r="C16" s="22" t="s">
        <v>105</v>
      </c>
      <c r="D16" s="24">
        <v>130000</v>
      </c>
      <c r="E16" s="24">
        <f t="shared" si="0"/>
        <v>100595.23809523809</v>
      </c>
      <c r="F16" s="24">
        <f t="array" aca="1" ref="F16" ca="1">IFERROR(
  ROUND(
    _xludf.LET(
      nt,$A16,
      nv,$B16,
      songay,DAY(EOMONTH($C$1,0)),
      doanhthungay,$I16,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6" s="24">
        <f t="array" ref="G16">_xlfn.XLOOKUP(B16,'Dự án T8'!B:B,'Dự án T8'!D:D,0)</f>
        <v>659609.32142857148</v>
      </c>
      <c r="H16" s="24">
        <f t="shared" si="1"/>
        <v>3300000</v>
      </c>
      <c r="I16" s="24">
        <f t="shared" si="2"/>
        <v>1584375</v>
      </c>
      <c r="J16" s="63">
        <f t="array" ref="J16">_xlfn.XLOOKUP(B16,'kpi nhà thuốc'!A:A,'kpi nhà thuốc'!F:F,(AD16/DAY($C$1))/U16)</f>
        <v>0.49115625000000002</v>
      </c>
      <c r="K16" s="24" t="e">
        <f t="array" aca="1" ref="K16" ca="1">_xlfn.XLOOKUP(
    B16,
    'kpi nhà thuốc'!A:A,
    'kpi nhà thuốc'!G:G,
    IF(
        AND(
            OR(C16="DSXC",C16="DSCD"),
            G16&gt;=F16),IF(AND(I16&gt;=T16,E16&gt;=D16),AD16*1.5%,IF(AND(I16&gt;=T16,E16&lt;D16),AD16*1.3%,IF(AND(I16&gt;=S16,E16&gt;=D16),AD16*1.3%,IF(AND(I16&gt;=S16,E16&lt;D16),AD16*1.1%,IF(AND(I16&gt;=R16,E16&gt;=D16),AD16*1.2%,IF(AND(I16&gt;=R16,E16&lt;D16),AD16*1%,"")))))),""
    )
)</f>
        <v>#NAME?</v>
      </c>
      <c r="L16" s="65">
        <f t="shared" si="3"/>
        <v>0.8</v>
      </c>
      <c r="M16" s="24">
        <f t="array" aca="1" ref="M16" ca="1">IFERROR(
  _xlfn.XLOOKUP(
    $A16&amp;$B16,
    'Dự án T8'!$A:$A&amp;'Dự án T8'!$B:$B,
    'Dự án T8'!$M:$M,
    0
  )*$L16,
0)</f>
        <v>0</v>
      </c>
      <c r="N16" s="68" t="e">
        <f t="shared" ca="1" si="4"/>
        <v>#NAME?</v>
      </c>
      <c r="O16" s="24">
        <f t="shared" ref="O16:Q16" si="37">CEILING(R16,100000)</f>
        <v>2600000</v>
      </c>
      <c r="P16" s="24">
        <f t="shared" si="37"/>
        <v>3000000</v>
      </c>
      <c r="Q16" s="24">
        <f t="shared" si="37"/>
        <v>3300000</v>
      </c>
      <c r="R16" s="24">
        <f t="shared" si="6"/>
        <v>2580645.1612903229</v>
      </c>
      <c r="S16" s="24">
        <f t="shared" si="7"/>
        <v>2903225.8064516131</v>
      </c>
      <c r="T16" s="24">
        <f t="shared" si="8"/>
        <v>3225806.4516129033</v>
      </c>
      <c r="U16" s="24">
        <f>V16/DAY('kpi nhà thuốc'!$T$1)</f>
        <v>3225806.4516129033</v>
      </c>
      <c r="V16" s="24">
        <v>100000000</v>
      </c>
      <c r="W16" s="23">
        <f>SUMIF(data!$B:$B,B16,data!$C:$C)</f>
        <v>273</v>
      </c>
      <c r="X16" s="24">
        <f>SUMIF(data!$B:$B,B16,data!$D:$D)</f>
        <v>16360400</v>
      </c>
      <c r="Y16" s="24">
        <f t="shared" si="9"/>
        <v>59928.205128205125</v>
      </c>
      <c r="Z16" s="24">
        <f>SUMIF(data!$B:$B,B16,data!$E:$E)</f>
        <v>168</v>
      </c>
      <c r="AA16" s="24">
        <f>SUMIF(data!$B:$B,B16,data!$F:$F)</f>
        <v>28002100</v>
      </c>
      <c r="AB16" s="24">
        <f t="shared" si="10"/>
        <v>166679.16666666666</v>
      </c>
      <c r="AC16" s="24">
        <f t="shared" ref="AC16:AD16" si="38">W16+Z16</f>
        <v>441</v>
      </c>
      <c r="AD16" s="24">
        <f t="shared" si="38"/>
        <v>44362500</v>
      </c>
      <c r="AE16" s="24">
        <f t="shared" si="12"/>
        <v>100595.23809523809</v>
      </c>
      <c r="AF16" s="50"/>
      <c r="AG16" s="50"/>
      <c r="AH16" s="50"/>
      <c r="AI16" s="50"/>
      <c r="AJ16" s="50"/>
      <c r="AK16" s="50"/>
      <c r="AL16" s="50"/>
    </row>
    <row r="17" spans="1:38" ht="13.8">
      <c r="A17" s="22" t="s">
        <v>70</v>
      </c>
      <c r="B17" s="54" t="s">
        <v>80</v>
      </c>
      <c r="C17" s="22" t="s">
        <v>120</v>
      </c>
      <c r="D17" s="24">
        <v>232000</v>
      </c>
      <c r="E17" s="24">
        <f t="shared" si="0"/>
        <v>188427.55267423016</v>
      </c>
      <c r="F17" s="24">
        <f t="array" aca="1" ref="F17" ca="1">IFERROR(
  ROUND(
    _xludf.LET(
      nt,$A17,
      nv,$B17,
      songay,DAY(EOMONTH($C$1,0)),
      doanhthungay,$I17,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7" s="24">
        <f t="array" ref="G17">_xlfn.XLOOKUP(B17,'Dự án T8'!B:B,'Dự án T8'!D:D,0)</f>
        <v>406134.07142857142</v>
      </c>
      <c r="H17" s="24">
        <f t="shared" si="1"/>
        <v>6500000</v>
      </c>
      <c r="I17" s="24">
        <f t="shared" si="2"/>
        <v>4152135.7142857141</v>
      </c>
      <c r="J17" s="63">
        <f t="array" ref="J17">_xlfn.XLOOKUP(B17,'kpi nhà thuốc'!A:A,'kpi nhà thuốc'!F:F,(AD17/DAY($C$1))/U17)</f>
        <v>0.64358103571428571</v>
      </c>
      <c r="K17" s="24" t="e">
        <f t="array" aca="1" ref="K17" ca="1">_xlfn.XLOOKUP(
    B17,
    'kpi nhà thuốc'!A:A,
    'kpi nhà thuốc'!G:G,
    IF(
        AND(
            OR(C17="DSXC",C17="DSCD"),
            G17&gt;=F17),IF(AND(I17&gt;=T17,E17&gt;=D17),AD17*1.5%,IF(AND(I17&gt;=T17,E17&lt;D17),AD17*1.3%,IF(AND(I17&gt;=S17,E17&gt;=D17),AD17*1.3%,IF(AND(I17&gt;=S17,E17&lt;D17),AD17*1.1%,IF(AND(I17&gt;=R17,E17&gt;=D17),AD17*1.2%,IF(AND(I17&gt;=R17,E17&lt;D17),AD17*1%,"")))))),""
    )
)</f>
        <v>#NAME?</v>
      </c>
      <c r="L17" s="65">
        <f t="shared" si="3"/>
        <v>1</v>
      </c>
      <c r="M17" s="24">
        <f t="array" aca="1" ref="M17" ca="1">IFERROR(
  _xlfn.XLOOKUP(
    $A17&amp;$B17,
    'Dự án T8'!$A:$A&amp;'Dự án T8'!$B:$B,
    'Dự án T8'!$M:$M,
    0
  )*$L17,
0)</f>
        <v>0</v>
      </c>
      <c r="N17" s="68" t="e">
        <f t="shared" ca="1" si="4"/>
        <v>#NAME?</v>
      </c>
      <c r="O17" s="24">
        <f t="shared" ref="O17:Q17" si="39">CEILING(R17,100000)</f>
        <v>5200000</v>
      </c>
      <c r="P17" s="24">
        <f t="shared" si="39"/>
        <v>5900000</v>
      </c>
      <c r="Q17" s="24">
        <f t="shared" si="39"/>
        <v>6500000</v>
      </c>
      <c r="R17" s="24">
        <f t="shared" si="6"/>
        <v>5161290.3225806458</v>
      </c>
      <c r="S17" s="24">
        <f t="shared" si="7"/>
        <v>5806451.6129032262</v>
      </c>
      <c r="T17" s="24">
        <f t="shared" si="8"/>
        <v>6451612.9032258065</v>
      </c>
      <c r="U17" s="24">
        <f>V17/DAY('kpi nhà thuốc'!$T$1)</f>
        <v>6451612.9032258065</v>
      </c>
      <c r="V17" s="24">
        <v>200000000</v>
      </c>
      <c r="W17" s="23">
        <f>SUMIF(data!$B:$B,B17,data!$C:$C)</f>
        <v>485</v>
      </c>
      <c r="X17" s="24">
        <f>SUMIF(data!$B:$B,B17,data!$D:$D)</f>
        <v>97146800</v>
      </c>
      <c r="Y17" s="24">
        <f t="shared" si="9"/>
        <v>200302.68041237115</v>
      </c>
      <c r="Z17" s="24">
        <f>SUMIF(data!$B:$B,B17,data!$E:$E)</f>
        <v>132</v>
      </c>
      <c r="AA17" s="24">
        <f>SUMIF(data!$B:$B,B17,data!$F:$F)</f>
        <v>19113000</v>
      </c>
      <c r="AB17" s="24">
        <f t="shared" si="10"/>
        <v>144795.45454545456</v>
      </c>
      <c r="AC17" s="24">
        <f t="shared" ref="AC17:AD17" si="40">W17+Z17</f>
        <v>617</v>
      </c>
      <c r="AD17" s="24">
        <f t="shared" si="40"/>
        <v>116259800</v>
      </c>
      <c r="AE17" s="24">
        <f t="shared" si="12"/>
        <v>188427.55267423016</v>
      </c>
      <c r="AF17" s="50"/>
      <c r="AG17" s="50"/>
      <c r="AH17" s="50"/>
      <c r="AI17" s="50"/>
      <c r="AJ17" s="50"/>
      <c r="AK17" s="50"/>
      <c r="AL17" s="50"/>
    </row>
    <row r="18" spans="1:38" ht="13.8">
      <c r="A18" s="22" t="s">
        <v>70</v>
      </c>
      <c r="B18" s="54" t="s">
        <v>81</v>
      </c>
      <c r="C18" s="22" t="s">
        <v>120</v>
      </c>
      <c r="D18" s="24">
        <v>132000</v>
      </c>
      <c r="E18" s="24">
        <f t="shared" si="0"/>
        <v>208726.80884676144</v>
      </c>
      <c r="F18" s="24">
        <f t="array" aca="1" ref="F18" ca="1">IFERROR(
  ROUND(
    _xludf.LET(
      nt,$A18,
      nv,$B18,
      songay,DAY(EOMONTH($C$1,0)),
      doanhthungay,$I18,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8" s="24">
        <f t="array" ref="G18">_xlfn.XLOOKUP(B18,'Dự án T8'!B:B,'Dự án T8'!D:D,0)</f>
        <v>708572.78571428568</v>
      </c>
      <c r="H18" s="24">
        <f t="shared" si="1"/>
        <v>6500000</v>
      </c>
      <c r="I18" s="24">
        <f t="shared" si="2"/>
        <v>4718716.7857142854</v>
      </c>
      <c r="J18" s="63">
        <f t="array" ref="J18">_xlfn.XLOOKUP(B18,'kpi nhà thuốc'!A:A,'kpi nhà thuốc'!F:F,(AD18/DAY($C$1))/U18)</f>
        <v>0.73140110178571427</v>
      </c>
      <c r="K18" s="24" t="e">
        <f t="array" aca="1" ref="K18" ca="1">_xlfn.XLOOKUP(
    B18,
    'kpi nhà thuốc'!A:A,
    'kpi nhà thuốc'!G:G,
    IF(
        AND(
            OR(C18="DSXC",C18="DSCD"),
            G18&gt;=F18),IF(AND(I18&gt;=T18,E18&gt;=D18),AD18*1.5%,IF(AND(I18&gt;=T18,E18&lt;D18),AD18*1.3%,IF(AND(I18&gt;=S18,E18&gt;=D18),AD18*1.3%,IF(AND(I18&gt;=S18,E18&lt;D18),AD18*1.1%,IF(AND(I18&gt;=R18,E18&gt;=D18),AD18*1.2%,IF(AND(I18&gt;=R18,E18&lt;D18),AD18*1%,"")))))),""
    )
)</f>
        <v>#NAME?</v>
      </c>
      <c r="L18" s="65">
        <f t="shared" si="3"/>
        <v>1</v>
      </c>
      <c r="M18" s="24">
        <f t="array" aca="1" ref="M18" ca="1">IFERROR(
  _xlfn.XLOOKUP(
    $A18&amp;$B18,
    'Dự án T8'!$A:$A&amp;'Dự án T8'!$B:$B,
    'Dự án T8'!$M:$M,
    0
  )*$L18,
0)</f>
        <v>0</v>
      </c>
      <c r="N18" s="68" t="e">
        <f t="shared" ca="1" si="4"/>
        <v>#NAME?</v>
      </c>
      <c r="O18" s="24">
        <f t="shared" ref="O18:Q18" si="41">CEILING(R18,100000)</f>
        <v>5200000</v>
      </c>
      <c r="P18" s="24">
        <f t="shared" si="41"/>
        <v>5900000</v>
      </c>
      <c r="Q18" s="24">
        <f t="shared" si="41"/>
        <v>6500000</v>
      </c>
      <c r="R18" s="24">
        <f t="shared" si="6"/>
        <v>5161290.3225806458</v>
      </c>
      <c r="S18" s="24">
        <f t="shared" si="7"/>
        <v>5806451.6129032262</v>
      </c>
      <c r="T18" s="24">
        <f t="shared" si="8"/>
        <v>6451612.9032258065</v>
      </c>
      <c r="U18" s="24">
        <f>V18/DAY('kpi nhà thuốc'!$T$1)</f>
        <v>6451612.9032258065</v>
      </c>
      <c r="V18" s="24">
        <v>200000000</v>
      </c>
      <c r="W18" s="23">
        <f>SUMIF(data!$B:$B,B18,data!$C:$C)</f>
        <v>508</v>
      </c>
      <c r="X18" s="24">
        <f>SUMIF(data!$B:$B,B18,data!$D:$D)</f>
        <v>115542670</v>
      </c>
      <c r="Y18" s="24">
        <f t="shared" si="9"/>
        <v>227446.20078740158</v>
      </c>
      <c r="Z18" s="24">
        <f>SUMIF(data!$B:$B,B18,data!$E:$E)</f>
        <v>125</v>
      </c>
      <c r="AA18" s="24">
        <f>SUMIF(data!$B:$B,B18,data!$F:$F)</f>
        <v>16581400</v>
      </c>
      <c r="AB18" s="24">
        <f t="shared" si="10"/>
        <v>132651.20000000001</v>
      </c>
      <c r="AC18" s="24">
        <f t="shared" ref="AC18:AD18" si="42">W18+Z18</f>
        <v>633</v>
      </c>
      <c r="AD18" s="24">
        <f t="shared" si="42"/>
        <v>132124070</v>
      </c>
      <c r="AE18" s="24">
        <f t="shared" si="12"/>
        <v>208726.80884676144</v>
      </c>
      <c r="AF18" s="50"/>
      <c r="AG18" s="50"/>
      <c r="AH18" s="50"/>
      <c r="AI18" s="50"/>
      <c r="AJ18" s="50"/>
      <c r="AK18" s="50"/>
      <c r="AL18" s="50"/>
    </row>
    <row r="19" spans="1:38" ht="13.8">
      <c r="A19" s="22" t="s">
        <v>70</v>
      </c>
      <c r="B19" s="54" t="s">
        <v>79</v>
      </c>
      <c r="C19" s="22" t="s">
        <v>26</v>
      </c>
      <c r="D19" s="24">
        <v>159000</v>
      </c>
      <c r="E19" s="24">
        <f t="shared" si="0"/>
        <v>371357.17248062015</v>
      </c>
      <c r="F19" s="24">
        <f t="array" aca="1" ref="F19" ca="1">IFERROR(
  ROUND(
    _xludf.LET(
      nt,$A19,
      nv,$B19,
      songay,DAY(EOMONTH($C$1,0)),
      doanhthungay,$I19,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9" s="24">
        <f t="array" ref="G19">_xlfn.XLOOKUP(B19,'Dự án T8'!B:B,'Dự án T8'!D:D,0)</f>
        <v>355213.64285714284</v>
      </c>
      <c r="H19" s="24">
        <f t="shared" si="1"/>
        <v>7800000</v>
      </c>
      <c r="I19" s="24">
        <f t="shared" si="2"/>
        <v>6843582.1785714282</v>
      </c>
      <c r="J19" s="63">
        <f t="array" ref="J19">_xlfn.XLOOKUP(B19,'kpi nhà thuốc'!A:A,'kpi nhà thuốc'!F:F,(AD19/DAY($C$1))/U19)</f>
        <v>0.88910713506493511</v>
      </c>
      <c r="K19" s="24">
        <f t="array" aca="1" ref="K19" ca="1">_xlfn.XLOOKUP(
    B19,
    'kpi nhà thuốc'!A:A,
    'kpi nhà thuốc'!G:G,
    IF(
        AND(
            OR(C19="DSXC",C19="DSCD"),
            G19&gt;=F19),IF(AND(I19&gt;=T19,E19&gt;=D19),AD19*1.5%,IF(AND(I19&gt;=T19,E19&lt;D19),AD19*1.3%,IF(AND(I19&gt;=S19,E19&gt;=D19),AD19*1.3%,IF(AND(I19&gt;=S19,E19&lt;D19),AD19*1.1%,IF(AND(I19&gt;=R19,E19&gt;=D19),AD19*1.2%,IF(AND(I19&gt;=R19,E19&lt;D19),AD19*1%,"")))))),""
    )
)</f>
        <v>0</v>
      </c>
      <c r="L19" s="65">
        <f t="shared" si="3"/>
        <v>1</v>
      </c>
      <c r="M19" s="24">
        <f t="array" aca="1" ref="M19" ca="1">IFERROR(
  _xlfn.XLOOKUP(
    $A19&amp;$B19,
    'Dự án T8'!$A:$A&amp;'Dự án T8'!$B:$B,
    'Dự án T8'!$M:$M,
    0
  )*$L19,
0)</f>
        <v>0</v>
      </c>
      <c r="N19" s="68">
        <f t="shared" ca="1" si="4"/>
        <v>0</v>
      </c>
      <c r="O19" s="24">
        <f t="shared" ref="O19:Q19" si="43">CEILING(R19,100000)</f>
        <v>6200000</v>
      </c>
      <c r="P19" s="24">
        <f t="shared" si="43"/>
        <v>7000000</v>
      </c>
      <c r="Q19" s="24">
        <f t="shared" si="43"/>
        <v>7800000</v>
      </c>
      <c r="R19" s="24">
        <f t="shared" si="6"/>
        <v>6193548.3870967738</v>
      </c>
      <c r="S19" s="24">
        <f t="shared" si="7"/>
        <v>6967741.935483871</v>
      </c>
      <c r="T19" s="24">
        <f t="shared" si="8"/>
        <v>7741935.4838709673</v>
      </c>
      <c r="U19" s="24">
        <f>V19/DAY('kpi nhà thuốc'!$T$1)</f>
        <v>7741935.4838709673</v>
      </c>
      <c r="V19" s="24">
        <v>240000000</v>
      </c>
      <c r="W19" s="23">
        <f>SUMIF(data!$B:$B,B19,data!$C:$C)</f>
        <v>381</v>
      </c>
      <c r="X19" s="24">
        <f>SUMIF(data!$B:$B,B19,data!$D:$D)</f>
        <v>160380300</v>
      </c>
      <c r="Y19" s="24">
        <f t="shared" si="9"/>
        <v>420945.66929133859</v>
      </c>
      <c r="Z19" s="24">
        <f>SUMIF(data!$B:$B,B19,data!$E:$E)</f>
        <v>135</v>
      </c>
      <c r="AA19" s="24">
        <f>SUMIF(data!$B:$B,B19,data!$F:$F)</f>
        <v>31240001</v>
      </c>
      <c r="AB19" s="24">
        <f t="shared" si="10"/>
        <v>231407.41481481481</v>
      </c>
      <c r="AC19" s="24">
        <f t="shared" ref="AC19:AD19" si="44">W19+Z19</f>
        <v>516</v>
      </c>
      <c r="AD19" s="24">
        <f t="shared" si="44"/>
        <v>191620301</v>
      </c>
      <c r="AE19" s="24">
        <f t="shared" si="12"/>
        <v>371357.17248062015</v>
      </c>
      <c r="AF19" s="50"/>
      <c r="AG19" s="50"/>
      <c r="AH19" s="50"/>
      <c r="AI19" s="50"/>
      <c r="AJ19" s="50"/>
      <c r="AK19" s="50"/>
      <c r="AL19" s="50"/>
    </row>
    <row r="20" spans="1:38" ht="13.8">
      <c r="A20" s="22" t="s">
        <v>70</v>
      </c>
      <c r="B20" s="54" t="s">
        <v>76</v>
      </c>
      <c r="C20" s="22" t="s">
        <v>105</v>
      </c>
      <c r="D20" s="24">
        <v>207000</v>
      </c>
      <c r="E20" s="24">
        <f t="shared" si="0"/>
        <v>337498.56645161292</v>
      </c>
      <c r="F20" s="24">
        <f t="array" aca="1" ref="F20" ca="1">IFERROR(
  ROUND(
    _xludf.LET(
      nt,$A20,
      nv,$B20,
      songay,DAY(EOMONTH($C$1,0)),
      doanhthungay,$I20,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0" s="24">
        <f t="array" ref="G20">_xlfn.XLOOKUP(B20,'Dự án T8'!B:B,'Dự án T8'!D:D,0)</f>
        <v>902543.82142857148</v>
      </c>
      <c r="H20" s="24">
        <f t="shared" si="1"/>
        <v>7500000</v>
      </c>
      <c r="I20" s="24">
        <f t="shared" si="2"/>
        <v>9341478.1785714291</v>
      </c>
      <c r="J20" s="63">
        <f t="array" ref="J20">_xlfn.XLOOKUP(B20,'kpi nhà thuốc'!A:A,'kpi nhà thuốc'!F:F,(AD20/DAY($C$1))/U20)</f>
        <v>1.2590687979813666</v>
      </c>
      <c r="K20" s="24" t="e">
        <f t="array" aca="1" ref="K20" ca="1">_xlfn.XLOOKUP(
    B20,
    'kpi nhà thuốc'!A:A,
    'kpi nhà thuốc'!G:G,
    IF(
        AND(
            OR(C20="DSXC",C20="DSCD"),
            G20&gt;=F20),IF(AND(I20&gt;=T20,E20&gt;=D20),AD20*1.5%,IF(AND(I20&gt;=T20,E20&lt;D20),AD20*1.3%,IF(AND(I20&gt;=S20,E20&gt;=D20),AD20*1.3%,IF(AND(I20&gt;=S20,E20&lt;D20),AD20*1.1%,IF(AND(I20&gt;=R20,E20&gt;=D20),AD20*1.2%,IF(AND(I20&gt;=R20,E20&lt;D20),AD20*1%,"")))))),""
    )
)</f>
        <v>#NAME?</v>
      </c>
      <c r="L20" s="65">
        <f t="shared" si="3"/>
        <v>1</v>
      </c>
      <c r="M20" s="24">
        <f t="array" aca="1" ref="M20" ca="1">IFERROR(
  _xlfn.XLOOKUP(
    $A20&amp;$B20,
    'Dự án T8'!$A:$A&amp;'Dự án T8'!$B:$B,
    'Dự án T8'!$M:$M,
    0
  )*$L20,
0)</f>
        <v>0</v>
      </c>
      <c r="N20" s="68" t="e">
        <f t="shared" ca="1" si="4"/>
        <v>#NAME?</v>
      </c>
      <c r="O20" s="24">
        <f t="shared" ref="O20:Q20" si="45">CEILING(R20,100000)</f>
        <v>6000000</v>
      </c>
      <c r="P20" s="24">
        <f t="shared" si="45"/>
        <v>6700000</v>
      </c>
      <c r="Q20" s="24">
        <f t="shared" si="45"/>
        <v>7500000</v>
      </c>
      <c r="R20" s="24">
        <f t="shared" si="6"/>
        <v>5935483.8709677421</v>
      </c>
      <c r="S20" s="24">
        <f t="shared" si="7"/>
        <v>6677419.3548387103</v>
      </c>
      <c r="T20" s="24">
        <f t="shared" si="8"/>
        <v>7419354.8387096776</v>
      </c>
      <c r="U20" s="24">
        <f>V20/DAY('kpi nhà thuốc'!$T$1)</f>
        <v>7419354.8387096776</v>
      </c>
      <c r="V20" s="24">
        <v>230000000</v>
      </c>
      <c r="W20" s="23">
        <f>SUMIF(data!$B:$B,B20,data!$C:$C)</f>
        <v>570</v>
      </c>
      <c r="X20" s="24">
        <f>SUMIF(data!$B:$B,B20,data!$D:$D)</f>
        <v>196157840</v>
      </c>
      <c r="Y20" s="24">
        <f t="shared" si="9"/>
        <v>344136.56140350876</v>
      </c>
      <c r="Z20" s="24">
        <f>SUMIF(data!$B:$B,B20,data!$E:$E)</f>
        <v>205</v>
      </c>
      <c r="AA20" s="24">
        <f>SUMIF(data!$B:$B,B20,data!$F:$F)</f>
        <v>65403549</v>
      </c>
      <c r="AB20" s="24">
        <f t="shared" si="10"/>
        <v>319041.7024390244</v>
      </c>
      <c r="AC20" s="24">
        <f t="shared" ref="AC20:AD20" si="46">W20+Z20</f>
        <v>775</v>
      </c>
      <c r="AD20" s="24">
        <f t="shared" si="46"/>
        <v>261561389</v>
      </c>
      <c r="AE20" s="24">
        <f t="shared" si="12"/>
        <v>337498.56645161292</v>
      </c>
      <c r="AF20" s="50"/>
      <c r="AG20" s="50"/>
      <c r="AH20" s="50"/>
      <c r="AI20" s="50"/>
      <c r="AJ20" s="50"/>
      <c r="AK20" s="50"/>
      <c r="AL20" s="50"/>
    </row>
    <row r="21" spans="1:38" ht="13.8">
      <c r="A21" s="22" t="s">
        <v>70</v>
      </c>
      <c r="B21" s="54" t="s">
        <v>77</v>
      </c>
      <c r="C21" s="22" t="s">
        <v>105</v>
      </c>
      <c r="D21" s="24">
        <v>250000</v>
      </c>
      <c r="E21" s="24">
        <f t="shared" si="0"/>
        <v>194790.96109839817</v>
      </c>
      <c r="F21" s="24">
        <f t="array" aca="1" ref="F21" ca="1">IFERROR(
  ROUND(
    _xludf.LET(
      nt,$A21,
      nv,$B21,
      songay,DAY(EOMONTH($C$1,0)),
      doanhthungay,$I21,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1" s="24">
        <f t="array" ref="G21">_xlfn.XLOOKUP(B21,'Dự án T8'!B:B,'Dự án T8'!D:D,0)</f>
        <v>681237.82142857148</v>
      </c>
      <c r="H21" s="24">
        <f t="shared" si="1"/>
        <v>7500000</v>
      </c>
      <c r="I21" s="24">
        <f t="shared" si="2"/>
        <v>6080260.7142857146</v>
      </c>
      <c r="J21" s="63">
        <f t="array" ref="J21">_xlfn.XLOOKUP(B21,'kpi nhà thuốc'!A:A,'kpi nhà thuốc'!F:F,(AD21/DAY($C$1))/U21)</f>
        <v>0.81951340062111799</v>
      </c>
      <c r="K21" s="24" t="e">
        <f t="array" aca="1" ref="K21" ca="1">_xlfn.XLOOKUP(
    B21,
    'kpi nhà thuốc'!A:A,
    'kpi nhà thuốc'!G:G,
    IF(
        AND(
            OR(C21="DSXC",C21="DSCD"),
            G21&gt;=F21),IF(AND(I21&gt;=T21,E21&gt;=D21),AD21*1.5%,IF(AND(I21&gt;=T21,E21&lt;D21),AD21*1.3%,IF(AND(I21&gt;=S21,E21&gt;=D21),AD21*1.3%,IF(AND(I21&gt;=S21,E21&lt;D21),AD21*1.1%,IF(AND(I21&gt;=R21,E21&gt;=D21),AD21*1.2%,IF(AND(I21&gt;=R21,E21&lt;D21),AD21*1%,"")))))),""
    )
)</f>
        <v>#NAME?</v>
      </c>
      <c r="L21" s="65">
        <f t="shared" si="3"/>
        <v>1</v>
      </c>
      <c r="M21" s="24">
        <f t="array" aca="1" ref="M21" ca="1">IFERROR(
  _xlfn.XLOOKUP(
    $A21&amp;$B21,
    'Dự án T8'!$A:$A&amp;'Dự án T8'!$B:$B,
    'Dự án T8'!$M:$M,
    0
  )*$L21,
0)</f>
        <v>0</v>
      </c>
      <c r="N21" s="68" t="e">
        <f t="shared" ca="1" si="4"/>
        <v>#NAME?</v>
      </c>
      <c r="O21" s="24">
        <f t="shared" ref="O21:Q21" si="47">CEILING(R21,100000)</f>
        <v>6000000</v>
      </c>
      <c r="P21" s="24">
        <f t="shared" si="47"/>
        <v>6700000</v>
      </c>
      <c r="Q21" s="24">
        <f t="shared" si="47"/>
        <v>7500000</v>
      </c>
      <c r="R21" s="24">
        <f t="shared" si="6"/>
        <v>5935483.8709677421</v>
      </c>
      <c r="S21" s="24">
        <f t="shared" si="7"/>
        <v>6677419.3548387103</v>
      </c>
      <c r="T21" s="24">
        <f t="shared" si="8"/>
        <v>7419354.8387096776</v>
      </c>
      <c r="U21" s="24">
        <f>V21/DAY('kpi nhà thuốc'!$T$1)</f>
        <v>7419354.8387096776</v>
      </c>
      <c r="V21" s="24">
        <v>230000000</v>
      </c>
      <c r="W21" s="23">
        <f>SUMIF(data!$B:$B,B21,data!$C:$C)</f>
        <v>659</v>
      </c>
      <c r="X21" s="24">
        <f>SUMIF(data!$B:$B,B21,data!$D:$D)</f>
        <v>125219600</v>
      </c>
      <c r="Y21" s="24">
        <f t="shared" si="9"/>
        <v>190014.56752655539</v>
      </c>
      <c r="Z21" s="24">
        <f>SUMIF(data!$B:$B,B21,data!$E:$E)</f>
        <v>215</v>
      </c>
      <c r="AA21" s="24">
        <f>SUMIF(data!$B:$B,B21,data!$F:$F)</f>
        <v>45027700</v>
      </c>
      <c r="AB21" s="24">
        <f t="shared" si="10"/>
        <v>209431.16279069768</v>
      </c>
      <c r="AC21" s="24">
        <f t="shared" ref="AC21:AD21" si="48">W21+Z21</f>
        <v>874</v>
      </c>
      <c r="AD21" s="24">
        <f t="shared" si="48"/>
        <v>170247300</v>
      </c>
      <c r="AE21" s="24">
        <f t="shared" si="12"/>
        <v>194790.96109839817</v>
      </c>
      <c r="AF21" s="50"/>
      <c r="AG21" s="50"/>
      <c r="AH21" s="50"/>
      <c r="AI21" s="50"/>
      <c r="AJ21" s="50"/>
      <c r="AK21" s="50"/>
      <c r="AL21" s="50"/>
    </row>
    <row r="22" spans="1:38" ht="13.8">
      <c r="A22" s="22" t="s">
        <v>91</v>
      </c>
      <c r="B22" s="54" t="s">
        <v>97</v>
      </c>
      <c r="C22" s="22" t="s">
        <v>26</v>
      </c>
      <c r="D22" s="24">
        <v>112000</v>
      </c>
      <c r="E22" s="24">
        <f t="shared" si="0"/>
        <v>96803.295819935694</v>
      </c>
      <c r="F22" s="24">
        <f t="array" aca="1" ref="F22" ca="1">IFERROR(
  ROUND(
    _xludf.LET(
      nt,$A22,
      nv,$B22,
      songay,DAY(EOMONTH($C$1,0)),
      doanhthungay,$I22,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2" s="24">
        <f t="array" ref="G22">_xlfn.XLOOKUP(B22,'Dự án T8'!B:B,'Dự án T8'!D:D,0)</f>
        <v>801972.85714285716</v>
      </c>
      <c r="H22" s="24">
        <f t="shared" si="1"/>
        <v>3900000</v>
      </c>
      <c r="I22" s="24">
        <f t="shared" si="2"/>
        <v>2150416.0714285714</v>
      </c>
      <c r="J22" s="63">
        <f t="array" ref="J22">_xlfn.XLOOKUP(B22,'kpi nhà thuốc'!A:A,'kpi nhà thuốc'!F:F,(AD22/DAY($C$1))/U22)</f>
        <v>0.69438061055900613</v>
      </c>
      <c r="K22" s="24">
        <f t="array" aca="1" ref="K22" ca="1">_xlfn.XLOOKUP(
    B22,
    'kpi nhà thuốc'!A:A,
    'kpi nhà thuốc'!G:G,
    IF(
        AND(
            OR(C22="DSXC",C22="DSCD"),
            G22&gt;=F22),IF(AND(I22&gt;=T22,E22&gt;=D22),AD22*1.5%,IF(AND(I22&gt;=T22,E22&lt;D22),AD22*1.3%,IF(AND(I22&gt;=S22,E22&gt;=D22),AD22*1.3%,IF(AND(I22&gt;=S22,E22&lt;D22),AD22*1.1%,IF(AND(I22&gt;=R22,E22&gt;=D22),AD22*1.2%,IF(AND(I22&gt;=R22,E22&lt;D22),AD22*1%,"")))))),""
    )
)</f>
        <v>0</v>
      </c>
      <c r="L22" s="65">
        <f t="shared" si="3"/>
        <v>1</v>
      </c>
      <c r="M22" s="24">
        <f t="array" aca="1" ref="M22" ca="1">IFERROR(
  _xlfn.XLOOKUP(
    $A22&amp;$B22,
    'Dự án T8'!$A:$A&amp;'Dự án T8'!$B:$B,
    'Dự án T8'!$M:$M,
    0
  )*$L22,
0)</f>
        <v>0</v>
      </c>
      <c r="N22" s="68">
        <f t="shared" ca="1" si="4"/>
        <v>0</v>
      </c>
      <c r="O22" s="24">
        <f t="shared" ref="O22:Q22" si="49">CEILING(R22,100000)</f>
        <v>3100000</v>
      </c>
      <c r="P22" s="24">
        <f t="shared" si="49"/>
        <v>3500000</v>
      </c>
      <c r="Q22" s="24">
        <f t="shared" si="49"/>
        <v>3900000</v>
      </c>
      <c r="R22" s="24">
        <f t="shared" si="6"/>
        <v>3096774.1935483869</v>
      </c>
      <c r="S22" s="24">
        <f t="shared" si="7"/>
        <v>3483870.9677419355</v>
      </c>
      <c r="T22" s="24">
        <f t="shared" si="8"/>
        <v>3870967.7419354836</v>
      </c>
      <c r="U22" s="24">
        <f>V22/DAY('kpi nhà thuốc'!$T$1)</f>
        <v>3870967.7419354836</v>
      </c>
      <c r="V22" s="24">
        <v>120000000</v>
      </c>
      <c r="W22" s="23">
        <f>SUMIF(data!$B:$B,B22,data!$C:$C)</f>
        <v>505</v>
      </c>
      <c r="X22" s="24">
        <f>SUMIF(data!$B:$B,B22,data!$D:$D)</f>
        <v>41868700</v>
      </c>
      <c r="Y22" s="24">
        <f t="shared" si="9"/>
        <v>82908.316831683172</v>
      </c>
      <c r="Z22" s="24">
        <f>SUMIF(data!$B:$B,B22,data!$E:$E)</f>
        <v>117</v>
      </c>
      <c r="AA22" s="24">
        <f>SUMIF(data!$B:$B,B22,data!$F:$F)</f>
        <v>18342950</v>
      </c>
      <c r="AB22" s="24">
        <f t="shared" si="10"/>
        <v>156777.35042735044</v>
      </c>
      <c r="AC22" s="24">
        <f t="shared" ref="AC22:AD22" si="50">W22+Z22</f>
        <v>622</v>
      </c>
      <c r="AD22" s="24">
        <f t="shared" si="50"/>
        <v>60211650</v>
      </c>
      <c r="AE22" s="24">
        <f t="shared" si="12"/>
        <v>96803.295819935694</v>
      </c>
      <c r="AF22" s="50"/>
      <c r="AG22" s="50"/>
      <c r="AH22" s="50"/>
      <c r="AI22" s="50"/>
      <c r="AJ22" s="50"/>
      <c r="AK22" s="50"/>
      <c r="AL22" s="50"/>
    </row>
    <row r="23" spans="1:38" ht="13.8">
      <c r="A23" s="22" t="s">
        <v>91</v>
      </c>
      <c r="B23" s="54" t="s">
        <v>92</v>
      </c>
      <c r="C23" s="22" t="s">
        <v>105</v>
      </c>
      <c r="D23" s="24">
        <v>103000</v>
      </c>
      <c r="E23" s="24">
        <f t="shared" si="0"/>
        <v>100265.61443066517</v>
      </c>
      <c r="F23" s="24">
        <f t="array" aca="1" ref="F23" ca="1">IFERROR(
  ROUND(
    _xludf.LET(
      nt,$A23,
      nv,$B23,
      songay,DAY(EOMONTH($C$1,0)),
      doanhthungay,$I23,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3" s="24">
        <f t="array" ref="G23">_xlfn.XLOOKUP(B23,'Dự án T8'!B:B,'Dự án T8'!D:D,0)</f>
        <v>1069447.392857143</v>
      </c>
      <c r="H23" s="24">
        <f t="shared" si="1"/>
        <v>3900000</v>
      </c>
      <c r="I23" s="24">
        <f t="shared" si="2"/>
        <v>3176271.4285714286</v>
      </c>
      <c r="J23" s="63">
        <f t="array" ref="J23">_xlfn.XLOOKUP(B23,'kpi nhà thuốc'!A:A,'kpi nhà thuốc'!F:F,(AD23/DAY($C$1))/U23)</f>
        <v>0.82053678571428579</v>
      </c>
      <c r="K23" s="24" t="e">
        <f t="array" aca="1" ref="K23" ca="1">_xlfn.XLOOKUP(
    B23,
    'kpi nhà thuốc'!A:A,
    'kpi nhà thuốc'!G:G,
    IF(
        AND(
            OR(C23="DSXC",C23="DSCD"),
            G23&gt;=F23),IF(AND(I23&gt;=T23,E23&gt;=D23),AD23*1.5%,IF(AND(I23&gt;=T23,E23&lt;D23),AD23*1.3%,IF(AND(I23&gt;=S23,E23&gt;=D23),AD23*1.3%,IF(AND(I23&gt;=S23,E23&lt;D23),AD23*1.1%,IF(AND(I23&gt;=R23,E23&gt;=D23),AD23*1.2%,IF(AND(I23&gt;=R23,E23&lt;D23),AD23*1%,"")))))),""
    )
)</f>
        <v>#NAME?</v>
      </c>
      <c r="L23" s="65">
        <f t="shared" si="3"/>
        <v>1</v>
      </c>
      <c r="M23" s="24">
        <f t="array" aca="1" ref="M23" ca="1">IFERROR(
  _xlfn.XLOOKUP(
    $A23&amp;$B23,
    'Dự án T8'!$A:$A&amp;'Dự án T8'!$B:$B,
    'Dự án T8'!$M:$M,
    0
  )*$L23,
0)</f>
        <v>500000</v>
      </c>
      <c r="N23" s="68" t="e">
        <f t="shared" ca="1" si="4"/>
        <v>#NAME?</v>
      </c>
      <c r="O23" s="24">
        <f t="shared" ref="O23:Q23" si="51">CEILING(R23,100000)</f>
        <v>3100000</v>
      </c>
      <c r="P23" s="24">
        <f t="shared" si="51"/>
        <v>3500000</v>
      </c>
      <c r="Q23" s="24">
        <f t="shared" si="51"/>
        <v>3900000</v>
      </c>
      <c r="R23" s="24">
        <f t="shared" si="6"/>
        <v>3096774.1935483869</v>
      </c>
      <c r="S23" s="24">
        <f t="shared" si="7"/>
        <v>3483870.9677419355</v>
      </c>
      <c r="T23" s="24">
        <f t="shared" si="8"/>
        <v>3870967.7419354836</v>
      </c>
      <c r="U23" s="24">
        <f>V23/DAY('kpi nhà thuốc'!$T$1)</f>
        <v>3870967.7419354836</v>
      </c>
      <c r="V23" s="24">
        <v>120000000</v>
      </c>
      <c r="W23" s="23">
        <f>SUMIF(data!$B:$B,B23,data!$C:$C)</f>
        <v>696</v>
      </c>
      <c r="X23" s="24">
        <f>SUMIF(data!$B:$B,B23,data!$D:$D)</f>
        <v>59336500</v>
      </c>
      <c r="Y23" s="24">
        <f t="shared" si="9"/>
        <v>85253.591954022995</v>
      </c>
      <c r="Z23" s="24">
        <f>SUMIF(data!$B:$B,B23,data!$E:$E)</f>
        <v>191</v>
      </c>
      <c r="AA23" s="24">
        <f>SUMIF(data!$B:$B,B23,data!$F:$F)</f>
        <v>29599100</v>
      </c>
      <c r="AB23" s="24">
        <f t="shared" si="10"/>
        <v>154969.10994764397</v>
      </c>
      <c r="AC23" s="24">
        <f t="shared" ref="AC23:AD23" si="52">W23+Z23</f>
        <v>887</v>
      </c>
      <c r="AD23" s="24">
        <f t="shared" si="52"/>
        <v>88935600</v>
      </c>
      <c r="AE23" s="24">
        <f t="shared" si="12"/>
        <v>100265.61443066517</v>
      </c>
      <c r="AF23" s="50"/>
      <c r="AG23" s="50"/>
      <c r="AH23" s="50"/>
      <c r="AI23" s="50"/>
      <c r="AJ23" s="50"/>
      <c r="AK23" s="50"/>
      <c r="AL23" s="50"/>
    </row>
    <row r="24" spans="1:38" ht="13.8">
      <c r="A24" s="22" t="s">
        <v>91</v>
      </c>
      <c r="B24" s="54" t="s">
        <v>95</v>
      </c>
      <c r="C24" s="22" t="s">
        <v>105</v>
      </c>
      <c r="D24" s="24">
        <v>100000</v>
      </c>
      <c r="E24" s="24">
        <f t="shared" si="0"/>
        <v>94116.839543726237</v>
      </c>
      <c r="F24" s="24">
        <f t="array" aca="1" ref="F24" ca="1">IFERROR(
  ROUND(
    _xludf.LET(
      nt,$A24,
      nv,$B24,
      songay,DAY(EOMONTH($C$1,0)),
      doanhthungay,$I24,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4" s="24">
        <f t="array" ref="G24">_xlfn.XLOOKUP(B24,'Dự án T8'!B:B,'Dự án T8'!D:D,0)</f>
        <v>2287962.4285714286</v>
      </c>
      <c r="H24" s="24">
        <f t="shared" si="1"/>
        <v>3900000</v>
      </c>
      <c r="I24" s="24">
        <f t="shared" si="2"/>
        <v>4420130.1428571427</v>
      </c>
      <c r="J24" s="63">
        <f t="array" ref="J24">_xlfn.XLOOKUP(B24,'kpi nhà thuốc'!A:A,'kpi nhà thuốc'!F:F,(AD24/DAY($C$1))/U24)</f>
        <v>1.1418669535714285</v>
      </c>
      <c r="K24" s="24" t="e">
        <f t="array" aca="1" ref="K24" ca="1">_xlfn.XLOOKUP(
    B24,
    'kpi nhà thuốc'!A:A,
    'kpi nhà thuốc'!G:G,
    IF(
        AND(
            OR(C24="DSXC",C24="DSCD"),
            G24&gt;=F24),IF(AND(I24&gt;=T24,E24&gt;=D24),AD24*1.5%,IF(AND(I24&gt;=T24,E24&lt;D24),AD24*1.3%,IF(AND(I24&gt;=S24,E24&gt;=D24),AD24*1.3%,IF(AND(I24&gt;=S24,E24&lt;D24),AD24*1.1%,IF(AND(I24&gt;=R24,E24&gt;=D24),AD24*1.2%,IF(AND(I24&gt;=R24,E24&lt;D24),AD24*1%,"")))))),""
    )
)</f>
        <v>#NAME?</v>
      </c>
      <c r="L24" s="65">
        <f t="shared" si="3"/>
        <v>1</v>
      </c>
      <c r="M24" s="24">
        <f t="array" aca="1" ref="M24" ca="1">IFERROR(
  _xlfn.XLOOKUP(
    $A24&amp;$B24,
    'Dự án T8'!$A:$A&amp;'Dự án T8'!$B:$B,
    'Dự án T8'!$M:$M,
    0
  )*$L24,
0)</f>
        <v>500000</v>
      </c>
      <c r="N24" s="68" t="e">
        <f t="shared" ca="1" si="4"/>
        <v>#NAME?</v>
      </c>
      <c r="O24" s="24">
        <f t="shared" ref="O24:Q24" si="53">CEILING(R24,100000)</f>
        <v>3100000</v>
      </c>
      <c r="P24" s="24">
        <f t="shared" si="53"/>
        <v>3500000</v>
      </c>
      <c r="Q24" s="24">
        <f t="shared" si="53"/>
        <v>3900000</v>
      </c>
      <c r="R24" s="24">
        <f t="shared" si="6"/>
        <v>3096774.1935483869</v>
      </c>
      <c r="S24" s="24">
        <f t="shared" si="7"/>
        <v>3483870.9677419355</v>
      </c>
      <c r="T24" s="24">
        <f t="shared" si="8"/>
        <v>3870967.7419354836</v>
      </c>
      <c r="U24" s="24">
        <f>V24/DAY('kpi nhà thuốc'!$T$1)</f>
        <v>3870967.7419354836</v>
      </c>
      <c r="V24" s="24">
        <v>120000000</v>
      </c>
      <c r="W24" s="23">
        <f>SUMIF(data!$B:$B,B24,data!$C:$C)</f>
        <v>1122</v>
      </c>
      <c r="X24" s="24">
        <f>SUMIF(data!$B:$B,B24,data!$D:$D)</f>
        <v>92212894</v>
      </c>
      <c r="Y24" s="24">
        <f t="shared" si="9"/>
        <v>82186.180035650628</v>
      </c>
      <c r="Z24" s="24">
        <f>SUMIF(data!$B:$B,B24,data!$E:$E)</f>
        <v>193</v>
      </c>
      <c r="AA24" s="24">
        <f>SUMIF(data!$B:$B,B24,data!$F:$F)</f>
        <v>31550750</v>
      </c>
      <c r="AB24" s="24">
        <f t="shared" si="10"/>
        <v>163475.38860103628</v>
      </c>
      <c r="AC24" s="24">
        <f t="shared" ref="AC24:AD24" si="54">W24+Z24</f>
        <v>1315</v>
      </c>
      <c r="AD24" s="24">
        <f t="shared" si="54"/>
        <v>123763644</v>
      </c>
      <c r="AE24" s="24">
        <f t="shared" si="12"/>
        <v>94116.839543726237</v>
      </c>
      <c r="AF24" s="50"/>
      <c r="AG24" s="50"/>
      <c r="AH24" s="50"/>
      <c r="AI24" s="50"/>
      <c r="AJ24" s="50"/>
      <c r="AK24" s="50"/>
      <c r="AL24" s="50"/>
    </row>
    <row r="25" spans="1:38" ht="13.8">
      <c r="A25" s="22" t="s">
        <v>91</v>
      </c>
      <c r="B25" s="54" t="s">
        <v>94</v>
      </c>
      <c r="C25" s="22" t="s">
        <v>132</v>
      </c>
      <c r="D25" s="24">
        <v>100000</v>
      </c>
      <c r="E25" s="24">
        <f t="shared" si="0"/>
        <v>74170.300751879695</v>
      </c>
      <c r="F25" s="24">
        <f t="array" aca="1" ref="F25" ca="1">IFERROR(
  ROUND(
    _xludf.LET(
      nt,$A25,
      nv,$B25,
      songay,DAY(EOMONTH($C$1,0)),
      doanhthungay,$I25,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5" s="24">
        <f t="array" ref="G25">_xlfn.XLOOKUP(B25,'Dự án T8'!B:B,'Dự án T8'!D:D,0)</f>
        <v>115239.75</v>
      </c>
      <c r="H25" s="24">
        <f t="shared" si="1"/>
        <v>3300000</v>
      </c>
      <c r="I25" s="24">
        <f t="shared" si="2"/>
        <v>352308.92857142858</v>
      </c>
      <c r="J25" s="63">
        <f t="array" ref="J25">_xlfn.XLOOKUP(B25,'kpi nhà thuốc'!A:A,'kpi nhà thuốc'!F:F,(AD25/DAY($C$1))/U25)</f>
        <v>0.10921576785714286</v>
      </c>
      <c r="K25" s="24" t="str">
        <f t="array" aca="1" ref="K25" ca="1">_xlfn.XLOOKUP(
    B25,
    'kpi nhà thuốc'!A:A,
    'kpi nhà thuốc'!G:G,
    IF(
        AND(
            OR(C25="DSXC",C25="DSCD"),
            G25&gt;=F25),IF(AND(I25&gt;=T25,E25&gt;=D25),AD25*1.5%,IF(AND(I25&gt;=T25,E25&lt;D25),AD25*1.3%,IF(AND(I25&gt;=S25,E25&gt;=D25),AD25*1.3%,IF(AND(I25&gt;=S25,E25&lt;D25),AD25*1.1%,IF(AND(I25&gt;=R25,E25&gt;=D25),AD25*1.2%,IF(AND(I25&gt;=R25,E25&lt;D25),AD25*1%,"")))))),""
    )
)</f>
        <v/>
      </c>
      <c r="L25" s="65">
        <f t="shared" si="3"/>
        <v>0.8</v>
      </c>
      <c r="M25" s="24">
        <f t="array" aca="1" ref="M25" ca="1">IFERROR(
  _xlfn.XLOOKUP(
    $A25&amp;$B25,
    'Dự án T8'!$A:$A&amp;'Dự án T8'!$B:$B,
    'Dự án T8'!$M:$M,
    0
  )*$L25,
0)</f>
        <v>0</v>
      </c>
      <c r="N25" s="68" t="e">
        <f t="shared" ca="1" si="4"/>
        <v>#VALUE!</v>
      </c>
      <c r="O25" s="24">
        <f t="shared" ref="O25:Q25" si="55">CEILING(R25,100000)</f>
        <v>2600000</v>
      </c>
      <c r="P25" s="24">
        <f t="shared" si="55"/>
        <v>3000000</v>
      </c>
      <c r="Q25" s="24">
        <f t="shared" si="55"/>
        <v>3300000</v>
      </c>
      <c r="R25" s="24">
        <f t="shared" si="6"/>
        <v>2580645.1612903229</v>
      </c>
      <c r="S25" s="24">
        <f t="shared" si="7"/>
        <v>2903225.8064516131</v>
      </c>
      <c r="T25" s="24">
        <f t="shared" si="8"/>
        <v>3225806.4516129033</v>
      </c>
      <c r="U25" s="24">
        <f>V25/DAY('kpi nhà thuốc'!$T$1)</f>
        <v>3225806.4516129033</v>
      </c>
      <c r="V25" s="24">
        <v>100000000</v>
      </c>
      <c r="W25" s="23">
        <f>SUMIF(data!$B:$B,B25,data!$C:$C)</f>
        <v>118</v>
      </c>
      <c r="X25" s="24">
        <f>SUMIF(data!$B:$B,B25,data!$D:$D)</f>
        <v>8323800</v>
      </c>
      <c r="Y25" s="24">
        <f t="shared" si="9"/>
        <v>70540.677966101692</v>
      </c>
      <c r="Z25" s="24">
        <f>SUMIF(data!$B:$B,B25,data!$E:$E)</f>
        <v>15</v>
      </c>
      <c r="AA25" s="24">
        <f>SUMIF(data!$B:$B,B25,data!$F:$F)</f>
        <v>1540850</v>
      </c>
      <c r="AB25" s="24">
        <f t="shared" si="10"/>
        <v>102723.33333333333</v>
      </c>
      <c r="AC25" s="24">
        <f t="shared" ref="AC25:AD25" si="56">W25+Z25</f>
        <v>133</v>
      </c>
      <c r="AD25" s="24">
        <f t="shared" si="56"/>
        <v>9864650</v>
      </c>
      <c r="AE25" s="24">
        <f t="shared" si="12"/>
        <v>74170.300751879695</v>
      </c>
      <c r="AF25" s="50"/>
      <c r="AG25" s="50"/>
      <c r="AH25" s="50"/>
      <c r="AI25" s="50"/>
      <c r="AJ25" s="50"/>
      <c r="AK25" s="50"/>
      <c r="AL25" s="50"/>
    </row>
    <row r="26" spans="1:38" ht="13.8">
      <c r="A26" s="22" t="s">
        <v>91</v>
      </c>
      <c r="B26" s="54" t="s">
        <v>48</v>
      </c>
      <c r="C26" s="22" t="s">
        <v>120</v>
      </c>
      <c r="D26" s="24"/>
      <c r="E26" s="24">
        <f t="shared" si="0"/>
        <v>97201.506849315076</v>
      </c>
      <c r="F26" s="24">
        <f t="array" aca="1" ref="F26" ca="1">IFERROR(
  ROUND(
    _xludf.LET(
      nt,$A26,
      nv,$B26,
      songay,DAY(EOMONTH($C$1,0)),
      doanhthungay,$I26,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6" s="24">
        <f t="array" ref="G26">_xlfn.XLOOKUP(B26,'Dự án T8'!B:B,'Dự án T8'!D:D,0)</f>
        <v>1875086.3214285714</v>
      </c>
      <c r="H26" s="24">
        <f t="shared" si="1"/>
        <v>3800000</v>
      </c>
      <c r="I26" s="24">
        <f t="shared" si="2"/>
        <v>3547855</v>
      </c>
      <c r="J26" s="63">
        <f t="array" ref="J26">_xlfn.XLOOKUP(B26,'kpi nhà thuốc'!A:A,'kpi nhà thuốc'!F:F,(AD26/DAY($C$1))/U26)</f>
        <v>0.95637830434782611</v>
      </c>
      <c r="K26" s="24" t="e">
        <f t="array" aca="1" ref="K26" ca="1">_xlfn.XLOOKUP(
    B26,
    'kpi nhà thuốc'!A:A,
    'kpi nhà thuốc'!G:G,
    IF(
        AND(
            OR(C26="DSXC",C26="DSCD"),
            G26&gt;=F26),IF(AND(I26&gt;=T26,E26&gt;=D26),AD26*1.5%,IF(AND(I26&gt;=T26,E26&lt;D26),AD26*1.3%,IF(AND(I26&gt;=S26,E26&gt;=D26),AD26*1.3%,IF(AND(I26&gt;=S26,E26&lt;D26),AD26*1.1%,IF(AND(I26&gt;=R26,E26&gt;=D26),AD26*1.2%,IF(AND(I26&gt;=R26,E26&lt;D26),AD26*1%,"")))))),""
    )
)</f>
        <v>#NAME?</v>
      </c>
      <c r="L26" s="65">
        <f t="shared" si="3"/>
        <v>1</v>
      </c>
      <c r="M26" s="24">
        <f t="array" ref="M26">IFERROR(
  _xlfn.XLOOKUP(
    $A26&amp;$B26,
    'Dự án T8'!$A:$A&amp;'Dự án T8'!$B:$B,
    'Dự án T8'!$M:$M,
    0
  )*$L26,
0)</f>
        <v>0</v>
      </c>
      <c r="N26" s="68" t="e">
        <f t="shared" ca="1" si="4"/>
        <v>#NAME?</v>
      </c>
      <c r="O26" s="24">
        <f t="shared" ref="O26:Q26" si="57">CEILING(R26,100000)</f>
        <v>3000000</v>
      </c>
      <c r="P26" s="24">
        <f t="shared" si="57"/>
        <v>3400000</v>
      </c>
      <c r="Q26" s="24">
        <f t="shared" si="57"/>
        <v>3800000</v>
      </c>
      <c r="R26" s="24">
        <f t="shared" si="6"/>
        <v>2967741.935483871</v>
      </c>
      <c r="S26" s="24">
        <f t="shared" si="7"/>
        <v>3338709.6774193551</v>
      </c>
      <c r="T26" s="24">
        <f t="shared" si="8"/>
        <v>3709677.4193548388</v>
      </c>
      <c r="U26" s="24">
        <f>V26/DAY('kpi nhà thuốc'!$T$1)</f>
        <v>3709677.4193548388</v>
      </c>
      <c r="V26" s="24">
        <v>115000000</v>
      </c>
      <c r="W26" s="23">
        <f>SUMIF(data!$B:$B,B26,data!$C:$C)</f>
        <v>842</v>
      </c>
      <c r="X26" s="24">
        <f>SUMIF(data!$B:$B,B26,data!$D:$D)</f>
        <v>74277000</v>
      </c>
      <c r="Y26" s="24">
        <f t="shared" si="9"/>
        <v>88214.964370546324</v>
      </c>
      <c r="Z26" s="24">
        <f>SUMIF(data!$B:$B,B26,data!$E:$E)</f>
        <v>180</v>
      </c>
      <c r="AA26" s="24">
        <f>SUMIF(data!$B:$B,B26,data!$F:$F)</f>
        <v>25062940</v>
      </c>
      <c r="AB26" s="24">
        <f t="shared" si="10"/>
        <v>139238.55555555556</v>
      </c>
      <c r="AC26" s="24">
        <f t="shared" ref="AC26:AD26" si="58">W26+Z26</f>
        <v>1022</v>
      </c>
      <c r="AD26" s="24">
        <f t="shared" si="58"/>
        <v>99339940</v>
      </c>
      <c r="AE26" s="24">
        <f t="shared" si="12"/>
        <v>97201.506849315076</v>
      </c>
      <c r="AF26" s="50"/>
      <c r="AG26" s="50"/>
      <c r="AH26" s="50"/>
      <c r="AI26" s="50"/>
      <c r="AJ26" s="50"/>
      <c r="AK26" s="50"/>
      <c r="AL26" s="50"/>
    </row>
    <row r="27" spans="1:38" ht="13.8">
      <c r="A27" s="22" t="s">
        <v>98</v>
      </c>
      <c r="B27" s="54" t="s">
        <v>104</v>
      </c>
      <c r="C27" s="22" t="s">
        <v>120</v>
      </c>
      <c r="D27" s="24">
        <v>120000</v>
      </c>
      <c r="E27" s="24">
        <f t="shared" si="0"/>
        <v>94801.426718547344</v>
      </c>
      <c r="F27" s="24">
        <f t="array" aca="1" ref="F27" ca="1">IFERROR(
  ROUND(
    _xludf.LET(
      nt,$A27,
      nv,$B27,
      songay,DAY(EOMONTH($C$1,0)),
      doanhthungay,$I27,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7" s="24">
        <f t="array" ref="G27">_xlfn.XLOOKUP(B27,'Dự án T8'!B:B,'Dự án T8'!D:D,0)</f>
        <v>1382847.892857143</v>
      </c>
      <c r="H27" s="24">
        <f t="shared" si="1"/>
        <v>3300000</v>
      </c>
      <c r="I27" s="24">
        <f t="shared" si="2"/>
        <v>2610425</v>
      </c>
      <c r="J27" s="63">
        <f t="array" ref="J27">_xlfn.XLOOKUP(B27,'kpi nhà thuốc'!A:A,'kpi nhà thuốc'!F:F,(AD27/DAY($C$1))/U27)</f>
        <v>0.80923175000000003</v>
      </c>
      <c r="K27" s="24" t="e">
        <f t="array" aca="1" ref="K27" ca="1">_xlfn.XLOOKUP(
    B27,
    'kpi nhà thuốc'!A:A,
    'kpi nhà thuốc'!G:G,
    IF(
        AND(
            OR(C27="DSXC",C27="DSCD"),
            G27&gt;=F27),IF(AND(I27&gt;=T27,E27&gt;=D27),AD27*1.5%,IF(AND(I27&gt;=T27,E27&lt;D27),AD27*1.3%,IF(AND(I27&gt;=S27,E27&gt;=D27),AD27*1.3%,IF(AND(I27&gt;=S27,E27&lt;D27),AD27*1.1%,IF(AND(I27&gt;=R27,E27&gt;=D27),AD27*1.2%,IF(AND(I27&gt;=R27,E27&lt;D27),AD27*1%,"")))))),""
    )
)</f>
        <v>#NAME?</v>
      </c>
      <c r="L27" s="65">
        <f t="shared" si="3"/>
        <v>1</v>
      </c>
      <c r="M27" s="24">
        <f t="array" aca="1" ref="M27" ca="1">IFERROR(
  _xlfn.XLOOKUP(
    $A27&amp;$B27,
    'Dự án T8'!$A:$A&amp;'Dự án T8'!$B:$B,
    'Dự án T8'!$M:$M,
    0
  )*$L27,
0)</f>
        <v>500000</v>
      </c>
      <c r="N27" s="68" t="e">
        <f t="shared" ca="1" si="4"/>
        <v>#NAME?</v>
      </c>
      <c r="O27" s="24">
        <f t="shared" ref="O27:Q27" si="59">CEILING(R27,100000)</f>
        <v>2600000</v>
      </c>
      <c r="P27" s="24">
        <f t="shared" si="59"/>
        <v>3000000</v>
      </c>
      <c r="Q27" s="24">
        <f t="shared" si="59"/>
        <v>3300000</v>
      </c>
      <c r="R27" s="24">
        <f t="shared" si="6"/>
        <v>2580645.1612903229</v>
      </c>
      <c r="S27" s="24">
        <f t="shared" si="7"/>
        <v>2903225.8064516131</v>
      </c>
      <c r="T27" s="24">
        <f t="shared" si="8"/>
        <v>3225806.4516129033</v>
      </c>
      <c r="U27" s="24">
        <f>V27/DAY('kpi nhà thuốc'!$T$1)</f>
        <v>3225806.4516129033</v>
      </c>
      <c r="V27" s="24">
        <v>100000000</v>
      </c>
      <c r="W27" s="23">
        <f>SUMIF(data!$B:$B,B27,data!$C:$C)</f>
        <v>593</v>
      </c>
      <c r="X27" s="24">
        <f>SUMIF(data!$B:$B,B27,data!$D:$D)</f>
        <v>45493300</v>
      </c>
      <c r="Y27" s="24">
        <f t="shared" si="9"/>
        <v>76717.20067453626</v>
      </c>
      <c r="Z27" s="24">
        <f>SUMIF(data!$B:$B,B27,data!$E:$E)</f>
        <v>178</v>
      </c>
      <c r="AA27" s="24">
        <f>SUMIF(data!$B:$B,B27,data!$F:$F)</f>
        <v>27598600</v>
      </c>
      <c r="AB27" s="24">
        <f t="shared" si="10"/>
        <v>155048.31460674157</v>
      </c>
      <c r="AC27" s="24">
        <f t="shared" ref="AC27:AD27" si="60">W27+Z27</f>
        <v>771</v>
      </c>
      <c r="AD27" s="24">
        <f t="shared" si="60"/>
        <v>73091900</v>
      </c>
      <c r="AE27" s="24">
        <f t="shared" si="12"/>
        <v>94801.426718547344</v>
      </c>
      <c r="AF27" s="50"/>
      <c r="AG27" s="50"/>
      <c r="AH27" s="50"/>
      <c r="AI27" s="50"/>
      <c r="AJ27" s="50"/>
      <c r="AK27" s="50"/>
      <c r="AL27" s="50"/>
    </row>
    <row r="28" spans="1:38" ht="13.8">
      <c r="A28" s="22" t="s">
        <v>98</v>
      </c>
      <c r="B28" s="54" t="s">
        <v>90</v>
      </c>
      <c r="C28" s="22" t="s">
        <v>211</v>
      </c>
      <c r="D28" s="24"/>
      <c r="E28" s="24">
        <f t="shared" si="0"/>
        <v>125547.79005524862</v>
      </c>
      <c r="F28" s="24">
        <f t="array" aca="1" ref="F28" ca="1">IFERROR(
  ROUND(
    _xludf.LET(
      nt,$A28,
      nv,$B28,
      songay,DAY(EOMONTH($C$1,0)),
      doanhthungay,$I28,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8" s="24">
        <f t="array" ref="G28">_xlfn.XLOOKUP(B28,'Dự án T8'!B:B,'Dự án T8'!D:D,0)</f>
        <v>334543</v>
      </c>
      <c r="H28" s="24">
        <f t="shared" si="1"/>
        <v>2000000</v>
      </c>
      <c r="I28" s="24">
        <f t="shared" si="2"/>
        <v>1623153.5714285714</v>
      </c>
      <c r="J28" s="63">
        <f t="array" ref="J28">_xlfn.XLOOKUP(B28,'kpi nhà thuốc'!A:A,'kpi nhà thuốc'!F:F,(AD28/DAY($C$1))/U28)</f>
        <v>0.83862934523809529</v>
      </c>
      <c r="K28" s="24" t="str">
        <f t="array" aca="1" ref="K28" ca="1">_xlfn.XLOOKUP(
    B28,
    'kpi nhà thuốc'!A:A,
    'kpi nhà thuốc'!G:G,
    IF(
        AND(
            OR(C28="DSXC",C28="DSCD"),
            G28&gt;=F28),IF(AND(I28&gt;=T28,E28&gt;=D28),AD28*1.5%,IF(AND(I28&gt;=T28,E28&lt;D28),AD28*1.3%,IF(AND(I28&gt;=S28,E28&gt;=D28),AD28*1.3%,IF(AND(I28&gt;=S28,E28&lt;D28),AD28*1.1%,IF(AND(I28&gt;=R28,E28&gt;=D28),AD28*1.2%,IF(AND(I28&gt;=R28,E28&lt;D28),AD28*1%,"")))))),""
    )
)</f>
        <v/>
      </c>
      <c r="L28" s="65">
        <f t="shared" si="3"/>
        <v>1</v>
      </c>
      <c r="M28" s="24">
        <f t="array" aca="1" ref="M28" ca="1">IFERROR(
  _xlfn.XLOOKUP(
    $A28&amp;$B28,
    'Dự án T8'!$A:$A&amp;'Dự án T8'!$B:$B,
    'Dự án T8'!$M:$M,
    0
  )*$L28,
0)</f>
        <v>0</v>
      </c>
      <c r="N28" s="68" t="e">
        <f t="shared" ca="1" si="4"/>
        <v>#VALUE!</v>
      </c>
      <c r="O28" s="24">
        <f t="shared" ref="O28:Q28" si="61">CEILING(R28,100000)</f>
        <v>1600000</v>
      </c>
      <c r="P28" s="24">
        <f t="shared" si="61"/>
        <v>1800000</v>
      </c>
      <c r="Q28" s="24">
        <f t="shared" si="61"/>
        <v>2000000</v>
      </c>
      <c r="R28" s="24">
        <f t="shared" si="6"/>
        <v>1548387.0967741935</v>
      </c>
      <c r="S28" s="24">
        <f t="shared" si="7"/>
        <v>1741935.4838709678</v>
      </c>
      <c r="T28" s="24">
        <f t="shared" si="8"/>
        <v>1935483.8709677418</v>
      </c>
      <c r="U28" s="24">
        <f>V28/DAY('kpi nhà thuốc'!$T$1)</f>
        <v>1935483.8709677418</v>
      </c>
      <c r="V28" s="24">
        <v>60000000</v>
      </c>
      <c r="W28" s="23">
        <f>SUMIF(data!$B:$B,B28,data!$C:$C)</f>
        <v>253</v>
      </c>
      <c r="X28" s="24">
        <f>SUMIF(data!$B:$B,B28,data!$D:$D)</f>
        <v>16117800</v>
      </c>
      <c r="Y28" s="24">
        <f t="shared" si="9"/>
        <v>63706.719367588936</v>
      </c>
      <c r="Z28" s="24">
        <f>SUMIF(data!$B:$B,B28,data!$E:$E)</f>
        <v>109</v>
      </c>
      <c r="AA28" s="24">
        <f>SUMIF(data!$B:$B,B28,data!$F:$F)</f>
        <v>29330500</v>
      </c>
      <c r="AB28" s="24">
        <f t="shared" si="10"/>
        <v>269087.15596330276</v>
      </c>
      <c r="AC28" s="24">
        <f t="shared" ref="AC28:AD28" si="62">W28+Z28</f>
        <v>362</v>
      </c>
      <c r="AD28" s="24">
        <f t="shared" si="62"/>
        <v>45448300</v>
      </c>
      <c r="AE28" s="24">
        <f t="shared" si="12"/>
        <v>125547.79005524862</v>
      </c>
      <c r="AF28" s="50"/>
      <c r="AG28" s="50"/>
      <c r="AH28" s="50"/>
      <c r="AI28" s="50"/>
      <c r="AJ28" s="50"/>
      <c r="AK28" s="50"/>
      <c r="AL28" s="50"/>
    </row>
    <row r="29" spans="1:38" ht="13.8">
      <c r="A29" s="22" t="s">
        <v>98</v>
      </c>
      <c r="B29" s="54" t="s">
        <v>100</v>
      </c>
      <c r="C29" s="22" t="s">
        <v>131</v>
      </c>
      <c r="D29" s="24"/>
      <c r="E29" s="24">
        <f t="shared" si="0"/>
        <v>115926.45161290323</v>
      </c>
      <c r="F29" s="24">
        <f t="array" aca="1" ref="F29" ca="1">IFERROR(
  ROUND(
    _xludf.LET(
      nt,$A29,
      nv,$B29,
      songay,DAY(EOMONTH($C$1,0)),
      doanhthungay,$I29,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9" s="24">
        <f t="array" ref="G29">_xlfn.XLOOKUP(B29,'Dự án T8'!B:B,'Dự án T8'!D:D,0)</f>
        <v>272429.64285714284</v>
      </c>
      <c r="H29" s="24">
        <f t="shared" si="1"/>
        <v>2000000</v>
      </c>
      <c r="I29" s="24">
        <f t="shared" si="2"/>
        <v>641735.71428571432</v>
      </c>
      <c r="J29" s="63">
        <f t="array" ref="J29">_xlfn.XLOOKUP(B29,'kpi nhà thuốc'!A:A,'kpi nhà thuốc'!F:F,(AD29/DAY($C$1))/U29)</f>
        <v>0.33156345238095242</v>
      </c>
      <c r="K29" s="24" t="str">
        <f t="array" aca="1" ref="K29" ca="1">_xlfn.XLOOKUP(
    B29,
    'kpi nhà thuốc'!A:A,
    'kpi nhà thuốc'!G:G,
    IF(
        AND(
            OR(C29="DSXC",C29="DSCD"),
            G29&gt;=F29),IF(AND(I29&gt;=T29,E29&gt;=D29),AD29*1.5%,IF(AND(I29&gt;=T29,E29&lt;D29),AD29*1.3%,IF(AND(I29&gt;=S29,E29&gt;=D29),AD29*1.3%,IF(AND(I29&gt;=S29,E29&lt;D29),AD29*1.1%,IF(AND(I29&gt;=R29,E29&gt;=D29),AD29*1.2%,IF(AND(I29&gt;=R29,E29&lt;D29),AD29*1%,"")))))),""
    )
)</f>
        <v/>
      </c>
      <c r="L29" s="65">
        <f t="shared" si="3"/>
        <v>0.8</v>
      </c>
      <c r="M29" s="24">
        <f t="array" aca="1" ref="M29" ca="1">IFERROR(
  _xlfn.XLOOKUP(
    $A29&amp;$B29,
    'Dự án T8'!$A:$A&amp;'Dự án T8'!$B:$B,
    'Dự án T8'!$M:$M,
    0
  )*$L29,
0)</f>
        <v>0</v>
      </c>
      <c r="N29" s="68" t="e">
        <f t="shared" ca="1" si="4"/>
        <v>#VALUE!</v>
      </c>
      <c r="O29" s="24">
        <f t="shared" ref="O29:Q29" si="63">CEILING(R29,100000)</f>
        <v>1600000</v>
      </c>
      <c r="P29" s="24">
        <f t="shared" si="63"/>
        <v>1800000</v>
      </c>
      <c r="Q29" s="24">
        <f t="shared" si="63"/>
        <v>2000000</v>
      </c>
      <c r="R29" s="24">
        <f t="shared" si="6"/>
        <v>1548387.0967741935</v>
      </c>
      <c r="S29" s="24">
        <f t="shared" si="7"/>
        <v>1741935.4838709678</v>
      </c>
      <c r="T29" s="24">
        <f t="shared" si="8"/>
        <v>1935483.8709677418</v>
      </c>
      <c r="U29" s="24">
        <f>V29/DAY('kpi nhà thuốc'!$T$1)</f>
        <v>1935483.8709677418</v>
      </c>
      <c r="V29" s="24">
        <v>60000000</v>
      </c>
      <c r="W29" s="23">
        <f>SUMIF(data!$B:$B,B29,data!$C:$C)</f>
        <v>120</v>
      </c>
      <c r="X29" s="24">
        <f>SUMIF(data!$B:$B,B29,data!$D:$D)</f>
        <v>10080700</v>
      </c>
      <c r="Y29" s="24">
        <f t="shared" si="9"/>
        <v>84005.833333333328</v>
      </c>
      <c r="Z29" s="24">
        <f>SUMIF(data!$B:$B,B29,data!$E:$E)</f>
        <v>35</v>
      </c>
      <c r="AA29" s="24">
        <f>SUMIF(data!$B:$B,B29,data!$F:$F)</f>
        <v>7887900</v>
      </c>
      <c r="AB29" s="24">
        <f t="shared" si="10"/>
        <v>225368.57142857142</v>
      </c>
      <c r="AC29" s="24">
        <f t="shared" ref="AC29:AD29" si="64">W29+Z29</f>
        <v>155</v>
      </c>
      <c r="AD29" s="24">
        <f t="shared" si="64"/>
        <v>17968600</v>
      </c>
      <c r="AE29" s="24">
        <f t="shared" si="12"/>
        <v>115926.45161290323</v>
      </c>
      <c r="AF29" s="50"/>
      <c r="AG29" s="50"/>
      <c r="AH29" s="50"/>
      <c r="AI29" s="50"/>
      <c r="AJ29" s="50"/>
      <c r="AK29" s="50"/>
      <c r="AL29" s="50"/>
    </row>
    <row r="30" spans="1:38" ht="13.8">
      <c r="A30" s="22" t="s">
        <v>98</v>
      </c>
      <c r="B30" s="54" t="s">
        <v>101</v>
      </c>
      <c r="C30" s="22" t="s">
        <v>131</v>
      </c>
      <c r="D30" s="24"/>
      <c r="E30" s="24">
        <f t="shared" si="0"/>
        <v>78494.186046511633</v>
      </c>
      <c r="F30" s="24">
        <f t="array" aca="1" ref="F30" ca="1">IFERROR(
  ROUND(
    _xludf.LET(
      nt,$A30,
      nv,$B30,
      songay,DAY(EOMONTH($C$1,0)),
      doanhthungay,$I30,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0" s="24">
        <f t="array" ref="G30">_xlfn.XLOOKUP(B30,'Dự án T8'!B:B,'Dự án T8'!D:D,0)</f>
        <v>454234.64285714284</v>
      </c>
      <c r="H30" s="24">
        <f t="shared" si="1"/>
        <v>1700000</v>
      </c>
      <c r="I30" s="24">
        <f t="shared" si="2"/>
        <v>241089.28571428571</v>
      </c>
      <c r="J30" s="63">
        <f t="array" ref="J30">_xlfn.XLOOKUP(B30,'kpi nhà thuốc'!A:A,'kpi nhà thuốc'!F:F,(AD30/DAY($C$1))/U30)</f>
        <v>0.14947535714285715</v>
      </c>
      <c r="K30" s="24" t="str">
        <f t="array" aca="1" ref="K30" ca="1">_xlfn.XLOOKUP(
    B30,
    'kpi nhà thuốc'!A:A,
    'kpi nhà thuốc'!G:G,
    IF(
        AND(
            OR(C30="DSXC",C30="DSCD"),
            G30&gt;=F30),IF(AND(I30&gt;=T30,E30&gt;=D30),AD30*1.5%,IF(AND(I30&gt;=T30,E30&lt;D30),AD30*1.3%,IF(AND(I30&gt;=S30,E30&gt;=D30),AD30*1.3%,IF(AND(I30&gt;=S30,E30&lt;D30),AD30*1.1%,IF(AND(I30&gt;=R30,E30&gt;=D30),AD30*1.2%,IF(AND(I30&gt;=R30,E30&lt;D30),AD30*1%,"")))))),""
    )
)</f>
        <v/>
      </c>
      <c r="L30" s="65">
        <f t="shared" si="3"/>
        <v>0.8</v>
      </c>
      <c r="M30" s="24">
        <f t="array" aca="1" ref="M30" ca="1">IFERROR(
  _xlfn.XLOOKUP(
    $A30&amp;$B30,
    'Dự án T8'!$A:$A&amp;'Dự án T8'!$B:$B,
    'Dự án T8'!$M:$M,
    0
  )*$L30,
0)</f>
        <v>0</v>
      </c>
      <c r="N30" s="68" t="e">
        <f t="shared" ca="1" si="4"/>
        <v>#VALUE!</v>
      </c>
      <c r="O30" s="24">
        <f t="shared" ref="O30:Q30" si="65">CEILING(R30,100000)</f>
        <v>1300000</v>
      </c>
      <c r="P30" s="24">
        <f t="shared" si="65"/>
        <v>1500000</v>
      </c>
      <c r="Q30" s="24">
        <f t="shared" si="65"/>
        <v>1700000</v>
      </c>
      <c r="R30" s="24">
        <f t="shared" si="6"/>
        <v>1290322.5806451614</v>
      </c>
      <c r="S30" s="24">
        <f t="shared" si="7"/>
        <v>1451612.9032258065</v>
      </c>
      <c r="T30" s="24">
        <f t="shared" si="8"/>
        <v>1612903.2258064516</v>
      </c>
      <c r="U30" s="24">
        <f>V30/DAY('kpi nhà thuốc'!$T$1)</f>
        <v>1612903.2258064516</v>
      </c>
      <c r="V30" s="24">
        <v>50000000</v>
      </c>
      <c r="W30" s="23">
        <f>SUMIF(data!$B:$B,B30,data!$C:$C)</f>
        <v>72</v>
      </c>
      <c r="X30" s="24">
        <f>SUMIF(data!$B:$B,B30,data!$D:$D)</f>
        <v>5530200</v>
      </c>
      <c r="Y30" s="24">
        <f t="shared" si="9"/>
        <v>76808.333333333328</v>
      </c>
      <c r="Z30" s="24">
        <f>SUMIF(data!$B:$B,B30,data!$E:$E)</f>
        <v>14</v>
      </c>
      <c r="AA30" s="24">
        <f>SUMIF(data!$B:$B,B30,data!$F:$F)</f>
        <v>1220300</v>
      </c>
      <c r="AB30" s="24">
        <f t="shared" si="10"/>
        <v>87164.28571428571</v>
      </c>
      <c r="AC30" s="24">
        <f t="shared" ref="AC30:AD30" si="66">W30+Z30</f>
        <v>86</v>
      </c>
      <c r="AD30" s="24">
        <f t="shared" si="66"/>
        <v>6750500</v>
      </c>
      <c r="AE30" s="24">
        <f t="shared" si="12"/>
        <v>78494.186046511633</v>
      </c>
      <c r="AF30" s="50"/>
      <c r="AG30" s="50"/>
      <c r="AH30" s="50"/>
      <c r="AI30" s="50"/>
      <c r="AJ30" s="50"/>
      <c r="AK30" s="50"/>
      <c r="AL30" s="50"/>
    </row>
    <row r="31" spans="1:38" ht="13.8">
      <c r="A31" s="22" t="s">
        <v>98</v>
      </c>
      <c r="B31" s="54" t="s">
        <v>99</v>
      </c>
      <c r="C31" s="22" t="s">
        <v>211</v>
      </c>
      <c r="D31" s="24"/>
      <c r="E31" s="24">
        <f t="shared" si="0"/>
        <v>125779.99445983379</v>
      </c>
      <c r="F31" s="24">
        <f t="array" aca="1" ref="F31" ca="1">IFERROR(
  ROUND(
    _xludf.LET(
      nt,$A31,
      nv,$B31,
      songay,DAY(EOMONTH($C$1,0)),
      doanhthungay,$I31,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1" s="24">
        <f t="array" ref="G31">_xlfn.XLOOKUP(B31,'Dự án T8'!B:B,'Dự án T8'!D:D,0)</f>
        <v>430331.89285714284</v>
      </c>
      <c r="H31" s="24">
        <f t="shared" si="1"/>
        <v>2000000</v>
      </c>
      <c r="I31" s="24">
        <f t="shared" si="2"/>
        <v>1621663.5</v>
      </c>
      <c r="J31" s="63">
        <f t="array" ref="J31">_xlfn.XLOOKUP(B31,'kpi nhà thuốc'!A:A,'kpi nhà thuốc'!F:F,(AD31/DAY($C$1))/U31)</f>
        <v>0.83785947500000002</v>
      </c>
      <c r="K31" s="24" t="str">
        <f t="array" aca="1" ref="K31" ca="1">_xlfn.XLOOKUP(
    B31,
    'kpi nhà thuốc'!A:A,
    'kpi nhà thuốc'!G:G,
    IF(
        AND(
            OR(C31="DSXC",C31="DSCD"),
            G31&gt;=F31),IF(AND(I31&gt;=T31,E31&gt;=D31),AD31*1.5%,IF(AND(I31&gt;=T31,E31&lt;D31),AD31*1.3%,IF(AND(I31&gt;=S31,E31&gt;=D31),AD31*1.3%,IF(AND(I31&gt;=S31,E31&lt;D31),AD31*1.1%,IF(AND(I31&gt;=R31,E31&gt;=D31),AD31*1.2%,IF(AND(I31&gt;=R31,E31&lt;D31),AD31*1%,"")))))),""
    )
)</f>
        <v/>
      </c>
      <c r="L31" s="65">
        <f t="shared" si="3"/>
        <v>1</v>
      </c>
      <c r="M31" s="24">
        <f t="array" aca="1" ref="M31" ca="1">IFERROR(
  _xlfn.XLOOKUP(
    $A31&amp;$B31,
    'Dự án T8'!$A:$A&amp;'Dự án T8'!$B:$B,
    'Dự án T8'!$M:$M,
    0
  )*$L31,
0)</f>
        <v>0</v>
      </c>
      <c r="N31" s="68" t="e">
        <f t="shared" ca="1" si="4"/>
        <v>#VALUE!</v>
      </c>
      <c r="O31" s="24">
        <f t="shared" ref="O31:Q31" si="67">CEILING(R31,100000)</f>
        <v>1600000</v>
      </c>
      <c r="P31" s="24">
        <f t="shared" si="67"/>
        <v>1800000</v>
      </c>
      <c r="Q31" s="24">
        <f t="shared" si="67"/>
        <v>2000000</v>
      </c>
      <c r="R31" s="24">
        <f t="shared" si="6"/>
        <v>1548387.0967741935</v>
      </c>
      <c r="S31" s="24">
        <f t="shared" si="7"/>
        <v>1741935.4838709678</v>
      </c>
      <c r="T31" s="24">
        <f t="shared" si="8"/>
        <v>1935483.8709677418</v>
      </c>
      <c r="U31" s="24">
        <f>V31/DAY('kpi nhà thuốc'!$T$1)</f>
        <v>1935483.8709677418</v>
      </c>
      <c r="V31" s="24">
        <v>60000000</v>
      </c>
      <c r="W31" s="23">
        <f>SUMIF(data!$B:$B,B31,data!$C:$C)</f>
        <v>248</v>
      </c>
      <c r="X31" s="24">
        <f>SUMIF(data!$B:$B,B31,data!$D:$D)</f>
        <v>17563028</v>
      </c>
      <c r="Y31" s="24">
        <f t="shared" si="9"/>
        <v>70818.661290322576</v>
      </c>
      <c r="Z31" s="24">
        <f>SUMIF(data!$B:$B,B31,data!$E:$E)</f>
        <v>113</v>
      </c>
      <c r="AA31" s="24">
        <f>SUMIF(data!$B:$B,B31,data!$F:$F)</f>
        <v>27843550</v>
      </c>
      <c r="AB31" s="24">
        <f t="shared" si="10"/>
        <v>246403.09734513273</v>
      </c>
      <c r="AC31" s="24">
        <f t="shared" ref="AC31:AD31" si="68">W31+Z31</f>
        <v>361</v>
      </c>
      <c r="AD31" s="24">
        <f t="shared" si="68"/>
        <v>45406578</v>
      </c>
      <c r="AE31" s="24">
        <f t="shared" si="12"/>
        <v>125779.99445983379</v>
      </c>
      <c r="AF31" s="50"/>
      <c r="AG31" s="50"/>
      <c r="AH31" s="50"/>
      <c r="AI31" s="50"/>
      <c r="AJ31" s="50"/>
      <c r="AK31" s="50"/>
      <c r="AL31" s="50"/>
    </row>
    <row r="32" spans="1:38" ht="13.8">
      <c r="A32" s="22" t="s">
        <v>106</v>
      </c>
      <c r="B32" s="54" t="s">
        <v>108</v>
      </c>
      <c r="C32" s="22" t="s">
        <v>26</v>
      </c>
      <c r="D32" s="24">
        <v>194000</v>
      </c>
      <c r="E32" s="24">
        <f t="shared" si="0"/>
        <v>262336.49193548388</v>
      </c>
      <c r="F32" s="24">
        <f t="array" aca="1" ref="F32" ca="1">IFERROR(
  ROUND(
    _xludf.LET(
      nt,$A32,
      nv,$B32,
      songay,DAY(EOMONTH($C$1,0)),
      doanhthungay,$I32,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2" s="24">
        <f t="array" ref="G32">_xlfn.XLOOKUP(B32,'Dự án T8'!B:B,'Dự án T8'!D:D,0)</f>
        <v>253045.14285714287</v>
      </c>
      <c r="H32" s="24">
        <f t="shared" si="1"/>
        <v>3900000</v>
      </c>
      <c r="I32" s="24">
        <f t="shared" si="2"/>
        <v>4647103.5714285718</v>
      </c>
      <c r="J32" s="63">
        <f t="array" ref="J32">_xlfn.XLOOKUP(B32,'kpi nhà thuốc'!A:A,'kpi nhà thuốc'!F:F,(AD32/DAY($C$1))/U32)</f>
        <v>0.74429047402597392</v>
      </c>
      <c r="K32" s="24" t="e">
        <f t="array" aca="1" ref="K32" ca="1">_xlfn.XLOOKUP(
    B32,
    'kpi nhà thuốc'!A:A,
    'kpi nhà thuốc'!G:G,
    IF(
        AND(
            OR(C32="DSXC",C32="DSCD"),
            G32&gt;=F32),IF(AND(I32&gt;=T32,E32&gt;=D32),AD32*1.5%,IF(AND(I32&gt;=T32,E32&lt;D32),AD32*1.3%,IF(AND(I32&gt;=S32,E32&gt;=D32),AD32*1.3%,IF(AND(I32&gt;=S32,E32&lt;D32),AD32*1.1%,IF(AND(I32&gt;=R32,E32&gt;=D32),AD32*1.2%,IF(AND(I32&gt;=R32,E32&lt;D32),AD32*1%,"")))))),""
    )
)</f>
        <v>#N/A</v>
      </c>
      <c r="L32" s="65">
        <f t="shared" si="3"/>
        <v>1</v>
      </c>
      <c r="M32" s="24">
        <f t="array" aca="1" ref="M32" ca="1">IFERROR(
  _xlfn.XLOOKUP(
    $A32&amp;$B32,
    'Dự án T8'!$A:$A&amp;'Dự án T8'!$B:$B,
    'Dự án T8'!$M:$M,
    0
  )*$L32,
0)</f>
        <v>0</v>
      </c>
      <c r="N32" s="68" t="e">
        <f t="shared" ca="1" si="4"/>
        <v>#N/A</v>
      </c>
      <c r="O32" s="24">
        <f t="shared" ref="O32:Q32" si="69">CEILING(R32,100000)</f>
        <v>3100000</v>
      </c>
      <c r="P32" s="24">
        <f t="shared" si="69"/>
        <v>3500000</v>
      </c>
      <c r="Q32" s="24">
        <f t="shared" si="69"/>
        <v>3900000</v>
      </c>
      <c r="R32" s="24">
        <f t="shared" si="6"/>
        <v>3096774.1935483869</v>
      </c>
      <c r="S32" s="24">
        <f t="shared" si="7"/>
        <v>3483870.9677419355</v>
      </c>
      <c r="T32" s="24">
        <f t="shared" si="8"/>
        <v>3870967.7419354836</v>
      </c>
      <c r="U32" s="24">
        <f>V32/DAY('kpi nhà thuốc'!$T$1)</f>
        <v>3870967.7419354836</v>
      </c>
      <c r="V32" s="24">
        <v>120000000</v>
      </c>
      <c r="W32" s="23">
        <f>SUMIF(data!$B:$B,B32,data!$C:$C)</f>
        <v>290</v>
      </c>
      <c r="X32" s="24">
        <f>SUMIF(data!$B:$B,B32,data!$D:$D)</f>
        <v>25411600</v>
      </c>
      <c r="Y32" s="24">
        <f t="shared" si="9"/>
        <v>87626.206896551725</v>
      </c>
      <c r="Z32" s="24">
        <f>SUMIF(data!$B:$B,B32,data!$E:$E)</f>
        <v>206</v>
      </c>
      <c r="AA32" s="24">
        <f>SUMIF(data!$B:$B,B32,data!$F:$F)</f>
        <v>104707300</v>
      </c>
      <c r="AB32" s="24">
        <f t="shared" si="10"/>
        <v>508287.86407766992</v>
      </c>
      <c r="AC32" s="24">
        <f t="shared" ref="AC32:AD32" si="70">W32+Z32</f>
        <v>496</v>
      </c>
      <c r="AD32" s="24">
        <f t="shared" si="70"/>
        <v>130118900</v>
      </c>
      <c r="AE32" s="24">
        <f t="shared" si="12"/>
        <v>262336.49193548388</v>
      </c>
      <c r="AF32" s="50"/>
      <c r="AG32" s="50"/>
      <c r="AH32" s="50"/>
      <c r="AI32" s="50"/>
      <c r="AJ32" s="50"/>
      <c r="AK32" s="50"/>
      <c r="AL32" s="50"/>
    </row>
    <row r="33" spans="1:38" ht="13.8">
      <c r="A33" s="22" t="s">
        <v>106</v>
      </c>
      <c r="B33" s="54" t="s">
        <v>107</v>
      </c>
      <c r="C33" s="22" t="s">
        <v>105</v>
      </c>
      <c r="D33" s="24">
        <v>250000</v>
      </c>
      <c r="E33" s="24">
        <f t="shared" si="0"/>
        <v>144616.15044247787</v>
      </c>
      <c r="F33" s="24">
        <f t="array" aca="1" ref="F33" ca="1">IFERROR(
  ROUND(
    _xludf.LET(
      nt,$A33,
      nv,$B33,
      songay,DAY(EOMONTH($C$1,0)),
      doanhthungay,$I33,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3" s="24">
        <f t="array" ref="G33">_xlfn.XLOOKUP(B33,'Dự án T8'!B:B,'Dự án T8'!D:D,0)</f>
        <v>478506.78571428574</v>
      </c>
      <c r="H33" s="24">
        <f t="shared" si="1"/>
        <v>3900000</v>
      </c>
      <c r="I33" s="24">
        <f t="shared" si="2"/>
        <v>2918147.3214285714</v>
      </c>
      <c r="J33" s="63">
        <f t="array" ref="J33">_xlfn.XLOOKUP(B33,'kpi nhà thuốc'!A:A,'kpi nhà thuốc'!F:F,(AD33/DAY($C$1))/U33)</f>
        <v>0.75385472470238102</v>
      </c>
      <c r="K33" s="24" t="e">
        <f t="array" aca="1" ref="K33" ca="1">_xlfn.XLOOKUP(
    B33,
    'kpi nhà thuốc'!A:A,
    'kpi nhà thuốc'!G:G,
    IF(
        AND(
            OR(C33="DSXC",C33="DSCD"),
            G33&gt;=F33),IF(AND(I33&gt;=T33,E33&gt;=D33),AD33*1.5%,IF(AND(I33&gt;=T33,E33&lt;D33),AD33*1.3%,IF(AND(I33&gt;=S33,E33&gt;=D33),AD33*1.3%,IF(AND(I33&gt;=S33,E33&lt;D33),AD33*1.1%,IF(AND(I33&gt;=R33,E33&gt;=D33),AD33*1.2%,IF(AND(I33&gt;=R33,E33&lt;D33),AD33*1%,"")))))),""
    )
)</f>
        <v>#NAME?</v>
      </c>
      <c r="L33" s="65">
        <f t="shared" si="3"/>
        <v>1</v>
      </c>
      <c r="M33" s="24">
        <f t="array" aca="1" ref="M33" ca="1">IFERROR(
  _xlfn.XLOOKUP(
    $A33&amp;$B33,
    'Dự án T8'!$A:$A&amp;'Dự án T8'!$B:$B,
    'Dự án T8'!$M:$M,
    0
  )*$L33,
0)</f>
        <v>0</v>
      </c>
      <c r="N33" s="68" t="e">
        <f t="shared" ca="1" si="4"/>
        <v>#NAME?</v>
      </c>
      <c r="O33" s="24">
        <f t="shared" ref="O33:Q33" si="71">CEILING(R33,100000)</f>
        <v>3100000</v>
      </c>
      <c r="P33" s="24">
        <f t="shared" si="71"/>
        <v>3500000</v>
      </c>
      <c r="Q33" s="24">
        <f t="shared" si="71"/>
        <v>3900000</v>
      </c>
      <c r="R33" s="24">
        <f t="shared" si="6"/>
        <v>3096774.1935483869</v>
      </c>
      <c r="S33" s="24">
        <f t="shared" si="7"/>
        <v>3483870.9677419355</v>
      </c>
      <c r="T33" s="24">
        <f t="shared" si="8"/>
        <v>3870967.7419354836</v>
      </c>
      <c r="U33" s="24">
        <f>V33/DAY('kpi nhà thuốc'!$T$1)</f>
        <v>3870967.7419354836</v>
      </c>
      <c r="V33" s="24">
        <v>120000000</v>
      </c>
      <c r="W33" s="23">
        <f>SUMIF(data!$B:$B,B33,data!$C:$C)</f>
        <v>346</v>
      </c>
      <c r="X33" s="24">
        <f>SUMIF(data!$B:$B,B33,data!$D:$D)</f>
        <v>41488625</v>
      </c>
      <c r="Y33" s="24">
        <f t="shared" si="9"/>
        <v>119909.32080924856</v>
      </c>
      <c r="Z33" s="24">
        <f>SUMIF(data!$B:$B,B33,data!$E:$E)</f>
        <v>219</v>
      </c>
      <c r="AA33" s="24">
        <f>SUMIF(data!$B:$B,B33,data!$F:$F)</f>
        <v>40219500</v>
      </c>
      <c r="AB33" s="24">
        <f t="shared" si="10"/>
        <v>183650.68493150684</v>
      </c>
      <c r="AC33" s="24">
        <f t="shared" ref="AC33:AD33" si="72">W33+Z33</f>
        <v>565</v>
      </c>
      <c r="AD33" s="24">
        <f t="shared" si="72"/>
        <v>81708125</v>
      </c>
      <c r="AE33" s="24">
        <f t="shared" si="12"/>
        <v>144616.15044247787</v>
      </c>
      <c r="AF33" s="50"/>
      <c r="AG33" s="50"/>
      <c r="AH33" s="50"/>
      <c r="AI33" s="50"/>
      <c r="AJ33" s="50"/>
      <c r="AK33" s="50"/>
      <c r="AL33" s="50"/>
    </row>
    <row r="34" spans="1:38" ht="13.8">
      <c r="A34" s="22" t="s">
        <v>106</v>
      </c>
      <c r="B34" s="54" t="s">
        <v>110</v>
      </c>
      <c r="C34" s="22" t="s">
        <v>120</v>
      </c>
      <c r="D34" s="24">
        <v>104000</v>
      </c>
      <c r="E34" s="24">
        <f t="shared" si="0"/>
        <v>86997.442002441996</v>
      </c>
      <c r="F34" s="24">
        <f t="array" aca="1" ref="F34" ca="1">IFERROR(
  ROUND(
    _xludf.LET(
      nt,$A34,
      nv,$B34,
      songay,DAY(EOMONTH($C$1,0)),
      doanhthungay,$I34,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4" s="24">
        <f t="array" ref="G34">_xlfn.XLOOKUP(B34,'Dự án T8'!B:B,'Dự án T8'!D:D,0)</f>
        <v>798616.14285714284</v>
      </c>
      <c r="H34" s="24">
        <f t="shared" si="1"/>
        <v>3900000</v>
      </c>
      <c r="I34" s="24">
        <f t="shared" si="2"/>
        <v>2544675.1785714286</v>
      </c>
      <c r="J34" s="63">
        <f t="array" ref="J34">_xlfn.XLOOKUP(B34,'kpi nhà thuốc'!A:A,'kpi nhà thuốc'!F:F,(AD34/DAY($C$1))/U34)</f>
        <v>0.65737442113095246</v>
      </c>
      <c r="K34" s="24" t="e">
        <f t="array" aca="1" ref="K34" ca="1">_xlfn.XLOOKUP(
    B34,
    'kpi nhà thuốc'!A:A,
    'kpi nhà thuốc'!G:G,
    IF(
        AND(
            OR(C34="DSXC",C34="DSCD"),
            G34&gt;=F34),IF(AND(I34&gt;=T34,E34&gt;=D34),AD34*1.5%,IF(AND(I34&gt;=T34,E34&lt;D34),AD34*1.3%,IF(AND(I34&gt;=S34,E34&gt;=D34),AD34*1.3%,IF(AND(I34&gt;=S34,E34&lt;D34),AD34*1.1%,IF(AND(I34&gt;=R34,E34&gt;=D34),AD34*1.2%,IF(AND(I34&gt;=R34,E34&lt;D34),AD34*1%,"")))))),""
    )
)</f>
        <v>#NAME?</v>
      </c>
      <c r="L34" s="65">
        <f t="shared" si="3"/>
        <v>1</v>
      </c>
      <c r="M34" s="24">
        <f t="array" aca="1" ref="M34" ca="1">IFERROR(
  _xlfn.XLOOKUP(
    $A34&amp;$B34,
    'Dự án T8'!$A:$A&amp;'Dự án T8'!$B:$B,
    'Dự án T8'!$M:$M,
    0
  )*$L34,
0)</f>
        <v>0</v>
      </c>
      <c r="N34" s="68" t="e">
        <f t="shared" ca="1" si="4"/>
        <v>#NAME?</v>
      </c>
      <c r="O34" s="24">
        <f t="shared" ref="O34:Q34" si="73">CEILING(R34,100000)</f>
        <v>3100000</v>
      </c>
      <c r="P34" s="24">
        <f t="shared" si="73"/>
        <v>3500000</v>
      </c>
      <c r="Q34" s="24">
        <f t="shared" si="73"/>
        <v>3900000</v>
      </c>
      <c r="R34" s="24">
        <f t="shared" si="6"/>
        <v>3096774.1935483869</v>
      </c>
      <c r="S34" s="24">
        <f t="shared" si="7"/>
        <v>3483870.9677419355</v>
      </c>
      <c r="T34" s="24">
        <f t="shared" si="8"/>
        <v>3870967.7419354836</v>
      </c>
      <c r="U34" s="24">
        <f>V34/DAY('kpi nhà thuốc'!$T$1)</f>
        <v>3870967.7419354836</v>
      </c>
      <c r="V34" s="24">
        <v>120000000</v>
      </c>
      <c r="W34" s="23">
        <f>SUMIF(data!$B:$B,B34,data!$C:$C)</f>
        <v>725</v>
      </c>
      <c r="X34" s="24">
        <f>SUMIF(data!$B:$B,B34,data!$D:$D)</f>
        <v>59614300</v>
      </c>
      <c r="Y34" s="24">
        <f t="shared" si="9"/>
        <v>82226.620689655174</v>
      </c>
      <c r="Z34" s="24">
        <f>SUMIF(data!$B:$B,B34,data!$E:$E)</f>
        <v>94</v>
      </c>
      <c r="AA34" s="24">
        <f>SUMIF(data!$B:$B,B34,data!$F:$F)</f>
        <v>11636605</v>
      </c>
      <c r="AB34" s="24">
        <f t="shared" si="10"/>
        <v>123793.67021276595</v>
      </c>
      <c r="AC34" s="24">
        <f t="shared" ref="AC34:AD34" si="74">W34+Z34</f>
        <v>819</v>
      </c>
      <c r="AD34" s="24">
        <f t="shared" si="74"/>
        <v>71250905</v>
      </c>
      <c r="AE34" s="24">
        <f t="shared" si="12"/>
        <v>86997.442002441996</v>
      </c>
      <c r="AF34" s="50"/>
      <c r="AG34" s="50"/>
      <c r="AH34" s="50"/>
      <c r="AI34" s="50"/>
      <c r="AJ34" s="50"/>
      <c r="AK34" s="50"/>
      <c r="AL34" s="50"/>
    </row>
    <row r="35" spans="1:38" ht="13.8">
      <c r="A35" s="22" t="s">
        <v>106</v>
      </c>
      <c r="B35" s="54" t="s">
        <v>111</v>
      </c>
      <c r="C35" s="22" t="s">
        <v>120</v>
      </c>
      <c r="D35" s="24">
        <v>157000</v>
      </c>
      <c r="E35" s="24">
        <f t="shared" si="0"/>
        <v>88521.209150326802</v>
      </c>
      <c r="F35" s="24">
        <f t="array" aca="1" ref="F35" ca="1">IFERROR(
  ROUND(
    _xludf.LET(
      nt,$A35,
      nv,$B35,
      songay,DAY(EOMONTH($C$1,0)),
      doanhthungay,$I35,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5" s="24">
        <f t="array" ref="G35">_xlfn.XLOOKUP(B35,'Dự án T8'!B:B,'Dự án T8'!D:D,0)</f>
        <v>1047070.1428571428</v>
      </c>
      <c r="H35" s="24">
        <f t="shared" si="1"/>
        <v>3900000</v>
      </c>
      <c r="I35" s="24">
        <f t="shared" si="2"/>
        <v>2902231.0714285714</v>
      </c>
      <c r="J35" s="63">
        <f t="array" ref="J35">_xlfn.XLOOKUP(B35,'kpi nhà thuốc'!A:A,'kpi nhà thuốc'!F:F,(AD35/DAY($C$1))/U35)</f>
        <v>0.74974302678571436</v>
      </c>
      <c r="K35" s="24" t="e">
        <f t="array" aca="1" ref="K35" ca="1">_xlfn.XLOOKUP(
    B35,
    'kpi nhà thuốc'!A:A,
    'kpi nhà thuốc'!G:G,
    IF(
        AND(
            OR(C35="DSXC",C35="DSCD"),
            G35&gt;=F35),IF(AND(I35&gt;=T35,E35&gt;=D35),AD35*1.5%,IF(AND(I35&gt;=T35,E35&lt;D35),AD35*1.3%,IF(AND(I35&gt;=S35,E35&gt;=D35),AD35*1.3%,IF(AND(I35&gt;=S35,E35&lt;D35),AD35*1.1%,IF(AND(I35&gt;=R35,E35&gt;=D35),AD35*1.2%,IF(AND(I35&gt;=R35,E35&lt;D35),AD35*1%,"")))))),""
    )
)</f>
        <v>#NAME?</v>
      </c>
      <c r="L35" s="65">
        <f t="shared" si="3"/>
        <v>1</v>
      </c>
      <c r="M35" s="24">
        <f t="array" aca="1" ref="M35" ca="1">IFERROR(
  _xlfn.XLOOKUP(
    $A35&amp;$B35,
    'Dự án T8'!$A:$A&amp;'Dự án T8'!$B:$B,
    'Dự án T8'!$M:$M,
    0
  )*$L35,
0)</f>
        <v>500000</v>
      </c>
      <c r="N35" s="68" t="e">
        <f t="shared" ca="1" si="4"/>
        <v>#NAME?</v>
      </c>
      <c r="O35" s="24">
        <f t="shared" ref="O35:Q35" si="75">CEILING(R35,100000)</f>
        <v>3100000</v>
      </c>
      <c r="P35" s="24">
        <f t="shared" si="75"/>
        <v>3500000</v>
      </c>
      <c r="Q35" s="24">
        <f t="shared" si="75"/>
        <v>3900000</v>
      </c>
      <c r="R35" s="24">
        <f t="shared" si="6"/>
        <v>3096774.1935483869</v>
      </c>
      <c r="S35" s="24">
        <f t="shared" si="7"/>
        <v>3483870.9677419355</v>
      </c>
      <c r="T35" s="24">
        <f t="shared" si="8"/>
        <v>3870967.7419354836</v>
      </c>
      <c r="U35" s="24">
        <f>V35/DAY('kpi nhà thuốc'!$T$1)</f>
        <v>3870967.7419354836</v>
      </c>
      <c r="V35" s="24">
        <v>120000000</v>
      </c>
      <c r="W35" s="23">
        <f>SUMIF(data!$B:$B,B35,data!$C:$C)</f>
        <v>737</v>
      </c>
      <c r="X35" s="24">
        <f>SUMIF(data!$B:$B,B35,data!$D:$D)</f>
        <v>52913400</v>
      </c>
      <c r="Y35" s="24">
        <f t="shared" si="9"/>
        <v>71795.658073270009</v>
      </c>
      <c r="Z35" s="24">
        <f>SUMIF(data!$B:$B,B35,data!$E:$E)</f>
        <v>181</v>
      </c>
      <c r="AA35" s="24">
        <f>SUMIF(data!$B:$B,B35,data!$F:$F)</f>
        <v>28349070</v>
      </c>
      <c r="AB35" s="24">
        <f t="shared" si="10"/>
        <v>156624.6961325967</v>
      </c>
      <c r="AC35" s="24">
        <f t="shared" ref="AC35:AD35" si="76">W35+Z35</f>
        <v>918</v>
      </c>
      <c r="AD35" s="24">
        <f t="shared" si="76"/>
        <v>81262470</v>
      </c>
      <c r="AE35" s="24">
        <f t="shared" si="12"/>
        <v>88521.209150326802</v>
      </c>
      <c r="AF35" s="50"/>
      <c r="AG35" s="50"/>
      <c r="AH35" s="50"/>
      <c r="AI35" s="50"/>
      <c r="AJ35" s="50"/>
      <c r="AK35" s="50"/>
      <c r="AL35" s="50"/>
    </row>
    <row r="36" spans="1:38" ht="13.8">
      <c r="A36" s="22" t="s">
        <v>106</v>
      </c>
      <c r="B36" s="54" t="s">
        <v>125</v>
      </c>
      <c r="C36" s="22" t="s">
        <v>211</v>
      </c>
      <c r="D36" s="24"/>
      <c r="E36" s="24">
        <f t="shared" si="0"/>
        <v>0</v>
      </c>
      <c r="F36" s="24">
        <f t="array" aca="1" ref="F36" ca="1">IFERROR(
  ROUND(
    _xludf.LET(
      nt,$A36,
      nv,$B36,
      songay,DAY(EOMONTH($C$1,0)),
      doanhthungay,$I36,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6" s="24" t="e">
        <f t="array" ref="G36">_xlfn.XLOOKUP(B36,'Dự án T8'!B:B,'Dự án T8'!D:D,0)</f>
        <v>#N/A</v>
      </c>
      <c r="H36" s="24">
        <f t="shared" si="1"/>
        <v>2300000</v>
      </c>
      <c r="I36" s="24">
        <f t="shared" si="2"/>
        <v>0</v>
      </c>
      <c r="J36" s="63">
        <f t="array" ref="J36">_xlfn.XLOOKUP(B36,'kpi nhà thuốc'!A:A,'kpi nhà thuốc'!F:F,(AD36/DAY($C$1))/U36)</f>
        <v>0</v>
      </c>
      <c r="K36" s="24" t="e">
        <f t="array" aca="1" ref="K36" ca="1">_xlfn.XLOOKUP(
    B36,
    'kpi nhà thuốc'!A:A,
    'kpi nhà thuốc'!G:G,
    IF(
        AND(
            OR(C36="DSXC",C36="DSCD"),
            G36&gt;=F36),IF(AND(I36&gt;=T36,E36&gt;=D36),AD36*1.5%,IF(AND(I36&gt;=T36,E36&lt;D36),AD36*1.3%,IF(AND(I36&gt;=S36,E36&gt;=D36),AD36*1.3%,IF(AND(I36&gt;=S36,E36&lt;D36),AD36*1.1%,IF(AND(I36&gt;=R36,E36&gt;=D36),AD36*1.2%,IF(AND(I36&gt;=R36,E36&lt;D36),AD36*1%,"")))))),""
    )
)</f>
        <v>#N/A</v>
      </c>
      <c r="L36" s="65">
        <f t="shared" si="3"/>
        <v>0.8</v>
      </c>
      <c r="M36" s="24">
        <f t="array" aca="1" ref="M36" ca="1">IFERROR(
  _xlfn.XLOOKUP(
    $A36&amp;$B36,
    'Dự án T8'!$A:$A&amp;'Dự án T8'!$B:$B,
    'Dự án T8'!$M:$M,
    0
  )*$L36,
0)</f>
        <v>0</v>
      </c>
      <c r="N36" s="68" t="e">
        <f t="shared" ca="1" si="4"/>
        <v>#N/A</v>
      </c>
      <c r="O36" s="24">
        <f t="shared" ref="O36:Q36" si="77">CEILING(R36,100000)</f>
        <v>1900000</v>
      </c>
      <c r="P36" s="24">
        <f t="shared" si="77"/>
        <v>2100000</v>
      </c>
      <c r="Q36" s="24">
        <f t="shared" si="77"/>
        <v>2300000</v>
      </c>
      <c r="R36" s="24">
        <f t="shared" si="6"/>
        <v>1806451.6129032259</v>
      </c>
      <c r="S36" s="24">
        <f t="shared" si="7"/>
        <v>2032258.064516129</v>
      </c>
      <c r="T36" s="24">
        <f t="shared" si="8"/>
        <v>2258064.5161290322</v>
      </c>
      <c r="U36" s="24">
        <f>V36/DAY('kpi nhà thuốc'!$T$1)</f>
        <v>2258064.5161290322</v>
      </c>
      <c r="V36" s="24">
        <v>70000000</v>
      </c>
      <c r="W36" s="23">
        <f>SUMIF(data!$B:$B,B36,data!$C:$C)</f>
        <v>0</v>
      </c>
      <c r="X36" s="24">
        <f>SUMIF(data!$B:$B,B36,data!$D:$D)</f>
        <v>0</v>
      </c>
      <c r="Y36" s="24">
        <f t="shared" si="9"/>
        <v>0</v>
      </c>
      <c r="Z36" s="24">
        <f>SUMIF(data!$B:$B,B36,data!$E:$E)</f>
        <v>0</v>
      </c>
      <c r="AA36" s="24">
        <f>SUMIF(data!$B:$B,B36,data!$F:$F)</f>
        <v>0</v>
      </c>
      <c r="AB36" s="24">
        <f t="shared" si="10"/>
        <v>0</v>
      </c>
      <c r="AC36" s="24">
        <f t="shared" ref="AC36:AD36" si="78">W36+Z36</f>
        <v>0</v>
      </c>
      <c r="AD36" s="24">
        <f t="shared" si="78"/>
        <v>0</v>
      </c>
      <c r="AE36" s="24">
        <f t="shared" si="12"/>
        <v>0</v>
      </c>
      <c r="AF36" s="50"/>
      <c r="AG36" s="50"/>
      <c r="AH36" s="50"/>
      <c r="AI36" s="50"/>
      <c r="AJ36" s="50"/>
      <c r="AK36" s="50"/>
      <c r="AL36" s="50"/>
    </row>
    <row r="37" spans="1:38" ht="13.8">
      <c r="A37" s="22" t="s">
        <v>112</v>
      </c>
      <c r="B37" s="54" t="s">
        <v>119</v>
      </c>
      <c r="C37" s="22" t="s">
        <v>120</v>
      </c>
      <c r="D37" s="24">
        <v>170000</v>
      </c>
      <c r="E37" s="24">
        <f t="shared" si="0"/>
        <v>111737.80760626399</v>
      </c>
      <c r="F37" s="24">
        <f t="array" aca="1" ref="F37" ca="1">IFERROR(
  ROUND(
    _xludf.LET(
      nt,$A37,
      nv,$B37,
      songay,DAY(EOMONTH($C$1,0)),
      doanhthungay,$I37,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7" s="24">
        <f t="array" ref="G37">_xlfn.XLOOKUP(B37,'Dự án T8'!B:B,'Dự án T8'!D:D,0)</f>
        <v>473695.10714285716</v>
      </c>
      <c r="H37" s="24">
        <f t="shared" si="1"/>
        <v>4600000</v>
      </c>
      <c r="I37" s="24">
        <f t="shared" si="2"/>
        <v>3567628.5714285714</v>
      </c>
      <c r="J37" s="63">
        <f t="array" ref="J37">_xlfn.XLOOKUP(B37,'kpi nhà thuốc'!A:A,'kpi nhà thuốc'!F:F,(AD37/DAY($C$1))/U37)</f>
        <v>0.78997489795918363</v>
      </c>
      <c r="K37" s="24" t="e">
        <f t="array" aca="1" ref="K37" ca="1">_xlfn.XLOOKUP(
    B37,
    'kpi nhà thuốc'!A:A,
    'kpi nhà thuốc'!G:G,
    IF(
        AND(
            OR(C37="DSXC",C37="DSCD"),
            G37&gt;=F37),IF(AND(I37&gt;=T37,E37&gt;=D37),AD37*1.5%,IF(AND(I37&gt;=T37,E37&lt;D37),AD37*1.3%,IF(AND(I37&gt;=S37,E37&gt;=D37),AD37*1.3%,IF(AND(I37&gt;=S37,E37&lt;D37),AD37*1.1%,IF(AND(I37&gt;=R37,E37&gt;=D37),AD37*1.2%,IF(AND(I37&gt;=R37,E37&lt;D37),AD37*1%,"")))))),""
    )
)</f>
        <v>#NAME?</v>
      </c>
      <c r="L37" s="65">
        <f t="shared" si="3"/>
        <v>1</v>
      </c>
      <c r="M37" s="24">
        <f t="array" aca="1" ref="M37" ca="1">IFERROR(
  _xlfn.XLOOKUP(
    $A37&amp;$B37,
    'Dự án T8'!$A:$A&amp;'Dự án T8'!$B:$B,
    'Dự án T8'!$M:$M,
    0
  )*$L37,
0)</f>
        <v>0</v>
      </c>
      <c r="N37" s="68" t="e">
        <f t="shared" ca="1" si="4"/>
        <v>#NAME?</v>
      </c>
      <c r="O37" s="24">
        <f t="shared" ref="O37:Q37" si="79">CEILING(R37,100000)</f>
        <v>3700000</v>
      </c>
      <c r="P37" s="24">
        <f t="shared" si="79"/>
        <v>4100000</v>
      </c>
      <c r="Q37" s="24">
        <f t="shared" si="79"/>
        <v>4600000</v>
      </c>
      <c r="R37" s="24">
        <f t="shared" si="6"/>
        <v>3612903.2258064519</v>
      </c>
      <c r="S37" s="24">
        <f t="shared" si="7"/>
        <v>4064516.1290322579</v>
      </c>
      <c r="T37" s="24">
        <f t="shared" si="8"/>
        <v>4516129.0322580645</v>
      </c>
      <c r="U37" s="24">
        <f>V37/DAY('kpi nhà thuốc'!$T$1)</f>
        <v>4516129.0322580645</v>
      </c>
      <c r="V37" s="24">
        <v>140000000</v>
      </c>
      <c r="W37" s="23">
        <f>SUMIF(data!$B:$B,B37,data!$C:$C)</f>
        <v>628</v>
      </c>
      <c r="X37" s="24">
        <f>SUMIF(data!$B:$B,B37,data!$D:$D)</f>
        <v>42581600</v>
      </c>
      <c r="Y37" s="24">
        <f t="shared" si="9"/>
        <v>67805.095541401271</v>
      </c>
      <c r="Z37" s="24">
        <f>SUMIF(data!$B:$B,B37,data!$E:$E)</f>
        <v>266</v>
      </c>
      <c r="AA37" s="24">
        <f>SUMIF(data!$B:$B,B37,data!$F:$F)</f>
        <v>57312000</v>
      </c>
      <c r="AB37" s="24">
        <f t="shared" si="10"/>
        <v>215458.64661654134</v>
      </c>
      <c r="AC37" s="24">
        <f t="shared" ref="AC37:AD37" si="80">W37+Z37</f>
        <v>894</v>
      </c>
      <c r="AD37" s="24">
        <f t="shared" si="80"/>
        <v>99893600</v>
      </c>
      <c r="AE37" s="24">
        <f t="shared" si="12"/>
        <v>111737.80760626399</v>
      </c>
      <c r="AF37" s="50"/>
      <c r="AG37" s="50"/>
      <c r="AH37" s="50"/>
      <c r="AI37" s="50"/>
      <c r="AJ37" s="50"/>
      <c r="AK37" s="50"/>
      <c r="AL37" s="50"/>
    </row>
    <row r="38" spans="1:38" ht="13.8">
      <c r="A38" s="22" t="s">
        <v>112</v>
      </c>
      <c r="B38" s="54" t="s">
        <v>115</v>
      </c>
      <c r="C38" s="22" t="s">
        <v>26</v>
      </c>
      <c r="D38" s="24">
        <v>136000</v>
      </c>
      <c r="E38" s="24">
        <f t="shared" si="0"/>
        <v>160849.58217270195</v>
      </c>
      <c r="F38" s="24">
        <f t="array" aca="1" ref="F38" ca="1">IFERROR(
  ROUND(
    _xludf.LET(
      nt,$A38,
      nv,$B38,
      songay,DAY(EOMONTH($C$1,0)),
      doanhthungay,$I38,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8" s="24">
        <f t="array" ref="G38">_xlfn.XLOOKUP(B38,'Dự án T8'!B:B,'Dự án T8'!D:D,0)</f>
        <v>830946.78571428568</v>
      </c>
      <c r="H38" s="24">
        <f t="shared" si="1"/>
        <v>4600000</v>
      </c>
      <c r="I38" s="24">
        <f t="shared" si="2"/>
        <v>4124642.8571428573</v>
      </c>
      <c r="J38" s="63">
        <f t="array" ref="J38">_xlfn.XLOOKUP(B38,'kpi nhà thuốc'!A:A,'kpi nhà thuốc'!F:F,(AD38/DAY($C$1))/U38)</f>
        <v>0.75376330982961992</v>
      </c>
      <c r="K38" s="24">
        <f t="array" aca="1" ref="K38" ca="1">_xlfn.XLOOKUP(
    B38,
    'kpi nhà thuốc'!A:A,
    'kpi nhà thuốc'!G:G,
    IF(
        AND(
            OR(C38="DSXC",C38="DSCD"),
            G38&gt;=F38),IF(AND(I38&gt;=T38,E38&gt;=D38),AD38*1.5%,IF(AND(I38&gt;=T38,E38&lt;D38),AD38*1.3%,IF(AND(I38&gt;=S38,E38&gt;=D38),AD38*1.3%,IF(AND(I38&gt;=S38,E38&lt;D38),AD38*1.1%,IF(AND(I38&gt;=R38,E38&gt;=D38),AD38*1.2%,IF(AND(I38&gt;=R38,E38&lt;D38),AD38*1%,"")))))),""
    )
)</f>
        <v>0</v>
      </c>
      <c r="L38" s="65">
        <f t="shared" si="3"/>
        <v>1</v>
      </c>
      <c r="M38" s="24">
        <f t="array" aca="1" ref="M38" ca="1">IFERROR(
  _xlfn.XLOOKUP(
    $A38&amp;$B38,
    'Dự án T8'!$A:$A&amp;'Dự án T8'!$B:$B,
    'Dự án T8'!$M:$M,
    0
  )*$L38,
0)</f>
        <v>0</v>
      </c>
      <c r="N38" s="68">
        <f t="shared" ca="1" si="4"/>
        <v>0</v>
      </c>
      <c r="O38" s="24">
        <f t="shared" ref="O38:Q38" si="81">CEILING(R38,100000)</f>
        <v>3700000</v>
      </c>
      <c r="P38" s="24">
        <f t="shared" si="81"/>
        <v>4100000</v>
      </c>
      <c r="Q38" s="24">
        <f t="shared" si="81"/>
        <v>4600000</v>
      </c>
      <c r="R38" s="24">
        <f t="shared" si="6"/>
        <v>3612903.2258064519</v>
      </c>
      <c r="S38" s="24">
        <f t="shared" si="7"/>
        <v>4064516.1290322579</v>
      </c>
      <c r="T38" s="24">
        <f t="shared" si="8"/>
        <v>4516129.0322580645</v>
      </c>
      <c r="U38" s="24">
        <f>V38/DAY('kpi nhà thuốc'!$T$1)</f>
        <v>4516129.0322580645</v>
      </c>
      <c r="V38" s="24">
        <v>140000000</v>
      </c>
      <c r="W38" s="23">
        <f>SUMIF(data!$B:$B,B38,data!$C:$C)</f>
        <v>358</v>
      </c>
      <c r="X38" s="24">
        <f>SUMIF(data!$B:$B,B38,data!$D:$D)</f>
        <v>24326100</v>
      </c>
      <c r="Y38" s="24">
        <f t="shared" si="9"/>
        <v>67950</v>
      </c>
      <c r="Z38" s="24">
        <f>SUMIF(data!$B:$B,B38,data!$E:$E)</f>
        <v>360</v>
      </c>
      <c r="AA38" s="24">
        <f>SUMIF(data!$B:$B,B38,data!$F:$F)</f>
        <v>91163900</v>
      </c>
      <c r="AB38" s="24">
        <f t="shared" si="10"/>
        <v>253233.05555555556</v>
      </c>
      <c r="AC38" s="24">
        <f t="shared" ref="AC38:AD38" si="82">W38+Z38</f>
        <v>718</v>
      </c>
      <c r="AD38" s="24">
        <f t="shared" si="82"/>
        <v>115490000</v>
      </c>
      <c r="AE38" s="24">
        <f t="shared" si="12"/>
        <v>160849.58217270195</v>
      </c>
      <c r="AF38" s="50"/>
      <c r="AG38" s="50"/>
      <c r="AH38" s="50"/>
      <c r="AI38" s="50"/>
      <c r="AJ38" s="50"/>
      <c r="AK38" s="50"/>
      <c r="AL38" s="50"/>
    </row>
    <row r="39" spans="1:38" ht="13.8">
      <c r="A39" s="22" t="s">
        <v>112</v>
      </c>
      <c r="B39" s="54" t="s">
        <v>102</v>
      </c>
      <c r="C39" s="22" t="s">
        <v>105</v>
      </c>
      <c r="D39" s="24">
        <v>133000</v>
      </c>
      <c r="E39" s="24">
        <f t="shared" si="0"/>
        <v>91770.871559633029</v>
      </c>
      <c r="F39" s="24">
        <f t="array" aca="1" ref="F39" ca="1">IFERROR(
  ROUND(
    _xludf.LET(
      nt,$A39,
      nv,$B39,
      songay,DAY(EOMONTH($C$1,0)),
      doanhthungay,$I39,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9" s="24">
        <f t="array" ref="G39">_xlfn.XLOOKUP(B39,'Dự án T8'!B:B,'Dự án T8'!D:D,0)</f>
        <v>307081.78571428574</v>
      </c>
      <c r="H39" s="24">
        <f t="shared" si="1"/>
        <v>4100000</v>
      </c>
      <c r="I39" s="24">
        <f t="shared" si="2"/>
        <v>1429003.5714285714</v>
      </c>
      <c r="J39" s="63">
        <f t="array" ref="J39">_xlfn.XLOOKUP(B39,'kpi nhà thuốc'!A:A,'kpi nhà thuốc'!F:F,(AD39/DAY($C$1))/U39)</f>
        <v>0.35439288571428568</v>
      </c>
      <c r="K39" s="24" t="e">
        <f t="array" aca="1" ref="K39" ca="1">_xlfn.XLOOKUP(
    B39,
    'kpi nhà thuốc'!A:A,
    'kpi nhà thuốc'!G:G,
    IF(
        AND(
            OR(C39="DSXC",C39="DSCD"),
            G39&gt;=F39),IF(AND(I39&gt;=T39,E39&gt;=D39),AD39*1.5%,IF(AND(I39&gt;=T39,E39&lt;D39),AD39*1.3%,IF(AND(I39&gt;=S39,E39&gt;=D39),AD39*1.3%,IF(AND(I39&gt;=S39,E39&lt;D39),AD39*1.1%,IF(AND(I39&gt;=R39,E39&gt;=D39),AD39*1.2%,IF(AND(I39&gt;=R39,E39&lt;D39),AD39*1%,"")))))),""
    )
)</f>
        <v>#NAME?</v>
      </c>
      <c r="L39" s="65">
        <f t="shared" si="3"/>
        <v>0.8</v>
      </c>
      <c r="M39" s="24">
        <f t="array" aca="1" ref="M39" ca="1">IFERROR(
  _xlfn.XLOOKUP(
    $A39&amp;$B39,
    'Dự án T8'!$A:$A&amp;'Dự án T8'!$B:$B,
    'Dự án T8'!$M:$M,
    0
  )*$L39,
0)</f>
        <v>0</v>
      </c>
      <c r="N39" s="68" t="e">
        <f t="shared" ca="1" si="4"/>
        <v>#NAME?</v>
      </c>
      <c r="O39" s="24">
        <f t="shared" ref="O39:Q39" si="83">CEILING(R39,100000)</f>
        <v>3300000</v>
      </c>
      <c r="P39" s="24">
        <f t="shared" si="83"/>
        <v>3700000</v>
      </c>
      <c r="Q39" s="24">
        <f t="shared" si="83"/>
        <v>4100000</v>
      </c>
      <c r="R39" s="24">
        <f t="shared" si="6"/>
        <v>3225806.4516129033</v>
      </c>
      <c r="S39" s="24">
        <f t="shared" si="7"/>
        <v>3629032.2580645164</v>
      </c>
      <c r="T39" s="24">
        <f t="shared" si="8"/>
        <v>4032258.064516129</v>
      </c>
      <c r="U39" s="24">
        <f>V39/DAY('kpi nhà thuốc'!$T$1)</f>
        <v>4032258.064516129</v>
      </c>
      <c r="V39" s="24">
        <v>125000000</v>
      </c>
      <c r="W39" s="23">
        <f>SUMIF(data!$B:$B,B39,data!$C:$C)</f>
        <v>277</v>
      </c>
      <c r="X39" s="24">
        <f>SUMIF(data!$B:$B,B39,data!$D:$D)</f>
        <v>15255000</v>
      </c>
      <c r="Y39" s="24">
        <f t="shared" si="9"/>
        <v>55072.202166064984</v>
      </c>
      <c r="Z39" s="24">
        <f>SUMIF(data!$B:$B,B39,data!$E:$E)</f>
        <v>159</v>
      </c>
      <c r="AA39" s="24">
        <f>SUMIF(data!$B:$B,B39,data!$F:$F)</f>
        <v>24757100</v>
      </c>
      <c r="AB39" s="24">
        <f t="shared" si="10"/>
        <v>155705.03144654087</v>
      </c>
      <c r="AC39" s="24">
        <f t="shared" ref="AC39:AD39" si="84">W39+Z39</f>
        <v>436</v>
      </c>
      <c r="AD39" s="24">
        <f t="shared" si="84"/>
        <v>40012100</v>
      </c>
      <c r="AE39" s="24">
        <f t="shared" si="12"/>
        <v>91770.871559633029</v>
      </c>
      <c r="AF39" s="50"/>
      <c r="AG39" s="50"/>
      <c r="AH39" s="50"/>
      <c r="AI39" s="50"/>
      <c r="AJ39" s="50"/>
      <c r="AK39" s="50"/>
      <c r="AL39" s="50"/>
    </row>
    <row r="40" spans="1:38" ht="13.8">
      <c r="A40" s="22" t="s">
        <v>112</v>
      </c>
      <c r="B40" s="54" t="s">
        <v>113</v>
      </c>
      <c r="C40" s="22" t="s">
        <v>120</v>
      </c>
      <c r="D40" s="24">
        <v>104000</v>
      </c>
      <c r="E40" s="24">
        <f t="shared" si="0"/>
        <v>112073.45892661555</v>
      </c>
      <c r="F40" s="24">
        <f t="array" aca="1" ref="F40" ca="1">IFERROR(
  ROUND(
    _xludf.LET(
      nt,$A40,
      nv,$B40,
      songay,DAY(EOMONTH($C$1,0)),
      doanhthungay,$I40,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0" s="24">
        <f t="array" ref="G40">_xlfn.XLOOKUP(B40,'Dự án T8'!B:B,'Dự án T8'!D:D,0)</f>
        <v>998594.17857142852</v>
      </c>
      <c r="H40" s="24">
        <f t="shared" si="1"/>
        <v>4600000</v>
      </c>
      <c r="I40" s="24">
        <f t="shared" si="2"/>
        <v>3654395.2857142859</v>
      </c>
      <c r="J40" s="63">
        <f t="array" ref="J40">_xlfn.XLOOKUP(B40,'kpi nhà thuốc'!A:A,'kpi nhà thuốc'!F:F,(AD40/DAY($C$1))/U40)</f>
        <v>0.80918752755102041</v>
      </c>
      <c r="K40" s="24" t="e">
        <f t="array" aca="1" ref="K40" ca="1">_xlfn.XLOOKUP(
    B40,
    'kpi nhà thuốc'!A:A,
    'kpi nhà thuốc'!G:G,
    IF(
        AND(
            OR(C40="DSXC",C40="DSCD"),
            G40&gt;=F40),IF(AND(I40&gt;=T40,E40&gt;=D40),AD40*1.5%,IF(AND(I40&gt;=T40,E40&lt;D40),AD40*1.3%,IF(AND(I40&gt;=S40,E40&gt;=D40),AD40*1.3%,IF(AND(I40&gt;=S40,E40&lt;D40),AD40*1.1%,IF(AND(I40&gt;=R40,E40&gt;=D40),AD40*1.2%,IF(AND(I40&gt;=R40,E40&lt;D40),AD40*1%,"")))))),""
    )
)</f>
        <v>#NAME?</v>
      </c>
      <c r="L40" s="65">
        <f t="shared" si="3"/>
        <v>1</v>
      </c>
      <c r="M40" s="24">
        <f t="array" aca="1" ref="M40" ca="1">IFERROR(
  _xlfn.XLOOKUP(
    $A40&amp;$B40,
    'Dự án T8'!$A:$A&amp;'Dự án T8'!$B:$B,
    'Dự án T8'!$M:$M,
    0
  )*$L40,
0)</f>
        <v>500000</v>
      </c>
      <c r="N40" s="68" t="e">
        <f t="shared" ca="1" si="4"/>
        <v>#NAME?</v>
      </c>
      <c r="O40" s="24">
        <f t="shared" ref="O40:Q40" si="85">CEILING(R40,100000)</f>
        <v>3700000</v>
      </c>
      <c r="P40" s="24">
        <f t="shared" si="85"/>
        <v>4100000</v>
      </c>
      <c r="Q40" s="24">
        <f t="shared" si="85"/>
        <v>4600000</v>
      </c>
      <c r="R40" s="24">
        <f t="shared" si="6"/>
        <v>3612903.2258064519</v>
      </c>
      <c r="S40" s="24">
        <f t="shared" si="7"/>
        <v>4064516.1290322579</v>
      </c>
      <c r="T40" s="24">
        <f t="shared" si="8"/>
        <v>4516129.0322580645</v>
      </c>
      <c r="U40" s="24">
        <f>V40/DAY('kpi nhà thuốc'!$T$1)</f>
        <v>4516129.0322580645</v>
      </c>
      <c r="V40" s="24">
        <v>140000000</v>
      </c>
      <c r="W40" s="23">
        <f>SUMIF(data!$B:$B,B40,data!$C:$C)</f>
        <v>604</v>
      </c>
      <c r="X40" s="24">
        <f>SUMIF(data!$B:$B,B40,data!$D:$D)</f>
        <v>41724300</v>
      </c>
      <c r="Y40" s="24">
        <f t="shared" si="9"/>
        <v>69079.96688741722</v>
      </c>
      <c r="Z40" s="24">
        <f>SUMIF(data!$B:$B,B40,data!$E:$E)</f>
        <v>309</v>
      </c>
      <c r="AA40" s="24">
        <f>SUMIF(data!$B:$B,B40,data!$F:$F)</f>
        <v>60598768</v>
      </c>
      <c r="AB40" s="24">
        <f t="shared" si="10"/>
        <v>196112.51779935276</v>
      </c>
      <c r="AC40" s="24">
        <f t="shared" ref="AC40:AD40" si="86">W40+Z40</f>
        <v>913</v>
      </c>
      <c r="AD40" s="24">
        <f t="shared" si="86"/>
        <v>102323068</v>
      </c>
      <c r="AE40" s="24">
        <f t="shared" si="12"/>
        <v>112073.45892661555</v>
      </c>
      <c r="AF40" s="50"/>
      <c r="AG40" s="50"/>
      <c r="AH40" s="50"/>
      <c r="AI40" s="50"/>
      <c r="AJ40" s="50"/>
      <c r="AK40" s="50"/>
      <c r="AL40" s="50"/>
    </row>
    <row r="41" spans="1:38" ht="13.8">
      <c r="A41" s="22" t="s">
        <v>112</v>
      </c>
      <c r="B41" s="54" t="s">
        <v>212</v>
      </c>
      <c r="C41" s="22" t="s">
        <v>132</v>
      </c>
      <c r="D41" s="24">
        <v>104000</v>
      </c>
      <c r="E41" s="24">
        <f t="shared" si="0"/>
        <v>0</v>
      </c>
      <c r="F41" s="24">
        <f t="array" aca="1" ref="F41" ca="1">IFERROR(
  ROUND(
    _xludf.LET(
      nt,$A41,
      nv,$B41,
      songay,DAY(EOMONTH($C$1,0)),
      doanhthungay,$I41,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1" s="24">
        <f t="array" ref="G41">_xlfn.XLOOKUP(B41,'Dự án T8'!B:B,'Dự án T8'!D:D,0)</f>
        <v>0</v>
      </c>
      <c r="H41" s="24">
        <f t="shared" si="1"/>
        <v>2300000</v>
      </c>
      <c r="I41" s="24">
        <f t="shared" si="2"/>
        <v>0</v>
      </c>
      <c r="J41" s="63">
        <f t="array" ref="J41">_xlfn.XLOOKUP(B41,'kpi nhà thuốc'!A:A,'kpi nhà thuốc'!F:F,(AD41/DAY($C$1))/U41)</f>
        <v>0</v>
      </c>
      <c r="K41" s="24" t="str">
        <f t="array" aca="1" ref="K41" ca="1">_xlfn.XLOOKUP(
    B41,
    'kpi nhà thuốc'!A:A,
    'kpi nhà thuốc'!G:G,
    IF(
        AND(
            OR(C41="DSXC",C41="DSCD"),
            G41&gt;=F41),IF(AND(I41&gt;=T41,E41&gt;=D41),AD41*1.5%,IF(AND(I41&gt;=T41,E41&lt;D41),AD41*1.3%,IF(AND(I41&gt;=S41,E41&gt;=D41),AD41*1.3%,IF(AND(I41&gt;=S41,E41&lt;D41),AD41*1.1%,IF(AND(I41&gt;=R41,E41&gt;=D41),AD41*1.2%,IF(AND(I41&gt;=R41,E41&lt;D41),AD41*1%,"")))))),""
    )
)</f>
        <v/>
      </c>
      <c r="L41" s="65">
        <f t="shared" si="3"/>
        <v>0.8</v>
      </c>
      <c r="M41" s="24">
        <f t="array" ref="M41">IFERROR(
  _xlfn.XLOOKUP(
    $A41&amp;$B41,
    'Dự án T8'!$A:$A&amp;'Dự án T8'!$B:$B,
    'Dự án T8'!$M:$M,
    0
  )*$L41,
0)</f>
        <v>0</v>
      </c>
      <c r="N41" s="68" t="e">
        <f t="shared" ca="1" si="4"/>
        <v>#VALUE!</v>
      </c>
      <c r="O41" s="24">
        <f t="shared" ref="O41:Q41" si="87">CEILING(R41,100000)</f>
        <v>1900000</v>
      </c>
      <c r="P41" s="24">
        <f t="shared" si="87"/>
        <v>2100000</v>
      </c>
      <c r="Q41" s="24">
        <f t="shared" si="87"/>
        <v>2300000</v>
      </c>
      <c r="R41" s="24">
        <f t="shared" si="6"/>
        <v>1806451.6129032259</v>
      </c>
      <c r="S41" s="24">
        <f t="shared" si="7"/>
        <v>2032258.064516129</v>
      </c>
      <c r="T41" s="24">
        <f t="shared" si="8"/>
        <v>2258064.5161290322</v>
      </c>
      <c r="U41" s="24">
        <f>V41/DAY('kpi nhà thuốc'!$T$1)</f>
        <v>2258064.5161290322</v>
      </c>
      <c r="V41" s="24">
        <v>70000000</v>
      </c>
      <c r="W41" s="23">
        <f>SUMIF(data!$B:$B,B41,data!$C:$C)</f>
        <v>0</v>
      </c>
      <c r="X41" s="24">
        <f>SUMIF(data!$B:$B,B41,data!$D:$D)</f>
        <v>0</v>
      </c>
      <c r="Y41" s="24">
        <f t="shared" si="9"/>
        <v>0</v>
      </c>
      <c r="Z41" s="24">
        <f>SUMIF(data!$B:$B,B41,data!$E:$E)</f>
        <v>0</v>
      </c>
      <c r="AA41" s="24">
        <f>SUMIF(data!$B:$B,B41,data!$F:$F)</f>
        <v>0</v>
      </c>
      <c r="AB41" s="24">
        <f t="shared" si="10"/>
        <v>0</v>
      </c>
      <c r="AC41" s="24">
        <f t="shared" ref="AC41:AD41" si="88">W41+Z41</f>
        <v>0</v>
      </c>
      <c r="AD41" s="24">
        <f t="shared" si="88"/>
        <v>0</v>
      </c>
      <c r="AE41" s="24">
        <f t="shared" si="12"/>
        <v>0</v>
      </c>
      <c r="AF41" s="50"/>
      <c r="AG41" s="50"/>
      <c r="AH41" s="50"/>
      <c r="AI41" s="50"/>
      <c r="AJ41" s="50"/>
      <c r="AK41" s="50"/>
      <c r="AL41" s="50"/>
    </row>
    <row r="42" spans="1:38" ht="13.8">
      <c r="A42" s="22" t="s">
        <v>118</v>
      </c>
      <c r="B42" s="54" t="s">
        <v>121</v>
      </c>
      <c r="C42" s="22" t="s">
        <v>120</v>
      </c>
      <c r="D42" s="24">
        <v>115000</v>
      </c>
      <c r="E42" s="24">
        <f t="shared" si="0"/>
        <v>70257.338308457707</v>
      </c>
      <c r="F42" s="24">
        <f t="array" aca="1" ref="F42" ca="1">IFERROR(
  ROUND(
    _xludf.LET(
      nt,$A42,
      nv,$B42,
      songay,DAY(EOMONTH($C$1,0)),
      doanhthungay,$I42,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2" s="24">
        <f t="array" ref="G42">_xlfn.XLOOKUP(B42,'Dự án T8'!B:B,'Dự án T8'!D:D,0)</f>
        <v>976473.67857142852</v>
      </c>
      <c r="H42" s="24">
        <f t="shared" si="1"/>
        <v>3300000</v>
      </c>
      <c r="I42" s="24">
        <f t="shared" si="2"/>
        <v>2017389.2857142857</v>
      </c>
      <c r="J42" s="63">
        <f t="array" ref="J42">_xlfn.XLOOKUP(B42,'kpi nhà thuốc'!A:A,'kpi nhà thuốc'!F:F,(AD42/DAY($C$1))/U42)</f>
        <v>0.6253906785714286</v>
      </c>
      <c r="K42" s="24" t="e">
        <f t="array" aca="1" ref="K42" ca="1">_xlfn.XLOOKUP(
    B42,
    'kpi nhà thuốc'!A:A,
    'kpi nhà thuốc'!G:G,
    IF(
        AND(
            OR(C42="DSXC",C42="DSCD"),
            G42&gt;=F42),IF(AND(I42&gt;=T42,E42&gt;=D42),AD42*1.5%,IF(AND(I42&gt;=T42,E42&lt;D42),AD42*1.3%,IF(AND(I42&gt;=S42,E42&gt;=D42),AD42*1.3%,IF(AND(I42&gt;=S42,E42&lt;D42),AD42*1.1%,IF(AND(I42&gt;=R42,E42&gt;=D42),AD42*1.2%,IF(AND(I42&gt;=R42,E42&lt;D42),AD42*1%,"")))))),""
    )
)</f>
        <v>#NAME?</v>
      </c>
      <c r="L42" s="65">
        <f t="shared" si="3"/>
        <v>1</v>
      </c>
      <c r="M42" s="24">
        <f t="array" aca="1" ref="M42" ca="1">IFERROR(
  _xlfn.XLOOKUP(
    $A42&amp;$B42,
    'Dự án T8'!$A:$A&amp;'Dự án T8'!$B:$B,
    'Dự án T8'!$M:$M,
    0
  )*$L42,
0)</f>
        <v>500000</v>
      </c>
      <c r="N42" s="68" t="e">
        <f t="shared" ca="1" si="4"/>
        <v>#NAME?</v>
      </c>
      <c r="O42" s="24">
        <f t="shared" ref="O42:Q42" si="89">CEILING(R42,100000)</f>
        <v>2600000</v>
      </c>
      <c r="P42" s="24">
        <f t="shared" si="89"/>
        <v>3000000</v>
      </c>
      <c r="Q42" s="24">
        <f t="shared" si="89"/>
        <v>3300000</v>
      </c>
      <c r="R42" s="24">
        <f t="shared" si="6"/>
        <v>2580645.1612903229</v>
      </c>
      <c r="S42" s="24">
        <f t="shared" si="7"/>
        <v>2903225.8064516131</v>
      </c>
      <c r="T42" s="24">
        <f t="shared" si="8"/>
        <v>3225806.4516129033</v>
      </c>
      <c r="U42" s="24">
        <f>V42/DAY('kpi nhà thuốc'!$T$1)</f>
        <v>3225806.4516129033</v>
      </c>
      <c r="V42" s="24">
        <v>100000000</v>
      </c>
      <c r="W42" s="23">
        <f>SUMIF(data!$B:$B,B42,data!$C:$C)</f>
        <v>701</v>
      </c>
      <c r="X42" s="24">
        <f>SUMIF(data!$B:$B,B42,data!$D:$D)</f>
        <v>46905800</v>
      </c>
      <c r="Y42" s="24">
        <f t="shared" si="9"/>
        <v>66912.696148359493</v>
      </c>
      <c r="Z42" s="24">
        <f>SUMIF(data!$B:$B,B42,data!$E:$E)</f>
        <v>103</v>
      </c>
      <c r="AA42" s="24">
        <f>SUMIF(data!$B:$B,B42,data!$F:$F)</f>
        <v>9581100</v>
      </c>
      <c r="AB42" s="24">
        <f t="shared" si="10"/>
        <v>93020.388349514556</v>
      </c>
      <c r="AC42" s="24">
        <f t="shared" ref="AC42:AD42" si="90">W42+Z42</f>
        <v>804</v>
      </c>
      <c r="AD42" s="24">
        <f t="shared" si="90"/>
        <v>56486900</v>
      </c>
      <c r="AE42" s="24">
        <f t="shared" si="12"/>
        <v>70257.338308457707</v>
      </c>
      <c r="AF42" s="50"/>
      <c r="AG42" s="50"/>
      <c r="AH42" s="50"/>
      <c r="AI42" s="50"/>
      <c r="AJ42" s="50"/>
      <c r="AK42" s="50"/>
      <c r="AL42" s="50"/>
    </row>
    <row r="43" spans="1:38" ht="13.8">
      <c r="A43" s="22" t="s">
        <v>118</v>
      </c>
      <c r="B43" s="54" t="s">
        <v>117</v>
      </c>
      <c r="C43" s="22" t="s">
        <v>26</v>
      </c>
      <c r="D43" s="24">
        <v>102000</v>
      </c>
      <c r="E43" s="24">
        <f t="shared" si="0"/>
        <v>89834.672304439751</v>
      </c>
      <c r="F43" s="24">
        <f t="array" aca="1" ref="F43" ca="1">IFERROR(
  ROUND(
    _xludf.LET(
      nt,$A43,
      nv,$B43,
      songay,DAY(EOMONTH($C$1,0)),
      doanhthungay,$I43,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3" s="24">
        <f t="array" ref="G43">_xlfn.XLOOKUP(B43,'Dự án T8'!B:B,'Dự án T8'!D:D,0)</f>
        <v>724898.35714285716</v>
      </c>
      <c r="H43" s="24">
        <f t="shared" si="1"/>
        <v>3300000</v>
      </c>
      <c r="I43" s="24">
        <f t="shared" si="2"/>
        <v>1517564.2857142857</v>
      </c>
      <c r="J43" s="63">
        <f t="array" ref="J43">_xlfn.XLOOKUP(B43,'kpi nhà thuốc'!A:A,'kpi nhà thuốc'!F:F,(AD43/DAY($C$1))/U43)</f>
        <v>0.69509348660714287</v>
      </c>
      <c r="K43" s="24">
        <f t="array" aca="1" ref="K43" ca="1">_xlfn.XLOOKUP(
    B43,
    'kpi nhà thuốc'!A:A,
    'kpi nhà thuốc'!G:G,
    IF(
        AND(
            OR(C43="DSXC",C43="DSCD"),
            G43&gt;=F43),IF(AND(I43&gt;=T43,E43&gt;=D43),AD43*1.5%,IF(AND(I43&gt;=T43,E43&lt;D43),AD43*1.3%,IF(AND(I43&gt;=S43,E43&gt;=D43),AD43*1.3%,IF(AND(I43&gt;=S43,E43&lt;D43),AD43*1.1%,IF(AND(I43&gt;=R43,E43&gt;=D43),AD43*1.2%,IF(AND(I43&gt;=R43,E43&lt;D43),AD43*1%,"")))))),""
    )
)</f>
        <v>0</v>
      </c>
      <c r="L43" s="65">
        <f t="shared" si="3"/>
        <v>1</v>
      </c>
      <c r="M43" s="24">
        <f t="array" aca="1" ref="M43" ca="1">IFERROR(
  _xlfn.XLOOKUP(
    $A43&amp;$B43,
    'Dự án T8'!$A:$A&amp;'Dự án T8'!$B:$B,
    'Dự án T8'!$M:$M,
    0
  )*$L43,
0)</f>
        <v>0</v>
      </c>
      <c r="N43" s="68">
        <f t="shared" ca="1" si="4"/>
        <v>0</v>
      </c>
      <c r="O43" s="24">
        <f t="shared" ref="O43:Q43" si="91">CEILING(R43,100000)</f>
        <v>2600000</v>
      </c>
      <c r="P43" s="24">
        <f t="shared" si="91"/>
        <v>3000000</v>
      </c>
      <c r="Q43" s="24">
        <f t="shared" si="91"/>
        <v>3300000</v>
      </c>
      <c r="R43" s="24">
        <f t="shared" si="6"/>
        <v>2580645.1612903229</v>
      </c>
      <c r="S43" s="24">
        <f t="shared" si="7"/>
        <v>2903225.8064516131</v>
      </c>
      <c r="T43" s="24">
        <f t="shared" si="8"/>
        <v>3225806.4516129033</v>
      </c>
      <c r="U43" s="24">
        <f>V43/DAY('kpi nhà thuốc'!$T$1)</f>
        <v>3225806.4516129033</v>
      </c>
      <c r="V43" s="24">
        <v>100000000</v>
      </c>
      <c r="W43" s="23">
        <f>SUMIF(data!$B:$B,B43,data!$C:$C)</f>
        <v>374</v>
      </c>
      <c r="X43" s="24">
        <f>SUMIF(data!$B:$B,B43,data!$D:$D)</f>
        <v>25419450</v>
      </c>
      <c r="Y43" s="24">
        <f t="shared" si="9"/>
        <v>67966.443850267373</v>
      </c>
      <c r="Z43" s="24">
        <f>SUMIF(data!$B:$B,B43,data!$E:$E)</f>
        <v>99</v>
      </c>
      <c r="AA43" s="24">
        <f>SUMIF(data!$B:$B,B43,data!$F:$F)</f>
        <v>17072350</v>
      </c>
      <c r="AB43" s="24">
        <f t="shared" si="10"/>
        <v>172447.97979797979</v>
      </c>
      <c r="AC43" s="24">
        <f t="shared" ref="AC43:AD43" si="92">W43+Z43</f>
        <v>473</v>
      </c>
      <c r="AD43" s="24">
        <f t="shared" si="92"/>
        <v>42491800</v>
      </c>
      <c r="AE43" s="24">
        <f t="shared" si="12"/>
        <v>89834.672304439751</v>
      </c>
      <c r="AF43" s="50"/>
      <c r="AG43" s="50"/>
      <c r="AH43" s="50"/>
      <c r="AI43" s="50"/>
      <c r="AJ43" s="50"/>
      <c r="AK43" s="50"/>
      <c r="AL43" s="50"/>
    </row>
    <row r="44" spans="1:38" ht="13.8">
      <c r="A44" s="22" t="s">
        <v>118</v>
      </c>
      <c r="B44" s="54" t="s">
        <v>123</v>
      </c>
      <c r="C44" s="22" t="s">
        <v>120</v>
      </c>
      <c r="D44" s="24">
        <v>107000</v>
      </c>
      <c r="E44" s="24">
        <f t="shared" si="0"/>
        <v>76262.281508739645</v>
      </c>
      <c r="F44" s="24">
        <f t="array" aca="1" ref="F44" ca="1">IFERROR(
  ROUND(
    _xludf.LET(
      nt,$A44,
      nv,$B44,
      songay,DAY(EOMONTH($C$1,0)),
      doanhthungay,$I44,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4" s="24">
        <f t="array" ref="G44">_xlfn.XLOOKUP(B44,'Dự án T8'!B:B,'Dự án T8'!D:D,0)</f>
        <v>1323659.0714285714</v>
      </c>
      <c r="H44" s="24">
        <f t="shared" si="1"/>
        <v>3300000</v>
      </c>
      <c r="I44" s="24">
        <f t="shared" si="2"/>
        <v>2960610.7142857141</v>
      </c>
      <c r="J44" s="63">
        <f t="array" ref="J44">_xlfn.XLOOKUP(B44,'kpi nhà thuốc'!A:A,'kpi nhà thuốc'!F:F,(AD44/DAY($C$1))/U44)</f>
        <v>0.91778932142857139</v>
      </c>
      <c r="K44" s="24" t="e">
        <f t="array" aca="1" ref="K44" ca="1">_xlfn.XLOOKUP(
    B44,
    'kpi nhà thuốc'!A:A,
    'kpi nhà thuốc'!G:G,
    IF(
        AND(
            OR(C44="DSXC",C44="DSCD"),
            G44&gt;=F44),IF(AND(I44&gt;=T44,E44&gt;=D44),AD44*1.5%,IF(AND(I44&gt;=T44,E44&lt;D44),AD44*1.3%,IF(AND(I44&gt;=S44,E44&gt;=D44),AD44*1.3%,IF(AND(I44&gt;=S44,E44&lt;D44),AD44*1.1%,IF(AND(I44&gt;=R44,E44&gt;=D44),AD44*1.2%,IF(AND(I44&gt;=R44,E44&lt;D44),AD44*1%,"")))))),""
    )
)</f>
        <v>#NAME?</v>
      </c>
      <c r="L44" s="65">
        <f t="shared" si="3"/>
        <v>1</v>
      </c>
      <c r="M44" s="24">
        <f t="array" aca="1" ref="M44" ca="1">IFERROR(
  _xlfn.XLOOKUP(
    $A44&amp;$B44,
    'Dự án T8'!$A:$A&amp;'Dự án T8'!$B:$B,
    'Dự án T8'!$M:$M,
    0
  )*$L44,
0)</f>
        <v>500000</v>
      </c>
      <c r="N44" s="68" t="e">
        <f t="shared" ca="1" si="4"/>
        <v>#NAME?</v>
      </c>
      <c r="O44" s="24">
        <f t="shared" ref="O44:Q44" si="93">CEILING(R44,100000)</f>
        <v>2600000</v>
      </c>
      <c r="P44" s="24">
        <f t="shared" si="93"/>
        <v>3000000</v>
      </c>
      <c r="Q44" s="24">
        <f t="shared" si="93"/>
        <v>3300000</v>
      </c>
      <c r="R44" s="24">
        <f t="shared" si="6"/>
        <v>2580645.1612903229</v>
      </c>
      <c r="S44" s="24">
        <f t="shared" si="7"/>
        <v>2903225.8064516131</v>
      </c>
      <c r="T44" s="24">
        <f t="shared" si="8"/>
        <v>3225806.4516129033</v>
      </c>
      <c r="U44" s="24">
        <f>V44/DAY('kpi nhà thuốc'!$T$1)</f>
        <v>3225806.4516129033</v>
      </c>
      <c r="V44" s="24">
        <v>100000000</v>
      </c>
      <c r="W44" s="23">
        <f>SUMIF(data!$B:$B,B44,data!$C:$C)</f>
        <v>898</v>
      </c>
      <c r="X44" s="24">
        <f>SUMIF(data!$B:$B,B44,data!$D:$D)</f>
        <v>56292400</v>
      </c>
      <c r="Y44" s="24">
        <f t="shared" si="9"/>
        <v>62686.41425389755</v>
      </c>
      <c r="Z44" s="24">
        <f>SUMIF(data!$B:$B,B44,data!$E:$E)</f>
        <v>189</v>
      </c>
      <c r="AA44" s="24">
        <f>SUMIF(data!$B:$B,B44,data!$F:$F)</f>
        <v>26604700</v>
      </c>
      <c r="AB44" s="24">
        <f t="shared" si="10"/>
        <v>140765.60846560847</v>
      </c>
      <c r="AC44" s="24">
        <f t="shared" ref="AC44:AD44" si="94">W44+Z44</f>
        <v>1087</v>
      </c>
      <c r="AD44" s="24">
        <f t="shared" si="94"/>
        <v>82897100</v>
      </c>
      <c r="AE44" s="24">
        <f t="shared" si="12"/>
        <v>76262.281508739645</v>
      </c>
      <c r="AF44" s="50"/>
      <c r="AG44" s="50"/>
      <c r="AH44" s="50"/>
      <c r="AI44" s="50"/>
      <c r="AJ44" s="50"/>
      <c r="AK44" s="50"/>
      <c r="AL44" s="50"/>
    </row>
    <row r="45" spans="1:38" ht="13.8">
      <c r="A45" s="22" t="s">
        <v>118</v>
      </c>
      <c r="B45" s="54" t="s">
        <v>122</v>
      </c>
      <c r="C45" s="22" t="s">
        <v>105</v>
      </c>
      <c r="D45" s="24">
        <v>105000</v>
      </c>
      <c r="E45" s="24">
        <f t="shared" si="0"/>
        <v>81136.282660332537</v>
      </c>
      <c r="F45" s="24">
        <f t="array" aca="1" ref="F45" ca="1">IFERROR(
  ROUND(
    _xludf.LET(
      nt,$A45,
      nv,$B45,
      songay,DAY(EOMONTH($C$1,0)),
      doanhthungay,$I45,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5" s="24">
        <f t="array" ref="G45">_xlfn.XLOOKUP(B45,'Dự án T8'!B:B,'Dự án T8'!D:D,0)</f>
        <v>958433.85714285716</v>
      </c>
      <c r="H45" s="24">
        <f t="shared" si="1"/>
        <v>3300000</v>
      </c>
      <c r="I45" s="24">
        <f t="shared" si="2"/>
        <v>2439883.9285714286</v>
      </c>
      <c r="J45" s="63">
        <f t="array" ref="J45">_xlfn.XLOOKUP(B45,'kpi nhà thuốc'!A:A,'kpi nhà thuốc'!F:F,(AD45/DAY($C$1))/U45)</f>
        <v>0.75636401785714291</v>
      </c>
      <c r="K45" s="24" t="e">
        <f t="array" aca="1" ref="K45" ca="1">_xlfn.XLOOKUP(
    B45,
    'kpi nhà thuốc'!A:A,
    'kpi nhà thuốc'!G:G,
    IF(
        AND(
            OR(C45="DSXC",C45="DSCD"),
            G45&gt;=F45),IF(AND(I45&gt;=T45,E45&gt;=D45),AD45*1.5%,IF(AND(I45&gt;=T45,E45&lt;D45),AD45*1.3%,IF(AND(I45&gt;=S45,E45&gt;=D45),AD45*1.3%,IF(AND(I45&gt;=S45,E45&lt;D45),AD45*1.1%,IF(AND(I45&gt;=R45,E45&gt;=D45),AD45*1.2%,IF(AND(I45&gt;=R45,E45&lt;D45),AD45*1%,"")))))),""
    )
)</f>
        <v>#NAME?</v>
      </c>
      <c r="L45" s="65">
        <f t="shared" si="3"/>
        <v>1</v>
      </c>
      <c r="M45" s="24">
        <f t="array" aca="1" ref="M45" ca="1">IFERROR(
  _xlfn.XLOOKUP(
    $A45&amp;$B45,
    'Dự án T8'!$A:$A&amp;'Dự án T8'!$B:$B,
    'Dự án T8'!$M:$M,
    0
  )*$L45,
0)</f>
        <v>500000</v>
      </c>
      <c r="N45" s="68" t="e">
        <f t="shared" ca="1" si="4"/>
        <v>#NAME?</v>
      </c>
      <c r="O45" s="24">
        <f t="shared" ref="O45:Q45" si="95">CEILING(R45,100000)</f>
        <v>2600000</v>
      </c>
      <c r="P45" s="24">
        <f t="shared" si="95"/>
        <v>3000000</v>
      </c>
      <c r="Q45" s="24">
        <f t="shared" si="95"/>
        <v>3300000</v>
      </c>
      <c r="R45" s="24">
        <f t="shared" si="6"/>
        <v>2580645.1612903229</v>
      </c>
      <c r="S45" s="24">
        <f t="shared" si="7"/>
        <v>2903225.8064516131</v>
      </c>
      <c r="T45" s="24">
        <f t="shared" si="8"/>
        <v>3225806.4516129033</v>
      </c>
      <c r="U45" s="24">
        <f>V45/DAY('kpi nhà thuốc'!$T$1)</f>
        <v>3225806.4516129033</v>
      </c>
      <c r="V45" s="24">
        <v>100000000</v>
      </c>
      <c r="W45" s="23">
        <f>SUMIF(data!$B:$B,B45,data!$C:$C)</f>
        <v>716</v>
      </c>
      <c r="X45" s="24">
        <f>SUMIF(data!$B:$B,B45,data!$D:$D)</f>
        <v>49789250</v>
      </c>
      <c r="Y45" s="24">
        <f t="shared" si="9"/>
        <v>69538.058659217873</v>
      </c>
      <c r="Z45" s="24">
        <f>SUMIF(data!$B:$B,B45,data!$E:$E)</f>
        <v>126</v>
      </c>
      <c r="AA45" s="24">
        <f>SUMIF(data!$B:$B,B45,data!$F:$F)</f>
        <v>18527500</v>
      </c>
      <c r="AB45" s="24">
        <f t="shared" si="10"/>
        <v>147043.6507936508</v>
      </c>
      <c r="AC45" s="24">
        <f t="shared" ref="AC45:AD45" si="96">W45+Z45</f>
        <v>842</v>
      </c>
      <c r="AD45" s="24">
        <f t="shared" si="96"/>
        <v>68316750</v>
      </c>
      <c r="AE45" s="24">
        <f t="shared" si="12"/>
        <v>81136.282660332537</v>
      </c>
      <c r="AF45" s="50"/>
      <c r="AG45" s="50"/>
      <c r="AH45" s="50"/>
      <c r="AI45" s="50"/>
      <c r="AJ45" s="50"/>
      <c r="AK45" s="50"/>
      <c r="AL45" s="50"/>
    </row>
    <row r="46" spans="1:38" ht="13.8">
      <c r="A46" s="22" t="s">
        <v>124</v>
      </c>
      <c r="B46" s="54" t="s">
        <v>114</v>
      </c>
      <c r="C46" s="22" t="s">
        <v>26</v>
      </c>
      <c r="D46" s="24">
        <v>120000</v>
      </c>
      <c r="E46" s="24">
        <f t="shared" si="0"/>
        <v>218417.03703703705</v>
      </c>
      <c r="F46" s="24">
        <f t="array" aca="1" ref="F46" ca="1">IFERROR(
  ROUND(
    _xludf.LET(
      nt,$A46,
      nv,$B46,
      songay,DAY(EOMONTH($C$1,0)),
      doanhthungay,$I46,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6" s="24">
        <f t="array" ref="G46">_xlfn.XLOOKUP(B46,'Dự án T8'!B:B,'Dự án T8'!D:D,0)</f>
        <v>611955.07142857148</v>
      </c>
      <c r="H46" s="24">
        <f t="shared" si="1"/>
        <v>4600000</v>
      </c>
      <c r="I46" s="24">
        <f t="shared" si="2"/>
        <v>3159246.4285714286</v>
      </c>
      <c r="J46" s="63">
        <f t="array" ref="J46">_xlfn.XLOOKUP(B46,'kpi nhà thuốc'!A:A,'kpi nhà thuốc'!F:F,(AD46/DAY($C$1))/U46)</f>
        <v>0.79741463435374149</v>
      </c>
      <c r="K46" s="24">
        <f t="array" aca="1" ref="K46" ca="1">_xlfn.XLOOKUP(
    B46,
    'kpi nhà thuốc'!A:A,
    'kpi nhà thuốc'!G:G,
    IF(
        AND(
            OR(C46="DSXC",C46="DSCD"),
            G46&gt;=F46),IF(AND(I46&gt;=T46,E46&gt;=D46),AD46*1.5%,IF(AND(I46&gt;=T46,E46&lt;D46),AD46*1.3%,IF(AND(I46&gt;=S46,E46&gt;=D46),AD46*1.3%,IF(AND(I46&gt;=S46,E46&lt;D46),AD46*1.1%,IF(AND(I46&gt;=R46,E46&gt;=D46),AD46*1.2%,IF(AND(I46&gt;=R46,E46&lt;D46),AD46*1%,"")))))),""
    )
)</f>
        <v>0</v>
      </c>
      <c r="L46" s="65">
        <f t="shared" si="3"/>
        <v>1</v>
      </c>
      <c r="M46" s="24">
        <f t="array" aca="1" ref="M46" ca="1">IFERROR(
  _xlfn.XLOOKUP(
    $A46&amp;$B46,
    'Dự án T8'!$A:$A&amp;'Dự án T8'!$B:$B,
    'Dự án T8'!$M:$M,
    0
  )*$L46,
0)</f>
        <v>0</v>
      </c>
      <c r="N46" s="68">
        <f t="shared" ca="1" si="4"/>
        <v>0</v>
      </c>
      <c r="O46" s="24">
        <f t="shared" ref="O46:Q46" si="97">CEILING(R46,100000)</f>
        <v>3700000</v>
      </c>
      <c r="P46" s="24">
        <f t="shared" si="97"/>
        <v>4100000</v>
      </c>
      <c r="Q46" s="24">
        <f t="shared" si="97"/>
        <v>4600000</v>
      </c>
      <c r="R46" s="24">
        <f t="shared" si="6"/>
        <v>3612903.2258064519</v>
      </c>
      <c r="S46" s="24">
        <f t="shared" si="7"/>
        <v>4064516.1290322579</v>
      </c>
      <c r="T46" s="24">
        <f t="shared" si="8"/>
        <v>4516129.0322580645</v>
      </c>
      <c r="U46" s="24">
        <f>V46/DAY('kpi nhà thuốc'!$T$1)</f>
        <v>4516129.0322580645</v>
      </c>
      <c r="V46" s="24">
        <v>140000000</v>
      </c>
      <c r="W46" s="23">
        <f>SUMIF(data!$B:$B,B46,data!$C:$C)</f>
        <v>236</v>
      </c>
      <c r="X46" s="24">
        <f>SUMIF(data!$B:$B,B46,data!$D:$D)</f>
        <v>23277700</v>
      </c>
      <c r="Y46" s="24">
        <f t="shared" si="9"/>
        <v>98634.322033898308</v>
      </c>
      <c r="Z46" s="24">
        <f>SUMIF(data!$B:$B,B46,data!$E:$E)</f>
        <v>169</v>
      </c>
      <c r="AA46" s="24">
        <f>SUMIF(data!$B:$B,B46,data!$F:$F)</f>
        <v>65181200</v>
      </c>
      <c r="AB46" s="24">
        <f t="shared" si="10"/>
        <v>385687.57396449702</v>
      </c>
      <c r="AC46" s="24">
        <f t="shared" ref="AC46:AD46" si="98">W46+Z46</f>
        <v>405</v>
      </c>
      <c r="AD46" s="24">
        <f t="shared" si="98"/>
        <v>88458900</v>
      </c>
      <c r="AE46" s="24">
        <f t="shared" si="12"/>
        <v>218417.03703703705</v>
      </c>
      <c r="AF46" s="50"/>
      <c r="AG46" s="50"/>
      <c r="AH46" s="50"/>
      <c r="AI46" s="50"/>
      <c r="AJ46" s="50"/>
      <c r="AK46" s="50"/>
      <c r="AL46" s="50"/>
    </row>
    <row r="47" spans="1:38" ht="13.8">
      <c r="A47" s="22" t="s">
        <v>124</v>
      </c>
      <c r="B47" s="54" t="s">
        <v>126</v>
      </c>
      <c r="C47" s="22" t="s">
        <v>120</v>
      </c>
      <c r="D47" s="24">
        <v>100000</v>
      </c>
      <c r="E47" s="24">
        <f t="shared" si="0"/>
        <v>89920.995962314933</v>
      </c>
      <c r="F47" s="24">
        <f t="array" aca="1" ref="F47" ca="1">IFERROR(
  ROUND(
    _xludf.LET(
      nt,$A47,
      nv,$B47,
      songay,DAY(EOMONTH($C$1,0)),
      doanhthungay,$I47,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7" s="24">
        <f t="array" ref="G47">_xlfn.XLOOKUP(B47,'Dự án T8'!B:B,'Dự án T8'!D:D,0)</f>
        <v>934192.10714285716</v>
      </c>
      <c r="H47" s="24">
        <f t="shared" si="1"/>
        <v>3600000</v>
      </c>
      <c r="I47" s="24">
        <f t="shared" si="2"/>
        <v>2386117.8571428573</v>
      </c>
      <c r="J47" s="63">
        <f t="array" ref="J47">_xlfn.XLOOKUP(B47,'kpi nhà thuốc'!A:A,'kpi nhà thuốc'!F:F,(AD47/DAY($C$1))/U47)</f>
        <v>0.67245139610389615</v>
      </c>
      <c r="K47" s="24" t="e">
        <f t="array" aca="1" ref="K47" ca="1">_xlfn.XLOOKUP(
    B47,
    'kpi nhà thuốc'!A:A,
    'kpi nhà thuốc'!G:G,
    IF(
        AND(
            OR(C47="DSXC",C47="DSCD"),
            G47&gt;=F47),IF(AND(I47&gt;=T47,E47&gt;=D47),AD47*1.5%,IF(AND(I47&gt;=T47,E47&lt;D47),AD47*1.3%,IF(AND(I47&gt;=S47,E47&gt;=D47),AD47*1.3%,IF(AND(I47&gt;=S47,E47&lt;D47),AD47*1.1%,IF(AND(I47&gt;=R47,E47&gt;=D47),AD47*1.2%,IF(AND(I47&gt;=R47,E47&lt;D47),AD47*1%,"")))))),""
    )
)</f>
        <v>#NAME?</v>
      </c>
      <c r="L47" s="65">
        <f t="shared" si="3"/>
        <v>1</v>
      </c>
      <c r="M47" s="24">
        <f t="array" aca="1" ref="M47" ca="1">IFERROR(
  _xlfn.XLOOKUP(
    $A47&amp;$B47,
    'Dự án T8'!$A:$A&amp;'Dự án T8'!$B:$B,
    'Dự án T8'!$M:$M,
    0
  )*$L47,
0)</f>
        <v>0</v>
      </c>
      <c r="N47" s="68" t="e">
        <f t="shared" ca="1" si="4"/>
        <v>#NAME?</v>
      </c>
      <c r="O47" s="24">
        <f t="shared" ref="O47:Q47" si="99">CEILING(R47,100000)</f>
        <v>2900000</v>
      </c>
      <c r="P47" s="24">
        <f t="shared" si="99"/>
        <v>3200000</v>
      </c>
      <c r="Q47" s="24">
        <f t="shared" si="99"/>
        <v>3600000</v>
      </c>
      <c r="R47" s="24">
        <f t="shared" si="6"/>
        <v>2838709.6774193551</v>
      </c>
      <c r="S47" s="24">
        <f t="shared" si="7"/>
        <v>3193548.3870967743</v>
      </c>
      <c r="T47" s="24">
        <f t="shared" si="8"/>
        <v>3548387.0967741935</v>
      </c>
      <c r="U47" s="24">
        <f>V47/DAY('kpi nhà thuốc'!$T$1)</f>
        <v>3548387.0967741935</v>
      </c>
      <c r="V47" s="24">
        <v>110000000</v>
      </c>
      <c r="W47" s="23">
        <f>SUMIF(data!$B:$B,B47,data!$C:$C)</f>
        <v>585</v>
      </c>
      <c r="X47" s="24">
        <f>SUMIF(data!$B:$B,B47,data!$D:$D)</f>
        <v>47365800</v>
      </c>
      <c r="Y47" s="24">
        <f t="shared" si="9"/>
        <v>80967.179487179485</v>
      </c>
      <c r="Z47" s="24">
        <f>SUMIF(data!$B:$B,B47,data!$E:$E)</f>
        <v>158</v>
      </c>
      <c r="AA47" s="24">
        <f>SUMIF(data!$B:$B,B47,data!$F:$F)</f>
        <v>19445500</v>
      </c>
      <c r="AB47" s="24">
        <f t="shared" si="10"/>
        <v>123072.78481012658</v>
      </c>
      <c r="AC47" s="24">
        <f t="shared" ref="AC47:AD47" si="100">W47+Z47</f>
        <v>743</v>
      </c>
      <c r="AD47" s="24">
        <f t="shared" si="100"/>
        <v>66811300</v>
      </c>
      <c r="AE47" s="24">
        <f t="shared" si="12"/>
        <v>89920.995962314933</v>
      </c>
      <c r="AF47" s="50"/>
      <c r="AG47" s="50"/>
      <c r="AH47" s="50"/>
      <c r="AI47" s="50"/>
      <c r="AJ47" s="50"/>
      <c r="AK47" s="50"/>
      <c r="AL47" s="50"/>
    </row>
    <row r="48" spans="1:38" ht="13.8">
      <c r="A48" s="22" t="s">
        <v>124</v>
      </c>
      <c r="B48" s="14" t="s">
        <v>127</v>
      </c>
      <c r="C48" s="22" t="s">
        <v>211</v>
      </c>
      <c r="D48" s="24">
        <v>100000</v>
      </c>
      <c r="E48" s="24">
        <f t="shared" si="0"/>
        <v>86863.110307414099</v>
      </c>
      <c r="F48" s="24">
        <f t="array" aca="1" ref="F48" ca="1">IFERROR(
  ROUND(
    _xludf.LET(
      nt,$A48,
      nv,$B48,
      songay,DAY(EOMONTH($C$1,0)),
      doanhthungay,$I48,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8" s="24">
        <f t="array" ref="G48">_xlfn.XLOOKUP(B48,'Dự án T8'!B:B,'Dự án T8'!D:D,0)</f>
        <v>678153.67857142852</v>
      </c>
      <c r="H48" s="24">
        <f t="shared" si="1"/>
        <v>1300000</v>
      </c>
      <c r="I48" s="24">
        <f t="shared" si="2"/>
        <v>1715546.4285714286</v>
      </c>
      <c r="J48" s="63">
        <f t="array" ref="J48">_xlfn.XLOOKUP(B48,'kpi nhà thuốc'!A:A,'kpi nhà thuốc'!F:F,(AD48/DAY($C$1))/U48)</f>
        <v>1.3295484821428574</v>
      </c>
      <c r="K48" s="24" t="str">
        <f t="array" aca="1" ref="K48" ca="1">_xlfn.XLOOKUP(
    B48,
    'kpi nhà thuốc'!A:A,
    'kpi nhà thuốc'!G:G,
    IF(
        AND(
            OR(C48="DSXC",C48="DSCD"),
            G48&gt;=F48),IF(AND(I48&gt;=T48,E48&gt;=D48),AD48*1.5%,IF(AND(I48&gt;=T48,E48&lt;D48),AD48*1.3%,IF(AND(I48&gt;=S48,E48&gt;=D48),AD48*1.3%,IF(AND(I48&gt;=S48,E48&lt;D48),AD48*1.1%,IF(AND(I48&gt;=R48,E48&gt;=D48),AD48*1.2%,IF(AND(I48&gt;=R48,E48&lt;D48),AD48*1%,"")))))),""
    )
)</f>
        <v/>
      </c>
      <c r="L48" s="65">
        <f t="shared" si="3"/>
        <v>1</v>
      </c>
      <c r="M48" s="24">
        <f t="array" aca="1" ref="M48" ca="1">IFERROR(
  _xlfn.XLOOKUP(
    $A48&amp;$B48,
    'Dự án T8'!$A:$A&amp;'Dự án T8'!$B:$B,
    'Dự án T8'!$M:$M,
    0
  )*$L48,
0)</f>
        <v>0</v>
      </c>
      <c r="N48" s="68" t="e">
        <f t="shared" ca="1" si="4"/>
        <v>#VALUE!</v>
      </c>
      <c r="O48" s="24">
        <f t="shared" ref="O48:Q48" si="101">CEILING(R48,100000)</f>
        <v>1100000</v>
      </c>
      <c r="P48" s="24">
        <f t="shared" si="101"/>
        <v>1200000</v>
      </c>
      <c r="Q48" s="24">
        <f t="shared" si="101"/>
        <v>1300000</v>
      </c>
      <c r="R48" s="24">
        <f t="shared" si="6"/>
        <v>1032258.064516129</v>
      </c>
      <c r="S48" s="24">
        <f t="shared" si="7"/>
        <v>1161290.3225806451</v>
      </c>
      <c r="T48" s="24">
        <f t="shared" si="8"/>
        <v>1290322.5806451612</v>
      </c>
      <c r="U48" s="24">
        <f>V48/DAY('kpi nhà thuốc'!$T$1)</f>
        <v>1290322.5806451612</v>
      </c>
      <c r="V48" s="24">
        <v>40000000</v>
      </c>
      <c r="W48" s="23">
        <f>SUMIF(data!$B:$B,B48,data!$C:$C)</f>
        <v>438</v>
      </c>
      <c r="X48" s="24">
        <f>SUMIF(data!$B:$B,B48,data!$D:$D)</f>
        <v>31541700</v>
      </c>
      <c r="Y48" s="24">
        <f t="shared" si="9"/>
        <v>72013.013698630137</v>
      </c>
      <c r="Z48" s="24">
        <f>SUMIF(data!$B:$B,B48,data!$E:$E)</f>
        <v>115</v>
      </c>
      <c r="AA48" s="24">
        <f>SUMIF(data!$B:$B,B48,data!$F:$F)</f>
        <v>16493600</v>
      </c>
      <c r="AB48" s="24">
        <f t="shared" si="10"/>
        <v>143422.60869565216</v>
      </c>
      <c r="AC48" s="24">
        <f t="shared" ref="AC48:AD48" si="102">W48+Z48</f>
        <v>553</v>
      </c>
      <c r="AD48" s="24">
        <f t="shared" si="102"/>
        <v>48035300</v>
      </c>
      <c r="AE48" s="24">
        <f t="shared" si="12"/>
        <v>86863.110307414099</v>
      </c>
      <c r="AF48" s="50"/>
      <c r="AG48" s="50"/>
      <c r="AH48" s="50"/>
      <c r="AI48" s="50"/>
      <c r="AJ48" s="50"/>
      <c r="AK48" s="50"/>
      <c r="AL48" s="50"/>
    </row>
    <row r="49" spans="1:38" ht="13.8">
      <c r="A49" s="22" t="s">
        <v>124</v>
      </c>
      <c r="B49" s="54" t="s">
        <v>128</v>
      </c>
      <c r="C49" s="22" t="s">
        <v>131</v>
      </c>
      <c r="D49" s="24">
        <v>106000</v>
      </c>
      <c r="E49" s="24">
        <f t="shared" si="0"/>
        <v>74476</v>
      </c>
      <c r="F49" s="24">
        <f t="array" aca="1" ref="F49" ca="1">IFERROR(
  ROUND(
    _xludf.LET(
      nt,$A49,
      nv,$B49,
      songay,DAY(EOMONTH($C$1,0)),
      doanhthungay,$I49,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9" s="24">
        <f t="array" ref="G49">_xlfn.XLOOKUP(B49,'Dự án T8'!B:B,'Dự án T8'!D:D,0)</f>
        <v>246005.89285714287</v>
      </c>
      <c r="H49" s="24">
        <f t="shared" si="1"/>
        <v>1800000</v>
      </c>
      <c r="I49" s="24">
        <f t="shared" si="2"/>
        <v>66496.428571428565</v>
      </c>
      <c r="J49" s="63">
        <f t="array" ref="J49">_xlfn.XLOOKUP(B49,'kpi nhà thuốc'!A:A,'kpi nhà thuốc'!F:F,(AD49/DAY($C$1))/U49)</f>
        <v>3.7479805194805191E-2</v>
      </c>
      <c r="K49" s="24" t="str">
        <f t="array" aca="1" ref="K49" ca="1">_xlfn.XLOOKUP(
    B49,
    'kpi nhà thuốc'!A:A,
    'kpi nhà thuốc'!G:G,
    IF(
        AND(
            OR(C49="DSXC",C49="DSCD"),
            G49&gt;=F49),IF(AND(I49&gt;=T49,E49&gt;=D49),AD49*1.5%,IF(AND(I49&gt;=T49,E49&lt;D49),AD49*1.3%,IF(AND(I49&gt;=S49,E49&gt;=D49),AD49*1.3%,IF(AND(I49&gt;=S49,E49&lt;D49),AD49*1.1%,IF(AND(I49&gt;=R49,E49&gt;=D49),AD49*1.2%,IF(AND(I49&gt;=R49,E49&lt;D49),AD49*1%,"")))))),""
    )
)</f>
        <v/>
      </c>
      <c r="L49" s="65">
        <f t="shared" si="3"/>
        <v>0.8</v>
      </c>
      <c r="M49" s="24">
        <f t="array" aca="1" ref="M49" ca="1">IFERROR(
  _xlfn.XLOOKUP(
    $A49&amp;$B49,
    'Dự án T8'!$A:$A&amp;'Dự án T8'!$B:$B,
    'Dự án T8'!$M:$M,
    0
  )*$L49,
0)</f>
        <v>0</v>
      </c>
      <c r="N49" s="68" t="e">
        <f t="shared" ca="1" si="4"/>
        <v>#VALUE!</v>
      </c>
      <c r="O49" s="24">
        <f t="shared" ref="O49:Q49" si="103">CEILING(R49,100000)</f>
        <v>1500000</v>
      </c>
      <c r="P49" s="24">
        <f t="shared" si="103"/>
        <v>1600000</v>
      </c>
      <c r="Q49" s="24">
        <f t="shared" si="103"/>
        <v>1800000</v>
      </c>
      <c r="R49" s="24">
        <f t="shared" si="6"/>
        <v>1419354.8387096776</v>
      </c>
      <c r="S49" s="24">
        <f t="shared" si="7"/>
        <v>1596774.1935483871</v>
      </c>
      <c r="T49" s="24">
        <f t="shared" si="8"/>
        <v>1774193.5483870967</v>
      </c>
      <c r="U49" s="24">
        <f>V49/DAY('kpi nhà thuốc'!$T$1)</f>
        <v>1774193.5483870967</v>
      </c>
      <c r="V49" s="24">
        <v>55000000</v>
      </c>
      <c r="W49" s="23">
        <f>SUMIF(data!$B:$B,B49,data!$C:$C)</f>
        <v>20</v>
      </c>
      <c r="X49" s="24">
        <f>SUMIF(data!$B:$B,B49,data!$D:$D)</f>
        <v>996900</v>
      </c>
      <c r="Y49" s="24">
        <f t="shared" si="9"/>
        <v>49845</v>
      </c>
      <c r="Z49" s="24">
        <f>SUMIF(data!$B:$B,B49,data!$E:$E)</f>
        <v>5</v>
      </c>
      <c r="AA49" s="24">
        <f>SUMIF(data!$B:$B,B49,data!$F:$F)</f>
        <v>865000</v>
      </c>
      <c r="AB49" s="24">
        <f t="shared" si="10"/>
        <v>173000</v>
      </c>
      <c r="AC49" s="24">
        <f t="shared" ref="AC49:AD49" si="104">W49+Z49</f>
        <v>25</v>
      </c>
      <c r="AD49" s="24">
        <f t="shared" si="104"/>
        <v>1861900</v>
      </c>
      <c r="AE49" s="24">
        <f t="shared" si="12"/>
        <v>74476</v>
      </c>
      <c r="AF49" s="50"/>
      <c r="AG49" s="50"/>
      <c r="AH49" s="50"/>
      <c r="AI49" s="50"/>
      <c r="AJ49" s="50"/>
      <c r="AK49" s="50"/>
      <c r="AL49" s="50"/>
    </row>
    <row r="50" spans="1:38" ht="13.8">
      <c r="A50" s="22" t="s">
        <v>124</v>
      </c>
      <c r="B50" s="54" t="s">
        <v>129</v>
      </c>
      <c r="C50" s="22" t="s">
        <v>105</v>
      </c>
      <c r="D50" s="16"/>
      <c r="E50" s="24">
        <f t="shared" si="0"/>
        <v>175529.56685499058</v>
      </c>
      <c r="F50" s="24">
        <f t="array" aca="1" ref="F50" ca="1">IFERROR(
  ROUND(
    _xludf.LET(
      nt,$A50,
      nv,$B50,
      songay,DAY(EOMONTH($C$1,0)),
      doanhthungay,$I50,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0" s="24">
        <f t="array" ref="G50">_xlfn.XLOOKUP(B50,'Dự án T8'!B:B,'Dự án T8'!D:D,0)</f>
        <v>680335.35714285716</v>
      </c>
      <c r="H50" s="24">
        <f t="shared" si="1"/>
        <v>4200000</v>
      </c>
      <c r="I50" s="24">
        <f t="shared" si="2"/>
        <v>3328792.8571428573</v>
      </c>
      <c r="J50" s="63">
        <f t="array" ref="J50">_xlfn.XLOOKUP(B50,'kpi nhà thuốc'!A:A,'kpi nhà thuốc'!F:F,(AD50/DAY($C$1))/U50)</f>
        <v>0.79378906593406595</v>
      </c>
      <c r="K50" s="24" t="e">
        <f t="array" aca="1" ref="K50" ca="1">_xlfn.XLOOKUP(
    B50,
    'kpi nhà thuốc'!A:A,
    'kpi nhà thuốc'!G:G,
    IF(
        AND(
            OR(C50="DSXC",C50="DSCD"),
            G50&gt;=F50),IF(AND(I50&gt;=T50,E50&gt;=D50),AD50*1.5%,IF(AND(I50&gt;=T50,E50&lt;D50),AD50*1.3%,IF(AND(I50&gt;=S50,E50&gt;=D50),AD50*1.3%,IF(AND(I50&gt;=S50,E50&lt;D50),AD50*1.1%,IF(AND(I50&gt;=R50,E50&gt;=D50),AD50*1.2%,IF(AND(I50&gt;=R50,E50&lt;D50),AD50*1%,"")))))),""
    )
)</f>
        <v>#NAME?</v>
      </c>
      <c r="L50" s="65">
        <f t="shared" si="3"/>
        <v>1</v>
      </c>
      <c r="M50" s="24">
        <f t="array" aca="1" ref="M50" ca="1">IFERROR(
  _xlfn.XLOOKUP(
    $A50&amp;$B50,
    'Dự án T8'!$A:$A&amp;'Dự án T8'!$B:$B,
    'Dự án T8'!$M:$M,
    0
  )*$L50,
0)</f>
        <v>0</v>
      </c>
      <c r="N50" s="68" t="e">
        <f t="shared" ca="1" si="4"/>
        <v>#NAME?</v>
      </c>
      <c r="O50" s="24">
        <f t="shared" ref="O50:Q50" si="105">CEILING(R50,100000)</f>
        <v>3400000</v>
      </c>
      <c r="P50" s="24">
        <f t="shared" si="105"/>
        <v>3800000</v>
      </c>
      <c r="Q50" s="24">
        <f t="shared" si="105"/>
        <v>4200000</v>
      </c>
      <c r="R50" s="24">
        <f t="shared" si="6"/>
        <v>3354838.7096774196</v>
      </c>
      <c r="S50" s="24">
        <f t="shared" si="7"/>
        <v>3774193.5483870972</v>
      </c>
      <c r="T50" s="24">
        <f t="shared" si="8"/>
        <v>4193548.3870967743</v>
      </c>
      <c r="U50" s="24">
        <f>V50/DAY('kpi nhà thuốc'!$T$1)</f>
        <v>4193548.3870967743</v>
      </c>
      <c r="V50" s="16">
        <v>130000000</v>
      </c>
      <c r="W50" s="23">
        <f>SUMIF(data!$B:$B,B50,data!$C:$C)</f>
        <v>326</v>
      </c>
      <c r="X50" s="24">
        <f>SUMIF(data!$B:$B,B50,data!$D:$D)</f>
        <v>28100200</v>
      </c>
      <c r="Y50" s="24">
        <f t="shared" si="9"/>
        <v>86196.932515337423</v>
      </c>
      <c r="Z50" s="24">
        <f>SUMIF(data!$B:$B,B50,data!$E:$E)</f>
        <v>205</v>
      </c>
      <c r="AA50" s="24">
        <f>SUMIF(data!$B:$B,B50,data!$F:$F)</f>
        <v>65106000</v>
      </c>
      <c r="AB50" s="24">
        <f t="shared" si="10"/>
        <v>317590.24390243902</v>
      </c>
      <c r="AC50" s="24">
        <f t="shared" ref="AC50:AD50" si="106">W50+Z50</f>
        <v>531</v>
      </c>
      <c r="AD50" s="24">
        <f t="shared" si="106"/>
        <v>93206200</v>
      </c>
      <c r="AE50" s="24">
        <f t="shared" si="12"/>
        <v>175529.56685499058</v>
      </c>
      <c r="AF50" s="114"/>
      <c r="AG50" s="114"/>
      <c r="AH50" s="114"/>
      <c r="AI50" s="114"/>
      <c r="AJ50" s="114"/>
      <c r="AK50" s="114"/>
      <c r="AL50" s="114"/>
    </row>
    <row r="51" spans="1:38" ht="13.8">
      <c r="A51" s="22" t="s">
        <v>85</v>
      </c>
      <c r="B51" s="74" t="s">
        <v>17</v>
      </c>
      <c r="C51" s="22" t="s">
        <v>26</v>
      </c>
      <c r="D51" s="24"/>
      <c r="E51" s="24">
        <f t="shared" si="0"/>
        <v>119103.2643678161</v>
      </c>
      <c r="F51" s="24">
        <f t="array" aca="1" ref="F51" ca="1">IFERROR(
  ROUND(
    _xludf.LET(
      nt,$A51,
      nv,$B51,
      songay,DAY(EOMONTH($C$1,0)),
      doanhthungay,$I51,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1" s="24">
        <f t="array" ref="G51">_xlfn.XLOOKUP(B51,'Dự án T8'!B:B,'Dự án T8'!D:D,0)</f>
        <v>774133.32142857148</v>
      </c>
      <c r="H51" s="24">
        <f t="shared" si="1"/>
        <v>2800000</v>
      </c>
      <c r="I51" s="24">
        <f t="shared" si="2"/>
        <v>1850354.2857142857</v>
      </c>
      <c r="J51" s="63">
        <f t="array" ref="J51">_xlfn.XLOOKUP(B51,'kpi nhà thuốc'!A:A,'kpi nhà thuốc'!F:F,(AD51/DAY($C$1))/U51)</f>
        <v>0.57332234693877548</v>
      </c>
      <c r="K51" s="24">
        <f t="array" aca="1" ref="K51" ca="1">_xlfn.XLOOKUP(
    B51,
    'kpi nhà thuốc'!A:A,
    'kpi nhà thuốc'!G:G,
    IF(
        AND(
            OR(C51="DSXC",C51="DSCD"),
            G51&gt;=F51),IF(AND(I51&gt;=T51,E51&gt;=D51),AD51*1.5%,IF(AND(I51&gt;=T51,E51&lt;D51),AD51*1.3%,IF(AND(I51&gt;=S51,E51&gt;=D51),AD51*1.3%,IF(AND(I51&gt;=S51,E51&lt;D51),AD51*1.1%,IF(AND(I51&gt;=R51,E51&gt;=D51),AD51*1.2%,IF(AND(I51&gt;=R51,E51&lt;D51),AD51*1%,"")))))),""
    )
)</f>
        <v>0</v>
      </c>
      <c r="L51" s="65">
        <f t="shared" si="3"/>
        <v>0.8</v>
      </c>
      <c r="M51" s="24">
        <f t="array" aca="1" ref="M51" ca="1">IFERROR(
  _xlfn.XLOOKUP(
    $A51&amp;$B51,
    'Dự án T8'!$A:$A&amp;'Dự án T8'!$B:$B,
    'Dự án T8'!$M:$M,
    0
  )*$L51,
0)</f>
        <v>0</v>
      </c>
      <c r="N51" s="68">
        <f t="shared" ca="1" si="4"/>
        <v>0</v>
      </c>
      <c r="O51" s="24">
        <f t="shared" ref="O51:Q51" si="107">CEILING(R51,100000)</f>
        <v>2300000</v>
      </c>
      <c r="P51" s="24">
        <f t="shared" si="107"/>
        <v>2500000</v>
      </c>
      <c r="Q51" s="24">
        <f t="shared" si="107"/>
        <v>2800000</v>
      </c>
      <c r="R51" s="24">
        <f t="shared" si="6"/>
        <v>2206451.6129032257</v>
      </c>
      <c r="S51" s="24">
        <f t="shared" si="7"/>
        <v>2482258.064516129</v>
      </c>
      <c r="T51" s="24">
        <f t="shared" si="8"/>
        <v>2758064.5161290322</v>
      </c>
      <c r="U51" s="24">
        <f>V51/DAY('kpi nhà thuốc'!$T$1)</f>
        <v>2758064.5161290322</v>
      </c>
      <c r="V51" s="24">
        <v>85500000</v>
      </c>
      <c r="W51" s="23">
        <f>SUMIF(data!$B:$B,B51,data!$C:$C)</f>
        <v>318</v>
      </c>
      <c r="X51" s="24">
        <f>SUMIF(data!$B:$B,B51,data!$D:$D)</f>
        <v>28843900</v>
      </c>
      <c r="Y51" s="24">
        <f t="shared" si="9"/>
        <v>90704.088050314473</v>
      </c>
      <c r="Z51" s="24">
        <f>SUMIF(data!$B:$B,B51,data!$E:$E)</f>
        <v>117</v>
      </c>
      <c r="AA51" s="24">
        <f>SUMIF(data!$B:$B,B51,data!$F:$F)</f>
        <v>22966020</v>
      </c>
      <c r="AB51" s="24">
        <f t="shared" si="10"/>
        <v>196290.76923076922</v>
      </c>
      <c r="AC51" s="24">
        <f t="shared" ref="AC51:AD51" si="108">W51+Z51</f>
        <v>435</v>
      </c>
      <c r="AD51" s="24">
        <f t="shared" si="108"/>
        <v>51809920</v>
      </c>
      <c r="AE51" s="24">
        <f t="shared" si="12"/>
        <v>119103.2643678161</v>
      </c>
      <c r="AF51" s="50"/>
      <c r="AG51" s="50"/>
      <c r="AH51" s="50"/>
      <c r="AI51" s="50"/>
      <c r="AJ51" s="50"/>
      <c r="AK51" s="50"/>
      <c r="AL51" s="50"/>
    </row>
    <row r="52" spans="1:38" ht="13.8">
      <c r="A52" s="22" t="s">
        <v>85</v>
      </c>
      <c r="B52" s="74" t="s">
        <v>88</v>
      </c>
      <c r="C52" s="22" t="s">
        <v>131</v>
      </c>
      <c r="D52" s="24"/>
      <c r="E52" s="24">
        <f t="shared" si="0"/>
        <v>94183.003952569168</v>
      </c>
      <c r="F52" s="24">
        <f t="array" aca="1" ref="F52" ca="1">IFERROR(
  ROUND(
    _xludf.LET(
      nt,$A52,
      nv,$B52,
      songay,DAY(EOMONTH($C$1,0)),
      doanhthungay,$I52,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2" s="24">
        <f t="array" ref="G52">_xlfn.XLOOKUP(B52,'Dự án T8'!B:B,'Dự án T8'!D:D,0)</f>
        <v>372487.17857142858</v>
      </c>
      <c r="H52" s="24">
        <f t="shared" si="1"/>
        <v>2600000</v>
      </c>
      <c r="I52" s="24">
        <f t="shared" si="2"/>
        <v>851010.71428571432</v>
      </c>
      <c r="J52" s="63">
        <f t="array" ref="J52">_xlfn.XLOOKUP(B52,'kpi nhà thuốc'!A:A,'kpi nhà thuốc'!F:F,(AD52/DAY($C$1))/U52)</f>
        <v>0.32976665178571429</v>
      </c>
      <c r="K52" s="24" t="str">
        <f t="array" aca="1" ref="K52" ca="1">_xlfn.XLOOKUP(
    B52,
    'kpi nhà thuốc'!A:A,
    'kpi nhà thuốc'!G:G,
    IF(
        AND(
            OR(C52="DSXC",C52="DSCD"),
            G52&gt;=F52),IF(AND(I52&gt;=T52,E52&gt;=D52),AD52*1.5%,IF(AND(I52&gt;=T52,E52&lt;D52),AD52*1.3%,IF(AND(I52&gt;=S52,E52&gt;=D52),AD52*1.3%,IF(AND(I52&gt;=S52,E52&lt;D52),AD52*1.1%,IF(AND(I52&gt;=R52,E52&gt;=D52),AD52*1.2%,IF(AND(I52&gt;=R52,E52&lt;D52),AD52*1%,"")))))),""
    )
)</f>
        <v/>
      </c>
      <c r="L52" s="65">
        <f t="shared" si="3"/>
        <v>0.8</v>
      </c>
      <c r="M52" s="24">
        <f t="array" aca="1" ref="M52" ca="1">IFERROR(
  _xlfn.XLOOKUP(
    $A52&amp;$B52,
    'Dự án T8'!$A:$A&amp;'Dự án T8'!$B:$B,
    'Dự án T8'!$M:$M,
    0
  )*$L52,
0)</f>
        <v>0</v>
      </c>
      <c r="N52" s="68" t="e">
        <f t="shared" ca="1" si="4"/>
        <v>#VALUE!</v>
      </c>
      <c r="O52" s="24">
        <f t="shared" ref="O52:Q52" si="109">CEILING(R52,100000)</f>
        <v>2100000</v>
      </c>
      <c r="P52" s="24">
        <f t="shared" si="109"/>
        <v>2400000</v>
      </c>
      <c r="Q52" s="24">
        <f t="shared" si="109"/>
        <v>2600000</v>
      </c>
      <c r="R52" s="24">
        <f t="shared" si="6"/>
        <v>2064516.1290322579</v>
      </c>
      <c r="S52" s="24">
        <f t="shared" si="7"/>
        <v>2322580.6451612902</v>
      </c>
      <c r="T52" s="24">
        <f t="shared" si="8"/>
        <v>2580645.1612903224</v>
      </c>
      <c r="U52" s="24">
        <f>V52/DAY('kpi nhà thuốc'!$T$1)</f>
        <v>2580645.1612903224</v>
      </c>
      <c r="V52" s="24">
        <v>80000000</v>
      </c>
      <c r="W52" s="23">
        <f>SUMIF(data!$B:$B,B52,data!$C:$C)</f>
        <v>177</v>
      </c>
      <c r="X52" s="24">
        <f>SUMIF(data!$B:$B,B52,data!$D:$D)</f>
        <v>13537000</v>
      </c>
      <c r="Y52" s="24">
        <f t="shared" si="9"/>
        <v>76480.225988700564</v>
      </c>
      <c r="Z52" s="24">
        <f>SUMIF(data!$B:$B,B52,data!$E:$E)</f>
        <v>76</v>
      </c>
      <c r="AA52" s="24">
        <f>SUMIF(data!$B:$B,B52,data!$F:$F)</f>
        <v>10291300</v>
      </c>
      <c r="AB52" s="24">
        <f t="shared" si="10"/>
        <v>135411.84210526315</v>
      </c>
      <c r="AC52" s="24">
        <f t="shared" ref="AC52:AD52" si="110">W52+Z52</f>
        <v>253</v>
      </c>
      <c r="AD52" s="24">
        <f t="shared" si="110"/>
        <v>23828300</v>
      </c>
      <c r="AE52" s="24">
        <f t="shared" si="12"/>
        <v>94183.003952569168</v>
      </c>
      <c r="AF52" s="50"/>
      <c r="AG52" s="50"/>
      <c r="AH52" s="50"/>
      <c r="AI52" s="50"/>
      <c r="AJ52" s="50"/>
      <c r="AK52" s="50"/>
      <c r="AL52" s="50"/>
    </row>
    <row r="53" spans="1:38" ht="13.8">
      <c r="A53" s="22" t="s">
        <v>85</v>
      </c>
      <c r="B53" s="74" t="s">
        <v>86</v>
      </c>
      <c r="C53" s="22" t="s">
        <v>131</v>
      </c>
      <c r="D53" s="24"/>
      <c r="E53" s="24">
        <f t="shared" si="0"/>
        <v>105744.23076923077</v>
      </c>
      <c r="F53" s="24">
        <f t="array" aca="1" ref="F53" ca="1">IFERROR(
  ROUND(
    _xludf.LET(
      nt,$A53,
      nv,$B53,
      songay,DAY(EOMONTH($C$1,0)),
      doanhthungay,$I53,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3" s="24">
        <f t="array" ref="G53">_xlfn.XLOOKUP(B53,'Dự án T8'!B:B,'Dự án T8'!D:D,0)</f>
        <v>701970.14285714284</v>
      </c>
      <c r="H53" s="24">
        <f t="shared" si="1"/>
        <v>2600000</v>
      </c>
      <c r="I53" s="24">
        <f t="shared" si="2"/>
        <v>1669248.2142857143</v>
      </c>
      <c r="J53" s="63">
        <f t="array" ref="J53">_xlfn.XLOOKUP(B53,'kpi nhà thuốc'!A:A,'kpi nhà thuốc'!F:F,(AD53/DAY($C$1))/U53)</f>
        <v>0.64683368303571431</v>
      </c>
      <c r="K53" s="24" t="str">
        <f t="array" aca="1" ref="K53" ca="1">_xlfn.XLOOKUP(
    B53,
    'kpi nhà thuốc'!A:A,
    'kpi nhà thuốc'!G:G,
    IF(
        AND(
            OR(C53="DSXC",C53="DSCD"),
            G53&gt;=F53),IF(AND(I53&gt;=T53,E53&gt;=D53),AD53*1.5%,IF(AND(I53&gt;=T53,E53&lt;D53),AD53*1.3%,IF(AND(I53&gt;=S53,E53&gt;=D53),AD53*1.3%,IF(AND(I53&gt;=S53,E53&lt;D53),AD53*1.1%,IF(AND(I53&gt;=R53,E53&gt;=D53),AD53*1.2%,IF(AND(I53&gt;=R53,E53&lt;D53),AD53*1%,"")))))),""
    )
)</f>
        <v/>
      </c>
      <c r="L53" s="65">
        <f t="shared" si="3"/>
        <v>1</v>
      </c>
      <c r="M53" s="24">
        <f t="array" aca="1" ref="M53" ca="1">IFERROR(
  _xlfn.XLOOKUP(
    $A53&amp;$B53,
    'Dự án T8'!$A:$A&amp;'Dự án T8'!$B:$B,
    'Dự án T8'!$M:$M,
    0
  )*$L53,
0)</f>
        <v>0</v>
      </c>
      <c r="N53" s="68" t="e">
        <f t="shared" ca="1" si="4"/>
        <v>#VALUE!</v>
      </c>
      <c r="O53" s="24">
        <f t="shared" ref="O53:Q53" si="111">CEILING(R53,100000)</f>
        <v>2100000</v>
      </c>
      <c r="P53" s="24">
        <f t="shared" si="111"/>
        <v>2400000</v>
      </c>
      <c r="Q53" s="24">
        <f t="shared" si="111"/>
        <v>2600000</v>
      </c>
      <c r="R53" s="24">
        <f t="shared" si="6"/>
        <v>2064516.1290322579</v>
      </c>
      <c r="S53" s="24">
        <f t="shared" si="7"/>
        <v>2322580.6451612902</v>
      </c>
      <c r="T53" s="24">
        <f t="shared" si="8"/>
        <v>2580645.1612903224</v>
      </c>
      <c r="U53" s="24">
        <f>V53/DAY('kpi nhà thuốc'!$T$1)</f>
        <v>2580645.1612903224</v>
      </c>
      <c r="V53" s="24">
        <v>80000000</v>
      </c>
      <c r="W53" s="23">
        <f>SUMIF(data!$B:$B,B53,data!$C:$C)</f>
        <v>295</v>
      </c>
      <c r="X53" s="24">
        <f>SUMIF(data!$B:$B,B53,data!$D:$D)</f>
        <v>24509200</v>
      </c>
      <c r="Y53" s="24">
        <f t="shared" si="9"/>
        <v>83082.03389830509</v>
      </c>
      <c r="Z53" s="24">
        <f>SUMIF(data!$B:$B,B53,data!$E:$E)</f>
        <v>147</v>
      </c>
      <c r="AA53" s="24">
        <f>SUMIF(data!$B:$B,B53,data!$F:$F)</f>
        <v>22229750</v>
      </c>
      <c r="AB53" s="24">
        <f t="shared" si="10"/>
        <v>151222.78911564627</v>
      </c>
      <c r="AC53" s="24">
        <f t="shared" ref="AC53:AD53" si="112">W53+Z53</f>
        <v>442</v>
      </c>
      <c r="AD53" s="24">
        <f t="shared" si="112"/>
        <v>46738950</v>
      </c>
      <c r="AE53" s="24">
        <f t="shared" si="12"/>
        <v>105744.23076923077</v>
      </c>
      <c r="AF53" s="50"/>
      <c r="AG53" s="50"/>
      <c r="AH53" s="50"/>
      <c r="AI53" s="50"/>
      <c r="AJ53" s="50"/>
      <c r="AK53" s="50"/>
      <c r="AL53" s="50"/>
    </row>
    <row r="54" spans="1:38" ht="13.8">
      <c r="A54" s="22" t="s">
        <v>85</v>
      </c>
      <c r="B54" s="74" t="s">
        <v>71</v>
      </c>
      <c r="C54" s="22" t="s">
        <v>105</v>
      </c>
      <c r="D54" s="24"/>
      <c r="E54" s="24">
        <f t="shared" si="0"/>
        <v>165385.68181818182</v>
      </c>
      <c r="F54" s="24">
        <f t="array" aca="1" ref="F54" ca="1">IFERROR(
  ROUND(
    _xludf.LET(
      nt,$A54,
      nv,$B54,
      songay,DAY(EOMONTH($C$1,0)),
      doanhthungay,$I54,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4" s="24">
        <f t="array" ref="G54">_xlfn.XLOOKUP(B54,'Dự án T8'!B:B,'Dự án T8'!D:D,0)</f>
        <v>808500.21428571432</v>
      </c>
      <c r="H54" s="24">
        <f t="shared" si="1"/>
        <v>2600000</v>
      </c>
      <c r="I54" s="24">
        <f t="shared" si="2"/>
        <v>2598917.8571428573</v>
      </c>
      <c r="J54" s="63">
        <f t="array" ref="J54">_xlfn.XLOOKUP(B54,'kpi nhà thuốc'!A:A,'kpi nhà thuốc'!F:F,(AD54/DAY($C$1))/U54)</f>
        <v>1.0070806696428574</v>
      </c>
      <c r="K54" s="24" t="e">
        <f t="array" aca="1" ref="K54" ca="1">_xlfn.XLOOKUP(
    B54,
    'kpi nhà thuốc'!A:A,
    'kpi nhà thuốc'!G:G,
    IF(
        AND(
            OR(C54="DSXC",C54="DSCD"),
            G54&gt;=F54),IF(AND(I54&gt;=T54,E54&gt;=D54),AD54*1.5%,IF(AND(I54&gt;=T54,E54&lt;D54),AD54*1.3%,IF(AND(I54&gt;=S54,E54&gt;=D54),AD54*1.3%,IF(AND(I54&gt;=S54,E54&lt;D54),AD54*1.1%,IF(AND(I54&gt;=R54,E54&gt;=D54),AD54*1.2%,IF(AND(I54&gt;=R54,E54&lt;D54),AD54*1%,"")))))),""
    )
)</f>
        <v>#NAME?</v>
      </c>
      <c r="L54" s="65">
        <f t="shared" si="3"/>
        <v>1</v>
      </c>
      <c r="M54" s="24">
        <f t="array" aca="1" ref="M54" ca="1">IFERROR(
  _xlfn.XLOOKUP(
    $A54&amp;$B54,
    'Dự án T8'!$A:$A&amp;'Dự án T8'!$B:$B,
    'Dự án T8'!$M:$M,
    0
  )*$L54,
0)</f>
        <v>0</v>
      </c>
      <c r="N54" s="68" t="e">
        <f t="shared" ca="1" si="4"/>
        <v>#NAME?</v>
      </c>
      <c r="O54" s="24">
        <f t="shared" ref="O54:Q54" si="113">CEILING(R54,100000)</f>
        <v>2100000</v>
      </c>
      <c r="P54" s="24">
        <f t="shared" si="113"/>
        <v>2400000</v>
      </c>
      <c r="Q54" s="24">
        <f t="shared" si="113"/>
        <v>2600000</v>
      </c>
      <c r="R54" s="24">
        <f t="shared" si="6"/>
        <v>2064516.1290322579</v>
      </c>
      <c r="S54" s="24">
        <f t="shared" si="7"/>
        <v>2322580.6451612902</v>
      </c>
      <c r="T54" s="24">
        <f t="shared" si="8"/>
        <v>2580645.1612903224</v>
      </c>
      <c r="U54" s="24">
        <f>V54/DAY('kpi nhà thuốc'!$T$1)</f>
        <v>2580645.1612903224</v>
      </c>
      <c r="V54" s="24">
        <v>80000000</v>
      </c>
      <c r="W54" s="23">
        <f>SUMIF(data!$B:$B,B54,data!$C:$C)</f>
        <v>294</v>
      </c>
      <c r="X54" s="24">
        <f>SUMIF(data!$B:$B,B54,data!$D:$D)</f>
        <v>41729500</v>
      </c>
      <c r="Y54" s="24">
        <f t="shared" si="9"/>
        <v>141937.07482993198</v>
      </c>
      <c r="Z54" s="24">
        <f>SUMIF(data!$B:$B,B54,data!$E:$E)</f>
        <v>146</v>
      </c>
      <c r="AA54" s="24">
        <f>SUMIF(data!$B:$B,B54,data!$F:$F)</f>
        <v>31040200</v>
      </c>
      <c r="AB54" s="24">
        <f t="shared" si="10"/>
        <v>212604.10958904109</v>
      </c>
      <c r="AC54" s="24">
        <f t="shared" ref="AC54:AD54" si="114">W54+Z54</f>
        <v>440</v>
      </c>
      <c r="AD54" s="24">
        <f t="shared" si="114"/>
        <v>72769700</v>
      </c>
      <c r="AE54" s="24">
        <f t="shared" si="12"/>
        <v>165385.68181818182</v>
      </c>
      <c r="AF54" s="50"/>
      <c r="AG54" s="50"/>
      <c r="AH54" s="50"/>
      <c r="AI54" s="50"/>
      <c r="AJ54" s="50"/>
      <c r="AK54" s="50"/>
      <c r="AL54" s="50"/>
    </row>
    <row r="55" spans="1:38" ht="13.8">
      <c r="A55" s="22" t="s">
        <v>85</v>
      </c>
      <c r="B55" s="54" t="s">
        <v>213</v>
      </c>
      <c r="C55" s="22" t="s">
        <v>132</v>
      </c>
      <c r="D55" s="115"/>
      <c r="E55" s="24">
        <f t="shared" si="0"/>
        <v>0</v>
      </c>
      <c r="F55" s="24">
        <f t="array" aca="1" ref="F55" ca="1">IFERROR(
  ROUND(
    _xludf.LET(
      nt,$A55,
      nv,$B55,
      songay,DAY(EOMONTH($C$1,0)),
      doanhthungay,$I55,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5" s="24">
        <f t="array" ref="G55">_xlfn.XLOOKUP(B55,'Dự án T8'!B:B,'Dự án T8'!D:D,0)</f>
        <v>0</v>
      </c>
      <c r="H55" s="24">
        <f t="shared" si="1"/>
        <v>1800000</v>
      </c>
      <c r="I55" s="24">
        <f t="shared" si="2"/>
        <v>0</v>
      </c>
      <c r="J55" s="63">
        <f t="array" ref="J55">_xlfn.XLOOKUP(B55,'kpi nhà thuốc'!A:A,'kpi nhà thuốc'!F:F,(AD55/DAY($C$1))/U55)</f>
        <v>0</v>
      </c>
      <c r="K55" s="24" t="str">
        <f t="array" aca="1" ref="K55" ca="1">_xlfn.XLOOKUP(
    B55,
    'kpi nhà thuốc'!A:A,
    'kpi nhà thuốc'!G:G,
    IF(
        AND(
            OR(C55="DSXC",C55="DSCD"),
            G55&gt;=F55),IF(AND(I55&gt;=T55,E55&gt;=D55),AD55*1.5%,IF(AND(I55&gt;=T55,E55&lt;D55),AD55*1.3%,IF(AND(I55&gt;=S55,E55&gt;=D55),AD55*1.3%,IF(AND(I55&gt;=S55,E55&lt;D55),AD55*1.1%,IF(AND(I55&gt;=R55,E55&gt;=D55),AD55*1.2%,IF(AND(I55&gt;=R55,E55&lt;D55),AD55*1%,"")))))),""
    )
)</f>
        <v/>
      </c>
      <c r="L55" s="65">
        <f t="shared" si="3"/>
        <v>0.8</v>
      </c>
      <c r="M55" s="24">
        <f t="array" ref="M55">IFERROR(
  _xlfn.XLOOKUP(
    $A55&amp;$B55,
    'Dự án T8'!$A:$A&amp;'Dự án T8'!$B:$B,
    'Dự án T8'!$M:$M,
    0
  )*$L55,
0)</f>
        <v>0</v>
      </c>
      <c r="N55" s="68" t="e">
        <f t="shared" ca="1" si="4"/>
        <v>#VALUE!</v>
      </c>
      <c r="O55" s="24">
        <f t="shared" ref="O55:Q55" si="115">CEILING(R55,100000)</f>
        <v>1500000</v>
      </c>
      <c r="P55" s="24">
        <f t="shared" si="115"/>
        <v>1600000</v>
      </c>
      <c r="Q55" s="24">
        <f t="shared" si="115"/>
        <v>1800000</v>
      </c>
      <c r="R55" s="24">
        <f t="shared" si="6"/>
        <v>1419354.8387096776</v>
      </c>
      <c r="S55" s="24">
        <f t="shared" si="7"/>
        <v>1596774.1935483871</v>
      </c>
      <c r="T55" s="24">
        <f t="shared" si="8"/>
        <v>1774193.5483870967</v>
      </c>
      <c r="U55" s="24">
        <f>V55/DAY('kpi nhà thuốc'!$T$1)</f>
        <v>1774193.5483870967</v>
      </c>
      <c r="V55" s="23">
        <v>55000000</v>
      </c>
      <c r="W55" s="23">
        <f>SUMIF(data!$B:$B,B55,data!$C:$C)</f>
        <v>0</v>
      </c>
      <c r="X55" s="24">
        <f>SUMIF(data!$B:$B,B55,data!$D:$D)</f>
        <v>0</v>
      </c>
      <c r="Y55" s="24">
        <f t="shared" si="9"/>
        <v>0</v>
      </c>
      <c r="Z55" s="24">
        <f>SUMIF(data!$B:$B,B55,data!$E:$E)</f>
        <v>0</v>
      </c>
      <c r="AA55" s="24">
        <f>SUMIF(data!$B:$B,B55,data!$F:$F)</f>
        <v>0</v>
      </c>
      <c r="AB55" s="24">
        <f t="shared" si="10"/>
        <v>0</v>
      </c>
      <c r="AC55" s="24">
        <f t="shared" ref="AC55:AD55" si="116">W55+Z55</f>
        <v>0</v>
      </c>
      <c r="AD55" s="24">
        <f t="shared" si="116"/>
        <v>0</v>
      </c>
      <c r="AE55" s="24">
        <f t="shared" si="12"/>
        <v>0</v>
      </c>
      <c r="AF55" s="50"/>
      <c r="AG55" s="50"/>
      <c r="AH55" s="50"/>
      <c r="AI55" s="50"/>
      <c r="AJ55" s="50"/>
      <c r="AK55" s="50"/>
      <c r="AL55" s="50"/>
    </row>
    <row r="56" spans="1:38" ht="13.8">
      <c r="A56" s="73"/>
      <c r="B56" s="74"/>
      <c r="C56" s="116"/>
      <c r="D56" s="24"/>
      <c r="E56" s="24"/>
      <c r="F56" s="24"/>
      <c r="G56" s="117"/>
      <c r="H56" s="117"/>
      <c r="I56" s="24"/>
      <c r="J56" s="63"/>
      <c r="K56" s="24"/>
      <c r="L56" s="118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119"/>
      <c r="X56" s="50"/>
      <c r="Y56" s="50"/>
      <c r="Z56" s="50"/>
      <c r="AA56" s="50"/>
      <c r="AB56" s="50"/>
      <c r="AC56" s="116"/>
      <c r="AD56" s="24"/>
      <c r="AE56" s="24"/>
      <c r="AF56" s="50"/>
      <c r="AG56" s="50"/>
      <c r="AH56" s="50"/>
      <c r="AI56" s="50"/>
      <c r="AJ56" s="50"/>
      <c r="AK56" s="50"/>
      <c r="AL56" s="50"/>
    </row>
    <row r="57" spans="1:38" ht="13.8">
      <c r="A57" s="73"/>
      <c r="B57" s="74"/>
      <c r="C57" s="116"/>
      <c r="D57" s="24"/>
      <c r="E57" s="24"/>
      <c r="F57" s="24"/>
      <c r="G57" s="117"/>
      <c r="H57" s="117"/>
      <c r="I57" s="24"/>
      <c r="J57" s="63"/>
      <c r="K57" s="24"/>
      <c r="L57" s="118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119"/>
      <c r="X57" s="50"/>
      <c r="Y57" s="50"/>
      <c r="Z57" s="50"/>
      <c r="AA57" s="50"/>
      <c r="AB57" s="50"/>
      <c r="AC57" s="116"/>
      <c r="AD57" s="24"/>
      <c r="AE57" s="24"/>
      <c r="AF57" s="50"/>
      <c r="AG57" s="50"/>
      <c r="AH57" s="50"/>
      <c r="AI57" s="50"/>
      <c r="AJ57" s="50"/>
      <c r="AK57" s="50"/>
      <c r="AL57" s="50"/>
    </row>
    <row r="58" spans="1:38" ht="13.8">
      <c r="A58" s="73"/>
      <c r="B58" s="74"/>
      <c r="C58" s="116"/>
      <c r="D58" s="24"/>
      <c r="E58" s="24"/>
      <c r="F58" s="24"/>
      <c r="G58" s="117"/>
      <c r="H58" s="117"/>
      <c r="I58" s="24"/>
      <c r="J58" s="63"/>
      <c r="K58" s="24"/>
      <c r="L58" s="118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119"/>
      <c r="X58" s="50"/>
      <c r="Y58" s="50"/>
      <c r="Z58" s="50"/>
      <c r="AA58" s="50"/>
      <c r="AB58" s="50"/>
      <c r="AC58" s="116"/>
      <c r="AD58" s="24"/>
      <c r="AE58" s="24"/>
      <c r="AF58" s="50"/>
      <c r="AG58" s="50"/>
      <c r="AH58" s="50"/>
      <c r="AI58" s="50"/>
      <c r="AJ58" s="50"/>
      <c r="AK58" s="50"/>
      <c r="AL58" s="50"/>
    </row>
    <row r="59" spans="1:38" ht="13.8">
      <c r="A59" s="73"/>
      <c r="B59" s="74"/>
      <c r="C59" s="116"/>
      <c r="D59" s="24"/>
      <c r="E59" s="24"/>
      <c r="F59" s="24"/>
      <c r="G59" s="117"/>
      <c r="H59" s="117"/>
      <c r="I59" s="24"/>
      <c r="J59" s="63"/>
      <c r="K59" s="24"/>
      <c r="L59" s="118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119"/>
      <c r="X59" s="50"/>
      <c r="Y59" s="50"/>
      <c r="Z59" s="50"/>
      <c r="AA59" s="50"/>
      <c r="AB59" s="50"/>
      <c r="AC59" s="116"/>
      <c r="AD59" s="24"/>
      <c r="AE59" s="24"/>
      <c r="AF59" s="50"/>
      <c r="AG59" s="50"/>
      <c r="AH59" s="50"/>
      <c r="AI59" s="50"/>
      <c r="AJ59" s="50"/>
      <c r="AK59" s="50"/>
      <c r="AL59" s="50"/>
    </row>
    <row r="60" spans="1:38" ht="13.8">
      <c r="A60" s="73"/>
      <c r="B60" s="74"/>
      <c r="C60" s="116"/>
      <c r="D60" s="24"/>
      <c r="E60" s="24"/>
      <c r="F60" s="24"/>
      <c r="G60" s="117"/>
      <c r="H60" s="117"/>
      <c r="I60" s="24"/>
      <c r="J60" s="63"/>
      <c r="K60" s="24"/>
      <c r="L60" s="118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119"/>
      <c r="X60" s="50"/>
      <c r="Y60" s="50"/>
      <c r="Z60" s="50"/>
      <c r="AA60" s="50"/>
      <c r="AB60" s="50"/>
      <c r="AC60" s="116"/>
      <c r="AD60" s="24"/>
      <c r="AE60" s="24"/>
      <c r="AF60" s="50"/>
      <c r="AG60" s="50"/>
      <c r="AH60" s="50"/>
      <c r="AI60" s="50"/>
      <c r="AJ60" s="50"/>
      <c r="AK60" s="50"/>
      <c r="AL60" s="50"/>
    </row>
    <row r="61" spans="1:38" ht="13.8">
      <c r="A61" s="73"/>
      <c r="B61" s="74"/>
      <c r="C61" s="116"/>
      <c r="D61" s="24"/>
      <c r="E61" s="24"/>
      <c r="F61" s="24"/>
      <c r="G61" s="117"/>
      <c r="H61" s="117"/>
      <c r="I61" s="24"/>
      <c r="J61" s="63"/>
      <c r="K61" s="24"/>
      <c r="L61" s="118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119"/>
      <c r="X61" s="50"/>
      <c r="Y61" s="50"/>
      <c r="Z61" s="50"/>
      <c r="AA61" s="50"/>
      <c r="AB61" s="50"/>
      <c r="AC61" s="116"/>
      <c r="AD61" s="24"/>
      <c r="AE61" s="24"/>
      <c r="AF61" s="50"/>
      <c r="AG61" s="50"/>
      <c r="AH61" s="50"/>
      <c r="AI61" s="50"/>
      <c r="AJ61" s="50"/>
      <c r="AK61" s="50"/>
      <c r="AL61" s="50"/>
    </row>
    <row r="62" spans="1:38" ht="13.8">
      <c r="A62" s="73"/>
      <c r="B62" s="74"/>
      <c r="C62" s="116"/>
      <c r="D62" s="24"/>
      <c r="E62" s="24"/>
      <c r="F62" s="24"/>
      <c r="G62" s="117"/>
      <c r="H62" s="117"/>
      <c r="I62" s="24"/>
      <c r="J62" s="63"/>
      <c r="K62" s="24"/>
      <c r="L62" s="118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119"/>
      <c r="X62" s="50"/>
      <c r="Y62" s="50"/>
      <c r="Z62" s="50"/>
      <c r="AA62" s="50"/>
      <c r="AB62" s="50"/>
      <c r="AC62" s="116"/>
      <c r="AD62" s="24"/>
      <c r="AE62" s="24"/>
      <c r="AF62" s="50"/>
      <c r="AG62" s="50"/>
      <c r="AH62" s="50"/>
      <c r="AI62" s="50"/>
      <c r="AJ62" s="50"/>
      <c r="AK62" s="50"/>
      <c r="AL62" s="50"/>
    </row>
    <row r="63" spans="1:38" ht="13.8">
      <c r="A63" s="73"/>
      <c r="B63" s="74"/>
      <c r="C63" s="116"/>
      <c r="D63" s="24"/>
      <c r="E63" s="24"/>
      <c r="F63" s="24"/>
      <c r="G63" s="117"/>
      <c r="H63" s="117"/>
      <c r="I63" s="24"/>
      <c r="J63" s="63"/>
      <c r="K63" s="24"/>
      <c r="L63" s="118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119"/>
      <c r="X63" s="50"/>
      <c r="Y63" s="50"/>
      <c r="Z63" s="50"/>
      <c r="AA63" s="50"/>
      <c r="AB63" s="50"/>
      <c r="AC63" s="116"/>
      <c r="AD63" s="24"/>
      <c r="AE63" s="24"/>
      <c r="AF63" s="50"/>
      <c r="AG63" s="50"/>
      <c r="AH63" s="50"/>
      <c r="AI63" s="50"/>
      <c r="AJ63" s="50"/>
      <c r="AK63" s="50"/>
      <c r="AL63" s="50"/>
    </row>
    <row r="64" spans="1:38" ht="13.8">
      <c r="A64" s="73"/>
      <c r="B64" s="74"/>
      <c r="C64" s="116"/>
      <c r="D64" s="24"/>
      <c r="E64" s="24"/>
      <c r="F64" s="24"/>
      <c r="G64" s="117"/>
      <c r="H64" s="117"/>
      <c r="I64" s="24"/>
      <c r="J64" s="63"/>
      <c r="K64" s="24"/>
      <c r="L64" s="118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119"/>
      <c r="X64" s="50"/>
      <c r="Y64" s="50"/>
      <c r="Z64" s="50"/>
      <c r="AA64" s="50"/>
      <c r="AB64" s="50"/>
      <c r="AC64" s="116"/>
      <c r="AD64" s="24"/>
      <c r="AE64" s="24"/>
      <c r="AF64" s="50"/>
      <c r="AG64" s="50"/>
      <c r="AH64" s="50"/>
      <c r="AI64" s="50"/>
      <c r="AJ64" s="50"/>
      <c r="AK64" s="50"/>
      <c r="AL64" s="50"/>
    </row>
    <row r="65" spans="1:38" ht="13.8">
      <c r="A65" s="73"/>
      <c r="B65" s="74"/>
      <c r="C65" s="116"/>
      <c r="D65" s="24"/>
      <c r="E65" s="24"/>
      <c r="F65" s="24"/>
      <c r="G65" s="117"/>
      <c r="H65" s="117"/>
      <c r="I65" s="24"/>
      <c r="J65" s="63"/>
      <c r="K65" s="24"/>
      <c r="L65" s="118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119"/>
      <c r="X65" s="50"/>
      <c r="Y65" s="50"/>
      <c r="Z65" s="50"/>
      <c r="AA65" s="50"/>
      <c r="AB65" s="50"/>
      <c r="AC65" s="116"/>
      <c r="AD65" s="24"/>
      <c r="AE65" s="24"/>
      <c r="AF65" s="50"/>
      <c r="AG65" s="50"/>
      <c r="AH65" s="50"/>
      <c r="AI65" s="50"/>
      <c r="AJ65" s="50"/>
      <c r="AK65" s="50"/>
      <c r="AL65" s="50"/>
    </row>
    <row r="66" spans="1:38" ht="13.8">
      <c r="A66" s="73"/>
      <c r="B66" s="74"/>
      <c r="C66" s="116"/>
      <c r="D66" s="24"/>
      <c r="E66" s="24"/>
      <c r="F66" s="24"/>
      <c r="G66" s="24"/>
      <c r="H66" s="24"/>
      <c r="I66" s="24"/>
      <c r="J66" s="63"/>
      <c r="K66" s="24"/>
      <c r="L66" s="118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119"/>
      <c r="X66" s="50"/>
      <c r="Y66" s="50"/>
      <c r="Z66" s="50"/>
      <c r="AA66" s="50"/>
      <c r="AB66" s="50"/>
      <c r="AC66" s="116"/>
      <c r="AD66" s="24"/>
      <c r="AE66" s="24"/>
      <c r="AF66" s="50"/>
      <c r="AG66" s="50"/>
      <c r="AH66" s="50"/>
      <c r="AI66" s="50"/>
      <c r="AJ66" s="50"/>
      <c r="AK66" s="50"/>
      <c r="AL66" s="50"/>
    </row>
    <row r="67" spans="1:38" ht="13.8">
      <c r="A67" s="73"/>
      <c r="B67" s="74"/>
      <c r="C67" s="116"/>
      <c r="D67" s="24"/>
      <c r="E67" s="117"/>
      <c r="F67" s="24"/>
      <c r="G67" s="24"/>
      <c r="H67" s="24"/>
      <c r="I67" s="24"/>
      <c r="J67" s="63"/>
      <c r="K67" s="24"/>
      <c r="L67" s="118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119"/>
      <c r="X67" s="50"/>
      <c r="Y67" s="50"/>
      <c r="Z67" s="50"/>
      <c r="AA67" s="50"/>
      <c r="AB67" s="50"/>
      <c r="AC67" s="116"/>
      <c r="AD67" s="24"/>
      <c r="AE67" s="24"/>
      <c r="AF67" s="50"/>
      <c r="AG67" s="50"/>
      <c r="AH67" s="50"/>
      <c r="AI67" s="50"/>
      <c r="AJ67" s="50"/>
      <c r="AK67" s="50"/>
      <c r="AL67" s="50"/>
    </row>
    <row r="68" spans="1:38" ht="13.8">
      <c r="A68" s="73"/>
      <c r="B68" s="74"/>
      <c r="C68" s="116"/>
      <c r="D68" s="24"/>
      <c r="E68" s="24"/>
      <c r="F68" s="24"/>
      <c r="G68" s="24"/>
      <c r="H68" s="24"/>
      <c r="I68" s="24"/>
      <c r="J68" s="63"/>
      <c r="K68" s="24"/>
      <c r="L68" s="118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119"/>
      <c r="X68" s="50"/>
      <c r="Y68" s="50"/>
      <c r="Z68" s="50"/>
      <c r="AA68" s="50"/>
      <c r="AB68" s="50"/>
      <c r="AC68" s="116"/>
      <c r="AD68" s="24"/>
      <c r="AE68" s="24"/>
      <c r="AF68" s="50"/>
      <c r="AG68" s="50"/>
      <c r="AH68" s="50"/>
      <c r="AI68" s="50"/>
      <c r="AJ68" s="50"/>
      <c r="AK68" s="50"/>
      <c r="AL68" s="50"/>
    </row>
    <row r="69" spans="1:38" ht="13.8">
      <c r="A69" s="73"/>
      <c r="B69" s="74"/>
      <c r="C69" s="116"/>
      <c r="D69" s="24"/>
      <c r="E69" s="24"/>
      <c r="F69" s="24"/>
      <c r="G69" s="24"/>
      <c r="H69" s="24"/>
      <c r="I69" s="24"/>
      <c r="J69" s="63"/>
      <c r="K69" s="24"/>
      <c r="L69" s="118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119"/>
      <c r="X69" s="50"/>
      <c r="Y69" s="50"/>
      <c r="Z69" s="50"/>
      <c r="AA69" s="50"/>
      <c r="AB69" s="50"/>
      <c r="AC69" s="116"/>
      <c r="AD69" s="24"/>
      <c r="AE69" s="24"/>
      <c r="AF69" s="50"/>
      <c r="AG69" s="50"/>
      <c r="AH69" s="50"/>
      <c r="AI69" s="50"/>
      <c r="AJ69" s="50"/>
      <c r="AK69" s="50"/>
      <c r="AL69" s="50"/>
    </row>
    <row r="70" spans="1:38" ht="13.8">
      <c r="A70" s="73"/>
      <c r="B70" s="74"/>
      <c r="C70" s="116"/>
      <c r="D70" s="24"/>
      <c r="E70" s="24"/>
      <c r="F70" s="24"/>
      <c r="G70" s="24"/>
      <c r="H70" s="24"/>
      <c r="I70" s="24"/>
      <c r="J70" s="63"/>
      <c r="K70" s="24"/>
      <c r="L70" s="118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119"/>
      <c r="X70" s="50"/>
      <c r="Y70" s="50"/>
      <c r="Z70" s="50"/>
      <c r="AA70" s="50"/>
      <c r="AB70" s="50"/>
      <c r="AC70" s="116"/>
      <c r="AD70" s="24"/>
      <c r="AE70" s="24"/>
      <c r="AF70" s="50"/>
      <c r="AG70" s="50"/>
      <c r="AH70" s="50"/>
      <c r="AI70" s="50"/>
      <c r="AJ70" s="50"/>
      <c r="AK70" s="50"/>
      <c r="AL70" s="50"/>
    </row>
    <row r="71" spans="1:38" ht="13.8">
      <c r="A71" s="73"/>
      <c r="B71" s="74"/>
      <c r="C71" s="116"/>
      <c r="D71" s="24"/>
      <c r="E71" s="24"/>
      <c r="F71" s="24"/>
      <c r="G71" s="24"/>
      <c r="H71" s="24"/>
      <c r="I71" s="24"/>
      <c r="J71" s="63"/>
      <c r="K71" s="24"/>
      <c r="L71" s="118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119"/>
      <c r="X71" s="50"/>
      <c r="Y71" s="50"/>
      <c r="Z71" s="50"/>
      <c r="AA71" s="50"/>
      <c r="AB71" s="50"/>
      <c r="AC71" s="116"/>
      <c r="AD71" s="24"/>
      <c r="AE71" s="24"/>
      <c r="AF71" s="50"/>
      <c r="AG71" s="50"/>
      <c r="AH71" s="50"/>
      <c r="AI71" s="50"/>
      <c r="AJ71" s="50"/>
      <c r="AK71" s="50"/>
      <c r="AL71" s="50"/>
    </row>
    <row r="72" spans="1:38" ht="13.8">
      <c r="A72" s="73"/>
      <c r="B72" s="74"/>
      <c r="C72" s="116"/>
      <c r="D72" s="24"/>
      <c r="E72" s="24"/>
      <c r="F72" s="24"/>
      <c r="G72" s="24"/>
      <c r="H72" s="24"/>
      <c r="I72" s="24"/>
      <c r="J72" s="63"/>
      <c r="K72" s="24"/>
      <c r="L72" s="118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119"/>
      <c r="X72" s="50"/>
      <c r="Y72" s="50"/>
      <c r="Z72" s="50"/>
      <c r="AA72" s="50"/>
      <c r="AB72" s="50"/>
      <c r="AC72" s="116"/>
      <c r="AD72" s="24"/>
      <c r="AE72" s="24"/>
      <c r="AF72" s="50"/>
      <c r="AG72" s="50"/>
      <c r="AH72" s="50"/>
      <c r="AI72" s="50"/>
      <c r="AJ72" s="50"/>
      <c r="AK72" s="50"/>
      <c r="AL72" s="50"/>
    </row>
    <row r="73" spans="1:38" ht="13.8">
      <c r="A73" s="73"/>
      <c r="B73" s="74"/>
      <c r="C73" s="116" t="s">
        <v>214</v>
      </c>
      <c r="D73" s="24"/>
      <c r="E73" s="24"/>
      <c r="F73" s="24"/>
      <c r="G73" s="24"/>
      <c r="H73" s="24"/>
      <c r="I73" s="24"/>
      <c r="J73" s="63"/>
      <c r="K73" s="24"/>
      <c r="L73" s="118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119"/>
      <c r="X73" s="50"/>
      <c r="Y73" s="50"/>
      <c r="Z73" s="50"/>
      <c r="AA73" s="50"/>
      <c r="AB73" s="50"/>
      <c r="AC73" s="116"/>
      <c r="AD73" s="24"/>
      <c r="AE73" s="24"/>
      <c r="AF73" s="50"/>
      <c r="AG73" s="50"/>
      <c r="AH73" s="50"/>
      <c r="AI73" s="50"/>
      <c r="AJ73" s="50"/>
      <c r="AK73" s="50"/>
      <c r="AL73" s="50"/>
    </row>
    <row r="74" spans="1:38" ht="13.8">
      <c r="A74" s="73"/>
      <c r="B74" s="74"/>
      <c r="C74" s="116"/>
      <c r="D74" s="24"/>
      <c r="E74" s="24"/>
      <c r="F74" s="24"/>
      <c r="G74" s="24"/>
      <c r="H74" s="24"/>
      <c r="I74" s="24"/>
      <c r="J74" s="63"/>
      <c r="K74" s="24"/>
      <c r="L74" s="118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119"/>
      <c r="X74" s="50"/>
      <c r="Y74" s="50"/>
      <c r="Z74" s="50"/>
      <c r="AA74" s="50"/>
      <c r="AB74" s="50"/>
      <c r="AC74" s="116"/>
      <c r="AD74" s="24"/>
      <c r="AE74" s="24"/>
      <c r="AF74" s="50"/>
      <c r="AG74" s="50"/>
      <c r="AH74" s="50"/>
      <c r="AI74" s="50"/>
      <c r="AJ74" s="50"/>
      <c r="AK74" s="50"/>
      <c r="AL74" s="50"/>
    </row>
    <row r="75" spans="1:38" ht="13.8">
      <c r="A75" s="73"/>
      <c r="B75" s="74"/>
      <c r="C75" s="116"/>
      <c r="D75" s="24"/>
      <c r="E75" s="24"/>
      <c r="F75" s="24"/>
      <c r="G75" s="24"/>
      <c r="H75" s="24"/>
      <c r="I75" s="24"/>
      <c r="J75" s="63"/>
      <c r="K75" s="24"/>
      <c r="L75" s="118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119"/>
      <c r="X75" s="50"/>
      <c r="Y75" s="50"/>
      <c r="Z75" s="50"/>
      <c r="AA75" s="50"/>
      <c r="AB75" s="50"/>
      <c r="AC75" s="116"/>
      <c r="AD75" s="24"/>
      <c r="AE75" s="24"/>
      <c r="AF75" s="50"/>
      <c r="AG75" s="50"/>
      <c r="AH75" s="50"/>
      <c r="AI75" s="50"/>
      <c r="AJ75" s="50"/>
      <c r="AK75" s="50"/>
      <c r="AL75" s="50"/>
    </row>
    <row r="76" spans="1:38" ht="13.8">
      <c r="A76" s="73"/>
      <c r="B76" s="74"/>
      <c r="C76" s="116"/>
      <c r="D76" s="24"/>
      <c r="E76" s="24"/>
      <c r="F76" s="24"/>
      <c r="G76" s="24"/>
      <c r="H76" s="24"/>
      <c r="I76" s="24"/>
      <c r="J76" s="63"/>
      <c r="K76" s="24"/>
      <c r="L76" s="118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119"/>
      <c r="X76" s="50"/>
      <c r="Y76" s="50"/>
      <c r="Z76" s="50"/>
      <c r="AA76" s="50"/>
      <c r="AB76" s="50"/>
      <c r="AC76" s="116"/>
      <c r="AD76" s="24"/>
      <c r="AE76" s="24"/>
      <c r="AF76" s="50"/>
      <c r="AG76" s="50"/>
      <c r="AH76" s="50"/>
      <c r="AI76" s="50"/>
      <c r="AJ76" s="50"/>
      <c r="AK76" s="50"/>
      <c r="AL76" s="50"/>
    </row>
    <row r="77" spans="1:38" ht="13.8">
      <c r="A77" s="73"/>
      <c r="B77" s="74"/>
      <c r="C77" s="116"/>
      <c r="D77" s="24"/>
      <c r="E77" s="24"/>
      <c r="F77" s="24"/>
      <c r="G77" s="24"/>
      <c r="H77" s="24"/>
      <c r="I77" s="24"/>
      <c r="J77" s="63"/>
      <c r="K77" s="24"/>
      <c r="L77" s="118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119"/>
      <c r="X77" s="50"/>
      <c r="Y77" s="50"/>
      <c r="Z77" s="50"/>
      <c r="AA77" s="50"/>
      <c r="AB77" s="50"/>
      <c r="AC77" s="116"/>
      <c r="AD77" s="24"/>
      <c r="AE77" s="24"/>
      <c r="AF77" s="50"/>
      <c r="AG77" s="50"/>
      <c r="AH77" s="50"/>
      <c r="AI77" s="50"/>
      <c r="AJ77" s="50"/>
      <c r="AK77" s="50"/>
      <c r="AL77" s="50"/>
    </row>
    <row r="78" spans="1:38" ht="13.8">
      <c r="A78" s="73"/>
      <c r="B78" s="74"/>
      <c r="C78" s="116"/>
      <c r="D78" s="24"/>
      <c r="E78" s="24"/>
      <c r="F78" s="24"/>
      <c r="G78" s="24"/>
      <c r="H78" s="24"/>
      <c r="I78" s="24"/>
      <c r="J78" s="63"/>
      <c r="K78" s="24"/>
      <c r="L78" s="118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119"/>
      <c r="X78" s="50"/>
      <c r="Y78" s="50"/>
      <c r="Z78" s="50"/>
      <c r="AA78" s="50"/>
      <c r="AB78" s="50"/>
      <c r="AC78" s="116"/>
      <c r="AD78" s="24"/>
      <c r="AE78" s="24"/>
      <c r="AF78" s="50"/>
      <c r="AG78" s="50"/>
      <c r="AH78" s="50"/>
      <c r="AI78" s="50"/>
      <c r="AJ78" s="50"/>
      <c r="AK78" s="50"/>
      <c r="AL78" s="50"/>
    </row>
    <row r="79" spans="1:38" ht="13.8">
      <c r="A79" s="73"/>
      <c r="B79" s="74"/>
      <c r="C79" s="116"/>
      <c r="D79" s="24"/>
      <c r="E79" s="24"/>
      <c r="F79" s="24"/>
      <c r="G79" s="24"/>
      <c r="H79" s="24"/>
      <c r="I79" s="24"/>
      <c r="J79" s="63"/>
      <c r="K79" s="24"/>
      <c r="L79" s="118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119"/>
      <c r="X79" s="50"/>
      <c r="Y79" s="50"/>
      <c r="Z79" s="50"/>
      <c r="AA79" s="50"/>
      <c r="AB79" s="50"/>
      <c r="AC79" s="116"/>
      <c r="AD79" s="24"/>
      <c r="AE79" s="24"/>
      <c r="AF79" s="50"/>
      <c r="AG79" s="50"/>
      <c r="AH79" s="50"/>
      <c r="AI79" s="50"/>
      <c r="AJ79" s="50"/>
      <c r="AK79" s="50"/>
      <c r="AL79" s="50"/>
    </row>
    <row r="80" spans="1:38" ht="13.8">
      <c r="A80" s="73"/>
      <c r="B80" s="74"/>
      <c r="C80" s="116"/>
      <c r="D80" s="24"/>
      <c r="E80" s="24"/>
      <c r="F80" s="24"/>
      <c r="G80" s="24"/>
      <c r="H80" s="24"/>
      <c r="I80" s="24"/>
      <c r="J80" s="63"/>
      <c r="K80" s="24"/>
      <c r="L80" s="118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119"/>
      <c r="X80" s="50"/>
      <c r="Y80" s="50"/>
      <c r="Z80" s="50"/>
      <c r="AA80" s="50"/>
      <c r="AB80" s="50"/>
      <c r="AC80" s="116"/>
      <c r="AD80" s="24"/>
      <c r="AE80" s="24"/>
      <c r="AF80" s="50"/>
      <c r="AG80" s="50"/>
      <c r="AH80" s="50"/>
      <c r="AI80" s="50"/>
      <c r="AJ80" s="50"/>
      <c r="AK80" s="50"/>
      <c r="AL80" s="50"/>
    </row>
    <row r="81" spans="1:38" ht="13.8">
      <c r="A81" s="73"/>
      <c r="B81" s="74"/>
      <c r="C81" s="116"/>
      <c r="D81" s="24"/>
      <c r="E81" s="24"/>
      <c r="F81" s="24"/>
      <c r="G81" s="24"/>
      <c r="H81" s="24"/>
      <c r="I81" s="24"/>
      <c r="J81" s="63"/>
      <c r="K81" s="24"/>
      <c r="L81" s="118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119"/>
      <c r="X81" s="50"/>
      <c r="Y81" s="50"/>
      <c r="Z81" s="50"/>
      <c r="AA81" s="50"/>
      <c r="AB81" s="50"/>
      <c r="AC81" s="116"/>
      <c r="AD81" s="24"/>
      <c r="AE81" s="24"/>
      <c r="AF81" s="50"/>
      <c r="AG81" s="50"/>
      <c r="AH81" s="50"/>
      <c r="AI81" s="50"/>
      <c r="AJ81" s="50"/>
      <c r="AK81" s="50"/>
      <c r="AL81" s="50"/>
    </row>
    <row r="82" spans="1:38" ht="13.8">
      <c r="A82" s="73"/>
      <c r="B82" s="74"/>
      <c r="C82" s="116"/>
      <c r="D82" s="24"/>
      <c r="E82" s="24"/>
      <c r="F82" s="24"/>
      <c r="G82" s="24"/>
      <c r="H82" s="24"/>
      <c r="I82" s="24"/>
      <c r="J82" s="63"/>
      <c r="K82" s="24"/>
      <c r="L82" s="118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119"/>
      <c r="X82" s="50"/>
      <c r="Y82" s="50"/>
      <c r="Z82" s="50"/>
      <c r="AA82" s="50"/>
      <c r="AB82" s="50"/>
      <c r="AC82" s="116"/>
      <c r="AD82" s="24"/>
      <c r="AE82" s="24"/>
      <c r="AF82" s="50"/>
      <c r="AG82" s="50"/>
      <c r="AH82" s="50"/>
      <c r="AI82" s="50"/>
      <c r="AJ82" s="50"/>
      <c r="AK82" s="50"/>
      <c r="AL82" s="50"/>
    </row>
    <row r="83" spans="1:38" ht="13.8">
      <c r="A83" s="73"/>
      <c r="B83" s="74"/>
      <c r="C83" s="116"/>
      <c r="D83" s="24"/>
      <c r="E83" s="24"/>
      <c r="F83" s="24"/>
      <c r="G83" s="24"/>
      <c r="H83" s="24"/>
      <c r="I83" s="24"/>
      <c r="J83" s="63"/>
      <c r="K83" s="24"/>
      <c r="L83" s="118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119"/>
      <c r="X83" s="50"/>
      <c r="Y83" s="50"/>
      <c r="Z83" s="50"/>
      <c r="AA83" s="50"/>
      <c r="AB83" s="50"/>
      <c r="AC83" s="116"/>
      <c r="AD83" s="24"/>
      <c r="AE83" s="24"/>
      <c r="AF83" s="50"/>
      <c r="AG83" s="50"/>
      <c r="AH83" s="50"/>
      <c r="AI83" s="50"/>
      <c r="AJ83" s="50"/>
      <c r="AK83" s="50"/>
      <c r="AL83" s="50"/>
    </row>
    <row r="84" spans="1:38" ht="13.8">
      <c r="A84" s="73"/>
      <c r="B84" s="74"/>
      <c r="C84" s="116"/>
      <c r="D84" s="24"/>
      <c r="E84" s="24"/>
      <c r="F84" s="24"/>
      <c r="G84" s="24"/>
      <c r="H84" s="24"/>
      <c r="I84" s="24"/>
      <c r="J84" s="63"/>
      <c r="K84" s="24"/>
      <c r="L84" s="118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119"/>
      <c r="X84" s="50"/>
      <c r="Y84" s="50"/>
      <c r="Z84" s="50"/>
      <c r="AA84" s="50"/>
      <c r="AB84" s="50"/>
      <c r="AC84" s="116"/>
      <c r="AD84" s="24"/>
      <c r="AE84" s="24"/>
      <c r="AF84" s="50"/>
      <c r="AG84" s="50"/>
      <c r="AH84" s="50"/>
      <c r="AI84" s="50"/>
      <c r="AJ84" s="50"/>
      <c r="AK84" s="50"/>
      <c r="AL84" s="50"/>
    </row>
    <row r="85" spans="1:38" ht="13.8">
      <c r="A85" s="73"/>
      <c r="B85" s="74"/>
      <c r="C85" s="116"/>
      <c r="D85" s="24"/>
      <c r="E85" s="24"/>
      <c r="F85" s="24"/>
      <c r="G85" s="24"/>
      <c r="H85" s="24"/>
      <c r="I85" s="24"/>
      <c r="J85" s="63"/>
      <c r="K85" s="24"/>
      <c r="L85" s="118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119"/>
      <c r="X85" s="50"/>
      <c r="Y85" s="50"/>
      <c r="Z85" s="50"/>
      <c r="AA85" s="50"/>
      <c r="AB85" s="50"/>
      <c r="AC85" s="116"/>
      <c r="AD85" s="24"/>
      <c r="AE85" s="24"/>
      <c r="AF85" s="50"/>
      <c r="AG85" s="50"/>
      <c r="AH85" s="50"/>
      <c r="AI85" s="50"/>
      <c r="AJ85" s="50"/>
      <c r="AK85" s="50"/>
      <c r="AL85" s="50"/>
    </row>
    <row r="86" spans="1:38" ht="13.8">
      <c r="A86" s="73"/>
      <c r="B86" s="74"/>
      <c r="C86" s="116"/>
      <c r="D86" s="24"/>
      <c r="E86" s="24"/>
      <c r="F86" s="24"/>
      <c r="G86" s="24"/>
      <c r="H86" s="24"/>
      <c r="I86" s="24"/>
      <c r="J86" s="63"/>
      <c r="K86" s="24"/>
      <c r="L86" s="118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119"/>
      <c r="X86" s="50"/>
      <c r="Y86" s="50"/>
      <c r="Z86" s="50"/>
      <c r="AA86" s="50"/>
      <c r="AB86" s="50"/>
      <c r="AC86" s="116"/>
      <c r="AD86" s="24"/>
      <c r="AE86" s="24"/>
      <c r="AF86" s="50"/>
      <c r="AG86" s="50"/>
      <c r="AH86" s="50"/>
      <c r="AI86" s="50"/>
      <c r="AJ86" s="50"/>
      <c r="AK86" s="50"/>
      <c r="AL86" s="50"/>
    </row>
    <row r="87" spans="1:38" ht="13.8">
      <c r="A87" s="73"/>
      <c r="B87" s="74"/>
      <c r="C87" s="116"/>
      <c r="D87" s="24"/>
      <c r="E87" s="24"/>
      <c r="F87" s="24"/>
      <c r="G87" s="24"/>
      <c r="H87" s="24"/>
      <c r="I87" s="24"/>
      <c r="J87" s="63"/>
      <c r="K87" s="24"/>
      <c r="L87" s="118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119"/>
      <c r="X87" s="50"/>
      <c r="Y87" s="50"/>
      <c r="Z87" s="50"/>
      <c r="AA87" s="50"/>
      <c r="AB87" s="50"/>
      <c r="AC87" s="116"/>
      <c r="AD87" s="24"/>
      <c r="AE87" s="24"/>
      <c r="AF87" s="50"/>
      <c r="AG87" s="50"/>
      <c r="AH87" s="50"/>
      <c r="AI87" s="50"/>
      <c r="AJ87" s="50"/>
      <c r="AK87" s="50"/>
      <c r="AL87" s="50"/>
    </row>
    <row r="88" spans="1:38" ht="13.8">
      <c r="A88" s="73"/>
      <c r="B88" s="74"/>
      <c r="C88" s="116"/>
      <c r="D88" s="24"/>
      <c r="E88" s="24"/>
      <c r="F88" s="24"/>
      <c r="G88" s="24"/>
      <c r="H88" s="24"/>
      <c r="I88" s="24"/>
      <c r="J88" s="63"/>
      <c r="K88" s="24"/>
      <c r="L88" s="118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119"/>
      <c r="X88" s="50"/>
      <c r="Y88" s="50"/>
      <c r="Z88" s="50"/>
      <c r="AA88" s="50"/>
      <c r="AB88" s="50"/>
      <c r="AC88" s="116"/>
      <c r="AD88" s="24"/>
      <c r="AE88" s="24"/>
      <c r="AF88" s="50"/>
      <c r="AG88" s="50"/>
      <c r="AH88" s="50"/>
      <c r="AI88" s="50"/>
      <c r="AJ88" s="50"/>
      <c r="AK88" s="50"/>
      <c r="AL88" s="50"/>
    </row>
    <row r="89" spans="1:38" ht="13.8">
      <c r="A89" s="73"/>
      <c r="B89" s="74"/>
      <c r="C89" s="116"/>
      <c r="D89" s="24"/>
      <c r="E89" s="24"/>
      <c r="F89" s="24"/>
      <c r="G89" s="24"/>
      <c r="H89" s="24"/>
      <c r="I89" s="24"/>
      <c r="J89" s="63"/>
      <c r="K89" s="24"/>
      <c r="L89" s="118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119"/>
      <c r="X89" s="50"/>
      <c r="Y89" s="50"/>
      <c r="Z89" s="50"/>
      <c r="AA89" s="50"/>
      <c r="AB89" s="50"/>
      <c r="AC89" s="116"/>
      <c r="AD89" s="24"/>
      <c r="AE89" s="24"/>
      <c r="AF89" s="50"/>
      <c r="AG89" s="50"/>
      <c r="AH89" s="50"/>
      <c r="AI89" s="50"/>
      <c r="AJ89" s="50"/>
      <c r="AK89" s="50"/>
      <c r="AL89" s="50"/>
    </row>
    <row r="90" spans="1:38" ht="13.8">
      <c r="A90" s="73"/>
      <c r="B90" s="74"/>
      <c r="C90" s="116"/>
      <c r="D90" s="24"/>
      <c r="E90" s="24"/>
      <c r="F90" s="24"/>
      <c r="G90" s="24"/>
      <c r="H90" s="24"/>
      <c r="I90" s="24"/>
      <c r="J90" s="63"/>
      <c r="K90" s="24"/>
      <c r="L90" s="118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119"/>
      <c r="X90" s="50"/>
      <c r="Y90" s="50"/>
      <c r="Z90" s="50"/>
      <c r="AA90" s="50"/>
      <c r="AB90" s="50"/>
      <c r="AC90" s="116"/>
      <c r="AD90" s="24"/>
      <c r="AE90" s="24"/>
      <c r="AF90" s="50"/>
      <c r="AG90" s="50"/>
      <c r="AH90" s="50"/>
      <c r="AI90" s="50"/>
      <c r="AJ90" s="50"/>
      <c r="AK90" s="50"/>
      <c r="AL90" s="50"/>
    </row>
    <row r="91" spans="1:38" ht="13.8">
      <c r="A91" s="73"/>
      <c r="B91" s="74"/>
      <c r="C91" s="116"/>
      <c r="D91" s="24"/>
      <c r="E91" s="24"/>
      <c r="F91" s="24"/>
      <c r="G91" s="24"/>
      <c r="H91" s="24"/>
      <c r="I91" s="24"/>
      <c r="J91" s="63"/>
      <c r="K91" s="24"/>
      <c r="L91" s="118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119"/>
      <c r="X91" s="50"/>
      <c r="Y91" s="50"/>
      <c r="Z91" s="50"/>
      <c r="AA91" s="50"/>
      <c r="AB91" s="50"/>
      <c r="AC91" s="116"/>
      <c r="AD91" s="24"/>
      <c r="AE91" s="24"/>
      <c r="AF91" s="50"/>
      <c r="AG91" s="50"/>
      <c r="AH91" s="50"/>
      <c r="AI91" s="50"/>
      <c r="AJ91" s="50"/>
      <c r="AK91" s="50"/>
      <c r="AL91" s="50"/>
    </row>
    <row r="92" spans="1:38" ht="13.8">
      <c r="A92" s="73"/>
      <c r="B92" s="74"/>
      <c r="C92" s="116"/>
      <c r="D92" s="24"/>
      <c r="E92" s="24"/>
      <c r="F92" s="24"/>
      <c r="G92" s="24"/>
      <c r="H92" s="24"/>
      <c r="I92" s="24"/>
      <c r="J92" s="63"/>
      <c r="K92" s="24"/>
      <c r="L92" s="118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119"/>
      <c r="X92" s="50"/>
      <c r="Y92" s="50"/>
      <c r="Z92" s="50"/>
      <c r="AA92" s="50"/>
      <c r="AB92" s="50"/>
      <c r="AC92" s="116"/>
      <c r="AD92" s="24"/>
      <c r="AE92" s="24"/>
      <c r="AF92" s="50"/>
      <c r="AG92" s="50"/>
      <c r="AH92" s="50"/>
      <c r="AI92" s="50"/>
      <c r="AJ92" s="50"/>
      <c r="AK92" s="50"/>
      <c r="AL92" s="50"/>
    </row>
    <row r="93" spans="1:38" ht="13.8">
      <c r="A93" s="73"/>
      <c r="B93" s="74"/>
      <c r="C93" s="116"/>
      <c r="D93" s="24"/>
      <c r="E93" s="24"/>
      <c r="F93" s="24"/>
      <c r="G93" s="24"/>
      <c r="H93" s="24"/>
      <c r="I93" s="24"/>
      <c r="J93" s="63"/>
      <c r="K93" s="24"/>
      <c r="L93" s="118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119"/>
      <c r="X93" s="50"/>
      <c r="Y93" s="50"/>
      <c r="Z93" s="50"/>
      <c r="AA93" s="50"/>
      <c r="AB93" s="50"/>
      <c r="AC93" s="116"/>
      <c r="AD93" s="24"/>
      <c r="AE93" s="24"/>
      <c r="AF93" s="50"/>
      <c r="AG93" s="50"/>
      <c r="AH93" s="50"/>
      <c r="AI93" s="50"/>
      <c r="AJ93" s="50"/>
      <c r="AK93" s="50"/>
      <c r="AL93" s="50"/>
    </row>
    <row r="94" spans="1:38" ht="13.8">
      <c r="A94" s="73"/>
      <c r="B94" s="74"/>
      <c r="C94" s="116"/>
      <c r="D94" s="24"/>
      <c r="E94" s="24"/>
      <c r="F94" s="24"/>
      <c r="G94" s="24"/>
      <c r="H94" s="24"/>
      <c r="I94" s="24"/>
      <c r="J94" s="63"/>
      <c r="K94" s="24"/>
      <c r="L94" s="118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119"/>
      <c r="X94" s="50"/>
      <c r="Y94" s="50"/>
      <c r="Z94" s="50"/>
      <c r="AA94" s="50"/>
      <c r="AB94" s="50"/>
      <c r="AC94" s="116"/>
      <c r="AD94" s="24"/>
      <c r="AE94" s="24"/>
      <c r="AF94" s="50"/>
      <c r="AG94" s="50"/>
      <c r="AH94" s="50"/>
      <c r="AI94" s="50"/>
      <c r="AJ94" s="50"/>
      <c r="AK94" s="50"/>
      <c r="AL94" s="50"/>
    </row>
    <row r="95" spans="1:38" ht="13.8">
      <c r="A95" s="73"/>
      <c r="B95" s="74"/>
      <c r="C95" s="116"/>
      <c r="D95" s="24"/>
      <c r="E95" s="24"/>
      <c r="F95" s="24"/>
      <c r="G95" s="24"/>
      <c r="H95" s="24"/>
      <c r="I95" s="24"/>
      <c r="J95" s="63"/>
      <c r="K95" s="24"/>
      <c r="L95" s="118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119"/>
      <c r="X95" s="50"/>
      <c r="Y95" s="50"/>
      <c r="Z95" s="50"/>
      <c r="AA95" s="50"/>
      <c r="AB95" s="50"/>
      <c r="AC95" s="116"/>
      <c r="AD95" s="24"/>
      <c r="AE95" s="24"/>
      <c r="AF95" s="50"/>
      <c r="AG95" s="50"/>
      <c r="AH95" s="50"/>
      <c r="AI95" s="50"/>
      <c r="AJ95" s="50"/>
      <c r="AK95" s="50"/>
      <c r="AL95" s="50"/>
    </row>
    <row r="96" spans="1:38" ht="13.8">
      <c r="A96" s="73"/>
      <c r="B96" s="74"/>
      <c r="C96" s="116"/>
      <c r="D96" s="24"/>
      <c r="E96" s="24"/>
      <c r="F96" s="24"/>
      <c r="G96" s="24"/>
      <c r="H96" s="24"/>
      <c r="I96" s="24"/>
      <c r="J96" s="63"/>
      <c r="K96" s="24"/>
      <c r="L96" s="118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119"/>
      <c r="X96" s="50"/>
      <c r="Y96" s="50"/>
      <c r="Z96" s="50"/>
      <c r="AA96" s="50"/>
      <c r="AB96" s="50"/>
      <c r="AC96" s="116"/>
      <c r="AD96" s="24"/>
      <c r="AE96" s="24"/>
      <c r="AF96" s="50"/>
      <c r="AG96" s="50"/>
      <c r="AH96" s="50"/>
      <c r="AI96" s="50"/>
      <c r="AJ96" s="50"/>
      <c r="AK96" s="50"/>
      <c r="AL96" s="50"/>
    </row>
    <row r="97" spans="1:38" ht="13.8">
      <c r="A97" s="73"/>
      <c r="B97" s="74"/>
      <c r="C97" s="116"/>
      <c r="D97" s="24"/>
      <c r="E97" s="24"/>
      <c r="F97" s="24"/>
      <c r="G97" s="24"/>
      <c r="H97" s="24"/>
      <c r="I97" s="24"/>
      <c r="J97" s="63"/>
      <c r="K97" s="24"/>
      <c r="L97" s="118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119"/>
      <c r="X97" s="50"/>
      <c r="Y97" s="50"/>
      <c r="Z97" s="50"/>
      <c r="AA97" s="50"/>
      <c r="AB97" s="50"/>
      <c r="AC97" s="116"/>
      <c r="AD97" s="24"/>
      <c r="AE97" s="24"/>
      <c r="AF97" s="50"/>
      <c r="AG97" s="50"/>
      <c r="AH97" s="50"/>
      <c r="AI97" s="50"/>
      <c r="AJ97" s="50"/>
      <c r="AK97" s="50"/>
      <c r="AL97" s="50"/>
    </row>
    <row r="98" spans="1:38" ht="13.8">
      <c r="A98" s="73"/>
      <c r="B98" s="74"/>
      <c r="C98" s="116"/>
      <c r="D98" s="24"/>
      <c r="E98" s="24"/>
      <c r="F98" s="24"/>
      <c r="G98" s="24"/>
      <c r="H98" s="24"/>
      <c r="I98" s="24"/>
      <c r="J98" s="63"/>
      <c r="K98" s="24"/>
      <c r="L98" s="118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119"/>
      <c r="X98" s="50"/>
      <c r="Y98" s="50"/>
      <c r="Z98" s="50"/>
      <c r="AA98" s="50"/>
      <c r="AB98" s="50"/>
      <c r="AC98" s="116"/>
      <c r="AD98" s="24"/>
      <c r="AE98" s="24"/>
      <c r="AF98" s="50"/>
      <c r="AG98" s="50"/>
      <c r="AH98" s="50"/>
      <c r="AI98" s="50"/>
      <c r="AJ98" s="50"/>
      <c r="AK98" s="50"/>
      <c r="AL98" s="50"/>
    </row>
    <row r="99" spans="1:38" ht="13.8">
      <c r="A99" s="73"/>
      <c r="B99" s="74"/>
      <c r="C99" s="116"/>
      <c r="D99" s="24"/>
      <c r="E99" s="24"/>
      <c r="F99" s="24"/>
      <c r="G99" s="24"/>
      <c r="H99" s="24"/>
      <c r="I99" s="24"/>
      <c r="J99" s="63"/>
      <c r="K99" s="24"/>
      <c r="L99" s="118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119"/>
      <c r="X99" s="50"/>
      <c r="Y99" s="50"/>
      <c r="Z99" s="50"/>
      <c r="AA99" s="50"/>
      <c r="AB99" s="50"/>
      <c r="AC99" s="116"/>
      <c r="AD99" s="24"/>
      <c r="AE99" s="24"/>
      <c r="AF99" s="50"/>
      <c r="AG99" s="50"/>
      <c r="AH99" s="50"/>
      <c r="AI99" s="50"/>
      <c r="AJ99" s="50"/>
      <c r="AK99" s="50"/>
      <c r="AL99" s="50"/>
    </row>
    <row r="100" spans="1:38" ht="13.8">
      <c r="A100" s="73"/>
      <c r="B100" s="74"/>
      <c r="C100" s="116"/>
      <c r="D100" s="24"/>
      <c r="E100" s="24"/>
      <c r="F100" s="24"/>
      <c r="G100" s="24"/>
      <c r="H100" s="24"/>
      <c r="I100" s="24"/>
      <c r="J100" s="63"/>
      <c r="K100" s="24"/>
      <c r="L100" s="118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119"/>
      <c r="X100" s="50"/>
      <c r="Y100" s="50"/>
      <c r="Z100" s="50"/>
      <c r="AA100" s="50"/>
      <c r="AB100" s="50"/>
      <c r="AC100" s="116"/>
      <c r="AD100" s="24"/>
      <c r="AE100" s="24"/>
      <c r="AF100" s="50"/>
      <c r="AG100" s="50"/>
      <c r="AH100" s="50"/>
      <c r="AI100" s="50"/>
      <c r="AJ100" s="50"/>
      <c r="AK100" s="50"/>
      <c r="AL100" s="50"/>
    </row>
    <row r="101" spans="1:38" ht="13.8">
      <c r="A101" s="73"/>
      <c r="B101" s="74"/>
      <c r="C101" s="116"/>
      <c r="D101" s="24"/>
      <c r="E101" s="24"/>
      <c r="F101" s="24"/>
      <c r="G101" s="24"/>
      <c r="H101" s="24"/>
      <c r="I101" s="24"/>
      <c r="J101" s="63"/>
      <c r="K101" s="24"/>
      <c r="L101" s="118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119"/>
      <c r="X101" s="50"/>
      <c r="Y101" s="50"/>
      <c r="Z101" s="50"/>
      <c r="AA101" s="50"/>
      <c r="AB101" s="50"/>
      <c r="AC101" s="116"/>
      <c r="AD101" s="24"/>
      <c r="AE101" s="24"/>
      <c r="AF101" s="50"/>
      <c r="AG101" s="50"/>
      <c r="AH101" s="50"/>
      <c r="AI101" s="50"/>
      <c r="AJ101" s="50"/>
      <c r="AK101" s="50"/>
      <c r="AL101" s="50"/>
    </row>
    <row r="102" spans="1:38" ht="13.8">
      <c r="A102" s="73"/>
      <c r="B102" s="74"/>
      <c r="C102" s="116"/>
      <c r="D102" s="24"/>
      <c r="E102" s="24"/>
      <c r="F102" s="24"/>
      <c r="G102" s="24"/>
      <c r="H102" s="24"/>
      <c r="I102" s="24"/>
      <c r="J102" s="63"/>
      <c r="K102" s="24"/>
      <c r="L102" s="118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119"/>
      <c r="X102" s="50"/>
      <c r="Y102" s="50"/>
      <c r="Z102" s="50"/>
      <c r="AA102" s="50"/>
      <c r="AB102" s="50"/>
      <c r="AC102" s="116"/>
      <c r="AD102" s="24"/>
      <c r="AE102" s="24"/>
      <c r="AF102" s="50"/>
      <c r="AG102" s="50"/>
      <c r="AH102" s="50"/>
      <c r="AI102" s="50"/>
      <c r="AJ102" s="50"/>
      <c r="AK102" s="50"/>
      <c r="AL102" s="50"/>
    </row>
    <row r="103" spans="1:38" ht="13.8">
      <c r="A103" s="73"/>
      <c r="B103" s="74"/>
      <c r="C103" s="116"/>
      <c r="D103" s="24"/>
      <c r="E103" s="24"/>
      <c r="F103" s="24"/>
      <c r="G103" s="24"/>
      <c r="H103" s="24"/>
      <c r="I103" s="24"/>
      <c r="J103" s="63"/>
      <c r="K103" s="24"/>
      <c r="L103" s="118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119"/>
      <c r="X103" s="50"/>
      <c r="Y103" s="50"/>
      <c r="Z103" s="50"/>
      <c r="AA103" s="50"/>
      <c r="AB103" s="50"/>
      <c r="AC103" s="116"/>
      <c r="AD103" s="24"/>
      <c r="AE103" s="24"/>
      <c r="AF103" s="50"/>
      <c r="AG103" s="50"/>
      <c r="AH103" s="50"/>
      <c r="AI103" s="50"/>
      <c r="AJ103" s="50"/>
      <c r="AK103" s="50"/>
      <c r="AL103" s="50"/>
    </row>
    <row r="104" spans="1:38" ht="13.8">
      <c r="A104" s="73"/>
      <c r="B104" s="74"/>
      <c r="C104" s="116"/>
      <c r="D104" s="24"/>
      <c r="E104" s="24"/>
      <c r="F104" s="24"/>
      <c r="G104" s="24"/>
      <c r="H104" s="24"/>
      <c r="I104" s="24"/>
      <c r="J104" s="63"/>
      <c r="K104" s="24"/>
      <c r="L104" s="118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119"/>
      <c r="X104" s="50"/>
      <c r="Y104" s="50"/>
      <c r="Z104" s="50"/>
      <c r="AA104" s="50"/>
      <c r="AB104" s="50"/>
      <c r="AC104" s="116"/>
      <c r="AD104" s="24"/>
      <c r="AE104" s="24"/>
      <c r="AF104" s="50"/>
      <c r="AG104" s="50"/>
      <c r="AH104" s="50"/>
      <c r="AI104" s="50"/>
      <c r="AJ104" s="50"/>
      <c r="AK104" s="50"/>
      <c r="AL104" s="50"/>
    </row>
    <row r="105" spans="1:38" ht="13.8">
      <c r="A105" s="73"/>
      <c r="B105" s="74"/>
      <c r="C105" s="116"/>
      <c r="D105" s="24"/>
      <c r="E105" s="24"/>
      <c r="F105" s="24"/>
      <c r="G105" s="24"/>
      <c r="H105" s="24"/>
      <c r="I105" s="24"/>
      <c r="J105" s="63"/>
      <c r="K105" s="24"/>
      <c r="L105" s="118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119"/>
      <c r="X105" s="50"/>
      <c r="Y105" s="50"/>
      <c r="Z105" s="50"/>
      <c r="AA105" s="50"/>
      <c r="AB105" s="50"/>
      <c r="AC105" s="116"/>
      <c r="AD105" s="24"/>
      <c r="AE105" s="24"/>
      <c r="AF105" s="50"/>
      <c r="AG105" s="50"/>
      <c r="AH105" s="50"/>
      <c r="AI105" s="50"/>
      <c r="AJ105" s="50"/>
      <c r="AK105" s="50"/>
      <c r="AL105" s="50"/>
    </row>
    <row r="106" spans="1:38" ht="13.8">
      <c r="A106" s="73"/>
      <c r="B106" s="74"/>
      <c r="C106" s="116"/>
      <c r="D106" s="24"/>
      <c r="E106" s="24"/>
      <c r="F106" s="24"/>
      <c r="G106" s="24"/>
      <c r="H106" s="24"/>
      <c r="I106" s="24"/>
      <c r="J106" s="63"/>
      <c r="K106" s="24"/>
      <c r="L106" s="118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119"/>
      <c r="X106" s="50"/>
      <c r="Y106" s="50"/>
      <c r="Z106" s="50"/>
      <c r="AA106" s="50"/>
      <c r="AB106" s="50"/>
      <c r="AC106" s="116"/>
      <c r="AD106" s="24"/>
      <c r="AE106" s="24"/>
      <c r="AF106" s="50"/>
      <c r="AG106" s="50"/>
      <c r="AH106" s="50"/>
      <c r="AI106" s="50"/>
      <c r="AJ106" s="50"/>
      <c r="AK106" s="50"/>
      <c r="AL106" s="50"/>
    </row>
    <row r="107" spans="1:38" ht="13.8">
      <c r="A107" s="73"/>
      <c r="B107" s="74"/>
      <c r="C107" s="116"/>
      <c r="D107" s="24"/>
      <c r="E107" s="24"/>
      <c r="F107" s="24"/>
      <c r="G107" s="24"/>
      <c r="H107" s="24"/>
      <c r="I107" s="24"/>
      <c r="J107" s="63"/>
      <c r="K107" s="24"/>
      <c r="L107" s="118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119"/>
      <c r="X107" s="50"/>
      <c r="Y107" s="50"/>
      <c r="Z107" s="50"/>
      <c r="AA107" s="50"/>
      <c r="AB107" s="50"/>
      <c r="AC107" s="116"/>
      <c r="AD107" s="24"/>
      <c r="AE107" s="24"/>
      <c r="AF107" s="50"/>
      <c r="AG107" s="50"/>
      <c r="AH107" s="50"/>
      <c r="AI107" s="50"/>
      <c r="AJ107" s="50"/>
      <c r="AK107" s="50"/>
      <c r="AL107" s="50"/>
    </row>
    <row r="108" spans="1:38" ht="13.8">
      <c r="A108" s="73"/>
      <c r="B108" s="74"/>
      <c r="C108" s="116"/>
      <c r="D108" s="24"/>
      <c r="E108" s="24"/>
      <c r="F108" s="24"/>
      <c r="G108" s="24"/>
      <c r="H108" s="24"/>
      <c r="I108" s="24"/>
      <c r="J108" s="63"/>
      <c r="K108" s="24"/>
      <c r="L108" s="118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119"/>
      <c r="X108" s="50"/>
      <c r="Y108" s="50"/>
      <c r="Z108" s="50"/>
      <c r="AA108" s="50"/>
      <c r="AB108" s="50"/>
      <c r="AC108" s="116"/>
      <c r="AD108" s="24"/>
      <c r="AE108" s="24"/>
      <c r="AF108" s="50"/>
      <c r="AG108" s="50"/>
      <c r="AH108" s="50"/>
      <c r="AI108" s="50"/>
      <c r="AJ108" s="50"/>
      <c r="AK108" s="50"/>
      <c r="AL108" s="50"/>
    </row>
    <row r="109" spans="1:38" ht="13.8">
      <c r="A109" s="73"/>
      <c r="B109" s="74"/>
      <c r="C109" s="116"/>
      <c r="D109" s="24"/>
      <c r="E109" s="24"/>
      <c r="F109" s="24"/>
      <c r="G109" s="24"/>
      <c r="H109" s="24"/>
      <c r="I109" s="24"/>
      <c r="J109" s="63"/>
      <c r="K109" s="24"/>
      <c r="L109" s="118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119"/>
      <c r="X109" s="50"/>
      <c r="Y109" s="50"/>
      <c r="Z109" s="50"/>
      <c r="AA109" s="50"/>
      <c r="AB109" s="50"/>
      <c r="AC109" s="116"/>
      <c r="AD109" s="24"/>
      <c r="AE109" s="24"/>
      <c r="AF109" s="50"/>
      <c r="AG109" s="50"/>
      <c r="AH109" s="50"/>
      <c r="AI109" s="50"/>
      <c r="AJ109" s="50"/>
      <c r="AK109" s="50"/>
      <c r="AL109" s="50"/>
    </row>
    <row r="110" spans="1:38" ht="13.8">
      <c r="A110" s="73"/>
      <c r="B110" s="74"/>
      <c r="C110" s="116"/>
      <c r="D110" s="24"/>
      <c r="E110" s="24"/>
      <c r="F110" s="24"/>
      <c r="G110" s="24"/>
      <c r="H110" s="24"/>
      <c r="I110" s="24"/>
      <c r="J110" s="63"/>
      <c r="K110" s="24"/>
      <c r="L110" s="118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119"/>
      <c r="X110" s="50"/>
      <c r="Y110" s="50"/>
      <c r="Z110" s="50"/>
      <c r="AA110" s="50"/>
      <c r="AB110" s="50"/>
      <c r="AC110" s="116"/>
      <c r="AD110" s="24"/>
      <c r="AE110" s="24"/>
      <c r="AF110" s="50"/>
      <c r="AG110" s="50"/>
      <c r="AH110" s="50"/>
      <c r="AI110" s="50"/>
      <c r="AJ110" s="50"/>
      <c r="AK110" s="50"/>
      <c r="AL110" s="50"/>
    </row>
    <row r="111" spans="1:38" ht="13.8">
      <c r="A111" s="73"/>
      <c r="B111" s="74"/>
      <c r="C111" s="116"/>
      <c r="D111" s="24"/>
      <c r="E111" s="24"/>
      <c r="F111" s="24"/>
      <c r="G111" s="24"/>
      <c r="H111" s="24"/>
      <c r="I111" s="24"/>
      <c r="J111" s="63"/>
      <c r="K111" s="24"/>
      <c r="L111" s="118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119"/>
      <c r="X111" s="50"/>
      <c r="Y111" s="50"/>
      <c r="Z111" s="50"/>
      <c r="AA111" s="50"/>
      <c r="AB111" s="50"/>
      <c r="AC111" s="116"/>
      <c r="AD111" s="24"/>
      <c r="AE111" s="24"/>
      <c r="AF111" s="50"/>
      <c r="AG111" s="50"/>
      <c r="AH111" s="50"/>
      <c r="AI111" s="50"/>
      <c r="AJ111" s="50"/>
      <c r="AK111" s="50"/>
      <c r="AL111" s="50"/>
    </row>
    <row r="112" spans="1:38" ht="13.8">
      <c r="A112" s="73"/>
      <c r="B112" s="74"/>
      <c r="C112" s="116"/>
      <c r="D112" s="24"/>
      <c r="E112" s="24"/>
      <c r="F112" s="24"/>
      <c r="G112" s="24"/>
      <c r="H112" s="24"/>
      <c r="I112" s="24"/>
      <c r="J112" s="63"/>
      <c r="K112" s="24"/>
      <c r="L112" s="118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119"/>
      <c r="X112" s="50"/>
      <c r="Y112" s="50"/>
      <c r="Z112" s="50"/>
      <c r="AA112" s="50"/>
      <c r="AB112" s="50"/>
      <c r="AC112" s="116"/>
      <c r="AD112" s="24"/>
      <c r="AE112" s="24"/>
      <c r="AF112" s="50"/>
      <c r="AG112" s="50"/>
      <c r="AH112" s="50"/>
      <c r="AI112" s="50"/>
      <c r="AJ112" s="50"/>
      <c r="AK112" s="50"/>
      <c r="AL112" s="50"/>
    </row>
    <row r="113" spans="1:38" ht="13.8">
      <c r="A113" s="73"/>
      <c r="B113" s="74"/>
      <c r="C113" s="116"/>
      <c r="D113" s="24"/>
      <c r="E113" s="24"/>
      <c r="F113" s="24"/>
      <c r="G113" s="24"/>
      <c r="H113" s="24"/>
      <c r="I113" s="24"/>
      <c r="J113" s="63"/>
      <c r="K113" s="24"/>
      <c r="L113" s="118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119"/>
      <c r="X113" s="50"/>
      <c r="Y113" s="50"/>
      <c r="Z113" s="50"/>
      <c r="AA113" s="50"/>
      <c r="AB113" s="50"/>
      <c r="AC113" s="116"/>
      <c r="AD113" s="24"/>
      <c r="AE113" s="24"/>
      <c r="AF113" s="50"/>
      <c r="AG113" s="50"/>
      <c r="AH113" s="50"/>
      <c r="AI113" s="50"/>
      <c r="AJ113" s="50"/>
      <c r="AK113" s="50"/>
      <c r="AL113" s="50"/>
    </row>
    <row r="114" spans="1:38" ht="13.8">
      <c r="A114" s="73"/>
      <c r="B114" s="74"/>
      <c r="C114" s="116"/>
      <c r="D114" s="24"/>
      <c r="E114" s="24"/>
      <c r="F114" s="24"/>
      <c r="G114" s="24"/>
      <c r="H114" s="24"/>
      <c r="I114" s="24"/>
      <c r="J114" s="63"/>
      <c r="K114" s="24"/>
      <c r="L114" s="118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119"/>
      <c r="X114" s="50"/>
      <c r="Y114" s="50"/>
      <c r="Z114" s="50"/>
      <c r="AA114" s="50"/>
      <c r="AB114" s="50"/>
      <c r="AC114" s="116"/>
      <c r="AD114" s="24"/>
      <c r="AE114" s="24"/>
      <c r="AF114" s="50"/>
      <c r="AG114" s="50"/>
      <c r="AH114" s="50"/>
      <c r="AI114" s="50"/>
      <c r="AJ114" s="50"/>
      <c r="AK114" s="50"/>
      <c r="AL114" s="50"/>
    </row>
    <row r="115" spans="1:38" ht="13.8">
      <c r="A115" s="73"/>
      <c r="B115" s="74"/>
      <c r="C115" s="116"/>
      <c r="D115" s="24"/>
      <c r="E115" s="24"/>
      <c r="F115" s="24"/>
      <c r="G115" s="24"/>
      <c r="H115" s="24"/>
      <c r="I115" s="24"/>
      <c r="J115" s="63"/>
      <c r="K115" s="24"/>
      <c r="L115" s="118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119"/>
      <c r="X115" s="50"/>
      <c r="Y115" s="50"/>
      <c r="Z115" s="50"/>
      <c r="AA115" s="50"/>
      <c r="AB115" s="50"/>
      <c r="AC115" s="116"/>
      <c r="AD115" s="24"/>
      <c r="AE115" s="24"/>
      <c r="AF115" s="50"/>
      <c r="AG115" s="50"/>
      <c r="AH115" s="50"/>
      <c r="AI115" s="50"/>
      <c r="AJ115" s="50"/>
      <c r="AK115" s="50"/>
      <c r="AL115" s="50"/>
    </row>
    <row r="116" spans="1:38" ht="13.8">
      <c r="A116" s="73"/>
      <c r="B116" s="74"/>
      <c r="C116" s="116"/>
      <c r="D116" s="24"/>
      <c r="E116" s="24"/>
      <c r="F116" s="24"/>
      <c r="G116" s="24"/>
      <c r="H116" s="24"/>
      <c r="I116" s="24"/>
      <c r="J116" s="63"/>
      <c r="K116" s="24"/>
      <c r="L116" s="118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119"/>
      <c r="X116" s="50"/>
      <c r="Y116" s="50"/>
      <c r="Z116" s="50"/>
      <c r="AA116" s="50"/>
      <c r="AB116" s="50"/>
      <c r="AC116" s="116"/>
      <c r="AD116" s="24"/>
      <c r="AE116" s="24"/>
      <c r="AF116" s="50"/>
      <c r="AG116" s="50"/>
      <c r="AH116" s="50"/>
      <c r="AI116" s="50"/>
      <c r="AJ116" s="50"/>
      <c r="AK116" s="50"/>
      <c r="AL116" s="50"/>
    </row>
    <row r="117" spans="1:38" ht="13.8">
      <c r="A117" s="73"/>
      <c r="B117" s="74"/>
      <c r="C117" s="116"/>
      <c r="D117" s="24"/>
      <c r="E117" s="24"/>
      <c r="F117" s="24"/>
      <c r="G117" s="24"/>
      <c r="H117" s="24"/>
      <c r="I117" s="24"/>
      <c r="J117" s="63"/>
      <c r="K117" s="24"/>
      <c r="L117" s="118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119"/>
      <c r="X117" s="50"/>
      <c r="Y117" s="50"/>
      <c r="Z117" s="50"/>
      <c r="AA117" s="50"/>
      <c r="AB117" s="50"/>
      <c r="AC117" s="116"/>
      <c r="AD117" s="24"/>
      <c r="AE117" s="24"/>
      <c r="AF117" s="50"/>
      <c r="AG117" s="50"/>
      <c r="AH117" s="50"/>
      <c r="AI117" s="50"/>
      <c r="AJ117" s="50"/>
      <c r="AK117" s="50"/>
      <c r="AL117" s="50"/>
    </row>
    <row r="118" spans="1:38" ht="13.8">
      <c r="A118" s="73"/>
      <c r="B118" s="74"/>
      <c r="C118" s="116"/>
      <c r="D118" s="24"/>
      <c r="E118" s="24"/>
      <c r="F118" s="24"/>
      <c r="G118" s="24"/>
      <c r="H118" s="24"/>
      <c r="I118" s="24"/>
      <c r="J118" s="63"/>
      <c r="K118" s="24"/>
      <c r="L118" s="118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119"/>
      <c r="X118" s="50"/>
      <c r="Y118" s="50"/>
      <c r="Z118" s="50"/>
      <c r="AA118" s="50"/>
      <c r="AB118" s="50"/>
      <c r="AC118" s="116"/>
      <c r="AD118" s="24"/>
      <c r="AE118" s="24"/>
      <c r="AF118" s="50"/>
      <c r="AG118" s="50"/>
      <c r="AH118" s="50"/>
      <c r="AI118" s="50"/>
      <c r="AJ118" s="50"/>
      <c r="AK118" s="50"/>
      <c r="AL118" s="50"/>
    </row>
    <row r="119" spans="1:38" ht="13.8">
      <c r="A119" s="73"/>
      <c r="B119" s="74"/>
      <c r="C119" s="116"/>
      <c r="D119" s="24"/>
      <c r="E119" s="24"/>
      <c r="F119" s="24"/>
      <c r="G119" s="24"/>
      <c r="H119" s="24"/>
      <c r="I119" s="24"/>
      <c r="J119" s="63"/>
      <c r="K119" s="24"/>
      <c r="L119" s="118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119"/>
      <c r="X119" s="50"/>
      <c r="Y119" s="50"/>
      <c r="Z119" s="50"/>
      <c r="AA119" s="50"/>
      <c r="AB119" s="50"/>
      <c r="AC119" s="116"/>
      <c r="AD119" s="24"/>
      <c r="AE119" s="24"/>
      <c r="AF119" s="50"/>
      <c r="AG119" s="50"/>
      <c r="AH119" s="50"/>
      <c r="AI119" s="50"/>
      <c r="AJ119" s="50"/>
      <c r="AK119" s="50"/>
      <c r="AL119" s="50"/>
    </row>
    <row r="120" spans="1:38" ht="13.8">
      <c r="A120" s="73"/>
      <c r="B120" s="74"/>
      <c r="C120" s="116"/>
      <c r="D120" s="24"/>
      <c r="E120" s="24"/>
      <c r="F120" s="24"/>
      <c r="G120" s="24"/>
      <c r="H120" s="24"/>
      <c r="I120" s="24"/>
      <c r="J120" s="63"/>
      <c r="K120" s="24"/>
      <c r="L120" s="118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119"/>
      <c r="X120" s="50"/>
      <c r="Y120" s="50"/>
      <c r="Z120" s="50"/>
      <c r="AA120" s="50"/>
      <c r="AB120" s="50"/>
      <c r="AC120" s="116"/>
      <c r="AD120" s="24"/>
      <c r="AE120" s="24"/>
      <c r="AF120" s="50"/>
      <c r="AG120" s="50"/>
      <c r="AH120" s="50"/>
      <c r="AI120" s="50"/>
      <c r="AJ120" s="50"/>
      <c r="AK120" s="50"/>
      <c r="AL120" s="50"/>
    </row>
    <row r="121" spans="1:38" ht="13.8">
      <c r="A121" s="73"/>
      <c r="B121" s="74"/>
      <c r="C121" s="116"/>
      <c r="D121" s="24"/>
      <c r="E121" s="24"/>
      <c r="F121" s="24"/>
      <c r="G121" s="24"/>
      <c r="H121" s="24"/>
      <c r="I121" s="24"/>
      <c r="J121" s="63"/>
      <c r="K121" s="24"/>
      <c r="L121" s="118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119"/>
      <c r="X121" s="50"/>
      <c r="Y121" s="50"/>
      <c r="Z121" s="50"/>
      <c r="AA121" s="50"/>
      <c r="AB121" s="50"/>
      <c r="AC121" s="116"/>
      <c r="AD121" s="24"/>
      <c r="AE121" s="24"/>
      <c r="AF121" s="50"/>
      <c r="AG121" s="50"/>
      <c r="AH121" s="50"/>
      <c r="AI121" s="50"/>
      <c r="AJ121" s="50"/>
      <c r="AK121" s="50"/>
      <c r="AL121" s="50"/>
    </row>
    <row r="122" spans="1:38" ht="13.8">
      <c r="A122" s="73"/>
      <c r="B122" s="74"/>
      <c r="C122" s="116"/>
      <c r="D122" s="24"/>
      <c r="E122" s="24"/>
      <c r="F122" s="24"/>
      <c r="G122" s="24"/>
      <c r="H122" s="24"/>
      <c r="I122" s="24"/>
      <c r="J122" s="63"/>
      <c r="K122" s="24"/>
      <c r="L122" s="118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119"/>
      <c r="X122" s="50"/>
      <c r="Y122" s="50"/>
      <c r="Z122" s="50"/>
      <c r="AA122" s="50"/>
      <c r="AB122" s="50"/>
      <c r="AC122" s="116"/>
      <c r="AD122" s="24"/>
      <c r="AE122" s="24"/>
      <c r="AF122" s="50"/>
      <c r="AG122" s="50"/>
      <c r="AH122" s="50"/>
      <c r="AI122" s="50"/>
      <c r="AJ122" s="50"/>
      <c r="AK122" s="50"/>
      <c r="AL122" s="50"/>
    </row>
    <row r="123" spans="1:38" ht="13.8">
      <c r="A123" s="73"/>
      <c r="B123" s="74"/>
      <c r="C123" s="116"/>
      <c r="D123" s="24"/>
      <c r="E123" s="24"/>
      <c r="F123" s="24"/>
      <c r="G123" s="24"/>
      <c r="H123" s="24"/>
      <c r="I123" s="24"/>
      <c r="J123" s="63"/>
      <c r="K123" s="24"/>
      <c r="L123" s="118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119"/>
      <c r="X123" s="50"/>
      <c r="Y123" s="50"/>
      <c r="Z123" s="50"/>
      <c r="AA123" s="50"/>
      <c r="AB123" s="50"/>
      <c r="AC123" s="116"/>
      <c r="AD123" s="24"/>
      <c r="AE123" s="24"/>
      <c r="AF123" s="50"/>
      <c r="AG123" s="50"/>
      <c r="AH123" s="50"/>
      <c r="AI123" s="50"/>
      <c r="AJ123" s="50"/>
      <c r="AK123" s="50"/>
      <c r="AL123" s="50"/>
    </row>
    <row r="124" spans="1:38" ht="13.8">
      <c r="A124" s="73"/>
      <c r="B124" s="74"/>
      <c r="C124" s="116"/>
      <c r="D124" s="24"/>
      <c r="E124" s="24"/>
      <c r="F124" s="24"/>
      <c r="G124" s="24"/>
      <c r="H124" s="24"/>
      <c r="I124" s="24"/>
      <c r="J124" s="63"/>
      <c r="K124" s="24"/>
      <c r="L124" s="118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119"/>
      <c r="X124" s="50"/>
      <c r="Y124" s="50"/>
      <c r="Z124" s="50"/>
      <c r="AA124" s="50"/>
      <c r="AB124" s="50"/>
      <c r="AC124" s="116"/>
      <c r="AD124" s="24"/>
      <c r="AE124" s="24"/>
      <c r="AF124" s="50"/>
      <c r="AG124" s="50"/>
      <c r="AH124" s="50"/>
      <c r="AI124" s="50"/>
      <c r="AJ124" s="50"/>
      <c r="AK124" s="50"/>
      <c r="AL124" s="50"/>
    </row>
    <row r="125" spans="1:38" ht="13.8">
      <c r="A125" s="73"/>
      <c r="B125" s="74"/>
      <c r="C125" s="116"/>
      <c r="D125" s="24"/>
      <c r="E125" s="24"/>
      <c r="F125" s="24"/>
      <c r="G125" s="24"/>
      <c r="H125" s="24"/>
      <c r="I125" s="24"/>
      <c r="J125" s="63"/>
      <c r="K125" s="24"/>
      <c r="L125" s="118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119"/>
      <c r="X125" s="50"/>
      <c r="Y125" s="50"/>
      <c r="Z125" s="50"/>
      <c r="AA125" s="50"/>
      <c r="AB125" s="50"/>
      <c r="AC125" s="116"/>
      <c r="AD125" s="24"/>
      <c r="AE125" s="24"/>
      <c r="AF125" s="50"/>
      <c r="AG125" s="50"/>
      <c r="AH125" s="50"/>
      <c r="AI125" s="50"/>
      <c r="AJ125" s="50"/>
      <c r="AK125" s="50"/>
      <c r="AL125" s="50"/>
    </row>
    <row r="126" spans="1:38" ht="13.8">
      <c r="A126" s="73"/>
      <c r="B126" s="74"/>
      <c r="C126" s="116"/>
      <c r="D126" s="24"/>
      <c r="E126" s="24"/>
      <c r="F126" s="24"/>
      <c r="G126" s="24"/>
      <c r="H126" s="24"/>
      <c r="I126" s="24"/>
      <c r="J126" s="63"/>
      <c r="K126" s="24"/>
      <c r="L126" s="118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119"/>
      <c r="X126" s="50"/>
      <c r="Y126" s="50"/>
      <c r="Z126" s="50"/>
      <c r="AA126" s="50"/>
      <c r="AB126" s="50"/>
      <c r="AC126" s="116"/>
      <c r="AD126" s="24"/>
      <c r="AE126" s="24"/>
      <c r="AF126" s="50"/>
      <c r="AG126" s="50"/>
      <c r="AH126" s="50"/>
      <c r="AI126" s="50"/>
      <c r="AJ126" s="50"/>
      <c r="AK126" s="50"/>
      <c r="AL126" s="50"/>
    </row>
    <row r="127" spans="1:38" ht="13.8">
      <c r="A127" s="73"/>
      <c r="B127" s="74"/>
      <c r="C127" s="116"/>
      <c r="D127" s="24"/>
      <c r="E127" s="24"/>
      <c r="F127" s="24"/>
      <c r="G127" s="24"/>
      <c r="H127" s="24"/>
      <c r="I127" s="24"/>
      <c r="J127" s="63"/>
      <c r="K127" s="24"/>
      <c r="L127" s="118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119"/>
      <c r="X127" s="50"/>
      <c r="Y127" s="50"/>
      <c r="Z127" s="50"/>
      <c r="AA127" s="50"/>
      <c r="AB127" s="50"/>
      <c r="AC127" s="116"/>
      <c r="AD127" s="24"/>
      <c r="AE127" s="24"/>
      <c r="AF127" s="50"/>
      <c r="AG127" s="50"/>
      <c r="AH127" s="50"/>
      <c r="AI127" s="50"/>
      <c r="AJ127" s="50"/>
      <c r="AK127" s="50"/>
      <c r="AL127" s="50"/>
    </row>
    <row r="128" spans="1:38" ht="13.8">
      <c r="A128" s="73"/>
      <c r="B128" s="74"/>
      <c r="C128" s="116"/>
      <c r="D128" s="24"/>
      <c r="E128" s="24"/>
      <c r="F128" s="24"/>
      <c r="G128" s="24"/>
      <c r="H128" s="24"/>
      <c r="I128" s="24"/>
      <c r="J128" s="63"/>
      <c r="K128" s="24"/>
      <c r="L128" s="118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119"/>
      <c r="X128" s="50"/>
      <c r="Y128" s="50"/>
      <c r="Z128" s="50"/>
      <c r="AA128" s="50"/>
      <c r="AB128" s="50"/>
      <c r="AC128" s="116"/>
      <c r="AD128" s="24"/>
      <c r="AE128" s="24"/>
      <c r="AF128" s="50"/>
      <c r="AG128" s="50"/>
      <c r="AH128" s="50"/>
      <c r="AI128" s="50"/>
      <c r="AJ128" s="50"/>
      <c r="AK128" s="50"/>
      <c r="AL128" s="50"/>
    </row>
    <row r="129" spans="1:38" ht="13.8">
      <c r="A129" s="73"/>
      <c r="B129" s="74"/>
      <c r="C129" s="116"/>
      <c r="D129" s="24"/>
      <c r="E129" s="24"/>
      <c r="F129" s="24"/>
      <c r="G129" s="24"/>
      <c r="H129" s="24"/>
      <c r="I129" s="24"/>
      <c r="J129" s="63"/>
      <c r="K129" s="24"/>
      <c r="L129" s="118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119"/>
      <c r="X129" s="50"/>
      <c r="Y129" s="50"/>
      <c r="Z129" s="50"/>
      <c r="AA129" s="50"/>
      <c r="AB129" s="50"/>
      <c r="AC129" s="116"/>
      <c r="AD129" s="24"/>
      <c r="AE129" s="24"/>
      <c r="AF129" s="50"/>
      <c r="AG129" s="50"/>
      <c r="AH129" s="50"/>
      <c r="AI129" s="50"/>
      <c r="AJ129" s="50"/>
      <c r="AK129" s="50"/>
      <c r="AL129" s="50"/>
    </row>
    <row r="130" spans="1:38" ht="13.8">
      <c r="A130" s="73"/>
      <c r="B130" s="74"/>
      <c r="C130" s="116"/>
      <c r="D130" s="24"/>
      <c r="E130" s="24"/>
      <c r="F130" s="24"/>
      <c r="G130" s="24"/>
      <c r="H130" s="24"/>
      <c r="I130" s="24"/>
      <c r="J130" s="63"/>
      <c r="K130" s="24"/>
      <c r="L130" s="118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119"/>
      <c r="X130" s="50"/>
      <c r="Y130" s="50"/>
      <c r="Z130" s="50"/>
      <c r="AA130" s="50"/>
      <c r="AB130" s="50"/>
      <c r="AC130" s="116"/>
      <c r="AD130" s="24"/>
      <c r="AE130" s="24"/>
      <c r="AF130" s="50"/>
      <c r="AG130" s="50"/>
      <c r="AH130" s="50"/>
      <c r="AI130" s="50"/>
      <c r="AJ130" s="50"/>
      <c r="AK130" s="50"/>
      <c r="AL130" s="50"/>
    </row>
    <row r="131" spans="1:38" ht="13.8">
      <c r="A131" s="73"/>
      <c r="B131" s="74"/>
      <c r="C131" s="116"/>
      <c r="D131" s="24"/>
      <c r="E131" s="24"/>
      <c r="F131" s="24"/>
      <c r="G131" s="24"/>
      <c r="H131" s="24"/>
      <c r="I131" s="24"/>
      <c r="J131" s="63"/>
      <c r="K131" s="24"/>
      <c r="L131" s="118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119"/>
      <c r="X131" s="50"/>
      <c r="Y131" s="50"/>
      <c r="Z131" s="50"/>
      <c r="AA131" s="50"/>
      <c r="AB131" s="50"/>
      <c r="AC131" s="116"/>
      <c r="AD131" s="24"/>
      <c r="AE131" s="24"/>
      <c r="AF131" s="50"/>
      <c r="AG131" s="50"/>
      <c r="AH131" s="50"/>
      <c r="AI131" s="50"/>
      <c r="AJ131" s="50"/>
      <c r="AK131" s="50"/>
      <c r="AL131" s="50"/>
    </row>
    <row r="132" spans="1:38" ht="13.8">
      <c r="A132" s="73"/>
      <c r="B132" s="74"/>
      <c r="C132" s="116"/>
      <c r="D132" s="24"/>
      <c r="E132" s="24"/>
      <c r="F132" s="24"/>
      <c r="G132" s="24"/>
      <c r="H132" s="24"/>
      <c r="I132" s="24"/>
      <c r="J132" s="63"/>
      <c r="K132" s="24"/>
      <c r="L132" s="118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119"/>
      <c r="X132" s="50"/>
      <c r="Y132" s="50"/>
      <c r="Z132" s="50"/>
      <c r="AA132" s="50"/>
      <c r="AB132" s="50"/>
      <c r="AC132" s="116"/>
      <c r="AD132" s="24"/>
      <c r="AE132" s="24"/>
      <c r="AF132" s="50"/>
      <c r="AG132" s="50"/>
      <c r="AH132" s="50"/>
      <c r="AI132" s="50"/>
      <c r="AJ132" s="50"/>
      <c r="AK132" s="50"/>
      <c r="AL132" s="50"/>
    </row>
    <row r="133" spans="1:38" ht="13.8">
      <c r="A133" s="73"/>
      <c r="B133" s="74"/>
      <c r="C133" s="116"/>
      <c r="D133" s="24"/>
      <c r="E133" s="24"/>
      <c r="F133" s="24"/>
      <c r="G133" s="24"/>
      <c r="H133" s="24"/>
      <c r="I133" s="24"/>
      <c r="J133" s="63"/>
      <c r="K133" s="24"/>
      <c r="L133" s="118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119"/>
      <c r="X133" s="50"/>
      <c r="Y133" s="50"/>
      <c r="Z133" s="50"/>
      <c r="AA133" s="50"/>
      <c r="AB133" s="50"/>
      <c r="AC133" s="116"/>
      <c r="AD133" s="24"/>
      <c r="AE133" s="24"/>
      <c r="AF133" s="50"/>
      <c r="AG133" s="50"/>
      <c r="AH133" s="50"/>
      <c r="AI133" s="50"/>
      <c r="AJ133" s="50"/>
      <c r="AK133" s="50"/>
      <c r="AL133" s="50"/>
    </row>
    <row r="134" spans="1:38" ht="13.8">
      <c r="A134" s="73"/>
      <c r="B134" s="74"/>
      <c r="C134" s="116"/>
      <c r="D134" s="24"/>
      <c r="E134" s="24"/>
      <c r="F134" s="24"/>
      <c r="G134" s="24"/>
      <c r="H134" s="24"/>
      <c r="I134" s="24"/>
      <c r="J134" s="63"/>
      <c r="K134" s="24"/>
      <c r="L134" s="118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119"/>
      <c r="X134" s="50"/>
      <c r="Y134" s="50"/>
      <c r="Z134" s="50"/>
      <c r="AA134" s="50"/>
      <c r="AB134" s="50"/>
      <c r="AC134" s="116"/>
      <c r="AD134" s="24"/>
      <c r="AE134" s="24"/>
      <c r="AF134" s="50"/>
      <c r="AG134" s="50"/>
      <c r="AH134" s="50"/>
      <c r="AI134" s="50"/>
      <c r="AJ134" s="50"/>
      <c r="AK134" s="50"/>
      <c r="AL134" s="50"/>
    </row>
    <row r="135" spans="1:38" ht="13.8">
      <c r="A135" s="73"/>
      <c r="B135" s="74"/>
      <c r="C135" s="116"/>
      <c r="D135" s="24"/>
      <c r="E135" s="24"/>
      <c r="F135" s="24"/>
      <c r="G135" s="24"/>
      <c r="H135" s="24"/>
      <c r="I135" s="24"/>
      <c r="J135" s="63"/>
      <c r="K135" s="24"/>
      <c r="L135" s="118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119"/>
      <c r="X135" s="50"/>
      <c r="Y135" s="50"/>
      <c r="Z135" s="50"/>
      <c r="AA135" s="50"/>
      <c r="AB135" s="50"/>
      <c r="AC135" s="116"/>
      <c r="AD135" s="24"/>
      <c r="AE135" s="24"/>
      <c r="AF135" s="50"/>
      <c r="AG135" s="50"/>
      <c r="AH135" s="50"/>
      <c r="AI135" s="50"/>
      <c r="AJ135" s="50"/>
      <c r="AK135" s="50"/>
      <c r="AL135" s="50"/>
    </row>
    <row r="136" spans="1:38" ht="13.8">
      <c r="A136" s="73"/>
      <c r="B136" s="74"/>
      <c r="C136" s="116"/>
      <c r="D136" s="24"/>
      <c r="E136" s="24"/>
      <c r="F136" s="24"/>
      <c r="G136" s="24"/>
      <c r="H136" s="24"/>
      <c r="I136" s="24"/>
      <c r="J136" s="63"/>
      <c r="K136" s="24"/>
      <c r="L136" s="118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119"/>
      <c r="X136" s="50"/>
      <c r="Y136" s="50"/>
      <c r="Z136" s="50"/>
      <c r="AA136" s="50"/>
      <c r="AB136" s="50"/>
      <c r="AC136" s="116"/>
      <c r="AD136" s="24"/>
      <c r="AE136" s="24"/>
      <c r="AF136" s="50"/>
      <c r="AG136" s="50"/>
      <c r="AH136" s="50"/>
      <c r="AI136" s="50"/>
      <c r="AJ136" s="50"/>
      <c r="AK136" s="50"/>
      <c r="AL136" s="50"/>
    </row>
    <row r="137" spans="1:38" ht="13.8">
      <c r="A137" s="73"/>
      <c r="B137" s="74"/>
      <c r="C137" s="116"/>
      <c r="D137" s="24"/>
      <c r="E137" s="24"/>
      <c r="F137" s="24"/>
      <c r="G137" s="24"/>
      <c r="H137" s="24"/>
      <c r="I137" s="24"/>
      <c r="J137" s="63"/>
      <c r="K137" s="24"/>
      <c r="L137" s="118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119"/>
      <c r="X137" s="50"/>
      <c r="Y137" s="50"/>
      <c r="Z137" s="50"/>
      <c r="AA137" s="50"/>
      <c r="AB137" s="50"/>
      <c r="AC137" s="116"/>
      <c r="AD137" s="24"/>
      <c r="AE137" s="24"/>
      <c r="AF137" s="50"/>
      <c r="AG137" s="50"/>
      <c r="AH137" s="50"/>
      <c r="AI137" s="50"/>
      <c r="AJ137" s="50"/>
      <c r="AK137" s="50"/>
      <c r="AL137" s="50"/>
    </row>
    <row r="138" spans="1:38" ht="13.8">
      <c r="A138" s="73"/>
      <c r="B138" s="74"/>
      <c r="C138" s="116"/>
      <c r="D138" s="24"/>
      <c r="E138" s="24"/>
      <c r="F138" s="24"/>
      <c r="G138" s="24"/>
      <c r="H138" s="24"/>
      <c r="I138" s="24"/>
      <c r="J138" s="63"/>
      <c r="K138" s="24"/>
      <c r="L138" s="118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119"/>
      <c r="X138" s="50"/>
      <c r="Y138" s="50"/>
      <c r="Z138" s="50"/>
      <c r="AA138" s="50"/>
      <c r="AB138" s="50"/>
      <c r="AC138" s="116"/>
      <c r="AD138" s="24"/>
      <c r="AE138" s="24"/>
      <c r="AF138" s="50"/>
      <c r="AG138" s="50"/>
      <c r="AH138" s="50"/>
      <c r="AI138" s="50"/>
      <c r="AJ138" s="50"/>
      <c r="AK138" s="50"/>
      <c r="AL138" s="50"/>
    </row>
    <row r="139" spans="1:38" ht="13.8">
      <c r="A139" s="73"/>
      <c r="B139" s="74"/>
      <c r="C139" s="116"/>
      <c r="D139" s="24"/>
      <c r="E139" s="24"/>
      <c r="F139" s="24"/>
      <c r="G139" s="24"/>
      <c r="H139" s="24"/>
      <c r="I139" s="24"/>
      <c r="J139" s="63"/>
      <c r="K139" s="24"/>
      <c r="L139" s="118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119"/>
      <c r="X139" s="50"/>
      <c r="Y139" s="50"/>
      <c r="Z139" s="50"/>
      <c r="AA139" s="50"/>
      <c r="AB139" s="50"/>
      <c r="AC139" s="116"/>
      <c r="AD139" s="24"/>
      <c r="AE139" s="24"/>
      <c r="AF139" s="50"/>
      <c r="AG139" s="50"/>
      <c r="AH139" s="50"/>
      <c r="AI139" s="50"/>
      <c r="AJ139" s="50"/>
      <c r="AK139" s="50"/>
      <c r="AL139" s="50"/>
    </row>
    <row r="140" spans="1:38" ht="13.8">
      <c r="A140" s="73"/>
      <c r="B140" s="74"/>
      <c r="C140" s="116"/>
      <c r="D140" s="24"/>
      <c r="E140" s="24"/>
      <c r="F140" s="24"/>
      <c r="G140" s="24"/>
      <c r="H140" s="24"/>
      <c r="I140" s="24"/>
      <c r="J140" s="63"/>
      <c r="K140" s="24"/>
      <c r="L140" s="118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119"/>
      <c r="X140" s="50"/>
      <c r="Y140" s="50"/>
      <c r="Z140" s="50"/>
      <c r="AA140" s="50"/>
      <c r="AB140" s="50"/>
      <c r="AC140" s="116"/>
      <c r="AD140" s="24"/>
      <c r="AE140" s="24"/>
      <c r="AF140" s="50"/>
      <c r="AG140" s="50"/>
      <c r="AH140" s="50"/>
      <c r="AI140" s="50"/>
      <c r="AJ140" s="50"/>
      <c r="AK140" s="50"/>
      <c r="AL140" s="50"/>
    </row>
    <row r="141" spans="1:38" ht="13.8">
      <c r="A141" s="73"/>
      <c r="B141" s="74"/>
      <c r="C141" s="116"/>
      <c r="D141" s="24"/>
      <c r="E141" s="24"/>
      <c r="F141" s="24"/>
      <c r="G141" s="24"/>
      <c r="H141" s="24"/>
      <c r="I141" s="24"/>
      <c r="J141" s="63"/>
      <c r="K141" s="24"/>
      <c r="L141" s="118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119"/>
      <c r="X141" s="50"/>
      <c r="Y141" s="50"/>
      <c r="Z141" s="50"/>
      <c r="AA141" s="50"/>
      <c r="AB141" s="50"/>
      <c r="AC141" s="116"/>
      <c r="AD141" s="24"/>
      <c r="AE141" s="24"/>
      <c r="AF141" s="50"/>
      <c r="AG141" s="50"/>
      <c r="AH141" s="50"/>
      <c r="AI141" s="50"/>
      <c r="AJ141" s="50"/>
      <c r="AK141" s="50"/>
      <c r="AL141" s="50"/>
    </row>
    <row r="142" spans="1:38" ht="13.8">
      <c r="A142" s="73"/>
      <c r="B142" s="74"/>
      <c r="C142" s="116"/>
      <c r="D142" s="24"/>
      <c r="E142" s="24"/>
      <c r="F142" s="24"/>
      <c r="G142" s="24"/>
      <c r="H142" s="24"/>
      <c r="I142" s="24"/>
      <c r="J142" s="63"/>
      <c r="K142" s="24"/>
      <c r="L142" s="118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119"/>
      <c r="X142" s="50"/>
      <c r="Y142" s="50"/>
      <c r="Z142" s="50"/>
      <c r="AA142" s="50"/>
      <c r="AB142" s="50"/>
      <c r="AC142" s="116"/>
      <c r="AD142" s="24"/>
      <c r="AE142" s="24"/>
      <c r="AF142" s="50"/>
      <c r="AG142" s="50"/>
      <c r="AH142" s="50"/>
      <c r="AI142" s="50"/>
      <c r="AJ142" s="50"/>
      <c r="AK142" s="50"/>
      <c r="AL142" s="50"/>
    </row>
    <row r="143" spans="1:38" ht="13.8">
      <c r="A143" s="73"/>
      <c r="B143" s="74"/>
      <c r="C143" s="116"/>
      <c r="D143" s="24"/>
      <c r="E143" s="24"/>
      <c r="F143" s="24"/>
      <c r="G143" s="24"/>
      <c r="H143" s="24"/>
      <c r="I143" s="24"/>
      <c r="J143" s="63"/>
      <c r="K143" s="24"/>
      <c r="L143" s="118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119"/>
      <c r="X143" s="50"/>
      <c r="Y143" s="50"/>
      <c r="Z143" s="50"/>
      <c r="AA143" s="50"/>
      <c r="AB143" s="50"/>
      <c r="AC143" s="116"/>
      <c r="AD143" s="24"/>
      <c r="AE143" s="24"/>
      <c r="AF143" s="50"/>
      <c r="AG143" s="50"/>
      <c r="AH143" s="50"/>
      <c r="AI143" s="50"/>
      <c r="AJ143" s="50"/>
      <c r="AK143" s="50"/>
      <c r="AL143" s="50"/>
    </row>
    <row r="144" spans="1:38" ht="13.8">
      <c r="A144" s="73"/>
      <c r="B144" s="74"/>
      <c r="C144" s="116"/>
      <c r="D144" s="24"/>
      <c r="E144" s="24"/>
      <c r="F144" s="24"/>
      <c r="G144" s="24"/>
      <c r="H144" s="24"/>
      <c r="I144" s="24"/>
      <c r="J144" s="63"/>
      <c r="K144" s="24"/>
      <c r="L144" s="118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119"/>
      <c r="X144" s="50"/>
      <c r="Y144" s="50"/>
      <c r="Z144" s="50"/>
      <c r="AA144" s="50"/>
      <c r="AB144" s="50"/>
      <c r="AC144" s="116"/>
      <c r="AD144" s="24"/>
      <c r="AE144" s="24"/>
      <c r="AF144" s="50"/>
      <c r="AG144" s="50"/>
      <c r="AH144" s="50"/>
      <c r="AI144" s="50"/>
      <c r="AJ144" s="50"/>
      <c r="AK144" s="50"/>
      <c r="AL144" s="50"/>
    </row>
    <row r="145" spans="1:38" ht="13.8">
      <c r="A145" s="73"/>
      <c r="B145" s="74"/>
      <c r="C145" s="116"/>
      <c r="D145" s="24"/>
      <c r="E145" s="24"/>
      <c r="F145" s="24"/>
      <c r="G145" s="24"/>
      <c r="H145" s="24"/>
      <c r="I145" s="24"/>
      <c r="J145" s="63"/>
      <c r="K145" s="24"/>
      <c r="L145" s="118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119"/>
      <c r="X145" s="50"/>
      <c r="Y145" s="50"/>
      <c r="Z145" s="50"/>
      <c r="AA145" s="50"/>
      <c r="AB145" s="50"/>
      <c r="AC145" s="116"/>
      <c r="AD145" s="24"/>
      <c r="AE145" s="24"/>
      <c r="AF145" s="50"/>
      <c r="AG145" s="50"/>
      <c r="AH145" s="50"/>
      <c r="AI145" s="50"/>
      <c r="AJ145" s="50"/>
      <c r="AK145" s="50"/>
      <c r="AL145" s="50"/>
    </row>
    <row r="146" spans="1:38" ht="13.8">
      <c r="A146" s="73"/>
      <c r="B146" s="74"/>
      <c r="C146" s="116"/>
      <c r="D146" s="24"/>
      <c r="E146" s="24"/>
      <c r="F146" s="24"/>
      <c r="G146" s="24"/>
      <c r="H146" s="24"/>
      <c r="I146" s="24"/>
      <c r="J146" s="63"/>
      <c r="K146" s="24"/>
      <c r="L146" s="118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119"/>
      <c r="X146" s="50"/>
      <c r="Y146" s="50"/>
      <c r="Z146" s="50"/>
      <c r="AA146" s="50"/>
      <c r="AB146" s="50"/>
      <c r="AC146" s="116"/>
      <c r="AD146" s="24"/>
      <c r="AE146" s="24"/>
      <c r="AF146" s="50"/>
      <c r="AG146" s="50"/>
      <c r="AH146" s="50"/>
      <c r="AI146" s="50"/>
      <c r="AJ146" s="50"/>
      <c r="AK146" s="50"/>
      <c r="AL146" s="50"/>
    </row>
    <row r="147" spans="1:38" ht="13.8">
      <c r="A147" s="73"/>
      <c r="B147" s="74"/>
      <c r="C147" s="116"/>
      <c r="D147" s="24"/>
      <c r="E147" s="24"/>
      <c r="F147" s="24"/>
      <c r="G147" s="24"/>
      <c r="H147" s="24"/>
      <c r="I147" s="24"/>
      <c r="J147" s="63"/>
      <c r="K147" s="24"/>
      <c r="L147" s="118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119"/>
      <c r="X147" s="50"/>
      <c r="Y147" s="50"/>
      <c r="Z147" s="50"/>
      <c r="AA147" s="50"/>
      <c r="AB147" s="50"/>
      <c r="AC147" s="116"/>
      <c r="AD147" s="24"/>
      <c r="AE147" s="24"/>
      <c r="AF147" s="50"/>
      <c r="AG147" s="50"/>
      <c r="AH147" s="50"/>
      <c r="AI147" s="50"/>
      <c r="AJ147" s="50"/>
      <c r="AK147" s="50"/>
      <c r="AL147" s="50"/>
    </row>
    <row r="148" spans="1:38" ht="13.8">
      <c r="A148" s="73"/>
      <c r="B148" s="74"/>
      <c r="C148" s="116"/>
      <c r="D148" s="24"/>
      <c r="E148" s="24"/>
      <c r="F148" s="24"/>
      <c r="G148" s="24"/>
      <c r="H148" s="24"/>
      <c r="I148" s="24"/>
      <c r="J148" s="63"/>
      <c r="K148" s="24"/>
      <c r="L148" s="118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119"/>
      <c r="X148" s="50"/>
      <c r="Y148" s="50"/>
      <c r="Z148" s="50"/>
      <c r="AA148" s="50"/>
      <c r="AB148" s="50"/>
      <c r="AC148" s="116"/>
      <c r="AD148" s="24"/>
      <c r="AE148" s="24"/>
      <c r="AF148" s="50"/>
      <c r="AG148" s="50"/>
      <c r="AH148" s="50"/>
      <c r="AI148" s="50"/>
      <c r="AJ148" s="50"/>
      <c r="AK148" s="50"/>
      <c r="AL148" s="50"/>
    </row>
    <row r="149" spans="1:38" ht="13.8">
      <c r="A149" s="73"/>
      <c r="B149" s="74"/>
      <c r="C149" s="116"/>
      <c r="D149" s="24"/>
      <c r="E149" s="24"/>
      <c r="F149" s="24"/>
      <c r="G149" s="24"/>
      <c r="H149" s="24"/>
      <c r="I149" s="24"/>
      <c r="J149" s="63"/>
      <c r="K149" s="24"/>
      <c r="L149" s="118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119"/>
      <c r="X149" s="50"/>
      <c r="Y149" s="50"/>
      <c r="Z149" s="50"/>
      <c r="AA149" s="50"/>
      <c r="AB149" s="50"/>
      <c r="AC149" s="116"/>
      <c r="AD149" s="24"/>
      <c r="AE149" s="24"/>
      <c r="AF149" s="50"/>
      <c r="AG149" s="50"/>
      <c r="AH149" s="50"/>
      <c r="AI149" s="50"/>
      <c r="AJ149" s="50"/>
      <c r="AK149" s="50"/>
      <c r="AL149" s="50"/>
    </row>
    <row r="150" spans="1:38" ht="13.8">
      <c r="A150" s="73"/>
      <c r="B150" s="74"/>
      <c r="C150" s="116"/>
      <c r="D150" s="24"/>
      <c r="E150" s="24"/>
      <c r="F150" s="24"/>
      <c r="G150" s="24"/>
      <c r="H150" s="24"/>
      <c r="I150" s="24"/>
      <c r="J150" s="63"/>
      <c r="K150" s="24"/>
      <c r="L150" s="118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119"/>
      <c r="X150" s="50"/>
      <c r="Y150" s="50"/>
      <c r="Z150" s="50"/>
      <c r="AA150" s="50"/>
      <c r="AB150" s="50"/>
      <c r="AC150" s="116"/>
      <c r="AD150" s="24"/>
      <c r="AE150" s="24"/>
      <c r="AF150" s="50"/>
      <c r="AG150" s="50"/>
      <c r="AH150" s="50"/>
      <c r="AI150" s="50"/>
      <c r="AJ150" s="50"/>
      <c r="AK150" s="50"/>
      <c r="AL150" s="50"/>
    </row>
    <row r="151" spans="1:38" ht="13.8">
      <c r="A151" s="73"/>
      <c r="B151" s="74"/>
      <c r="C151" s="116"/>
      <c r="D151" s="24"/>
      <c r="E151" s="24"/>
      <c r="F151" s="24"/>
      <c r="G151" s="24"/>
      <c r="H151" s="24"/>
      <c r="I151" s="24"/>
      <c r="J151" s="63"/>
      <c r="K151" s="24"/>
      <c r="L151" s="118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119"/>
      <c r="X151" s="50"/>
      <c r="Y151" s="50"/>
      <c r="Z151" s="50"/>
      <c r="AA151" s="50"/>
      <c r="AB151" s="50"/>
      <c r="AC151" s="116"/>
      <c r="AD151" s="24"/>
      <c r="AE151" s="24"/>
      <c r="AF151" s="50"/>
      <c r="AG151" s="50"/>
      <c r="AH151" s="50"/>
      <c r="AI151" s="50"/>
      <c r="AJ151" s="50"/>
      <c r="AK151" s="50"/>
      <c r="AL151" s="50"/>
    </row>
    <row r="152" spans="1:38" ht="13.8">
      <c r="A152" s="73"/>
      <c r="B152" s="74"/>
      <c r="C152" s="116"/>
      <c r="D152" s="24"/>
      <c r="E152" s="24"/>
      <c r="F152" s="24"/>
      <c r="G152" s="24"/>
      <c r="H152" s="24"/>
      <c r="I152" s="24"/>
      <c r="J152" s="63"/>
      <c r="K152" s="24"/>
      <c r="L152" s="118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119"/>
      <c r="X152" s="50"/>
      <c r="Y152" s="50"/>
      <c r="Z152" s="50"/>
      <c r="AA152" s="50"/>
      <c r="AB152" s="50"/>
      <c r="AC152" s="116"/>
      <c r="AD152" s="24"/>
      <c r="AE152" s="24"/>
      <c r="AF152" s="50"/>
      <c r="AG152" s="50"/>
      <c r="AH152" s="50"/>
      <c r="AI152" s="50"/>
      <c r="AJ152" s="50"/>
      <c r="AK152" s="50"/>
      <c r="AL152" s="50"/>
    </row>
    <row r="153" spans="1:38" ht="13.8">
      <c r="A153" s="73"/>
      <c r="B153" s="74"/>
      <c r="C153" s="116"/>
      <c r="D153" s="24"/>
      <c r="E153" s="24"/>
      <c r="F153" s="24"/>
      <c r="G153" s="24"/>
      <c r="H153" s="24"/>
      <c r="I153" s="24"/>
      <c r="J153" s="63"/>
      <c r="K153" s="24"/>
      <c r="L153" s="118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119"/>
      <c r="X153" s="50"/>
      <c r="Y153" s="50"/>
      <c r="Z153" s="50"/>
      <c r="AA153" s="50"/>
      <c r="AB153" s="50"/>
      <c r="AC153" s="116"/>
      <c r="AD153" s="24"/>
      <c r="AE153" s="24"/>
      <c r="AF153" s="50"/>
      <c r="AG153" s="50"/>
      <c r="AH153" s="50"/>
      <c r="AI153" s="50"/>
      <c r="AJ153" s="50"/>
      <c r="AK153" s="50"/>
      <c r="AL153" s="50"/>
    </row>
    <row r="154" spans="1:38" ht="13.8">
      <c r="A154" s="73"/>
      <c r="B154" s="74"/>
      <c r="C154" s="116"/>
      <c r="D154" s="24"/>
      <c r="E154" s="24"/>
      <c r="F154" s="24"/>
      <c r="G154" s="24"/>
      <c r="H154" s="24"/>
      <c r="I154" s="24"/>
      <c r="J154" s="63"/>
      <c r="K154" s="24"/>
      <c r="L154" s="118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119"/>
      <c r="X154" s="50"/>
      <c r="Y154" s="50"/>
      <c r="Z154" s="50"/>
      <c r="AA154" s="50"/>
      <c r="AB154" s="50"/>
      <c r="AC154" s="116"/>
      <c r="AD154" s="24"/>
      <c r="AE154" s="24"/>
      <c r="AF154" s="50"/>
      <c r="AG154" s="50"/>
      <c r="AH154" s="50"/>
      <c r="AI154" s="50"/>
      <c r="AJ154" s="50"/>
      <c r="AK154" s="50"/>
      <c r="AL154" s="50"/>
    </row>
    <row r="155" spans="1:38" ht="13.8">
      <c r="A155" s="73"/>
      <c r="B155" s="74"/>
      <c r="C155" s="116"/>
      <c r="D155" s="24"/>
      <c r="E155" s="24"/>
      <c r="F155" s="24"/>
      <c r="G155" s="24"/>
      <c r="H155" s="24"/>
      <c r="I155" s="24"/>
      <c r="J155" s="63"/>
      <c r="K155" s="24"/>
      <c r="L155" s="118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119"/>
      <c r="X155" s="50"/>
      <c r="Y155" s="50"/>
      <c r="Z155" s="50"/>
      <c r="AA155" s="50"/>
      <c r="AB155" s="50"/>
      <c r="AC155" s="116"/>
      <c r="AD155" s="24"/>
      <c r="AE155" s="24"/>
      <c r="AF155" s="50"/>
      <c r="AG155" s="50"/>
      <c r="AH155" s="50"/>
      <c r="AI155" s="50"/>
      <c r="AJ155" s="50"/>
      <c r="AK155" s="50"/>
      <c r="AL155" s="50"/>
    </row>
    <row r="156" spans="1:38" ht="13.8">
      <c r="A156" s="73"/>
      <c r="B156" s="74"/>
      <c r="C156" s="116"/>
      <c r="D156" s="24"/>
      <c r="E156" s="24"/>
      <c r="F156" s="24"/>
      <c r="G156" s="24"/>
      <c r="H156" s="24"/>
      <c r="I156" s="24"/>
      <c r="J156" s="63"/>
      <c r="K156" s="24"/>
      <c r="L156" s="118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119"/>
      <c r="X156" s="50"/>
      <c r="Y156" s="50"/>
      <c r="Z156" s="50"/>
      <c r="AA156" s="50"/>
      <c r="AB156" s="50"/>
      <c r="AC156" s="116"/>
      <c r="AD156" s="24"/>
      <c r="AE156" s="24"/>
      <c r="AF156" s="50"/>
      <c r="AG156" s="50"/>
      <c r="AH156" s="50"/>
      <c r="AI156" s="50"/>
      <c r="AJ156" s="50"/>
      <c r="AK156" s="50"/>
      <c r="AL156" s="50"/>
    </row>
    <row r="157" spans="1:38" ht="13.8">
      <c r="A157" s="73"/>
      <c r="B157" s="74"/>
      <c r="C157" s="116"/>
      <c r="D157" s="24"/>
      <c r="E157" s="24"/>
      <c r="F157" s="24"/>
      <c r="G157" s="24"/>
      <c r="H157" s="24"/>
      <c r="I157" s="24"/>
      <c r="J157" s="63"/>
      <c r="K157" s="24"/>
      <c r="L157" s="118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119"/>
      <c r="X157" s="50"/>
      <c r="Y157" s="50"/>
      <c r="Z157" s="50"/>
      <c r="AA157" s="50"/>
      <c r="AB157" s="50"/>
      <c r="AC157" s="116"/>
      <c r="AD157" s="24"/>
      <c r="AE157" s="24"/>
      <c r="AF157" s="50"/>
      <c r="AG157" s="50"/>
      <c r="AH157" s="50"/>
      <c r="AI157" s="50"/>
      <c r="AJ157" s="50"/>
      <c r="AK157" s="50"/>
      <c r="AL157" s="50"/>
    </row>
    <row r="158" spans="1:38" ht="13.8">
      <c r="A158" s="73"/>
      <c r="B158" s="74"/>
      <c r="C158" s="116"/>
      <c r="D158" s="24"/>
      <c r="E158" s="24"/>
      <c r="F158" s="24"/>
      <c r="G158" s="24"/>
      <c r="H158" s="24"/>
      <c r="I158" s="24"/>
      <c r="J158" s="63"/>
      <c r="K158" s="24"/>
      <c r="L158" s="118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119"/>
      <c r="X158" s="50"/>
      <c r="Y158" s="50"/>
      <c r="Z158" s="50"/>
      <c r="AA158" s="50"/>
      <c r="AB158" s="50"/>
      <c r="AC158" s="116"/>
      <c r="AD158" s="24"/>
      <c r="AE158" s="24"/>
      <c r="AF158" s="50"/>
      <c r="AG158" s="50"/>
      <c r="AH158" s="50"/>
      <c r="AI158" s="50"/>
      <c r="AJ158" s="50"/>
      <c r="AK158" s="50"/>
      <c r="AL158" s="50"/>
    </row>
    <row r="159" spans="1:38" ht="13.8">
      <c r="A159" s="73"/>
      <c r="B159" s="74"/>
      <c r="C159" s="116"/>
      <c r="D159" s="24"/>
      <c r="E159" s="24"/>
      <c r="F159" s="24"/>
      <c r="G159" s="24"/>
      <c r="H159" s="24"/>
      <c r="I159" s="24"/>
      <c r="J159" s="63"/>
      <c r="K159" s="24"/>
      <c r="L159" s="118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119"/>
      <c r="X159" s="50"/>
      <c r="Y159" s="50"/>
      <c r="Z159" s="50"/>
      <c r="AA159" s="50"/>
      <c r="AB159" s="50"/>
      <c r="AC159" s="116"/>
      <c r="AD159" s="24"/>
      <c r="AE159" s="24"/>
      <c r="AF159" s="50"/>
      <c r="AG159" s="50"/>
      <c r="AH159" s="50"/>
      <c r="AI159" s="50"/>
      <c r="AJ159" s="50"/>
      <c r="AK159" s="50"/>
      <c r="AL159" s="50"/>
    </row>
    <row r="160" spans="1:38" ht="13.8">
      <c r="A160" s="73"/>
      <c r="B160" s="74"/>
      <c r="C160" s="116"/>
      <c r="D160" s="24"/>
      <c r="E160" s="24"/>
      <c r="F160" s="24"/>
      <c r="G160" s="24"/>
      <c r="H160" s="24"/>
      <c r="I160" s="24"/>
      <c r="J160" s="63"/>
      <c r="K160" s="24"/>
      <c r="L160" s="118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119"/>
      <c r="X160" s="50"/>
      <c r="Y160" s="50"/>
      <c r="Z160" s="50"/>
      <c r="AA160" s="50"/>
      <c r="AB160" s="50"/>
      <c r="AC160" s="116"/>
      <c r="AD160" s="24"/>
      <c r="AE160" s="24"/>
      <c r="AF160" s="50"/>
      <c r="AG160" s="50"/>
      <c r="AH160" s="50"/>
      <c r="AI160" s="50"/>
      <c r="AJ160" s="50"/>
      <c r="AK160" s="50"/>
      <c r="AL160" s="50"/>
    </row>
    <row r="161" spans="1:38" ht="13.8">
      <c r="A161" s="73"/>
      <c r="B161" s="74"/>
      <c r="C161" s="116"/>
      <c r="D161" s="24"/>
      <c r="E161" s="24"/>
      <c r="F161" s="24"/>
      <c r="G161" s="24"/>
      <c r="H161" s="24"/>
      <c r="I161" s="24"/>
      <c r="J161" s="63"/>
      <c r="K161" s="24"/>
      <c r="L161" s="118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119"/>
      <c r="X161" s="50"/>
      <c r="Y161" s="50"/>
      <c r="Z161" s="50"/>
      <c r="AA161" s="50"/>
      <c r="AB161" s="50"/>
      <c r="AC161" s="116"/>
      <c r="AD161" s="24"/>
      <c r="AE161" s="24"/>
      <c r="AF161" s="50"/>
      <c r="AG161" s="50"/>
      <c r="AH161" s="50"/>
      <c r="AI161" s="50"/>
      <c r="AJ161" s="50"/>
      <c r="AK161" s="50"/>
      <c r="AL161" s="50"/>
    </row>
    <row r="162" spans="1:38" ht="13.8">
      <c r="A162" s="73"/>
      <c r="B162" s="74"/>
      <c r="C162" s="116"/>
      <c r="D162" s="24"/>
      <c r="E162" s="24"/>
      <c r="F162" s="24"/>
      <c r="G162" s="24"/>
      <c r="H162" s="24"/>
      <c r="I162" s="24"/>
      <c r="J162" s="63"/>
      <c r="K162" s="24"/>
      <c r="L162" s="118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119"/>
      <c r="X162" s="50"/>
      <c r="Y162" s="50"/>
      <c r="Z162" s="50"/>
      <c r="AA162" s="50"/>
      <c r="AB162" s="50"/>
      <c r="AC162" s="116"/>
      <c r="AD162" s="24"/>
      <c r="AE162" s="24"/>
      <c r="AF162" s="50"/>
      <c r="AG162" s="50"/>
      <c r="AH162" s="50"/>
      <c r="AI162" s="50"/>
      <c r="AJ162" s="50"/>
      <c r="AK162" s="50"/>
      <c r="AL162" s="50"/>
    </row>
    <row r="163" spans="1:38" ht="13.8">
      <c r="A163" s="73"/>
      <c r="B163" s="74"/>
      <c r="C163" s="116"/>
      <c r="D163" s="24"/>
      <c r="E163" s="24"/>
      <c r="F163" s="24"/>
      <c r="G163" s="24"/>
      <c r="H163" s="24"/>
      <c r="I163" s="24"/>
      <c r="J163" s="63"/>
      <c r="K163" s="24"/>
      <c r="L163" s="118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119"/>
      <c r="X163" s="50"/>
      <c r="Y163" s="50"/>
      <c r="Z163" s="50"/>
      <c r="AA163" s="50"/>
      <c r="AB163" s="50"/>
      <c r="AC163" s="116"/>
      <c r="AD163" s="24"/>
      <c r="AE163" s="24"/>
      <c r="AF163" s="50"/>
      <c r="AG163" s="50"/>
      <c r="AH163" s="50"/>
      <c r="AI163" s="50"/>
      <c r="AJ163" s="50"/>
      <c r="AK163" s="50"/>
      <c r="AL163" s="50"/>
    </row>
    <row r="164" spans="1:38" ht="13.8">
      <c r="A164" s="73"/>
      <c r="B164" s="74"/>
      <c r="C164" s="116"/>
      <c r="D164" s="24"/>
      <c r="E164" s="24"/>
      <c r="F164" s="24"/>
      <c r="G164" s="24"/>
      <c r="H164" s="24"/>
      <c r="I164" s="24"/>
      <c r="J164" s="63"/>
      <c r="K164" s="24"/>
      <c r="L164" s="118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119"/>
      <c r="X164" s="50"/>
      <c r="Y164" s="50"/>
      <c r="Z164" s="50"/>
      <c r="AA164" s="50"/>
      <c r="AB164" s="50"/>
      <c r="AC164" s="116"/>
      <c r="AD164" s="24"/>
      <c r="AE164" s="24"/>
      <c r="AF164" s="50"/>
      <c r="AG164" s="50"/>
      <c r="AH164" s="50"/>
      <c r="AI164" s="50"/>
      <c r="AJ164" s="50"/>
      <c r="AK164" s="50"/>
      <c r="AL164" s="50"/>
    </row>
    <row r="165" spans="1:38" ht="13.8">
      <c r="A165" s="73"/>
      <c r="B165" s="74"/>
      <c r="C165" s="116"/>
      <c r="D165" s="24"/>
      <c r="E165" s="24"/>
      <c r="F165" s="24"/>
      <c r="G165" s="24"/>
      <c r="H165" s="24"/>
      <c r="I165" s="24"/>
      <c r="J165" s="63"/>
      <c r="K165" s="24"/>
      <c r="L165" s="118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119"/>
      <c r="X165" s="50"/>
      <c r="Y165" s="50"/>
      <c r="Z165" s="50"/>
      <c r="AA165" s="50"/>
      <c r="AB165" s="50"/>
      <c r="AC165" s="116"/>
      <c r="AD165" s="24"/>
      <c r="AE165" s="24"/>
      <c r="AF165" s="50"/>
      <c r="AG165" s="50"/>
      <c r="AH165" s="50"/>
      <c r="AI165" s="50"/>
      <c r="AJ165" s="50"/>
      <c r="AK165" s="50"/>
      <c r="AL165" s="50"/>
    </row>
    <row r="166" spans="1:38" ht="13.8">
      <c r="A166" s="73"/>
      <c r="B166" s="74"/>
      <c r="C166" s="116"/>
      <c r="D166" s="24"/>
      <c r="E166" s="24"/>
      <c r="F166" s="24"/>
      <c r="G166" s="24"/>
      <c r="H166" s="24"/>
      <c r="I166" s="24"/>
      <c r="J166" s="63"/>
      <c r="K166" s="24"/>
      <c r="L166" s="118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119"/>
      <c r="X166" s="50"/>
      <c r="Y166" s="50"/>
      <c r="Z166" s="50"/>
      <c r="AA166" s="50"/>
      <c r="AB166" s="50"/>
      <c r="AC166" s="116"/>
      <c r="AD166" s="24"/>
      <c r="AE166" s="24"/>
      <c r="AF166" s="50"/>
      <c r="AG166" s="50"/>
      <c r="AH166" s="50"/>
      <c r="AI166" s="50"/>
      <c r="AJ166" s="50"/>
      <c r="AK166" s="50"/>
      <c r="AL166" s="50"/>
    </row>
    <row r="167" spans="1:38" ht="13.8">
      <c r="A167" s="73"/>
      <c r="B167" s="74"/>
      <c r="C167" s="116"/>
      <c r="D167" s="24"/>
      <c r="E167" s="24"/>
      <c r="F167" s="24"/>
      <c r="G167" s="24"/>
      <c r="H167" s="24"/>
      <c r="I167" s="24"/>
      <c r="J167" s="63"/>
      <c r="K167" s="24"/>
      <c r="L167" s="118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119"/>
      <c r="X167" s="50"/>
      <c r="Y167" s="50"/>
      <c r="Z167" s="50"/>
      <c r="AA167" s="50"/>
      <c r="AB167" s="50"/>
      <c r="AC167" s="116"/>
      <c r="AD167" s="24"/>
      <c r="AE167" s="24"/>
      <c r="AF167" s="50"/>
      <c r="AG167" s="50"/>
      <c r="AH167" s="50"/>
      <c r="AI167" s="50"/>
      <c r="AJ167" s="50"/>
      <c r="AK167" s="50"/>
      <c r="AL167" s="50"/>
    </row>
    <row r="168" spans="1:38" ht="13.8">
      <c r="A168" s="73"/>
      <c r="B168" s="74"/>
      <c r="C168" s="116"/>
      <c r="D168" s="24"/>
      <c r="E168" s="24"/>
      <c r="F168" s="24"/>
      <c r="G168" s="24"/>
      <c r="H168" s="24"/>
      <c r="I168" s="24"/>
      <c r="J168" s="63"/>
      <c r="K168" s="24"/>
      <c r="L168" s="118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119"/>
      <c r="X168" s="50"/>
      <c r="Y168" s="50"/>
      <c r="Z168" s="50"/>
      <c r="AA168" s="50"/>
      <c r="AB168" s="50"/>
      <c r="AC168" s="116"/>
      <c r="AD168" s="24"/>
      <c r="AE168" s="24"/>
      <c r="AF168" s="50"/>
      <c r="AG168" s="50"/>
      <c r="AH168" s="50"/>
      <c r="AI168" s="50"/>
      <c r="AJ168" s="50"/>
      <c r="AK168" s="50"/>
      <c r="AL168" s="50"/>
    </row>
    <row r="169" spans="1:38" ht="13.8">
      <c r="A169" s="73"/>
      <c r="B169" s="74"/>
      <c r="C169" s="116"/>
      <c r="D169" s="24"/>
      <c r="E169" s="24"/>
      <c r="F169" s="24"/>
      <c r="G169" s="24"/>
      <c r="H169" s="24"/>
      <c r="I169" s="24"/>
      <c r="J169" s="63"/>
      <c r="K169" s="24"/>
      <c r="L169" s="118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119"/>
      <c r="X169" s="50"/>
      <c r="Y169" s="50"/>
      <c r="Z169" s="50"/>
      <c r="AA169" s="50"/>
      <c r="AB169" s="50"/>
      <c r="AC169" s="116"/>
      <c r="AD169" s="24"/>
      <c r="AE169" s="24"/>
      <c r="AF169" s="50"/>
      <c r="AG169" s="50"/>
      <c r="AH169" s="50"/>
      <c r="AI169" s="50"/>
      <c r="AJ169" s="50"/>
      <c r="AK169" s="50"/>
      <c r="AL169" s="50"/>
    </row>
    <row r="170" spans="1:38" ht="13.8">
      <c r="A170" s="73"/>
      <c r="B170" s="74"/>
      <c r="C170" s="116"/>
      <c r="D170" s="24"/>
      <c r="E170" s="24"/>
      <c r="F170" s="24"/>
      <c r="G170" s="24"/>
      <c r="H170" s="24"/>
      <c r="I170" s="24"/>
      <c r="J170" s="63"/>
      <c r="K170" s="24"/>
      <c r="L170" s="118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119"/>
      <c r="X170" s="50"/>
      <c r="Y170" s="50"/>
      <c r="Z170" s="50"/>
      <c r="AA170" s="50"/>
      <c r="AB170" s="50"/>
      <c r="AC170" s="116"/>
      <c r="AD170" s="24"/>
      <c r="AE170" s="24"/>
      <c r="AF170" s="50"/>
      <c r="AG170" s="50"/>
      <c r="AH170" s="50"/>
      <c r="AI170" s="50"/>
      <c r="AJ170" s="50"/>
      <c r="AK170" s="50"/>
      <c r="AL170" s="50"/>
    </row>
    <row r="171" spans="1:38" ht="13.8">
      <c r="A171" s="73"/>
      <c r="B171" s="74"/>
      <c r="C171" s="116"/>
      <c r="D171" s="24"/>
      <c r="E171" s="24"/>
      <c r="F171" s="24"/>
      <c r="G171" s="24"/>
      <c r="H171" s="24"/>
      <c r="I171" s="24"/>
      <c r="J171" s="63"/>
      <c r="K171" s="24"/>
      <c r="L171" s="118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119"/>
      <c r="X171" s="50"/>
      <c r="Y171" s="50"/>
      <c r="Z171" s="50"/>
      <c r="AA171" s="50"/>
      <c r="AB171" s="50"/>
      <c r="AC171" s="116"/>
      <c r="AD171" s="24"/>
      <c r="AE171" s="24"/>
      <c r="AF171" s="50"/>
      <c r="AG171" s="50"/>
      <c r="AH171" s="50"/>
      <c r="AI171" s="50"/>
      <c r="AJ171" s="50"/>
      <c r="AK171" s="50"/>
      <c r="AL171" s="50"/>
    </row>
    <row r="172" spans="1:38" ht="13.8">
      <c r="A172" s="73"/>
      <c r="B172" s="74"/>
      <c r="C172" s="116"/>
      <c r="D172" s="24"/>
      <c r="E172" s="24"/>
      <c r="F172" s="24"/>
      <c r="G172" s="24"/>
      <c r="H172" s="24"/>
      <c r="I172" s="24"/>
      <c r="J172" s="63"/>
      <c r="K172" s="24"/>
      <c r="L172" s="118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119"/>
      <c r="X172" s="50"/>
      <c r="Y172" s="50"/>
      <c r="Z172" s="50"/>
      <c r="AA172" s="50"/>
      <c r="AB172" s="50"/>
      <c r="AC172" s="116"/>
      <c r="AD172" s="24"/>
      <c r="AE172" s="24"/>
      <c r="AF172" s="50"/>
      <c r="AG172" s="50"/>
      <c r="AH172" s="50"/>
      <c r="AI172" s="50"/>
      <c r="AJ172" s="50"/>
      <c r="AK172" s="50"/>
      <c r="AL172" s="50"/>
    </row>
    <row r="173" spans="1:38" ht="13.8">
      <c r="A173" s="73"/>
      <c r="B173" s="74"/>
      <c r="C173" s="116"/>
      <c r="D173" s="24"/>
      <c r="E173" s="24"/>
      <c r="F173" s="24"/>
      <c r="G173" s="24"/>
      <c r="H173" s="24"/>
      <c r="I173" s="24"/>
      <c r="J173" s="63"/>
      <c r="K173" s="24"/>
      <c r="L173" s="118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119"/>
      <c r="X173" s="50"/>
      <c r="Y173" s="50"/>
      <c r="Z173" s="50"/>
      <c r="AA173" s="50"/>
      <c r="AB173" s="50"/>
      <c r="AC173" s="116"/>
      <c r="AD173" s="24"/>
      <c r="AE173" s="24"/>
      <c r="AF173" s="50"/>
      <c r="AG173" s="50"/>
      <c r="AH173" s="50"/>
      <c r="AI173" s="50"/>
      <c r="AJ173" s="50"/>
      <c r="AK173" s="50"/>
      <c r="AL173" s="50"/>
    </row>
    <row r="174" spans="1:38" ht="13.8">
      <c r="A174" s="73"/>
      <c r="B174" s="74"/>
      <c r="C174" s="116"/>
      <c r="D174" s="24"/>
      <c r="E174" s="24"/>
      <c r="F174" s="24"/>
      <c r="G174" s="24"/>
      <c r="H174" s="24"/>
      <c r="I174" s="24"/>
      <c r="J174" s="63"/>
      <c r="K174" s="24"/>
      <c r="L174" s="118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119"/>
      <c r="X174" s="50"/>
      <c r="Y174" s="50"/>
      <c r="Z174" s="50"/>
      <c r="AA174" s="50"/>
      <c r="AB174" s="50"/>
      <c r="AC174" s="116"/>
      <c r="AD174" s="24"/>
      <c r="AE174" s="24"/>
      <c r="AF174" s="50"/>
      <c r="AG174" s="50"/>
      <c r="AH174" s="50"/>
      <c r="AI174" s="50"/>
      <c r="AJ174" s="50"/>
      <c r="AK174" s="50"/>
      <c r="AL174" s="50"/>
    </row>
    <row r="175" spans="1:38" ht="13.8">
      <c r="A175" s="73"/>
      <c r="B175" s="74"/>
      <c r="C175" s="116"/>
      <c r="D175" s="24"/>
      <c r="E175" s="24"/>
      <c r="F175" s="24"/>
      <c r="G175" s="24"/>
      <c r="H175" s="24"/>
      <c r="I175" s="24"/>
      <c r="J175" s="63"/>
      <c r="K175" s="24"/>
      <c r="L175" s="118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119"/>
      <c r="X175" s="50"/>
      <c r="Y175" s="50"/>
      <c r="Z175" s="50"/>
      <c r="AA175" s="50"/>
      <c r="AB175" s="50"/>
      <c r="AC175" s="116"/>
      <c r="AD175" s="24"/>
      <c r="AE175" s="24"/>
      <c r="AF175" s="50"/>
      <c r="AG175" s="50"/>
      <c r="AH175" s="50"/>
      <c r="AI175" s="50"/>
      <c r="AJ175" s="50"/>
      <c r="AK175" s="50"/>
      <c r="AL175" s="50"/>
    </row>
    <row r="176" spans="1:38" ht="13.8">
      <c r="A176" s="73"/>
      <c r="B176" s="74"/>
      <c r="C176" s="116"/>
      <c r="D176" s="24"/>
      <c r="E176" s="24"/>
      <c r="F176" s="24"/>
      <c r="G176" s="24"/>
      <c r="H176" s="24"/>
      <c r="I176" s="24"/>
      <c r="J176" s="63"/>
      <c r="K176" s="24"/>
      <c r="L176" s="118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119"/>
      <c r="X176" s="50"/>
      <c r="Y176" s="50"/>
      <c r="Z176" s="50"/>
      <c r="AA176" s="50"/>
      <c r="AB176" s="50"/>
      <c r="AC176" s="116"/>
      <c r="AD176" s="24"/>
      <c r="AE176" s="24"/>
      <c r="AF176" s="50"/>
      <c r="AG176" s="50"/>
      <c r="AH176" s="50"/>
      <c r="AI176" s="50"/>
      <c r="AJ176" s="50"/>
      <c r="AK176" s="50"/>
      <c r="AL176" s="50"/>
    </row>
    <row r="177" spans="1:38" ht="13.8">
      <c r="A177" s="73"/>
      <c r="B177" s="74"/>
      <c r="C177" s="116"/>
      <c r="D177" s="24"/>
      <c r="E177" s="24"/>
      <c r="F177" s="24"/>
      <c r="G177" s="24"/>
      <c r="H177" s="24"/>
      <c r="I177" s="24"/>
      <c r="J177" s="63"/>
      <c r="K177" s="24"/>
      <c r="L177" s="118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119"/>
      <c r="X177" s="50"/>
      <c r="Y177" s="50"/>
      <c r="Z177" s="50"/>
      <c r="AA177" s="50"/>
      <c r="AB177" s="50"/>
      <c r="AC177" s="116"/>
      <c r="AD177" s="24"/>
      <c r="AE177" s="24"/>
      <c r="AF177" s="50"/>
      <c r="AG177" s="50"/>
      <c r="AH177" s="50"/>
      <c r="AI177" s="50"/>
      <c r="AJ177" s="50"/>
      <c r="AK177" s="50"/>
      <c r="AL177" s="50"/>
    </row>
    <row r="178" spans="1:38" ht="13.8">
      <c r="A178" s="73"/>
      <c r="B178" s="74"/>
      <c r="C178" s="116"/>
      <c r="D178" s="24"/>
      <c r="E178" s="24"/>
      <c r="F178" s="24"/>
      <c r="G178" s="24"/>
      <c r="H178" s="24"/>
      <c r="I178" s="24"/>
      <c r="J178" s="63"/>
      <c r="K178" s="24"/>
      <c r="L178" s="118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119"/>
      <c r="X178" s="50"/>
      <c r="Y178" s="50"/>
      <c r="Z178" s="50"/>
      <c r="AA178" s="50"/>
      <c r="AB178" s="50"/>
      <c r="AC178" s="116"/>
      <c r="AD178" s="24"/>
      <c r="AE178" s="24"/>
      <c r="AF178" s="50"/>
      <c r="AG178" s="50"/>
      <c r="AH178" s="50"/>
      <c r="AI178" s="50"/>
      <c r="AJ178" s="50"/>
      <c r="AK178" s="50"/>
      <c r="AL178" s="50"/>
    </row>
    <row r="179" spans="1:38" ht="13.8">
      <c r="A179" s="73"/>
      <c r="B179" s="74"/>
      <c r="C179" s="116"/>
      <c r="D179" s="24"/>
      <c r="E179" s="24"/>
      <c r="F179" s="24"/>
      <c r="G179" s="24"/>
      <c r="H179" s="24"/>
      <c r="I179" s="24"/>
      <c r="J179" s="63"/>
      <c r="K179" s="24"/>
      <c r="L179" s="118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119"/>
      <c r="X179" s="50"/>
      <c r="Y179" s="50"/>
      <c r="Z179" s="50"/>
      <c r="AA179" s="50"/>
      <c r="AB179" s="50"/>
      <c r="AC179" s="116"/>
      <c r="AD179" s="24"/>
      <c r="AE179" s="24"/>
      <c r="AF179" s="50"/>
      <c r="AG179" s="50"/>
      <c r="AH179" s="50"/>
      <c r="AI179" s="50"/>
      <c r="AJ179" s="50"/>
      <c r="AK179" s="50"/>
      <c r="AL179" s="50"/>
    </row>
    <row r="180" spans="1:38" ht="13.8">
      <c r="A180" s="73"/>
      <c r="B180" s="74"/>
      <c r="C180" s="116"/>
      <c r="D180" s="24"/>
      <c r="E180" s="24"/>
      <c r="F180" s="24"/>
      <c r="G180" s="24"/>
      <c r="H180" s="24"/>
      <c r="I180" s="24"/>
      <c r="J180" s="63"/>
      <c r="K180" s="24"/>
      <c r="L180" s="118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119"/>
      <c r="X180" s="50"/>
      <c r="Y180" s="50"/>
      <c r="Z180" s="50"/>
      <c r="AA180" s="50"/>
      <c r="AB180" s="50"/>
      <c r="AC180" s="116"/>
      <c r="AD180" s="24"/>
      <c r="AE180" s="24"/>
      <c r="AF180" s="50"/>
      <c r="AG180" s="50"/>
      <c r="AH180" s="50"/>
      <c r="AI180" s="50"/>
      <c r="AJ180" s="50"/>
      <c r="AK180" s="50"/>
      <c r="AL180" s="50"/>
    </row>
    <row r="181" spans="1:38" ht="13.8">
      <c r="A181" s="73"/>
      <c r="B181" s="74"/>
      <c r="C181" s="116"/>
      <c r="D181" s="24"/>
      <c r="E181" s="24"/>
      <c r="F181" s="24"/>
      <c r="G181" s="24"/>
      <c r="H181" s="24"/>
      <c r="I181" s="24"/>
      <c r="J181" s="63"/>
      <c r="K181" s="24"/>
      <c r="L181" s="118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119"/>
      <c r="X181" s="50"/>
      <c r="Y181" s="50"/>
      <c r="Z181" s="50"/>
      <c r="AA181" s="50"/>
      <c r="AB181" s="50"/>
      <c r="AC181" s="116"/>
      <c r="AD181" s="24"/>
      <c r="AE181" s="24"/>
      <c r="AF181" s="50"/>
      <c r="AG181" s="50"/>
      <c r="AH181" s="50"/>
      <c r="AI181" s="50"/>
      <c r="AJ181" s="50"/>
      <c r="AK181" s="50"/>
      <c r="AL181" s="50"/>
    </row>
    <row r="182" spans="1:38" ht="13.8">
      <c r="A182" s="73"/>
      <c r="B182" s="74"/>
      <c r="C182" s="116"/>
      <c r="D182" s="24"/>
      <c r="E182" s="24"/>
      <c r="F182" s="24"/>
      <c r="G182" s="24"/>
      <c r="H182" s="24"/>
      <c r="I182" s="24"/>
      <c r="J182" s="63"/>
      <c r="K182" s="24"/>
      <c r="L182" s="118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119"/>
      <c r="X182" s="50"/>
      <c r="Y182" s="50"/>
      <c r="Z182" s="50"/>
      <c r="AA182" s="50"/>
      <c r="AB182" s="50"/>
      <c r="AC182" s="116"/>
      <c r="AD182" s="24"/>
      <c r="AE182" s="24"/>
      <c r="AF182" s="50"/>
      <c r="AG182" s="50"/>
      <c r="AH182" s="50"/>
      <c r="AI182" s="50"/>
      <c r="AJ182" s="50"/>
      <c r="AK182" s="50"/>
      <c r="AL182" s="50"/>
    </row>
    <row r="183" spans="1:38" ht="13.8">
      <c r="A183" s="73"/>
      <c r="B183" s="74"/>
      <c r="C183" s="116"/>
      <c r="D183" s="24"/>
      <c r="E183" s="24"/>
      <c r="F183" s="24"/>
      <c r="G183" s="24"/>
      <c r="H183" s="24"/>
      <c r="I183" s="24"/>
      <c r="J183" s="63"/>
      <c r="K183" s="24"/>
      <c r="L183" s="118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119"/>
      <c r="X183" s="50"/>
      <c r="Y183" s="50"/>
      <c r="Z183" s="50"/>
      <c r="AA183" s="50"/>
      <c r="AB183" s="50"/>
      <c r="AC183" s="116"/>
      <c r="AD183" s="24"/>
      <c r="AE183" s="24"/>
      <c r="AF183" s="50"/>
      <c r="AG183" s="50"/>
      <c r="AH183" s="50"/>
      <c r="AI183" s="50"/>
      <c r="AJ183" s="50"/>
      <c r="AK183" s="50"/>
      <c r="AL183" s="50"/>
    </row>
    <row r="184" spans="1:38" ht="13.8">
      <c r="A184" s="73"/>
      <c r="B184" s="74"/>
      <c r="C184" s="116"/>
      <c r="D184" s="24"/>
      <c r="E184" s="24"/>
      <c r="F184" s="24"/>
      <c r="G184" s="24"/>
      <c r="H184" s="24"/>
      <c r="I184" s="24"/>
      <c r="J184" s="63"/>
      <c r="K184" s="24"/>
      <c r="L184" s="118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119"/>
      <c r="X184" s="50"/>
      <c r="Y184" s="50"/>
      <c r="Z184" s="50"/>
      <c r="AA184" s="50"/>
      <c r="AB184" s="50"/>
      <c r="AC184" s="116"/>
      <c r="AD184" s="24"/>
      <c r="AE184" s="24"/>
      <c r="AF184" s="50"/>
      <c r="AG184" s="50"/>
      <c r="AH184" s="50"/>
      <c r="AI184" s="50"/>
      <c r="AJ184" s="50"/>
      <c r="AK184" s="50"/>
      <c r="AL184" s="50"/>
    </row>
    <row r="185" spans="1:38" ht="13.8">
      <c r="A185" s="73"/>
      <c r="B185" s="74"/>
      <c r="C185" s="116"/>
      <c r="D185" s="24"/>
      <c r="E185" s="24"/>
      <c r="F185" s="24"/>
      <c r="G185" s="24"/>
      <c r="H185" s="24"/>
      <c r="I185" s="24"/>
      <c r="J185" s="63"/>
      <c r="K185" s="24"/>
      <c r="L185" s="118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119"/>
      <c r="X185" s="50"/>
      <c r="Y185" s="50"/>
      <c r="Z185" s="50"/>
      <c r="AA185" s="50"/>
      <c r="AB185" s="50"/>
      <c r="AC185" s="116"/>
      <c r="AD185" s="24"/>
      <c r="AE185" s="24"/>
      <c r="AF185" s="50"/>
      <c r="AG185" s="50"/>
      <c r="AH185" s="50"/>
      <c r="AI185" s="50"/>
      <c r="AJ185" s="50"/>
      <c r="AK185" s="50"/>
      <c r="AL185" s="50"/>
    </row>
    <row r="186" spans="1:38" ht="13.8">
      <c r="A186" s="73"/>
      <c r="B186" s="74"/>
      <c r="C186" s="116"/>
      <c r="D186" s="24"/>
      <c r="E186" s="24"/>
      <c r="F186" s="24"/>
      <c r="G186" s="24"/>
      <c r="H186" s="24"/>
      <c r="I186" s="24"/>
      <c r="J186" s="63"/>
      <c r="K186" s="24"/>
      <c r="L186" s="118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119"/>
      <c r="X186" s="50"/>
      <c r="Y186" s="50"/>
      <c r="Z186" s="50"/>
      <c r="AA186" s="50"/>
      <c r="AB186" s="50"/>
      <c r="AC186" s="116"/>
      <c r="AD186" s="24"/>
      <c r="AE186" s="24"/>
      <c r="AF186" s="50"/>
      <c r="AG186" s="50"/>
      <c r="AH186" s="50"/>
      <c r="AI186" s="50"/>
      <c r="AJ186" s="50"/>
      <c r="AK186" s="50"/>
      <c r="AL186" s="50"/>
    </row>
    <row r="187" spans="1:38" ht="13.8">
      <c r="A187" s="73"/>
      <c r="B187" s="74"/>
      <c r="C187" s="116"/>
      <c r="D187" s="24"/>
      <c r="E187" s="24"/>
      <c r="F187" s="24"/>
      <c r="G187" s="24"/>
      <c r="H187" s="24"/>
      <c r="I187" s="24"/>
      <c r="J187" s="63"/>
      <c r="K187" s="24"/>
      <c r="L187" s="118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119"/>
      <c r="X187" s="50"/>
      <c r="Y187" s="50"/>
      <c r="Z187" s="50"/>
      <c r="AA187" s="50"/>
      <c r="AB187" s="50"/>
      <c r="AC187" s="116"/>
      <c r="AD187" s="24"/>
      <c r="AE187" s="24"/>
      <c r="AF187" s="50"/>
      <c r="AG187" s="50"/>
      <c r="AH187" s="50"/>
      <c r="AI187" s="50"/>
      <c r="AJ187" s="50"/>
      <c r="AK187" s="50"/>
      <c r="AL187" s="50"/>
    </row>
    <row r="188" spans="1:38" ht="13.8">
      <c r="A188" s="73"/>
      <c r="B188" s="74"/>
      <c r="C188" s="116"/>
      <c r="D188" s="24"/>
      <c r="E188" s="24"/>
      <c r="F188" s="24"/>
      <c r="G188" s="24"/>
      <c r="H188" s="24"/>
      <c r="I188" s="24"/>
      <c r="J188" s="63"/>
      <c r="K188" s="24"/>
      <c r="L188" s="118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119"/>
      <c r="X188" s="50"/>
      <c r="Y188" s="50"/>
      <c r="Z188" s="50"/>
      <c r="AA188" s="50"/>
      <c r="AB188" s="50"/>
      <c r="AC188" s="116"/>
      <c r="AD188" s="24"/>
      <c r="AE188" s="24"/>
      <c r="AF188" s="50"/>
      <c r="AG188" s="50"/>
      <c r="AH188" s="50"/>
      <c r="AI188" s="50"/>
      <c r="AJ188" s="50"/>
      <c r="AK188" s="50"/>
      <c r="AL188" s="50"/>
    </row>
    <row r="189" spans="1:38" ht="13.8">
      <c r="A189" s="73"/>
      <c r="B189" s="74"/>
      <c r="C189" s="116"/>
      <c r="D189" s="24"/>
      <c r="E189" s="24"/>
      <c r="F189" s="24"/>
      <c r="G189" s="24"/>
      <c r="H189" s="24"/>
      <c r="I189" s="24"/>
      <c r="J189" s="63"/>
      <c r="K189" s="24"/>
      <c r="L189" s="118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119"/>
      <c r="X189" s="50"/>
      <c r="Y189" s="50"/>
      <c r="Z189" s="50"/>
      <c r="AA189" s="50"/>
      <c r="AB189" s="50"/>
      <c r="AC189" s="116"/>
      <c r="AD189" s="24"/>
      <c r="AE189" s="24"/>
      <c r="AF189" s="50"/>
      <c r="AG189" s="50"/>
      <c r="AH189" s="50"/>
      <c r="AI189" s="50"/>
      <c r="AJ189" s="50"/>
      <c r="AK189" s="50"/>
      <c r="AL189" s="50"/>
    </row>
    <row r="190" spans="1:38" ht="13.8">
      <c r="A190" s="73"/>
      <c r="B190" s="74"/>
      <c r="C190" s="116"/>
      <c r="D190" s="24"/>
      <c r="E190" s="24"/>
      <c r="F190" s="24"/>
      <c r="G190" s="24"/>
      <c r="H190" s="24"/>
      <c r="I190" s="24"/>
      <c r="J190" s="63"/>
      <c r="K190" s="24"/>
      <c r="L190" s="118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119"/>
      <c r="X190" s="50"/>
      <c r="Y190" s="50"/>
      <c r="Z190" s="50"/>
      <c r="AA190" s="50"/>
      <c r="AB190" s="50"/>
      <c r="AC190" s="116"/>
      <c r="AD190" s="24"/>
      <c r="AE190" s="24"/>
      <c r="AF190" s="50"/>
      <c r="AG190" s="50"/>
      <c r="AH190" s="50"/>
      <c r="AI190" s="50"/>
      <c r="AJ190" s="50"/>
      <c r="AK190" s="50"/>
      <c r="AL190" s="50"/>
    </row>
    <row r="191" spans="1:38" ht="13.8">
      <c r="A191" s="73"/>
      <c r="B191" s="74"/>
      <c r="C191" s="116"/>
      <c r="D191" s="24"/>
      <c r="E191" s="24"/>
      <c r="F191" s="24"/>
      <c r="G191" s="24"/>
      <c r="H191" s="24"/>
      <c r="I191" s="24"/>
      <c r="J191" s="63"/>
      <c r="K191" s="24"/>
      <c r="L191" s="118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119"/>
      <c r="X191" s="50"/>
      <c r="Y191" s="50"/>
      <c r="Z191" s="50"/>
      <c r="AA191" s="50"/>
      <c r="AB191" s="50"/>
      <c r="AC191" s="116"/>
      <c r="AD191" s="24"/>
      <c r="AE191" s="24"/>
      <c r="AF191" s="50"/>
      <c r="AG191" s="50"/>
      <c r="AH191" s="50"/>
      <c r="AI191" s="50"/>
      <c r="AJ191" s="50"/>
      <c r="AK191" s="50"/>
      <c r="AL191" s="50"/>
    </row>
    <row r="192" spans="1:38" ht="13.8">
      <c r="A192" s="73"/>
      <c r="B192" s="74"/>
      <c r="C192" s="116"/>
      <c r="D192" s="24"/>
      <c r="E192" s="24"/>
      <c r="F192" s="24"/>
      <c r="G192" s="24"/>
      <c r="H192" s="24"/>
      <c r="I192" s="24"/>
      <c r="J192" s="63"/>
      <c r="K192" s="24"/>
      <c r="L192" s="118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119"/>
      <c r="X192" s="50"/>
      <c r="Y192" s="50"/>
      <c r="Z192" s="50"/>
      <c r="AA192" s="50"/>
      <c r="AB192" s="50"/>
      <c r="AC192" s="116"/>
      <c r="AD192" s="24"/>
      <c r="AE192" s="24"/>
      <c r="AF192" s="50"/>
      <c r="AG192" s="50"/>
      <c r="AH192" s="50"/>
      <c r="AI192" s="50"/>
      <c r="AJ192" s="50"/>
      <c r="AK192" s="50"/>
      <c r="AL192" s="50"/>
    </row>
    <row r="193" spans="1:38" ht="13.8">
      <c r="A193" s="73"/>
      <c r="B193" s="74"/>
      <c r="C193" s="116"/>
      <c r="D193" s="24"/>
      <c r="E193" s="24"/>
      <c r="F193" s="24"/>
      <c r="G193" s="24"/>
      <c r="H193" s="24"/>
      <c r="I193" s="24"/>
      <c r="J193" s="63"/>
      <c r="K193" s="24"/>
      <c r="L193" s="118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119"/>
      <c r="X193" s="50"/>
      <c r="Y193" s="50"/>
      <c r="Z193" s="50"/>
      <c r="AA193" s="50"/>
      <c r="AB193" s="50"/>
      <c r="AC193" s="116"/>
      <c r="AD193" s="24"/>
      <c r="AE193" s="24"/>
      <c r="AF193" s="50"/>
      <c r="AG193" s="50"/>
      <c r="AH193" s="50"/>
      <c r="AI193" s="50"/>
      <c r="AJ193" s="50"/>
      <c r="AK193" s="50"/>
      <c r="AL193" s="50"/>
    </row>
    <row r="194" spans="1:38" ht="13.8">
      <c r="A194" s="73"/>
      <c r="B194" s="74"/>
      <c r="C194" s="116"/>
      <c r="D194" s="24"/>
      <c r="E194" s="24"/>
      <c r="F194" s="24"/>
      <c r="G194" s="24"/>
      <c r="H194" s="24"/>
      <c r="I194" s="24"/>
      <c r="J194" s="63"/>
      <c r="K194" s="24"/>
      <c r="L194" s="118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119"/>
      <c r="X194" s="50"/>
      <c r="Y194" s="50"/>
      <c r="Z194" s="50"/>
      <c r="AA194" s="50"/>
      <c r="AB194" s="50"/>
      <c r="AC194" s="116"/>
      <c r="AD194" s="24"/>
      <c r="AE194" s="24"/>
      <c r="AF194" s="50"/>
      <c r="AG194" s="50"/>
      <c r="AH194" s="50"/>
      <c r="AI194" s="50"/>
      <c r="AJ194" s="50"/>
      <c r="AK194" s="50"/>
      <c r="AL194" s="50"/>
    </row>
    <row r="195" spans="1:38" ht="13.8">
      <c r="A195" s="73"/>
      <c r="B195" s="74"/>
      <c r="C195" s="116"/>
      <c r="D195" s="24"/>
      <c r="E195" s="24"/>
      <c r="F195" s="24"/>
      <c r="G195" s="24"/>
      <c r="H195" s="24"/>
      <c r="I195" s="24"/>
      <c r="J195" s="63"/>
      <c r="K195" s="24"/>
      <c r="L195" s="118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119"/>
      <c r="X195" s="50"/>
      <c r="Y195" s="50"/>
      <c r="Z195" s="50"/>
      <c r="AA195" s="50"/>
      <c r="AB195" s="50"/>
      <c r="AC195" s="116"/>
      <c r="AD195" s="24"/>
      <c r="AE195" s="24"/>
      <c r="AF195" s="50"/>
      <c r="AG195" s="50"/>
      <c r="AH195" s="50"/>
      <c r="AI195" s="50"/>
      <c r="AJ195" s="50"/>
      <c r="AK195" s="50"/>
      <c r="AL195" s="50"/>
    </row>
    <row r="196" spans="1:38" ht="13.8">
      <c r="A196" s="73"/>
      <c r="B196" s="74"/>
      <c r="C196" s="116"/>
      <c r="D196" s="24"/>
      <c r="E196" s="24"/>
      <c r="F196" s="24"/>
      <c r="G196" s="24"/>
      <c r="H196" s="24"/>
      <c r="I196" s="24"/>
      <c r="J196" s="63"/>
      <c r="K196" s="24"/>
      <c r="L196" s="118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119"/>
      <c r="X196" s="50"/>
      <c r="Y196" s="50"/>
      <c r="Z196" s="50"/>
      <c r="AA196" s="50"/>
      <c r="AB196" s="50"/>
      <c r="AC196" s="116"/>
      <c r="AD196" s="24"/>
      <c r="AE196" s="24"/>
      <c r="AF196" s="50"/>
      <c r="AG196" s="50"/>
      <c r="AH196" s="50"/>
      <c r="AI196" s="50"/>
      <c r="AJ196" s="50"/>
      <c r="AK196" s="50"/>
      <c r="AL196" s="50"/>
    </row>
    <row r="197" spans="1:38" ht="13.8">
      <c r="A197" s="73"/>
      <c r="B197" s="74"/>
      <c r="C197" s="116"/>
      <c r="D197" s="24"/>
      <c r="E197" s="24"/>
      <c r="F197" s="24"/>
      <c r="G197" s="24"/>
      <c r="H197" s="24"/>
      <c r="I197" s="24"/>
      <c r="J197" s="63"/>
      <c r="K197" s="24"/>
      <c r="L197" s="118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119"/>
      <c r="X197" s="50"/>
      <c r="Y197" s="50"/>
      <c r="Z197" s="50"/>
      <c r="AA197" s="50"/>
      <c r="AB197" s="50"/>
      <c r="AC197" s="116"/>
      <c r="AD197" s="24"/>
      <c r="AE197" s="24"/>
      <c r="AF197" s="50"/>
      <c r="AG197" s="50"/>
      <c r="AH197" s="50"/>
      <c r="AI197" s="50"/>
      <c r="AJ197" s="50"/>
      <c r="AK197" s="50"/>
      <c r="AL197" s="50"/>
    </row>
    <row r="198" spans="1:38" ht="13.8">
      <c r="A198" s="73"/>
      <c r="B198" s="74"/>
      <c r="C198" s="116"/>
      <c r="D198" s="24"/>
      <c r="E198" s="24"/>
      <c r="F198" s="24"/>
      <c r="G198" s="24"/>
      <c r="H198" s="24"/>
      <c r="I198" s="24"/>
      <c r="J198" s="63"/>
      <c r="K198" s="24"/>
      <c r="L198" s="118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119"/>
      <c r="X198" s="50"/>
      <c r="Y198" s="50"/>
      <c r="Z198" s="50"/>
      <c r="AA198" s="50"/>
      <c r="AB198" s="50"/>
      <c r="AC198" s="116"/>
      <c r="AD198" s="24"/>
      <c r="AE198" s="24"/>
      <c r="AF198" s="50"/>
      <c r="AG198" s="50"/>
      <c r="AH198" s="50"/>
      <c r="AI198" s="50"/>
      <c r="AJ198" s="50"/>
      <c r="AK198" s="50"/>
      <c r="AL198" s="50"/>
    </row>
    <row r="199" spans="1:38" ht="13.8">
      <c r="A199" s="73"/>
      <c r="B199" s="74"/>
      <c r="C199" s="116"/>
      <c r="D199" s="24"/>
      <c r="E199" s="24"/>
      <c r="F199" s="24"/>
      <c r="G199" s="24"/>
      <c r="H199" s="24"/>
      <c r="I199" s="24"/>
      <c r="J199" s="63"/>
      <c r="K199" s="24"/>
      <c r="L199" s="118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119"/>
      <c r="X199" s="50"/>
      <c r="Y199" s="50"/>
      <c r="Z199" s="50"/>
      <c r="AA199" s="50"/>
      <c r="AB199" s="50"/>
      <c r="AC199" s="116"/>
      <c r="AD199" s="24"/>
      <c r="AE199" s="24"/>
      <c r="AF199" s="50"/>
      <c r="AG199" s="50"/>
      <c r="AH199" s="50"/>
      <c r="AI199" s="50"/>
      <c r="AJ199" s="50"/>
      <c r="AK199" s="50"/>
      <c r="AL199" s="50"/>
    </row>
    <row r="200" spans="1:38" ht="13.8">
      <c r="A200" s="73"/>
      <c r="B200" s="74"/>
      <c r="C200" s="116"/>
      <c r="D200" s="24"/>
      <c r="E200" s="24"/>
      <c r="F200" s="24"/>
      <c r="G200" s="24"/>
      <c r="H200" s="24"/>
      <c r="I200" s="24"/>
      <c r="J200" s="63"/>
      <c r="K200" s="24"/>
      <c r="L200" s="118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119"/>
      <c r="X200" s="50"/>
      <c r="Y200" s="50"/>
      <c r="Z200" s="50"/>
      <c r="AA200" s="50"/>
      <c r="AB200" s="50"/>
      <c r="AC200" s="116"/>
      <c r="AD200" s="24"/>
      <c r="AE200" s="24"/>
      <c r="AF200" s="50"/>
      <c r="AG200" s="50"/>
      <c r="AH200" s="50"/>
      <c r="AI200" s="50"/>
      <c r="AJ200" s="50"/>
      <c r="AK200" s="50"/>
      <c r="AL200" s="50"/>
    </row>
    <row r="201" spans="1:38" ht="13.8">
      <c r="A201" s="73"/>
      <c r="B201" s="74"/>
      <c r="C201" s="116"/>
      <c r="D201" s="24"/>
      <c r="E201" s="24"/>
      <c r="F201" s="24"/>
      <c r="G201" s="24"/>
      <c r="H201" s="24"/>
      <c r="I201" s="24"/>
      <c r="J201" s="63"/>
      <c r="K201" s="24"/>
      <c r="L201" s="118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119"/>
      <c r="X201" s="50"/>
      <c r="Y201" s="50"/>
      <c r="Z201" s="50"/>
      <c r="AA201" s="50"/>
      <c r="AB201" s="50"/>
      <c r="AC201" s="116"/>
      <c r="AD201" s="24"/>
      <c r="AE201" s="24"/>
      <c r="AF201" s="50"/>
      <c r="AG201" s="50"/>
      <c r="AH201" s="50"/>
      <c r="AI201" s="50"/>
      <c r="AJ201" s="50"/>
      <c r="AK201" s="50"/>
      <c r="AL201" s="50"/>
    </row>
    <row r="202" spans="1:38" ht="13.8">
      <c r="A202" s="73"/>
      <c r="B202" s="74"/>
      <c r="C202" s="116"/>
      <c r="D202" s="24"/>
      <c r="E202" s="24"/>
      <c r="F202" s="24"/>
      <c r="G202" s="24"/>
      <c r="H202" s="24"/>
      <c r="I202" s="24"/>
      <c r="J202" s="63"/>
      <c r="K202" s="24"/>
      <c r="L202" s="118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119"/>
      <c r="X202" s="50"/>
      <c r="Y202" s="50"/>
      <c r="Z202" s="50"/>
      <c r="AA202" s="50"/>
      <c r="AB202" s="50"/>
      <c r="AC202" s="116"/>
      <c r="AD202" s="24"/>
      <c r="AE202" s="24"/>
      <c r="AF202" s="50"/>
      <c r="AG202" s="50"/>
      <c r="AH202" s="50"/>
      <c r="AI202" s="50"/>
      <c r="AJ202" s="50"/>
      <c r="AK202" s="50"/>
      <c r="AL202" s="50"/>
    </row>
    <row r="203" spans="1:38" ht="13.8">
      <c r="A203" s="73"/>
      <c r="B203" s="74"/>
      <c r="C203" s="116"/>
      <c r="D203" s="24"/>
      <c r="E203" s="24"/>
      <c r="F203" s="24"/>
      <c r="G203" s="24"/>
      <c r="H203" s="24"/>
      <c r="I203" s="24"/>
      <c r="J203" s="63"/>
      <c r="K203" s="24"/>
      <c r="L203" s="118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119"/>
      <c r="X203" s="50"/>
      <c r="Y203" s="50"/>
      <c r="Z203" s="50"/>
      <c r="AA203" s="50"/>
      <c r="AB203" s="50"/>
      <c r="AC203" s="116"/>
      <c r="AD203" s="24"/>
      <c r="AE203" s="24"/>
      <c r="AF203" s="50"/>
      <c r="AG203" s="50"/>
      <c r="AH203" s="50"/>
      <c r="AI203" s="50"/>
      <c r="AJ203" s="50"/>
      <c r="AK203" s="50"/>
      <c r="AL203" s="50"/>
    </row>
    <row r="204" spans="1:38" ht="13.8">
      <c r="A204" s="73"/>
      <c r="B204" s="74"/>
      <c r="C204" s="116"/>
      <c r="D204" s="24"/>
      <c r="E204" s="24"/>
      <c r="F204" s="24"/>
      <c r="G204" s="24"/>
      <c r="H204" s="24"/>
      <c r="I204" s="24"/>
      <c r="J204" s="63"/>
      <c r="K204" s="24"/>
      <c r="L204" s="118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119"/>
      <c r="X204" s="50"/>
      <c r="Y204" s="50"/>
      <c r="Z204" s="50"/>
      <c r="AA204" s="50"/>
      <c r="AB204" s="50"/>
      <c r="AC204" s="116"/>
      <c r="AD204" s="24"/>
      <c r="AE204" s="24"/>
      <c r="AF204" s="50"/>
      <c r="AG204" s="50"/>
      <c r="AH204" s="50"/>
      <c r="AI204" s="50"/>
      <c r="AJ204" s="50"/>
      <c r="AK204" s="50"/>
      <c r="AL204" s="50"/>
    </row>
    <row r="205" spans="1:38" ht="13.8">
      <c r="A205" s="73"/>
      <c r="B205" s="74"/>
      <c r="C205" s="116"/>
      <c r="D205" s="24"/>
      <c r="E205" s="24"/>
      <c r="F205" s="24"/>
      <c r="G205" s="24"/>
      <c r="H205" s="24"/>
      <c r="I205" s="24"/>
      <c r="J205" s="63"/>
      <c r="K205" s="24"/>
      <c r="L205" s="118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119"/>
      <c r="X205" s="50"/>
      <c r="Y205" s="50"/>
      <c r="Z205" s="50"/>
      <c r="AA205" s="50"/>
      <c r="AB205" s="50"/>
      <c r="AC205" s="116"/>
      <c r="AD205" s="24"/>
      <c r="AE205" s="24"/>
      <c r="AF205" s="50"/>
      <c r="AG205" s="50"/>
      <c r="AH205" s="50"/>
      <c r="AI205" s="50"/>
      <c r="AJ205" s="50"/>
      <c r="AK205" s="50"/>
      <c r="AL205" s="50"/>
    </row>
    <row r="206" spans="1:38" ht="13.8">
      <c r="A206" s="73"/>
      <c r="B206" s="74"/>
      <c r="C206" s="116"/>
      <c r="D206" s="24"/>
      <c r="E206" s="24"/>
      <c r="F206" s="24"/>
      <c r="G206" s="24"/>
      <c r="H206" s="24"/>
      <c r="I206" s="24"/>
      <c r="J206" s="63"/>
      <c r="K206" s="24"/>
      <c r="L206" s="118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119"/>
      <c r="X206" s="50"/>
      <c r="Y206" s="50"/>
      <c r="Z206" s="50"/>
      <c r="AA206" s="50"/>
      <c r="AB206" s="50"/>
      <c r="AC206" s="116"/>
      <c r="AD206" s="24"/>
      <c r="AE206" s="24"/>
      <c r="AF206" s="50"/>
      <c r="AG206" s="50"/>
      <c r="AH206" s="50"/>
      <c r="AI206" s="50"/>
      <c r="AJ206" s="50"/>
      <c r="AK206" s="50"/>
      <c r="AL206" s="50"/>
    </row>
    <row r="207" spans="1:38" ht="13.8">
      <c r="A207" s="73"/>
      <c r="B207" s="74"/>
      <c r="C207" s="116"/>
      <c r="D207" s="24"/>
      <c r="E207" s="24"/>
      <c r="F207" s="24"/>
      <c r="G207" s="24"/>
      <c r="H207" s="24"/>
      <c r="I207" s="24"/>
      <c r="J207" s="63"/>
      <c r="K207" s="24"/>
      <c r="L207" s="118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119"/>
      <c r="X207" s="50"/>
      <c r="Y207" s="50"/>
      <c r="Z207" s="50"/>
      <c r="AA207" s="50"/>
      <c r="AB207" s="50"/>
      <c r="AC207" s="116"/>
      <c r="AD207" s="24"/>
      <c r="AE207" s="24"/>
      <c r="AF207" s="50"/>
      <c r="AG207" s="50"/>
      <c r="AH207" s="50"/>
      <c r="AI207" s="50"/>
      <c r="AJ207" s="50"/>
      <c r="AK207" s="50"/>
      <c r="AL207" s="50"/>
    </row>
    <row r="208" spans="1:38" ht="13.8">
      <c r="A208" s="73"/>
      <c r="B208" s="74"/>
      <c r="C208" s="116"/>
      <c r="D208" s="24"/>
      <c r="E208" s="24"/>
      <c r="F208" s="24"/>
      <c r="G208" s="24"/>
      <c r="H208" s="24"/>
      <c r="I208" s="24"/>
      <c r="J208" s="63"/>
      <c r="K208" s="24"/>
      <c r="L208" s="118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119"/>
      <c r="X208" s="50"/>
      <c r="Y208" s="50"/>
      <c r="Z208" s="50"/>
      <c r="AA208" s="50"/>
      <c r="AB208" s="50"/>
      <c r="AC208" s="116"/>
      <c r="AD208" s="24"/>
      <c r="AE208" s="24"/>
      <c r="AF208" s="50"/>
      <c r="AG208" s="50"/>
      <c r="AH208" s="50"/>
      <c r="AI208" s="50"/>
      <c r="AJ208" s="50"/>
      <c r="AK208" s="50"/>
      <c r="AL208" s="50"/>
    </row>
    <row r="209" spans="1:38" ht="13.8">
      <c r="A209" s="73"/>
      <c r="B209" s="74"/>
      <c r="C209" s="116"/>
      <c r="D209" s="24"/>
      <c r="E209" s="24"/>
      <c r="F209" s="24"/>
      <c r="G209" s="24"/>
      <c r="H209" s="24"/>
      <c r="I209" s="24"/>
      <c r="J209" s="63"/>
      <c r="K209" s="24"/>
      <c r="L209" s="118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119"/>
      <c r="X209" s="50"/>
      <c r="Y209" s="50"/>
      <c r="Z209" s="50"/>
      <c r="AA209" s="50"/>
      <c r="AB209" s="50"/>
      <c r="AC209" s="116"/>
      <c r="AD209" s="24"/>
      <c r="AE209" s="24"/>
      <c r="AF209" s="50"/>
      <c r="AG209" s="50"/>
      <c r="AH209" s="50"/>
      <c r="AI209" s="50"/>
      <c r="AJ209" s="50"/>
      <c r="AK209" s="50"/>
      <c r="AL209" s="50"/>
    </row>
    <row r="210" spans="1:38" ht="13.8">
      <c r="A210" s="73"/>
      <c r="B210" s="74"/>
      <c r="C210" s="116"/>
      <c r="D210" s="24"/>
      <c r="E210" s="24"/>
      <c r="F210" s="24"/>
      <c r="G210" s="24"/>
      <c r="H210" s="24"/>
      <c r="I210" s="24"/>
      <c r="J210" s="63"/>
      <c r="K210" s="24"/>
      <c r="L210" s="118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119"/>
      <c r="X210" s="50"/>
      <c r="Y210" s="50"/>
      <c r="Z210" s="50"/>
      <c r="AA210" s="50"/>
      <c r="AB210" s="50"/>
      <c r="AC210" s="116"/>
      <c r="AD210" s="24"/>
      <c r="AE210" s="24"/>
      <c r="AF210" s="50"/>
      <c r="AG210" s="50"/>
      <c r="AH210" s="50"/>
      <c r="AI210" s="50"/>
      <c r="AJ210" s="50"/>
      <c r="AK210" s="50"/>
      <c r="AL210" s="50"/>
    </row>
    <row r="211" spans="1:38" ht="13.8">
      <c r="A211" s="73"/>
      <c r="B211" s="74"/>
      <c r="C211" s="116"/>
      <c r="D211" s="24"/>
      <c r="E211" s="24"/>
      <c r="F211" s="24"/>
      <c r="G211" s="24"/>
      <c r="H211" s="24"/>
      <c r="I211" s="24"/>
      <c r="J211" s="63"/>
      <c r="K211" s="24"/>
      <c r="L211" s="118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119"/>
      <c r="X211" s="50"/>
      <c r="Y211" s="50"/>
      <c r="Z211" s="50"/>
      <c r="AA211" s="50"/>
      <c r="AB211" s="50"/>
      <c r="AC211" s="116"/>
      <c r="AD211" s="24"/>
      <c r="AE211" s="24"/>
      <c r="AF211" s="50"/>
      <c r="AG211" s="50"/>
      <c r="AH211" s="50"/>
      <c r="AI211" s="50"/>
      <c r="AJ211" s="50"/>
      <c r="AK211" s="50"/>
      <c r="AL211" s="50"/>
    </row>
    <row r="212" spans="1:38" ht="13.8">
      <c r="A212" s="73"/>
      <c r="B212" s="74"/>
      <c r="C212" s="116"/>
      <c r="D212" s="24"/>
      <c r="E212" s="24"/>
      <c r="F212" s="24"/>
      <c r="G212" s="24"/>
      <c r="H212" s="24"/>
      <c r="I212" s="24"/>
      <c r="J212" s="63"/>
      <c r="K212" s="24"/>
      <c r="L212" s="118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119"/>
      <c r="X212" s="50"/>
      <c r="Y212" s="50"/>
      <c r="Z212" s="50"/>
      <c r="AA212" s="50"/>
      <c r="AB212" s="50"/>
      <c r="AC212" s="116"/>
      <c r="AD212" s="24"/>
      <c r="AE212" s="24"/>
      <c r="AF212" s="50"/>
      <c r="AG212" s="50"/>
      <c r="AH212" s="50"/>
      <c r="AI212" s="50"/>
      <c r="AJ212" s="50"/>
      <c r="AK212" s="50"/>
      <c r="AL212" s="50"/>
    </row>
    <row r="213" spans="1:38" ht="13.8">
      <c r="A213" s="73"/>
      <c r="B213" s="74"/>
      <c r="C213" s="116"/>
      <c r="D213" s="24"/>
      <c r="E213" s="24"/>
      <c r="F213" s="24"/>
      <c r="G213" s="24"/>
      <c r="H213" s="24"/>
      <c r="I213" s="24"/>
      <c r="J213" s="63"/>
      <c r="K213" s="24"/>
      <c r="L213" s="118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119"/>
      <c r="X213" s="50"/>
      <c r="Y213" s="50"/>
      <c r="Z213" s="50"/>
      <c r="AA213" s="50"/>
      <c r="AB213" s="50"/>
      <c r="AC213" s="116"/>
      <c r="AD213" s="24"/>
      <c r="AE213" s="24"/>
      <c r="AF213" s="50"/>
      <c r="AG213" s="50"/>
      <c r="AH213" s="50"/>
      <c r="AI213" s="50"/>
      <c r="AJ213" s="50"/>
      <c r="AK213" s="50"/>
      <c r="AL213" s="50"/>
    </row>
    <row r="214" spans="1:38" ht="13.8">
      <c r="A214" s="73"/>
      <c r="B214" s="74"/>
      <c r="C214" s="116"/>
      <c r="D214" s="24"/>
      <c r="E214" s="24"/>
      <c r="F214" s="24"/>
      <c r="G214" s="24"/>
      <c r="H214" s="24"/>
      <c r="I214" s="24"/>
      <c r="J214" s="63"/>
      <c r="K214" s="24"/>
      <c r="L214" s="118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119"/>
      <c r="X214" s="50"/>
      <c r="Y214" s="50"/>
      <c r="Z214" s="50"/>
      <c r="AA214" s="50"/>
      <c r="AB214" s="50"/>
      <c r="AC214" s="116"/>
      <c r="AD214" s="24"/>
      <c r="AE214" s="24"/>
      <c r="AF214" s="50"/>
      <c r="AG214" s="50"/>
      <c r="AH214" s="50"/>
      <c r="AI214" s="50"/>
      <c r="AJ214" s="50"/>
      <c r="AK214" s="50"/>
      <c r="AL214" s="50"/>
    </row>
    <row r="215" spans="1:38" ht="13.8">
      <c r="A215" s="73"/>
      <c r="B215" s="74"/>
      <c r="C215" s="116"/>
      <c r="D215" s="24"/>
      <c r="E215" s="24"/>
      <c r="F215" s="24"/>
      <c r="G215" s="24"/>
      <c r="H215" s="24"/>
      <c r="I215" s="24"/>
      <c r="J215" s="63"/>
      <c r="K215" s="24"/>
      <c r="L215" s="118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119"/>
      <c r="X215" s="50"/>
      <c r="Y215" s="50"/>
      <c r="Z215" s="50"/>
      <c r="AA215" s="50"/>
      <c r="AB215" s="50"/>
      <c r="AC215" s="116"/>
      <c r="AD215" s="24"/>
      <c r="AE215" s="24"/>
      <c r="AF215" s="50"/>
      <c r="AG215" s="50"/>
      <c r="AH215" s="50"/>
      <c r="AI215" s="50"/>
      <c r="AJ215" s="50"/>
      <c r="AK215" s="50"/>
      <c r="AL215" s="50"/>
    </row>
    <row r="216" spans="1:38" ht="13.8">
      <c r="A216" s="73"/>
      <c r="B216" s="74"/>
      <c r="C216" s="116"/>
      <c r="D216" s="24"/>
      <c r="E216" s="24"/>
      <c r="F216" s="24"/>
      <c r="G216" s="24"/>
      <c r="H216" s="24"/>
      <c r="I216" s="24"/>
      <c r="J216" s="63"/>
      <c r="K216" s="24"/>
      <c r="L216" s="118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119"/>
      <c r="X216" s="50"/>
      <c r="Y216" s="50"/>
      <c r="Z216" s="50"/>
      <c r="AA216" s="50"/>
      <c r="AB216" s="50"/>
      <c r="AC216" s="116"/>
      <c r="AD216" s="24"/>
      <c r="AE216" s="24"/>
      <c r="AF216" s="50"/>
      <c r="AG216" s="50"/>
      <c r="AH216" s="50"/>
      <c r="AI216" s="50"/>
      <c r="AJ216" s="50"/>
      <c r="AK216" s="50"/>
      <c r="AL216" s="50"/>
    </row>
    <row r="217" spans="1:38" ht="13.8">
      <c r="A217" s="73"/>
      <c r="B217" s="74"/>
      <c r="C217" s="116"/>
      <c r="D217" s="24"/>
      <c r="E217" s="24"/>
      <c r="F217" s="24"/>
      <c r="G217" s="24"/>
      <c r="H217" s="24"/>
      <c r="I217" s="24"/>
      <c r="J217" s="63"/>
      <c r="K217" s="24"/>
      <c r="L217" s="118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119"/>
      <c r="X217" s="50"/>
      <c r="Y217" s="50"/>
      <c r="Z217" s="50"/>
      <c r="AA217" s="50"/>
      <c r="AB217" s="50"/>
      <c r="AC217" s="116"/>
      <c r="AD217" s="24"/>
      <c r="AE217" s="24"/>
      <c r="AF217" s="50"/>
      <c r="AG217" s="50"/>
      <c r="AH217" s="50"/>
      <c r="AI217" s="50"/>
      <c r="AJ217" s="50"/>
      <c r="AK217" s="50"/>
      <c r="AL217" s="50"/>
    </row>
    <row r="218" spans="1:38" ht="13.8">
      <c r="A218" s="73"/>
      <c r="B218" s="74"/>
      <c r="C218" s="116"/>
      <c r="D218" s="24"/>
      <c r="E218" s="24"/>
      <c r="F218" s="24"/>
      <c r="G218" s="24"/>
      <c r="H218" s="24"/>
      <c r="I218" s="24"/>
      <c r="J218" s="63"/>
      <c r="K218" s="24"/>
      <c r="L218" s="118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119"/>
      <c r="X218" s="50"/>
      <c r="Y218" s="50"/>
      <c r="Z218" s="50"/>
      <c r="AA218" s="50"/>
      <c r="AB218" s="50"/>
      <c r="AC218" s="116"/>
      <c r="AD218" s="24"/>
      <c r="AE218" s="24"/>
      <c r="AF218" s="50"/>
      <c r="AG218" s="50"/>
      <c r="AH218" s="50"/>
      <c r="AI218" s="50"/>
      <c r="AJ218" s="50"/>
      <c r="AK218" s="50"/>
      <c r="AL218" s="50"/>
    </row>
    <row r="219" spans="1:38" ht="13.8">
      <c r="A219" s="73"/>
      <c r="B219" s="74"/>
      <c r="C219" s="116"/>
      <c r="D219" s="24"/>
      <c r="E219" s="24"/>
      <c r="F219" s="24"/>
      <c r="G219" s="24"/>
      <c r="H219" s="24"/>
      <c r="I219" s="24"/>
      <c r="J219" s="63"/>
      <c r="K219" s="24"/>
      <c r="L219" s="118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119"/>
      <c r="X219" s="50"/>
      <c r="Y219" s="50"/>
      <c r="Z219" s="50"/>
      <c r="AA219" s="50"/>
      <c r="AB219" s="50"/>
      <c r="AC219" s="116"/>
      <c r="AD219" s="24"/>
      <c r="AE219" s="24"/>
      <c r="AF219" s="50"/>
      <c r="AG219" s="50"/>
      <c r="AH219" s="50"/>
      <c r="AI219" s="50"/>
      <c r="AJ219" s="50"/>
      <c r="AK219" s="50"/>
      <c r="AL219" s="50"/>
    </row>
    <row r="220" spans="1:38" ht="13.8">
      <c r="A220" s="73"/>
      <c r="B220" s="74"/>
      <c r="C220" s="116"/>
      <c r="D220" s="24"/>
      <c r="E220" s="24"/>
      <c r="F220" s="24"/>
      <c r="G220" s="24"/>
      <c r="H220" s="24"/>
      <c r="I220" s="24"/>
      <c r="J220" s="63"/>
      <c r="K220" s="24"/>
      <c r="L220" s="118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119"/>
      <c r="X220" s="50"/>
      <c r="Y220" s="50"/>
      <c r="Z220" s="50"/>
      <c r="AA220" s="50"/>
      <c r="AB220" s="50"/>
      <c r="AC220" s="116"/>
      <c r="AD220" s="24"/>
      <c r="AE220" s="24"/>
      <c r="AF220" s="50"/>
      <c r="AG220" s="50"/>
      <c r="AH220" s="50"/>
      <c r="AI220" s="50"/>
      <c r="AJ220" s="50"/>
      <c r="AK220" s="50"/>
      <c r="AL220" s="50"/>
    </row>
    <row r="221" spans="1:38" ht="13.8">
      <c r="A221" s="73"/>
      <c r="B221" s="74"/>
      <c r="C221" s="116"/>
      <c r="D221" s="24"/>
      <c r="E221" s="24"/>
      <c r="F221" s="24"/>
      <c r="G221" s="24"/>
      <c r="H221" s="24"/>
      <c r="I221" s="24"/>
      <c r="J221" s="63"/>
      <c r="K221" s="24"/>
      <c r="L221" s="118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119"/>
      <c r="X221" s="50"/>
      <c r="Y221" s="50"/>
      <c r="Z221" s="50"/>
      <c r="AA221" s="50"/>
      <c r="AB221" s="50"/>
      <c r="AC221" s="116"/>
      <c r="AD221" s="24"/>
      <c r="AE221" s="24"/>
      <c r="AF221" s="50"/>
      <c r="AG221" s="50"/>
      <c r="AH221" s="50"/>
      <c r="AI221" s="50"/>
      <c r="AJ221" s="50"/>
      <c r="AK221" s="50"/>
      <c r="AL221" s="50"/>
    </row>
    <row r="222" spans="1:38" ht="13.8">
      <c r="A222" s="73"/>
      <c r="B222" s="74"/>
      <c r="C222" s="116"/>
      <c r="D222" s="24"/>
      <c r="E222" s="24"/>
      <c r="F222" s="24"/>
      <c r="G222" s="24"/>
      <c r="H222" s="24"/>
      <c r="I222" s="24"/>
      <c r="J222" s="63"/>
      <c r="K222" s="24"/>
      <c r="L222" s="118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119"/>
      <c r="X222" s="50"/>
      <c r="Y222" s="50"/>
      <c r="Z222" s="50"/>
      <c r="AA222" s="50"/>
      <c r="AB222" s="50"/>
      <c r="AC222" s="116"/>
      <c r="AD222" s="24"/>
      <c r="AE222" s="24"/>
      <c r="AF222" s="50"/>
      <c r="AG222" s="50"/>
      <c r="AH222" s="50"/>
      <c r="AI222" s="50"/>
      <c r="AJ222" s="50"/>
      <c r="AK222" s="50"/>
      <c r="AL222" s="50"/>
    </row>
    <row r="223" spans="1:38" ht="13.8">
      <c r="A223" s="73"/>
      <c r="B223" s="74"/>
      <c r="C223" s="116"/>
      <c r="D223" s="24"/>
      <c r="E223" s="24"/>
      <c r="F223" s="24"/>
      <c r="G223" s="24"/>
      <c r="H223" s="24"/>
      <c r="I223" s="24"/>
      <c r="J223" s="63"/>
      <c r="K223" s="24"/>
      <c r="L223" s="118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119"/>
      <c r="X223" s="50"/>
      <c r="Y223" s="50"/>
      <c r="Z223" s="50"/>
      <c r="AA223" s="50"/>
      <c r="AB223" s="50"/>
      <c r="AC223" s="116"/>
      <c r="AD223" s="24"/>
      <c r="AE223" s="24"/>
      <c r="AF223" s="50"/>
      <c r="AG223" s="50"/>
      <c r="AH223" s="50"/>
      <c r="AI223" s="50"/>
      <c r="AJ223" s="50"/>
      <c r="AK223" s="50"/>
      <c r="AL223" s="50"/>
    </row>
    <row r="224" spans="1:38" ht="13.8">
      <c r="A224" s="73"/>
      <c r="B224" s="74"/>
      <c r="C224" s="116"/>
      <c r="D224" s="24"/>
      <c r="E224" s="24"/>
      <c r="F224" s="24"/>
      <c r="G224" s="24"/>
      <c r="H224" s="24"/>
      <c r="I224" s="24"/>
      <c r="J224" s="63"/>
      <c r="K224" s="24"/>
      <c r="L224" s="118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119"/>
      <c r="X224" s="50"/>
      <c r="Y224" s="50"/>
      <c r="Z224" s="50"/>
      <c r="AA224" s="50"/>
      <c r="AB224" s="50"/>
      <c r="AC224" s="116"/>
      <c r="AD224" s="24"/>
      <c r="AE224" s="24"/>
      <c r="AF224" s="50"/>
      <c r="AG224" s="50"/>
      <c r="AH224" s="50"/>
      <c r="AI224" s="50"/>
      <c r="AJ224" s="50"/>
      <c r="AK224" s="50"/>
      <c r="AL224" s="50"/>
    </row>
    <row r="225" spans="1:38" ht="13.8">
      <c r="A225" s="73"/>
      <c r="B225" s="74"/>
      <c r="C225" s="116"/>
      <c r="D225" s="24"/>
      <c r="E225" s="24"/>
      <c r="F225" s="24"/>
      <c r="G225" s="24"/>
      <c r="H225" s="24"/>
      <c r="I225" s="24"/>
      <c r="J225" s="63"/>
      <c r="K225" s="24"/>
      <c r="L225" s="118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119"/>
      <c r="X225" s="50"/>
      <c r="Y225" s="50"/>
      <c r="Z225" s="50"/>
      <c r="AA225" s="50"/>
      <c r="AB225" s="50"/>
      <c r="AC225" s="116"/>
      <c r="AD225" s="24"/>
      <c r="AE225" s="24"/>
      <c r="AF225" s="50"/>
      <c r="AG225" s="50"/>
      <c r="AH225" s="50"/>
      <c r="AI225" s="50"/>
      <c r="AJ225" s="50"/>
      <c r="AK225" s="50"/>
      <c r="AL225" s="50"/>
    </row>
    <row r="226" spans="1:38" ht="13.8">
      <c r="A226" s="73"/>
      <c r="B226" s="74"/>
      <c r="C226" s="116"/>
      <c r="D226" s="24"/>
      <c r="E226" s="24"/>
      <c r="F226" s="24"/>
      <c r="G226" s="24"/>
      <c r="H226" s="24"/>
      <c r="I226" s="24"/>
      <c r="J226" s="63"/>
      <c r="K226" s="24"/>
      <c r="L226" s="118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119"/>
      <c r="X226" s="50"/>
      <c r="Y226" s="50"/>
      <c r="Z226" s="50"/>
      <c r="AA226" s="50"/>
      <c r="AB226" s="50"/>
      <c r="AC226" s="116"/>
      <c r="AD226" s="24"/>
      <c r="AE226" s="24"/>
      <c r="AF226" s="50"/>
      <c r="AG226" s="50"/>
      <c r="AH226" s="50"/>
      <c r="AI226" s="50"/>
      <c r="AJ226" s="50"/>
      <c r="AK226" s="50"/>
      <c r="AL226" s="50"/>
    </row>
    <row r="227" spans="1:38" ht="13.8">
      <c r="A227" s="73"/>
      <c r="B227" s="74"/>
      <c r="C227" s="116"/>
      <c r="D227" s="24"/>
      <c r="E227" s="24"/>
      <c r="F227" s="24"/>
      <c r="G227" s="24"/>
      <c r="H227" s="24"/>
      <c r="I227" s="24"/>
      <c r="J227" s="63"/>
      <c r="K227" s="24"/>
      <c r="L227" s="118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119"/>
      <c r="X227" s="50"/>
      <c r="Y227" s="50"/>
      <c r="Z227" s="50"/>
      <c r="AA227" s="50"/>
      <c r="AB227" s="50"/>
      <c r="AC227" s="116"/>
      <c r="AD227" s="24"/>
      <c r="AE227" s="24"/>
      <c r="AF227" s="50"/>
      <c r="AG227" s="50"/>
      <c r="AH227" s="50"/>
      <c r="AI227" s="50"/>
      <c r="AJ227" s="50"/>
      <c r="AK227" s="50"/>
      <c r="AL227" s="50"/>
    </row>
    <row r="228" spans="1:38" ht="13.8">
      <c r="A228" s="73"/>
      <c r="B228" s="74"/>
      <c r="C228" s="116"/>
      <c r="D228" s="24"/>
      <c r="E228" s="24"/>
      <c r="F228" s="24"/>
      <c r="G228" s="24"/>
      <c r="H228" s="24"/>
      <c r="I228" s="24"/>
      <c r="J228" s="63"/>
      <c r="K228" s="24"/>
      <c r="L228" s="118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119"/>
      <c r="X228" s="50"/>
      <c r="Y228" s="50"/>
      <c r="Z228" s="50"/>
      <c r="AA228" s="50"/>
      <c r="AB228" s="50"/>
      <c r="AC228" s="116"/>
      <c r="AD228" s="24"/>
      <c r="AE228" s="24"/>
      <c r="AF228" s="50"/>
      <c r="AG228" s="50"/>
      <c r="AH228" s="50"/>
      <c r="AI228" s="50"/>
      <c r="AJ228" s="50"/>
      <c r="AK228" s="50"/>
      <c r="AL228" s="50"/>
    </row>
    <row r="229" spans="1:38" ht="13.8">
      <c r="A229" s="73"/>
      <c r="B229" s="74"/>
      <c r="C229" s="116"/>
      <c r="D229" s="24"/>
      <c r="E229" s="24"/>
      <c r="F229" s="24"/>
      <c r="G229" s="24"/>
      <c r="H229" s="24"/>
      <c r="I229" s="24"/>
      <c r="J229" s="63"/>
      <c r="K229" s="24"/>
      <c r="L229" s="118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119"/>
      <c r="X229" s="50"/>
      <c r="Y229" s="50"/>
      <c r="Z229" s="50"/>
      <c r="AA229" s="50"/>
      <c r="AB229" s="50"/>
      <c r="AC229" s="116"/>
      <c r="AD229" s="24"/>
      <c r="AE229" s="24"/>
      <c r="AF229" s="50"/>
      <c r="AG229" s="50"/>
      <c r="AH229" s="50"/>
      <c r="AI229" s="50"/>
      <c r="AJ229" s="50"/>
      <c r="AK229" s="50"/>
      <c r="AL229" s="50"/>
    </row>
    <row r="230" spans="1:38" ht="13.8">
      <c r="A230" s="73"/>
      <c r="B230" s="74"/>
      <c r="C230" s="116"/>
      <c r="D230" s="24"/>
      <c r="E230" s="24"/>
      <c r="F230" s="24"/>
      <c r="G230" s="24"/>
      <c r="H230" s="24"/>
      <c r="I230" s="24"/>
      <c r="J230" s="63"/>
      <c r="K230" s="24"/>
      <c r="L230" s="118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119"/>
      <c r="X230" s="50"/>
      <c r="Y230" s="50"/>
      <c r="Z230" s="50"/>
      <c r="AA230" s="50"/>
      <c r="AB230" s="50"/>
      <c r="AC230" s="116"/>
      <c r="AD230" s="24"/>
      <c r="AE230" s="24"/>
      <c r="AF230" s="50"/>
      <c r="AG230" s="50"/>
      <c r="AH230" s="50"/>
      <c r="AI230" s="50"/>
      <c r="AJ230" s="50"/>
      <c r="AK230" s="50"/>
      <c r="AL230" s="50"/>
    </row>
    <row r="231" spans="1:38" ht="13.8">
      <c r="A231" s="73"/>
      <c r="B231" s="74"/>
      <c r="C231" s="116"/>
      <c r="D231" s="24"/>
      <c r="E231" s="24"/>
      <c r="F231" s="24"/>
      <c r="G231" s="24"/>
      <c r="H231" s="24"/>
      <c r="I231" s="24"/>
      <c r="J231" s="63"/>
      <c r="K231" s="24"/>
      <c r="L231" s="118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119"/>
      <c r="X231" s="50"/>
      <c r="Y231" s="50"/>
      <c r="Z231" s="50"/>
      <c r="AA231" s="50"/>
      <c r="AB231" s="50"/>
      <c r="AC231" s="116"/>
      <c r="AD231" s="24"/>
      <c r="AE231" s="24"/>
      <c r="AF231" s="50"/>
      <c r="AG231" s="50"/>
      <c r="AH231" s="50"/>
      <c r="AI231" s="50"/>
      <c r="AJ231" s="50"/>
      <c r="AK231" s="50"/>
      <c r="AL231" s="50"/>
    </row>
    <row r="232" spans="1:38" ht="13.8">
      <c r="A232" s="73"/>
      <c r="B232" s="74"/>
      <c r="C232" s="116"/>
      <c r="D232" s="24"/>
      <c r="E232" s="24"/>
      <c r="F232" s="24"/>
      <c r="G232" s="24"/>
      <c r="H232" s="24"/>
      <c r="I232" s="24"/>
      <c r="J232" s="63"/>
      <c r="K232" s="24"/>
      <c r="L232" s="118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119"/>
      <c r="X232" s="50"/>
      <c r="Y232" s="50"/>
      <c r="Z232" s="50"/>
      <c r="AA232" s="50"/>
      <c r="AB232" s="50"/>
      <c r="AC232" s="116"/>
      <c r="AD232" s="24"/>
      <c r="AE232" s="24"/>
      <c r="AF232" s="50"/>
      <c r="AG232" s="50"/>
      <c r="AH232" s="50"/>
      <c r="AI232" s="50"/>
      <c r="AJ232" s="50"/>
      <c r="AK232" s="50"/>
      <c r="AL232" s="50"/>
    </row>
    <row r="233" spans="1:38" ht="13.8">
      <c r="A233" s="73"/>
      <c r="B233" s="74"/>
      <c r="C233" s="116"/>
      <c r="D233" s="24"/>
      <c r="E233" s="24"/>
      <c r="F233" s="24"/>
      <c r="G233" s="24"/>
      <c r="H233" s="24"/>
      <c r="I233" s="24"/>
      <c r="J233" s="63"/>
      <c r="K233" s="24"/>
      <c r="L233" s="118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119"/>
      <c r="X233" s="50"/>
      <c r="Y233" s="50"/>
      <c r="Z233" s="50"/>
      <c r="AA233" s="50"/>
      <c r="AB233" s="50"/>
      <c r="AC233" s="116"/>
      <c r="AD233" s="24"/>
      <c r="AE233" s="24"/>
      <c r="AF233" s="50"/>
      <c r="AG233" s="50"/>
      <c r="AH233" s="50"/>
      <c r="AI233" s="50"/>
      <c r="AJ233" s="50"/>
      <c r="AK233" s="50"/>
      <c r="AL233" s="50"/>
    </row>
    <row r="234" spans="1:38" ht="13.8">
      <c r="A234" s="73"/>
      <c r="B234" s="74"/>
      <c r="C234" s="116"/>
      <c r="D234" s="24"/>
      <c r="E234" s="24"/>
      <c r="F234" s="24"/>
      <c r="G234" s="24"/>
      <c r="H234" s="24"/>
      <c r="I234" s="24"/>
      <c r="J234" s="63"/>
      <c r="K234" s="24"/>
      <c r="L234" s="118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119"/>
      <c r="X234" s="50"/>
      <c r="Y234" s="50"/>
      <c r="Z234" s="50"/>
      <c r="AA234" s="50"/>
      <c r="AB234" s="50"/>
      <c r="AC234" s="116"/>
      <c r="AD234" s="24"/>
      <c r="AE234" s="24"/>
      <c r="AF234" s="50"/>
      <c r="AG234" s="50"/>
      <c r="AH234" s="50"/>
      <c r="AI234" s="50"/>
      <c r="AJ234" s="50"/>
      <c r="AK234" s="50"/>
      <c r="AL234" s="50"/>
    </row>
    <row r="235" spans="1:38" ht="13.8">
      <c r="A235" s="73"/>
      <c r="B235" s="74"/>
      <c r="C235" s="116"/>
      <c r="D235" s="24"/>
      <c r="E235" s="24"/>
      <c r="F235" s="24"/>
      <c r="G235" s="24"/>
      <c r="H235" s="24"/>
      <c r="I235" s="24"/>
      <c r="J235" s="63"/>
      <c r="K235" s="24"/>
      <c r="L235" s="118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119"/>
      <c r="X235" s="50"/>
      <c r="Y235" s="50"/>
      <c r="Z235" s="50"/>
      <c r="AA235" s="50"/>
      <c r="AB235" s="50"/>
      <c r="AC235" s="116"/>
      <c r="AD235" s="24"/>
      <c r="AE235" s="24"/>
      <c r="AF235" s="50"/>
      <c r="AG235" s="50"/>
      <c r="AH235" s="50"/>
      <c r="AI235" s="50"/>
      <c r="AJ235" s="50"/>
      <c r="AK235" s="50"/>
      <c r="AL235" s="50"/>
    </row>
    <row r="236" spans="1:38" ht="13.8">
      <c r="A236" s="73"/>
      <c r="B236" s="74"/>
      <c r="C236" s="116"/>
      <c r="D236" s="24"/>
      <c r="E236" s="24"/>
      <c r="F236" s="24"/>
      <c r="G236" s="24"/>
      <c r="H236" s="24"/>
      <c r="I236" s="24"/>
      <c r="J236" s="63"/>
      <c r="K236" s="24"/>
      <c r="L236" s="118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119"/>
      <c r="X236" s="50"/>
      <c r="Y236" s="50"/>
      <c r="Z236" s="50"/>
      <c r="AA236" s="50"/>
      <c r="AB236" s="50"/>
      <c r="AC236" s="116"/>
      <c r="AD236" s="24"/>
      <c r="AE236" s="24"/>
      <c r="AF236" s="50"/>
      <c r="AG236" s="50"/>
      <c r="AH236" s="50"/>
      <c r="AI236" s="50"/>
      <c r="AJ236" s="50"/>
      <c r="AK236" s="50"/>
      <c r="AL236" s="50"/>
    </row>
    <row r="237" spans="1:38" ht="13.8">
      <c r="A237" s="73"/>
      <c r="B237" s="74"/>
      <c r="C237" s="116"/>
      <c r="D237" s="24"/>
      <c r="E237" s="24"/>
      <c r="F237" s="24"/>
      <c r="G237" s="24"/>
      <c r="H237" s="24"/>
      <c r="I237" s="24"/>
      <c r="J237" s="63"/>
      <c r="K237" s="24"/>
      <c r="L237" s="118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119"/>
      <c r="X237" s="50"/>
      <c r="Y237" s="50"/>
      <c r="Z237" s="50"/>
      <c r="AA237" s="50"/>
      <c r="AB237" s="50"/>
      <c r="AC237" s="116"/>
      <c r="AD237" s="24"/>
      <c r="AE237" s="24"/>
      <c r="AF237" s="50"/>
      <c r="AG237" s="50"/>
      <c r="AH237" s="50"/>
      <c r="AI237" s="50"/>
      <c r="AJ237" s="50"/>
      <c r="AK237" s="50"/>
      <c r="AL237" s="50"/>
    </row>
    <row r="238" spans="1:38" ht="13.8">
      <c r="A238" s="73"/>
      <c r="B238" s="74"/>
      <c r="C238" s="116"/>
      <c r="D238" s="24"/>
      <c r="E238" s="24"/>
      <c r="F238" s="24"/>
      <c r="G238" s="24"/>
      <c r="H238" s="24"/>
      <c r="I238" s="24"/>
      <c r="J238" s="63"/>
      <c r="K238" s="24"/>
      <c r="L238" s="118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119"/>
      <c r="X238" s="50"/>
      <c r="Y238" s="50"/>
      <c r="Z238" s="50"/>
      <c r="AA238" s="50"/>
      <c r="AB238" s="50"/>
      <c r="AC238" s="116"/>
      <c r="AD238" s="24"/>
      <c r="AE238" s="24"/>
      <c r="AF238" s="50"/>
      <c r="AG238" s="50"/>
      <c r="AH238" s="50"/>
      <c r="AI238" s="50"/>
      <c r="AJ238" s="50"/>
      <c r="AK238" s="50"/>
      <c r="AL238" s="50"/>
    </row>
    <row r="239" spans="1:38" ht="13.8">
      <c r="A239" s="73"/>
      <c r="B239" s="74"/>
      <c r="C239" s="116"/>
      <c r="D239" s="24"/>
      <c r="E239" s="24"/>
      <c r="F239" s="24"/>
      <c r="G239" s="24"/>
      <c r="H239" s="24"/>
      <c r="I239" s="24"/>
      <c r="J239" s="63"/>
      <c r="K239" s="24"/>
      <c r="L239" s="118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119"/>
      <c r="X239" s="50"/>
      <c r="Y239" s="50"/>
      <c r="Z239" s="50"/>
      <c r="AA239" s="50"/>
      <c r="AB239" s="50"/>
      <c r="AC239" s="116"/>
      <c r="AD239" s="24"/>
      <c r="AE239" s="24"/>
      <c r="AF239" s="50"/>
      <c r="AG239" s="50"/>
      <c r="AH239" s="50"/>
      <c r="AI239" s="50"/>
      <c r="AJ239" s="50"/>
      <c r="AK239" s="50"/>
      <c r="AL239" s="50"/>
    </row>
    <row r="240" spans="1:38" ht="13.8">
      <c r="A240" s="73"/>
      <c r="B240" s="74"/>
      <c r="C240" s="116"/>
      <c r="D240" s="24"/>
      <c r="E240" s="24"/>
      <c r="F240" s="24"/>
      <c r="G240" s="24"/>
      <c r="H240" s="24"/>
      <c r="I240" s="24"/>
      <c r="J240" s="63"/>
      <c r="K240" s="24"/>
      <c r="L240" s="118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119"/>
      <c r="X240" s="50"/>
      <c r="Y240" s="50"/>
      <c r="Z240" s="50"/>
      <c r="AA240" s="50"/>
      <c r="AB240" s="50"/>
      <c r="AC240" s="116"/>
      <c r="AD240" s="24"/>
      <c r="AE240" s="24"/>
      <c r="AF240" s="50"/>
      <c r="AG240" s="50"/>
      <c r="AH240" s="50"/>
      <c r="AI240" s="50"/>
      <c r="AJ240" s="50"/>
      <c r="AK240" s="50"/>
      <c r="AL240" s="50"/>
    </row>
    <row r="241" spans="1:38" ht="13.8">
      <c r="A241" s="73"/>
      <c r="B241" s="74"/>
      <c r="C241" s="116"/>
      <c r="D241" s="24"/>
      <c r="E241" s="24"/>
      <c r="F241" s="24"/>
      <c r="G241" s="24"/>
      <c r="H241" s="24"/>
      <c r="I241" s="24"/>
      <c r="J241" s="63"/>
      <c r="K241" s="24"/>
      <c r="L241" s="118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119"/>
      <c r="X241" s="50"/>
      <c r="Y241" s="50"/>
      <c r="Z241" s="50"/>
      <c r="AA241" s="50"/>
      <c r="AB241" s="50"/>
      <c r="AC241" s="116"/>
      <c r="AD241" s="24"/>
      <c r="AE241" s="24"/>
      <c r="AF241" s="50"/>
      <c r="AG241" s="50"/>
      <c r="AH241" s="50"/>
      <c r="AI241" s="50"/>
      <c r="AJ241" s="50"/>
      <c r="AK241" s="50"/>
      <c r="AL241" s="50"/>
    </row>
    <row r="242" spans="1:38" ht="13.8">
      <c r="A242" s="73"/>
      <c r="B242" s="74"/>
      <c r="C242" s="116"/>
      <c r="D242" s="24"/>
      <c r="E242" s="24"/>
      <c r="F242" s="24"/>
      <c r="G242" s="24"/>
      <c r="H242" s="24"/>
      <c r="I242" s="24"/>
      <c r="J242" s="63"/>
      <c r="K242" s="24"/>
      <c r="L242" s="118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119"/>
      <c r="X242" s="50"/>
      <c r="Y242" s="50"/>
      <c r="Z242" s="50"/>
      <c r="AA242" s="50"/>
      <c r="AB242" s="50"/>
      <c r="AC242" s="116"/>
      <c r="AD242" s="24"/>
      <c r="AE242" s="24"/>
      <c r="AF242" s="50"/>
      <c r="AG242" s="50"/>
      <c r="AH242" s="50"/>
      <c r="AI242" s="50"/>
      <c r="AJ242" s="50"/>
      <c r="AK242" s="50"/>
      <c r="AL242" s="50"/>
    </row>
    <row r="243" spans="1:38" ht="13.8">
      <c r="A243" s="73"/>
      <c r="B243" s="74"/>
      <c r="C243" s="116"/>
      <c r="D243" s="24"/>
      <c r="E243" s="24"/>
      <c r="F243" s="24"/>
      <c r="G243" s="24"/>
      <c r="H243" s="24"/>
      <c r="I243" s="24"/>
      <c r="J243" s="63"/>
      <c r="K243" s="24"/>
      <c r="L243" s="118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119"/>
      <c r="X243" s="50"/>
      <c r="Y243" s="50"/>
      <c r="Z243" s="50"/>
      <c r="AA243" s="50"/>
      <c r="AB243" s="50"/>
      <c r="AC243" s="116"/>
      <c r="AD243" s="24"/>
      <c r="AE243" s="24"/>
      <c r="AF243" s="50"/>
      <c r="AG243" s="50"/>
      <c r="AH243" s="50"/>
      <c r="AI243" s="50"/>
      <c r="AJ243" s="50"/>
      <c r="AK243" s="50"/>
      <c r="AL243" s="50"/>
    </row>
    <row r="244" spans="1:38" ht="13.8">
      <c r="A244" s="73"/>
      <c r="B244" s="74"/>
      <c r="C244" s="116"/>
      <c r="D244" s="24"/>
      <c r="E244" s="24"/>
      <c r="F244" s="24"/>
      <c r="G244" s="24"/>
      <c r="H244" s="24"/>
      <c r="I244" s="24"/>
      <c r="J244" s="63"/>
      <c r="K244" s="24"/>
      <c r="L244" s="118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119"/>
      <c r="X244" s="50"/>
      <c r="Y244" s="50"/>
      <c r="Z244" s="50"/>
      <c r="AA244" s="50"/>
      <c r="AB244" s="50"/>
      <c r="AC244" s="116"/>
      <c r="AD244" s="24"/>
      <c r="AE244" s="24"/>
      <c r="AF244" s="50"/>
      <c r="AG244" s="50"/>
      <c r="AH244" s="50"/>
      <c r="AI244" s="50"/>
      <c r="AJ244" s="50"/>
      <c r="AK244" s="50"/>
      <c r="AL244" s="50"/>
    </row>
    <row r="245" spans="1:38" ht="13.8">
      <c r="A245" s="73"/>
      <c r="B245" s="74"/>
      <c r="C245" s="116"/>
      <c r="D245" s="24"/>
      <c r="E245" s="24"/>
      <c r="F245" s="24"/>
      <c r="G245" s="24"/>
      <c r="H245" s="24"/>
      <c r="I245" s="24"/>
      <c r="J245" s="63"/>
      <c r="K245" s="24"/>
      <c r="L245" s="118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119"/>
      <c r="X245" s="50"/>
      <c r="Y245" s="50"/>
      <c r="Z245" s="50"/>
      <c r="AA245" s="50"/>
      <c r="AB245" s="50"/>
      <c r="AC245" s="116"/>
      <c r="AD245" s="24"/>
      <c r="AE245" s="24"/>
      <c r="AF245" s="50"/>
      <c r="AG245" s="50"/>
      <c r="AH245" s="50"/>
      <c r="AI245" s="50"/>
      <c r="AJ245" s="50"/>
      <c r="AK245" s="50"/>
      <c r="AL245" s="50"/>
    </row>
    <row r="246" spans="1:38" ht="13.8">
      <c r="A246" s="73"/>
      <c r="B246" s="74"/>
      <c r="C246" s="116"/>
      <c r="D246" s="24"/>
      <c r="E246" s="24"/>
      <c r="F246" s="24"/>
      <c r="G246" s="24"/>
      <c r="H246" s="24"/>
      <c r="I246" s="24"/>
      <c r="J246" s="63"/>
      <c r="K246" s="24"/>
      <c r="L246" s="118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119"/>
      <c r="X246" s="50"/>
      <c r="Y246" s="50"/>
      <c r="Z246" s="50"/>
      <c r="AA246" s="50"/>
      <c r="AB246" s="50"/>
      <c r="AC246" s="116"/>
      <c r="AD246" s="24"/>
      <c r="AE246" s="24"/>
      <c r="AF246" s="50"/>
      <c r="AG246" s="50"/>
      <c r="AH246" s="50"/>
      <c r="AI246" s="50"/>
      <c r="AJ246" s="50"/>
      <c r="AK246" s="50"/>
      <c r="AL246" s="50"/>
    </row>
    <row r="247" spans="1:38" ht="13.8">
      <c r="A247" s="73"/>
      <c r="B247" s="74"/>
      <c r="C247" s="116"/>
      <c r="D247" s="24"/>
      <c r="E247" s="24"/>
      <c r="F247" s="24"/>
      <c r="G247" s="24"/>
      <c r="H247" s="24"/>
      <c r="I247" s="24"/>
      <c r="J247" s="63"/>
      <c r="K247" s="24"/>
      <c r="L247" s="118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119"/>
      <c r="X247" s="50"/>
      <c r="Y247" s="50"/>
      <c r="Z247" s="50"/>
      <c r="AA247" s="50"/>
      <c r="AB247" s="50"/>
      <c r="AC247" s="116"/>
      <c r="AD247" s="24"/>
      <c r="AE247" s="24"/>
      <c r="AF247" s="50"/>
      <c r="AG247" s="50"/>
      <c r="AH247" s="50"/>
      <c r="AI247" s="50"/>
      <c r="AJ247" s="50"/>
      <c r="AK247" s="50"/>
      <c r="AL247" s="50"/>
    </row>
    <row r="248" spans="1:38" ht="13.8">
      <c r="A248" s="73"/>
      <c r="B248" s="74"/>
      <c r="C248" s="116"/>
      <c r="D248" s="24"/>
      <c r="E248" s="24"/>
      <c r="F248" s="24"/>
      <c r="G248" s="24"/>
      <c r="H248" s="24"/>
      <c r="I248" s="24"/>
      <c r="J248" s="63"/>
      <c r="K248" s="24"/>
      <c r="L248" s="118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119"/>
      <c r="X248" s="50"/>
      <c r="Y248" s="50"/>
      <c r="Z248" s="50"/>
      <c r="AA248" s="50"/>
      <c r="AB248" s="50"/>
      <c r="AC248" s="116"/>
      <c r="AD248" s="24"/>
      <c r="AE248" s="24"/>
      <c r="AF248" s="50"/>
      <c r="AG248" s="50"/>
      <c r="AH248" s="50"/>
      <c r="AI248" s="50"/>
      <c r="AJ248" s="50"/>
      <c r="AK248" s="50"/>
      <c r="AL248" s="50"/>
    </row>
    <row r="249" spans="1:38" ht="13.8">
      <c r="A249" s="73"/>
      <c r="B249" s="74"/>
      <c r="C249" s="116"/>
      <c r="D249" s="24"/>
      <c r="E249" s="24"/>
      <c r="F249" s="24"/>
      <c r="G249" s="24"/>
      <c r="H249" s="24"/>
      <c r="I249" s="24"/>
      <c r="J249" s="63"/>
      <c r="K249" s="24"/>
      <c r="L249" s="118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119"/>
      <c r="X249" s="50"/>
      <c r="Y249" s="50"/>
      <c r="Z249" s="50"/>
      <c r="AA249" s="50"/>
      <c r="AB249" s="50"/>
      <c r="AC249" s="116"/>
      <c r="AD249" s="24"/>
      <c r="AE249" s="24"/>
      <c r="AF249" s="50"/>
      <c r="AG249" s="50"/>
      <c r="AH249" s="50"/>
      <c r="AI249" s="50"/>
      <c r="AJ249" s="50"/>
      <c r="AK249" s="50"/>
      <c r="AL249" s="50"/>
    </row>
    <row r="250" spans="1:38" ht="13.8">
      <c r="A250" s="73"/>
      <c r="B250" s="74"/>
      <c r="C250" s="116"/>
      <c r="D250" s="24"/>
      <c r="E250" s="24"/>
      <c r="F250" s="24"/>
      <c r="G250" s="24"/>
      <c r="H250" s="24"/>
      <c r="I250" s="24"/>
      <c r="J250" s="63"/>
      <c r="K250" s="24"/>
      <c r="L250" s="118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119"/>
      <c r="X250" s="50"/>
      <c r="Y250" s="50"/>
      <c r="Z250" s="50"/>
      <c r="AA250" s="50"/>
      <c r="AB250" s="50"/>
      <c r="AC250" s="116"/>
      <c r="AD250" s="24"/>
      <c r="AE250" s="24"/>
      <c r="AF250" s="50"/>
      <c r="AG250" s="50"/>
      <c r="AH250" s="50"/>
      <c r="AI250" s="50"/>
      <c r="AJ250" s="50"/>
      <c r="AK250" s="50"/>
      <c r="AL250" s="50"/>
    </row>
    <row r="251" spans="1:38" ht="13.8">
      <c r="A251" s="73"/>
      <c r="B251" s="74"/>
      <c r="C251" s="116"/>
      <c r="D251" s="24"/>
      <c r="E251" s="24"/>
      <c r="F251" s="24"/>
      <c r="G251" s="24"/>
      <c r="H251" s="24"/>
      <c r="I251" s="24"/>
      <c r="J251" s="63"/>
      <c r="K251" s="24"/>
      <c r="L251" s="118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119"/>
      <c r="X251" s="50"/>
      <c r="Y251" s="50"/>
      <c r="Z251" s="50"/>
      <c r="AA251" s="50"/>
      <c r="AB251" s="50"/>
      <c r="AC251" s="116"/>
      <c r="AD251" s="24"/>
      <c r="AE251" s="24"/>
      <c r="AF251" s="50"/>
      <c r="AG251" s="50"/>
      <c r="AH251" s="50"/>
      <c r="AI251" s="50"/>
      <c r="AJ251" s="50"/>
      <c r="AK251" s="50"/>
      <c r="AL251" s="50"/>
    </row>
    <row r="252" spans="1:38" ht="13.8">
      <c r="A252" s="73"/>
      <c r="B252" s="74"/>
      <c r="C252" s="116"/>
      <c r="D252" s="24"/>
      <c r="E252" s="24"/>
      <c r="F252" s="24"/>
      <c r="G252" s="24"/>
      <c r="H252" s="24"/>
      <c r="I252" s="24"/>
      <c r="J252" s="63"/>
      <c r="K252" s="24"/>
      <c r="L252" s="118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119"/>
      <c r="X252" s="50"/>
      <c r="Y252" s="50"/>
      <c r="Z252" s="50"/>
      <c r="AA252" s="50"/>
      <c r="AB252" s="50"/>
      <c r="AC252" s="116"/>
      <c r="AD252" s="24"/>
      <c r="AE252" s="24"/>
      <c r="AF252" s="50"/>
      <c r="AG252" s="50"/>
      <c r="AH252" s="50"/>
      <c r="AI252" s="50"/>
      <c r="AJ252" s="50"/>
      <c r="AK252" s="50"/>
      <c r="AL252" s="50"/>
    </row>
    <row r="253" spans="1:38" ht="13.8">
      <c r="A253" s="73"/>
      <c r="B253" s="74"/>
      <c r="C253" s="116"/>
      <c r="D253" s="24"/>
      <c r="E253" s="24"/>
      <c r="F253" s="24"/>
      <c r="G253" s="24"/>
      <c r="H253" s="24"/>
      <c r="I253" s="24"/>
      <c r="J253" s="63"/>
      <c r="K253" s="24"/>
      <c r="L253" s="118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119"/>
      <c r="X253" s="50"/>
      <c r="Y253" s="50"/>
      <c r="Z253" s="50"/>
      <c r="AA253" s="50"/>
      <c r="AB253" s="50"/>
      <c r="AC253" s="116"/>
      <c r="AD253" s="24"/>
      <c r="AE253" s="24"/>
      <c r="AF253" s="50"/>
      <c r="AG253" s="50"/>
      <c r="AH253" s="50"/>
      <c r="AI253" s="50"/>
      <c r="AJ253" s="50"/>
      <c r="AK253" s="50"/>
      <c r="AL253" s="50"/>
    </row>
    <row r="254" spans="1:38" ht="13.8">
      <c r="A254" s="73"/>
      <c r="B254" s="74"/>
      <c r="C254" s="116"/>
      <c r="D254" s="24"/>
      <c r="E254" s="24"/>
      <c r="F254" s="24"/>
      <c r="G254" s="24"/>
      <c r="H254" s="24"/>
      <c r="I254" s="24"/>
      <c r="J254" s="63"/>
      <c r="K254" s="24"/>
      <c r="L254" s="118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119"/>
      <c r="X254" s="50"/>
      <c r="Y254" s="50"/>
      <c r="Z254" s="50"/>
      <c r="AA254" s="50"/>
      <c r="AB254" s="50"/>
      <c r="AC254" s="116"/>
      <c r="AD254" s="24"/>
      <c r="AE254" s="24"/>
      <c r="AF254" s="50"/>
      <c r="AG254" s="50"/>
      <c r="AH254" s="50"/>
      <c r="AI254" s="50"/>
      <c r="AJ254" s="50"/>
      <c r="AK254" s="50"/>
      <c r="AL254" s="50"/>
    </row>
    <row r="255" spans="1:38" ht="13.8">
      <c r="A255" s="73"/>
      <c r="B255" s="74"/>
      <c r="C255" s="116"/>
      <c r="D255" s="24"/>
      <c r="E255" s="24"/>
      <c r="F255" s="24"/>
      <c r="G255" s="24"/>
      <c r="H255" s="24"/>
      <c r="I255" s="24"/>
      <c r="J255" s="63"/>
      <c r="K255" s="24"/>
      <c r="L255" s="118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119"/>
      <c r="X255" s="50"/>
      <c r="Y255" s="50"/>
      <c r="Z255" s="50"/>
      <c r="AA255" s="50"/>
      <c r="AB255" s="50"/>
      <c r="AC255" s="116"/>
      <c r="AD255" s="24"/>
      <c r="AE255" s="24"/>
      <c r="AF255" s="50"/>
      <c r="AG255" s="50"/>
      <c r="AH255" s="50"/>
      <c r="AI255" s="50"/>
      <c r="AJ255" s="50"/>
      <c r="AK255" s="50"/>
      <c r="AL255" s="50"/>
    </row>
    <row r="256" spans="1:38" ht="13.8">
      <c r="A256" s="73"/>
      <c r="B256" s="74"/>
      <c r="C256" s="116"/>
      <c r="D256" s="24"/>
      <c r="E256" s="24"/>
      <c r="F256" s="24"/>
      <c r="G256" s="24"/>
      <c r="H256" s="24"/>
      <c r="I256" s="24"/>
      <c r="J256" s="63"/>
      <c r="K256" s="24"/>
      <c r="L256" s="118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119"/>
      <c r="X256" s="50"/>
      <c r="Y256" s="50"/>
      <c r="Z256" s="50"/>
      <c r="AA256" s="50"/>
      <c r="AB256" s="50"/>
      <c r="AC256" s="116"/>
      <c r="AD256" s="24"/>
      <c r="AE256" s="24"/>
      <c r="AF256" s="50"/>
      <c r="AG256" s="50"/>
      <c r="AH256" s="50"/>
      <c r="AI256" s="50"/>
      <c r="AJ256" s="50"/>
      <c r="AK256" s="50"/>
      <c r="AL256" s="50"/>
    </row>
    <row r="257" spans="1:38" ht="13.8">
      <c r="A257" s="73"/>
      <c r="B257" s="74"/>
      <c r="C257" s="116"/>
      <c r="D257" s="24"/>
      <c r="E257" s="24"/>
      <c r="F257" s="24"/>
      <c r="G257" s="24"/>
      <c r="H257" s="24"/>
      <c r="I257" s="24"/>
      <c r="J257" s="63"/>
      <c r="K257" s="24"/>
      <c r="L257" s="118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119"/>
      <c r="X257" s="50"/>
      <c r="Y257" s="50"/>
      <c r="Z257" s="50"/>
      <c r="AA257" s="50"/>
      <c r="AB257" s="50"/>
      <c r="AC257" s="116"/>
      <c r="AD257" s="24"/>
      <c r="AE257" s="24"/>
      <c r="AF257" s="50"/>
      <c r="AG257" s="50"/>
      <c r="AH257" s="50"/>
      <c r="AI257" s="50"/>
      <c r="AJ257" s="50"/>
      <c r="AK257" s="50"/>
      <c r="AL257" s="50"/>
    </row>
    <row r="258" spans="1:38" ht="13.8">
      <c r="A258" s="73"/>
      <c r="B258" s="74"/>
      <c r="C258" s="116"/>
      <c r="D258" s="24"/>
      <c r="E258" s="24"/>
      <c r="F258" s="24"/>
      <c r="G258" s="24"/>
      <c r="H258" s="24"/>
      <c r="I258" s="24"/>
      <c r="J258" s="63"/>
      <c r="K258" s="24"/>
      <c r="L258" s="118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119"/>
      <c r="X258" s="50"/>
      <c r="Y258" s="50"/>
      <c r="Z258" s="50"/>
      <c r="AA258" s="50"/>
      <c r="AB258" s="50"/>
      <c r="AC258" s="116"/>
      <c r="AD258" s="24"/>
      <c r="AE258" s="24"/>
      <c r="AF258" s="50"/>
      <c r="AG258" s="50"/>
      <c r="AH258" s="50"/>
      <c r="AI258" s="50"/>
      <c r="AJ258" s="50"/>
      <c r="AK258" s="50"/>
      <c r="AL258" s="50"/>
    </row>
    <row r="259" spans="1:38" ht="13.8">
      <c r="A259" s="73"/>
      <c r="B259" s="74"/>
      <c r="C259" s="116"/>
      <c r="D259" s="24"/>
      <c r="E259" s="24"/>
      <c r="F259" s="24"/>
      <c r="G259" s="24"/>
      <c r="H259" s="24"/>
      <c r="I259" s="24"/>
      <c r="J259" s="63"/>
      <c r="K259" s="24"/>
      <c r="L259" s="118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119"/>
      <c r="X259" s="50"/>
      <c r="Y259" s="50"/>
      <c r="Z259" s="50"/>
      <c r="AA259" s="50"/>
      <c r="AB259" s="50"/>
      <c r="AC259" s="116"/>
      <c r="AD259" s="24"/>
      <c r="AE259" s="24"/>
      <c r="AF259" s="50"/>
      <c r="AG259" s="50"/>
      <c r="AH259" s="50"/>
      <c r="AI259" s="50"/>
      <c r="AJ259" s="50"/>
      <c r="AK259" s="50"/>
      <c r="AL259" s="50"/>
    </row>
    <row r="260" spans="1:38" ht="13.8">
      <c r="A260" s="73"/>
      <c r="B260" s="74"/>
      <c r="C260" s="116"/>
      <c r="D260" s="24"/>
      <c r="E260" s="24"/>
      <c r="F260" s="24"/>
      <c r="G260" s="24"/>
      <c r="H260" s="24"/>
      <c r="I260" s="24"/>
      <c r="J260" s="63"/>
      <c r="K260" s="24"/>
      <c r="L260" s="118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119"/>
      <c r="X260" s="50"/>
      <c r="Y260" s="50"/>
      <c r="Z260" s="50"/>
      <c r="AA260" s="50"/>
      <c r="AB260" s="50"/>
      <c r="AC260" s="116"/>
      <c r="AD260" s="24"/>
      <c r="AE260" s="24"/>
      <c r="AF260" s="50"/>
      <c r="AG260" s="50"/>
      <c r="AH260" s="50"/>
      <c r="AI260" s="50"/>
      <c r="AJ260" s="50"/>
      <c r="AK260" s="50"/>
      <c r="AL260" s="50"/>
    </row>
    <row r="261" spans="1:38" ht="13.8">
      <c r="A261" s="73"/>
      <c r="B261" s="74"/>
      <c r="C261" s="116"/>
      <c r="D261" s="24"/>
      <c r="E261" s="24"/>
      <c r="F261" s="24"/>
      <c r="G261" s="24"/>
      <c r="H261" s="24"/>
      <c r="I261" s="24"/>
      <c r="J261" s="63"/>
      <c r="K261" s="24"/>
      <c r="L261" s="118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119"/>
      <c r="X261" s="50"/>
      <c r="Y261" s="50"/>
      <c r="Z261" s="50"/>
      <c r="AA261" s="50"/>
      <c r="AB261" s="50"/>
      <c r="AC261" s="116"/>
      <c r="AD261" s="24"/>
      <c r="AE261" s="24"/>
      <c r="AF261" s="50"/>
      <c r="AG261" s="50"/>
      <c r="AH261" s="50"/>
      <c r="AI261" s="50"/>
      <c r="AJ261" s="50"/>
      <c r="AK261" s="50"/>
      <c r="AL261" s="50"/>
    </row>
    <row r="262" spans="1:38" ht="13.8">
      <c r="A262" s="73"/>
      <c r="B262" s="74"/>
      <c r="C262" s="116"/>
      <c r="D262" s="24"/>
      <c r="E262" s="24"/>
      <c r="F262" s="24"/>
      <c r="G262" s="24"/>
      <c r="H262" s="24"/>
      <c r="I262" s="24"/>
      <c r="J262" s="63"/>
      <c r="K262" s="24"/>
      <c r="L262" s="118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119"/>
      <c r="X262" s="50"/>
      <c r="Y262" s="50"/>
      <c r="Z262" s="50"/>
      <c r="AA262" s="50"/>
      <c r="AB262" s="50"/>
      <c r="AC262" s="116"/>
      <c r="AD262" s="24"/>
      <c r="AE262" s="24"/>
      <c r="AF262" s="50"/>
      <c r="AG262" s="50"/>
      <c r="AH262" s="50"/>
      <c r="AI262" s="50"/>
      <c r="AJ262" s="50"/>
      <c r="AK262" s="50"/>
      <c r="AL262" s="50"/>
    </row>
    <row r="263" spans="1:38" ht="13.8">
      <c r="A263" s="73"/>
      <c r="B263" s="74"/>
      <c r="C263" s="116"/>
      <c r="D263" s="24"/>
      <c r="E263" s="24"/>
      <c r="F263" s="24"/>
      <c r="G263" s="24"/>
      <c r="H263" s="24"/>
      <c r="I263" s="24"/>
      <c r="J263" s="63"/>
      <c r="K263" s="24"/>
      <c r="L263" s="118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119"/>
      <c r="X263" s="50"/>
      <c r="Y263" s="50"/>
      <c r="Z263" s="50"/>
      <c r="AA263" s="50"/>
      <c r="AB263" s="50"/>
      <c r="AC263" s="116"/>
      <c r="AD263" s="24"/>
      <c r="AE263" s="24"/>
      <c r="AF263" s="50"/>
      <c r="AG263" s="50"/>
      <c r="AH263" s="50"/>
      <c r="AI263" s="50"/>
      <c r="AJ263" s="50"/>
      <c r="AK263" s="50"/>
      <c r="AL263" s="50"/>
    </row>
    <row r="264" spans="1:38" ht="13.8">
      <c r="A264" s="73"/>
      <c r="B264" s="74"/>
      <c r="C264" s="116"/>
      <c r="D264" s="24"/>
      <c r="E264" s="24"/>
      <c r="F264" s="24"/>
      <c r="G264" s="24"/>
      <c r="H264" s="24"/>
      <c r="I264" s="24"/>
      <c r="J264" s="63"/>
      <c r="K264" s="24"/>
      <c r="L264" s="118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119"/>
      <c r="X264" s="50"/>
      <c r="Y264" s="50"/>
      <c r="Z264" s="50"/>
      <c r="AA264" s="50"/>
      <c r="AB264" s="50"/>
      <c r="AC264" s="116"/>
      <c r="AD264" s="24"/>
      <c r="AE264" s="24"/>
      <c r="AF264" s="50"/>
      <c r="AG264" s="50"/>
      <c r="AH264" s="50"/>
      <c r="AI264" s="50"/>
      <c r="AJ264" s="50"/>
      <c r="AK264" s="50"/>
      <c r="AL264" s="50"/>
    </row>
    <row r="265" spans="1:38" ht="13.8">
      <c r="A265" s="73"/>
      <c r="B265" s="74"/>
      <c r="C265" s="116"/>
      <c r="D265" s="24"/>
      <c r="E265" s="24"/>
      <c r="F265" s="24"/>
      <c r="G265" s="24"/>
      <c r="H265" s="24"/>
      <c r="I265" s="24"/>
      <c r="J265" s="63"/>
      <c r="K265" s="24"/>
      <c r="L265" s="118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119"/>
      <c r="X265" s="50"/>
      <c r="Y265" s="50"/>
      <c r="Z265" s="50"/>
      <c r="AA265" s="50"/>
      <c r="AB265" s="50"/>
      <c r="AC265" s="116"/>
      <c r="AD265" s="24"/>
      <c r="AE265" s="24"/>
      <c r="AF265" s="50"/>
      <c r="AG265" s="50"/>
      <c r="AH265" s="50"/>
      <c r="AI265" s="50"/>
      <c r="AJ265" s="50"/>
      <c r="AK265" s="50"/>
      <c r="AL265" s="50"/>
    </row>
    <row r="266" spans="1:38" ht="13.8">
      <c r="A266" s="73"/>
      <c r="B266" s="74"/>
      <c r="C266" s="116"/>
      <c r="D266" s="24"/>
      <c r="E266" s="24"/>
      <c r="F266" s="24"/>
      <c r="G266" s="24"/>
      <c r="H266" s="24"/>
      <c r="I266" s="24"/>
      <c r="J266" s="63"/>
      <c r="K266" s="24"/>
      <c r="L266" s="118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119"/>
      <c r="X266" s="50"/>
      <c r="Y266" s="50"/>
      <c r="Z266" s="50"/>
      <c r="AA266" s="50"/>
      <c r="AB266" s="50"/>
      <c r="AC266" s="116"/>
      <c r="AD266" s="24"/>
      <c r="AE266" s="24"/>
      <c r="AF266" s="50"/>
      <c r="AG266" s="50"/>
      <c r="AH266" s="50"/>
      <c r="AI266" s="50"/>
      <c r="AJ266" s="50"/>
      <c r="AK266" s="50"/>
      <c r="AL266" s="50"/>
    </row>
    <row r="267" spans="1:38" ht="13.8">
      <c r="A267" s="73"/>
      <c r="B267" s="74"/>
      <c r="C267" s="116"/>
      <c r="D267" s="24"/>
      <c r="E267" s="24"/>
      <c r="F267" s="24"/>
      <c r="G267" s="24"/>
      <c r="H267" s="24"/>
      <c r="I267" s="24"/>
      <c r="J267" s="63"/>
      <c r="K267" s="24"/>
      <c r="L267" s="118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119"/>
      <c r="X267" s="50"/>
      <c r="Y267" s="50"/>
      <c r="Z267" s="50"/>
      <c r="AA267" s="50"/>
      <c r="AB267" s="50"/>
      <c r="AC267" s="116"/>
      <c r="AD267" s="24"/>
      <c r="AE267" s="24"/>
      <c r="AF267" s="50"/>
      <c r="AG267" s="50"/>
      <c r="AH267" s="50"/>
      <c r="AI267" s="50"/>
      <c r="AJ267" s="50"/>
      <c r="AK267" s="50"/>
      <c r="AL267" s="50"/>
    </row>
    <row r="268" spans="1:38" ht="13.8">
      <c r="A268" s="73"/>
      <c r="B268" s="74"/>
      <c r="C268" s="116"/>
      <c r="D268" s="24"/>
      <c r="E268" s="24"/>
      <c r="F268" s="24"/>
      <c r="G268" s="24"/>
      <c r="H268" s="24"/>
      <c r="I268" s="24"/>
      <c r="J268" s="63"/>
      <c r="K268" s="24"/>
      <c r="L268" s="118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119"/>
      <c r="X268" s="50"/>
      <c r="Y268" s="50"/>
      <c r="Z268" s="50"/>
      <c r="AA268" s="50"/>
      <c r="AB268" s="50"/>
      <c r="AC268" s="116"/>
      <c r="AD268" s="24"/>
      <c r="AE268" s="24"/>
      <c r="AF268" s="50"/>
      <c r="AG268" s="50"/>
      <c r="AH268" s="50"/>
      <c r="AI268" s="50"/>
      <c r="AJ268" s="50"/>
      <c r="AK268" s="50"/>
      <c r="AL268" s="50"/>
    </row>
    <row r="269" spans="1:38" ht="13.8">
      <c r="A269" s="73"/>
      <c r="B269" s="74"/>
      <c r="C269" s="116"/>
      <c r="D269" s="24"/>
      <c r="E269" s="24"/>
      <c r="F269" s="24"/>
      <c r="G269" s="24"/>
      <c r="H269" s="24"/>
      <c r="I269" s="24"/>
      <c r="J269" s="63"/>
      <c r="K269" s="24"/>
      <c r="L269" s="118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119"/>
      <c r="X269" s="50"/>
      <c r="Y269" s="50"/>
      <c r="Z269" s="50"/>
      <c r="AA269" s="50"/>
      <c r="AB269" s="50"/>
      <c r="AC269" s="116"/>
      <c r="AD269" s="24"/>
      <c r="AE269" s="24"/>
      <c r="AF269" s="50"/>
      <c r="AG269" s="50"/>
      <c r="AH269" s="50"/>
      <c r="AI269" s="50"/>
      <c r="AJ269" s="50"/>
      <c r="AK269" s="50"/>
      <c r="AL269" s="50"/>
    </row>
    <row r="270" spans="1:38" ht="13.8">
      <c r="A270" s="73"/>
      <c r="B270" s="74"/>
      <c r="C270" s="116"/>
      <c r="D270" s="24"/>
      <c r="E270" s="24"/>
      <c r="F270" s="24"/>
      <c r="G270" s="24"/>
      <c r="H270" s="24"/>
      <c r="I270" s="24"/>
      <c r="J270" s="63"/>
      <c r="K270" s="24"/>
      <c r="L270" s="118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119"/>
      <c r="X270" s="50"/>
      <c r="Y270" s="50"/>
      <c r="Z270" s="50"/>
      <c r="AA270" s="50"/>
      <c r="AB270" s="50"/>
      <c r="AC270" s="116"/>
      <c r="AD270" s="24"/>
      <c r="AE270" s="24"/>
      <c r="AF270" s="50"/>
      <c r="AG270" s="50"/>
      <c r="AH270" s="50"/>
      <c r="AI270" s="50"/>
      <c r="AJ270" s="50"/>
      <c r="AK270" s="50"/>
      <c r="AL270" s="50"/>
    </row>
    <row r="271" spans="1:38" ht="13.8">
      <c r="A271" s="73"/>
      <c r="B271" s="74"/>
      <c r="C271" s="116"/>
      <c r="D271" s="24"/>
      <c r="E271" s="24"/>
      <c r="F271" s="24"/>
      <c r="G271" s="24"/>
      <c r="H271" s="24"/>
      <c r="I271" s="24"/>
      <c r="J271" s="63"/>
      <c r="K271" s="24"/>
      <c r="L271" s="118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119"/>
      <c r="X271" s="50"/>
      <c r="Y271" s="50"/>
      <c r="Z271" s="50"/>
      <c r="AA271" s="50"/>
      <c r="AB271" s="50"/>
      <c r="AC271" s="116"/>
      <c r="AD271" s="24"/>
      <c r="AE271" s="24"/>
      <c r="AF271" s="50"/>
      <c r="AG271" s="50"/>
      <c r="AH271" s="50"/>
      <c r="AI271" s="50"/>
      <c r="AJ271" s="50"/>
      <c r="AK271" s="50"/>
      <c r="AL271" s="50"/>
    </row>
    <row r="272" spans="1:38" ht="13.8">
      <c r="A272" s="73"/>
      <c r="B272" s="74"/>
      <c r="C272" s="116"/>
      <c r="D272" s="24"/>
      <c r="E272" s="24"/>
      <c r="F272" s="24"/>
      <c r="G272" s="24"/>
      <c r="H272" s="24"/>
      <c r="I272" s="24"/>
      <c r="J272" s="63"/>
      <c r="K272" s="24"/>
      <c r="L272" s="118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119"/>
      <c r="X272" s="50"/>
      <c r="Y272" s="50"/>
      <c r="Z272" s="50"/>
      <c r="AA272" s="50"/>
      <c r="AB272" s="50"/>
      <c r="AC272" s="116"/>
      <c r="AD272" s="24"/>
      <c r="AE272" s="24"/>
      <c r="AF272" s="50"/>
      <c r="AG272" s="50"/>
      <c r="AH272" s="50"/>
      <c r="AI272" s="50"/>
      <c r="AJ272" s="50"/>
      <c r="AK272" s="50"/>
      <c r="AL272" s="50"/>
    </row>
    <row r="273" spans="1:38" ht="13.8">
      <c r="A273" s="73"/>
      <c r="B273" s="74"/>
      <c r="C273" s="116"/>
      <c r="D273" s="24"/>
      <c r="E273" s="24"/>
      <c r="F273" s="24"/>
      <c r="G273" s="24"/>
      <c r="H273" s="24"/>
      <c r="I273" s="24"/>
      <c r="J273" s="63"/>
      <c r="K273" s="24"/>
      <c r="L273" s="118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119"/>
      <c r="X273" s="50"/>
      <c r="Y273" s="50"/>
      <c r="Z273" s="50"/>
      <c r="AA273" s="50"/>
      <c r="AB273" s="50"/>
      <c r="AC273" s="116"/>
      <c r="AD273" s="24"/>
      <c r="AE273" s="24"/>
      <c r="AF273" s="50"/>
      <c r="AG273" s="50"/>
      <c r="AH273" s="50"/>
      <c r="AI273" s="50"/>
      <c r="AJ273" s="50"/>
      <c r="AK273" s="50"/>
      <c r="AL273" s="50"/>
    </row>
    <row r="274" spans="1:38" ht="13.8">
      <c r="A274" s="73"/>
      <c r="B274" s="74"/>
      <c r="C274" s="116"/>
      <c r="D274" s="24"/>
      <c r="E274" s="24"/>
      <c r="F274" s="24"/>
      <c r="G274" s="24"/>
      <c r="H274" s="24"/>
      <c r="I274" s="24"/>
      <c r="J274" s="63"/>
      <c r="K274" s="24"/>
      <c r="L274" s="118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119"/>
      <c r="X274" s="50"/>
      <c r="Y274" s="50"/>
      <c r="Z274" s="50"/>
      <c r="AA274" s="50"/>
      <c r="AB274" s="50"/>
      <c r="AC274" s="116"/>
      <c r="AD274" s="24"/>
      <c r="AE274" s="24"/>
      <c r="AF274" s="50"/>
      <c r="AG274" s="50"/>
      <c r="AH274" s="50"/>
      <c r="AI274" s="50"/>
      <c r="AJ274" s="50"/>
      <c r="AK274" s="50"/>
      <c r="AL274" s="50"/>
    </row>
    <row r="275" spans="1:38" ht="13.8">
      <c r="A275" s="73"/>
      <c r="B275" s="74"/>
      <c r="C275" s="116"/>
      <c r="D275" s="24"/>
      <c r="E275" s="24"/>
      <c r="F275" s="24"/>
      <c r="G275" s="24"/>
      <c r="H275" s="24"/>
      <c r="I275" s="24"/>
      <c r="J275" s="63"/>
      <c r="K275" s="24"/>
      <c r="L275" s="118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119"/>
      <c r="X275" s="50"/>
      <c r="Y275" s="50"/>
      <c r="Z275" s="50"/>
      <c r="AA275" s="50"/>
      <c r="AB275" s="50"/>
      <c r="AC275" s="116"/>
      <c r="AD275" s="24"/>
      <c r="AE275" s="24"/>
      <c r="AF275" s="50"/>
      <c r="AG275" s="50"/>
      <c r="AH275" s="50"/>
      <c r="AI275" s="50"/>
      <c r="AJ275" s="50"/>
      <c r="AK275" s="50"/>
      <c r="AL275" s="50"/>
    </row>
    <row r="276" spans="1:38" ht="13.8">
      <c r="A276" s="73"/>
      <c r="B276" s="74"/>
      <c r="C276" s="116"/>
      <c r="D276" s="24"/>
      <c r="E276" s="24"/>
      <c r="F276" s="24"/>
      <c r="G276" s="24"/>
      <c r="H276" s="24"/>
      <c r="I276" s="24"/>
      <c r="J276" s="63"/>
      <c r="K276" s="24"/>
      <c r="L276" s="118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119"/>
      <c r="X276" s="50"/>
      <c r="Y276" s="50"/>
      <c r="Z276" s="50"/>
      <c r="AA276" s="50"/>
      <c r="AB276" s="50"/>
      <c r="AC276" s="116"/>
      <c r="AD276" s="24"/>
      <c r="AE276" s="24"/>
      <c r="AF276" s="50"/>
      <c r="AG276" s="50"/>
      <c r="AH276" s="50"/>
      <c r="AI276" s="50"/>
      <c r="AJ276" s="50"/>
      <c r="AK276" s="50"/>
      <c r="AL276" s="50"/>
    </row>
    <row r="277" spans="1:38" ht="13.8">
      <c r="A277" s="73"/>
      <c r="B277" s="74"/>
      <c r="C277" s="116"/>
      <c r="D277" s="24"/>
      <c r="E277" s="24"/>
      <c r="F277" s="24"/>
      <c r="G277" s="24"/>
      <c r="H277" s="24"/>
      <c r="I277" s="24"/>
      <c r="J277" s="63"/>
      <c r="K277" s="24"/>
      <c r="L277" s="118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119"/>
      <c r="X277" s="50"/>
      <c r="Y277" s="50"/>
      <c r="Z277" s="50"/>
      <c r="AA277" s="50"/>
      <c r="AB277" s="50"/>
      <c r="AC277" s="116"/>
      <c r="AD277" s="24"/>
      <c r="AE277" s="24"/>
      <c r="AF277" s="50"/>
      <c r="AG277" s="50"/>
      <c r="AH277" s="50"/>
      <c r="AI277" s="50"/>
      <c r="AJ277" s="50"/>
      <c r="AK277" s="50"/>
      <c r="AL277" s="50"/>
    </row>
    <row r="278" spans="1:38" ht="13.8">
      <c r="A278" s="73"/>
      <c r="B278" s="74"/>
      <c r="C278" s="116"/>
      <c r="D278" s="24"/>
      <c r="E278" s="24"/>
      <c r="F278" s="24"/>
      <c r="G278" s="24"/>
      <c r="H278" s="24"/>
      <c r="I278" s="24"/>
      <c r="J278" s="63"/>
      <c r="K278" s="24"/>
      <c r="L278" s="118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119"/>
      <c r="X278" s="50"/>
      <c r="Y278" s="50"/>
      <c r="Z278" s="50"/>
      <c r="AA278" s="50"/>
      <c r="AB278" s="50"/>
      <c r="AC278" s="116"/>
      <c r="AD278" s="24"/>
      <c r="AE278" s="24"/>
      <c r="AF278" s="50"/>
      <c r="AG278" s="50"/>
      <c r="AH278" s="50"/>
      <c r="AI278" s="50"/>
      <c r="AJ278" s="50"/>
      <c r="AK278" s="50"/>
      <c r="AL278" s="50"/>
    </row>
    <row r="279" spans="1:38" ht="13.8">
      <c r="A279" s="73"/>
      <c r="B279" s="74"/>
      <c r="C279" s="116"/>
      <c r="D279" s="24"/>
      <c r="E279" s="24"/>
      <c r="F279" s="24"/>
      <c r="G279" s="24"/>
      <c r="H279" s="24"/>
      <c r="I279" s="24"/>
      <c r="J279" s="63"/>
      <c r="K279" s="24"/>
      <c r="L279" s="118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119"/>
      <c r="X279" s="50"/>
      <c r="Y279" s="50"/>
      <c r="Z279" s="50"/>
      <c r="AA279" s="50"/>
      <c r="AB279" s="50"/>
      <c r="AC279" s="116"/>
      <c r="AD279" s="24"/>
      <c r="AE279" s="24"/>
      <c r="AF279" s="50"/>
      <c r="AG279" s="50"/>
      <c r="AH279" s="50"/>
      <c r="AI279" s="50"/>
      <c r="AJ279" s="50"/>
      <c r="AK279" s="50"/>
      <c r="AL279" s="50"/>
    </row>
    <row r="280" spans="1:38" ht="13.8">
      <c r="A280" s="73"/>
      <c r="B280" s="74"/>
      <c r="C280" s="116"/>
      <c r="D280" s="24"/>
      <c r="E280" s="24"/>
      <c r="F280" s="24"/>
      <c r="G280" s="24"/>
      <c r="H280" s="24"/>
      <c r="I280" s="24"/>
      <c r="J280" s="63"/>
      <c r="K280" s="24"/>
      <c r="L280" s="118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119"/>
      <c r="X280" s="50"/>
      <c r="Y280" s="50"/>
      <c r="Z280" s="50"/>
      <c r="AA280" s="50"/>
      <c r="AB280" s="50"/>
      <c r="AC280" s="116"/>
      <c r="AD280" s="24"/>
      <c r="AE280" s="24"/>
      <c r="AF280" s="50"/>
      <c r="AG280" s="50"/>
      <c r="AH280" s="50"/>
      <c r="AI280" s="50"/>
      <c r="AJ280" s="50"/>
      <c r="AK280" s="50"/>
      <c r="AL280" s="50"/>
    </row>
    <row r="281" spans="1:38" ht="13.8">
      <c r="A281" s="73"/>
      <c r="B281" s="74"/>
      <c r="C281" s="116"/>
      <c r="D281" s="24"/>
      <c r="E281" s="24"/>
      <c r="F281" s="24"/>
      <c r="G281" s="24"/>
      <c r="H281" s="24"/>
      <c r="I281" s="24"/>
      <c r="J281" s="63"/>
      <c r="K281" s="24"/>
      <c r="L281" s="118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119"/>
      <c r="X281" s="50"/>
      <c r="Y281" s="50"/>
      <c r="Z281" s="50"/>
      <c r="AA281" s="50"/>
      <c r="AB281" s="50"/>
      <c r="AC281" s="116"/>
      <c r="AD281" s="24"/>
      <c r="AE281" s="24"/>
      <c r="AF281" s="50"/>
      <c r="AG281" s="50"/>
      <c r="AH281" s="50"/>
      <c r="AI281" s="50"/>
      <c r="AJ281" s="50"/>
      <c r="AK281" s="50"/>
      <c r="AL281" s="50"/>
    </row>
    <row r="282" spans="1:38" ht="13.8">
      <c r="A282" s="73"/>
      <c r="B282" s="74"/>
      <c r="C282" s="116"/>
      <c r="D282" s="24"/>
      <c r="E282" s="24"/>
      <c r="F282" s="24"/>
      <c r="G282" s="24"/>
      <c r="H282" s="24"/>
      <c r="I282" s="24"/>
      <c r="J282" s="63"/>
      <c r="K282" s="24"/>
      <c r="L282" s="118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119"/>
      <c r="X282" s="50"/>
      <c r="Y282" s="50"/>
      <c r="Z282" s="50"/>
      <c r="AA282" s="50"/>
      <c r="AB282" s="50"/>
      <c r="AC282" s="116"/>
      <c r="AD282" s="24"/>
      <c r="AE282" s="24"/>
      <c r="AF282" s="50"/>
      <c r="AG282" s="50"/>
      <c r="AH282" s="50"/>
      <c r="AI282" s="50"/>
      <c r="AJ282" s="50"/>
      <c r="AK282" s="50"/>
      <c r="AL282" s="50"/>
    </row>
    <row r="283" spans="1:38" ht="13.8">
      <c r="A283" s="73"/>
      <c r="B283" s="74"/>
      <c r="C283" s="116"/>
      <c r="D283" s="24"/>
      <c r="E283" s="24"/>
      <c r="F283" s="24"/>
      <c r="G283" s="24"/>
      <c r="H283" s="24"/>
      <c r="I283" s="24"/>
      <c r="J283" s="63"/>
      <c r="K283" s="24"/>
      <c r="L283" s="118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119"/>
      <c r="X283" s="50"/>
      <c r="Y283" s="50"/>
      <c r="Z283" s="50"/>
      <c r="AA283" s="50"/>
      <c r="AB283" s="50"/>
      <c r="AC283" s="116"/>
      <c r="AD283" s="24"/>
      <c r="AE283" s="24"/>
      <c r="AF283" s="50"/>
      <c r="AG283" s="50"/>
      <c r="AH283" s="50"/>
      <c r="AI283" s="50"/>
      <c r="AJ283" s="50"/>
      <c r="AK283" s="50"/>
      <c r="AL283" s="50"/>
    </row>
    <row r="284" spans="1:38" ht="13.8">
      <c r="A284" s="73"/>
      <c r="B284" s="74"/>
      <c r="C284" s="116"/>
      <c r="D284" s="24"/>
      <c r="E284" s="24"/>
      <c r="F284" s="24"/>
      <c r="G284" s="24"/>
      <c r="H284" s="24"/>
      <c r="I284" s="24"/>
      <c r="J284" s="63"/>
      <c r="K284" s="24"/>
      <c r="L284" s="118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119"/>
      <c r="X284" s="50"/>
      <c r="Y284" s="50"/>
      <c r="Z284" s="50"/>
      <c r="AA284" s="50"/>
      <c r="AB284" s="50"/>
      <c r="AC284" s="116"/>
      <c r="AD284" s="24"/>
      <c r="AE284" s="24"/>
      <c r="AF284" s="50"/>
      <c r="AG284" s="50"/>
      <c r="AH284" s="50"/>
      <c r="AI284" s="50"/>
      <c r="AJ284" s="50"/>
      <c r="AK284" s="50"/>
      <c r="AL284" s="50"/>
    </row>
    <row r="285" spans="1:38" ht="13.8">
      <c r="A285" s="73"/>
      <c r="B285" s="74"/>
      <c r="C285" s="116"/>
      <c r="D285" s="24"/>
      <c r="E285" s="24"/>
      <c r="F285" s="24"/>
      <c r="G285" s="24"/>
      <c r="H285" s="24"/>
      <c r="I285" s="24"/>
      <c r="J285" s="63"/>
      <c r="K285" s="24"/>
      <c r="L285" s="118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119"/>
      <c r="X285" s="50"/>
      <c r="Y285" s="50"/>
      <c r="Z285" s="50"/>
      <c r="AA285" s="50"/>
      <c r="AB285" s="50"/>
      <c r="AC285" s="116"/>
      <c r="AD285" s="24"/>
      <c r="AE285" s="24"/>
      <c r="AF285" s="50"/>
      <c r="AG285" s="50"/>
      <c r="AH285" s="50"/>
      <c r="AI285" s="50"/>
      <c r="AJ285" s="50"/>
      <c r="AK285" s="50"/>
      <c r="AL285" s="50"/>
    </row>
    <row r="286" spans="1:38" ht="13.8">
      <c r="A286" s="73"/>
      <c r="B286" s="74"/>
      <c r="C286" s="116"/>
      <c r="D286" s="24"/>
      <c r="E286" s="24"/>
      <c r="F286" s="24"/>
      <c r="G286" s="24"/>
      <c r="H286" s="24"/>
      <c r="I286" s="24"/>
      <c r="J286" s="63"/>
      <c r="K286" s="24"/>
      <c r="L286" s="118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119"/>
      <c r="X286" s="50"/>
      <c r="Y286" s="50"/>
      <c r="Z286" s="50"/>
      <c r="AA286" s="50"/>
      <c r="AB286" s="50"/>
      <c r="AC286" s="116"/>
      <c r="AD286" s="24"/>
      <c r="AE286" s="24"/>
      <c r="AF286" s="50"/>
      <c r="AG286" s="50"/>
      <c r="AH286" s="50"/>
      <c r="AI286" s="50"/>
      <c r="AJ286" s="50"/>
      <c r="AK286" s="50"/>
      <c r="AL286" s="50"/>
    </row>
    <row r="287" spans="1:38" ht="13.8">
      <c r="A287" s="73"/>
      <c r="B287" s="74"/>
      <c r="C287" s="116"/>
      <c r="D287" s="24"/>
      <c r="E287" s="24"/>
      <c r="F287" s="24"/>
      <c r="G287" s="24"/>
      <c r="H287" s="24"/>
      <c r="I287" s="24"/>
      <c r="J287" s="63"/>
      <c r="K287" s="24"/>
      <c r="L287" s="118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119"/>
      <c r="X287" s="50"/>
      <c r="Y287" s="50"/>
      <c r="Z287" s="50"/>
      <c r="AA287" s="50"/>
      <c r="AB287" s="50"/>
      <c r="AC287" s="116"/>
      <c r="AD287" s="24"/>
      <c r="AE287" s="24"/>
      <c r="AF287" s="50"/>
      <c r="AG287" s="50"/>
      <c r="AH287" s="50"/>
      <c r="AI287" s="50"/>
      <c r="AJ287" s="50"/>
      <c r="AK287" s="50"/>
      <c r="AL287" s="50"/>
    </row>
    <row r="288" spans="1:38" ht="13.8">
      <c r="A288" s="73"/>
      <c r="B288" s="74"/>
      <c r="C288" s="116"/>
      <c r="D288" s="24"/>
      <c r="E288" s="24"/>
      <c r="F288" s="24"/>
      <c r="G288" s="24"/>
      <c r="H288" s="24"/>
      <c r="I288" s="24"/>
      <c r="J288" s="63"/>
      <c r="K288" s="24"/>
      <c r="L288" s="118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119"/>
      <c r="X288" s="50"/>
      <c r="Y288" s="50"/>
      <c r="Z288" s="50"/>
      <c r="AA288" s="50"/>
      <c r="AB288" s="50"/>
      <c r="AC288" s="116"/>
      <c r="AD288" s="24"/>
      <c r="AE288" s="24"/>
      <c r="AF288" s="50"/>
      <c r="AG288" s="50"/>
      <c r="AH288" s="50"/>
      <c r="AI288" s="50"/>
      <c r="AJ288" s="50"/>
      <c r="AK288" s="50"/>
      <c r="AL288" s="50"/>
    </row>
    <row r="289" spans="1:38" ht="13.8">
      <c r="A289" s="73"/>
      <c r="B289" s="74"/>
      <c r="C289" s="116"/>
      <c r="D289" s="24"/>
      <c r="E289" s="24"/>
      <c r="F289" s="24"/>
      <c r="G289" s="24"/>
      <c r="H289" s="24"/>
      <c r="I289" s="24"/>
      <c r="J289" s="63"/>
      <c r="K289" s="24"/>
      <c r="L289" s="118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119"/>
      <c r="X289" s="50"/>
      <c r="Y289" s="50"/>
      <c r="Z289" s="50"/>
      <c r="AA289" s="50"/>
      <c r="AB289" s="50"/>
      <c r="AC289" s="116"/>
      <c r="AD289" s="24"/>
      <c r="AE289" s="24"/>
      <c r="AF289" s="50"/>
      <c r="AG289" s="50"/>
      <c r="AH289" s="50"/>
      <c r="AI289" s="50"/>
      <c r="AJ289" s="50"/>
      <c r="AK289" s="50"/>
      <c r="AL289" s="50"/>
    </row>
    <row r="290" spans="1:38" ht="13.8">
      <c r="A290" s="73"/>
      <c r="B290" s="74"/>
      <c r="C290" s="116"/>
      <c r="D290" s="24"/>
      <c r="E290" s="24"/>
      <c r="F290" s="24"/>
      <c r="G290" s="24"/>
      <c r="H290" s="24"/>
      <c r="I290" s="24"/>
      <c r="J290" s="63"/>
      <c r="K290" s="24"/>
      <c r="L290" s="118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119"/>
      <c r="X290" s="50"/>
      <c r="Y290" s="50"/>
      <c r="Z290" s="50"/>
      <c r="AA290" s="50"/>
      <c r="AB290" s="50"/>
      <c r="AC290" s="116"/>
      <c r="AD290" s="24"/>
      <c r="AE290" s="24"/>
      <c r="AF290" s="50"/>
      <c r="AG290" s="50"/>
      <c r="AH290" s="50"/>
      <c r="AI290" s="50"/>
      <c r="AJ290" s="50"/>
      <c r="AK290" s="50"/>
      <c r="AL290" s="50"/>
    </row>
    <row r="291" spans="1:38" ht="13.8">
      <c r="A291" s="73"/>
      <c r="B291" s="74"/>
      <c r="C291" s="116"/>
      <c r="D291" s="24"/>
      <c r="E291" s="24"/>
      <c r="F291" s="24"/>
      <c r="G291" s="24"/>
      <c r="H291" s="24"/>
      <c r="I291" s="24"/>
      <c r="J291" s="63"/>
      <c r="K291" s="24"/>
      <c r="L291" s="118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119"/>
      <c r="X291" s="50"/>
      <c r="Y291" s="50"/>
      <c r="Z291" s="50"/>
      <c r="AA291" s="50"/>
      <c r="AB291" s="50"/>
      <c r="AC291" s="116"/>
      <c r="AD291" s="24"/>
      <c r="AE291" s="24"/>
      <c r="AF291" s="50"/>
      <c r="AG291" s="50"/>
      <c r="AH291" s="50"/>
      <c r="AI291" s="50"/>
      <c r="AJ291" s="50"/>
      <c r="AK291" s="50"/>
      <c r="AL291" s="50"/>
    </row>
    <row r="292" spans="1:38" ht="13.8">
      <c r="A292" s="73"/>
      <c r="B292" s="74"/>
      <c r="C292" s="116"/>
      <c r="D292" s="24"/>
      <c r="E292" s="24"/>
      <c r="F292" s="24"/>
      <c r="G292" s="24"/>
      <c r="H292" s="24"/>
      <c r="I292" s="24"/>
      <c r="J292" s="63"/>
      <c r="K292" s="24"/>
      <c r="L292" s="118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119"/>
      <c r="X292" s="50"/>
      <c r="Y292" s="50"/>
      <c r="Z292" s="50"/>
      <c r="AA292" s="50"/>
      <c r="AB292" s="50"/>
      <c r="AC292" s="116"/>
      <c r="AD292" s="24"/>
      <c r="AE292" s="24"/>
      <c r="AF292" s="50"/>
      <c r="AG292" s="50"/>
      <c r="AH292" s="50"/>
      <c r="AI292" s="50"/>
      <c r="AJ292" s="50"/>
      <c r="AK292" s="50"/>
      <c r="AL292" s="50"/>
    </row>
    <row r="293" spans="1:38" ht="13.8">
      <c r="A293" s="73"/>
      <c r="B293" s="74"/>
      <c r="C293" s="116"/>
      <c r="D293" s="24"/>
      <c r="E293" s="24"/>
      <c r="F293" s="24"/>
      <c r="G293" s="24"/>
      <c r="H293" s="24"/>
      <c r="I293" s="24"/>
      <c r="J293" s="63"/>
      <c r="K293" s="24"/>
      <c r="L293" s="118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119"/>
      <c r="X293" s="50"/>
      <c r="Y293" s="50"/>
      <c r="Z293" s="50"/>
      <c r="AA293" s="50"/>
      <c r="AB293" s="50"/>
      <c r="AC293" s="116"/>
      <c r="AD293" s="24"/>
      <c r="AE293" s="24"/>
      <c r="AF293" s="50"/>
      <c r="AG293" s="50"/>
      <c r="AH293" s="50"/>
      <c r="AI293" s="50"/>
      <c r="AJ293" s="50"/>
      <c r="AK293" s="50"/>
      <c r="AL293" s="50"/>
    </row>
    <row r="294" spans="1:38" ht="13.8">
      <c r="A294" s="73"/>
      <c r="B294" s="74"/>
      <c r="C294" s="116"/>
      <c r="D294" s="24"/>
      <c r="E294" s="24"/>
      <c r="F294" s="24"/>
      <c r="G294" s="24"/>
      <c r="H294" s="24"/>
      <c r="I294" s="24"/>
      <c r="J294" s="63"/>
      <c r="K294" s="24"/>
      <c r="L294" s="118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119"/>
      <c r="X294" s="50"/>
      <c r="Y294" s="50"/>
      <c r="Z294" s="50"/>
      <c r="AA294" s="50"/>
      <c r="AB294" s="50"/>
      <c r="AC294" s="116"/>
      <c r="AD294" s="24"/>
      <c r="AE294" s="24"/>
      <c r="AF294" s="50"/>
      <c r="AG294" s="50"/>
      <c r="AH294" s="50"/>
      <c r="AI294" s="50"/>
      <c r="AJ294" s="50"/>
      <c r="AK294" s="50"/>
      <c r="AL294" s="50"/>
    </row>
    <row r="295" spans="1:38" ht="13.8">
      <c r="A295" s="73"/>
      <c r="B295" s="74"/>
      <c r="C295" s="116"/>
      <c r="D295" s="24"/>
      <c r="E295" s="24"/>
      <c r="F295" s="24"/>
      <c r="G295" s="24"/>
      <c r="H295" s="24"/>
      <c r="I295" s="24"/>
      <c r="J295" s="63"/>
      <c r="K295" s="24"/>
      <c r="L295" s="118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119"/>
      <c r="X295" s="50"/>
      <c r="Y295" s="50"/>
      <c r="Z295" s="50"/>
      <c r="AA295" s="50"/>
      <c r="AB295" s="50"/>
      <c r="AC295" s="116"/>
      <c r="AD295" s="24"/>
      <c r="AE295" s="24"/>
      <c r="AF295" s="50"/>
      <c r="AG295" s="50"/>
      <c r="AH295" s="50"/>
      <c r="AI295" s="50"/>
      <c r="AJ295" s="50"/>
      <c r="AK295" s="50"/>
      <c r="AL295" s="50"/>
    </row>
    <row r="296" spans="1:38" ht="13.8">
      <c r="A296" s="73"/>
      <c r="B296" s="74"/>
      <c r="C296" s="116"/>
      <c r="D296" s="24"/>
      <c r="E296" s="24"/>
      <c r="F296" s="24"/>
      <c r="G296" s="24"/>
      <c r="H296" s="24"/>
      <c r="I296" s="24"/>
      <c r="J296" s="63"/>
      <c r="K296" s="24"/>
      <c r="L296" s="118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119"/>
      <c r="X296" s="50"/>
      <c r="Y296" s="50"/>
      <c r="Z296" s="50"/>
      <c r="AA296" s="50"/>
      <c r="AB296" s="50"/>
      <c r="AC296" s="116"/>
      <c r="AD296" s="24"/>
      <c r="AE296" s="24"/>
      <c r="AF296" s="50"/>
      <c r="AG296" s="50"/>
      <c r="AH296" s="50"/>
      <c r="AI296" s="50"/>
      <c r="AJ296" s="50"/>
      <c r="AK296" s="50"/>
      <c r="AL296" s="50"/>
    </row>
    <row r="297" spans="1:38" ht="13.8">
      <c r="A297" s="73"/>
      <c r="B297" s="74"/>
      <c r="C297" s="116"/>
      <c r="D297" s="24"/>
      <c r="E297" s="24"/>
      <c r="F297" s="24"/>
      <c r="G297" s="24"/>
      <c r="H297" s="24"/>
      <c r="I297" s="24"/>
      <c r="J297" s="63"/>
      <c r="K297" s="24"/>
      <c r="L297" s="118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119"/>
      <c r="X297" s="50"/>
      <c r="Y297" s="50"/>
      <c r="Z297" s="50"/>
      <c r="AA297" s="50"/>
      <c r="AB297" s="50"/>
      <c r="AC297" s="116"/>
      <c r="AD297" s="24"/>
      <c r="AE297" s="24"/>
      <c r="AF297" s="50"/>
      <c r="AG297" s="50"/>
      <c r="AH297" s="50"/>
      <c r="AI297" s="50"/>
      <c r="AJ297" s="50"/>
      <c r="AK297" s="50"/>
      <c r="AL297" s="50"/>
    </row>
    <row r="298" spans="1:38" ht="13.8">
      <c r="A298" s="73"/>
      <c r="B298" s="74"/>
      <c r="C298" s="116"/>
      <c r="D298" s="24"/>
      <c r="E298" s="24"/>
      <c r="F298" s="24"/>
      <c r="G298" s="24"/>
      <c r="H298" s="24"/>
      <c r="I298" s="24"/>
      <c r="J298" s="63"/>
      <c r="K298" s="24"/>
      <c r="L298" s="118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119"/>
      <c r="X298" s="50"/>
      <c r="Y298" s="50"/>
      <c r="Z298" s="50"/>
      <c r="AA298" s="50"/>
      <c r="AB298" s="50"/>
      <c r="AC298" s="116"/>
      <c r="AD298" s="24"/>
      <c r="AE298" s="24"/>
      <c r="AF298" s="50"/>
      <c r="AG298" s="50"/>
      <c r="AH298" s="50"/>
      <c r="AI298" s="50"/>
      <c r="AJ298" s="50"/>
      <c r="AK298" s="50"/>
      <c r="AL298" s="50"/>
    </row>
    <row r="299" spans="1:38" ht="13.8">
      <c r="A299" s="73"/>
      <c r="B299" s="74"/>
      <c r="C299" s="116"/>
      <c r="D299" s="24"/>
      <c r="E299" s="24"/>
      <c r="F299" s="24"/>
      <c r="G299" s="24"/>
      <c r="H299" s="24"/>
      <c r="I299" s="24"/>
      <c r="J299" s="63"/>
      <c r="K299" s="24"/>
      <c r="L299" s="118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119"/>
      <c r="X299" s="50"/>
      <c r="Y299" s="50"/>
      <c r="Z299" s="50"/>
      <c r="AA299" s="50"/>
      <c r="AB299" s="50"/>
      <c r="AC299" s="116"/>
      <c r="AD299" s="24"/>
      <c r="AE299" s="24"/>
      <c r="AF299" s="50"/>
      <c r="AG299" s="50"/>
      <c r="AH299" s="50"/>
      <c r="AI299" s="50"/>
      <c r="AJ299" s="50"/>
      <c r="AK299" s="50"/>
      <c r="AL299" s="50"/>
    </row>
    <row r="300" spans="1:38" ht="13.8">
      <c r="A300" s="73"/>
      <c r="B300" s="74"/>
      <c r="C300" s="116"/>
      <c r="D300" s="24"/>
      <c r="E300" s="24"/>
      <c r="F300" s="24"/>
      <c r="G300" s="24"/>
      <c r="H300" s="24"/>
      <c r="I300" s="24"/>
      <c r="J300" s="63"/>
      <c r="K300" s="24"/>
      <c r="L300" s="118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119"/>
      <c r="X300" s="50"/>
      <c r="Y300" s="50"/>
      <c r="Z300" s="50"/>
      <c r="AA300" s="50"/>
      <c r="AB300" s="50"/>
      <c r="AC300" s="116"/>
      <c r="AD300" s="24"/>
      <c r="AE300" s="24"/>
      <c r="AF300" s="50"/>
      <c r="AG300" s="50"/>
      <c r="AH300" s="50"/>
      <c r="AI300" s="50"/>
      <c r="AJ300" s="50"/>
      <c r="AK300" s="50"/>
      <c r="AL300" s="50"/>
    </row>
    <row r="301" spans="1:38" ht="13.8">
      <c r="A301" s="73"/>
      <c r="B301" s="74"/>
      <c r="C301" s="116"/>
      <c r="D301" s="24"/>
      <c r="E301" s="24"/>
      <c r="F301" s="24"/>
      <c r="G301" s="24"/>
      <c r="H301" s="24"/>
      <c r="I301" s="24"/>
      <c r="J301" s="63"/>
      <c r="K301" s="24"/>
      <c r="L301" s="118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119"/>
      <c r="X301" s="50"/>
      <c r="Y301" s="50"/>
      <c r="Z301" s="50"/>
      <c r="AA301" s="50"/>
      <c r="AB301" s="50"/>
      <c r="AC301" s="116"/>
      <c r="AD301" s="24"/>
      <c r="AE301" s="24"/>
      <c r="AF301" s="50"/>
      <c r="AG301" s="50"/>
      <c r="AH301" s="50"/>
      <c r="AI301" s="50"/>
      <c r="AJ301" s="50"/>
      <c r="AK301" s="50"/>
      <c r="AL301" s="50"/>
    </row>
    <row r="302" spans="1:38" ht="13.8">
      <c r="A302" s="73"/>
      <c r="B302" s="74"/>
      <c r="C302" s="116"/>
      <c r="D302" s="24"/>
      <c r="E302" s="24"/>
      <c r="F302" s="24"/>
      <c r="G302" s="24"/>
      <c r="H302" s="24"/>
      <c r="I302" s="24"/>
      <c r="J302" s="63"/>
      <c r="K302" s="24"/>
      <c r="L302" s="118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119"/>
      <c r="X302" s="50"/>
      <c r="Y302" s="50"/>
      <c r="Z302" s="50"/>
      <c r="AA302" s="50"/>
      <c r="AB302" s="50"/>
      <c r="AC302" s="116"/>
      <c r="AD302" s="24"/>
      <c r="AE302" s="24"/>
      <c r="AF302" s="50"/>
      <c r="AG302" s="50"/>
      <c r="AH302" s="50"/>
      <c r="AI302" s="50"/>
      <c r="AJ302" s="50"/>
      <c r="AK302" s="50"/>
      <c r="AL302" s="50"/>
    </row>
    <row r="303" spans="1:38" ht="13.8">
      <c r="A303" s="73"/>
      <c r="B303" s="74"/>
      <c r="C303" s="116"/>
      <c r="D303" s="24"/>
      <c r="E303" s="24"/>
      <c r="F303" s="24"/>
      <c r="G303" s="24"/>
      <c r="H303" s="24"/>
      <c r="I303" s="24"/>
      <c r="J303" s="63"/>
      <c r="K303" s="24"/>
      <c r="L303" s="118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119"/>
      <c r="X303" s="50"/>
      <c r="Y303" s="50"/>
      <c r="Z303" s="50"/>
      <c r="AA303" s="50"/>
      <c r="AB303" s="50"/>
      <c r="AC303" s="116"/>
      <c r="AD303" s="24"/>
      <c r="AE303" s="24"/>
      <c r="AF303" s="50"/>
      <c r="AG303" s="50"/>
      <c r="AH303" s="50"/>
      <c r="AI303" s="50"/>
      <c r="AJ303" s="50"/>
      <c r="AK303" s="50"/>
      <c r="AL303" s="50"/>
    </row>
    <row r="304" spans="1:38" ht="13.8">
      <c r="A304" s="73"/>
      <c r="B304" s="74"/>
      <c r="C304" s="116"/>
      <c r="D304" s="24"/>
      <c r="E304" s="24"/>
      <c r="F304" s="24"/>
      <c r="G304" s="24"/>
      <c r="H304" s="24"/>
      <c r="I304" s="24"/>
      <c r="J304" s="63"/>
      <c r="K304" s="24"/>
      <c r="L304" s="118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119"/>
      <c r="X304" s="50"/>
      <c r="Y304" s="50"/>
      <c r="Z304" s="50"/>
      <c r="AA304" s="50"/>
      <c r="AB304" s="50"/>
      <c r="AC304" s="116"/>
      <c r="AD304" s="24"/>
      <c r="AE304" s="24"/>
      <c r="AF304" s="50"/>
      <c r="AG304" s="50"/>
      <c r="AH304" s="50"/>
      <c r="AI304" s="50"/>
      <c r="AJ304" s="50"/>
      <c r="AK304" s="50"/>
      <c r="AL304" s="50"/>
    </row>
    <row r="305" spans="1:38" ht="13.8">
      <c r="A305" s="73"/>
      <c r="B305" s="74"/>
      <c r="C305" s="116"/>
      <c r="D305" s="24"/>
      <c r="E305" s="24"/>
      <c r="F305" s="24"/>
      <c r="G305" s="24"/>
      <c r="H305" s="24"/>
      <c r="I305" s="24"/>
      <c r="J305" s="63"/>
      <c r="K305" s="24"/>
      <c r="L305" s="118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119"/>
      <c r="X305" s="50"/>
      <c r="Y305" s="50"/>
      <c r="Z305" s="50"/>
      <c r="AA305" s="50"/>
      <c r="AB305" s="50"/>
      <c r="AC305" s="116"/>
      <c r="AD305" s="24"/>
      <c r="AE305" s="24"/>
      <c r="AF305" s="50"/>
      <c r="AG305" s="50"/>
      <c r="AH305" s="50"/>
      <c r="AI305" s="50"/>
      <c r="AJ305" s="50"/>
      <c r="AK305" s="50"/>
      <c r="AL305" s="50"/>
    </row>
    <row r="306" spans="1:38" ht="13.8">
      <c r="A306" s="73"/>
      <c r="B306" s="74"/>
      <c r="C306" s="116"/>
      <c r="D306" s="24"/>
      <c r="E306" s="24"/>
      <c r="F306" s="24"/>
      <c r="G306" s="24"/>
      <c r="H306" s="24"/>
      <c r="I306" s="24"/>
      <c r="J306" s="63"/>
      <c r="K306" s="24"/>
      <c r="L306" s="118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119"/>
      <c r="X306" s="50"/>
      <c r="Y306" s="50"/>
      <c r="Z306" s="50"/>
      <c r="AA306" s="50"/>
      <c r="AB306" s="50"/>
      <c r="AC306" s="116"/>
      <c r="AD306" s="24"/>
      <c r="AE306" s="24"/>
      <c r="AF306" s="50"/>
      <c r="AG306" s="50"/>
      <c r="AH306" s="50"/>
      <c r="AI306" s="50"/>
      <c r="AJ306" s="50"/>
      <c r="AK306" s="50"/>
      <c r="AL306" s="50"/>
    </row>
    <row r="307" spans="1:38" ht="13.8">
      <c r="A307" s="73"/>
      <c r="B307" s="74"/>
      <c r="C307" s="116"/>
      <c r="D307" s="24"/>
      <c r="E307" s="24"/>
      <c r="F307" s="24"/>
      <c r="G307" s="24"/>
      <c r="H307" s="24"/>
      <c r="I307" s="24"/>
      <c r="J307" s="63"/>
      <c r="K307" s="24"/>
      <c r="L307" s="118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119"/>
      <c r="X307" s="50"/>
      <c r="Y307" s="50"/>
      <c r="Z307" s="50"/>
      <c r="AA307" s="50"/>
      <c r="AB307" s="50"/>
      <c r="AC307" s="116"/>
      <c r="AD307" s="24"/>
      <c r="AE307" s="24"/>
      <c r="AF307" s="50"/>
      <c r="AG307" s="50"/>
      <c r="AH307" s="50"/>
      <c r="AI307" s="50"/>
      <c r="AJ307" s="50"/>
      <c r="AK307" s="50"/>
      <c r="AL307" s="50"/>
    </row>
    <row r="308" spans="1:38" ht="13.8">
      <c r="A308" s="73"/>
      <c r="B308" s="74"/>
      <c r="C308" s="116"/>
      <c r="D308" s="24"/>
      <c r="E308" s="24"/>
      <c r="F308" s="24"/>
      <c r="G308" s="24"/>
      <c r="H308" s="24"/>
      <c r="I308" s="24"/>
      <c r="J308" s="63"/>
      <c r="K308" s="24"/>
      <c r="L308" s="118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119"/>
      <c r="X308" s="50"/>
      <c r="Y308" s="50"/>
      <c r="Z308" s="50"/>
      <c r="AA308" s="50"/>
      <c r="AB308" s="50"/>
      <c r="AC308" s="116"/>
      <c r="AD308" s="24"/>
      <c r="AE308" s="24"/>
      <c r="AF308" s="50"/>
      <c r="AG308" s="50"/>
      <c r="AH308" s="50"/>
      <c r="AI308" s="50"/>
      <c r="AJ308" s="50"/>
      <c r="AK308" s="50"/>
      <c r="AL308" s="50"/>
    </row>
    <row r="309" spans="1:38" ht="13.8">
      <c r="A309" s="73"/>
      <c r="B309" s="74"/>
      <c r="C309" s="116"/>
      <c r="D309" s="24"/>
      <c r="E309" s="24"/>
      <c r="F309" s="24"/>
      <c r="G309" s="24"/>
      <c r="H309" s="24"/>
      <c r="I309" s="24"/>
      <c r="J309" s="63"/>
      <c r="K309" s="24"/>
      <c r="L309" s="118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119"/>
      <c r="X309" s="50"/>
      <c r="Y309" s="50"/>
      <c r="Z309" s="50"/>
      <c r="AA309" s="50"/>
      <c r="AB309" s="50"/>
      <c r="AC309" s="116"/>
      <c r="AD309" s="24"/>
      <c r="AE309" s="24"/>
      <c r="AF309" s="50"/>
      <c r="AG309" s="50"/>
      <c r="AH309" s="50"/>
      <c r="AI309" s="50"/>
      <c r="AJ309" s="50"/>
      <c r="AK309" s="50"/>
      <c r="AL309" s="50"/>
    </row>
    <row r="310" spans="1:38" ht="13.8">
      <c r="A310" s="73"/>
      <c r="B310" s="74"/>
      <c r="C310" s="116"/>
      <c r="D310" s="24"/>
      <c r="E310" s="24"/>
      <c r="F310" s="24"/>
      <c r="G310" s="24"/>
      <c r="H310" s="24"/>
      <c r="I310" s="24"/>
      <c r="J310" s="63"/>
      <c r="K310" s="24"/>
      <c r="L310" s="118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119"/>
      <c r="X310" s="50"/>
      <c r="Y310" s="50"/>
      <c r="Z310" s="50"/>
      <c r="AA310" s="50"/>
      <c r="AB310" s="50"/>
      <c r="AC310" s="116"/>
      <c r="AD310" s="24"/>
      <c r="AE310" s="24"/>
      <c r="AF310" s="50"/>
      <c r="AG310" s="50"/>
      <c r="AH310" s="50"/>
      <c r="AI310" s="50"/>
      <c r="AJ310" s="50"/>
      <c r="AK310" s="50"/>
      <c r="AL310" s="50"/>
    </row>
    <row r="311" spans="1:38" ht="13.8">
      <c r="A311" s="73"/>
      <c r="B311" s="74"/>
      <c r="C311" s="116"/>
      <c r="D311" s="24"/>
      <c r="E311" s="24"/>
      <c r="F311" s="24"/>
      <c r="G311" s="24"/>
      <c r="H311" s="24"/>
      <c r="I311" s="24"/>
      <c r="J311" s="63"/>
      <c r="K311" s="24"/>
      <c r="L311" s="118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119"/>
      <c r="X311" s="50"/>
      <c r="Y311" s="50"/>
      <c r="Z311" s="50"/>
      <c r="AA311" s="50"/>
      <c r="AB311" s="50"/>
      <c r="AC311" s="116"/>
      <c r="AD311" s="24"/>
      <c r="AE311" s="24"/>
      <c r="AF311" s="50"/>
      <c r="AG311" s="50"/>
      <c r="AH311" s="50"/>
      <c r="AI311" s="50"/>
      <c r="AJ311" s="50"/>
      <c r="AK311" s="50"/>
      <c r="AL311" s="50"/>
    </row>
    <row r="312" spans="1:38" ht="13.8">
      <c r="A312" s="73"/>
      <c r="B312" s="74"/>
      <c r="C312" s="116"/>
      <c r="D312" s="24"/>
      <c r="E312" s="24"/>
      <c r="F312" s="24"/>
      <c r="G312" s="24"/>
      <c r="H312" s="24"/>
      <c r="I312" s="24"/>
      <c r="J312" s="63"/>
      <c r="K312" s="24"/>
      <c r="L312" s="118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119"/>
      <c r="X312" s="50"/>
      <c r="Y312" s="50"/>
      <c r="Z312" s="50"/>
      <c r="AA312" s="50"/>
      <c r="AB312" s="50"/>
      <c r="AC312" s="116"/>
      <c r="AD312" s="24"/>
      <c r="AE312" s="24"/>
      <c r="AF312" s="50"/>
      <c r="AG312" s="50"/>
      <c r="AH312" s="50"/>
      <c r="AI312" s="50"/>
      <c r="AJ312" s="50"/>
      <c r="AK312" s="50"/>
      <c r="AL312" s="50"/>
    </row>
    <row r="313" spans="1:38" ht="13.8">
      <c r="A313" s="73"/>
      <c r="B313" s="74"/>
      <c r="C313" s="116"/>
      <c r="D313" s="24"/>
      <c r="E313" s="24"/>
      <c r="F313" s="24"/>
      <c r="G313" s="24"/>
      <c r="H313" s="24"/>
      <c r="I313" s="24"/>
      <c r="J313" s="63"/>
      <c r="K313" s="24"/>
      <c r="L313" s="118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119"/>
      <c r="X313" s="50"/>
      <c r="Y313" s="50"/>
      <c r="Z313" s="50"/>
      <c r="AA313" s="50"/>
      <c r="AB313" s="50"/>
      <c r="AC313" s="116"/>
      <c r="AD313" s="24"/>
      <c r="AE313" s="24"/>
      <c r="AF313" s="50"/>
      <c r="AG313" s="50"/>
      <c r="AH313" s="50"/>
      <c r="AI313" s="50"/>
      <c r="AJ313" s="50"/>
      <c r="AK313" s="50"/>
      <c r="AL313" s="50"/>
    </row>
    <row r="314" spans="1:38" ht="13.8">
      <c r="A314" s="73"/>
      <c r="B314" s="74"/>
      <c r="C314" s="116"/>
      <c r="D314" s="24"/>
      <c r="E314" s="24"/>
      <c r="F314" s="24"/>
      <c r="G314" s="24"/>
      <c r="H314" s="24"/>
      <c r="I314" s="24"/>
      <c r="J314" s="63"/>
      <c r="K314" s="24"/>
      <c r="L314" s="118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119"/>
      <c r="X314" s="50"/>
      <c r="Y314" s="50"/>
      <c r="Z314" s="50"/>
      <c r="AA314" s="50"/>
      <c r="AB314" s="50"/>
      <c r="AC314" s="116"/>
      <c r="AD314" s="24"/>
      <c r="AE314" s="24"/>
      <c r="AF314" s="50"/>
      <c r="AG314" s="50"/>
      <c r="AH314" s="50"/>
      <c r="AI314" s="50"/>
      <c r="AJ314" s="50"/>
      <c r="AK314" s="50"/>
      <c r="AL314" s="50"/>
    </row>
    <row r="315" spans="1:38" ht="13.8">
      <c r="A315" s="73"/>
      <c r="B315" s="74"/>
      <c r="C315" s="116"/>
      <c r="D315" s="24"/>
      <c r="E315" s="24"/>
      <c r="F315" s="24"/>
      <c r="G315" s="24"/>
      <c r="H315" s="24"/>
      <c r="I315" s="24"/>
      <c r="J315" s="63"/>
      <c r="K315" s="24"/>
      <c r="L315" s="118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119"/>
      <c r="X315" s="50"/>
      <c r="Y315" s="50"/>
      <c r="Z315" s="50"/>
      <c r="AA315" s="50"/>
      <c r="AB315" s="50"/>
      <c r="AC315" s="116"/>
      <c r="AD315" s="24"/>
      <c r="AE315" s="24"/>
      <c r="AF315" s="50"/>
      <c r="AG315" s="50"/>
      <c r="AH315" s="50"/>
      <c r="AI315" s="50"/>
      <c r="AJ315" s="50"/>
      <c r="AK315" s="50"/>
      <c r="AL315" s="50"/>
    </row>
    <row r="316" spans="1:38" ht="13.8">
      <c r="A316" s="73"/>
      <c r="B316" s="74"/>
      <c r="C316" s="116"/>
      <c r="D316" s="24"/>
      <c r="E316" s="24"/>
      <c r="F316" s="24"/>
      <c r="G316" s="24"/>
      <c r="H316" s="24"/>
      <c r="I316" s="24"/>
      <c r="J316" s="63"/>
      <c r="K316" s="24"/>
      <c r="L316" s="118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119"/>
      <c r="X316" s="50"/>
      <c r="Y316" s="50"/>
      <c r="Z316" s="50"/>
      <c r="AA316" s="50"/>
      <c r="AB316" s="50"/>
      <c r="AC316" s="116"/>
      <c r="AD316" s="24"/>
      <c r="AE316" s="24"/>
      <c r="AF316" s="50"/>
      <c r="AG316" s="50"/>
      <c r="AH316" s="50"/>
      <c r="AI316" s="50"/>
      <c r="AJ316" s="50"/>
      <c r="AK316" s="50"/>
      <c r="AL316" s="50"/>
    </row>
    <row r="317" spans="1:38" ht="13.8">
      <c r="A317" s="73"/>
      <c r="B317" s="74"/>
      <c r="C317" s="116"/>
      <c r="D317" s="24"/>
      <c r="E317" s="24"/>
      <c r="F317" s="24"/>
      <c r="G317" s="24"/>
      <c r="H317" s="24"/>
      <c r="I317" s="24"/>
      <c r="J317" s="63"/>
      <c r="K317" s="24"/>
      <c r="L317" s="118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119"/>
      <c r="X317" s="50"/>
      <c r="Y317" s="50"/>
      <c r="Z317" s="50"/>
      <c r="AA317" s="50"/>
      <c r="AB317" s="50"/>
      <c r="AC317" s="116"/>
      <c r="AD317" s="24"/>
      <c r="AE317" s="24"/>
      <c r="AF317" s="50"/>
      <c r="AG317" s="50"/>
      <c r="AH317" s="50"/>
      <c r="AI317" s="50"/>
      <c r="AJ317" s="50"/>
      <c r="AK317" s="50"/>
      <c r="AL317" s="50"/>
    </row>
    <row r="318" spans="1:38" ht="13.8">
      <c r="A318" s="73"/>
      <c r="B318" s="74"/>
      <c r="C318" s="116"/>
      <c r="D318" s="24"/>
      <c r="E318" s="24"/>
      <c r="F318" s="24"/>
      <c r="G318" s="24"/>
      <c r="H318" s="24"/>
      <c r="I318" s="24"/>
      <c r="J318" s="63"/>
      <c r="K318" s="24"/>
      <c r="L318" s="118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119"/>
      <c r="X318" s="50"/>
      <c r="Y318" s="50"/>
      <c r="Z318" s="50"/>
      <c r="AA318" s="50"/>
      <c r="AB318" s="50"/>
      <c r="AC318" s="116"/>
      <c r="AD318" s="24"/>
      <c r="AE318" s="24"/>
      <c r="AF318" s="50"/>
      <c r="AG318" s="50"/>
      <c r="AH318" s="50"/>
      <c r="AI318" s="50"/>
      <c r="AJ318" s="50"/>
      <c r="AK318" s="50"/>
      <c r="AL318" s="50"/>
    </row>
    <row r="319" spans="1:38" ht="13.8">
      <c r="A319" s="73"/>
      <c r="B319" s="74"/>
      <c r="C319" s="116"/>
      <c r="D319" s="24"/>
      <c r="E319" s="24"/>
      <c r="F319" s="24"/>
      <c r="G319" s="24"/>
      <c r="H319" s="24"/>
      <c r="I319" s="24"/>
      <c r="J319" s="63"/>
      <c r="K319" s="24"/>
      <c r="L319" s="118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119"/>
      <c r="X319" s="50"/>
      <c r="Y319" s="50"/>
      <c r="Z319" s="50"/>
      <c r="AA319" s="50"/>
      <c r="AB319" s="50"/>
      <c r="AC319" s="116"/>
      <c r="AD319" s="24"/>
      <c r="AE319" s="24"/>
      <c r="AF319" s="50"/>
      <c r="AG319" s="50"/>
      <c r="AH319" s="50"/>
      <c r="AI319" s="50"/>
      <c r="AJ319" s="50"/>
      <c r="AK319" s="50"/>
      <c r="AL319" s="50"/>
    </row>
    <row r="320" spans="1:38" ht="13.8">
      <c r="A320" s="73"/>
      <c r="B320" s="74"/>
      <c r="C320" s="116"/>
      <c r="D320" s="24"/>
      <c r="E320" s="24"/>
      <c r="F320" s="24"/>
      <c r="G320" s="24"/>
      <c r="H320" s="24"/>
      <c r="I320" s="24"/>
      <c r="J320" s="63"/>
      <c r="K320" s="24"/>
      <c r="L320" s="118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119"/>
      <c r="X320" s="50"/>
      <c r="Y320" s="50"/>
      <c r="Z320" s="50"/>
      <c r="AA320" s="50"/>
      <c r="AB320" s="50"/>
      <c r="AC320" s="116"/>
      <c r="AD320" s="24"/>
      <c r="AE320" s="24"/>
      <c r="AF320" s="50"/>
      <c r="AG320" s="50"/>
      <c r="AH320" s="50"/>
      <c r="AI320" s="50"/>
      <c r="AJ320" s="50"/>
      <c r="AK320" s="50"/>
      <c r="AL320" s="50"/>
    </row>
    <row r="321" spans="1:38" ht="13.8">
      <c r="A321" s="73"/>
      <c r="B321" s="74"/>
      <c r="C321" s="116"/>
      <c r="D321" s="24"/>
      <c r="E321" s="24"/>
      <c r="F321" s="24"/>
      <c r="G321" s="24"/>
      <c r="H321" s="24"/>
      <c r="I321" s="24"/>
      <c r="J321" s="63"/>
      <c r="K321" s="24"/>
      <c r="L321" s="118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119"/>
      <c r="X321" s="50"/>
      <c r="Y321" s="50"/>
      <c r="Z321" s="50"/>
      <c r="AA321" s="50"/>
      <c r="AB321" s="50"/>
      <c r="AC321" s="116"/>
      <c r="AD321" s="24"/>
      <c r="AE321" s="24"/>
      <c r="AF321" s="50"/>
      <c r="AG321" s="50"/>
      <c r="AH321" s="50"/>
      <c r="AI321" s="50"/>
      <c r="AJ321" s="50"/>
      <c r="AK321" s="50"/>
      <c r="AL321" s="50"/>
    </row>
    <row r="322" spans="1:38" ht="13.8">
      <c r="A322" s="73"/>
      <c r="B322" s="74"/>
      <c r="C322" s="116"/>
      <c r="D322" s="24"/>
      <c r="E322" s="24"/>
      <c r="F322" s="24"/>
      <c r="G322" s="24"/>
      <c r="H322" s="24"/>
      <c r="I322" s="24"/>
      <c r="J322" s="63"/>
      <c r="K322" s="24"/>
      <c r="L322" s="118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119"/>
      <c r="X322" s="50"/>
      <c r="Y322" s="50"/>
      <c r="Z322" s="50"/>
      <c r="AA322" s="50"/>
      <c r="AB322" s="50"/>
      <c r="AC322" s="116"/>
      <c r="AD322" s="24"/>
      <c r="AE322" s="24"/>
      <c r="AF322" s="50"/>
      <c r="AG322" s="50"/>
      <c r="AH322" s="50"/>
      <c r="AI322" s="50"/>
      <c r="AJ322" s="50"/>
      <c r="AK322" s="50"/>
      <c r="AL322" s="50"/>
    </row>
    <row r="323" spans="1:38" ht="13.8">
      <c r="A323" s="73"/>
      <c r="B323" s="74"/>
      <c r="C323" s="116"/>
      <c r="D323" s="24"/>
      <c r="E323" s="24"/>
      <c r="F323" s="24"/>
      <c r="G323" s="24"/>
      <c r="H323" s="24"/>
      <c r="I323" s="24"/>
      <c r="J323" s="63"/>
      <c r="K323" s="24"/>
      <c r="L323" s="118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119"/>
      <c r="X323" s="50"/>
      <c r="Y323" s="50"/>
      <c r="Z323" s="50"/>
      <c r="AA323" s="50"/>
      <c r="AB323" s="50"/>
      <c r="AC323" s="116"/>
      <c r="AD323" s="24"/>
      <c r="AE323" s="24"/>
      <c r="AF323" s="50"/>
      <c r="AG323" s="50"/>
      <c r="AH323" s="50"/>
      <c r="AI323" s="50"/>
      <c r="AJ323" s="50"/>
      <c r="AK323" s="50"/>
      <c r="AL323" s="50"/>
    </row>
    <row r="324" spans="1:38" ht="13.8">
      <c r="A324" s="73"/>
      <c r="B324" s="74"/>
      <c r="C324" s="116"/>
      <c r="D324" s="24"/>
      <c r="E324" s="24"/>
      <c r="F324" s="24"/>
      <c r="G324" s="24"/>
      <c r="H324" s="24"/>
      <c r="I324" s="24"/>
      <c r="J324" s="63"/>
      <c r="K324" s="24"/>
      <c r="L324" s="118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119"/>
      <c r="X324" s="50"/>
      <c r="Y324" s="50"/>
      <c r="Z324" s="50"/>
      <c r="AA324" s="50"/>
      <c r="AB324" s="50"/>
      <c r="AC324" s="116"/>
      <c r="AD324" s="24"/>
      <c r="AE324" s="24"/>
      <c r="AF324" s="50"/>
      <c r="AG324" s="50"/>
      <c r="AH324" s="50"/>
      <c r="AI324" s="50"/>
      <c r="AJ324" s="50"/>
      <c r="AK324" s="50"/>
      <c r="AL324" s="50"/>
    </row>
    <row r="325" spans="1:38" ht="13.8">
      <c r="A325" s="73"/>
      <c r="B325" s="74"/>
      <c r="C325" s="116"/>
      <c r="D325" s="24"/>
      <c r="E325" s="24"/>
      <c r="F325" s="24"/>
      <c r="G325" s="24"/>
      <c r="H325" s="24"/>
      <c r="I325" s="24"/>
      <c r="J325" s="63"/>
      <c r="K325" s="24"/>
      <c r="L325" s="118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119"/>
      <c r="X325" s="50"/>
      <c r="Y325" s="50"/>
      <c r="Z325" s="50"/>
      <c r="AA325" s="50"/>
      <c r="AB325" s="50"/>
      <c r="AC325" s="116"/>
      <c r="AD325" s="24"/>
      <c r="AE325" s="24"/>
      <c r="AF325" s="50"/>
      <c r="AG325" s="50"/>
      <c r="AH325" s="50"/>
      <c r="AI325" s="50"/>
      <c r="AJ325" s="50"/>
      <c r="AK325" s="50"/>
      <c r="AL325" s="50"/>
    </row>
    <row r="326" spans="1:38" ht="13.8">
      <c r="A326" s="73"/>
      <c r="B326" s="74"/>
      <c r="C326" s="116"/>
      <c r="D326" s="24"/>
      <c r="E326" s="24"/>
      <c r="F326" s="24"/>
      <c r="G326" s="24"/>
      <c r="H326" s="24"/>
      <c r="I326" s="24"/>
      <c r="J326" s="63"/>
      <c r="K326" s="24"/>
      <c r="L326" s="118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119"/>
      <c r="X326" s="50"/>
      <c r="Y326" s="50"/>
      <c r="Z326" s="50"/>
      <c r="AA326" s="50"/>
      <c r="AB326" s="50"/>
      <c r="AC326" s="116"/>
      <c r="AD326" s="24"/>
      <c r="AE326" s="24"/>
      <c r="AF326" s="50"/>
      <c r="AG326" s="50"/>
      <c r="AH326" s="50"/>
      <c r="AI326" s="50"/>
      <c r="AJ326" s="50"/>
      <c r="AK326" s="50"/>
      <c r="AL326" s="50"/>
    </row>
    <row r="327" spans="1:38" ht="13.8">
      <c r="A327" s="73"/>
      <c r="B327" s="74"/>
      <c r="C327" s="116"/>
      <c r="D327" s="24"/>
      <c r="E327" s="24"/>
      <c r="F327" s="24"/>
      <c r="G327" s="24"/>
      <c r="H327" s="24"/>
      <c r="I327" s="24"/>
      <c r="J327" s="63"/>
      <c r="K327" s="24"/>
      <c r="L327" s="118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119"/>
      <c r="X327" s="50"/>
      <c r="Y327" s="50"/>
      <c r="Z327" s="50"/>
      <c r="AA327" s="50"/>
      <c r="AB327" s="50"/>
      <c r="AC327" s="116"/>
      <c r="AD327" s="24"/>
      <c r="AE327" s="24"/>
      <c r="AF327" s="50"/>
      <c r="AG327" s="50"/>
      <c r="AH327" s="50"/>
      <c r="AI327" s="50"/>
      <c r="AJ327" s="50"/>
      <c r="AK327" s="50"/>
      <c r="AL327" s="50"/>
    </row>
    <row r="328" spans="1:38" ht="13.8">
      <c r="A328" s="73"/>
      <c r="B328" s="74"/>
      <c r="C328" s="116"/>
      <c r="D328" s="24"/>
      <c r="E328" s="24"/>
      <c r="F328" s="24"/>
      <c r="G328" s="24"/>
      <c r="H328" s="24"/>
      <c r="I328" s="24"/>
      <c r="J328" s="63"/>
      <c r="K328" s="24"/>
      <c r="L328" s="118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119"/>
      <c r="X328" s="50"/>
      <c r="Y328" s="50"/>
      <c r="Z328" s="50"/>
      <c r="AA328" s="50"/>
      <c r="AB328" s="50"/>
      <c r="AC328" s="116"/>
      <c r="AD328" s="24"/>
      <c r="AE328" s="24"/>
      <c r="AF328" s="50"/>
      <c r="AG328" s="50"/>
      <c r="AH328" s="50"/>
      <c r="AI328" s="50"/>
      <c r="AJ328" s="50"/>
      <c r="AK328" s="50"/>
      <c r="AL328" s="50"/>
    </row>
    <row r="329" spans="1:38" ht="13.8">
      <c r="A329" s="73"/>
      <c r="B329" s="74"/>
      <c r="C329" s="116"/>
      <c r="D329" s="24"/>
      <c r="E329" s="24"/>
      <c r="F329" s="24"/>
      <c r="G329" s="24"/>
      <c r="H329" s="24"/>
      <c r="I329" s="24"/>
      <c r="J329" s="63"/>
      <c r="K329" s="24"/>
      <c r="L329" s="118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119"/>
      <c r="X329" s="50"/>
      <c r="Y329" s="50"/>
      <c r="Z329" s="50"/>
      <c r="AA329" s="50"/>
      <c r="AB329" s="50"/>
      <c r="AC329" s="116"/>
      <c r="AD329" s="24"/>
      <c r="AE329" s="24"/>
      <c r="AF329" s="50"/>
      <c r="AG329" s="50"/>
      <c r="AH329" s="50"/>
      <c r="AI329" s="50"/>
      <c r="AJ329" s="50"/>
      <c r="AK329" s="50"/>
      <c r="AL329" s="50"/>
    </row>
    <row r="330" spans="1:38" ht="13.8">
      <c r="A330" s="73"/>
      <c r="B330" s="74"/>
      <c r="C330" s="116"/>
      <c r="D330" s="24"/>
      <c r="E330" s="24"/>
      <c r="F330" s="24"/>
      <c r="G330" s="24"/>
      <c r="H330" s="24"/>
      <c r="I330" s="24"/>
      <c r="J330" s="63"/>
      <c r="K330" s="24"/>
      <c r="L330" s="118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119"/>
      <c r="X330" s="50"/>
      <c r="Y330" s="50"/>
      <c r="Z330" s="50"/>
      <c r="AA330" s="50"/>
      <c r="AB330" s="50"/>
      <c r="AC330" s="116"/>
      <c r="AD330" s="24"/>
      <c r="AE330" s="24"/>
      <c r="AF330" s="50"/>
      <c r="AG330" s="50"/>
      <c r="AH330" s="50"/>
      <c r="AI330" s="50"/>
      <c r="AJ330" s="50"/>
      <c r="AK330" s="50"/>
      <c r="AL330" s="50"/>
    </row>
    <row r="331" spans="1:38" ht="13.8">
      <c r="A331" s="73"/>
      <c r="B331" s="74"/>
      <c r="C331" s="116"/>
      <c r="D331" s="24"/>
      <c r="E331" s="24"/>
      <c r="F331" s="24"/>
      <c r="G331" s="24"/>
      <c r="H331" s="24"/>
      <c r="I331" s="24"/>
      <c r="J331" s="63"/>
      <c r="K331" s="24"/>
      <c r="L331" s="118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119"/>
      <c r="X331" s="50"/>
      <c r="Y331" s="50"/>
      <c r="Z331" s="50"/>
      <c r="AA331" s="50"/>
      <c r="AB331" s="50"/>
      <c r="AC331" s="116"/>
      <c r="AD331" s="24"/>
      <c r="AE331" s="24"/>
      <c r="AF331" s="50"/>
      <c r="AG331" s="50"/>
      <c r="AH331" s="50"/>
      <c r="AI331" s="50"/>
      <c r="AJ331" s="50"/>
      <c r="AK331" s="50"/>
      <c r="AL331" s="50"/>
    </row>
    <row r="332" spans="1:38" ht="13.8">
      <c r="A332" s="73"/>
      <c r="B332" s="74"/>
      <c r="C332" s="116"/>
      <c r="D332" s="24"/>
      <c r="E332" s="24"/>
      <c r="F332" s="24"/>
      <c r="G332" s="24"/>
      <c r="H332" s="24"/>
      <c r="I332" s="24"/>
      <c r="J332" s="63"/>
      <c r="K332" s="24"/>
      <c r="L332" s="118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119"/>
      <c r="X332" s="50"/>
      <c r="Y332" s="50"/>
      <c r="Z332" s="50"/>
      <c r="AA332" s="50"/>
      <c r="AB332" s="50"/>
      <c r="AC332" s="116"/>
      <c r="AD332" s="24"/>
      <c r="AE332" s="24"/>
      <c r="AF332" s="50"/>
      <c r="AG332" s="50"/>
      <c r="AH332" s="50"/>
      <c r="AI332" s="50"/>
      <c r="AJ332" s="50"/>
      <c r="AK332" s="50"/>
      <c r="AL332" s="50"/>
    </row>
    <row r="333" spans="1:38" ht="13.8">
      <c r="A333" s="73"/>
      <c r="B333" s="74"/>
      <c r="C333" s="116"/>
      <c r="D333" s="24"/>
      <c r="E333" s="24"/>
      <c r="F333" s="24"/>
      <c r="G333" s="24"/>
      <c r="H333" s="24"/>
      <c r="I333" s="24"/>
      <c r="J333" s="63"/>
      <c r="K333" s="24"/>
      <c r="L333" s="118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119"/>
      <c r="X333" s="50"/>
      <c r="Y333" s="50"/>
      <c r="Z333" s="50"/>
      <c r="AA333" s="50"/>
      <c r="AB333" s="50"/>
      <c r="AC333" s="116"/>
      <c r="AD333" s="24"/>
      <c r="AE333" s="24"/>
      <c r="AF333" s="50"/>
      <c r="AG333" s="50"/>
      <c r="AH333" s="50"/>
      <c r="AI333" s="50"/>
      <c r="AJ333" s="50"/>
      <c r="AK333" s="50"/>
      <c r="AL333" s="50"/>
    </row>
    <row r="334" spans="1:38" ht="13.8">
      <c r="A334" s="73"/>
      <c r="B334" s="74"/>
      <c r="C334" s="116"/>
      <c r="D334" s="24"/>
      <c r="E334" s="24"/>
      <c r="F334" s="24"/>
      <c r="G334" s="24"/>
      <c r="H334" s="24"/>
      <c r="I334" s="24"/>
      <c r="J334" s="63"/>
      <c r="K334" s="24"/>
      <c r="L334" s="118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119"/>
      <c r="X334" s="50"/>
      <c r="Y334" s="50"/>
      <c r="Z334" s="50"/>
      <c r="AA334" s="50"/>
      <c r="AB334" s="50"/>
      <c r="AC334" s="116"/>
      <c r="AD334" s="24"/>
      <c r="AE334" s="24"/>
      <c r="AF334" s="50"/>
      <c r="AG334" s="50"/>
      <c r="AH334" s="50"/>
      <c r="AI334" s="50"/>
      <c r="AJ334" s="50"/>
      <c r="AK334" s="50"/>
      <c r="AL334" s="50"/>
    </row>
    <row r="335" spans="1:38" ht="13.8">
      <c r="A335" s="73"/>
      <c r="B335" s="74"/>
      <c r="C335" s="116"/>
      <c r="D335" s="24"/>
      <c r="E335" s="24"/>
      <c r="F335" s="24"/>
      <c r="G335" s="24"/>
      <c r="H335" s="24"/>
      <c r="I335" s="24"/>
      <c r="J335" s="63"/>
      <c r="K335" s="24"/>
      <c r="L335" s="118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119"/>
      <c r="X335" s="50"/>
      <c r="Y335" s="50"/>
      <c r="Z335" s="50"/>
      <c r="AA335" s="50"/>
      <c r="AB335" s="50"/>
      <c r="AC335" s="116"/>
      <c r="AD335" s="24"/>
      <c r="AE335" s="24"/>
      <c r="AF335" s="50"/>
      <c r="AG335" s="50"/>
      <c r="AH335" s="50"/>
      <c r="AI335" s="50"/>
      <c r="AJ335" s="50"/>
      <c r="AK335" s="50"/>
      <c r="AL335" s="50"/>
    </row>
    <row r="336" spans="1:38" ht="13.8">
      <c r="A336" s="73"/>
      <c r="B336" s="74"/>
      <c r="C336" s="116"/>
      <c r="D336" s="24"/>
      <c r="E336" s="24"/>
      <c r="F336" s="24"/>
      <c r="G336" s="24"/>
      <c r="H336" s="24"/>
      <c r="I336" s="24"/>
      <c r="J336" s="63"/>
      <c r="K336" s="24"/>
      <c r="L336" s="118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119"/>
      <c r="X336" s="50"/>
      <c r="Y336" s="50"/>
      <c r="Z336" s="50"/>
      <c r="AA336" s="50"/>
      <c r="AB336" s="50"/>
      <c r="AC336" s="116"/>
      <c r="AD336" s="24"/>
      <c r="AE336" s="24"/>
      <c r="AF336" s="50"/>
      <c r="AG336" s="50"/>
      <c r="AH336" s="50"/>
      <c r="AI336" s="50"/>
      <c r="AJ336" s="50"/>
      <c r="AK336" s="50"/>
      <c r="AL336" s="50"/>
    </row>
    <row r="337" spans="1:38" ht="13.8">
      <c r="A337" s="73"/>
      <c r="B337" s="74"/>
      <c r="C337" s="116"/>
      <c r="D337" s="24"/>
      <c r="E337" s="24"/>
      <c r="F337" s="24"/>
      <c r="G337" s="24"/>
      <c r="H337" s="24"/>
      <c r="I337" s="24"/>
      <c r="J337" s="63"/>
      <c r="K337" s="24"/>
      <c r="L337" s="118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119"/>
      <c r="X337" s="50"/>
      <c r="Y337" s="50"/>
      <c r="Z337" s="50"/>
      <c r="AA337" s="50"/>
      <c r="AB337" s="50"/>
      <c r="AC337" s="116"/>
      <c r="AD337" s="24"/>
      <c r="AE337" s="24"/>
      <c r="AF337" s="50"/>
      <c r="AG337" s="50"/>
      <c r="AH337" s="50"/>
      <c r="AI337" s="50"/>
      <c r="AJ337" s="50"/>
      <c r="AK337" s="50"/>
      <c r="AL337" s="50"/>
    </row>
    <row r="338" spans="1:38" ht="13.8">
      <c r="A338" s="73"/>
      <c r="B338" s="74"/>
      <c r="C338" s="116"/>
      <c r="D338" s="24"/>
      <c r="E338" s="24"/>
      <c r="F338" s="24"/>
      <c r="G338" s="24"/>
      <c r="H338" s="24"/>
      <c r="I338" s="24"/>
      <c r="J338" s="63"/>
      <c r="K338" s="24"/>
      <c r="L338" s="118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119"/>
      <c r="X338" s="50"/>
      <c r="Y338" s="50"/>
      <c r="Z338" s="50"/>
      <c r="AA338" s="50"/>
      <c r="AB338" s="50"/>
      <c r="AC338" s="116"/>
      <c r="AD338" s="24"/>
      <c r="AE338" s="24"/>
      <c r="AF338" s="50"/>
      <c r="AG338" s="50"/>
      <c r="AH338" s="50"/>
      <c r="AI338" s="50"/>
      <c r="AJ338" s="50"/>
      <c r="AK338" s="50"/>
      <c r="AL338" s="50"/>
    </row>
    <row r="339" spans="1:38" ht="13.8">
      <c r="A339" s="73"/>
      <c r="B339" s="74"/>
      <c r="C339" s="116"/>
      <c r="D339" s="24"/>
      <c r="E339" s="24"/>
      <c r="F339" s="24"/>
      <c r="G339" s="24"/>
      <c r="H339" s="24"/>
      <c r="I339" s="24"/>
      <c r="J339" s="63"/>
      <c r="K339" s="24"/>
      <c r="L339" s="118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119"/>
      <c r="X339" s="50"/>
      <c r="Y339" s="50"/>
      <c r="Z339" s="50"/>
      <c r="AA339" s="50"/>
      <c r="AB339" s="50"/>
      <c r="AC339" s="116"/>
      <c r="AD339" s="24"/>
      <c r="AE339" s="24"/>
      <c r="AF339" s="50"/>
      <c r="AG339" s="50"/>
      <c r="AH339" s="50"/>
      <c r="AI339" s="50"/>
      <c r="AJ339" s="50"/>
      <c r="AK339" s="50"/>
      <c r="AL339" s="50"/>
    </row>
    <row r="340" spans="1:38" ht="13.8">
      <c r="A340" s="73"/>
      <c r="B340" s="74"/>
      <c r="C340" s="116"/>
      <c r="D340" s="24"/>
      <c r="E340" s="24"/>
      <c r="F340" s="24"/>
      <c r="G340" s="24"/>
      <c r="H340" s="24"/>
      <c r="I340" s="24"/>
      <c r="J340" s="63"/>
      <c r="K340" s="24"/>
      <c r="L340" s="118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119"/>
      <c r="X340" s="50"/>
      <c r="Y340" s="50"/>
      <c r="Z340" s="50"/>
      <c r="AA340" s="50"/>
      <c r="AB340" s="50"/>
      <c r="AC340" s="116"/>
      <c r="AD340" s="24"/>
      <c r="AE340" s="24"/>
      <c r="AF340" s="50"/>
      <c r="AG340" s="50"/>
      <c r="AH340" s="50"/>
      <c r="AI340" s="50"/>
      <c r="AJ340" s="50"/>
      <c r="AK340" s="50"/>
      <c r="AL340" s="50"/>
    </row>
    <row r="341" spans="1:38" ht="13.8">
      <c r="A341" s="73"/>
      <c r="B341" s="74"/>
      <c r="C341" s="116"/>
      <c r="D341" s="24"/>
      <c r="E341" s="24"/>
      <c r="F341" s="24"/>
      <c r="G341" s="24"/>
      <c r="H341" s="24"/>
      <c r="I341" s="24"/>
      <c r="J341" s="63"/>
      <c r="K341" s="24"/>
      <c r="L341" s="118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119"/>
      <c r="X341" s="50"/>
      <c r="Y341" s="50"/>
      <c r="Z341" s="50"/>
      <c r="AA341" s="50"/>
      <c r="AB341" s="50"/>
      <c r="AC341" s="116"/>
      <c r="AD341" s="24"/>
      <c r="AE341" s="24"/>
      <c r="AF341" s="50"/>
      <c r="AG341" s="50"/>
      <c r="AH341" s="50"/>
      <c r="AI341" s="50"/>
      <c r="AJ341" s="50"/>
      <c r="AK341" s="50"/>
      <c r="AL341" s="50"/>
    </row>
    <row r="342" spans="1:38" ht="13.8">
      <c r="A342" s="73"/>
      <c r="B342" s="74"/>
      <c r="C342" s="116"/>
      <c r="D342" s="24"/>
      <c r="E342" s="24"/>
      <c r="F342" s="24"/>
      <c r="G342" s="24"/>
      <c r="H342" s="24"/>
      <c r="I342" s="24"/>
      <c r="J342" s="63"/>
      <c r="K342" s="24"/>
      <c r="L342" s="118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119"/>
      <c r="X342" s="50"/>
      <c r="Y342" s="50"/>
      <c r="Z342" s="50"/>
      <c r="AA342" s="50"/>
      <c r="AB342" s="50"/>
      <c r="AC342" s="116"/>
      <c r="AD342" s="24"/>
      <c r="AE342" s="24"/>
      <c r="AF342" s="50"/>
      <c r="AG342" s="50"/>
      <c r="AH342" s="50"/>
      <c r="AI342" s="50"/>
      <c r="AJ342" s="50"/>
      <c r="AK342" s="50"/>
      <c r="AL342" s="50"/>
    </row>
    <row r="343" spans="1:38" ht="13.8">
      <c r="A343" s="73"/>
      <c r="B343" s="74"/>
      <c r="C343" s="116"/>
      <c r="D343" s="24"/>
      <c r="E343" s="24"/>
      <c r="F343" s="24"/>
      <c r="G343" s="24"/>
      <c r="H343" s="24"/>
      <c r="I343" s="24"/>
      <c r="J343" s="63"/>
      <c r="K343" s="24"/>
      <c r="L343" s="118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119"/>
      <c r="X343" s="50"/>
      <c r="Y343" s="50"/>
      <c r="Z343" s="50"/>
      <c r="AA343" s="50"/>
      <c r="AB343" s="50"/>
      <c r="AC343" s="116"/>
      <c r="AD343" s="24"/>
      <c r="AE343" s="24"/>
      <c r="AF343" s="50"/>
      <c r="AG343" s="50"/>
      <c r="AH343" s="50"/>
      <c r="AI343" s="50"/>
      <c r="AJ343" s="50"/>
      <c r="AK343" s="50"/>
      <c r="AL343" s="50"/>
    </row>
    <row r="344" spans="1:38" ht="13.8">
      <c r="A344" s="73"/>
      <c r="B344" s="74"/>
      <c r="C344" s="116"/>
      <c r="D344" s="24"/>
      <c r="E344" s="24"/>
      <c r="F344" s="24"/>
      <c r="G344" s="24"/>
      <c r="H344" s="24"/>
      <c r="I344" s="24"/>
      <c r="J344" s="63"/>
      <c r="K344" s="24"/>
      <c r="L344" s="118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119"/>
      <c r="X344" s="50"/>
      <c r="Y344" s="50"/>
      <c r="Z344" s="50"/>
      <c r="AA344" s="50"/>
      <c r="AB344" s="50"/>
      <c r="AC344" s="116"/>
      <c r="AD344" s="24"/>
      <c r="AE344" s="24"/>
      <c r="AF344" s="50"/>
      <c r="AG344" s="50"/>
      <c r="AH344" s="50"/>
      <c r="AI344" s="50"/>
      <c r="AJ344" s="50"/>
      <c r="AK344" s="50"/>
      <c r="AL344" s="50"/>
    </row>
    <row r="345" spans="1:38" ht="13.8">
      <c r="A345" s="73"/>
      <c r="B345" s="74"/>
      <c r="C345" s="116"/>
      <c r="D345" s="24"/>
      <c r="E345" s="24"/>
      <c r="F345" s="24"/>
      <c r="G345" s="24"/>
      <c r="H345" s="24"/>
      <c r="I345" s="24"/>
      <c r="J345" s="63"/>
      <c r="K345" s="24"/>
      <c r="L345" s="118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119"/>
      <c r="X345" s="50"/>
      <c r="Y345" s="50"/>
      <c r="Z345" s="50"/>
      <c r="AA345" s="50"/>
      <c r="AB345" s="50"/>
      <c r="AC345" s="116"/>
      <c r="AD345" s="24"/>
      <c r="AE345" s="24"/>
      <c r="AF345" s="50"/>
      <c r="AG345" s="50"/>
      <c r="AH345" s="50"/>
      <c r="AI345" s="50"/>
      <c r="AJ345" s="50"/>
      <c r="AK345" s="50"/>
      <c r="AL345" s="50"/>
    </row>
    <row r="346" spans="1:38" ht="13.8">
      <c r="A346" s="73"/>
      <c r="B346" s="74"/>
      <c r="C346" s="116"/>
      <c r="D346" s="24"/>
      <c r="E346" s="24"/>
      <c r="F346" s="24"/>
      <c r="G346" s="24"/>
      <c r="H346" s="24"/>
      <c r="I346" s="24"/>
      <c r="J346" s="63"/>
      <c r="K346" s="24"/>
      <c r="L346" s="118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119"/>
      <c r="X346" s="50"/>
      <c r="Y346" s="50"/>
      <c r="Z346" s="50"/>
      <c r="AA346" s="50"/>
      <c r="AB346" s="50"/>
      <c r="AC346" s="116"/>
      <c r="AD346" s="24"/>
      <c r="AE346" s="24"/>
      <c r="AF346" s="50"/>
      <c r="AG346" s="50"/>
      <c r="AH346" s="50"/>
      <c r="AI346" s="50"/>
      <c r="AJ346" s="50"/>
      <c r="AK346" s="50"/>
      <c r="AL346" s="50"/>
    </row>
    <row r="347" spans="1:38" ht="13.8">
      <c r="A347" s="73"/>
      <c r="B347" s="74"/>
      <c r="C347" s="116"/>
      <c r="D347" s="24"/>
      <c r="E347" s="24"/>
      <c r="F347" s="24"/>
      <c r="G347" s="24"/>
      <c r="H347" s="24"/>
      <c r="I347" s="24"/>
      <c r="J347" s="63"/>
      <c r="K347" s="24"/>
      <c r="L347" s="118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119"/>
      <c r="X347" s="50"/>
      <c r="Y347" s="50"/>
      <c r="Z347" s="50"/>
      <c r="AA347" s="50"/>
      <c r="AB347" s="50"/>
      <c r="AC347" s="116"/>
      <c r="AD347" s="24"/>
      <c r="AE347" s="24"/>
      <c r="AF347" s="50"/>
      <c r="AG347" s="50"/>
      <c r="AH347" s="50"/>
      <c r="AI347" s="50"/>
      <c r="AJ347" s="50"/>
      <c r="AK347" s="50"/>
      <c r="AL347" s="50"/>
    </row>
    <row r="348" spans="1:38" ht="13.8">
      <c r="A348" s="73"/>
      <c r="B348" s="74"/>
      <c r="C348" s="116"/>
      <c r="D348" s="24"/>
      <c r="E348" s="24"/>
      <c r="F348" s="24"/>
      <c r="G348" s="24"/>
      <c r="H348" s="24"/>
      <c r="I348" s="24"/>
      <c r="J348" s="63"/>
      <c r="K348" s="24"/>
      <c r="L348" s="118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119"/>
      <c r="X348" s="50"/>
      <c r="Y348" s="50"/>
      <c r="Z348" s="50"/>
      <c r="AA348" s="50"/>
      <c r="AB348" s="50"/>
      <c r="AC348" s="116"/>
      <c r="AD348" s="24"/>
      <c r="AE348" s="24"/>
      <c r="AF348" s="50"/>
      <c r="AG348" s="50"/>
      <c r="AH348" s="50"/>
      <c r="AI348" s="50"/>
      <c r="AJ348" s="50"/>
      <c r="AK348" s="50"/>
      <c r="AL348" s="50"/>
    </row>
    <row r="349" spans="1:38" ht="13.8">
      <c r="A349" s="73"/>
      <c r="B349" s="74"/>
      <c r="C349" s="116"/>
      <c r="D349" s="24"/>
      <c r="E349" s="24"/>
      <c r="F349" s="24"/>
      <c r="G349" s="24"/>
      <c r="H349" s="24"/>
      <c r="I349" s="24"/>
      <c r="J349" s="63"/>
      <c r="K349" s="24"/>
      <c r="L349" s="118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119"/>
      <c r="X349" s="50"/>
      <c r="Y349" s="50"/>
      <c r="Z349" s="50"/>
      <c r="AA349" s="50"/>
      <c r="AB349" s="50"/>
      <c r="AC349" s="116"/>
      <c r="AD349" s="24"/>
      <c r="AE349" s="24"/>
      <c r="AF349" s="50"/>
      <c r="AG349" s="50"/>
      <c r="AH349" s="50"/>
      <c r="AI349" s="50"/>
      <c r="AJ349" s="50"/>
      <c r="AK349" s="50"/>
      <c r="AL349" s="50"/>
    </row>
    <row r="350" spans="1:38" ht="13.8">
      <c r="A350" s="73"/>
      <c r="B350" s="74"/>
      <c r="C350" s="116"/>
      <c r="D350" s="24"/>
      <c r="E350" s="24"/>
      <c r="F350" s="24"/>
      <c r="G350" s="24"/>
      <c r="H350" s="24"/>
      <c r="I350" s="24"/>
      <c r="J350" s="63"/>
      <c r="K350" s="24"/>
      <c r="L350" s="118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119"/>
      <c r="X350" s="50"/>
      <c r="Y350" s="50"/>
      <c r="Z350" s="50"/>
      <c r="AA350" s="50"/>
      <c r="AB350" s="50"/>
      <c r="AC350" s="116"/>
      <c r="AD350" s="24"/>
      <c r="AE350" s="24"/>
      <c r="AF350" s="50"/>
      <c r="AG350" s="50"/>
      <c r="AH350" s="50"/>
      <c r="AI350" s="50"/>
      <c r="AJ350" s="50"/>
      <c r="AK350" s="50"/>
      <c r="AL350" s="50"/>
    </row>
    <row r="351" spans="1:38" ht="13.8">
      <c r="A351" s="73"/>
      <c r="B351" s="74"/>
      <c r="C351" s="116"/>
      <c r="D351" s="24"/>
      <c r="E351" s="24"/>
      <c r="F351" s="24"/>
      <c r="G351" s="24"/>
      <c r="H351" s="24"/>
      <c r="I351" s="24"/>
      <c r="J351" s="63"/>
      <c r="K351" s="24"/>
      <c r="L351" s="118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119"/>
      <c r="X351" s="50"/>
      <c r="Y351" s="50"/>
      <c r="Z351" s="50"/>
      <c r="AA351" s="50"/>
      <c r="AB351" s="50"/>
      <c r="AC351" s="116"/>
      <c r="AD351" s="24"/>
      <c r="AE351" s="24"/>
      <c r="AF351" s="50"/>
      <c r="AG351" s="50"/>
      <c r="AH351" s="50"/>
      <c r="AI351" s="50"/>
      <c r="AJ351" s="50"/>
      <c r="AK351" s="50"/>
      <c r="AL351" s="50"/>
    </row>
    <row r="352" spans="1:38" ht="13.8">
      <c r="A352" s="73"/>
      <c r="B352" s="74"/>
      <c r="C352" s="116"/>
      <c r="D352" s="24"/>
      <c r="E352" s="24"/>
      <c r="F352" s="24"/>
      <c r="G352" s="24"/>
      <c r="H352" s="24"/>
      <c r="I352" s="24"/>
      <c r="J352" s="63"/>
      <c r="K352" s="24"/>
      <c r="L352" s="118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119"/>
      <c r="X352" s="50"/>
      <c r="Y352" s="50"/>
      <c r="Z352" s="50"/>
      <c r="AA352" s="50"/>
      <c r="AB352" s="50"/>
      <c r="AC352" s="116"/>
      <c r="AD352" s="24"/>
      <c r="AE352" s="24"/>
      <c r="AF352" s="50"/>
      <c r="AG352" s="50"/>
      <c r="AH352" s="50"/>
      <c r="AI352" s="50"/>
      <c r="AJ352" s="50"/>
      <c r="AK352" s="50"/>
      <c r="AL352" s="50"/>
    </row>
    <row r="353" spans="1:38" ht="13.8">
      <c r="A353" s="73"/>
      <c r="B353" s="74"/>
      <c r="C353" s="116"/>
      <c r="D353" s="24"/>
      <c r="E353" s="24"/>
      <c r="F353" s="24"/>
      <c r="G353" s="24"/>
      <c r="H353" s="24"/>
      <c r="I353" s="24"/>
      <c r="J353" s="63"/>
      <c r="K353" s="24"/>
      <c r="L353" s="118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119"/>
      <c r="X353" s="50"/>
      <c r="Y353" s="50"/>
      <c r="Z353" s="50"/>
      <c r="AA353" s="50"/>
      <c r="AB353" s="50"/>
      <c r="AC353" s="116"/>
      <c r="AD353" s="24"/>
      <c r="AE353" s="24"/>
      <c r="AF353" s="50"/>
      <c r="AG353" s="50"/>
      <c r="AH353" s="50"/>
      <c r="AI353" s="50"/>
      <c r="AJ353" s="50"/>
      <c r="AK353" s="50"/>
      <c r="AL353" s="50"/>
    </row>
    <row r="354" spans="1:38" ht="13.8">
      <c r="A354" s="73"/>
      <c r="B354" s="74"/>
      <c r="C354" s="116"/>
      <c r="D354" s="24"/>
      <c r="E354" s="24"/>
      <c r="F354" s="24"/>
      <c r="G354" s="24"/>
      <c r="H354" s="24"/>
      <c r="I354" s="24"/>
      <c r="J354" s="63"/>
      <c r="K354" s="24"/>
      <c r="L354" s="118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119"/>
      <c r="X354" s="50"/>
      <c r="Y354" s="50"/>
      <c r="Z354" s="50"/>
      <c r="AA354" s="50"/>
      <c r="AB354" s="50"/>
      <c r="AC354" s="116"/>
      <c r="AD354" s="24"/>
      <c r="AE354" s="24"/>
      <c r="AF354" s="50"/>
      <c r="AG354" s="50"/>
      <c r="AH354" s="50"/>
      <c r="AI354" s="50"/>
      <c r="AJ354" s="50"/>
      <c r="AK354" s="50"/>
      <c r="AL354" s="50"/>
    </row>
    <row r="355" spans="1:38" ht="13.8">
      <c r="A355" s="73"/>
      <c r="B355" s="74"/>
      <c r="C355" s="116"/>
      <c r="D355" s="24"/>
      <c r="E355" s="24"/>
      <c r="F355" s="24"/>
      <c r="G355" s="24"/>
      <c r="H355" s="24"/>
      <c r="I355" s="24"/>
      <c r="J355" s="63"/>
      <c r="K355" s="24"/>
      <c r="L355" s="118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119"/>
      <c r="X355" s="50"/>
      <c r="Y355" s="50"/>
      <c r="Z355" s="50"/>
      <c r="AA355" s="50"/>
      <c r="AB355" s="50"/>
      <c r="AC355" s="116"/>
      <c r="AD355" s="24"/>
      <c r="AE355" s="24"/>
      <c r="AF355" s="50"/>
      <c r="AG355" s="50"/>
      <c r="AH355" s="50"/>
      <c r="AI355" s="50"/>
      <c r="AJ355" s="50"/>
      <c r="AK355" s="50"/>
      <c r="AL355" s="50"/>
    </row>
    <row r="356" spans="1:38" ht="13.8">
      <c r="A356" s="73"/>
      <c r="B356" s="74"/>
      <c r="C356" s="116"/>
      <c r="D356" s="24"/>
      <c r="E356" s="24"/>
      <c r="F356" s="24"/>
      <c r="G356" s="24"/>
      <c r="H356" s="24"/>
      <c r="I356" s="24"/>
      <c r="J356" s="63"/>
      <c r="K356" s="24"/>
      <c r="L356" s="118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119"/>
      <c r="X356" s="50"/>
      <c r="Y356" s="50"/>
      <c r="Z356" s="50"/>
      <c r="AA356" s="50"/>
      <c r="AB356" s="50"/>
      <c r="AC356" s="116"/>
      <c r="AD356" s="24"/>
      <c r="AE356" s="24"/>
      <c r="AF356" s="50"/>
      <c r="AG356" s="50"/>
      <c r="AH356" s="50"/>
      <c r="AI356" s="50"/>
      <c r="AJ356" s="50"/>
      <c r="AK356" s="50"/>
      <c r="AL356" s="50"/>
    </row>
    <row r="357" spans="1:38" ht="13.8">
      <c r="A357" s="73"/>
      <c r="B357" s="74"/>
      <c r="C357" s="116"/>
      <c r="D357" s="24"/>
      <c r="E357" s="24"/>
      <c r="F357" s="24"/>
      <c r="G357" s="24"/>
      <c r="H357" s="24"/>
      <c r="I357" s="24"/>
      <c r="J357" s="63"/>
      <c r="K357" s="24"/>
      <c r="L357" s="118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119"/>
      <c r="X357" s="50"/>
      <c r="Y357" s="50"/>
      <c r="Z357" s="50"/>
      <c r="AA357" s="50"/>
      <c r="AB357" s="50"/>
      <c r="AC357" s="116"/>
      <c r="AD357" s="24"/>
      <c r="AE357" s="24"/>
      <c r="AF357" s="50"/>
      <c r="AG357" s="50"/>
      <c r="AH357" s="50"/>
      <c r="AI357" s="50"/>
      <c r="AJ357" s="50"/>
      <c r="AK357" s="50"/>
      <c r="AL357" s="50"/>
    </row>
    <row r="358" spans="1:38" ht="13.8">
      <c r="A358" s="73"/>
      <c r="B358" s="74"/>
      <c r="C358" s="116"/>
      <c r="D358" s="24"/>
      <c r="E358" s="24"/>
      <c r="F358" s="24"/>
      <c r="G358" s="24"/>
      <c r="H358" s="24"/>
      <c r="I358" s="24"/>
      <c r="J358" s="63"/>
      <c r="K358" s="24"/>
      <c r="L358" s="118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119"/>
      <c r="X358" s="50"/>
      <c r="Y358" s="50"/>
      <c r="Z358" s="50"/>
      <c r="AA358" s="50"/>
      <c r="AB358" s="50"/>
      <c r="AC358" s="116"/>
      <c r="AD358" s="24"/>
      <c r="AE358" s="24"/>
      <c r="AF358" s="50"/>
      <c r="AG358" s="50"/>
      <c r="AH358" s="50"/>
      <c r="AI358" s="50"/>
      <c r="AJ358" s="50"/>
      <c r="AK358" s="50"/>
      <c r="AL358" s="50"/>
    </row>
    <row r="359" spans="1:38" ht="13.8">
      <c r="A359" s="73"/>
      <c r="B359" s="74"/>
      <c r="C359" s="116"/>
      <c r="D359" s="24"/>
      <c r="E359" s="24"/>
      <c r="F359" s="24"/>
      <c r="G359" s="24"/>
      <c r="H359" s="24"/>
      <c r="I359" s="24"/>
      <c r="J359" s="63"/>
      <c r="K359" s="24"/>
      <c r="L359" s="118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119"/>
      <c r="X359" s="50"/>
      <c r="Y359" s="50"/>
      <c r="Z359" s="50"/>
      <c r="AA359" s="50"/>
      <c r="AB359" s="50"/>
      <c r="AC359" s="116"/>
      <c r="AD359" s="24"/>
      <c r="AE359" s="24"/>
      <c r="AF359" s="50"/>
      <c r="AG359" s="50"/>
      <c r="AH359" s="50"/>
      <c r="AI359" s="50"/>
      <c r="AJ359" s="50"/>
      <c r="AK359" s="50"/>
      <c r="AL359" s="50"/>
    </row>
    <row r="360" spans="1:38" ht="13.8">
      <c r="A360" s="73"/>
      <c r="B360" s="74"/>
      <c r="C360" s="116"/>
      <c r="D360" s="24"/>
      <c r="E360" s="24"/>
      <c r="F360" s="24"/>
      <c r="G360" s="24"/>
      <c r="H360" s="24"/>
      <c r="I360" s="24"/>
      <c r="J360" s="63"/>
      <c r="K360" s="24"/>
      <c r="L360" s="118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119"/>
      <c r="X360" s="50"/>
      <c r="Y360" s="50"/>
      <c r="Z360" s="50"/>
      <c r="AA360" s="50"/>
      <c r="AB360" s="50"/>
      <c r="AC360" s="116"/>
      <c r="AD360" s="24"/>
      <c r="AE360" s="24"/>
      <c r="AF360" s="50"/>
      <c r="AG360" s="50"/>
      <c r="AH360" s="50"/>
      <c r="AI360" s="50"/>
      <c r="AJ360" s="50"/>
      <c r="AK360" s="50"/>
      <c r="AL360" s="50"/>
    </row>
    <row r="361" spans="1:38" ht="13.8">
      <c r="A361" s="73"/>
      <c r="B361" s="74"/>
      <c r="C361" s="116"/>
      <c r="D361" s="24"/>
      <c r="E361" s="24"/>
      <c r="F361" s="24"/>
      <c r="G361" s="24"/>
      <c r="H361" s="24"/>
      <c r="I361" s="24"/>
      <c r="J361" s="63"/>
      <c r="K361" s="24"/>
      <c r="L361" s="118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119"/>
      <c r="X361" s="50"/>
      <c r="Y361" s="50"/>
      <c r="Z361" s="50"/>
      <c r="AA361" s="50"/>
      <c r="AB361" s="50"/>
      <c r="AC361" s="116"/>
      <c r="AD361" s="24"/>
      <c r="AE361" s="24"/>
      <c r="AF361" s="50"/>
      <c r="AG361" s="50"/>
      <c r="AH361" s="50"/>
      <c r="AI361" s="50"/>
      <c r="AJ361" s="50"/>
      <c r="AK361" s="50"/>
      <c r="AL361" s="50"/>
    </row>
    <row r="362" spans="1:38" ht="13.8">
      <c r="A362" s="73"/>
      <c r="B362" s="74"/>
      <c r="C362" s="116"/>
      <c r="D362" s="24"/>
      <c r="E362" s="24"/>
      <c r="F362" s="24"/>
      <c r="G362" s="24"/>
      <c r="H362" s="24"/>
      <c r="I362" s="24"/>
      <c r="J362" s="63"/>
      <c r="K362" s="24"/>
      <c r="L362" s="118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119"/>
      <c r="X362" s="50"/>
      <c r="Y362" s="50"/>
      <c r="Z362" s="50"/>
      <c r="AA362" s="50"/>
      <c r="AB362" s="50"/>
      <c r="AC362" s="116"/>
      <c r="AD362" s="24"/>
      <c r="AE362" s="24"/>
      <c r="AF362" s="50"/>
      <c r="AG362" s="50"/>
      <c r="AH362" s="50"/>
      <c r="AI362" s="50"/>
      <c r="AJ362" s="50"/>
      <c r="AK362" s="50"/>
      <c r="AL362" s="50"/>
    </row>
    <row r="363" spans="1:38" ht="13.8">
      <c r="A363" s="73"/>
      <c r="B363" s="74"/>
      <c r="C363" s="116"/>
      <c r="D363" s="24"/>
      <c r="E363" s="24"/>
      <c r="F363" s="24"/>
      <c r="G363" s="24"/>
      <c r="H363" s="24"/>
      <c r="I363" s="24"/>
      <c r="J363" s="63"/>
      <c r="K363" s="24"/>
      <c r="L363" s="118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119"/>
      <c r="X363" s="50"/>
      <c r="Y363" s="50"/>
      <c r="Z363" s="50"/>
      <c r="AA363" s="50"/>
      <c r="AB363" s="50"/>
      <c r="AC363" s="116"/>
      <c r="AD363" s="24"/>
      <c r="AE363" s="24"/>
      <c r="AF363" s="50"/>
      <c r="AG363" s="50"/>
      <c r="AH363" s="50"/>
      <c r="AI363" s="50"/>
      <c r="AJ363" s="50"/>
      <c r="AK363" s="50"/>
      <c r="AL363" s="50"/>
    </row>
    <row r="364" spans="1:38" ht="13.8">
      <c r="A364" s="73"/>
      <c r="B364" s="74"/>
      <c r="C364" s="116"/>
      <c r="D364" s="24"/>
      <c r="E364" s="24"/>
      <c r="F364" s="24"/>
      <c r="G364" s="24"/>
      <c r="H364" s="24"/>
      <c r="I364" s="24"/>
      <c r="J364" s="63"/>
      <c r="K364" s="24"/>
      <c r="L364" s="118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119"/>
      <c r="X364" s="50"/>
      <c r="Y364" s="50"/>
      <c r="Z364" s="50"/>
      <c r="AA364" s="50"/>
      <c r="AB364" s="50"/>
      <c r="AC364" s="116"/>
      <c r="AD364" s="24"/>
      <c r="AE364" s="24"/>
      <c r="AF364" s="50"/>
      <c r="AG364" s="50"/>
      <c r="AH364" s="50"/>
      <c r="AI364" s="50"/>
      <c r="AJ364" s="50"/>
      <c r="AK364" s="50"/>
      <c r="AL364" s="50"/>
    </row>
    <row r="365" spans="1:38" ht="13.8">
      <c r="A365" s="73"/>
      <c r="B365" s="74"/>
      <c r="C365" s="116"/>
      <c r="D365" s="24"/>
      <c r="E365" s="24"/>
      <c r="F365" s="24"/>
      <c r="G365" s="24"/>
      <c r="H365" s="24"/>
      <c r="I365" s="24"/>
      <c r="J365" s="63"/>
      <c r="K365" s="24"/>
      <c r="L365" s="118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119"/>
      <c r="X365" s="50"/>
      <c r="Y365" s="50"/>
      <c r="Z365" s="50"/>
      <c r="AA365" s="50"/>
      <c r="AB365" s="50"/>
      <c r="AC365" s="116"/>
      <c r="AD365" s="24"/>
      <c r="AE365" s="24"/>
      <c r="AF365" s="50"/>
      <c r="AG365" s="50"/>
      <c r="AH365" s="50"/>
      <c r="AI365" s="50"/>
      <c r="AJ365" s="50"/>
      <c r="AK365" s="50"/>
      <c r="AL365" s="50"/>
    </row>
    <row r="366" spans="1:38" ht="13.8">
      <c r="A366" s="73"/>
      <c r="B366" s="74"/>
      <c r="C366" s="116"/>
      <c r="D366" s="24"/>
      <c r="E366" s="24"/>
      <c r="F366" s="24"/>
      <c r="G366" s="24"/>
      <c r="H366" s="24"/>
      <c r="I366" s="24"/>
      <c r="J366" s="63"/>
      <c r="K366" s="24"/>
      <c r="L366" s="118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119"/>
      <c r="X366" s="50"/>
      <c r="Y366" s="50"/>
      <c r="Z366" s="50"/>
      <c r="AA366" s="50"/>
      <c r="AB366" s="50"/>
      <c r="AC366" s="116"/>
      <c r="AD366" s="24"/>
      <c r="AE366" s="24"/>
      <c r="AF366" s="50"/>
      <c r="AG366" s="50"/>
      <c r="AH366" s="50"/>
      <c r="AI366" s="50"/>
      <c r="AJ366" s="50"/>
      <c r="AK366" s="50"/>
      <c r="AL366" s="50"/>
    </row>
    <row r="367" spans="1:38" ht="13.8">
      <c r="A367" s="73"/>
      <c r="B367" s="74"/>
      <c r="C367" s="116"/>
      <c r="D367" s="24"/>
      <c r="E367" s="24"/>
      <c r="F367" s="24"/>
      <c r="G367" s="24"/>
      <c r="H367" s="24"/>
      <c r="I367" s="24"/>
      <c r="J367" s="63"/>
      <c r="K367" s="24"/>
      <c r="L367" s="118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119"/>
      <c r="X367" s="50"/>
      <c r="Y367" s="50"/>
      <c r="Z367" s="50"/>
      <c r="AA367" s="50"/>
      <c r="AB367" s="50"/>
      <c r="AC367" s="116"/>
      <c r="AD367" s="24"/>
      <c r="AE367" s="24"/>
      <c r="AF367" s="50"/>
      <c r="AG367" s="50"/>
      <c r="AH367" s="50"/>
      <c r="AI367" s="50"/>
      <c r="AJ367" s="50"/>
      <c r="AK367" s="50"/>
      <c r="AL367" s="50"/>
    </row>
    <row r="368" spans="1:38" ht="13.8">
      <c r="A368" s="73"/>
      <c r="B368" s="74"/>
      <c r="C368" s="116"/>
      <c r="D368" s="24"/>
      <c r="E368" s="24"/>
      <c r="F368" s="24"/>
      <c r="G368" s="24"/>
      <c r="H368" s="24"/>
      <c r="I368" s="24"/>
      <c r="J368" s="63"/>
      <c r="K368" s="24"/>
      <c r="L368" s="118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119"/>
      <c r="X368" s="50"/>
      <c r="Y368" s="50"/>
      <c r="Z368" s="50"/>
      <c r="AA368" s="50"/>
      <c r="AB368" s="50"/>
      <c r="AC368" s="116"/>
      <c r="AD368" s="24"/>
      <c r="AE368" s="24"/>
      <c r="AF368" s="50"/>
      <c r="AG368" s="50"/>
      <c r="AH368" s="50"/>
      <c r="AI368" s="50"/>
      <c r="AJ368" s="50"/>
      <c r="AK368" s="50"/>
      <c r="AL368" s="50"/>
    </row>
    <row r="369" spans="1:38" ht="13.8">
      <c r="A369" s="73"/>
      <c r="B369" s="74"/>
      <c r="C369" s="116"/>
      <c r="D369" s="24"/>
      <c r="E369" s="24"/>
      <c r="F369" s="24"/>
      <c r="G369" s="24"/>
      <c r="H369" s="24"/>
      <c r="I369" s="24"/>
      <c r="J369" s="63"/>
      <c r="K369" s="24"/>
      <c r="L369" s="118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119"/>
      <c r="X369" s="50"/>
      <c r="Y369" s="50"/>
      <c r="Z369" s="50"/>
      <c r="AA369" s="50"/>
      <c r="AB369" s="50"/>
      <c r="AC369" s="116"/>
      <c r="AD369" s="24"/>
      <c r="AE369" s="24"/>
      <c r="AF369" s="50"/>
      <c r="AG369" s="50"/>
      <c r="AH369" s="50"/>
      <c r="AI369" s="50"/>
      <c r="AJ369" s="50"/>
      <c r="AK369" s="50"/>
      <c r="AL369" s="50"/>
    </row>
    <row r="370" spans="1:38" ht="13.8">
      <c r="A370" s="73"/>
      <c r="B370" s="74"/>
      <c r="C370" s="116"/>
      <c r="D370" s="24"/>
      <c r="E370" s="24"/>
      <c r="F370" s="24"/>
      <c r="G370" s="24"/>
      <c r="H370" s="24"/>
      <c r="I370" s="24"/>
      <c r="J370" s="63"/>
      <c r="K370" s="24"/>
      <c r="L370" s="118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119"/>
      <c r="X370" s="50"/>
      <c r="Y370" s="50"/>
      <c r="Z370" s="50"/>
      <c r="AA370" s="50"/>
      <c r="AB370" s="50"/>
      <c r="AC370" s="116"/>
      <c r="AD370" s="24"/>
      <c r="AE370" s="24"/>
      <c r="AF370" s="50"/>
      <c r="AG370" s="50"/>
      <c r="AH370" s="50"/>
      <c r="AI370" s="50"/>
      <c r="AJ370" s="50"/>
      <c r="AK370" s="50"/>
      <c r="AL370" s="50"/>
    </row>
    <row r="371" spans="1:38" ht="13.8">
      <c r="A371" s="73"/>
      <c r="B371" s="74"/>
      <c r="C371" s="116"/>
      <c r="D371" s="24"/>
      <c r="E371" s="24"/>
      <c r="F371" s="24"/>
      <c r="G371" s="24"/>
      <c r="H371" s="24"/>
      <c r="I371" s="24"/>
      <c r="J371" s="63"/>
      <c r="K371" s="24"/>
      <c r="L371" s="118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119"/>
      <c r="X371" s="50"/>
      <c r="Y371" s="50"/>
      <c r="Z371" s="50"/>
      <c r="AA371" s="50"/>
      <c r="AB371" s="50"/>
      <c r="AC371" s="116"/>
      <c r="AD371" s="24"/>
      <c r="AE371" s="24"/>
      <c r="AF371" s="50"/>
      <c r="AG371" s="50"/>
      <c r="AH371" s="50"/>
      <c r="AI371" s="50"/>
      <c r="AJ371" s="50"/>
      <c r="AK371" s="50"/>
      <c r="AL371" s="50"/>
    </row>
    <row r="372" spans="1:38" ht="13.8">
      <c r="A372" s="73"/>
      <c r="B372" s="74"/>
      <c r="C372" s="116"/>
      <c r="D372" s="24"/>
      <c r="E372" s="24"/>
      <c r="F372" s="24"/>
      <c r="G372" s="24"/>
      <c r="H372" s="24"/>
      <c r="I372" s="24"/>
      <c r="J372" s="63"/>
      <c r="K372" s="24"/>
      <c r="L372" s="118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119"/>
      <c r="X372" s="50"/>
      <c r="Y372" s="50"/>
      <c r="Z372" s="50"/>
      <c r="AA372" s="50"/>
      <c r="AB372" s="50"/>
      <c r="AC372" s="116"/>
      <c r="AD372" s="24"/>
      <c r="AE372" s="24"/>
      <c r="AF372" s="50"/>
      <c r="AG372" s="50"/>
      <c r="AH372" s="50"/>
      <c r="AI372" s="50"/>
      <c r="AJ372" s="50"/>
      <c r="AK372" s="50"/>
      <c r="AL372" s="50"/>
    </row>
    <row r="373" spans="1:38" ht="13.8">
      <c r="A373" s="73"/>
      <c r="B373" s="74"/>
      <c r="C373" s="116"/>
      <c r="D373" s="24"/>
      <c r="E373" s="24"/>
      <c r="F373" s="24"/>
      <c r="G373" s="24"/>
      <c r="H373" s="24"/>
      <c r="I373" s="24"/>
      <c r="J373" s="63"/>
      <c r="K373" s="24"/>
      <c r="L373" s="118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119"/>
      <c r="X373" s="50"/>
      <c r="Y373" s="50"/>
      <c r="Z373" s="50"/>
      <c r="AA373" s="50"/>
      <c r="AB373" s="50"/>
      <c r="AC373" s="116"/>
      <c r="AD373" s="24"/>
      <c r="AE373" s="24"/>
      <c r="AF373" s="50"/>
      <c r="AG373" s="50"/>
      <c r="AH373" s="50"/>
      <c r="AI373" s="50"/>
      <c r="AJ373" s="50"/>
      <c r="AK373" s="50"/>
      <c r="AL373" s="50"/>
    </row>
    <row r="374" spans="1:38" ht="13.8">
      <c r="A374" s="73"/>
      <c r="B374" s="74"/>
      <c r="C374" s="116"/>
      <c r="D374" s="24"/>
      <c r="E374" s="24"/>
      <c r="F374" s="24"/>
      <c r="G374" s="24"/>
      <c r="H374" s="24"/>
      <c r="I374" s="24"/>
      <c r="J374" s="63"/>
      <c r="K374" s="24"/>
      <c r="L374" s="118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119"/>
      <c r="X374" s="50"/>
      <c r="Y374" s="50"/>
      <c r="Z374" s="50"/>
      <c r="AA374" s="50"/>
      <c r="AB374" s="50"/>
      <c r="AC374" s="116"/>
      <c r="AD374" s="24"/>
      <c r="AE374" s="24"/>
      <c r="AF374" s="50"/>
      <c r="AG374" s="50"/>
      <c r="AH374" s="50"/>
      <c r="AI374" s="50"/>
      <c r="AJ374" s="50"/>
      <c r="AK374" s="50"/>
      <c r="AL374" s="50"/>
    </row>
    <row r="375" spans="1:38" ht="13.8">
      <c r="A375" s="73"/>
      <c r="B375" s="74"/>
      <c r="C375" s="116"/>
      <c r="D375" s="24"/>
      <c r="E375" s="24"/>
      <c r="F375" s="24"/>
      <c r="G375" s="24"/>
      <c r="H375" s="24"/>
      <c r="I375" s="24"/>
      <c r="J375" s="63"/>
      <c r="K375" s="24"/>
      <c r="L375" s="118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119"/>
      <c r="X375" s="50"/>
      <c r="Y375" s="50"/>
      <c r="Z375" s="50"/>
      <c r="AA375" s="50"/>
      <c r="AB375" s="50"/>
      <c r="AC375" s="116"/>
      <c r="AD375" s="24"/>
      <c r="AE375" s="24"/>
      <c r="AF375" s="50"/>
      <c r="AG375" s="50"/>
      <c r="AH375" s="50"/>
      <c r="AI375" s="50"/>
      <c r="AJ375" s="50"/>
      <c r="AK375" s="50"/>
      <c r="AL375" s="50"/>
    </row>
    <row r="376" spans="1:38" ht="13.8">
      <c r="A376" s="73"/>
      <c r="B376" s="74"/>
      <c r="C376" s="116"/>
      <c r="D376" s="24"/>
      <c r="E376" s="24"/>
      <c r="F376" s="24"/>
      <c r="G376" s="24"/>
      <c r="H376" s="24"/>
      <c r="I376" s="24"/>
      <c r="J376" s="63"/>
      <c r="K376" s="24"/>
      <c r="L376" s="118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119"/>
      <c r="X376" s="50"/>
      <c r="Y376" s="50"/>
      <c r="Z376" s="50"/>
      <c r="AA376" s="50"/>
      <c r="AB376" s="50"/>
      <c r="AC376" s="116"/>
      <c r="AD376" s="24"/>
      <c r="AE376" s="24"/>
      <c r="AF376" s="50"/>
      <c r="AG376" s="50"/>
      <c r="AH376" s="50"/>
      <c r="AI376" s="50"/>
      <c r="AJ376" s="50"/>
      <c r="AK376" s="50"/>
      <c r="AL376" s="50"/>
    </row>
    <row r="377" spans="1:38" ht="13.8">
      <c r="A377" s="73"/>
      <c r="B377" s="74"/>
      <c r="C377" s="116"/>
      <c r="D377" s="24"/>
      <c r="E377" s="24"/>
      <c r="F377" s="24"/>
      <c r="G377" s="24"/>
      <c r="H377" s="24"/>
      <c r="I377" s="24"/>
      <c r="J377" s="63"/>
      <c r="K377" s="24"/>
      <c r="L377" s="118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119"/>
      <c r="X377" s="50"/>
      <c r="Y377" s="50"/>
      <c r="Z377" s="50"/>
      <c r="AA377" s="50"/>
      <c r="AB377" s="50"/>
      <c r="AC377" s="116"/>
      <c r="AD377" s="24"/>
      <c r="AE377" s="24"/>
      <c r="AF377" s="50"/>
      <c r="AG377" s="50"/>
      <c r="AH377" s="50"/>
      <c r="AI377" s="50"/>
      <c r="AJ377" s="50"/>
      <c r="AK377" s="50"/>
      <c r="AL377" s="50"/>
    </row>
    <row r="378" spans="1:38" ht="13.8">
      <c r="A378" s="73"/>
      <c r="B378" s="74"/>
      <c r="C378" s="116"/>
      <c r="D378" s="24"/>
      <c r="E378" s="24"/>
      <c r="F378" s="24"/>
      <c r="G378" s="24"/>
      <c r="H378" s="24"/>
      <c r="I378" s="24"/>
      <c r="J378" s="63"/>
      <c r="K378" s="24"/>
      <c r="L378" s="118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119"/>
      <c r="X378" s="50"/>
      <c r="Y378" s="50"/>
      <c r="Z378" s="50"/>
      <c r="AA378" s="50"/>
      <c r="AB378" s="50"/>
      <c r="AC378" s="116"/>
      <c r="AD378" s="24"/>
      <c r="AE378" s="24"/>
      <c r="AF378" s="50"/>
      <c r="AG378" s="50"/>
      <c r="AH378" s="50"/>
      <c r="AI378" s="50"/>
      <c r="AJ378" s="50"/>
      <c r="AK378" s="50"/>
      <c r="AL378" s="50"/>
    </row>
    <row r="379" spans="1:38" ht="13.8">
      <c r="A379" s="73"/>
      <c r="B379" s="74"/>
      <c r="C379" s="116"/>
      <c r="D379" s="24"/>
      <c r="E379" s="24"/>
      <c r="F379" s="24"/>
      <c r="G379" s="24"/>
      <c r="H379" s="24"/>
      <c r="I379" s="24"/>
      <c r="J379" s="63"/>
      <c r="K379" s="24"/>
      <c r="L379" s="118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119"/>
      <c r="X379" s="50"/>
      <c r="Y379" s="50"/>
      <c r="Z379" s="50"/>
      <c r="AA379" s="50"/>
      <c r="AB379" s="50"/>
      <c r="AC379" s="116"/>
      <c r="AD379" s="24"/>
      <c r="AE379" s="24"/>
      <c r="AF379" s="50"/>
      <c r="AG379" s="50"/>
      <c r="AH379" s="50"/>
      <c r="AI379" s="50"/>
      <c r="AJ379" s="50"/>
      <c r="AK379" s="50"/>
      <c r="AL379" s="50"/>
    </row>
    <row r="380" spans="1:38" ht="13.8">
      <c r="A380" s="73"/>
      <c r="B380" s="74"/>
      <c r="C380" s="116"/>
      <c r="D380" s="24"/>
      <c r="E380" s="24"/>
      <c r="F380" s="24"/>
      <c r="G380" s="24"/>
      <c r="H380" s="24"/>
      <c r="I380" s="24"/>
      <c r="J380" s="63"/>
      <c r="K380" s="24"/>
      <c r="L380" s="118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119"/>
      <c r="X380" s="50"/>
      <c r="Y380" s="50"/>
      <c r="Z380" s="50"/>
      <c r="AA380" s="50"/>
      <c r="AB380" s="50"/>
      <c r="AC380" s="116"/>
      <c r="AD380" s="24"/>
      <c r="AE380" s="24"/>
      <c r="AF380" s="50"/>
      <c r="AG380" s="50"/>
      <c r="AH380" s="50"/>
      <c r="AI380" s="50"/>
      <c r="AJ380" s="50"/>
      <c r="AK380" s="50"/>
      <c r="AL380" s="50"/>
    </row>
    <row r="381" spans="1:38" ht="13.8">
      <c r="A381" s="73"/>
      <c r="B381" s="74"/>
      <c r="C381" s="116"/>
      <c r="D381" s="24"/>
      <c r="E381" s="24"/>
      <c r="F381" s="24"/>
      <c r="G381" s="24"/>
      <c r="H381" s="24"/>
      <c r="I381" s="24"/>
      <c r="J381" s="63"/>
      <c r="K381" s="24"/>
      <c r="L381" s="118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119"/>
      <c r="X381" s="50"/>
      <c r="Y381" s="50"/>
      <c r="Z381" s="50"/>
      <c r="AA381" s="50"/>
      <c r="AB381" s="50"/>
      <c r="AC381" s="116"/>
      <c r="AD381" s="24"/>
      <c r="AE381" s="24"/>
      <c r="AF381" s="50"/>
      <c r="AG381" s="50"/>
      <c r="AH381" s="50"/>
      <c r="AI381" s="50"/>
      <c r="AJ381" s="50"/>
      <c r="AK381" s="50"/>
      <c r="AL381" s="50"/>
    </row>
    <row r="382" spans="1:38" ht="13.8">
      <c r="A382" s="73"/>
      <c r="B382" s="74"/>
      <c r="C382" s="116"/>
      <c r="D382" s="24"/>
      <c r="E382" s="24"/>
      <c r="F382" s="24"/>
      <c r="G382" s="24"/>
      <c r="H382" s="24"/>
      <c r="I382" s="24"/>
      <c r="J382" s="63"/>
      <c r="K382" s="24"/>
      <c r="L382" s="118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119"/>
      <c r="X382" s="50"/>
      <c r="Y382" s="50"/>
      <c r="Z382" s="50"/>
      <c r="AA382" s="50"/>
      <c r="AB382" s="50"/>
      <c r="AC382" s="116"/>
      <c r="AD382" s="24"/>
      <c r="AE382" s="24"/>
      <c r="AF382" s="50"/>
      <c r="AG382" s="50"/>
      <c r="AH382" s="50"/>
      <c r="AI382" s="50"/>
      <c r="AJ382" s="50"/>
      <c r="AK382" s="50"/>
      <c r="AL382" s="50"/>
    </row>
    <row r="383" spans="1:38" ht="13.8">
      <c r="A383" s="73"/>
      <c r="B383" s="74"/>
      <c r="C383" s="116"/>
      <c r="D383" s="24"/>
      <c r="E383" s="24"/>
      <c r="F383" s="24"/>
      <c r="G383" s="24"/>
      <c r="H383" s="24"/>
      <c r="I383" s="24"/>
      <c r="J383" s="63"/>
      <c r="K383" s="24"/>
      <c r="L383" s="118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119"/>
      <c r="X383" s="50"/>
      <c r="Y383" s="50"/>
      <c r="Z383" s="50"/>
      <c r="AA383" s="50"/>
      <c r="AB383" s="50"/>
      <c r="AC383" s="116"/>
      <c r="AD383" s="24"/>
      <c r="AE383" s="24"/>
      <c r="AF383" s="50"/>
      <c r="AG383" s="50"/>
      <c r="AH383" s="50"/>
      <c r="AI383" s="50"/>
      <c r="AJ383" s="50"/>
      <c r="AK383" s="50"/>
      <c r="AL383" s="50"/>
    </row>
    <row r="384" spans="1:38" ht="13.8">
      <c r="A384" s="73"/>
      <c r="B384" s="74"/>
      <c r="C384" s="116"/>
      <c r="D384" s="24"/>
      <c r="E384" s="24"/>
      <c r="F384" s="24"/>
      <c r="G384" s="24"/>
      <c r="H384" s="24"/>
      <c r="I384" s="24"/>
      <c r="J384" s="63"/>
      <c r="K384" s="24"/>
      <c r="L384" s="118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119"/>
      <c r="X384" s="50"/>
      <c r="Y384" s="50"/>
      <c r="Z384" s="50"/>
      <c r="AA384" s="50"/>
      <c r="AB384" s="50"/>
      <c r="AC384" s="116"/>
      <c r="AD384" s="24"/>
      <c r="AE384" s="24"/>
      <c r="AF384" s="50"/>
      <c r="AG384" s="50"/>
      <c r="AH384" s="50"/>
      <c r="AI384" s="50"/>
      <c r="AJ384" s="50"/>
      <c r="AK384" s="50"/>
      <c r="AL384" s="50"/>
    </row>
    <row r="385" spans="1:38" ht="13.8">
      <c r="A385" s="73"/>
      <c r="B385" s="74"/>
      <c r="C385" s="116"/>
      <c r="D385" s="24"/>
      <c r="E385" s="24"/>
      <c r="F385" s="24"/>
      <c r="G385" s="24"/>
      <c r="H385" s="24"/>
      <c r="I385" s="24"/>
      <c r="J385" s="63"/>
      <c r="K385" s="24"/>
      <c r="L385" s="118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119"/>
      <c r="X385" s="50"/>
      <c r="Y385" s="50"/>
      <c r="Z385" s="50"/>
      <c r="AA385" s="50"/>
      <c r="AB385" s="50"/>
      <c r="AC385" s="116"/>
      <c r="AD385" s="24"/>
      <c r="AE385" s="24"/>
      <c r="AF385" s="50"/>
      <c r="AG385" s="50"/>
      <c r="AH385" s="50"/>
      <c r="AI385" s="50"/>
      <c r="AJ385" s="50"/>
      <c r="AK385" s="50"/>
      <c r="AL385" s="50"/>
    </row>
    <row r="386" spans="1:38" ht="13.8">
      <c r="A386" s="73"/>
      <c r="B386" s="74"/>
      <c r="C386" s="116"/>
      <c r="D386" s="24"/>
      <c r="E386" s="24"/>
      <c r="F386" s="24"/>
      <c r="G386" s="24"/>
      <c r="H386" s="24"/>
      <c r="I386" s="24"/>
      <c r="J386" s="63"/>
      <c r="K386" s="24"/>
      <c r="L386" s="118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119"/>
      <c r="X386" s="50"/>
      <c r="Y386" s="50"/>
      <c r="Z386" s="50"/>
      <c r="AA386" s="50"/>
      <c r="AB386" s="50"/>
      <c r="AC386" s="116"/>
      <c r="AD386" s="24"/>
      <c r="AE386" s="24"/>
      <c r="AF386" s="50"/>
      <c r="AG386" s="50"/>
      <c r="AH386" s="50"/>
      <c r="AI386" s="50"/>
      <c r="AJ386" s="50"/>
      <c r="AK386" s="50"/>
      <c r="AL386" s="50"/>
    </row>
    <row r="387" spans="1:38" ht="13.8">
      <c r="A387" s="73"/>
      <c r="B387" s="74"/>
      <c r="C387" s="116"/>
      <c r="D387" s="24"/>
      <c r="E387" s="24"/>
      <c r="F387" s="24"/>
      <c r="G387" s="24"/>
      <c r="H387" s="24"/>
      <c r="I387" s="24"/>
      <c r="J387" s="63"/>
      <c r="K387" s="24"/>
      <c r="L387" s="118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119"/>
      <c r="X387" s="50"/>
      <c r="Y387" s="50"/>
      <c r="Z387" s="50"/>
      <c r="AA387" s="50"/>
      <c r="AB387" s="50"/>
      <c r="AC387" s="116"/>
      <c r="AD387" s="24"/>
      <c r="AE387" s="24"/>
      <c r="AF387" s="50"/>
      <c r="AG387" s="50"/>
      <c r="AH387" s="50"/>
      <c r="AI387" s="50"/>
      <c r="AJ387" s="50"/>
      <c r="AK387" s="50"/>
      <c r="AL387" s="50"/>
    </row>
    <row r="388" spans="1:38" ht="13.8">
      <c r="A388" s="73"/>
      <c r="B388" s="74"/>
      <c r="C388" s="116"/>
      <c r="D388" s="24"/>
      <c r="E388" s="24"/>
      <c r="F388" s="24"/>
      <c r="G388" s="24"/>
      <c r="H388" s="24"/>
      <c r="I388" s="24"/>
      <c r="J388" s="63"/>
      <c r="K388" s="24"/>
      <c r="L388" s="118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119"/>
      <c r="X388" s="50"/>
      <c r="Y388" s="50"/>
      <c r="Z388" s="50"/>
      <c r="AA388" s="50"/>
      <c r="AB388" s="50"/>
      <c r="AC388" s="116"/>
      <c r="AD388" s="24"/>
      <c r="AE388" s="24"/>
      <c r="AF388" s="50"/>
      <c r="AG388" s="50"/>
      <c r="AH388" s="50"/>
      <c r="AI388" s="50"/>
      <c r="AJ388" s="50"/>
      <c r="AK388" s="50"/>
      <c r="AL388" s="50"/>
    </row>
    <row r="389" spans="1:38" ht="13.8">
      <c r="A389" s="73"/>
      <c r="B389" s="74"/>
      <c r="C389" s="116"/>
      <c r="D389" s="24"/>
      <c r="E389" s="24"/>
      <c r="F389" s="24"/>
      <c r="G389" s="24"/>
      <c r="H389" s="24"/>
      <c r="I389" s="24"/>
      <c r="J389" s="63"/>
      <c r="K389" s="24"/>
      <c r="L389" s="118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119"/>
      <c r="X389" s="50"/>
      <c r="Y389" s="50"/>
      <c r="Z389" s="50"/>
      <c r="AA389" s="50"/>
      <c r="AB389" s="50"/>
      <c r="AC389" s="116"/>
      <c r="AD389" s="24"/>
      <c r="AE389" s="24"/>
      <c r="AF389" s="50"/>
      <c r="AG389" s="50"/>
      <c r="AH389" s="50"/>
      <c r="AI389" s="50"/>
      <c r="AJ389" s="50"/>
      <c r="AK389" s="50"/>
      <c r="AL389" s="50"/>
    </row>
    <row r="390" spans="1:38" ht="13.8">
      <c r="A390" s="73"/>
      <c r="B390" s="74"/>
      <c r="C390" s="116"/>
      <c r="D390" s="24"/>
      <c r="E390" s="24"/>
      <c r="F390" s="24"/>
      <c r="G390" s="24"/>
      <c r="H390" s="24"/>
      <c r="I390" s="24"/>
      <c r="J390" s="63"/>
      <c r="K390" s="24"/>
      <c r="L390" s="118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119"/>
      <c r="X390" s="50"/>
      <c r="Y390" s="50"/>
      <c r="Z390" s="50"/>
      <c r="AA390" s="50"/>
      <c r="AB390" s="50"/>
      <c r="AC390" s="116"/>
      <c r="AD390" s="24"/>
      <c r="AE390" s="24"/>
      <c r="AF390" s="50"/>
      <c r="AG390" s="50"/>
      <c r="AH390" s="50"/>
      <c r="AI390" s="50"/>
      <c r="AJ390" s="50"/>
      <c r="AK390" s="50"/>
      <c r="AL390" s="50"/>
    </row>
    <row r="391" spans="1:38" ht="13.8">
      <c r="A391" s="73"/>
      <c r="B391" s="74"/>
      <c r="C391" s="116"/>
      <c r="D391" s="24"/>
      <c r="E391" s="24"/>
      <c r="F391" s="24"/>
      <c r="G391" s="24"/>
      <c r="H391" s="24"/>
      <c r="I391" s="24"/>
      <c r="J391" s="63"/>
      <c r="K391" s="24"/>
      <c r="L391" s="118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119"/>
      <c r="X391" s="50"/>
      <c r="Y391" s="50"/>
      <c r="Z391" s="50"/>
      <c r="AA391" s="50"/>
      <c r="AB391" s="50"/>
      <c r="AC391" s="116"/>
      <c r="AD391" s="24"/>
      <c r="AE391" s="24"/>
      <c r="AF391" s="50"/>
      <c r="AG391" s="50"/>
      <c r="AH391" s="50"/>
      <c r="AI391" s="50"/>
      <c r="AJ391" s="50"/>
      <c r="AK391" s="50"/>
      <c r="AL391" s="50"/>
    </row>
    <row r="392" spans="1:38" ht="13.8">
      <c r="A392" s="73"/>
      <c r="B392" s="74"/>
      <c r="C392" s="116"/>
      <c r="D392" s="24"/>
      <c r="E392" s="24"/>
      <c r="F392" s="24"/>
      <c r="G392" s="24"/>
      <c r="H392" s="24"/>
      <c r="I392" s="24"/>
      <c r="J392" s="63"/>
      <c r="K392" s="24"/>
      <c r="L392" s="118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119"/>
      <c r="X392" s="50"/>
      <c r="Y392" s="50"/>
      <c r="Z392" s="50"/>
      <c r="AA392" s="50"/>
      <c r="AB392" s="50"/>
      <c r="AC392" s="116"/>
      <c r="AD392" s="24"/>
      <c r="AE392" s="24"/>
      <c r="AF392" s="50"/>
      <c r="AG392" s="50"/>
      <c r="AH392" s="50"/>
      <c r="AI392" s="50"/>
      <c r="AJ392" s="50"/>
      <c r="AK392" s="50"/>
      <c r="AL392" s="50"/>
    </row>
    <row r="393" spans="1:38" ht="13.8">
      <c r="A393" s="73"/>
      <c r="B393" s="74"/>
      <c r="C393" s="116"/>
      <c r="D393" s="24"/>
      <c r="E393" s="24"/>
      <c r="F393" s="24"/>
      <c r="G393" s="24"/>
      <c r="H393" s="24"/>
      <c r="I393" s="24"/>
      <c r="J393" s="63"/>
      <c r="K393" s="24"/>
      <c r="L393" s="118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119"/>
      <c r="X393" s="50"/>
      <c r="Y393" s="50"/>
      <c r="Z393" s="50"/>
      <c r="AA393" s="50"/>
      <c r="AB393" s="50"/>
      <c r="AC393" s="116"/>
      <c r="AD393" s="24"/>
      <c r="AE393" s="24"/>
      <c r="AF393" s="50"/>
      <c r="AG393" s="50"/>
      <c r="AH393" s="50"/>
      <c r="AI393" s="50"/>
      <c r="AJ393" s="50"/>
      <c r="AK393" s="50"/>
      <c r="AL393" s="50"/>
    </row>
    <row r="394" spans="1:38" ht="13.8">
      <c r="A394" s="73"/>
      <c r="B394" s="74"/>
      <c r="C394" s="116"/>
      <c r="D394" s="24"/>
      <c r="E394" s="24"/>
      <c r="F394" s="24"/>
      <c r="G394" s="24"/>
      <c r="H394" s="24"/>
      <c r="I394" s="24"/>
      <c r="J394" s="63"/>
      <c r="K394" s="24"/>
      <c r="L394" s="118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119"/>
      <c r="X394" s="50"/>
      <c r="Y394" s="50"/>
      <c r="Z394" s="50"/>
      <c r="AA394" s="50"/>
      <c r="AB394" s="50"/>
      <c r="AC394" s="116"/>
      <c r="AD394" s="24"/>
      <c r="AE394" s="24"/>
      <c r="AF394" s="50"/>
      <c r="AG394" s="50"/>
      <c r="AH394" s="50"/>
      <c r="AI394" s="50"/>
      <c r="AJ394" s="50"/>
      <c r="AK394" s="50"/>
      <c r="AL394" s="50"/>
    </row>
    <row r="395" spans="1:38" ht="13.8">
      <c r="A395" s="73"/>
      <c r="B395" s="74"/>
      <c r="C395" s="116"/>
      <c r="D395" s="24"/>
      <c r="E395" s="24"/>
      <c r="F395" s="24"/>
      <c r="G395" s="24"/>
      <c r="H395" s="24"/>
      <c r="I395" s="24"/>
      <c r="J395" s="63"/>
      <c r="K395" s="24"/>
      <c r="L395" s="118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119"/>
      <c r="X395" s="50"/>
      <c r="Y395" s="50"/>
      <c r="Z395" s="50"/>
      <c r="AA395" s="50"/>
      <c r="AB395" s="50"/>
      <c r="AC395" s="116"/>
      <c r="AD395" s="24"/>
      <c r="AE395" s="24"/>
      <c r="AF395" s="50"/>
      <c r="AG395" s="50"/>
      <c r="AH395" s="50"/>
      <c r="AI395" s="50"/>
      <c r="AJ395" s="50"/>
      <c r="AK395" s="50"/>
      <c r="AL395" s="50"/>
    </row>
    <row r="396" spans="1:38" ht="13.8">
      <c r="A396" s="73"/>
      <c r="B396" s="74"/>
      <c r="C396" s="116"/>
      <c r="D396" s="24"/>
      <c r="E396" s="24"/>
      <c r="F396" s="24"/>
      <c r="G396" s="24"/>
      <c r="H396" s="24"/>
      <c r="I396" s="24"/>
      <c r="J396" s="63"/>
      <c r="K396" s="24"/>
      <c r="L396" s="118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119"/>
      <c r="X396" s="50"/>
      <c r="Y396" s="50"/>
      <c r="Z396" s="50"/>
      <c r="AA396" s="50"/>
      <c r="AB396" s="50"/>
      <c r="AC396" s="116"/>
      <c r="AD396" s="24"/>
      <c r="AE396" s="24"/>
      <c r="AF396" s="50"/>
      <c r="AG396" s="50"/>
      <c r="AH396" s="50"/>
      <c r="AI396" s="50"/>
      <c r="AJ396" s="50"/>
      <c r="AK396" s="50"/>
      <c r="AL396" s="50"/>
    </row>
    <row r="397" spans="1:38" ht="13.8">
      <c r="A397" s="73"/>
      <c r="B397" s="74"/>
      <c r="C397" s="116"/>
      <c r="D397" s="24"/>
      <c r="E397" s="24"/>
      <c r="F397" s="24"/>
      <c r="G397" s="24"/>
      <c r="H397" s="24"/>
      <c r="I397" s="24"/>
      <c r="J397" s="63"/>
      <c r="K397" s="24"/>
      <c r="L397" s="118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119"/>
      <c r="X397" s="50"/>
      <c r="Y397" s="50"/>
      <c r="Z397" s="50"/>
      <c r="AA397" s="50"/>
      <c r="AB397" s="50"/>
      <c r="AC397" s="116"/>
      <c r="AD397" s="24"/>
      <c r="AE397" s="24"/>
      <c r="AF397" s="50"/>
      <c r="AG397" s="50"/>
      <c r="AH397" s="50"/>
      <c r="AI397" s="50"/>
      <c r="AJ397" s="50"/>
      <c r="AK397" s="50"/>
      <c r="AL397" s="50"/>
    </row>
    <row r="398" spans="1:38" ht="13.8">
      <c r="A398" s="73"/>
      <c r="B398" s="74"/>
      <c r="C398" s="116"/>
      <c r="D398" s="24"/>
      <c r="E398" s="24"/>
      <c r="F398" s="24"/>
      <c r="G398" s="24"/>
      <c r="H398" s="24"/>
      <c r="I398" s="24"/>
      <c r="J398" s="63"/>
      <c r="K398" s="24"/>
      <c r="L398" s="118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119"/>
      <c r="X398" s="50"/>
      <c r="Y398" s="50"/>
      <c r="Z398" s="50"/>
      <c r="AA398" s="50"/>
      <c r="AB398" s="50"/>
      <c r="AC398" s="116"/>
      <c r="AD398" s="24"/>
      <c r="AE398" s="24"/>
      <c r="AF398" s="50"/>
      <c r="AG398" s="50"/>
      <c r="AH398" s="50"/>
      <c r="AI398" s="50"/>
      <c r="AJ398" s="50"/>
      <c r="AK398" s="50"/>
      <c r="AL398" s="50"/>
    </row>
    <row r="399" spans="1:38" ht="13.8">
      <c r="A399" s="73"/>
      <c r="B399" s="74"/>
      <c r="C399" s="116"/>
      <c r="D399" s="24"/>
      <c r="E399" s="24"/>
      <c r="F399" s="24"/>
      <c r="G399" s="24"/>
      <c r="H399" s="24"/>
      <c r="I399" s="24"/>
      <c r="J399" s="63"/>
      <c r="K399" s="24"/>
      <c r="L399" s="118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119"/>
      <c r="X399" s="50"/>
      <c r="Y399" s="50"/>
      <c r="Z399" s="50"/>
      <c r="AA399" s="50"/>
      <c r="AB399" s="50"/>
      <c r="AC399" s="116"/>
      <c r="AD399" s="24"/>
      <c r="AE399" s="24"/>
      <c r="AF399" s="50"/>
      <c r="AG399" s="50"/>
      <c r="AH399" s="50"/>
      <c r="AI399" s="50"/>
      <c r="AJ399" s="50"/>
      <c r="AK399" s="50"/>
      <c r="AL399" s="50"/>
    </row>
    <row r="400" spans="1:38" ht="13.8">
      <c r="A400" s="73"/>
      <c r="B400" s="74"/>
      <c r="C400" s="116"/>
      <c r="D400" s="24"/>
      <c r="E400" s="24"/>
      <c r="F400" s="24"/>
      <c r="G400" s="24"/>
      <c r="H400" s="24"/>
      <c r="I400" s="24"/>
      <c r="J400" s="63"/>
      <c r="K400" s="24"/>
      <c r="L400" s="118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119"/>
      <c r="X400" s="50"/>
      <c r="Y400" s="50"/>
      <c r="Z400" s="50"/>
      <c r="AA400" s="50"/>
      <c r="AB400" s="50"/>
      <c r="AC400" s="116"/>
      <c r="AD400" s="24"/>
      <c r="AE400" s="24"/>
      <c r="AF400" s="50"/>
      <c r="AG400" s="50"/>
      <c r="AH400" s="50"/>
      <c r="AI400" s="50"/>
      <c r="AJ400" s="50"/>
      <c r="AK400" s="50"/>
      <c r="AL400" s="50"/>
    </row>
    <row r="401" spans="1:38" ht="13.8">
      <c r="A401" s="73"/>
      <c r="B401" s="74"/>
      <c r="C401" s="116"/>
      <c r="D401" s="24"/>
      <c r="E401" s="24"/>
      <c r="F401" s="24"/>
      <c r="G401" s="24"/>
      <c r="H401" s="24"/>
      <c r="I401" s="24"/>
      <c r="J401" s="63"/>
      <c r="K401" s="24"/>
      <c r="L401" s="118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119"/>
      <c r="X401" s="50"/>
      <c r="Y401" s="50"/>
      <c r="Z401" s="50"/>
      <c r="AA401" s="50"/>
      <c r="AB401" s="50"/>
      <c r="AC401" s="116"/>
      <c r="AD401" s="24"/>
      <c r="AE401" s="24"/>
      <c r="AF401" s="50"/>
      <c r="AG401" s="50"/>
      <c r="AH401" s="50"/>
      <c r="AI401" s="50"/>
      <c r="AJ401" s="50"/>
      <c r="AK401" s="50"/>
      <c r="AL401" s="50"/>
    </row>
    <row r="402" spans="1:38" ht="13.8">
      <c r="A402" s="73"/>
      <c r="B402" s="74"/>
      <c r="C402" s="116"/>
      <c r="D402" s="24"/>
      <c r="E402" s="24"/>
      <c r="F402" s="24"/>
      <c r="G402" s="24"/>
      <c r="H402" s="24"/>
      <c r="I402" s="24"/>
      <c r="J402" s="63"/>
      <c r="K402" s="24"/>
      <c r="L402" s="118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119"/>
      <c r="X402" s="50"/>
      <c r="Y402" s="50"/>
      <c r="Z402" s="50"/>
      <c r="AA402" s="50"/>
      <c r="AB402" s="50"/>
      <c r="AC402" s="116"/>
      <c r="AD402" s="24"/>
      <c r="AE402" s="24"/>
      <c r="AF402" s="50"/>
      <c r="AG402" s="50"/>
      <c r="AH402" s="50"/>
      <c r="AI402" s="50"/>
      <c r="AJ402" s="50"/>
      <c r="AK402" s="50"/>
      <c r="AL402" s="50"/>
    </row>
    <row r="403" spans="1:38" ht="13.8">
      <c r="A403" s="73"/>
      <c r="B403" s="74"/>
      <c r="C403" s="116"/>
      <c r="D403" s="24"/>
      <c r="E403" s="24"/>
      <c r="F403" s="24"/>
      <c r="G403" s="24"/>
      <c r="H403" s="24"/>
      <c r="I403" s="24"/>
      <c r="J403" s="63"/>
      <c r="K403" s="24"/>
      <c r="L403" s="118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119"/>
      <c r="X403" s="50"/>
      <c r="Y403" s="50"/>
      <c r="Z403" s="50"/>
      <c r="AA403" s="50"/>
      <c r="AB403" s="50"/>
      <c r="AC403" s="116"/>
      <c r="AD403" s="24"/>
      <c r="AE403" s="24"/>
      <c r="AF403" s="50"/>
      <c r="AG403" s="50"/>
      <c r="AH403" s="50"/>
      <c r="AI403" s="50"/>
      <c r="AJ403" s="50"/>
      <c r="AK403" s="50"/>
      <c r="AL403" s="50"/>
    </row>
    <row r="404" spans="1:38" ht="13.8">
      <c r="A404" s="73"/>
      <c r="B404" s="74"/>
      <c r="C404" s="116"/>
      <c r="D404" s="24"/>
      <c r="E404" s="24"/>
      <c r="F404" s="24"/>
      <c r="G404" s="24"/>
      <c r="H404" s="24"/>
      <c r="I404" s="24"/>
      <c r="J404" s="63"/>
      <c r="K404" s="24"/>
      <c r="L404" s="118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119"/>
      <c r="X404" s="50"/>
      <c r="Y404" s="50"/>
      <c r="Z404" s="50"/>
      <c r="AA404" s="50"/>
      <c r="AB404" s="50"/>
      <c r="AC404" s="116"/>
      <c r="AD404" s="24"/>
      <c r="AE404" s="24"/>
      <c r="AF404" s="50"/>
      <c r="AG404" s="50"/>
      <c r="AH404" s="50"/>
      <c r="AI404" s="50"/>
      <c r="AJ404" s="50"/>
      <c r="AK404" s="50"/>
      <c r="AL404" s="50"/>
    </row>
    <row r="405" spans="1:38" ht="13.8">
      <c r="A405" s="73"/>
      <c r="B405" s="74"/>
      <c r="C405" s="116"/>
      <c r="D405" s="24"/>
      <c r="E405" s="24"/>
      <c r="F405" s="24"/>
      <c r="G405" s="24"/>
      <c r="H405" s="24"/>
      <c r="I405" s="24"/>
      <c r="J405" s="63"/>
      <c r="K405" s="24"/>
      <c r="L405" s="118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119"/>
      <c r="X405" s="50"/>
      <c r="Y405" s="50"/>
      <c r="Z405" s="50"/>
      <c r="AA405" s="50"/>
      <c r="AB405" s="50"/>
      <c r="AC405" s="116"/>
      <c r="AD405" s="24"/>
      <c r="AE405" s="24"/>
      <c r="AF405" s="50"/>
      <c r="AG405" s="50"/>
      <c r="AH405" s="50"/>
      <c r="AI405" s="50"/>
      <c r="AJ405" s="50"/>
      <c r="AK405" s="50"/>
      <c r="AL405" s="50"/>
    </row>
    <row r="406" spans="1:38" ht="13.8">
      <c r="A406" s="73"/>
      <c r="B406" s="74"/>
      <c r="C406" s="116"/>
      <c r="D406" s="24"/>
      <c r="E406" s="24"/>
      <c r="F406" s="24"/>
      <c r="G406" s="24"/>
      <c r="H406" s="24"/>
      <c r="I406" s="24"/>
      <c r="J406" s="63"/>
      <c r="K406" s="24"/>
      <c r="L406" s="118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119"/>
      <c r="X406" s="50"/>
      <c r="Y406" s="50"/>
      <c r="Z406" s="50"/>
      <c r="AA406" s="50"/>
      <c r="AB406" s="50"/>
      <c r="AC406" s="116"/>
      <c r="AD406" s="24"/>
      <c r="AE406" s="24"/>
      <c r="AF406" s="50"/>
      <c r="AG406" s="50"/>
      <c r="AH406" s="50"/>
      <c r="AI406" s="50"/>
      <c r="AJ406" s="50"/>
      <c r="AK406" s="50"/>
      <c r="AL406" s="50"/>
    </row>
    <row r="407" spans="1:38" ht="13.8">
      <c r="A407" s="73"/>
      <c r="B407" s="74"/>
      <c r="C407" s="116"/>
      <c r="D407" s="24"/>
      <c r="E407" s="24"/>
      <c r="F407" s="24"/>
      <c r="G407" s="24"/>
      <c r="H407" s="24"/>
      <c r="I407" s="24"/>
      <c r="J407" s="63"/>
      <c r="K407" s="24"/>
      <c r="L407" s="118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119"/>
      <c r="X407" s="50"/>
      <c r="Y407" s="50"/>
      <c r="Z407" s="50"/>
      <c r="AA407" s="50"/>
      <c r="AB407" s="50"/>
      <c r="AC407" s="116"/>
      <c r="AD407" s="24"/>
      <c r="AE407" s="24"/>
      <c r="AF407" s="50"/>
      <c r="AG407" s="50"/>
      <c r="AH407" s="50"/>
      <c r="AI407" s="50"/>
      <c r="AJ407" s="50"/>
      <c r="AK407" s="50"/>
      <c r="AL407" s="50"/>
    </row>
    <row r="408" spans="1:38" ht="13.8">
      <c r="A408" s="73"/>
      <c r="B408" s="74"/>
      <c r="C408" s="116"/>
      <c r="D408" s="24"/>
      <c r="E408" s="24"/>
      <c r="F408" s="24"/>
      <c r="G408" s="24"/>
      <c r="H408" s="24"/>
      <c r="I408" s="24"/>
      <c r="J408" s="63"/>
      <c r="K408" s="24"/>
      <c r="L408" s="118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119"/>
      <c r="X408" s="50"/>
      <c r="Y408" s="50"/>
      <c r="Z408" s="50"/>
      <c r="AA408" s="50"/>
      <c r="AB408" s="50"/>
      <c r="AC408" s="116"/>
      <c r="AD408" s="24"/>
      <c r="AE408" s="24"/>
      <c r="AF408" s="50"/>
      <c r="AG408" s="50"/>
      <c r="AH408" s="50"/>
      <c r="AI408" s="50"/>
      <c r="AJ408" s="50"/>
      <c r="AK408" s="50"/>
      <c r="AL408" s="50"/>
    </row>
    <row r="409" spans="1:38" ht="13.8">
      <c r="A409" s="73"/>
      <c r="B409" s="74"/>
      <c r="C409" s="116"/>
      <c r="D409" s="24"/>
      <c r="E409" s="24"/>
      <c r="F409" s="24"/>
      <c r="G409" s="24"/>
      <c r="H409" s="24"/>
      <c r="I409" s="24"/>
      <c r="J409" s="63"/>
      <c r="K409" s="24"/>
      <c r="L409" s="118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119"/>
      <c r="X409" s="50"/>
      <c r="Y409" s="50"/>
      <c r="Z409" s="50"/>
      <c r="AA409" s="50"/>
      <c r="AB409" s="50"/>
      <c r="AC409" s="116"/>
      <c r="AD409" s="24"/>
      <c r="AE409" s="24"/>
      <c r="AF409" s="50"/>
      <c r="AG409" s="50"/>
      <c r="AH409" s="50"/>
      <c r="AI409" s="50"/>
      <c r="AJ409" s="50"/>
      <c r="AK409" s="50"/>
      <c r="AL409" s="50"/>
    </row>
    <row r="410" spans="1:38" ht="13.8">
      <c r="A410" s="73"/>
      <c r="B410" s="74"/>
      <c r="C410" s="116"/>
      <c r="D410" s="24"/>
      <c r="E410" s="24"/>
      <c r="F410" s="24"/>
      <c r="G410" s="24"/>
      <c r="H410" s="24"/>
      <c r="I410" s="24"/>
      <c r="J410" s="63"/>
      <c r="K410" s="24"/>
      <c r="L410" s="118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119"/>
      <c r="X410" s="50"/>
      <c r="Y410" s="50"/>
      <c r="Z410" s="50"/>
      <c r="AA410" s="50"/>
      <c r="AB410" s="50"/>
      <c r="AC410" s="116"/>
      <c r="AD410" s="24"/>
      <c r="AE410" s="24"/>
      <c r="AF410" s="50"/>
      <c r="AG410" s="50"/>
      <c r="AH410" s="50"/>
      <c r="AI410" s="50"/>
      <c r="AJ410" s="50"/>
      <c r="AK410" s="50"/>
      <c r="AL410" s="50"/>
    </row>
    <row r="411" spans="1:38" ht="13.8">
      <c r="A411" s="73"/>
      <c r="B411" s="74"/>
      <c r="C411" s="116"/>
      <c r="D411" s="24"/>
      <c r="E411" s="24"/>
      <c r="F411" s="24"/>
      <c r="G411" s="24"/>
      <c r="H411" s="24"/>
      <c r="I411" s="24"/>
      <c r="J411" s="63"/>
      <c r="K411" s="24"/>
      <c r="L411" s="118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119"/>
      <c r="X411" s="50"/>
      <c r="Y411" s="50"/>
      <c r="Z411" s="50"/>
      <c r="AA411" s="50"/>
      <c r="AB411" s="50"/>
      <c r="AC411" s="116"/>
      <c r="AD411" s="24"/>
      <c r="AE411" s="24"/>
      <c r="AF411" s="50"/>
      <c r="AG411" s="50"/>
      <c r="AH411" s="50"/>
      <c r="AI411" s="50"/>
      <c r="AJ411" s="50"/>
      <c r="AK411" s="50"/>
      <c r="AL411" s="50"/>
    </row>
    <row r="412" spans="1:38" ht="13.8">
      <c r="A412" s="73"/>
      <c r="B412" s="74"/>
      <c r="C412" s="116"/>
      <c r="D412" s="24"/>
      <c r="E412" s="24"/>
      <c r="F412" s="24"/>
      <c r="G412" s="24"/>
      <c r="H412" s="24"/>
      <c r="I412" s="24"/>
      <c r="J412" s="63"/>
      <c r="K412" s="24"/>
      <c r="L412" s="118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119"/>
      <c r="X412" s="50"/>
      <c r="Y412" s="50"/>
      <c r="Z412" s="50"/>
      <c r="AA412" s="50"/>
      <c r="AB412" s="50"/>
      <c r="AC412" s="116"/>
      <c r="AD412" s="24"/>
      <c r="AE412" s="24"/>
      <c r="AF412" s="50"/>
      <c r="AG412" s="50"/>
      <c r="AH412" s="50"/>
      <c r="AI412" s="50"/>
      <c r="AJ412" s="50"/>
      <c r="AK412" s="50"/>
      <c r="AL412" s="50"/>
    </row>
    <row r="413" spans="1:38" ht="13.8">
      <c r="A413" s="73"/>
      <c r="B413" s="74"/>
      <c r="C413" s="116"/>
      <c r="D413" s="24"/>
      <c r="E413" s="24"/>
      <c r="F413" s="24"/>
      <c r="G413" s="24"/>
      <c r="H413" s="24"/>
      <c r="I413" s="24"/>
      <c r="J413" s="63"/>
      <c r="K413" s="24"/>
      <c r="L413" s="118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119"/>
      <c r="X413" s="50"/>
      <c r="Y413" s="50"/>
      <c r="Z413" s="50"/>
      <c r="AA413" s="50"/>
      <c r="AB413" s="50"/>
      <c r="AC413" s="116"/>
      <c r="AD413" s="24"/>
      <c r="AE413" s="24"/>
      <c r="AF413" s="50"/>
      <c r="AG413" s="50"/>
      <c r="AH413" s="50"/>
      <c r="AI413" s="50"/>
      <c r="AJ413" s="50"/>
      <c r="AK413" s="50"/>
      <c r="AL413" s="50"/>
    </row>
    <row r="414" spans="1:38" ht="13.8">
      <c r="A414" s="73"/>
      <c r="B414" s="74"/>
      <c r="C414" s="116"/>
      <c r="D414" s="24"/>
      <c r="E414" s="24"/>
      <c r="F414" s="24"/>
      <c r="G414" s="24"/>
      <c r="H414" s="24"/>
      <c r="I414" s="24"/>
      <c r="J414" s="63"/>
      <c r="K414" s="24"/>
      <c r="L414" s="118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119"/>
      <c r="X414" s="50"/>
      <c r="Y414" s="50"/>
      <c r="Z414" s="50"/>
      <c r="AA414" s="50"/>
      <c r="AB414" s="50"/>
      <c r="AC414" s="116"/>
      <c r="AD414" s="24"/>
      <c r="AE414" s="24"/>
      <c r="AF414" s="50"/>
      <c r="AG414" s="50"/>
      <c r="AH414" s="50"/>
      <c r="AI414" s="50"/>
      <c r="AJ414" s="50"/>
      <c r="AK414" s="50"/>
      <c r="AL414" s="50"/>
    </row>
    <row r="415" spans="1:38" ht="13.8">
      <c r="A415" s="73"/>
      <c r="B415" s="74"/>
      <c r="C415" s="116"/>
      <c r="D415" s="24"/>
      <c r="E415" s="24"/>
      <c r="F415" s="24"/>
      <c r="G415" s="24"/>
      <c r="H415" s="24"/>
      <c r="I415" s="24"/>
      <c r="J415" s="63"/>
      <c r="K415" s="24"/>
      <c r="L415" s="118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119"/>
      <c r="X415" s="50"/>
      <c r="Y415" s="50"/>
      <c r="Z415" s="50"/>
      <c r="AA415" s="50"/>
      <c r="AB415" s="50"/>
      <c r="AC415" s="116"/>
      <c r="AD415" s="24"/>
      <c r="AE415" s="24"/>
      <c r="AF415" s="50"/>
      <c r="AG415" s="50"/>
      <c r="AH415" s="50"/>
      <c r="AI415" s="50"/>
      <c r="AJ415" s="50"/>
      <c r="AK415" s="50"/>
      <c r="AL415" s="50"/>
    </row>
    <row r="416" spans="1:38" ht="13.8">
      <c r="A416" s="73"/>
      <c r="B416" s="74"/>
      <c r="C416" s="116"/>
      <c r="D416" s="24"/>
      <c r="E416" s="24"/>
      <c r="F416" s="24"/>
      <c r="G416" s="24"/>
      <c r="H416" s="24"/>
      <c r="I416" s="24"/>
      <c r="J416" s="63"/>
      <c r="K416" s="24"/>
      <c r="L416" s="118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119"/>
      <c r="X416" s="50"/>
      <c r="Y416" s="50"/>
      <c r="Z416" s="50"/>
      <c r="AA416" s="50"/>
      <c r="AB416" s="50"/>
      <c r="AC416" s="116"/>
      <c r="AD416" s="24"/>
      <c r="AE416" s="24"/>
      <c r="AF416" s="50"/>
      <c r="AG416" s="50"/>
      <c r="AH416" s="50"/>
      <c r="AI416" s="50"/>
      <c r="AJ416" s="50"/>
      <c r="AK416" s="50"/>
      <c r="AL416" s="50"/>
    </row>
    <row r="417" spans="1:38" ht="13.8">
      <c r="A417" s="73"/>
      <c r="B417" s="74"/>
      <c r="C417" s="116"/>
      <c r="D417" s="24"/>
      <c r="E417" s="24"/>
      <c r="F417" s="24"/>
      <c r="G417" s="24"/>
      <c r="H417" s="24"/>
      <c r="I417" s="24"/>
      <c r="J417" s="63"/>
      <c r="K417" s="24"/>
      <c r="L417" s="118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119"/>
      <c r="X417" s="50"/>
      <c r="Y417" s="50"/>
      <c r="Z417" s="50"/>
      <c r="AA417" s="50"/>
      <c r="AB417" s="50"/>
      <c r="AC417" s="116"/>
      <c r="AD417" s="24"/>
      <c r="AE417" s="24"/>
      <c r="AF417" s="50"/>
      <c r="AG417" s="50"/>
      <c r="AH417" s="50"/>
      <c r="AI417" s="50"/>
      <c r="AJ417" s="50"/>
      <c r="AK417" s="50"/>
      <c r="AL417" s="50"/>
    </row>
    <row r="418" spans="1:38" ht="13.8">
      <c r="A418" s="73"/>
      <c r="B418" s="74"/>
      <c r="C418" s="116"/>
      <c r="D418" s="24"/>
      <c r="E418" s="24"/>
      <c r="F418" s="24"/>
      <c r="G418" s="24"/>
      <c r="H418" s="24"/>
      <c r="I418" s="24"/>
      <c r="J418" s="63"/>
      <c r="K418" s="24"/>
      <c r="L418" s="118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119"/>
      <c r="X418" s="50"/>
      <c r="Y418" s="50"/>
      <c r="Z418" s="50"/>
      <c r="AA418" s="50"/>
      <c r="AB418" s="50"/>
      <c r="AC418" s="116"/>
      <c r="AD418" s="24"/>
      <c r="AE418" s="24"/>
      <c r="AF418" s="50"/>
      <c r="AG418" s="50"/>
      <c r="AH418" s="50"/>
      <c r="AI418" s="50"/>
      <c r="AJ418" s="50"/>
      <c r="AK418" s="50"/>
      <c r="AL418" s="50"/>
    </row>
    <row r="419" spans="1:38" ht="13.8">
      <c r="A419" s="73"/>
      <c r="B419" s="74"/>
      <c r="C419" s="116"/>
      <c r="D419" s="24"/>
      <c r="E419" s="24"/>
      <c r="F419" s="24"/>
      <c r="G419" s="24"/>
      <c r="H419" s="24"/>
      <c r="I419" s="24"/>
      <c r="J419" s="63"/>
      <c r="K419" s="24"/>
      <c r="L419" s="118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119"/>
      <c r="X419" s="50"/>
      <c r="Y419" s="50"/>
      <c r="Z419" s="50"/>
      <c r="AA419" s="50"/>
      <c r="AB419" s="50"/>
      <c r="AC419" s="116"/>
      <c r="AD419" s="24"/>
      <c r="AE419" s="24"/>
      <c r="AF419" s="50"/>
      <c r="AG419" s="50"/>
      <c r="AH419" s="50"/>
      <c r="AI419" s="50"/>
      <c r="AJ419" s="50"/>
      <c r="AK419" s="50"/>
      <c r="AL419" s="50"/>
    </row>
    <row r="420" spans="1:38" ht="13.8">
      <c r="A420" s="73"/>
      <c r="B420" s="74"/>
      <c r="C420" s="116"/>
      <c r="D420" s="24"/>
      <c r="E420" s="24"/>
      <c r="F420" s="24"/>
      <c r="G420" s="24"/>
      <c r="H420" s="24"/>
      <c r="I420" s="24"/>
      <c r="J420" s="63"/>
      <c r="K420" s="24"/>
      <c r="L420" s="118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119"/>
      <c r="X420" s="50"/>
      <c r="Y420" s="50"/>
      <c r="Z420" s="50"/>
      <c r="AA420" s="50"/>
      <c r="AB420" s="50"/>
      <c r="AC420" s="116"/>
      <c r="AD420" s="24"/>
      <c r="AE420" s="24"/>
      <c r="AF420" s="50"/>
      <c r="AG420" s="50"/>
      <c r="AH420" s="50"/>
      <c r="AI420" s="50"/>
      <c r="AJ420" s="50"/>
      <c r="AK420" s="50"/>
      <c r="AL420" s="50"/>
    </row>
    <row r="421" spans="1:38" ht="13.8">
      <c r="A421" s="73"/>
      <c r="B421" s="74"/>
      <c r="C421" s="116"/>
      <c r="D421" s="24"/>
      <c r="E421" s="24"/>
      <c r="F421" s="24"/>
      <c r="G421" s="24"/>
      <c r="H421" s="24"/>
      <c r="I421" s="24"/>
      <c r="J421" s="63"/>
      <c r="K421" s="24"/>
      <c r="L421" s="118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119"/>
      <c r="X421" s="50"/>
      <c r="Y421" s="50"/>
      <c r="Z421" s="50"/>
      <c r="AA421" s="50"/>
      <c r="AB421" s="50"/>
      <c r="AC421" s="116"/>
      <c r="AD421" s="24"/>
      <c r="AE421" s="24"/>
      <c r="AF421" s="50"/>
      <c r="AG421" s="50"/>
      <c r="AH421" s="50"/>
      <c r="AI421" s="50"/>
      <c r="AJ421" s="50"/>
      <c r="AK421" s="50"/>
      <c r="AL421" s="50"/>
    </row>
    <row r="422" spans="1:38" ht="13.8">
      <c r="A422" s="73"/>
      <c r="B422" s="74"/>
      <c r="C422" s="116"/>
      <c r="D422" s="24"/>
      <c r="E422" s="24"/>
      <c r="F422" s="24"/>
      <c r="G422" s="24"/>
      <c r="H422" s="24"/>
      <c r="I422" s="24"/>
      <c r="J422" s="63"/>
      <c r="K422" s="24"/>
      <c r="L422" s="118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119"/>
      <c r="X422" s="50"/>
      <c r="Y422" s="50"/>
      <c r="Z422" s="50"/>
      <c r="AA422" s="50"/>
      <c r="AB422" s="50"/>
      <c r="AC422" s="116"/>
      <c r="AD422" s="24"/>
      <c r="AE422" s="24"/>
      <c r="AF422" s="50"/>
      <c r="AG422" s="50"/>
      <c r="AH422" s="50"/>
      <c r="AI422" s="50"/>
      <c r="AJ422" s="50"/>
      <c r="AK422" s="50"/>
      <c r="AL422" s="50"/>
    </row>
    <row r="423" spans="1:38" ht="13.8">
      <c r="A423" s="73"/>
      <c r="B423" s="74"/>
      <c r="C423" s="116"/>
      <c r="D423" s="24"/>
      <c r="E423" s="24"/>
      <c r="F423" s="24"/>
      <c r="G423" s="24"/>
      <c r="H423" s="24"/>
      <c r="I423" s="24"/>
      <c r="J423" s="63"/>
      <c r="K423" s="24"/>
      <c r="L423" s="118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119"/>
      <c r="X423" s="50"/>
      <c r="Y423" s="50"/>
      <c r="Z423" s="50"/>
      <c r="AA423" s="50"/>
      <c r="AB423" s="50"/>
      <c r="AC423" s="116"/>
      <c r="AD423" s="24"/>
      <c r="AE423" s="24"/>
      <c r="AF423" s="50"/>
      <c r="AG423" s="50"/>
      <c r="AH423" s="50"/>
      <c r="AI423" s="50"/>
      <c r="AJ423" s="50"/>
      <c r="AK423" s="50"/>
      <c r="AL423" s="50"/>
    </row>
    <row r="424" spans="1:38" ht="13.8">
      <c r="A424" s="73"/>
      <c r="B424" s="74"/>
      <c r="C424" s="116"/>
      <c r="D424" s="24"/>
      <c r="E424" s="24"/>
      <c r="F424" s="24"/>
      <c r="G424" s="24"/>
      <c r="H424" s="24"/>
      <c r="I424" s="24"/>
      <c r="J424" s="63"/>
      <c r="K424" s="24"/>
      <c r="L424" s="118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119"/>
      <c r="X424" s="50"/>
      <c r="Y424" s="50"/>
      <c r="Z424" s="50"/>
      <c r="AA424" s="50"/>
      <c r="AB424" s="50"/>
      <c r="AC424" s="116"/>
      <c r="AD424" s="24"/>
      <c r="AE424" s="24"/>
      <c r="AF424" s="50"/>
      <c r="AG424" s="50"/>
      <c r="AH424" s="50"/>
      <c r="AI424" s="50"/>
      <c r="AJ424" s="50"/>
      <c r="AK424" s="50"/>
      <c r="AL424" s="50"/>
    </row>
    <row r="425" spans="1:38" ht="13.8">
      <c r="A425" s="73"/>
      <c r="B425" s="74"/>
      <c r="C425" s="116"/>
      <c r="D425" s="24"/>
      <c r="E425" s="24"/>
      <c r="F425" s="24"/>
      <c r="G425" s="24"/>
      <c r="H425" s="24"/>
      <c r="I425" s="24"/>
      <c r="J425" s="63"/>
      <c r="K425" s="24"/>
      <c r="L425" s="118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119"/>
      <c r="X425" s="50"/>
      <c r="Y425" s="50"/>
      <c r="Z425" s="50"/>
      <c r="AA425" s="50"/>
      <c r="AB425" s="50"/>
      <c r="AC425" s="116"/>
      <c r="AD425" s="24"/>
      <c r="AE425" s="24"/>
      <c r="AF425" s="50"/>
      <c r="AG425" s="50"/>
      <c r="AH425" s="50"/>
      <c r="AI425" s="50"/>
      <c r="AJ425" s="50"/>
      <c r="AK425" s="50"/>
      <c r="AL425" s="50"/>
    </row>
    <row r="426" spans="1:38" ht="13.8">
      <c r="A426" s="73"/>
      <c r="B426" s="74"/>
      <c r="C426" s="116"/>
      <c r="D426" s="24"/>
      <c r="E426" s="24"/>
      <c r="F426" s="24"/>
      <c r="G426" s="24"/>
      <c r="H426" s="24"/>
      <c r="I426" s="24"/>
      <c r="J426" s="63"/>
      <c r="K426" s="24"/>
      <c r="L426" s="118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119"/>
      <c r="X426" s="50"/>
      <c r="Y426" s="50"/>
      <c r="Z426" s="50"/>
      <c r="AA426" s="50"/>
      <c r="AB426" s="50"/>
      <c r="AC426" s="116"/>
      <c r="AD426" s="24"/>
      <c r="AE426" s="24"/>
      <c r="AF426" s="50"/>
      <c r="AG426" s="50"/>
      <c r="AH426" s="50"/>
      <c r="AI426" s="50"/>
      <c r="AJ426" s="50"/>
      <c r="AK426" s="50"/>
      <c r="AL426" s="50"/>
    </row>
    <row r="427" spans="1:38" ht="13.8">
      <c r="A427" s="73"/>
      <c r="B427" s="74"/>
      <c r="C427" s="116"/>
      <c r="D427" s="24"/>
      <c r="E427" s="24"/>
      <c r="F427" s="24"/>
      <c r="G427" s="24"/>
      <c r="H427" s="24"/>
      <c r="I427" s="24"/>
      <c r="J427" s="63"/>
      <c r="K427" s="24"/>
      <c r="L427" s="118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119"/>
      <c r="X427" s="50"/>
      <c r="Y427" s="50"/>
      <c r="Z427" s="50"/>
      <c r="AA427" s="50"/>
      <c r="AB427" s="50"/>
      <c r="AC427" s="116"/>
      <c r="AD427" s="24"/>
      <c r="AE427" s="24"/>
      <c r="AF427" s="50"/>
      <c r="AG427" s="50"/>
      <c r="AH427" s="50"/>
      <c r="AI427" s="50"/>
      <c r="AJ427" s="50"/>
      <c r="AK427" s="50"/>
      <c r="AL427" s="50"/>
    </row>
    <row r="428" spans="1:38" ht="13.8">
      <c r="A428" s="73"/>
      <c r="B428" s="74"/>
      <c r="C428" s="116"/>
      <c r="D428" s="24"/>
      <c r="E428" s="24"/>
      <c r="F428" s="24"/>
      <c r="G428" s="24"/>
      <c r="H428" s="24"/>
      <c r="I428" s="24"/>
      <c r="J428" s="63"/>
      <c r="K428" s="24"/>
      <c r="L428" s="118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119"/>
      <c r="X428" s="50"/>
      <c r="Y428" s="50"/>
      <c r="Z428" s="50"/>
      <c r="AA428" s="50"/>
      <c r="AB428" s="50"/>
      <c r="AC428" s="116"/>
      <c r="AD428" s="24"/>
      <c r="AE428" s="24"/>
      <c r="AF428" s="50"/>
      <c r="AG428" s="50"/>
      <c r="AH428" s="50"/>
      <c r="AI428" s="50"/>
      <c r="AJ428" s="50"/>
      <c r="AK428" s="50"/>
      <c r="AL428" s="50"/>
    </row>
    <row r="429" spans="1:38" ht="13.8">
      <c r="A429" s="73"/>
      <c r="B429" s="74"/>
      <c r="C429" s="116"/>
      <c r="D429" s="24"/>
      <c r="E429" s="24"/>
      <c r="F429" s="24"/>
      <c r="G429" s="24"/>
      <c r="H429" s="24"/>
      <c r="I429" s="24"/>
      <c r="J429" s="63"/>
      <c r="K429" s="24"/>
      <c r="L429" s="118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119"/>
      <c r="X429" s="50"/>
      <c r="Y429" s="50"/>
      <c r="Z429" s="50"/>
      <c r="AA429" s="50"/>
      <c r="AB429" s="50"/>
      <c r="AC429" s="116"/>
      <c r="AD429" s="24"/>
      <c r="AE429" s="24"/>
      <c r="AF429" s="50"/>
      <c r="AG429" s="50"/>
      <c r="AH429" s="50"/>
      <c r="AI429" s="50"/>
      <c r="AJ429" s="50"/>
      <c r="AK429" s="50"/>
      <c r="AL429" s="50"/>
    </row>
    <row r="430" spans="1:38" ht="13.8">
      <c r="A430" s="73"/>
      <c r="B430" s="74"/>
      <c r="C430" s="116"/>
      <c r="D430" s="24"/>
      <c r="E430" s="24"/>
      <c r="F430" s="24"/>
      <c r="G430" s="24"/>
      <c r="H430" s="24"/>
      <c r="I430" s="24"/>
      <c r="J430" s="63"/>
      <c r="K430" s="24"/>
      <c r="L430" s="118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119"/>
      <c r="X430" s="50"/>
      <c r="Y430" s="50"/>
      <c r="Z430" s="50"/>
      <c r="AA430" s="50"/>
      <c r="AB430" s="50"/>
      <c r="AC430" s="116"/>
      <c r="AD430" s="24"/>
      <c r="AE430" s="24"/>
      <c r="AF430" s="50"/>
      <c r="AG430" s="50"/>
      <c r="AH430" s="50"/>
      <c r="AI430" s="50"/>
      <c r="AJ430" s="50"/>
      <c r="AK430" s="50"/>
      <c r="AL430" s="50"/>
    </row>
    <row r="431" spans="1:38" ht="13.8">
      <c r="A431" s="73"/>
      <c r="B431" s="74"/>
      <c r="C431" s="116"/>
      <c r="D431" s="24"/>
      <c r="E431" s="24"/>
      <c r="F431" s="24"/>
      <c r="G431" s="24"/>
      <c r="H431" s="24"/>
      <c r="I431" s="24"/>
      <c r="J431" s="63"/>
      <c r="K431" s="24"/>
      <c r="L431" s="118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119"/>
      <c r="X431" s="50"/>
      <c r="Y431" s="50"/>
      <c r="Z431" s="50"/>
      <c r="AA431" s="50"/>
      <c r="AB431" s="50"/>
      <c r="AC431" s="116"/>
      <c r="AD431" s="24"/>
      <c r="AE431" s="24"/>
      <c r="AF431" s="50"/>
      <c r="AG431" s="50"/>
      <c r="AH431" s="50"/>
      <c r="AI431" s="50"/>
      <c r="AJ431" s="50"/>
      <c r="AK431" s="50"/>
      <c r="AL431" s="50"/>
    </row>
    <row r="432" spans="1:38" ht="13.8">
      <c r="A432" s="73"/>
      <c r="B432" s="74"/>
      <c r="C432" s="116"/>
      <c r="D432" s="24"/>
      <c r="E432" s="24"/>
      <c r="F432" s="24"/>
      <c r="G432" s="24"/>
      <c r="H432" s="24"/>
      <c r="I432" s="24"/>
      <c r="J432" s="63"/>
      <c r="K432" s="24"/>
      <c r="L432" s="118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119"/>
      <c r="X432" s="50"/>
      <c r="Y432" s="50"/>
      <c r="Z432" s="50"/>
      <c r="AA432" s="50"/>
      <c r="AB432" s="50"/>
      <c r="AC432" s="116"/>
      <c r="AD432" s="24"/>
      <c r="AE432" s="24"/>
      <c r="AF432" s="50"/>
      <c r="AG432" s="50"/>
      <c r="AH432" s="50"/>
      <c r="AI432" s="50"/>
      <c r="AJ432" s="50"/>
      <c r="AK432" s="50"/>
      <c r="AL432" s="50"/>
    </row>
    <row r="433" spans="1:38" ht="13.8">
      <c r="A433" s="73"/>
      <c r="B433" s="74"/>
      <c r="C433" s="116"/>
      <c r="D433" s="24"/>
      <c r="E433" s="24"/>
      <c r="F433" s="24"/>
      <c r="G433" s="24"/>
      <c r="H433" s="24"/>
      <c r="I433" s="24"/>
      <c r="J433" s="63"/>
      <c r="K433" s="24"/>
      <c r="L433" s="118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119"/>
      <c r="X433" s="50"/>
      <c r="Y433" s="50"/>
      <c r="Z433" s="50"/>
      <c r="AA433" s="50"/>
      <c r="AB433" s="50"/>
      <c r="AC433" s="116"/>
      <c r="AD433" s="24"/>
      <c r="AE433" s="24"/>
      <c r="AF433" s="50"/>
      <c r="AG433" s="50"/>
      <c r="AH433" s="50"/>
      <c r="AI433" s="50"/>
      <c r="AJ433" s="50"/>
      <c r="AK433" s="50"/>
      <c r="AL433" s="50"/>
    </row>
    <row r="434" spans="1:38" ht="13.8">
      <c r="A434" s="73"/>
      <c r="B434" s="74"/>
      <c r="C434" s="116"/>
      <c r="D434" s="24"/>
      <c r="E434" s="24"/>
      <c r="F434" s="24"/>
      <c r="G434" s="24"/>
      <c r="H434" s="24"/>
      <c r="I434" s="24"/>
      <c r="J434" s="63"/>
      <c r="K434" s="24"/>
      <c r="L434" s="118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119"/>
      <c r="X434" s="50"/>
      <c r="Y434" s="50"/>
      <c r="Z434" s="50"/>
      <c r="AA434" s="50"/>
      <c r="AB434" s="50"/>
      <c r="AC434" s="116"/>
      <c r="AD434" s="24"/>
      <c r="AE434" s="24"/>
      <c r="AF434" s="50"/>
      <c r="AG434" s="50"/>
      <c r="AH434" s="50"/>
      <c r="AI434" s="50"/>
      <c r="AJ434" s="50"/>
      <c r="AK434" s="50"/>
      <c r="AL434" s="50"/>
    </row>
    <row r="435" spans="1:38" ht="13.8">
      <c r="A435" s="73"/>
      <c r="B435" s="74"/>
      <c r="C435" s="116"/>
      <c r="D435" s="24"/>
      <c r="E435" s="24"/>
      <c r="F435" s="24"/>
      <c r="G435" s="24"/>
      <c r="H435" s="24"/>
      <c r="I435" s="24"/>
      <c r="J435" s="63"/>
      <c r="K435" s="24"/>
      <c r="L435" s="118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119"/>
      <c r="X435" s="50"/>
      <c r="Y435" s="50"/>
      <c r="Z435" s="50"/>
      <c r="AA435" s="50"/>
      <c r="AB435" s="50"/>
      <c r="AC435" s="116"/>
      <c r="AD435" s="24"/>
      <c r="AE435" s="24"/>
      <c r="AF435" s="50"/>
      <c r="AG435" s="50"/>
      <c r="AH435" s="50"/>
      <c r="AI435" s="50"/>
      <c r="AJ435" s="50"/>
      <c r="AK435" s="50"/>
      <c r="AL435" s="50"/>
    </row>
    <row r="436" spans="1:38" ht="13.8">
      <c r="A436" s="73"/>
      <c r="B436" s="74"/>
      <c r="C436" s="116"/>
      <c r="D436" s="24"/>
      <c r="E436" s="24"/>
      <c r="F436" s="24"/>
      <c r="G436" s="24"/>
      <c r="H436" s="24"/>
      <c r="I436" s="24"/>
      <c r="J436" s="63"/>
      <c r="K436" s="24"/>
      <c r="L436" s="118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119"/>
      <c r="X436" s="50"/>
      <c r="Y436" s="50"/>
      <c r="Z436" s="50"/>
      <c r="AA436" s="50"/>
      <c r="AB436" s="50"/>
      <c r="AC436" s="116"/>
      <c r="AD436" s="24"/>
      <c r="AE436" s="24"/>
      <c r="AF436" s="50"/>
      <c r="AG436" s="50"/>
      <c r="AH436" s="50"/>
      <c r="AI436" s="50"/>
      <c r="AJ436" s="50"/>
      <c r="AK436" s="50"/>
      <c r="AL436" s="50"/>
    </row>
    <row r="437" spans="1:38" ht="13.8">
      <c r="A437" s="73"/>
      <c r="B437" s="74"/>
      <c r="C437" s="116"/>
      <c r="D437" s="24"/>
      <c r="E437" s="24"/>
      <c r="F437" s="24"/>
      <c r="G437" s="24"/>
      <c r="H437" s="24"/>
      <c r="I437" s="24"/>
      <c r="J437" s="63"/>
      <c r="K437" s="24"/>
      <c r="L437" s="118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119"/>
      <c r="X437" s="50"/>
      <c r="Y437" s="50"/>
      <c r="Z437" s="50"/>
      <c r="AA437" s="50"/>
      <c r="AB437" s="50"/>
      <c r="AC437" s="116"/>
      <c r="AD437" s="24"/>
      <c r="AE437" s="24"/>
      <c r="AF437" s="50"/>
      <c r="AG437" s="50"/>
      <c r="AH437" s="50"/>
      <c r="AI437" s="50"/>
      <c r="AJ437" s="50"/>
      <c r="AK437" s="50"/>
      <c r="AL437" s="50"/>
    </row>
    <row r="438" spans="1:38" ht="13.8">
      <c r="A438" s="73"/>
      <c r="B438" s="74"/>
      <c r="C438" s="116"/>
      <c r="D438" s="24"/>
      <c r="E438" s="24"/>
      <c r="F438" s="24"/>
      <c r="G438" s="24"/>
      <c r="H438" s="24"/>
      <c r="I438" s="24"/>
      <c r="J438" s="63"/>
      <c r="K438" s="24"/>
      <c r="L438" s="118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119"/>
      <c r="X438" s="50"/>
      <c r="Y438" s="50"/>
      <c r="Z438" s="50"/>
      <c r="AA438" s="50"/>
      <c r="AB438" s="50"/>
      <c r="AC438" s="116"/>
      <c r="AD438" s="24"/>
      <c r="AE438" s="24"/>
      <c r="AF438" s="50"/>
      <c r="AG438" s="50"/>
      <c r="AH438" s="50"/>
      <c r="AI438" s="50"/>
      <c r="AJ438" s="50"/>
      <c r="AK438" s="50"/>
      <c r="AL438" s="50"/>
    </row>
    <row r="439" spans="1:38" ht="13.8">
      <c r="A439" s="73"/>
      <c r="B439" s="74"/>
      <c r="C439" s="116"/>
      <c r="D439" s="24"/>
      <c r="E439" s="24"/>
      <c r="F439" s="24"/>
      <c r="G439" s="24"/>
      <c r="H439" s="24"/>
      <c r="I439" s="24"/>
      <c r="J439" s="63"/>
      <c r="K439" s="24"/>
      <c r="L439" s="118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119"/>
      <c r="X439" s="50"/>
      <c r="Y439" s="50"/>
      <c r="Z439" s="50"/>
      <c r="AA439" s="50"/>
      <c r="AB439" s="50"/>
      <c r="AC439" s="116"/>
      <c r="AD439" s="24"/>
      <c r="AE439" s="24"/>
      <c r="AF439" s="50"/>
      <c r="AG439" s="50"/>
      <c r="AH439" s="50"/>
      <c r="AI439" s="50"/>
      <c r="AJ439" s="50"/>
      <c r="AK439" s="50"/>
      <c r="AL439" s="50"/>
    </row>
    <row r="440" spans="1:38" ht="13.8">
      <c r="A440" s="73"/>
      <c r="B440" s="74"/>
      <c r="C440" s="116"/>
      <c r="D440" s="24"/>
      <c r="E440" s="24"/>
      <c r="F440" s="24"/>
      <c r="G440" s="24"/>
      <c r="H440" s="24"/>
      <c r="I440" s="24"/>
      <c r="J440" s="63"/>
      <c r="K440" s="24"/>
      <c r="L440" s="118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119"/>
      <c r="X440" s="50"/>
      <c r="Y440" s="50"/>
      <c r="Z440" s="50"/>
      <c r="AA440" s="50"/>
      <c r="AB440" s="50"/>
      <c r="AC440" s="116"/>
      <c r="AD440" s="24"/>
      <c r="AE440" s="24"/>
      <c r="AF440" s="50"/>
      <c r="AG440" s="50"/>
      <c r="AH440" s="50"/>
      <c r="AI440" s="50"/>
      <c r="AJ440" s="50"/>
      <c r="AK440" s="50"/>
      <c r="AL440" s="50"/>
    </row>
    <row r="441" spans="1:38" ht="13.8">
      <c r="A441" s="73"/>
      <c r="B441" s="74"/>
      <c r="C441" s="116"/>
      <c r="D441" s="24"/>
      <c r="E441" s="24"/>
      <c r="F441" s="24"/>
      <c r="G441" s="24"/>
      <c r="H441" s="24"/>
      <c r="I441" s="24"/>
      <c r="J441" s="63"/>
      <c r="K441" s="24"/>
      <c r="L441" s="118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119"/>
      <c r="X441" s="50"/>
      <c r="Y441" s="50"/>
      <c r="Z441" s="50"/>
      <c r="AA441" s="50"/>
      <c r="AB441" s="50"/>
      <c r="AC441" s="116"/>
      <c r="AD441" s="24"/>
      <c r="AE441" s="24"/>
      <c r="AF441" s="50"/>
      <c r="AG441" s="50"/>
      <c r="AH441" s="50"/>
      <c r="AI441" s="50"/>
      <c r="AJ441" s="50"/>
      <c r="AK441" s="50"/>
      <c r="AL441" s="50"/>
    </row>
    <row r="442" spans="1:38" ht="13.8">
      <c r="A442" s="73"/>
      <c r="B442" s="74"/>
      <c r="C442" s="116"/>
      <c r="D442" s="24"/>
      <c r="E442" s="24"/>
      <c r="F442" s="24"/>
      <c r="G442" s="24"/>
      <c r="H442" s="24"/>
      <c r="I442" s="24"/>
      <c r="J442" s="63"/>
      <c r="K442" s="24"/>
      <c r="L442" s="118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119"/>
      <c r="X442" s="50"/>
      <c r="Y442" s="50"/>
      <c r="Z442" s="50"/>
      <c r="AA442" s="50"/>
      <c r="AB442" s="50"/>
      <c r="AC442" s="116"/>
      <c r="AD442" s="24"/>
      <c r="AE442" s="24"/>
      <c r="AF442" s="50"/>
      <c r="AG442" s="50"/>
      <c r="AH442" s="50"/>
      <c r="AI442" s="50"/>
      <c r="AJ442" s="50"/>
      <c r="AK442" s="50"/>
      <c r="AL442" s="50"/>
    </row>
    <row r="443" spans="1:38" ht="13.8">
      <c r="A443" s="73"/>
      <c r="B443" s="74"/>
      <c r="C443" s="116"/>
      <c r="D443" s="24"/>
      <c r="E443" s="24"/>
      <c r="F443" s="24"/>
      <c r="G443" s="24"/>
      <c r="H443" s="24"/>
      <c r="I443" s="24"/>
      <c r="J443" s="63"/>
      <c r="K443" s="24"/>
      <c r="L443" s="118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119"/>
      <c r="X443" s="50"/>
      <c r="Y443" s="50"/>
      <c r="Z443" s="50"/>
      <c r="AA443" s="50"/>
      <c r="AB443" s="50"/>
      <c r="AC443" s="116"/>
      <c r="AD443" s="24"/>
      <c r="AE443" s="24"/>
      <c r="AF443" s="50"/>
      <c r="AG443" s="50"/>
      <c r="AH443" s="50"/>
      <c r="AI443" s="50"/>
      <c r="AJ443" s="50"/>
      <c r="AK443" s="50"/>
      <c r="AL443" s="50"/>
    </row>
    <row r="444" spans="1:38" ht="13.8">
      <c r="A444" s="73"/>
      <c r="B444" s="74"/>
      <c r="C444" s="116"/>
      <c r="D444" s="24"/>
      <c r="E444" s="24"/>
      <c r="F444" s="24"/>
      <c r="G444" s="24"/>
      <c r="H444" s="24"/>
      <c r="I444" s="24"/>
      <c r="J444" s="63"/>
      <c r="K444" s="24"/>
      <c r="L444" s="118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119"/>
      <c r="X444" s="50"/>
      <c r="Y444" s="50"/>
      <c r="Z444" s="50"/>
      <c r="AA444" s="50"/>
      <c r="AB444" s="50"/>
      <c r="AC444" s="116"/>
      <c r="AD444" s="24"/>
      <c r="AE444" s="24"/>
      <c r="AF444" s="50"/>
      <c r="AG444" s="50"/>
      <c r="AH444" s="50"/>
      <c r="AI444" s="50"/>
      <c r="AJ444" s="50"/>
      <c r="AK444" s="50"/>
      <c r="AL444" s="50"/>
    </row>
    <row r="445" spans="1:38" ht="13.8">
      <c r="A445" s="73"/>
      <c r="B445" s="74"/>
      <c r="C445" s="116"/>
      <c r="D445" s="24"/>
      <c r="E445" s="24"/>
      <c r="F445" s="24"/>
      <c r="G445" s="24"/>
      <c r="H445" s="24"/>
      <c r="I445" s="24"/>
      <c r="J445" s="63"/>
      <c r="K445" s="24"/>
      <c r="L445" s="118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119"/>
      <c r="X445" s="50"/>
      <c r="Y445" s="50"/>
      <c r="Z445" s="50"/>
      <c r="AA445" s="50"/>
      <c r="AB445" s="50"/>
      <c r="AC445" s="116"/>
      <c r="AD445" s="24"/>
      <c r="AE445" s="24"/>
      <c r="AF445" s="50"/>
      <c r="AG445" s="50"/>
      <c r="AH445" s="50"/>
      <c r="AI445" s="50"/>
      <c r="AJ445" s="50"/>
      <c r="AK445" s="50"/>
      <c r="AL445" s="50"/>
    </row>
    <row r="446" spans="1:38" ht="13.8">
      <c r="A446" s="73"/>
      <c r="B446" s="74"/>
      <c r="C446" s="116"/>
      <c r="D446" s="24"/>
      <c r="E446" s="24"/>
      <c r="F446" s="24"/>
      <c r="G446" s="24"/>
      <c r="H446" s="24"/>
      <c r="I446" s="24"/>
      <c r="J446" s="63"/>
      <c r="K446" s="24"/>
      <c r="L446" s="118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119"/>
      <c r="X446" s="50"/>
      <c r="Y446" s="50"/>
      <c r="Z446" s="50"/>
      <c r="AA446" s="50"/>
      <c r="AB446" s="50"/>
      <c r="AC446" s="116"/>
      <c r="AD446" s="24"/>
      <c r="AE446" s="24"/>
      <c r="AF446" s="50"/>
      <c r="AG446" s="50"/>
      <c r="AH446" s="50"/>
      <c r="AI446" s="50"/>
      <c r="AJ446" s="50"/>
      <c r="AK446" s="50"/>
      <c r="AL446" s="50"/>
    </row>
    <row r="447" spans="1:38" ht="13.8">
      <c r="A447" s="73"/>
      <c r="B447" s="74"/>
      <c r="C447" s="116"/>
      <c r="D447" s="24"/>
      <c r="E447" s="24"/>
      <c r="F447" s="24"/>
      <c r="G447" s="24"/>
      <c r="H447" s="24"/>
      <c r="I447" s="24"/>
      <c r="J447" s="63"/>
      <c r="K447" s="24"/>
      <c r="L447" s="118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119"/>
      <c r="X447" s="50"/>
      <c r="Y447" s="50"/>
      <c r="Z447" s="50"/>
      <c r="AA447" s="50"/>
      <c r="AB447" s="50"/>
      <c r="AC447" s="116"/>
      <c r="AD447" s="24"/>
      <c r="AE447" s="24"/>
      <c r="AF447" s="50"/>
      <c r="AG447" s="50"/>
      <c r="AH447" s="50"/>
      <c r="AI447" s="50"/>
      <c r="AJ447" s="50"/>
      <c r="AK447" s="50"/>
      <c r="AL447" s="50"/>
    </row>
    <row r="448" spans="1:38" ht="13.8">
      <c r="A448" s="73"/>
      <c r="B448" s="74"/>
      <c r="C448" s="116"/>
      <c r="D448" s="24"/>
      <c r="E448" s="24"/>
      <c r="F448" s="24"/>
      <c r="G448" s="24"/>
      <c r="H448" s="24"/>
      <c r="I448" s="24"/>
      <c r="J448" s="63"/>
      <c r="K448" s="24"/>
      <c r="L448" s="118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119"/>
      <c r="X448" s="50"/>
      <c r="Y448" s="50"/>
      <c r="Z448" s="50"/>
      <c r="AA448" s="50"/>
      <c r="AB448" s="50"/>
      <c r="AC448" s="116"/>
      <c r="AD448" s="24"/>
      <c r="AE448" s="24"/>
      <c r="AF448" s="50"/>
      <c r="AG448" s="50"/>
      <c r="AH448" s="50"/>
      <c r="AI448" s="50"/>
      <c r="AJ448" s="50"/>
      <c r="AK448" s="50"/>
      <c r="AL448" s="50"/>
    </row>
    <row r="449" spans="1:38" ht="13.8">
      <c r="A449" s="73"/>
      <c r="B449" s="74"/>
      <c r="C449" s="116"/>
      <c r="D449" s="24"/>
      <c r="E449" s="24"/>
      <c r="F449" s="24"/>
      <c r="G449" s="24"/>
      <c r="H449" s="24"/>
      <c r="I449" s="24"/>
      <c r="J449" s="63"/>
      <c r="K449" s="24"/>
      <c r="L449" s="118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119"/>
      <c r="X449" s="50"/>
      <c r="Y449" s="50"/>
      <c r="Z449" s="50"/>
      <c r="AA449" s="50"/>
      <c r="AB449" s="50"/>
      <c r="AC449" s="116"/>
      <c r="AD449" s="24"/>
      <c r="AE449" s="24"/>
      <c r="AF449" s="50"/>
      <c r="AG449" s="50"/>
      <c r="AH449" s="50"/>
      <c r="AI449" s="50"/>
      <c r="AJ449" s="50"/>
      <c r="AK449" s="50"/>
      <c r="AL449" s="50"/>
    </row>
    <row r="450" spans="1:38" ht="13.8">
      <c r="A450" s="73"/>
      <c r="B450" s="74"/>
      <c r="C450" s="116"/>
      <c r="D450" s="24"/>
      <c r="E450" s="24"/>
      <c r="F450" s="24"/>
      <c r="G450" s="24"/>
      <c r="H450" s="24"/>
      <c r="I450" s="24"/>
      <c r="J450" s="63"/>
      <c r="K450" s="24"/>
      <c r="L450" s="118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119"/>
      <c r="X450" s="50"/>
      <c r="Y450" s="50"/>
      <c r="Z450" s="50"/>
      <c r="AA450" s="50"/>
      <c r="AB450" s="50"/>
      <c r="AC450" s="116"/>
      <c r="AD450" s="24"/>
      <c r="AE450" s="24"/>
      <c r="AF450" s="50"/>
      <c r="AG450" s="50"/>
      <c r="AH450" s="50"/>
      <c r="AI450" s="50"/>
      <c r="AJ450" s="50"/>
      <c r="AK450" s="50"/>
      <c r="AL450" s="50"/>
    </row>
    <row r="451" spans="1:38" ht="13.8">
      <c r="A451" s="73"/>
      <c r="B451" s="74"/>
      <c r="C451" s="116"/>
      <c r="D451" s="24"/>
      <c r="E451" s="24"/>
      <c r="F451" s="24"/>
      <c r="G451" s="24"/>
      <c r="H451" s="24"/>
      <c r="I451" s="24"/>
      <c r="J451" s="63"/>
      <c r="K451" s="24"/>
      <c r="L451" s="118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119"/>
      <c r="X451" s="50"/>
      <c r="Y451" s="50"/>
      <c r="Z451" s="50"/>
      <c r="AA451" s="50"/>
      <c r="AB451" s="50"/>
      <c r="AC451" s="116"/>
      <c r="AD451" s="24"/>
      <c r="AE451" s="24"/>
      <c r="AF451" s="50"/>
      <c r="AG451" s="50"/>
      <c r="AH451" s="50"/>
      <c r="AI451" s="50"/>
      <c r="AJ451" s="50"/>
      <c r="AK451" s="50"/>
      <c r="AL451" s="50"/>
    </row>
    <row r="452" spans="1:38" ht="13.8">
      <c r="A452" s="73"/>
      <c r="B452" s="74"/>
      <c r="C452" s="116"/>
      <c r="D452" s="24"/>
      <c r="E452" s="24"/>
      <c r="F452" s="24"/>
      <c r="G452" s="24"/>
      <c r="H452" s="24"/>
      <c r="I452" s="24"/>
      <c r="J452" s="63"/>
      <c r="K452" s="24"/>
      <c r="L452" s="118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119"/>
      <c r="X452" s="50"/>
      <c r="Y452" s="50"/>
      <c r="Z452" s="50"/>
      <c r="AA452" s="50"/>
      <c r="AB452" s="50"/>
      <c r="AC452" s="116"/>
      <c r="AD452" s="24"/>
      <c r="AE452" s="24"/>
      <c r="AF452" s="50"/>
      <c r="AG452" s="50"/>
      <c r="AH452" s="50"/>
      <c r="AI452" s="50"/>
      <c r="AJ452" s="50"/>
      <c r="AK452" s="50"/>
      <c r="AL452" s="50"/>
    </row>
    <row r="453" spans="1:38" ht="13.8">
      <c r="A453" s="73"/>
      <c r="B453" s="74"/>
      <c r="C453" s="116"/>
      <c r="D453" s="24"/>
      <c r="E453" s="24"/>
      <c r="F453" s="24"/>
      <c r="G453" s="24"/>
      <c r="H453" s="24"/>
      <c r="I453" s="24"/>
      <c r="J453" s="63"/>
      <c r="K453" s="24"/>
      <c r="L453" s="118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119"/>
      <c r="X453" s="50"/>
      <c r="Y453" s="50"/>
      <c r="Z453" s="50"/>
      <c r="AA453" s="50"/>
      <c r="AB453" s="50"/>
      <c r="AC453" s="116"/>
      <c r="AD453" s="24"/>
      <c r="AE453" s="24"/>
      <c r="AF453" s="50"/>
      <c r="AG453" s="50"/>
      <c r="AH453" s="50"/>
      <c r="AI453" s="50"/>
      <c r="AJ453" s="50"/>
      <c r="AK453" s="50"/>
      <c r="AL453" s="50"/>
    </row>
    <row r="454" spans="1:38" ht="13.8">
      <c r="A454" s="73"/>
      <c r="B454" s="74"/>
      <c r="C454" s="116"/>
      <c r="D454" s="24"/>
      <c r="E454" s="24"/>
      <c r="F454" s="24"/>
      <c r="G454" s="24"/>
      <c r="H454" s="24"/>
      <c r="I454" s="24"/>
      <c r="J454" s="63"/>
      <c r="K454" s="24"/>
      <c r="L454" s="118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119"/>
      <c r="X454" s="50"/>
      <c r="Y454" s="50"/>
      <c r="Z454" s="50"/>
      <c r="AA454" s="50"/>
      <c r="AB454" s="50"/>
      <c r="AC454" s="116"/>
      <c r="AD454" s="24"/>
      <c r="AE454" s="24"/>
      <c r="AF454" s="50"/>
      <c r="AG454" s="50"/>
      <c r="AH454" s="50"/>
      <c r="AI454" s="50"/>
      <c r="AJ454" s="50"/>
      <c r="AK454" s="50"/>
      <c r="AL454" s="50"/>
    </row>
    <row r="455" spans="1:38" ht="13.8">
      <c r="A455" s="73"/>
      <c r="B455" s="74"/>
      <c r="C455" s="116"/>
      <c r="D455" s="24"/>
      <c r="E455" s="24"/>
      <c r="F455" s="24"/>
      <c r="G455" s="24"/>
      <c r="H455" s="24"/>
      <c r="I455" s="24"/>
      <c r="J455" s="63"/>
      <c r="K455" s="24"/>
      <c r="L455" s="118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119"/>
      <c r="X455" s="50"/>
      <c r="Y455" s="50"/>
      <c r="Z455" s="50"/>
      <c r="AA455" s="50"/>
      <c r="AB455" s="50"/>
      <c r="AC455" s="116"/>
      <c r="AD455" s="24"/>
      <c r="AE455" s="24"/>
      <c r="AF455" s="50"/>
      <c r="AG455" s="50"/>
      <c r="AH455" s="50"/>
      <c r="AI455" s="50"/>
      <c r="AJ455" s="50"/>
      <c r="AK455" s="50"/>
      <c r="AL455" s="50"/>
    </row>
    <row r="456" spans="1:38" ht="13.8">
      <c r="A456" s="73"/>
      <c r="B456" s="74"/>
      <c r="C456" s="116"/>
      <c r="D456" s="24"/>
      <c r="E456" s="24"/>
      <c r="F456" s="24"/>
      <c r="G456" s="24"/>
      <c r="H456" s="24"/>
      <c r="I456" s="24"/>
      <c r="J456" s="63"/>
      <c r="K456" s="24"/>
      <c r="L456" s="118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119"/>
      <c r="X456" s="50"/>
      <c r="Y456" s="50"/>
      <c r="Z456" s="50"/>
      <c r="AA456" s="50"/>
      <c r="AB456" s="50"/>
      <c r="AC456" s="116"/>
      <c r="AD456" s="24"/>
      <c r="AE456" s="24"/>
      <c r="AF456" s="50"/>
      <c r="AG456" s="50"/>
      <c r="AH456" s="50"/>
      <c r="AI456" s="50"/>
      <c r="AJ456" s="50"/>
      <c r="AK456" s="50"/>
      <c r="AL456" s="50"/>
    </row>
    <row r="457" spans="1:38" ht="13.8">
      <c r="A457" s="73"/>
      <c r="B457" s="74"/>
      <c r="C457" s="116"/>
      <c r="D457" s="24"/>
      <c r="E457" s="24"/>
      <c r="F457" s="24"/>
      <c r="G457" s="24"/>
      <c r="H457" s="24"/>
      <c r="I457" s="24"/>
      <c r="J457" s="63"/>
      <c r="K457" s="24"/>
      <c r="L457" s="118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119"/>
      <c r="X457" s="50"/>
      <c r="Y457" s="50"/>
      <c r="Z457" s="50"/>
      <c r="AA457" s="50"/>
      <c r="AB457" s="50"/>
      <c r="AC457" s="116"/>
      <c r="AD457" s="24"/>
      <c r="AE457" s="24"/>
      <c r="AF457" s="50"/>
      <c r="AG457" s="50"/>
      <c r="AH457" s="50"/>
      <c r="AI457" s="50"/>
      <c r="AJ457" s="50"/>
      <c r="AK457" s="50"/>
      <c r="AL457" s="50"/>
    </row>
    <row r="458" spans="1:38" ht="13.8">
      <c r="A458" s="73"/>
      <c r="B458" s="74"/>
      <c r="C458" s="116"/>
      <c r="D458" s="24"/>
      <c r="E458" s="24"/>
      <c r="F458" s="24"/>
      <c r="G458" s="24"/>
      <c r="H458" s="24"/>
      <c r="I458" s="24"/>
      <c r="J458" s="63"/>
      <c r="K458" s="24"/>
      <c r="L458" s="118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119"/>
      <c r="X458" s="50"/>
      <c r="Y458" s="50"/>
      <c r="Z458" s="50"/>
      <c r="AA458" s="50"/>
      <c r="AB458" s="50"/>
      <c r="AC458" s="116"/>
      <c r="AD458" s="24"/>
      <c r="AE458" s="24"/>
      <c r="AF458" s="50"/>
      <c r="AG458" s="50"/>
      <c r="AH458" s="50"/>
      <c r="AI458" s="50"/>
      <c r="AJ458" s="50"/>
      <c r="AK458" s="50"/>
      <c r="AL458" s="50"/>
    </row>
    <row r="459" spans="1:38" ht="13.8">
      <c r="A459" s="73"/>
      <c r="B459" s="74"/>
      <c r="C459" s="116"/>
      <c r="D459" s="24"/>
      <c r="E459" s="24"/>
      <c r="F459" s="24"/>
      <c r="G459" s="24"/>
      <c r="H459" s="24"/>
      <c r="I459" s="24"/>
      <c r="J459" s="63"/>
      <c r="K459" s="24"/>
      <c r="L459" s="118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119"/>
      <c r="X459" s="50"/>
      <c r="Y459" s="50"/>
      <c r="Z459" s="50"/>
      <c r="AA459" s="50"/>
      <c r="AB459" s="50"/>
      <c r="AC459" s="116"/>
      <c r="AD459" s="24"/>
      <c r="AE459" s="24"/>
      <c r="AF459" s="50"/>
      <c r="AG459" s="50"/>
      <c r="AH459" s="50"/>
      <c r="AI459" s="50"/>
      <c r="AJ459" s="50"/>
      <c r="AK459" s="50"/>
      <c r="AL459" s="50"/>
    </row>
    <row r="460" spans="1:38" ht="13.8">
      <c r="A460" s="73"/>
      <c r="B460" s="74"/>
      <c r="C460" s="116"/>
      <c r="D460" s="24"/>
      <c r="E460" s="24"/>
      <c r="F460" s="24"/>
      <c r="G460" s="24"/>
      <c r="H460" s="24"/>
      <c r="I460" s="24"/>
      <c r="J460" s="63"/>
      <c r="K460" s="24"/>
      <c r="L460" s="118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119"/>
      <c r="X460" s="50"/>
      <c r="Y460" s="50"/>
      <c r="Z460" s="50"/>
      <c r="AA460" s="50"/>
      <c r="AB460" s="50"/>
      <c r="AC460" s="116"/>
      <c r="AD460" s="24"/>
      <c r="AE460" s="24"/>
      <c r="AF460" s="50"/>
      <c r="AG460" s="50"/>
      <c r="AH460" s="50"/>
      <c r="AI460" s="50"/>
      <c r="AJ460" s="50"/>
      <c r="AK460" s="50"/>
      <c r="AL460" s="50"/>
    </row>
    <row r="461" spans="1:38" ht="13.8">
      <c r="A461" s="73"/>
      <c r="B461" s="74"/>
      <c r="C461" s="116"/>
      <c r="D461" s="24"/>
      <c r="E461" s="24"/>
      <c r="F461" s="24"/>
      <c r="G461" s="24"/>
      <c r="H461" s="24"/>
      <c r="I461" s="24"/>
      <c r="J461" s="63"/>
      <c r="K461" s="24"/>
      <c r="L461" s="118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119"/>
      <c r="X461" s="50"/>
      <c r="Y461" s="50"/>
      <c r="Z461" s="50"/>
      <c r="AA461" s="50"/>
      <c r="AB461" s="50"/>
      <c r="AC461" s="116"/>
      <c r="AD461" s="24"/>
      <c r="AE461" s="24"/>
      <c r="AF461" s="50"/>
      <c r="AG461" s="50"/>
      <c r="AH461" s="50"/>
      <c r="AI461" s="50"/>
      <c r="AJ461" s="50"/>
      <c r="AK461" s="50"/>
      <c r="AL461" s="50"/>
    </row>
    <row r="462" spans="1:38" ht="13.8">
      <c r="A462" s="73"/>
      <c r="B462" s="74"/>
      <c r="C462" s="116"/>
      <c r="D462" s="24"/>
      <c r="E462" s="24"/>
      <c r="F462" s="24"/>
      <c r="G462" s="24"/>
      <c r="H462" s="24"/>
      <c r="I462" s="24"/>
      <c r="J462" s="63"/>
      <c r="K462" s="24"/>
      <c r="L462" s="118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119"/>
      <c r="X462" s="50"/>
      <c r="Y462" s="50"/>
      <c r="Z462" s="50"/>
      <c r="AA462" s="50"/>
      <c r="AB462" s="50"/>
      <c r="AC462" s="116"/>
      <c r="AD462" s="24"/>
      <c r="AE462" s="24"/>
      <c r="AF462" s="50"/>
      <c r="AG462" s="50"/>
      <c r="AH462" s="50"/>
      <c r="AI462" s="50"/>
      <c r="AJ462" s="50"/>
      <c r="AK462" s="50"/>
      <c r="AL462" s="50"/>
    </row>
    <row r="463" spans="1:38" ht="13.8">
      <c r="A463" s="73"/>
      <c r="B463" s="74"/>
      <c r="C463" s="116"/>
      <c r="D463" s="24"/>
      <c r="E463" s="24"/>
      <c r="F463" s="24"/>
      <c r="G463" s="24"/>
      <c r="H463" s="24"/>
      <c r="I463" s="24"/>
      <c r="J463" s="63"/>
      <c r="K463" s="24"/>
      <c r="L463" s="118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119"/>
      <c r="X463" s="50"/>
      <c r="Y463" s="50"/>
      <c r="Z463" s="50"/>
      <c r="AA463" s="50"/>
      <c r="AB463" s="50"/>
      <c r="AC463" s="116"/>
      <c r="AD463" s="24"/>
      <c r="AE463" s="24"/>
      <c r="AF463" s="50"/>
      <c r="AG463" s="50"/>
      <c r="AH463" s="50"/>
      <c r="AI463" s="50"/>
      <c r="AJ463" s="50"/>
      <c r="AK463" s="50"/>
      <c r="AL463" s="50"/>
    </row>
    <row r="464" spans="1:38" ht="13.8">
      <c r="A464" s="73"/>
      <c r="B464" s="74"/>
      <c r="C464" s="116"/>
      <c r="D464" s="24"/>
      <c r="E464" s="24"/>
      <c r="F464" s="24"/>
      <c r="G464" s="24"/>
      <c r="H464" s="24"/>
      <c r="I464" s="24"/>
      <c r="J464" s="63"/>
      <c r="K464" s="24"/>
      <c r="L464" s="118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119"/>
      <c r="X464" s="50"/>
      <c r="Y464" s="50"/>
      <c r="Z464" s="50"/>
      <c r="AA464" s="50"/>
      <c r="AB464" s="50"/>
      <c r="AC464" s="116"/>
      <c r="AD464" s="24"/>
      <c r="AE464" s="24"/>
      <c r="AF464" s="50"/>
      <c r="AG464" s="50"/>
      <c r="AH464" s="50"/>
      <c r="AI464" s="50"/>
      <c r="AJ464" s="50"/>
      <c r="AK464" s="50"/>
      <c r="AL464" s="50"/>
    </row>
    <row r="465" spans="1:38" ht="13.8">
      <c r="A465" s="73"/>
      <c r="B465" s="74"/>
      <c r="C465" s="116"/>
      <c r="D465" s="24"/>
      <c r="E465" s="24"/>
      <c r="F465" s="24"/>
      <c r="G465" s="24"/>
      <c r="H465" s="24"/>
      <c r="I465" s="24"/>
      <c r="J465" s="63"/>
      <c r="K465" s="24"/>
      <c r="L465" s="118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119"/>
      <c r="X465" s="50"/>
      <c r="Y465" s="50"/>
      <c r="Z465" s="50"/>
      <c r="AA465" s="50"/>
      <c r="AB465" s="50"/>
      <c r="AC465" s="116"/>
      <c r="AD465" s="24"/>
      <c r="AE465" s="24"/>
      <c r="AF465" s="50"/>
      <c r="AG465" s="50"/>
      <c r="AH465" s="50"/>
      <c r="AI465" s="50"/>
      <c r="AJ465" s="50"/>
      <c r="AK465" s="50"/>
      <c r="AL465" s="50"/>
    </row>
    <row r="466" spans="1:38" ht="13.8">
      <c r="A466" s="73"/>
      <c r="B466" s="74"/>
      <c r="C466" s="116"/>
      <c r="D466" s="24"/>
      <c r="E466" s="24"/>
      <c r="F466" s="24"/>
      <c r="G466" s="24"/>
      <c r="H466" s="24"/>
      <c r="I466" s="24"/>
      <c r="J466" s="63"/>
      <c r="K466" s="24"/>
      <c r="L466" s="118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119"/>
      <c r="X466" s="50"/>
      <c r="Y466" s="50"/>
      <c r="Z466" s="50"/>
      <c r="AA466" s="50"/>
      <c r="AB466" s="50"/>
      <c r="AC466" s="116"/>
      <c r="AD466" s="24"/>
      <c r="AE466" s="24"/>
      <c r="AF466" s="50"/>
      <c r="AG466" s="50"/>
      <c r="AH466" s="50"/>
      <c r="AI466" s="50"/>
      <c r="AJ466" s="50"/>
      <c r="AK466" s="50"/>
      <c r="AL466" s="50"/>
    </row>
    <row r="467" spans="1:38" ht="13.8">
      <c r="A467" s="73"/>
      <c r="B467" s="74"/>
      <c r="C467" s="116"/>
      <c r="D467" s="24"/>
      <c r="E467" s="24"/>
      <c r="F467" s="24"/>
      <c r="G467" s="24"/>
      <c r="H467" s="24"/>
      <c r="I467" s="24"/>
      <c r="J467" s="63"/>
      <c r="K467" s="24"/>
      <c r="L467" s="118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119"/>
      <c r="X467" s="50"/>
      <c r="Y467" s="50"/>
      <c r="Z467" s="50"/>
      <c r="AA467" s="50"/>
      <c r="AB467" s="50"/>
      <c r="AC467" s="116"/>
      <c r="AD467" s="24"/>
      <c r="AE467" s="24"/>
      <c r="AF467" s="50"/>
      <c r="AG467" s="50"/>
      <c r="AH467" s="50"/>
      <c r="AI467" s="50"/>
      <c r="AJ467" s="50"/>
      <c r="AK467" s="50"/>
      <c r="AL467" s="50"/>
    </row>
    <row r="468" spans="1:38" ht="13.8">
      <c r="A468" s="73"/>
      <c r="B468" s="74"/>
      <c r="C468" s="116"/>
      <c r="D468" s="24"/>
      <c r="E468" s="24"/>
      <c r="F468" s="24"/>
      <c r="G468" s="24"/>
      <c r="H468" s="24"/>
      <c r="I468" s="24"/>
      <c r="J468" s="63"/>
      <c r="K468" s="24"/>
      <c r="L468" s="118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119"/>
      <c r="X468" s="50"/>
      <c r="Y468" s="50"/>
      <c r="Z468" s="50"/>
      <c r="AA468" s="50"/>
      <c r="AB468" s="50"/>
      <c r="AC468" s="116"/>
      <c r="AD468" s="24"/>
      <c r="AE468" s="24"/>
      <c r="AF468" s="50"/>
      <c r="AG468" s="50"/>
      <c r="AH468" s="50"/>
      <c r="AI468" s="50"/>
      <c r="AJ468" s="50"/>
      <c r="AK468" s="50"/>
      <c r="AL468" s="50"/>
    </row>
    <row r="469" spans="1:38" ht="13.8">
      <c r="A469" s="73"/>
      <c r="B469" s="74"/>
      <c r="C469" s="116"/>
      <c r="D469" s="24"/>
      <c r="E469" s="24"/>
      <c r="F469" s="24"/>
      <c r="G469" s="24"/>
      <c r="H469" s="24"/>
      <c r="I469" s="24"/>
      <c r="J469" s="63"/>
      <c r="K469" s="24"/>
      <c r="L469" s="118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119"/>
      <c r="X469" s="50"/>
      <c r="Y469" s="50"/>
      <c r="Z469" s="50"/>
      <c r="AA469" s="50"/>
      <c r="AB469" s="50"/>
      <c r="AC469" s="116"/>
      <c r="AD469" s="24"/>
      <c r="AE469" s="24"/>
      <c r="AF469" s="50"/>
      <c r="AG469" s="50"/>
      <c r="AH469" s="50"/>
      <c r="AI469" s="50"/>
      <c r="AJ469" s="50"/>
      <c r="AK469" s="50"/>
      <c r="AL469" s="50"/>
    </row>
    <row r="470" spans="1:38" ht="13.8">
      <c r="A470" s="73"/>
      <c r="B470" s="74"/>
      <c r="C470" s="116"/>
      <c r="D470" s="24"/>
      <c r="E470" s="24"/>
      <c r="F470" s="24"/>
      <c r="G470" s="24"/>
      <c r="H470" s="24"/>
      <c r="I470" s="24"/>
      <c r="J470" s="63"/>
      <c r="K470" s="24"/>
      <c r="L470" s="118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119"/>
      <c r="X470" s="50"/>
      <c r="Y470" s="50"/>
      <c r="Z470" s="50"/>
      <c r="AA470" s="50"/>
      <c r="AB470" s="50"/>
      <c r="AC470" s="116"/>
      <c r="AD470" s="24"/>
      <c r="AE470" s="24"/>
      <c r="AF470" s="50"/>
      <c r="AG470" s="50"/>
      <c r="AH470" s="50"/>
      <c r="AI470" s="50"/>
      <c r="AJ470" s="50"/>
      <c r="AK470" s="50"/>
      <c r="AL470" s="50"/>
    </row>
    <row r="471" spans="1:38" ht="13.8">
      <c r="A471" s="73"/>
      <c r="B471" s="74"/>
      <c r="C471" s="116"/>
      <c r="D471" s="24"/>
      <c r="E471" s="24"/>
      <c r="F471" s="24"/>
      <c r="G471" s="24"/>
      <c r="H471" s="24"/>
      <c r="I471" s="24"/>
      <c r="J471" s="63"/>
      <c r="K471" s="24"/>
      <c r="L471" s="118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119"/>
      <c r="X471" s="50"/>
      <c r="Y471" s="50"/>
      <c r="Z471" s="50"/>
      <c r="AA471" s="50"/>
      <c r="AB471" s="50"/>
      <c r="AC471" s="116"/>
      <c r="AD471" s="24"/>
      <c r="AE471" s="24"/>
      <c r="AF471" s="50"/>
      <c r="AG471" s="50"/>
      <c r="AH471" s="50"/>
      <c r="AI471" s="50"/>
      <c r="AJ471" s="50"/>
      <c r="AK471" s="50"/>
      <c r="AL471" s="50"/>
    </row>
    <row r="472" spans="1:38" ht="13.8">
      <c r="A472" s="73"/>
      <c r="B472" s="74"/>
      <c r="C472" s="116"/>
      <c r="D472" s="24"/>
      <c r="E472" s="24"/>
      <c r="F472" s="24"/>
      <c r="G472" s="24"/>
      <c r="H472" s="24"/>
      <c r="I472" s="24"/>
      <c r="J472" s="63"/>
      <c r="K472" s="24"/>
      <c r="L472" s="118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119"/>
      <c r="X472" s="50"/>
      <c r="Y472" s="50"/>
      <c r="Z472" s="50"/>
      <c r="AA472" s="50"/>
      <c r="AB472" s="50"/>
      <c r="AC472" s="116"/>
      <c r="AD472" s="24"/>
      <c r="AE472" s="24"/>
      <c r="AF472" s="50"/>
      <c r="AG472" s="50"/>
      <c r="AH472" s="50"/>
      <c r="AI472" s="50"/>
      <c r="AJ472" s="50"/>
      <c r="AK472" s="50"/>
      <c r="AL472" s="50"/>
    </row>
    <row r="473" spans="1:38" ht="13.8">
      <c r="A473" s="73"/>
      <c r="B473" s="74"/>
      <c r="C473" s="116"/>
      <c r="D473" s="24"/>
      <c r="E473" s="24"/>
      <c r="F473" s="24"/>
      <c r="G473" s="24"/>
      <c r="H473" s="24"/>
      <c r="I473" s="24"/>
      <c r="J473" s="63"/>
      <c r="K473" s="24"/>
      <c r="L473" s="118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119"/>
      <c r="X473" s="50"/>
      <c r="Y473" s="50"/>
      <c r="Z473" s="50"/>
      <c r="AA473" s="50"/>
      <c r="AB473" s="50"/>
      <c r="AC473" s="116"/>
      <c r="AD473" s="24"/>
      <c r="AE473" s="24"/>
      <c r="AF473" s="50"/>
      <c r="AG473" s="50"/>
      <c r="AH473" s="50"/>
      <c r="AI473" s="50"/>
      <c r="AJ473" s="50"/>
      <c r="AK473" s="50"/>
      <c r="AL473" s="50"/>
    </row>
    <row r="474" spans="1:38" ht="13.8">
      <c r="A474" s="73"/>
      <c r="B474" s="74"/>
      <c r="C474" s="116"/>
      <c r="D474" s="24"/>
      <c r="E474" s="24"/>
      <c r="F474" s="24"/>
      <c r="G474" s="24"/>
      <c r="H474" s="24"/>
      <c r="I474" s="24"/>
      <c r="J474" s="63"/>
      <c r="K474" s="24"/>
      <c r="L474" s="118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119"/>
      <c r="X474" s="50"/>
      <c r="Y474" s="50"/>
      <c r="Z474" s="50"/>
      <c r="AA474" s="50"/>
      <c r="AB474" s="50"/>
      <c r="AC474" s="116"/>
      <c r="AD474" s="24"/>
      <c r="AE474" s="24"/>
      <c r="AF474" s="50"/>
      <c r="AG474" s="50"/>
      <c r="AH474" s="50"/>
      <c r="AI474" s="50"/>
      <c r="AJ474" s="50"/>
      <c r="AK474" s="50"/>
      <c r="AL474" s="50"/>
    </row>
    <row r="475" spans="1:38" ht="13.8">
      <c r="A475" s="73"/>
      <c r="B475" s="74"/>
      <c r="C475" s="116"/>
      <c r="D475" s="24"/>
      <c r="E475" s="24"/>
      <c r="F475" s="24"/>
      <c r="G475" s="24"/>
      <c r="H475" s="24"/>
      <c r="I475" s="24"/>
      <c r="J475" s="63"/>
      <c r="K475" s="24"/>
      <c r="L475" s="118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119"/>
      <c r="X475" s="50"/>
      <c r="Y475" s="50"/>
      <c r="Z475" s="50"/>
      <c r="AA475" s="50"/>
      <c r="AB475" s="50"/>
      <c r="AC475" s="116"/>
      <c r="AD475" s="24"/>
      <c r="AE475" s="24"/>
      <c r="AF475" s="50"/>
      <c r="AG475" s="50"/>
      <c r="AH475" s="50"/>
      <c r="AI475" s="50"/>
      <c r="AJ475" s="50"/>
      <c r="AK475" s="50"/>
      <c r="AL475" s="50"/>
    </row>
    <row r="476" spans="1:38" ht="13.8">
      <c r="A476" s="73"/>
      <c r="B476" s="74"/>
      <c r="C476" s="116"/>
      <c r="D476" s="24"/>
      <c r="E476" s="24"/>
      <c r="F476" s="24"/>
      <c r="G476" s="24"/>
      <c r="H476" s="24"/>
      <c r="I476" s="24"/>
      <c r="J476" s="63"/>
      <c r="K476" s="24"/>
      <c r="L476" s="118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119"/>
      <c r="X476" s="50"/>
      <c r="Y476" s="50"/>
      <c r="Z476" s="50"/>
      <c r="AA476" s="50"/>
      <c r="AB476" s="50"/>
      <c r="AC476" s="116"/>
      <c r="AD476" s="24"/>
      <c r="AE476" s="24"/>
      <c r="AF476" s="50"/>
      <c r="AG476" s="50"/>
      <c r="AH476" s="50"/>
      <c r="AI476" s="50"/>
      <c r="AJ476" s="50"/>
      <c r="AK476" s="50"/>
      <c r="AL476" s="50"/>
    </row>
    <row r="477" spans="1:38" ht="13.8">
      <c r="A477" s="73"/>
      <c r="B477" s="74"/>
      <c r="C477" s="116"/>
      <c r="D477" s="24"/>
      <c r="E477" s="24"/>
      <c r="F477" s="24"/>
      <c r="G477" s="24"/>
      <c r="H477" s="24"/>
      <c r="I477" s="24"/>
      <c r="J477" s="63"/>
      <c r="K477" s="24"/>
      <c r="L477" s="118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119"/>
      <c r="X477" s="50"/>
      <c r="Y477" s="50"/>
      <c r="Z477" s="50"/>
      <c r="AA477" s="50"/>
      <c r="AB477" s="50"/>
      <c r="AC477" s="116"/>
      <c r="AD477" s="24"/>
      <c r="AE477" s="24"/>
      <c r="AF477" s="50"/>
      <c r="AG477" s="50"/>
      <c r="AH477" s="50"/>
      <c r="AI477" s="50"/>
      <c r="AJ477" s="50"/>
      <c r="AK477" s="50"/>
      <c r="AL477" s="50"/>
    </row>
    <row r="478" spans="1:38" ht="13.8">
      <c r="A478" s="73"/>
      <c r="B478" s="74"/>
      <c r="C478" s="116"/>
      <c r="D478" s="24"/>
      <c r="E478" s="24"/>
      <c r="F478" s="24"/>
      <c r="G478" s="24"/>
      <c r="H478" s="24"/>
      <c r="I478" s="24"/>
      <c r="J478" s="63"/>
      <c r="K478" s="24"/>
      <c r="L478" s="118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119"/>
      <c r="X478" s="50"/>
      <c r="Y478" s="50"/>
      <c r="Z478" s="50"/>
      <c r="AA478" s="50"/>
      <c r="AB478" s="50"/>
      <c r="AC478" s="116"/>
      <c r="AD478" s="24"/>
      <c r="AE478" s="24"/>
      <c r="AF478" s="50"/>
      <c r="AG478" s="50"/>
      <c r="AH478" s="50"/>
      <c r="AI478" s="50"/>
      <c r="AJ478" s="50"/>
      <c r="AK478" s="50"/>
      <c r="AL478" s="50"/>
    </row>
    <row r="479" spans="1:38" ht="13.8">
      <c r="A479" s="73"/>
      <c r="B479" s="74"/>
      <c r="C479" s="116"/>
      <c r="D479" s="24"/>
      <c r="E479" s="24"/>
      <c r="F479" s="24"/>
      <c r="G479" s="24"/>
      <c r="H479" s="24"/>
      <c r="I479" s="24"/>
      <c r="J479" s="63"/>
      <c r="K479" s="24"/>
      <c r="L479" s="118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119"/>
      <c r="X479" s="50"/>
      <c r="Y479" s="50"/>
      <c r="Z479" s="50"/>
      <c r="AA479" s="50"/>
      <c r="AB479" s="50"/>
      <c r="AC479" s="116"/>
      <c r="AD479" s="24"/>
      <c r="AE479" s="24"/>
      <c r="AF479" s="50"/>
      <c r="AG479" s="50"/>
      <c r="AH479" s="50"/>
      <c r="AI479" s="50"/>
      <c r="AJ479" s="50"/>
      <c r="AK479" s="50"/>
      <c r="AL479" s="50"/>
    </row>
    <row r="480" spans="1:38" ht="13.8">
      <c r="A480" s="73"/>
      <c r="B480" s="74"/>
      <c r="C480" s="116"/>
      <c r="D480" s="24"/>
      <c r="E480" s="24"/>
      <c r="F480" s="24"/>
      <c r="G480" s="24"/>
      <c r="H480" s="24"/>
      <c r="I480" s="24"/>
      <c r="J480" s="63"/>
      <c r="K480" s="24"/>
      <c r="L480" s="118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119"/>
      <c r="X480" s="50"/>
      <c r="Y480" s="50"/>
      <c r="Z480" s="50"/>
      <c r="AA480" s="50"/>
      <c r="AB480" s="50"/>
      <c r="AC480" s="116"/>
      <c r="AD480" s="24"/>
      <c r="AE480" s="24"/>
      <c r="AF480" s="50"/>
      <c r="AG480" s="50"/>
      <c r="AH480" s="50"/>
      <c r="AI480" s="50"/>
      <c r="AJ480" s="50"/>
      <c r="AK480" s="50"/>
      <c r="AL480" s="50"/>
    </row>
    <row r="481" spans="1:38" ht="13.8">
      <c r="A481" s="73"/>
      <c r="B481" s="74"/>
      <c r="C481" s="116"/>
      <c r="D481" s="24"/>
      <c r="E481" s="24"/>
      <c r="F481" s="24"/>
      <c r="G481" s="24"/>
      <c r="H481" s="24"/>
      <c r="I481" s="24"/>
      <c r="J481" s="63"/>
      <c r="K481" s="24"/>
      <c r="L481" s="118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119"/>
      <c r="X481" s="50"/>
      <c r="Y481" s="50"/>
      <c r="Z481" s="50"/>
      <c r="AA481" s="50"/>
      <c r="AB481" s="50"/>
      <c r="AC481" s="116"/>
      <c r="AD481" s="24"/>
      <c r="AE481" s="24"/>
      <c r="AF481" s="50"/>
      <c r="AG481" s="50"/>
      <c r="AH481" s="50"/>
      <c r="AI481" s="50"/>
      <c r="AJ481" s="50"/>
      <c r="AK481" s="50"/>
      <c r="AL481" s="50"/>
    </row>
    <row r="482" spans="1:38" ht="13.8">
      <c r="A482" s="73"/>
      <c r="B482" s="74"/>
      <c r="C482" s="116"/>
      <c r="D482" s="24"/>
      <c r="E482" s="24"/>
      <c r="F482" s="24"/>
      <c r="G482" s="24"/>
      <c r="H482" s="24"/>
      <c r="I482" s="24"/>
      <c r="J482" s="63"/>
      <c r="K482" s="24"/>
      <c r="L482" s="118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119"/>
      <c r="X482" s="50"/>
      <c r="Y482" s="50"/>
      <c r="Z482" s="50"/>
      <c r="AA482" s="50"/>
      <c r="AB482" s="50"/>
      <c r="AC482" s="116"/>
      <c r="AD482" s="24"/>
      <c r="AE482" s="24"/>
      <c r="AF482" s="50"/>
      <c r="AG482" s="50"/>
      <c r="AH482" s="50"/>
      <c r="AI482" s="50"/>
      <c r="AJ482" s="50"/>
      <c r="AK482" s="50"/>
      <c r="AL482" s="50"/>
    </row>
    <row r="483" spans="1:38" ht="13.8">
      <c r="A483" s="73"/>
      <c r="B483" s="74"/>
      <c r="C483" s="116"/>
      <c r="D483" s="24"/>
      <c r="E483" s="24"/>
      <c r="F483" s="24"/>
      <c r="G483" s="24"/>
      <c r="H483" s="24"/>
      <c r="I483" s="24"/>
      <c r="J483" s="63"/>
      <c r="K483" s="24"/>
      <c r="L483" s="118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119"/>
      <c r="X483" s="50"/>
      <c r="Y483" s="50"/>
      <c r="Z483" s="50"/>
      <c r="AA483" s="50"/>
      <c r="AB483" s="50"/>
      <c r="AC483" s="116"/>
      <c r="AD483" s="24"/>
      <c r="AE483" s="24"/>
      <c r="AF483" s="50"/>
      <c r="AG483" s="50"/>
      <c r="AH483" s="50"/>
      <c r="AI483" s="50"/>
      <c r="AJ483" s="50"/>
      <c r="AK483" s="50"/>
      <c r="AL483" s="50"/>
    </row>
    <row r="484" spans="1:38" ht="13.8">
      <c r="A484" s="73"/>
      <c r="B484" s="74"/>
      <c r="C484" s="116"/>
      <c r="D484" s="24"/>
      <c r="E484" s="24"/>
      <c r="F484" s="24"/>
      <c r="G484" s="24"/>
      <c r="H484" s="24"/>
      <c r="I484" s="24"/>
      <c r="J484" s="63"/>
      <c r="K484" s="24"/>
      <c r="L484" s="118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119"/>
      <c r="X484" s="50"/>
      <c r="Y484" s="50"/>
      <c r="Z484" s="50"/>
      <c r="AA484" s="50"/>
      <c r="AB484" s="50"/>
      <c r="AC484" s="116"/>
      <c r="AD484" s="24"/>
      <c r="AE484" s="24"/>
      <c r="AF484" s="50"/>
      <c r="AG484" s="50"/>
      <c r="AH484" s="50"/>
      <c r="AI484" s="50"/>
      <c r="AJ484" s="50"/>
      <c r="AK484" s="50"/>
      <c r="AL484" s="50"/>
    </row>
    <row r="485" spans="1:38" ht="13.8">
      <c r="A485" s="73"/>
      <c r="B485" s="74"/>
      <c r="C485" s="116"/>
      <c r="D485" s="24"/>
      <c r="E485" s="24"/>
      <c r="F485" s="24"/>
      <c r="G485" s="24"/>
      <c r="H485" s="24"/>
      <c r="I485" s="24"/>
      <c r="J485" s="63"/>
      <c r="K485" s="24"/>
      <c r="L485" s="118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119"/>
      <c r="X485" s="50"/>
      <c r="Y485" s="50"/>
      <c r="Z485" s="50"/>
      <c r="AA485" s="50"/>
      <c r="AB485" s="50"/>
      <c r="AC485" s="116"/>
      <c r="AD485" s="24"/>
      <c r="AE485" s="24"/>
      <c r="AF485" s="50"/>
      <c r="AG485" s="50"/>
      <c r="AH485" s="50"/>
      <c r="AI485" s="50"/>
      <c r="AJ485" s="50"/>
      <c r="AK485" s="50"/>
      <c r="AL485" s="50"/>
    </row>
    <row r="486" spans="1:38" ht="13.8">
      <c r="A486" s="73"/>
      <c r="B486" s="74"/>
      <c r="C486" s="116"/>
      <c r="D486" s="24"/>
      <c r="E486" s="24"/>
      <c r="F486" s="24"/>
      <c r="G486" s="24"/>
      <c r="H486" s="24"/>
      <c r="I486" s="24"/>
      <c r="J486" s="63"/>
      <c r="K486" s="24"/>
      <c r="L486" s="118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119"/>
      <c r="X486" s="50"/>
      <c r="Y486" s="50"/>
      <c r="Z486" s="50"/>
      <c r="AA486" s="50"/>
      <c r="AB486" s="50"/>
      <c r="AC486" s="116"/>
      <c r="AD486" s="24"/>
      <c r="AE486" s="24"/>
      <c r="AF486" s="50"/>
      <c r="AG486" s="50"/>
      <c r="AH486" s="50"/>
      <c r="AI486" s="50"/>
      <c r="AJ486" s="50"/>
      <c r="AK486" s="50"/>
      <c r="AL486" s="50"/>
    </row>
    <row r="487" spans="1:38" ht="13.8">
      <c r="A487" s="73"/>
      <c r="B487" s="74"/>
      <c r="C487" s="116"/>
      <c r="D487" s="24"/>
      <c r="E487" s="24"/>
      <c r="F487" s="24"/>
      <c r="G487" s="24"/>
      <c r="H487" s="24"/>
      <c r="I487" s="24"/>
      <c r="J487" s="63"/>
      <c r="K487" s="24"/>
      <c r="L487" s="118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119"/>
      <c r="X487" s="50"/>
      <c r="Y487" s="50"/>
      <c r="Z487" s="50"/>
      <c r="AA487" s="50"/>
      <c r="AB487" s="50"/>
      <c r="AC487" s="116"/>
      <c r="AD487" s="24"/>
      <c r="AE487" s="24"/>
      <c r="AF487" s="50"/>
      <c r="AG487" s="50"/>
      <c r="AH487" s="50"/>
      <c r="AI487" s="50"/>
      <c r="AJ487" s="50"/>
      <c r="AK487" s="50"/>
      <c r="AL487" s="50"/>
    </row>
    <row r="488" spans="1:38" ht="13.8">
      <c r="A488" s="73"/>
      <c r="B488" s="74"/>
      <c r="C488" s="116"/>
      <c r="D488" s="24"/>
      <c r="E488" s="24"/>
      <c r="F488" s="24"/>
      <c r="G488" s="24"/>
      <c r="H488" s="24"/>
      <c r="I488" s="24"/>
      <c r="J488" s="63"/>
      <c r="K488" s="24"/>
      <c r="L488" s="118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119"/>
      <c r="X488" s="50"/>
      <c r="Y488" s="50"/>
      <c r="Z488" s="50"/>
      <c r="AA488" s="50"/>
      <c r="AB488" s="50"/>
      <c r="AC488" s="116"/>
      <c r="AD488" s="24"/>
      <c r="AE488" s="24"/>
      <c r="AF488" s="50"/>
      <c r="AG488" s="50"/>
      <c r="AH488" s="50"/>
      <c r="AI488" s="50"/>
      <c r="AJ488" s="50"/>
      <c r="AK488" s="50"/>
      <c r="AL488" s="50"/>
    </row>
    <row r="489" spans="1:38" ht="13.8">
      <c r="A489" s="73"/>
      <c r="B489" s="74"/>
      <c r="C489" s="116"/>
      <c r="D489" s="24"/>
      <c r="E489" s="24"/>
      <c r="F489" s="24"/>
      <c r="G489" s="24"/>
      <c r="H489" s="24"/>
      <c r="I489" s="24"/>
      <c r="J489" s="63"/>
      <c r="K489" s="24"/>
      <c r="L489" s="118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119"/>
      <c r="X489" s="50"/>
      <c r="Y489" s="50"/>
      <c r="Z489" s="50"/>
      <c r="AA489" s="50"/>
      <c r="AB489" s="50"/>
      <c r="AC489" s="116"/>
      <c r="AD489" s="24"/>
      <c r="AE489" s="24"/>
      <c r="AF489" s="50"/>
      <c r="AG489" s="50"/>
      <c r="AH489" s="50"/>
      <c r="AI489" s="50"/>
      <c r="AJ489" s="50"/>
      <c r="AK489" s="50"/>
      <c r="AL489" s="50"/>
    </row>
    <row r="490" spans="1:38" ht="13.8">
      <c r="A490" s="73"/>
      <c r="B490" s="74"/>
      <c r="C490" s="116"/>
      <c r="D490" s="24"/>
      <c r="E490" s="24"/>
      <c r="F490" s="24"/>
      <c r="G490" s="24"/>
      <c r="H490" s="24"/>
      <c r="I490" s="24"/>
      <c r="J490" s="63"/>
      <c r="K490" s="24"/>
      <c r="L490" s="118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119"/>
      <c r="X490" s="50"/>
      <c r="Y490" s="50"/>
      <c r="Z490" s="50"/>
      <c r="AA490" s="50"/>
      <c r="AB490" s="50"/>
      <c r="AC490" s="116"/>
      <c r="AD490" s="24"/>
      <c r="AE490" s="24"/>
      <c r="AF490" s="50"/>
      <c r="AG490" s="50"/>
      <c r="AH490" s="50"/>
      <c r="AI490" s="50"/>
      <c r="AJ490" s="50"/>
      <c r="AK490" s="50"/>
      <c r="AL490" s="50"/>
    </row>
    <row r="491" spans="1:38" ht="13.8">
      <c r="A491" s="73"/>
      <c r="B491" s="74"/>
      <c r="C491" s="116"/>
      <c r="D491" s="24"/>
      <c r="E491" s="24"/>
      <c r="F491" s="24"/>
      <c r="G491" s="24"/>
      <c r="H491" s="24"/>
      <c r="I491" s="24"/>
      <c r="J491" s="63"/>
      <c r="K491" s="24"/>
      <c r="L491" s="118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119"/>
      <c r="X491" s="50"/>
      <c r="Y491" s="50"/>
      <c r="Z491" s="50"/>
      <c r="AA491" s="50"/>
      <c r="AB491" s="50"/>
      <c r="AC491" s="116"/>
      <c r="AD491" s="24"/>
      <c r="AE491" s="24"/>
      <c r="AF491" s="50"/>
      <c r="AG491" s="50"/>
      <c r="AH491" s="50"/>
      <c r="AI491" s="50"/>
      <c r="AJ491" s="50"/>
      <c r="AK491" s="50"/>
      <c r="AL491" s="50"/>
    </row>
    <row r="492" spans="1:38" ht="13.8">
      <c r="A492" s="73"/>
      <c r="B492" s="74"/>
      <c r="C492" s="116"/>
      <c r="D492" s="24"/>
      <c r="E492" s="24"/>
      <c r="F492" s="24"/>
      <c r="G492" s="24"/>
      <c r="H492" s="24"/>
      <c r="I492" s="24"/>
      <c r="J492" s="63"/>
      <c r="K492" s="24"/>
      <c r="L492" s="118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119"/>
      <c r="X492" s="50"/>
      <c r="Y492" s="50"/>
      <c r="Z492" s="50"/>
      <c r="AA492" s="50"/>
      <c r="AB492" s="50"/>
      <c r="AC492" s="116"/>
      <c r="AD492" s="24"/>
      <c r="AE492" s="24"/>
      <c r="AF492" s="50"/>
      <c r="AG492" s="50"/>
      <c r="AH492" s="50"/>
      <c r="AI492" s="50"/>
      <c r="AJ492" s="50"/>
      <c r="AK492" s="50"/>
      <c r="AL492" s="50"/>
    </row>
    <row r="493" spans="1:38" ht="13.8">
      <c r="A493" s="73"/>
      <c r="B493" s="74"/>
      <c r="C493" s="116"/>
      <c r="D493" s="24"/>
      <c r="E493" s="24"/>
      <c r="F493" s="24"/>
      <c r="G493" s="24"/>
      <c r="H493" s="24"/>
      <c r="I493" s="24"/>
      <c r="J493" s="63"/>
      <c r="K493" s="24"/>
      <c r="L493" s="118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119"/>
      <c r="X493" s="50"/>
      <c r="Y493" s="50"/>
      <c r="Z493" s="50"/>
      <c r="AA493" s="50"/>
      <c r="AB493" s="50"/>
      <c r="AC493" s="116"/>
      <c r="AD493" s="24"/>
      <c r="AE493" s="24"/>
      <c r="AF493" s="50"/>
      <c r="AG493" s="50"/>
      <c r="AH493" s="50"/>
      <c r="AI493" s="50"/>
      <c r="AJ493" s="50"/>
      <c r="AK493" s="50"/>
      <c r="AL493" s="50"/>
    </row>
    <row r="494" spans="1:38" ht="13.8">
      <c r="A494" s="73"/>
      <c r="B494" s="74"/>
      <c r="C494" s="116"/>
      <c r="D494" s="24"/>
      <c r="E494" s="24"/>
      <c r="F494" s="24"/>
      <c r="G494" s="24"/>
      <c r="H494" s="24"/>
      <c r="I494" s="24"/>
      <c r="J494" s="63"/>
      <c r="K494" s="24"/>
      <c r="L494" s="118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119"/>
      <c r="X494" s="50"/>
      <c r="Y494" s="50"/>
      <c r="Z494" s="50"/>
      <c r="AA494" s="50"/>
      <c r="AB494" s="50"/>
      <c r="AC494" s="116"/>
      <c r="AD494" s="24"/>
      <c r="AE494" s="24"/>
      <c r="AF494" s="50"/>
      <c r="AG494" s="50"/>
      <c r="AH494" s="50"/>
      <c r="AI494" s="50"/>
      <c r="AJ494" s="50"/>
      <c r="AK494" s="50"/>
      <c r="AL494" s="50"/>
    </row>
    <row r="495" spans="1:38" ht="13.8">
      <c r="A495" s="73"/>
      <c r="B495" s="74"/>
      <c r="C495" s="116"/>
      <c r="D495" s="24"/>
      <c r="E495" s="24"/>
      <c r="F495" s="24"/>
      <c r="G495" s="24"/>
      <c r="H495" s="24"/>
      <c r="I495" s="24"/>
      <c r="J495" s="63"/>
      <c r="K495" s="24"/>
      <c r="L495" s="118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119"/>
      <c r="X495" s="50"/>
      <c r="Y495" s="50"/>
      <c r="Z495" s="50"/>
      <c r="AA495" s="50"/>
      <c r="AB495" s="50"/>
      <c r="AC495" s="116"/>
      <c r="AD495" s="24"/>
      <c r="AE495" s="24"/>
      <c r="AF495" s="50"/>
      <c r="AG495" s="50"/>
      <c r="AH495" s="50"/>
      <c r="AI495" s="50"/>
      <c r="AJ495" s="50"/>
      <c r="AK495" s="50"/>
      <c r="AL495" s="50"/>
    </row>
    <row r="496" spans="1:38" ht="13.8">
      <c r="A496" s="73"/>
      <c r="B496" s="74"/>
      <c r="C496" s="116"/>
      <c r="D496" s="24"/>
      <c r="E496" s="24"/>
      <c r="F496" s="24"/>
      <c r="G496" s="24"/>
      <c r="H496" s="24"/>
      <c r="I496" s="24"/>
      <c r="J496" s="63"/>
      <c r="K496" s="24"/>
      <c r="L496" s="118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119"/>
      <c r="X496" s="50"/>
      <c r="Y496" s="50"/>
      <c r="Z496" s="50"/>
      <c r="AA496" s="50"/>
      <c r="AB496" s="50"/>
      <c r="AC496" s="116"/>
      <c r="AD496" s="24"/>
      <c r="AE496" s="24"/>
      <c r="AF496" s="50"/>
      <c r="AG496" s="50"/>
      <c r="AH496" s="50"/>
      <c r="AI496" s="50"/>
      <c r="AJ496" s="50"/>
      <c r="AK496" s="50"/>
      <c r="AL496" s="50"/>
    </row>
    <row r="497" spans="1:38" ht="13.8">
      <c r="A497" s="73"/>
      <c r="B497" s="74"/>
      <c r="C497" s="116"/>
      <c r="D497" s="24"/>
      <c r="E497" s="24"/>
      <c r="F497" s="24"/>
      <c r="G497" s="24"/>
      <c r="H497" s="24"/>
      <c r="I497" s="24"/>
      <c r="J497" s="63"/>
      <c r="K497" s="24"/>
      <c r="L497" s="118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119"/>
      <c r="X497" s="50"/>
      <c r="Y497" s="50"/>
      <c r="Z497" s="50"/>
      <c r="AA497" s="50"/>
      <c r="AB497" s="50"/>
      <c r="AC497" s="116"/>
      <c r="AD497" s="24"/>
      <c r="AE497" s="24"/>
      <c r="AF497" s="50"/>
      <c r="AG497" s="50"/>
      <c r="AH497" s="50"/>
      <c r="AI497" s="50"/>
      <c r="AJ497" s="50"/>
      <c r="AK497" s="50"/>
      <c r="AL497" s="50"/>
    </row>
    <row r="498" spans="1:38" ht="13.8">
      <c r="A498" s="73"/>
      <c r="B498" s="74"/>
      <c r="C498" s="116"/>
      <c r="D498" s="24"/>
      <c r="E498" s="24"/>
      <c r="F498" s="24"/>
      <c r="G498" s="24"/>
      <c r="H498" s="24"/>
      <c r="I498" s="24"/>
      <c r="J498" s="63"/>
      <c r="K498" s="24"/>
      <c r="L498" s="118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119"/>
      <c r="X498" s="50"/>
      <c r="Y498" s="50"/>
      <c r="Z498" s="50"/>
      <c r="AA498" s="50"/>
      <c r="AB498" s="50"/>
      <c r="AC498" s="116"/>
      <c r="AD498" s="24"/>
      <c r="AE498" s="24"/>
      <c r="AF498" s="50"/>
      <c r="AG498" s="50"/>
      <c r="AH498" s="50"/>
      <c r="AI498" s="50"/>
      <c r="AJ498" s="50"/>
      <c r="AK498" s="50"/>
      <c r="AL498" s="50"/>
    </row>
    <row r="499" spans="1:38" ht="13.8">
      <c r="A499" s="73"/>
      <c r="B499" s="74"/>
      <c r="C499" s="116"/>
      <c r="D499" s="24"/>
      <c r="E499" s="24"/>
      <c r="F499" s="24"/>
      <c r="G499" s="24"/>
      <c r="H499" s="24"/>
      <c r="I499" s="24"/>
      <c r="J499" s="63"/>
      <c r="K499" s="24"/>
      <c r="L499" s="118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119"/>
      <c r="X499" s="50"/>
      <c r="Y499" s="50"/>
      <c r="Z499" s="50"/>
      <c r="AA499" s="50"/>
      <c r="AB499" s="50"/>
      <c r="AC499" s="116"/>
      <c r="AD499" s="24"/>
      <c r="AE499" s="24"/>
      <c r="AF499" s="50"/>
      <c r="AG499" s="50"/>
      <c r="AH499" s="50"/>
      <c r="AI499" s="50"/>
      <c r="AJ499" s="50"/>
      <c r="AK499" s="50"/>
      <c r="AL499" s="50"/>
    </row>
    <row r="500" spans="1:38" ht="13.8">
      <c r="A500" s="73"/>
      <c r="B500" s="74"/>
      <c r="C500" s="116"/>
      <c r="D500" s="24"/>
      <c r="E500" s="24"/>
      <c r="F500" s="24"/>
      <c r="G500" s="24"/>
      <c r="H500" s="24"/>
      <c r="I500" s="24"/>
      <c r="J500" s="63"/>
      <c r="K500" s="24"/>
      <c r="L500" s="118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119"/>
      <c r="X500" s="50"/>
      <c r="Y500" s="50"/>
      <c r="Z500" s="50"/>
      <c r="AA500" s="50"/>
      <c r="AB500" s="50"/>
      <c r="AC500" s="116"/>
      <c r="AD500" s="24"/>
      <c r="AE500" s="24"/>
      <c r="AF500" s="50"/>
      <c r="AG500" s="50"/>
      <c r="AH500" s="50"/>
      <c r="AI500" s="50"/>
      <c r="AJ500" s="50"/>
      <c r="AK500" s="50"/>
      <c r="AL500" s="50"/>
    </row>
    <row r="501" spans="1:38" ht="13.8">
      <c r="A501" s="73"/>
      <c r="B501" s="74"/>
      <c r="C501" s="116"/>
      <c r="D501" s="24"/>
      <c r="E501" s="24"/>
      <c r="F501" s="24"/>
      <c r="G501" s="24"/>
      <c r="H501" s="24"/>
      <c r="I501" s="24"/>
      <c r="J501" s="63"/>
      <c r="K501" s="24"/>
      <c r="L501" s="118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119"/>
      <c r="X501" s="50"/>
      <c r="Y501" s="50"/>
      <c r="Z501" s="50"/>
      <c r="AA501" s="50"/>
      <c r="AB501" s="50"/>
      <c r="AC501" s="116"/>
      <c r="AD501" s="24"/>
      <c r="AE501" s="24"/>
      <c r="AF501" s="50"/>
      <c r="AG501" s="50"/>
      <c r="AH501" s="50"/>
      <c r="AI501" s="50"/>
      <c r="AJ501" s="50"/>
      <c r="AK501" s="50"/>
      <c r="AL501" s="50"/>
    </row>
    <row r="502" spans="1:38" ht="13.8">
      <c r="A502" s="73"/>
      <c r="B502" s="74"/>
      <c r="C502" s="116"/>
      <c r="D502" s="24"/>
      <c r="E502" s="24"/>
      <c r="F502" s="24"/>
      <c r="G502" s="24"/>
      <c r="H502" s="24"/>
      <c r="I502" s="24"/>
      <c r="J502" s="63"/>
      <c r="K502" s="24"/>
      <c r="L502" s="118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119"/>
      <c r="X502" s="50"/>
      <c r="Y502" s="50"/>
      <c r="Z502" s="50"/>
      <c r="AA502" s="50"/>
      <c r="AB502" s="50"/>
      <c r="AC502" s="116"/>
      <c r="AD502" s="24"/>
      <c r="AE502" s="24"/>
      <c r="AF502" s="50"/>
      <c r="AG502" s="50"/>
      <c r="AH502" s="50"/>
      <c r="AI502" s="50"/>
      <c r="AJ502" s="50"/>
      <c r="AK502" s="50"/>
      <c r="AL502" s="50"/>
    </row>
    <row r="503" spans="1:38" ht="13.8">
      <c r="A503" s="73"/>
      <c r="B503" s="74"/>
      <c r="C503" s="116"/>
      <c r="D503" s="24"/>
      <c r="E503" s="24"/>
      <c r="F503" s="24"/>
      <c r="G503" s="24"/>
      <c r="H503" s="24"/>
      <c r="I503" s="24"/>
      <c r="J503" s="63"/>
      <c r="K503" s="24"/>
      <c r="L503" s="118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119"/>
      <c r="X503" s="50"/>
      <c r="Y503" s="50"/>
      <c r="Z503" s="50"/>
      <c r="AA503" s="50"/>
      <c r="AB503" s="50"/>
      <c r="AC503" s="116"/>
      <c r="AD503" s="24"/>
      <c r="AE503" s="24"/>
      <c r="AF503" s="50"/>
      <c r="AG503" s="50"/>
      <c r="AH503" s="50"/>
      <c r="AI503" s="50"/>
      <c r="AJ503" s="50"/>
      <c r="AK503" s="50"/>
      <c r="AL503" s="50"/>
    </row>
    <row r="504" spans="1:38" ht="13.8">
      <c r="A504" s="73"/>
      <c r="B504" s="74"/>
      <c r="C504" s="116"/>
      <c r="D504" s="24"/>
      <c r="E504" s="24"/>
      <c r="F504" s="24"/>
      <c r="G504" s="24"/>
      <c r="H504" s="24"/>
      <c r="I504" s="24"/>
      <c r="J504" s="63"/>
      <c r="K504" s="24"/>
      <c r="L504" s="118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119"/>
      <c r="X504" s="50"/>
      <c r="Y504" s="50"/>
      <c r="Z504" s="50"/>
      <c r="AA504" s="50"/>
      <c r="AB504" s="50"/>
      <c r="AC504" s="116"/>
      <c r="AD504" s="24"/>
      <c r="AE504" s="24"/>
      <c r="AF504" s="50"/>
      <c r="AG504" s="50"/>
      <c r="AH504" s="50"/>
      <c r="AI504" s="50"/>
      <c r="AJ504" s="50"/>
      <c r="AK504" s="50"/>
      <c r="AL504" s="50"/>
    </row>
    <row r="505" spans="1:38" ht="13.8">
      <c r="A505" s="73"/>
      <c r="B505" s="74"/>
      <c r="C505" s="116"/>
      <c r="D505" s="24"/>
      <c r="E505" s="24"/>
      <c r="F505" s="24"/>
      <c r="G505" s="24"/>
      <c r="H505" s="24"/>
      <c r="I505" s="24"/>
      <c r="J505" s="63"/>
      <c r="K505" s="24"/>
      <c r="L505" s="118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119"/>
      <c r="X505" s="50"/>
      <c r="Y505" s="50"/>
      <c r="Z505" s="50"/>
      <c r="AA505" s="50"/>
      <c r="AB505" s="50"/>
      <c r="AC505" s="116"/>
      <c r="AD505" s="24"/>
      <c r="AE505" s="24"/>
      <c r="AF505" s="50"/>
      <c r="AG505" s="50"/>
      <c r="AH505" s="50"/>
      <c r="AI505" s="50"/>
      <c r="AJ505" s="50"/>
      <c r="AK505" s="50"/>
      <c r="AL505" s="50"/>
    </row>
    <row r="506" spans="1:38" ht="13.8">
      <c r="A506" s="73"/>
      <c r="B506" s="74"/>
      <c r="C506" s="116"/>
      <c r="D506" s="24"/>
      <c r="E506" s="24"/>
      <c r="F506" s="24"/>
      <c r="G506" s="24"/>
      <c r="H506" s="24"/>
      <c r="I506" s="24"/>
      <c r="J506" s="63"/>
      <c r="K506" s="24"/>
      <c r="L506" s="118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119"/>
      <c r="X506" s="50"/>
      <c r="Y506" s="50"/>
      <c r="Z506" s="50"/>
      <c r="AA506" s="50"/>
      <c r="AB506" s="50"/>
      <c r="AC506" s="116"/>
      <c r="AD506" s="24"/>
      <c r="AE506" s="24"/>
      <c r="AF506" s="50"/>
      <c r="AG506" s="50"/>
      <c r="AH506" s="50"/>
      <c r="AI506" s="50"/>
      <c r="AJ506" s="50"/>
      <c r="AK506" s="50"/>
      <c r="AL506" s="50"/>
    </row>
    <row r="507" spans="1:38" ht="13.8">
      <c r="A507" s="73"/>
      <c r="B507" s="74"/>
      <c r="C507" s="116"/>
      <c r="D507" s="24"/>
      <c r="E507" s="24"/>
      <c r="F507" s="24"/>
      <c r="G507" s="24"/>
      <c r="H507" s="24"/>
      <c r="I507" s="24"/>
      <c r="J507" s="63"/>
      <c r="K507" s="24"/>
      <c r="L507" s="118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119"/>
      <c r="X507" s="50"/>
      <c r="Y507" s="50"/>
      <c r="Z507" s="50"/>
      <c r="AA507" s="50"/>
      <c r="AB507" s="50"/>
      <c r="AC507" s="116"/>
      <c r="AD507" s="24"/>
      <c r="AE507" s="24"/>
      <c r="AF507" s="50"/>
      <c r="AG507" s="50"/>
      <c r="AH507" s="50"/>
      <c r="AI507" s="50"/>
      <c r="AJ507" s="50"/>
      <c r="AK507" s="50"/>
      <c r="AL507" s="50"/>
    </row>
    <row r="508" spans="1:38" ht="13.8">
      <c r="A508" s="73"/>
      <c r="B508" s="74"/>
      <c r="C508" s="116"/>
      <c r="D508" s="24"/>
      <c r="E508" s="24"/>
      <c r="F508" s="24"/>
      <c r="G508" s="24"/>
      <c r="H508" s="24"/>
      <c r="I508" s="24"/>
      <c r="J508" s="63"/>
      <c r="K508" s="24"/>
      <c r="L508" s="118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119"/>
      <c r="X508" s="50"/>
      <c r="Y508" s="50"/>
      <c r="Z508" s="50"/>
      <c r="AA508" s="50"/>
      <c r="AB508" s="50"/>
      <c r="AC508" s="116"/>
      <c r="AD508" s="24"/>
      <c r="AE508" s="24"/>
      <c r="AF508" s="50"/>
      <c r="AG508" s="50"/>
      <c r="AH508" s="50"/>
      <c r="AI508" s="50"/>
      <c r="AJ508" s="50"/>
      <c r="AK508" s="50"/>
      <c r="AL508" s="50"/>
    </row>
    <row r="509" spans="1:38" ht="13.8">
      <c r="A509" s="73"/>
      <c r="B509" s="74"/>
      <c r="C509" s="116"/>
      <c r="D509" s="24"/>
      <c r="E509" s="24"/>
      <c r="F509" s="24"/>
      <c r="G509" s="24"/>
      <c r="H509" s="24"/>
      <c r="I509" s="24"/>
      <c r="J509" s="63"/>
      <c r="K509" s="24"/>
      <c r="L509" s="118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119"/>
      <c r="X509" s="50"/>
      <c r="Y509" s="50"/>
      <c r="Z509" s="50"/>
      <c r="AA509" s="50"/>
      <c r="AB509" s="50"/>
      <c r="AC509" s="116"/>
      <c r="AD509" s="24"/>
      <c r="AE509" s="24"/>
      <c r="AF509" s="50"/>
      <c r="AG509" s="50"/>
      <c r="AH509" s="50"/>
      <c r="AI509" s="50"/>
      <c r="AJ509" s="50"/>
      <c r="AK509" s="50"/>
      <c r="AL509" s="50"/>
    </row>
    <row r="510" spans="1:38" ht="13.8">
      <c r="A510" s="73"/>
      <c r="B510" s="74"/>
      <c r="C510" s="116"/>
      <c r="D510" s="24"/>
      <c r="E510" s="24"/>
      <c r="F510" s="24"/>
      <c r="G510" s="24"/>
      <c r="H510" s="24"/>
      <c r="I510" s="24"/>
      <c r="J510" s="63"/>
      <c r="K510" s="24"/>
      <c r="L510" s="118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119"/>
      <c r="X510" s="50"/>
      <c r="Y510" s="50"/>
      <c r="Z510" s="50"/>
      <c r="AA510" s="50"/>
      <c r="AB510" s="50"/>
      <c r="AC510" s="116"/>
      <c r="AD510" s="24"/>
      <c r="AE510" s="24"/>
      <c r="AF510" s="50"/>
      <c r="AG510" s="50"/>
      <c r="AH510" s="50"/>
      <c r="AI510" s="50"/>
      <c r="AJ510" s="50"/>
      <c r="AK510" s="50"/>
      <c r="AL510" s="50"/>
    </row>
    <row r="511" spans="1:38" ht="13.8">
      <c r="A511" s="73"/>
      <c r="B511" s="74"/>
      <c r="C511" s="116"/>
      <c r="D511" s="24"/>
      <c r="E511" s="24"/>
      <c r="F511" s="24"/>
      <c r="G511" s="24"/>
      <c r="H511" s="24"/>
      <c r="I511" s="24"/>
      <c r="J511" s="63"/>
      <c r="K511" s="24"/>
      <c r="L511" s="118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119"/>
      <c r="X511" s="50"/>
      <c r="Y511" s="50"/>
      <c r="Z511" s="50"/>
      <c r="AA511" s="50"/>
      <c r="AB511" s="50"/>
      <c r="AC511" s="116"/>
      <c r="AD511" s="24"/>
      <c r="AE511" s="24"/>
      <c r="AF511" s="50"/>
      <c r="AG511" s="50"/>
      <c r="AH511" s="50"/>
      <c r="AI511" s="50"/>
      <c r="AJ511" s="50"/>
      <c r="AK511" s="50"/>
      <c r="AL511" s="50"/>
    </row>
    <row r="512" spans="1:38" ht="13.8">
      <c r="A512" s="73"/>
      <c r="B512" s="74"/>
      <c r="C512" s="116"/>
      <c r="D512" s="24"/>
      <c r="E512" s="24"/>
      <c r="F512" s="24"/>
      <c r="G512" s="24"/>
      <c r="H512" s="24"/>
      <c r="I512" s="24"/>
      <c r="J512" s="63"/>
      <c r="K512" s="24"/>
      <c r="L512" s="118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119"/>
      <c r="X512" s="50"/>
      <c r="Y512" s="50"/>
      <c r="Z512" s="50"/>
      <c r="AA512" s="50"/>
      <c r="AB512" s="50"/>
      <c r="AC512" s="116"/>
      <c r="AD512" s="24"/>
      <c r="AE512" s="24"/>
      <c r="AF512" s="50"/>
      <c r="AG512" s="50"/>
      <c r="AH512" s="50"/>
      <c r="AI512" s="50"/>
      <c r="AJ512" s="50"/>
      <c r="AK512" s="50"/>
      <c r="AL512" s="50"/>
    </row>
    <row r="513" spans="1:38" ht="13.8">
      <c r="A513" s="73"/>
      <c r="B513" s="74"/>
      <c r="C513" s="116"/>
      <c r="D513" s="24"/>
      <c r="E513" s="24"/>
      <c r="F513" s="24"/>
      <c r="G513" s="24"/>
      <c r="H513" s="24"/>
      <c r="I513" s="24"/>
      <c r="J513" s="63"/>
      <c r="K513" s="24"/>
      <c r="L513" s="118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119"/>
      <c r="X513" s="50"/>
      <c r="Y513" s="50"/>
      <c r="Z513" s="50"/>
      <c r="AA513" s="50"/>
      <c r="AB513" s="50"/>
      <c r="AC513" s="116"/>
      <c r="AD513" s="24"/>
      <c r="AE513" s="24"/>
      <c r="AF513" s="50"/>
      <c r="AG513" s="50"/>
      <c r="AH513" s="50"/>
      <c r="AI513" s="50"/>
      <c r="AJ513" s="50"/>
      <c r="AK513" s="50"/>
      <c r="AL513" s="50"/>
    </row>
    <row r="514" spans="1:38" ht="13.8">
      <c r="A514" s="73"/>
      <c r="B514" s="74"/>
      <c r="C514" s="116"/>
      <c r="D514" s="24"/>
      <c r="E514" s="24"/>
      <c r="F514" s="24"/>
      <c r="G514" s="24"/>
      <c r="H514" s="24"/>
      <c r="I514" s="24"/>
      <c r="J514" s="63"/>
      <c r="K514" s="24"/>
      <c r="L514" s="118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119"/>
      <c r="X514" s="50"/>
      <c r="Y514" s="50"/>
      <c r="Z514" s="50"/>
      <c r="AA514" s="50"/>
      <c r="AB514" s="50"/>
      <c r="AC514" s="116"/>
      <c r="AD514" s="24"/>
      <c r="AE514" s="24"/>
      <c r="AF514" s="50"/>
      <c r="AG514" s="50"/>
      <c r="AH514" s="50"/>
      <c r="AI514" s="50"/>
      <c r="AJ514" s="50"/>
      <c r="AK514" s="50"/>
      <c r="AL514" s="50"/>
    </row>
    <row r="515" spans="1:38" ht="13.8">
      <c r="A515" s="73"/>
      <c r="B515" s="74"/>
      <c r="C515" s="116"/>
      <c r="D515" s="24"/>
      <c r="E515" s="24"/>
      <c r="F515" s="24"/>
      <c r="G515" s="24"/>
      <c r="H515" s="24"/>
      <c r="I515" s="24"/>
      <c r="J515" s="63"/>
      <c r="K515" s="24"/>
      <c r="L515" s="118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119"/>
      <c r="X515" s="50"/>
      <c r="Y515" s="50"/>
      <c r="Z515" s="50"/>
      <c r="AA515" s="50"/>
      <c r="AB515" s="50"/>
      <c r="AC515" s="116"/>
      <c r="AD515" s="24"/>
      <c r="AE515" s="24"/>
      <c r="AF515" s="50"/>
      <c r="AG515" s="50"/>
      <c r="AH515" s="50"/>
      <c r="AI515" s="50"/>
      <c r="AJ515" s="50"/>
      <c r="AK515" s="50"/>
      <c r="AL515" s="50"/>
    </row>
    <row r="516" spans="1:38" ht="13.8">
      <c r="A516" s="73"/>
      <c r="B516" s="74"/>
      <c r="C516" s="116"/>
      <c r="D516" s="24"/>
      <c r="E516" s="24"/>
      <c r="F516" s="24"/>
      <c r="G516" s="24"/>
      <c r="H516" s="24"/>
      <c r="I516" s="24"/>
      <c r="J516" s="63"/>
      <c r="K516" s="24"/>
      <c r="L516" s="118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119"/>
      <c r="X516" s="50"/>
      <c r="Y516" s="50"/>
      <c r="Z516" s="50"/>
      <c r="AA516" s="50"/>
      <c r="AB516" s="50"/>
      <c r="AC516" s="116"/>
      <c r="AD516" s="24"/>
      <c r="AE516" s="24"/>
      <c r="AF516" s="50"/>
      <c r="AG516" s="50"/>
      <c r="AH516" s="50"/>
      <c r="AI516" s="50"/>
      <c r="AJ516" s="50"/>
      <c r="AK516" s="50"/>
      <c r="AL516" s="50"/>
    </row>
    <row r="517" spans="1:38" ht="13.8">
      <c r="A517" s="73"/>
      <c r="B517" s="74"/>
      <c r="C517" s="116"/>
      <c r="D517" s="24"/>
      <c r="E517" s="24"/>
      <c r="F517" s="24"/>
      <c r="G517" s="24"/>
      <c r="H517" s="24"/>
      <c r="I517" s="24"/>
      <c r="J517" s="63"/>
      <c r="K517" s="24"/>
      <c r="L517" s="118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119"/>
      <c r="X517" s="50"/>
      <c r="Y517" s="50"/>
      <c r="Z517" s="50"/>
      <c r="AA517" s="50"/>
      <c r="AB517" s="50"/>
      <c r="AC517" s="116"/>
      <c r="AD517" s="24"/>
      <c r="AE517" s="24"/>
      <c r="AF517" s="50"/>
      <c r="AG517" s="50"/>
      <c r="AH517" s="50"/>
      <c r="AI517" s="50"/>
      <c r="AJ517" s="50"/>
      <c r="AK517" s="50"/>
      <c r="AL517" s="50"/>
    </row>
    <row r="518" spans="1:38" ht="13.8">
      <c r="A518" s="73"/>
      <c r="B518" s="74"/>
      <c r="C518" s="116"/>
      <c r="D518" s="24"/>
      <c r="E518" s="24"/>
      <c r="F518" s="24"/>
      <c r="G518" s="24"/>
      <c r="H518" s="24"/>
      <c r="I518" s="24"/>
      <c r="J518" s="63"/>
      <c r="K518" s="24"/>
      <c r="L518" s="118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119"/>
      <c r="X518" s="50"/>
      <c r="Y518" s="50"/>
      <c r="Z518" s="50"/>
      <c r="AA518" s="50"/>
      <c r="AB518" s="50"/>
      <c r="AC518" s="116"/>
      <c r="AD518" s="24"/>
      <c r="AE518" s="24"/>
      <c r="AF518" s="50"/>
      <c r="AG518" s="50"/>
      <c r="AH518" s="50"/>
      <c r="AI518" s="50"/>
      <c r="AJ518" s="50"/>
      <c r="AK518" s="50"/>
      <c r="AL518" s="50"/>
    </row>
    <row r="519" spans="1:38" ht="13.8">
      <c r="A519" s="73"/>
      <c r="B519" s="74"/>
      <c r="C519" s="116"/>
      <c r="D519" s="24"/>
      <c r="E519" s="24"/>
      <c r="F519" s="24"/>
      <c r="G519" s="24"/>
      <c r="H519" s="24"/>
      <c r="I519" s="24"/>
      <c r="J519" s="63"/>
      <c r="K519" s="24"/>
      <c r="L519" s="118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119"/>
      <c r="X519" s="50"/>
      <c r="Y519" s="50"/>
      <c r="Z519" s="50"/>
      <c r="AA519" s="50"/>
      <c r="AB519" s="50"/>
      <c r="AC519" s="116"/>
      <c r="AD519" s="24"/>
      <c r="AE519" s="24"/>
      <c r="AF519" s="50"/>
      <c r="AG519" s="50"/>
      <c r="AH519" s="50"/>
      <c r="AI519" s="50"/>
      <c r="AJ519" s="50"/>
      <c r="AK519" s="50"/>
      <c r="AL519" s="50"/>
    </row>
    <row r="520" spans="1:38" ht="13.8">
      <c r="A520" s="73"/>
      <c r="B520" s="74"/>
      <c r="C520" s="116"/>
      <c r="D520" s="24"/>
      <c r="E520" s="24"/>
      <c r="F520" s="24"/>
      <c r="G520" s="24"/>
      <c r="H520" s="24"/>
      <c r="I520" s="24"/>
      <c r="J520" s="63"/>
      <c r="K520" s="24"/>
      <c r="L520" s="118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119"/>
      <c r="X520" s="50"/>
      <c r="Y520" s="50"/>
      <c r="Z520" s="50"/>
      <c r="AA520" s="50"/>
      <c r="AB520" s="50"/>
      <c r="AC520" s="116"/>
      <c r="AD520" s="24"/>
      <c r="AE520" s="24"/>
      <c r="AF520" s="50"/>
      <c r="AG520" s="50"/>
      <c r="AH520" s="50"/>
      <c r="AI520" s="50"/>
      <c r="AJ520" s="50"/>
      <c r="AK520" s="50"/>
      <c r="AL520" s="50"/>
    </row>
    <row r="521" spans="1:38" ht="13.8">
      <c r="A521" s="73"/>
      <c r="B521" s="74"/>
      <c r="C521" s="116"/>
      <c r="D521" s="24"/>
      <c r="E521" s="24"/>
      <c r="F521" s="24"/>
      <c r="G521" s="24"/>
      <c r="H521" s="24"/>
      <c r="I521" s="24"/>
      <c r="J521" s="63"/>
      <c r="K521" s="24"/>
      <c r="L521" s="118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119"/>
      <c r="X521" s="50"/>
      <c r="Y521" s="50"/>
      <c r="Z521" s="50"/>
      <c r="AA521" s="50"/>
      <c r="AB521" s="50"/>
      <c r="AC521" s="116"/>
      <c r="AD521" s="24"/>
      <c r="AE521" s="24"/>
      <c r="AF521" s="50"/>
      <c r="AG521" s="50"/>
      <c r="AH521" s="50"/>
      <c r="AI521" s="50"/>
      <c r="AJ521" s="50"/>
      <c r="AK521" s="50"/>
      <c r="AL521" s="50"/>
    </row>
    <row r="522" spans="1:38" ht="13.8">
      <c r="A522" s="73"/>
      <c r="B522" s="74"/>
      <c r="C522" s="116"/>
      <c r="D522" s="24"/>
      <c r="E522" s="24"/>
      <c r="F522" s="24"/>
      <c r="G522" s="24"/>
      <c r="H522" s="24"/>
      <c r="I522" s="24"/>
      <c r="J522" s="63"/>
      <c r="K522" s="24"/>
      <c r="L522" s="118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119"/>
      <c r="X522" s="50"/>
      <c r="Y522" s="50"/>
      <c r="Z522" s="50"/>
      <c r="AA522" s="50"/>
      <c r="AB522" s="50"/>
      <c r="AC522" s="116"/>
      <c r="AD522" s="24"/>
      <c r="AE522" s="24"/>
      <c r="AF522" s="50"/>
      <c r="AG522" s="50"/>
      <c r="AH522" s="50"/>
      <c r="AI522" s="50"/>
      <c r="AJ522" s="50"/>
      <c r="AK522" s="50"/>
      <c r="AL522" s="50"/>
    </row>
    <row r="523" spans="1:38" ht="13.8">
      <c r="A523" s="73"/>
      <c r="B523" s="74"/>
      <c r="C523" s="116"/>
      <c r="D523" s="24"/>
      <c r="E523" s="24"/>
      <c r="F523" s="24"/>
      <c r="G523" s="24"/>
      <c r="H523" s="24"/>
      <c r="I523" s="24"/>
      <c r="J523" s="63"/>
      <c r="K523" s="24"/>
      <c r="L523" s="118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119"/>
      <c r="X523" s="50"/>
      <c r="Y523" s="50"/>
      <c r="Z523" s="50"/>
      <c r="AA523" s="50"/>
      <c r="AB523" s="50"/>
      <c r="AC523" s="116"/>
      <c r="AD523" s="24"/>
      <c r="AE523" s="24"/>
      <c r="AF523" s="50"/>
      <c r="AG523" s="50"/>
      <c r="AH523" s="50"/>
      <c r="AI523" s="50"/>
      <c r="AJ523" s="50"/>
      <c r="AK523" s="50"/>
      <c r="AL523" s="50"/>
    </row>
    <row r="524" spans="1:38" ht="13.8">
      <c r="A524" s="73"/>
      <c r="B524" s="74"/>
      <c r="C524" s="116"/>
      <c r="D524" s="24"/>
      <c r="E524" s="24"/>
      <c r="F524" s="24"/>
      <c r="G524" s="24"/>
      <c r="H524" s="24"/>
      <c r="I524" s="24"/>
      <c r="J524" s="63"/>
      <c r="K524" s="24"/>
      <c r="L524" s="118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119"/>
      <c r="X524" s="50"/>
      <c r="Y524" s="50"/>
      <c r="Z524" s="50"/>
      <c r="AA524" s="50"/>
      <c r="AB524" s="50"/>
      <c r="AC524" s="116"/>
      <c r="AD524" s="24"/>
      <c r="AE524" s="24"/>
      <c r="AF524" s="50"/>
      <c r="AG524" s="50"/>
      <c r="AH524" s="50"/>
      <c r="AI524" s="50"/>
      <c r="AJ524" s="50"/>
      <c r="AK524" s="50"/>
      <c r="AL524" s="50"/>
    </row>
    <row r="525" spans="1:38" ht="13.8">
      <c r="A525" s="73"/>
      <c r="B525" s="74"/>
      <c r="C525" s="116"/>
      <c r="D525" s="24"/>
      <c r="E525" s="24"/>
      <c r="F525" s="24"/>
      <c r="G525" s="24"/>
      <c r="H525" s="24"/>
      <c r="I525" s="24"/>
      <c r="J525" s="63"/>
      <c r="K525" s="24"/>
      <c r="L525" s="118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119"/>
      <c r="X525" s="50"/>
      <c r="Y525" s="50"/>
      <c r="Z525" s="50"/>
      <c r="AA525" s="50"/>
      <c r="AB525" s="50"/>
      <c r="AC525" s="116"/>
      <c r="AD525" s="24"/>
      <c r="AE525" s="24"/>
      <c r="AF525" s="50"/>
      <c r="AG525" s="50"/>
      <c r="AH525" s="50"/>
      <c r="AI525" s="50"/>
      <c r="AJ525" s="50"/>
      <c r="AK525" s="50"/>
      <c r="AL525" s="50"/>
    </row>
    <row r="526" spans="1:38" ht="13.8">
      <c r="A526" s="73"/>
      <c r="B526" s="74"/>
      <c r="C526" s="116"/>
      <c r="D526" s="24"/>
      <c r="E526" s="24"/>
      <c r="F526" s="24"/>
      <c r="G526" s="24"/>
      <c r="H526" s="24"/>
      <c r="I526" s="24"/>
      <c r="J526" s="63"/>
      <c r="K526" s="24"/>
      <c r="L526" s="118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119"/>
      <c r="X526" s="50"/>
      <c r="Y526" s="50"/>
      <c r="Z526" s="50"/>
      <c r="AA526" s="50"/>
      <c r="AB526" s="50"/>
      <c r="AC526" s="116"/>
      <c r="AD526" s="24"/>
      <c r="AE526" s="24"/>
      <c r="AF526" s="50"/>
      <c r="AG526" s="50"/>
      <c r="AH526" s="50"/>
      <c r="AI526" s="50"/>
      <c r="AJ526" s="50"/>
      <c r="AK526" s="50"/>
      <c r="AL526" s="50"/>
    </row>
    <row r="527" spans="1:38" ht="13.8">
      <c r="A527" s="73"/>
      <c r="B527" s="74"/>
      <c r="C527" s="116"/>
      <c r="D527" s="24"/>
      <c r="E527" s="24"/>
      <c r="F527" s="24"/>
      <c r="G527" s="24"/>
      <c r="H527" s="24"/>
      <c r="I527" s="24"/>
      <c r="J527" s="63"/>
      <c r="K527" s="24"/>
      <c r="L527" s="118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119"/>
      <c r="X527" s="50"/>
      <c r="Y527" s="50"/>
      <c r="Z527" s="50"/>
      <c r="AA527" s="50"/>
      <c r="AB527" s="50"/>
      <c r="AC527" s="116"/>
      <c r="AD527" s="24"/>
      <c r="AE527" s="24"/>
      <c r="AF527" s="50"/>
      <c r="AG527" s="50"/>
      <c r="AH527" s="50"/>
      <c r="AI527" s="50"/>
      <c r="AJ527" s="50"/>
      <c r="AK527" s="50"/>
      <c r="AL527" s="50"/>
    </row>
    <row r="528" spans="1:38" ht="13.8">
      <c r="A528" s="73"/>
      <c r="B528" s="74"/>
      <c r="C528" s="116"/>
      <c r="D528" s="24"/>
      <c r="E528" s="24"/>
      <c r="F528" s="24"/>
      <c r="G528" s="24"/>
      <c r="H528" s="24"/>
      <c r="I528" s="24"/>
      <c r="J528" s="63"/>
      <c r="K528" s="24"/>
      <c r="L528" s="118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119"/>
      <c r="X528" s="50"/>
      <c r="Y528" s="50"/>
      <c r="Z528" s="50"/>
      <c r="AA528" s="50"/>
      <c r="AB528" s="50"/>
      <c r="AC528" s="116"/>
      <c r="AD528" s="24"/>
      <c r="AE528" s="24"/>
      <c r="AF528" s="50"/>
      <c r="AG528" s="50"/>
      <c r="AH528" s="50"/>
      <c r="AI528" s="50"/>
      <c r="AJ528" s="50"/>
      <c r="AK528" s="50"/>
      <c r="AL528" s="50"/>
    </row>
    <row r="529" spans="1:38" ht="13.8">
      <c r="A529" s="73"/>
      <c r="B529" s="74"/>
      <c r="C529" s="116"/>
      <c r="D529" s="24"/>
      <c r="E529" s="24"/>
      <c r="F529" s="24"/>
      <c r="G529" s="24"/>
      <c r="H529" s="24"/>
      <c r="I529" s="24"/>
      <c r="J529" s="63"/>
      <c r="K529" s="24"/>
      <c r="L529" s="118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119"/>
      <c r="X529" s="50"/>
      <c r="Y529" s="50"/>
      <c r="Z529" s="50"/>
      <c r="AA529" s="50"/>
      <c r="AB529" s="50"/>
      <c r="AC529" s="116"/>
      <c r="AD529" s="24"/>
      <c r="AE529" s="24"/>
      <c r="AF529" s="50"/>
      <c r="AG529" s="50"/>
      <c r="AH529" s="50"/>
      <c r="AI529" s="50"/>
      <c r="AJ529" s="50"/>
      <c r="AK529" s="50"/>
      <c r="AL529" s="50"/>
    </row>
    <row r="530" spans="1:38" ht="13.8">
      <c r="A530" s="73"/>
      <c r="B530" s="74"/>
      <c r="C530" s="116"/>
      <c r="D530" s="24"/>
      <c r="E530" s="24"/>
      <c r="F530" s="24"/>
      <c r="G530" s="24"/>
      <c r="H530" s="24"/>
      <c r="I530" s="24"/>
      <c r="J530" s="63"/>
      <c r="K530" s="24"/>
      <c r="L530" s="118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119"/>
      <c r="X530" s="50"/>
      <c r="Y530" s="50"/>
      <c r="Z530" s="50"/>
      <c r="AA530" s="50"/>
      <c r="AB530" s="50"/>
      <c r="AC530" s="116"/>
      <c r="AD530" s="24"/>
      <c r="AE530" s="24"/>
      <c r="AF530" s="50"/>
      <c r="AG530" s="50"/>
      <c r="AH530" s="50"/>
      <c r="AI530" s="50"/>
      <c r="AJ530" s="50"/>
      <c r="AK530" s="50"/>
      <c r="AL530" s="50"/>
    </row>
    <row r="531" spans="1:38" ht="13.8">
      <c r="A531" s="73"/>
      <c r="B531" s="74"/>
      <c r="C531" s="116"/>
      <c r="D531" s="24"/>
      <c r="E531" s="24"/>
      <c r="F531" s="24"/>
      <c r="G531" s="24"/>
      <c r="H531" s="24"/>
      <c r="I531" s="24"/>
      <c r="J531" s="63"/>
      <c r="K531" s="24"/>
      <c r="L531" s="118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119"/>
      <c r="X531" s="50"/>
      <c r="Y531" s="50"/>
      <c r="Z531" s="50"/>
      <c r="AA531" s="50"/>
      <c r="AB531" s="50"/>
      <c r="AC531" s="116"/>
      <c r="AD531" s="24"/>
      <c r="AE531" s="24"/>
      <c r="AF531" s="50"/>
      <c r="AG531" s="50"/>
      <c r="AH531" s="50"/>
      <c r="AI531" s="50"/>
      <c r="AJ531" s="50"/>
      <c r="AK531" s="50"/>
      <c r="AL531" s="50"/>
    </row>
    <row r="532" spans="1:38" ht="13.8">
      <c r="A532" s="73"/>
      <c r="B532" s="74"/>
      <c r="C532" s="116"/>
      <c r="D532" s="24"/>
      <c r="E532" s="24"/>
      <c r="F532" s="24"/>
      <c r="G532" s="24"/>
      <c r="H532" s="24"/>
      <c r="I532" s="24"/>
      <c r="J532" s="63"/>
      <c r="K532" s="24"/>
      <c r="L532" s="118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119"/>
      <c r="X532" s="50"/>
      <c r="Y532" s="50"/>
      <c r="Z532" s="50"/>
      <c r="AA532" s="50"/>
      <c r="AB532" s="50"/>
      <c r="AC532" s="116"/>
      <c r="AD532" s="24"/>
      <c r="AE532" s="24"/>
      <c r="AF532" s="50"/>
      <c r="AG532" s="50"/>
      <c r="AH532" s="50"/>
      <c r="AI532" s="50"/>
      <c r="AJ532" s="50"/>
      <c r="AK532" s="50"/>
      <c r="AL532" s="50"/>
    </row>
    <row r="533" spans="1:38" ht="13.8">
      <c r="A533" s="73"/>
      <c r="B533" s="74"/>
      <c r="C533" s="116"/>
      <c r="D533" s="24"/>
      <c r="E533" s="24"/>
      <c r="F533" s="24"/>
      <c r="G533" s="24"/>
      <c r="H533" s="24"/>
      <c r="I533" s="24"/>
      <c r="J533" s="63"/>
      <c r="K533" s="24"/>
      <c r="L533" s="118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119"/>
      <c r="X533" s="50"/>
      <c r="Y533" s="50"/>
      <c r="Z533" s="50"/>
      <c r="AA533" s="50"/>
      <c r="AB533" s="50"/>
      <c r="AC533" s="116"/>
      <c r="AD533" s="24"/>
      <c r="AE533" s="24"/>
      <c r="AF533" s="50"/>
      <c r="AG533" s="50"/>
      <c r="AH533" s="50"/>
      <c r="AI533" s="50"/>
      <c r="AJ533" s="50"/>
      <c r="AK533" s="50"/>
      <c r="AL533" s="50"/>
    </row>
    <row r="534" spans="1:38" ht="13.8">
      <c r="A534" s="73"/>
      <c r="B534" s="74"/>
      <c r="C534" s="116"/>
      <c r="D534" s="24"/>
      <c r="E534" s="24"/>
      <c r="F534" s="24"/>
      <c r="G534" s="24"/>
      <c r="H534" s="24"/>
      <c r="I534" s="24"/>
      <c r="J534" s="63"/>
      <c r="K534" s="24"/>
      <c r="L534" s="118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119"/>
      <c r="X534" s="50"/>
      <c r="Y534" s="50"/>
      <c r="Z534" s="50"/>
      <c r="AA534" s="50"/>
      <c r="AB534" s="50"/>
      <c r="AC534" s="116"/>
      <c r="AD534" s="24"/>
      <c r="AE534" s="24"/>
      <c r="AF534" s="50"/>
      <c r="AG534" s="50"/>
      <c r="AH534" s="50"/>
      <c r="AI534" s="50"/>
      <c r="AJ534" s="50"/>
      <c r="AK534" s="50"/>
      <c r="AL534" s="50"/>
    </row>
    <row r="535" spans="1:38" ht="13.8">
      <c r="A535" s="73"/>
      <c r="B535" s="74"/>
      <c r="C535" s="116"/>
      <c r="D535" s="24"/>
      <c r="E535" s="24"/>
      <c r="F535" s="24"/>
      <c r="G535" s="24"/>
      <c r="H535" s="24"/>
      <c r="I535" s="24"/>
      <c r="J535" s="63"/>
      <c r="K535" s="24"/>
      <c r="L535" s="118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119"/>
      <c r="X535" s="50"/>
      <c r="Y535" s="50"/>
      <c r="Z535" s="50"/>
      <c r="AA535" s="50"/>
      <c r="AB535" s="50"/>
      <c r="AC535" s="116"/>
      <c r="AD535" s="24"/>
      <c r="AE535" s="24"/>
      <c r="AF535" s="50"/>
      <c r="AG535" s="50"/>
      <c r="AH535" s="50"/>
      <c r="AI535" s="50"/>
      <c r="AJ535" s="50"/>
      <c r="AK535" s="50"/>
      <c r="AL535" s="50"/>
    </row>
    <row r="536" spans="1:38" ht="13.8">
      <c r="A536" s="73"/>
      <c r="B536" s="74"/>
      <c r="C536" s="116"/>
      <c r="D536" s="24"/>
      <c r="E536" s="24"/>
      <c r="F536" s="24"/>
      <c r="G536" s="24"/>
      <c r="H536" s="24"/>
      <c r="I536" s="24"/>
      <c r="J536" s="63"/>
      <c r="K536" s="24"/>
      <c r="L536" s="118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119"/>
      <c r="X536" s="50"/>
      <c r="Y536" s="50"/>
      <c r="Z536" s="50"/>
      <c r="AA536" s="50"/>
      <c r="AB536" s="50"/>
      <c r="AC536" s="116"/>
      <c r="AD536" s="24"/>
      <c r="AE536" s="24"/>
      <c r="AF536" s="50"/>
      <c r="AG536" s="50"/>
      <c r="AH536" s="50"/>
      <c r="AI536" s="50"/>
      <c r="AJ536" s="50"/>
      <c r="AK536" s="50"/>
      <c r="AL536" s="50"/>
    </row>
    <row r="537" spans="1:38" ht="13.8">
      <c r="A537" s="73"/>
      <c r="B537" s="74"/>
      <c r="C537" s="116"/>
      <c r="D537" s="24"/>
      <c r="E537" s="24"/>
      <c r="F537" s="24"/>
      <c r="G537" s="24"/>
      <c r="H537" s="24"/>
      <c r="I537" s="24"/>
      <c r="J537" s="63"/>
      <c r="K537" s="24"/>
      <c r="L537" s="118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119"/>
      <c r="X537" s="50"/>
      <c r="Y537" s="50"/>
      <c r="Z537" s="50"/>
      <c r="AA537" s="50"/>
      <c r="AB537" s="50"/>
      <c r="AC537" s="116"/>
      <c r="AD537" s="24"/>
      <c r="AE537" s="24"/>
      <c r="AF537" s="50"/>
      <c r="AG537" s="50"/>
      <c r="AH537" s="50"/>
      <c r="AI537" s="50"/>
      <c r="AJ537" s="50"/>
      <c r="AK537" s="50"/>
      <c r="AL537" s="50"/>
    </row>
    <row r="538" spans="1:38" ht="13.8">
      <c r="A538" s="73"/>
      <c r="B538" s="74"/>
      <c r="C538" s="116"/>
      <c r="D538" s="24"/>
      <c r="E538" s="24"/>
      <c r="F538" s="24"/>
      <c r="G538" s="24"/>
      <c r="H538" s="24"/>
      <c r="I538" s="24"/>
      <c r="J538" s="63"/>
      <c r="K538" s="24"/>
      <c r="L538" s="118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119"/>
      <c r="X538" s="50"/>
      <c r="Y538" s="50"/>
      <c r="Z538" s="50"/>
      <c r="AA538" s="50"/>
      <c r="AB538" s="50"/>
      <c r="AC538" s="116"/>
      <c r="AD538" s="24"/>
      <c r="AE538" s="24"/>
      <c r="AF538" s="50"/>
      <c r="AG538" s="50"/>
      <c r="AH538" s="50"/>
      <c r="AI538" s="50"/>
      <c r="AJ538" s="50"/>
      <c r="AK538" s="50"/>
      <c r="AL538" s="50"/>
    </row>
    <row r="539" spans="1:38" ht="13.8">
      <c r="A539" s="73"/>
      <c r="B539" s="74"/>
      <c r="C539" s="116"/>
      <c r="D539" s="24"/>
      <c r="E539" s="24"/>
      <c r="F539" s="24"/>
      <c r="G539" s="24"/>
      <c r="H539" s="24"/>
      <c r="I539" s="24"/>
      <c r="J539" s="63"/>
      <c r="K539" s="24"/>
      <c r="L539" s="118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119"/>
      <c r="X539" s="50"/>
      <c r="Y539" s="50"/>
      <c r="Z539" s="50"/>
      <c r="AA539" s="50"/>
      <c r="AB539" s="50"/>
      <c r="AC539" s="116"/>
      <c r="AD539" s="24"/>
      <c r="AE539" s="24"/>
      <c r="AF539" s="50"/>
      <c r="AG539" s="50"/>
      <c r="AH539" s="50"/>
      <c r="AI539" s="50"/>
      <c r="AJ539" s="50"/>
      <c r="AK539" s="50"/>
      <c r="AL539" s="50"/>
    </row>
    <row r="540" spans="1:38" ht="13.8">
      <c r="A540" s="73"/>
      <c r="B540" s="74"/>
      <c r="C540" s="116"/>
      <c r="D540" s="24"/>
      <c r="E540" s="24"/>
      <c r="F540" s="24"/>
      <c r="G540" s="24"/>
      <c r="H540" s="24"/>
      <c r="I540" s="24"/>
      <c r="J540" s="63"/>
      <c r="K540" s="24"/>
      <c r="L540" s="118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119"/>
      <c r="X540" s="50"/>
      <c r="Y540" s="50"/>
      <c r="Z540" s="50"/>
      <c r="AA540" s="50"/>
      <c r="AB540" s="50"/>
      <c r="AC540" s="116"/>
      <c r="AD540" s="24"/>
      <c r="AE540" s="24"/>
      <c r="AF540" s="50"/>
      <c r="AG540" s="50"/>
      <c r="AH540" s="50"/>
      <c r="AI540" s="50"/>
      <c r="AJ540" s="50"/>
      <c r="AK540" s="50"/>
      <c r="AL540" s="50"/>
    </row>
    <row r="541" spans="1:38" ht="13.8">
      <c r="A541" s="73"/>
      <c r="B541" s="74"/>
      <c r="C541" s="116"/>
      <c r="D541" s="24"/>
      <c r="E541" s="24"/>
      <c r="F541" s="24"/>
      <c r="G541" s="24"/>
      <c r="H541" s="24"/>
      <c r="I541" s="24"/>
      <c r="J541" s="63"/>
      <c r="K541" s="24"/>
      <c r="L541" s="118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119"/>
      <c r="X541" s="50"/>
      <c r="Y541" s="50"/>
      <c r="Z541" s="50"/>
      <c r="AA541" s="50"/>
      <c r="AB541" s="50"/>
      <c r="AC541" s="116"/>
      <c r="AD541" s="24"/>
      <c r="AE541" s="24"/>
      <c r="AF541" s="50"/>
      <c r="AG541" s="50"/>
      <c r="AH541" s="50"/>
      <c r="AI541" s="50"/>
      <c r="AJ541" s="50"/>
      <c r="AK541" s="50"/>
      <c r="AL541" s="50"/>
    </row>
    <row r="542" spans="1:38" ht="13.8">
      <c r="A542" s="73"/>
      <c r="B542" s="74"/>
      <c r="C542" s="116"/>
      <c r="D542" s="24"/>
      <c r="E542" s="24"/>
      <c r="F542" s="24"/>
      <c r="G542" s="24"/>
      <c r="H542" s="24"/>
      <c r="I542" s="24"/>
      <c r="J542" s="63"/>
      <c r="K542" s="24"/>
      <c r="L542" s="118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119"/>
      <c r="X542" s="50"/>
      <c r="Y542" s="50"/>
      <c r="Z542" s="50"/>
      <c r="AA542" s="50"/>
      <c r="AB542" s="50"/>
      <c r="AC542" s="116"/>
      <c r="AD542" s="24"/>
      <c r="AE542" s="24"/>
      <c r="AF542" s="50"/>
      <c r="AG542" s="50"/>
      <c r="AH542" s="50"/>
      <c r="AI542" s="50"/>
      <c r="AJ542" s="50"/>
      <c r="AK542" s="50"/>
      <c r="AL542" s="50"/>
    </row>
    <row r="543" spans="1:38" ht="13.8">
      <c r="A543" s="73"/>
      <c r="B543" s="74"/>
      <c r="C543" s="116"/>
      <c r="D543" s="24"/>
      <c r="E543" s="24"/>
      <c r="F543" s="24"/>
      <c r="G543" s="24"/>
      <c r="H543" s="24"/>
      <c r="I543" s="24"/>
      <c r="J543" s="63"/>
      <c r="K543" s="24"/>
      <c r="L543" s="118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119"/>
      <c r="X543" s="50"/>
      <c r="Y543" s="50"/>
      <c r="Z543" s="50"/>
      <c r="AA543" s="50"/>
      <c r="AB543" s="50"/>
      <c r="AC543" s="116"/>
      <c r="AD543" s="24"/>
      <c r="AE543" s="24"/>
      <c r="AF543" s="50"/>
      <c r="AG543" s="50"/>
      <c r="AH543" s="50"/>
      <c r="AI543" s="50"/>
      <c r="AJ543" s="50"/>
      <c r="AK543" s="50"/>
      <c r="AL543" s="50"/>
    </row>
    <row r="544" spans="1:38" ht="13.8">
      <c r="A544" s="73"/>
      <c r="B544" s="74"/>
      <c r="C544" s="116"/>
      <c r="D544" s="24"/>
      <c r="E544" s="24"/>
      <c r="F544" s="24"/>
      <c r="G544" s="24"/>
      <c r="H544" s="24"/>
      <c r="I544" s="24"/>
      <c r="J544" s="63"/>
      <c r="K544" s="24"/>
      <c r="L544" s="118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119"/>
      <c r="X544" s="50"/>
      <c r="Y544" s="50"/>
      <c r="Z544" s="50"/>
      <c r="AA544" s="50"/>
      <c r="AB544" s="50"/>
      <c r="AC544" s="116"/>
      <c r="AD544" s="24"/>
      <c r="AE544" s="24"/>
      <c r="AF544" s="50"/>
      <c r="AG544" s="50"/>
      <c r="AH544" s="50"/>
      <c r="AI544" s="50"/>
      <c r="AJ544" s="50"/>
      <c r="AK544" s="50"/>
      <c r="AL544" s="50"/>
    </row>
    <row r="545" spans="1:38" ht="13.8">
      <c r="A545" s="73"/>
      <c r="B545" s="74"/>
      <c r="C545" s="116"/>
      <c r="D545" s="24"/>
      <c r="E545" s="24"/>
      <c r="F545" s="24"/>
      <c r="G545" s="24"/>
      <c r="H545" s="24"/>
      <c r="I545" s="24"/>
      <c r="J545" s="63"/>
      <c r="K545" s="24"/>
      <c r="L545" s="118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119"/>
      <c r="X545" s="50"/>
      <c r="Y545" s="50"/>
      <c r="Z545" s="50"/>
      <c r="AA545" s="50"/>
      <c r="AB545" s="50"/>
      <c r="AC545" s="116"/>
      <c r="AD545" s="24"/>
      <c r="AE545" s="24"/>
      <c r="AF545" s="50"/>
      <c r="AG545" s="50"/>
      <c r="AH545" s="50"/>
      <c r="AI545" s="50"/>
      <c r="AJ545" s="50"/>
      <c r="AK545" s="50"/>
      <c r="AL545" s="50"/>
    </row>
    <row r="546" spans="1:38" ht="13.8">
      <c r="A546" s="73"/>
      <c r="B546" s="74"/>
      <c r="C546" s="116"/>
      <c r="D546" s="24"/>
      <c r="E546" s="24"/>
      <c r="F546" s="24"/>
      <c r="G546" s="24"/>
      <c r="H546" s="24"/>
      <c r="I546" s="24"/>
      <c r="J546" s="63"/>
      <c r="K546" s="24"/>
      <c r="L546" s="118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119"/>
      <c r="X546" s="50"/>
      <c r="Y546" s="50"/>
      <c r="Z546" s="50"/>
      <c r="AA546" s="50"/>
      <c r="AB546" s="50"/>
      <c r="AC546" s="116"/>
      <c r="AD546" s="24"/>
      <c r="AE546" s="24"/>
      <c r="AF546" s="50"/>
      <c r="AG546" s="50"/>
      <c r="AH546" s="50"/>
      <c r="AI546" s="50"/>
      <c r="AJ546" s="50"/>
      <c r="AK546" s="50"/>
      <c r="AL546" s="50"/>
    </row>
    <row r="547" spans="1:38" ht="13.8">
      <c r="A547" s="73"/>
      <c r="B547" s="74"/>
      <c r="C547" s="116"/>
      <c r="D547" s="24"/>
      <c r="E547" s="24"/>
      <c r="F547" s="24"/>
      <c r="G547" s="24"/>
      <c r="H547" s="24"/>
      <c r="I547" s="24"/>
      <c r="J547" s="63"/>
      <c r="K547" s="24"/>
      <c r="L547" s="118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119"/>
      <c r="X547" s="50"/>
      <c r="Y547" s="50"/>
      <c r="Z547" s="50"/>
      <c r="AA547" s="50"/>
      <c r="AB547" s="50"/>
      <c r="AC547" s="116"/>
      <c r="AD547" s="24"/>
      <c r="AE547" s="24"/>
      <c r="AF547" s="50"/>
      <c r="AG547" s="50"/>
      <c r="AH547" s="50"/>
      <c r="AI547" s="50"/>
      <c r="AJ547" s="50"/>
      <c r="AK547" s="50"/>
      <c r="AL547" s="50"/>
    </row>
    <row r="548" spans="1:38" ht="13.8">
      <c r="A548" s="73"/>
      <c r="B548" s="74"/>
      <c r="C548" s="116"/>
      <c r="D548" s="24"/>
      <c r="E548" s="24"/>
      <c r="F548" s="24"/>
      <c r="G548" s="24"/>
      <c r="H548" s="24"/>
      <c r="I548" s="24"/>
      <c r="J548" s="63"/>
      <c r="K548" s="24"/>
      <c r="L548" s="118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119"/>
      <c r="X548" s="50"/>
      <c r="Y548" s="50"/>
      <c r="Z548" s="50"/>
      <c r="AA548" s="50"/>
      <c r="AB548" s="50"/>
      <c r="AC548" s="116"/>
      <c r="AD548" s="24"/>
      <c r="AE548" s="24"/>
      <c r="AF548" s="50"/>
      <c r="AG548" s="50"/>
      <c r="AH548" s="50"/>
      <c r="AI548" s="50"/>
      <c r="AJ548" s="50"/>
      <c r="AK548" s="50"/>
      <c r="AL548" s="50"/>
    </row>
    <row r="549" spans="1:38" ht="13.8">
      <c r="A549" s="73"/>
      <c r="B549" s="74"/>
      <c r="C549" s="116"/>
      <c r="D549" s="24"/>
      <c r="E549" s="24"/>
      <c r="F549" s="24"/>
      <c r="G549" s="24"/>
      <c r="H549" s="24"/>
      <c r="I549" s="24"/>
      <c r="J549" s="63"/>
      <c r="K549" s="24"/>
      <c r="L549" s="118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119"/>
      <c r="X549" s="50"/>
      <c r="Y549" s="50"/>
      <c r="Z549" s="50"/>
      <c r="AA549" s="50"/>
      <c r="AB549" s="50"/>
      <c r="AC549" s="116"/>
      <c r="AD549" s="24"/>
      <c r="AE549" s="24"/>
      <c r="AF549" s="50"/>
      <c r="AG549" s="50"/>
      <c r="AH549" s="50"/>
      <c r="AI549" s="50"/>
      <c r="AJ549" s="50"/>
      <c r="AK549" s="50"/>
      <c r="AL549" s="50"/>
    </row>
    <row r="550" spans="1:38" ht="13.8">
      <c r="A550" s="73"/>
      <c r="B550" s="74"/>
      <c r="C550" s="116"/>
      <c r="D550" s="24"/>
      <c r="E550" s="24"/>
      <c r="F550" s="24"/>
      <c r="G550" s="24"/>
      <c r="H550" s="24"/>
      <c r="I550" s="24"/>
      <c r="J550" s="63"/>
      <c r="K550" s="24"/>
      <c r="L550" s="118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119"/>
      <c r="X550" s="50"/>
      <c r="Y550" s="50"/>
      <c r="Z550" s="50"/>
      <c r="AA550" s="50"/>
      <c r="AB550" s="50"/>
      <c r="AC550" s="116"/>
      <c r="AD550" s="24"/>
      <c r="AE550" s="24"/>
      <c r="AF550" s="50"/>
      <c r="AG550" s="50"/>
      <c r="AH550" s="50"/>
      <c r="AI550" s="50"/>
      <c r="AJ550" s="50"/>
      <c r="AK550" s="50"/>
      <c r="AL550" s="50"/>
    </row>
    <row r="551" spans="1:38" ht="13.8">
      <c r="A551" s="73"/>
      <c r="B551" s="74"/>
      <c r="C551" s="116"/>
      <c r="D551" s="24"/>
      <c r="E551" s="24"/>
      <c r="F551" s="24"/>
      <c r="G551" s="24"/>
      <c r="H551" s="24"/>
      <c r="I551" s="24"/>
      <c r="J551" s="63"/>
      <c r="K551" s="24"/>
      <c r="L551" s="118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119"/>
      <c r="X551" s="50"/>
      <c r="Y551" s="50"/>
      <c r="Z551" s="50"/>
      <c r="AA551" s="50"/>
      <c r="AB551" s="50"/>
      <c r="AC551" s="116"/>
      <c r="AD551" s="24"/>
      <c r="AE551" s="24"/>
      <c r="AF551" s="50"/>
      <c r="AG551" s="50"/>
      <c r="AH551" s="50"/>
      <c r="AI551" s="50"/>
      <c r="AJ551" s="50"/>
      <c r="AK551" s="50"/>
      <c r="AL551" s="50"/>
    </row>
    <row r="552" spans="1:38" ht="13.8">
      <c r="A552" s="73"/>
      <c r="B552" s="74"/>
      <c r="C552" s="116"/>
      <c r="D552" s="24"/>
      <c r="E552" s="24"/>
      <c r="F552" s="24"/>
      <c r="G552" s="24"/>
      <c r="H552" s="24"/>
      <c r="I552" s="24"/>
      <c r="J552" s="63"/>
      <c r="K552" s="24"/>
      <c r="L552" s="118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119"/>
      <c r="X552" s="50"/>
      <c r="Y552" s="50"/>
      <c r="Z552" s="50"/>
      <c r="AA552" s="50"/>
      <c r="AB552" s="50"/>
      <c r="AC552" s="116"/>
      <c r="AD552" s="24"/>
      <c r="AE552" s="24"/>
      <c r="AF552" s="50"/>
      <c r="AG552" s="50"/>
      <c r="AH552" s="50"/>
      <c r="AI552" s="50"/>
      <c r="AJ552" s="50"/>
      <c r="AK552" s="50"/>
      <c r="AL552" s="50"/>
    </row>
    <row r="553" spans="1:38" ht="13.8">
      <c r="A553" s="73"/>
      <c r="B553" s="74"/>
      <c r="C553" s="116"/>
      <c r="D553" s="24"/>
      <c r="E553" s="24"/>
      <c r="F553" s="24"/>
      <c r="G553" s="24"/>
      <c r="H553" s="24"/>
      <c r="I553" s="24"/>
      <c r="J553" s="63"/>
      <c r="K553" s="24"/>
      <c r="L553" s="118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119"/>
      <c r="X553" s="50"/>
      <c r="Y553" s="50"/>
      <c r="Z553" s="50"/>
      <c r="AA553" s="50"/>
      <c r="AB553" s="50"/>
      <c r="AC553" s="116"/>
      <c r="AD553" s="24"/>
      <c r="AE553" s="24"/>
      <c r="AF553" s="50"/>
      <c r="AG553" s="50"/>
      <c r="AH553" s="50"/>
      <c r="AI553" s="50"/>
      <c r="AJ553" s="50"/>
      <c r="AK553" s="50"/>
      <c r="AL553" s="50"/>
    </row>
    <row r="554" spans="1:38" ht="13.8">
      <c r="A554" s="73"/>
      <c r="B554" s="74"/>
      <c r="C554" s="116"/>
      <c r="D554" s="24"/>
      <c r="E554" s="24"/>
      <c r="F554" s="24"/>
      <c r="G554" s="24"/>
      <c r="H554" s="24"/>
      <c r="I554" s="24"/>
      <c r="J554" s="63"/>
      <c r="K554" s="24"/>
      <c r="L554" s="118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119"/>
      <c r="X554" s="50"/>
      <c r="Y554" s="50"/>
      <c r="Z554" s="50"/>
      <c r="AA554" s="50"/>
      <c r="AB554" s="50"/>
      <c r="AC554" s="116"/>
      <c r="AD554" s="24"/>
      <c r="AE554" s="24"/>
      <c r="AF554" s="50"/>
      <c r="AG554" s="50"/>
      <c r="AH554" s="50"/>
      <c r="AI554" s="50"/>
      <c r="AJ554" s="50"/>
      <c r="AK554" s="50"/>
      <c r="AL554" s="50"/>
    </row>
    <row r="555" spans="1:38" ht="13.8">
      <c r="A555" s="73"/>
      <c r="B555" s="74"/>
      <c r="C555" s="116"/>
      <c r="D555" s="24"/>
      <c r="E555" s="24"/>
      <c r="F555" s="24"/>
      <c r="G555" s="24"/>
      <c r="H555" s="24"/>
      <c r="I555" s="24"/>
      <c r="J555" s="63"/>
      <c r="K555" s="24"/>
      <c r="L555" s="118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119"/>
      <c r="X555" s="50"/>
      <c r="Y555" s="50"/>
      <c r="Z555" s="50"/>
      <c r="AA555" s="50"/>
      <c r="AB555" s="50"/>
      <c r="AC555" s="116"/>
      <c r="AD555" s="24"/>
      <c r="AE555" s="24"/>
      <c r="AF555" s="50"/>
      <c r="AG555" s="50"/>
      <c r="AH555" s="50"/>
      <c r="AI555" s="50"/>
      <c r="AJ555" s="50"/>
      <c r="AK555" s="50"/>
      <c r="AL555" s="50"/>
    </row>
    <row r="556" spans="1:38" ht="13.8">
      <c r="A556" s="73"/>
      <c r="B556" s="74"/>
      <c r="C556" s="116"/>
      <c r="D556" s="24"/>
      <c r="E556" s="24"/>
      <c r="F556" s="24"/>
      <c r="G556" s="24"/>
      <c r="H556" s="24"/>
      <c r="I556" s="24"/>
      <c r="J556" s="63"/>
      <c r="K556" s="24"/>
      <c r="L556" s="118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119"/>
      <c r="X556" s="50"/>
      <c r="Y556" s="50"/>
      <c r="Z556" s="50"/>
      <c r="AA556" s="50"/>
      <c r="AB556" s="50"/>
      <c r="AC556" s="116"/>
      <c r="AD556" s="24"/>
      <c r="AE556" s="24"/>
      <c r="AF556" s="50"/>
      <c r="AG556" s="50"/>
      <c r="AH556" s="50"/>
      <c r="AI556" s="50"/>
      <c r="AJ556" s="50"/>
      <c r="AK556" s="50"/>
      <c r="AL556" s="50"/>
    </row>
    <row r="557" spans="1:38" ht="13.8">
      <c r="A557" s="73"/>
      <c r="B557" s="74"/>
      <c r="C557" s="116"/>
      <c r="D557" s="24"/>
      <c r="E557" s="24"/>
      <c r="F557" s="24"/>
      <c r="G557" s="24"/>
      <c r="H557" s="24"/>
      <c r="I557" s="24"/>
      <c r="J557" s="63"/>
      <c r="K557" s="24"/>
      <c r="L557" s="118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119"/>
      <c r="X557" s="50"/>
      <c r="Y557" s="50"/>
      <c r="Z557" s="50"/>
      <c r="AA557" s="50"/>
      <c r="AB557" s="50"/>
      <c r="AC557" s="116"/>
      <c r="AD557" s="24"/>
      <c r="AE557" s="24"/>
      <c r="AF557" s="50"/>
      <c r="AG557" s="50"/>
      <c r="AH557" s="50"/>
      <c r="AI557" s="50"/>
      <c r="AJ557" s="50"/>
      <c r="AK557" s="50"/>
      <c r="AL557" s="50"/>
    </row>
    <row r="558" spans="1:38" ht="13.8">
      <c r="A558" s="73"/>
      <c r="B558" s="74"/>
      <c r="C558" s="116"/>
      <c r="D558" s="24"/>
      <c r="E558" s="24"/>
      <c r="F558" s="24"/>
      <c r="G558" s="24"/>
      <c r="H558" s="24"/>
      <c r="I558" s="24"/>
      <c r="J558" s="63"/>
      <c r="K558" s="24"/>
      <c r="L558" s="118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119"/>
      <c r="X558" s="50"/>
      <c r="Y558" s="50"/>
      <c r="Z558" s="50"/>
      <c r="AA558" s="50"/>
      <c r="AB558" s="50"/>
      <c r="AC558" s="116"/>
      <c r="AD558" s="24"/>
      <c r="AE558" s="24"/>
      <c r="AF558" s="50"/>
      <c r="AG558" s="50"/>
      <c r="AH558" s="50"/>
      <c r="AI558" s="50"/>
      <c r="AJ558" s="50"/>
      <c r="AK558" s="50"/>
      <c r="AL558" s="50"/>
    </row>
    <row r="559" spans="1:38" ht="13.8">
      <c r="A559" s="73"/>
      <c r="B559" s="74"/>
      <c r="C559" s="116"/>
      <c r="D559" s="24"/>
      <c r="E559" s="24"/>
      <c r="F559" s="24"/>
      <c r="G559" s="24"/>
      <c r="H559" s="24"/>
      <c r="I559" s="24"/>
      <c r="J559" s="63"/>
      <c r="K559" s="24"/>
      <c r="L559" s="118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119"/>
      <c r="X559" s="50"/>
      <c r="Y559" s="50"/>
      <c r="Z559" s="50"/>
      <c r="AA559" s="50"/>
      <c r="AB559" s="50"/>
      <c r="AC559" s="116"/>
      <c r="AD559" s="24"/>
      <c r="AE559" s="24"/>
      <c r="AF559" s="50"/>
      <c r="AG559" s="50"/>
      <c r="AH559" s="50"/>
      <c r="AI559" s="50"/>
      <c r="AJ559" s="50"/>
      <c r="AK559" s="50"/>
      <c r="AL559" s="50"/>
    </row>
    <row r="560" spans="1:38" ht="13.8">
      <c r="A560" s="73"/>
      <c r="B560" s="74"/>
      <c r="C560" s="116"/>
      <c r="D560" s="24"/>
      <c r="E560" s="24"/>
      <c r="F560" s="24"/>
      <c r="G560" s="24"/>
      <c r="H560" s="24"/>
      <c r="I560" s="24"/>
      <c r="J560" s="63"/>
      <c r="K560" s="24"/>
      <c r="L560" s="118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119"/>
      <c r="X560" s="50"/>
      <c r="Y560" s="50"/>
      <c r="Z560" s="50"/>
      <c r="AA560" s="50"/>
      <c r="AB560" s="50"/>
      <c r="AC560" s="116"/>
      <c r="AD560" s="24"/>
      <c r="AE560" s="24"/>
      <c r="AF560" s="50"/>
      <c r="AG560" s="50"/>
      <c r="AH560" s="50"/>
      <c r="AI560" s="50"/>
      <c r="AJ560" s="50"/>
      <c r="AK560" s="50"/>
      <c r="AL560" s="50"/>
    </row>
    <row r="561" spans="1:38" ht="13.8">
      <c r="A561" s="73"/>
      <c r="B561" s="74"/>
      <c r="C561" s="116"/>
      <c r="D561" s="24"/>
      <c r="E561" s="24"/>
      <c r="F561" s="24"/>
      <c r="G561" s="24"/>
      <c r="H561" s="24"/>
      <c r="I561" s="24"/>
      <c r="J561" s="63"/>
      <c r="K561" s="24"/>
      <c r="L561" s="118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119"/>
      <c r="X561" s="50"/>
      <c r="Y561" s="50"/>
      <c r="Z561" s="50"/>
      <c r="AA561" s="50"/>
      <c r="AB561" s="50"/>
      <c r="AC561" s="116"/>
      <c r="AD561" s="24"/>
      <c r="AE561" s="24"/>
      <c r="AF561" s="50"/>
      <c r="AG561" s="50"/>
      <c r="AH561" s="50"/>
      <c r="AI561" s="50"/>
      <c r="AJ561" s="50"/>
      <c r="AK561" s="50"/>
      <c r="AL561" s="50"/>
    </row>
    <row r="562" spans="1:38" ht="13.8">
      <c r="A562" s="73"/>
      <c r="B562" s="74"/>
      <c r="C562" s="116"/>
      <c r="D562" s="24"/>
      <c r="E562" s="24"/>
      <c r="F562" s="24"/>
      <c r="G562" s="24"/>
      <c r="H562" s="24"/>
      <c r="I562" s="24"/>
      <c r="J562" s="63"/>
      <c r="K562" s="24"/>
      <c r="L562" s="118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119"/>
      <c r="X562" s="50"/>
      <c r="Y562" s="50"/>
      <c r="Z562" s="50"/>
      <c r="AA562" s="50"/>
      <c r="AB562" s="50"/>
      <c r="AC562" s="116"/>
      <c r="AD562" s="24"/>
      <c r="AE562" s="24"/>
      <c r="AF562" s="50"/>
      <c r="AG562" s="50"/>
      <c r="AH562" s="50"/>
      <c r="AI562" s="50"/>
      <c r="AJ562" s="50"/>
      <c r="AK562" s="50"/>
      <c r="AL562" s="50"/>
    </row>
    <row r="563" spans="1:38" ht="13.8">
      <c r="A563" s="73"/>
      <c r="B563" s="74"/>
      <c r="C563" s="116"/>
      <c r="D563" s="24"/>
      <c r="E563" s="24"/>
      <c r="F563" s="24"/>
      <c r="G563" s="24"/>
      <c r="H563" s="24"/>
      <c r="I563" s="24"/>
      <c r="J563" s="63"/>
      <c r="K563" s="24"/>
      <c r="L563" s="118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119"/>
      <c r="X563" s="50"/>
      <c r="Y563" s="50"/>
      <c r="Z563" s="50"/>
      <c r="AA563" s="50"/>
      <c r="AB563" s="50"/>
      <c r="AC563" s="116"/>
      <c r="AD563" s="24"/>
      <c r="AE563" s="24"/>
      <c r="AF563" s="50"/>
      <c r="AG563" s="50"/>
      <c r="AH563" s="50"/>
      <c r="AI563" s="50"/>
      <c r="AJ563" s="50"/>
      <c r="AK563" s="50"/>
      <c r="AL563" s="50"/>
    </row>
    <row r="564" spans="1:38" ht="13.8">
      <c r="A564" s="73"/>
      <c r="B564" s="74"/>
      <c r="C564" s="116"/>
      <c r="D564" s="24"/>
      <c r="E564" s="24"/>
      <c r="F564" s="24"/>
      <c r="G564" s="24"/>
      <c r="H564" s="24"/>
      <c r="I564" s="24"/>
      <c r="J564" s="63"/>
      <c r="K564" s="24"/>
      <c r="L564" s="118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119"/>
      <c r="X564" s="50"/>
      <c r="Y564" s="50"/>
      <c r="Z564" s="50"/>
      <c r="AA564" s="50"/>
      <c r="AB564" s="50"/>
      <c r="AC564" s="116"/>
      <c r="AD564" s="24"/>
      <c r="AE564" s="24"/>
      <c r="AF564" s="50"/>
      <c r="AG564" s="50"/>
      <c r="AH564" s="50"/>
      <c r="AI564" s="50"/>
      <c r="AJ564" s="50"/>
      <c r="AK564" s="50"/>
      <c r="AL564" s="50"/>
    </row>
    <row r="565" spans="1:38" ht="13.8">
      <c r="A565" s="73"/>
      <c r="B565" s="74"/>
      <c r="C565" s="116"/>
      <c r="D565" s="24"/>
      <c r="E565" s="24"/>
      <c r="F565" s="24"/>
      <c r="G565" s="24"/>
      <c r="H565" s="24"/>
      <c r="I565" s="24"/>
      <c r="J565" s="63"/>
      <c r="K565" s="24"/>
      <c r="L565" s="118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119"/>
      <c r="X565" s="50"/>
      <c r="Y565" s="50"/>
      <c r="Z565" s="50"/>
      <c r="AA565" s="50"/>
      <c r="AB565" s="50"/>
      <c r="AC565" s="116"/>
      <c r="AD565" s="24"/>
      <c r="AE565" s="24"/>
      <c r="AF565" s="50"/>
      <c r="AG565" s="50"/>
      <c r="AH565" s="50"/>
      <c r="AI565" s="50"/>
      <c r="AJ565" s="50"/>
      <c r="AK565" s="50"/>
      <c r="AL565" s="50"/>
    </row>
    <row r="566" spans="1:38" ht="13.8">
      <c r="A566" s="73"/>
      <c r="B566" s="74"/>
      <c r="C566" s="116"/>
      <c r="D566" s="24"/>
      <c r="E566" s="24"/>
      <c r="F566" s="24"/>
      <c r="G566" s="24"/>
      <c r="H566" s="24"/>
      <c r="I566" s="24"/>
      <c r="J566" s="63"/>
      <c r="K566" s="24"/>
      <c r="L566" s="118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119"/>
      <c r="X566" s="50"/>
      <c r="Y566" s="50"/>
      <c r="Z566" s="50"/>
      <c r="AA566" s="50"/>
      <c r="AB566" s="50"/>
      <c r="AC566" s="116"/>
      <c r="AD566" s="24"/>
      <c r="AE566" s="24"/>
      <c r="AF566" s="50"/>
      <c r="AG566" s="50"/>
      <c r="AH566" s="50"/>
      <c r="AI566" s="50"/>
      <c r="AJ566" s="50"/>
      <c r="AK566" s="50"/>
      <c r="AL566" s="50"/>
    </row>
    <row r="567" spans="1:38" ht="13.8">
      <c r="A567" s="73"/>
      <c r="B567" s="74"/>
      <c r="C567" s="116"/>
      <c r="D567" s="24"/>
      <c r="E567" s="24"/>
      <c r="F567" s="24"/>
      <c r="G567" s="24"/>
      <c r="H567" s="24"/>
      <c r="I567" s="24"/>
      <c r="J567" s="63"/>
      <c r="K567" s="24"/>
      <c r="L567" s="118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119"/>
      <c r="X567" s="50"/>
      <c r="Y567" s="50"/>
      <c r="Z567" s="50"/>
      <c r="AA567" s="50"/>
      <c r="AB567" s="50"/>
      <c r="AC567" s="116"/>
      <c r="AD567" s="24"/>
      <c r="AE567" s="24"/>
      <c r="AF567" s="50"/>
      <c r="AG567" s="50"/>
      <c r="AH567" s="50"/>
      <c r="AI567" s="50"/>
      <c r="AJ567" s="50"/>
      <c r="AK567" s="50"/>
      <c r="AL567" s="50"/>
    </row>
    <row r="568" spans="1:38" ht="13.8">
      <c r="A568" s="73"/>
      <c r="B568" s="74"/>
      <c r="C568" s="116"/>
      <c r="D568" s="24"/>
      <c r="E568" s="24"/>
      <c r="F568" s="24"/>
      <c r="G568" s="24"/>
      <c r="H568" s="24"/>
      <c r="I568" s="24"/>
      <c r="J568" s="63"/>
      <c r="K568" s="24"/>
      <c r="L568" s="118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119"/>
      <c r="X568" s="50"/>
      <c r="Y568" s="50"/>
      <c r="Z568" s="50"/>
      <c r="AA568" s="50"/>
      <c r="AB568" s="50"/>
      <c r="AC568" s="116"/>
      <c r="AD568" s="24"/>
      <c r="AE568" s="24"/>
      <c r="AF568" s="50"/>
      <c r="AG568" s="50"/>
      <c r="AH568" s="50"/>
      <c r="AI568" s="50"/>
      <c r="AJ568" s="50"/>
      <c r="AK568" s="50"/>
      <c r="AL568" s="50"/>
    </row>
    <row r="569" spans="1:38" ht="13.8">
      <c r="A569" s="73"/>
      <c r="B569" s="74"/>
      <c r="C569" s="116"/>
      <c r="D569" s="24"/>
      <c r="E569" s="24"/>
      <c r="F569" s="24"/>
      <c r="G569" s="24"/>
      <c r="H569" s="24"/>
      <c r="I569" s="24"/>
      <c r="J569" s="63"/>
      <c r="K569" s="24"/>
      <c r="L569" s="118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119"/>
      <c r="X569" s="50"/>
      <c r="Y569" s="50"/>
      <c r="Z569" s="50"/>
      <c r="AA569" s="50"/>
      <c r="AB569" s="50"/>
      <c r="AC569" s="116"/>
      <c r="AD569" s="24"/>
      <c r="AE569" s="24"/>
      <c r="AF569" s="50"/>
      <c r="AG569" s="50"/>
      <c r="AH569" s="50"/>
      <c r="AI569" s="50"/>
      <c r="AJ569" s="50"/>
      <c r="AK569" s="50"/>
      <c r="AL569" s="50"/>
    </row>
    <row r="570" spans="1:38" ht="13.8">
      <c r="A570" s="73"/>
      <c r="B570" s="74"/>
      <c r="C570" s="116"/>
      <c r="D570" s="24"/>
      <c r="E570" s="24"/>
      <c r="F570" s="24"/>
      <c r="G570" s="24"/>
      <c r="H570" s="24"/>
      <c r="I570" s="24"/>
      <c r="J570" s="63"/>
      <c r="K570" s="24"/>
      <c r="L570" s="118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119"/>
      <c r="X570" s="50"/>
      <c r="Y570" s="50"/>
      <c r="Z570" s="50"/>
      <c r="AA570" s="50"/>
      <c r="AB570" s="50"/>
      <c r="AC570" s="116"/>
      <c r="AD570" s="24"/>
      <c r="AE570" s="24"/>
      <c r="AF570" s="50"/>
      <c r="AG570" s="50"/>
      <c r="AH570" s="50"/>
      <c r="AI570" s="50"/>
      <c r="AJ570" s="50"/>
      <c r="AK570" s="50"/>
      <c r="AL570" s="50"/>
    </row>
    <row r="571" spans="1:38" ht="13.8">
      <c r="A571" s="73"/>
      <c r="B571" s="74"/>
      <c r="C571" s="116"/>
      <c r="D571" s="24"/>
      <c r="E571" s="24"/>
      <c r="F571" s="24"/>
      <c r="G571" s="24"/>
      <c r="H571" s="24"/>
      <c r="I571" s="24"/>
      <c r="J571" s="63"/>
      <c r="K571" s="24"/>
      <c r="L571" s="118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119"/>
      <c r="X571" s="50"/>
      <c r="Y571" s="50"/>
      <c r="Z571" s="50"/>
      <c r="AA571" s="50"/>
      <c r="AB571" s="50"/>
      <c r="AC571" s="116"/>
      <c r="AD571" s="24"/>
      <c r="AE571" s="24"/>
      <c r="AF571" s="50"/>
      <c r="AG571" s="50"/>
      <c r="AH571" s="50"/>
      <c r="AI571" s="50"/>
      <c r="AJ571" s="50"/>
      <c r="AK571" s="50"/>
      <c r="AL571" s="50"/>
    </row>
    <row r="572" spans="1:38" ht="13.8">
      <c r="A572" s="73"/>
      <c r="B572" s="74"/>
      <c r="C572" s="116"/>
      <c r="D572" s="24"/>
      <c r="E572" s="24"/>
      <c r="F572" s="24"/>
      <c r="G572" s="24"/>
      <c r="H572" s="24"/>
      <c r="I572" s="24"/>
      <c r="J572" s="63"/>
      <c r="K572" s="24"/>
      <c r="L572" s="118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119"/>
      <c r="X572" s="50"/>
      <c r="Y572" s="50"/>
      <c r="Z572" s="50"/>
      <c r="AA572" s="50"/>
      <c r="AB572" s="50"/>
      <c r="AC572" s="116"/>
      <c r="AD572" s="24"/>
      <c r="AE572" s="24"/>
      <c r="AF572" s="50"/>
      <c r="AG572" s="50"/>
      <c r="AH572" s="50"/>
      <c r="AI572" s="50"/>
      <c r="AJ572" s="50"/>
      <c r="AK572" s="50"/>
      <c r="AL572" s="50"/>
    </row>
    <row r="573" spans="1:38" ht="13.8">
      <c r="A573" s="73"/>
      <c r="B573" s="74"/>
      <c r="C573" s="116"/>
      <c r="D573" s="24"/>
      <c r="E573" s="24"/>
      <c r="F573" s="24"/>
      <c r="G573" s="24"/>
      <c r="H573" s="24"/>
      <c r="I573" s="24"/>
      <c r="J573" s="63"/>
      <c r="K573" s="24"/>
      <c r="L573" s="118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119"/>
      <c r="X573" s="50"/>
      <c r="Y573" s="50"/>
      <c r="Z573" s="50"/>
      <c r="AA573" s="50"/>
      <c r="AB573" s="50"/>
      <c r="AC573" s="116"/>
      <c r="AD573" s="24"/>
      <c r="AE573" s="24"/>
      <c r="AF573" s="50"/>
      <c r="AG573" s="50"/>
      <c r="AH573" s="50"/>
      <c r="AI573" s="50"/>
      <c r="AJ573" s="50"/>
      <c r="AK573" s="50"/>
      <c r="AL573" s="50"/>
    </row>
    <row r="574" spans="1:38" ht="13.8">
      <c r="A574" s="73"/>
      <c r="B574" s="74"/>
      <c r="C574" s="116"/>
      <c r="D574" s="24"/>
      <c r="E574" s="24"/>
      <c r="F574" s="24"/>
      <c r="G574" s="24"/>
      <c r="H574" s="24"/>
      <c r="I574" s="24"/>
      <c r="J574" s="63"/>
      <c r="K574" s="24"/>
      <c r="L574" s="118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119"/>
      <c r="X574" s="50"/>
      <c r="Y574" s="50"/>
      <c r="Z574" s="50"/>
      <c r="AA574" s="50"/>
      <c r="AB574" s="50"/>
      <c r="AC574" s="116"/>
      <c r="AD574" s="24"/>
      <c r="AE574" s="24"/>
      <c r="AF574" s="50"/>
      <c r="AG574" s="50"/>
      <c r="AH574" s="50"/>
      <c r="AI574" s="50"/>
      <c r="AJ574" s="50"/>
      <c r="AK574" s="50"/>
      <c r="AL574" s="50"/>
    </row>
    <row r="575" spans="1:38" ht="13.8">
      <c r="A575" s="73"/>
      <c r="B575" s="74"/>
      <c r="C575" s="116"/>
      <c r="D575" s="24"/>
      <c r="E575" s="24"/>
      <c r="F575" s="24"/>
      <c r="G575" s="24"/>
      <c r="H575" s="24"/>
      <c r="I575" s="24"/>
      <c r="J575" s="63"/>
      <c r="K575" s="24"/>
      <c r="L575" s="118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119"/>
      <c r="X575" s="50"/>
      <c r="Y575" s="50"/>
      <c r="Z575" s="50"/>
      <c r="AA575" s="50"/>
      <c r="AB575" s="50"/>
      <c r="AC575" s="116"/>
      <c r="AD575" s="24"/>
      <c r="AE575" s="24"/>
      <c r="AF575" s="50"/>
      <c r="AG575" s="50"/>
      <c r="AH575" s="50"/>
      <c r="AI575" s="50"/>
      <c r="AJ575" s="50"/>
      <c r="AK575" s="50"/>
      <c r="AL575" s="50"/>
    </row>
    <row r="576" spans="1:38" ht="13.8">
      <c r="A576" s="73"/>
      <c r="B576" s="74"/>
      <c r="C576" s="116"/>
      <c r="D576" s="24"/>
      <c r="E576" s="24"/>
      <c r="F576" s="24"/>
      <c r="G576" s="24"/>
      <c r="H576" s="24"/>
      <c r="I576" s="24"/>
      <c r="J576" s="63"/>
      <c r="K576" s="24"/>
      <c r="L576" s="118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119"/>
      <c r="X576" s="50"/>
      <c r="Y576" s="50"/>
      <c r="Z576" s="50"/>
      <c r="AA576" s="50"/>
      <c r="AB576" s="50"/>
      <c r="AC576" s="116"/>
      <c r="AD576" s="24"/>
      <c r="AE576" s="24"/>
      <c r="AF576" s="50"/>
      <c r="AG576" s="50"/>
      <c r="AH576" s="50"/>
      <c r="AI576" s="50"/>
      <c r="AJ576" s="50"/>
      <c r="AK576" s="50"/>
      <c r="AL576" s="50"/>
    </row>
    <row r="577" spans="1:38" ht="13.8">
      <c r="A577" s="73"/>
      <c r="B577" s="74"/>
      <c r="C577" s="116"/>
      <c r="D577" s="24"/>
      <c r="E577" s="24"/>
      <c r="F577" s="24"/>
      <c r="G577" s="24"/>
      <c r="H577" s="24"/>
      <c r="I577" s="24"/>
      <c r="J577" s="63"/>
      <c r="K577" s="24"/>
      <c r="L577" s="118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119"/>
      <c r="X577" s="50"/>
      <c r="Y577" s="50"/>
      <c r="Z577" s="50"/>
      <c r="AA577" s="50"/>
      <c r="AB577" s="50"/>
      <c r="AC577" s="116"/>
      <c r="AD577" s="24"/>
      <c r="AE577" s="24"/>
      <c r="AF577" s="50"/>
      <c r="AG577" s="50"/>
      <c r="AH577" s="50"/>
      <c r="AI577" s="50"/>
      <c r="AJ577" s="50"/>
      <c r="AK577" s="50"/>
      <c r="AL577" s="50"/>
    </row>
    <row r="578" spans="1:38" ht="13.8">
      <c r="A578" s="73"/>
      <c r="B578" s="74"/>
      <c r="C578" s="116"/>
      <c r="D578" s="24"/>
      <c r="E578" s="24"/>
      <c r="F578" s="24"/>
      <c r="G578" s="24"/>
      <c r="H578" s="24"/>
      <c r="I578" s="24"/>
      <c r="J578" s="63"/>
      <c r="K578" s="24"/>
      <c r="L578" s="118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119"/>
      <c r="X578" s="50"/>
      <c r="Y578" s="50"/>
      <c r="Z578" s="50"/>
      <c r="AA578" s="50"/>
      <c r="AB578" s="50"/>
      <c r="AC578" s="116"/>
      <c r="AD578" s="24"/>
      <c r="AE578" s="24"/>
      <c r="AF578" s="50"/>
      <c r="AG578" s="50"/>
      <c r="AH578" s="50"/>
      <c r="AI578" s="50"/>
      <c r="AJ578" s="50"/>
      <c r="AK578" s="50"/>
      <c r="AL578" s="50"/>
    </row>
    <row r="579" spans="1:38" ht="13.8">
      <c r="A579" s="73"/>
      <c r="B579" s="74"/>
      <c r="C579" s="116"/>
      <c r="D579" s="24"/>
      <c r="E579" s="24"/>
      <c r="F579" s="24"/>
      <c r="G579" s="24"/>
      <c r="H579" s="24"/>
      <c r="I579" s="24"/>
      <c r="J579" s="63"/>
      <c r="K579" s="24"/>
      <c r="L579" s="118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119"/>
      <c r="X579" s="50"/>
      <c r="Y579" s="50"/>
      <c r="Z579" s="50"/>
      <c r="AA579" s="50"/>
      <c r="AB579" s="50"/>
      <c r="AC579" s="116"/>
      <c r="AD579" s="24"/>
      <c r="AE579" s="24"/>
      <c r="AF579" s="50"/>
      <c r="AG579" s="50"/>
      <c r="AH579" s="50"/>
      <c r="AI579" s="50"/>
      <c r="AJ579" s="50"/>
      <c r="AK579" s="50"/>
      <c r="AL579" s="50"/>
    </row>
    <row r="580" spans="1:38" ht="13.8">
      <c r="A580" s="73"/>
      <c r="B580" s="74"/>
      <c r="C580" s="116"/>
      <c r="D580" s="24"/>
      <c r="E580" s="24"/>
      <c r="F580" s="24"/>
      <c r="G580" s="24"/>
      <c r="H580" s="24"/>
      <c r="I580" s="24"/>
      <c r="J580" s="63"/>
      <c r="K580" s="24"/>
      <c r="L580" s="118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119"/>
      <c r="X580" s="50"/>
      <c r="Y580" s="50"/>
      <c r="Z580" s="50"/>
      <c r="AA580" s="50"/>
      <c r="AB580" s="50"/>
      <c r="AC580" s="116"/>
      <c r="AD580" s="24"/>
      <c r="AE580" s="24"/>
      <c r="AF580" s="50"/>
      <c r="AG580" s="50"/>
      <c r="AH580" s="50"/>
      <c r="AI580" s="50"/>
      <c r="AJ580" s="50"/>
      <c r="AK580" s="50"/>
      <c r="AL580" s="50"/>
    </row>
    <row r="581" spans="1:38" ht="13.8">
      <c r="A581" s="73"/>
      <c r="B581" s="74"/>
      <c r="C581" s="116"/>
      <c r="D581" s="24"/>
      <c r="E581" s="24"/>
      <c r="F581" s="24"/>
      <c r="G581" s="24"/>
      <c r="H581" s="24"/>
      <c r="I581" s="24"/>
      <c r="J581" s="63"/>
      <c r="K581" s="24"/>
      <c r="L581" s="118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119"/>
      <c r="X581" s="50"/>
      <c r="Y581" s="50"/>
      <c r="Z581" s="50"/>
      <c r="AA581" s="50"/>
      <c r="AB581" s="50"/>
      <c r="AC581" s="116"/>
      <c r="AD581" s="24"/>
      <c r="AE581" s="24"/>
      <c r="AF581" s="50"/>
      <c r="AG581" s="50"/>
      <c r="AH581" s="50"/>
      <c r="AI581" s="50"/>
      <c r="AJ581" s="50"/>
      <c r="AK581" s="50"/>
      <c r="AL581" s="50"/>
    </row>
    <row r="582" spans="1:38" ht="13.8">
      <c r="A582" s="73"/>
      <c r="B582" s="74"/>
      <c r="C582" s="116"/>
      <c r="D582" s="24"/>
      <c r="E582" s="24"/>
      <c r="F582" s="24"/>
      <c r="G582" s="24"/>
      <c r="H582" s="24"/>
      <c r="I582" s="24"/>
      <c r="J582" s="63"/>
      <c r="K582" s="24"/>
      <c r="L582" s="118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119"/>
      <c r="X582" s="50"/>
      <c r="Y582" s="50"/>
      <c r="Z582" s="50"/>
      <c r="AA582" s="50"/>
      <c r="AB582" s="50"/>
      <c r="AC582" s="116"/>
      <c r="AD582" s="24"/>
      <c r="AE582" s="24"/>
      <c r="AF582" s="50"/>
      <c r="AG582" s="50"/>
      <c r="AH582" s="50"/>
      <c r="AI582" s="50"/>
      <c r="AJ582" s="50"/>
      <c r="AK582" s="50"/>
      <c r="AL582" s="50"/>
    </row>
    <row r="583" spans="1:38" ht="13.8">
      <c r="A583" s="73"/>
      <c r="B583" s="74"/>
      <c r="C583" s="116"/>
      <c r="D583" s="24"/>
      <c r="E583" s="24"/>
      <c r="F583" s="24"/>
      <c r="G583" s="24"/>
      <c r="H583" s="24"/>
      <c r="I583" s="24"/>
      <c r="J583" s="63"/>
      <c r="K583" s="24"/>
      <c r="L583" s="118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119"/>
      <c r="X583" s="50"/>
      <c r="Y583" s="50"/>
      <c r="Z583" s="50"/>
      <c r="AA583" s="50"/>
      <c r="AB583" s="50"/>
      <c r="AC583" s="116"/>
      <c r="AD583" s="24"/>
      <c r="AE583" s="24"/>
      <c r="AF583" s="50"/>
      <c r="AG583" s="50"/>
      <c r="AH583" s="50"/>
      <c r="AI583" s="50"/>
      <c r="AJ583" s="50"/>
      <c r="AK583" s="50"/>
      <c r="AL583" s="50"/>
    </row>
    <row r="584" spans="1:38" ht="13.8">
      <c r="A584" s="73"/>
      <c r="B584" s="74"/>
      <c r="C584" s="116"/>
      <c r="D584" s="24"/>
      <c r="E584" s="24"/>
      <c r="F584" s="24"/>
      <c r="G584" s="24"/>
      <c r="H584" s="24"/>
      <c r="I584" s="24"/>
      <c r="J584" s="63"/>
      <c r="K584" s="24"/>
      <c r="L584" s="118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119"/>
      <c r="X584" s="50"/>
      <c r="Y584" s="50"/>
      <c r="Z584" s="50"/>
      <c r="AA584" s="50"/>
      <c r="AB584" s="50"/>
      <c r="AC584" s="116"/>
      <c r="AD584" s="24"/>
      <c r="AE584" s="24"/>
      <c r="AF584" s="50"/>
      <c r="AG584" s="50"/>
      <c r="AH584" s="50"/>
      <c r="AI584" s="50"/>
      <c r="AJ584" s="50"/>
      <c r="AK584" s="50"/>
      <c r="AL584" s="50"/>
    </row>
    <row r="585" spans="1:38" ht="13.8">
      <c r="A585" s="73"/>
      <c r="B585" s="74"/>
      <c r="C585" s="116"/>
      <c r="D585" s="24"/>
      <c r="E585" s="24"/>
      <c r="F585" s="24"/>
      <c r="G585" s="24"/>
      <c r="H585" s="24"/>
      <c r="I585" s="24"/>
      <c r="J585" s="63"/>
      <c r="K585" s="24"/>
      <c r="L585" s="118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119"/>
      <c r="X585" s="50"/>
      <c r="Y585" s="50"/>
      <c r="Z585" s="50"/>
      <c r="AA585" s="50"/>
      <c r="AB585" s="50"/>
      <c r="AC585" s="116"/>
      <c r="AD585" s="24"/>
      <c r="AE585" s="24"/>
      <c r="AF585" s="50"/>
      <c r="AG585" s="50"/>
      <c r="AH585" s="50"/>
      <c r="AI585" s="50"/>
      <c r="AJ585" s="50"/>
      <c r="AK585" s="50"/>
      <c r="AL585" s="50"/>
    </row>
    <row r="586" spans="1:38" ht="13.8">
      <c r="A586" s="73"/>
      <c r="B586" s="74"/>
      <c r="C586" s="116"/>
      <c r="D586" s="24"/>
      <c r="E586" s="24"/>
      <c r="F586" s="24"/>
      <c r="G586" s="24"/>
      <c r="H586" s="24"/>
      <c r="I586" s="24"/>
      <c r="J586" s="63"/>
      <c r="K586" s="24"/>
      <c r="L586" s="118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119"/>
      <c r="X586" s="50"/>
      <c r="Y586" s="50"/>
      <c r="Z586" s="50"/>
      <c r="AA586" s="50"/>
      <c r="AB586" s="50"/>
      <c r="AC586" s="116"/>
      <c r="AD586" s="24"/>
      <c r="AE586" s="24"/>
      <c r="AF586" s="50"/>
      <c r="AG586" s="50"/>
      <c r="AH586" s="50"/>
      <c r="AI586" s="50"/>
      <c r="AJ586" s="50"/>
      <c r="AK586" s="50"/>
      <c r="AL586" s="50"/>
    </row>
    <row r="587" spans="1:38" ht="13.8">
      <c r="A587" s="73"/>
      <c r="B587" s="74"/>
      <c r="C587" s="116"/>
      <c r="D587" s="24"/>
      <c r="E587" s="24"/>
      <c r="F587" s="24"/>
      <c r="G587" s="24"/>
      <c r="H587" s="24"/>
      <c r="I587" s="24"/>
      <c r="J587" s="63"/>
      <c r="K587" s="24"/>
      <c r="L587" s="118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119"/>
      <c r="X587" s="50"/>
      <c r="Y587" s="50"/>
      <c r="Z587" s="50"/>
      <c r="AA587" s="50"/>
      <c r="AB587" s="50"/>
      <c r="AC587" s="116"/>
      <c r="AD587" s="24"/>
      <c r="AE587" s="24"/>
      <c r="AF587" s="50"/>
      <c r="AG587" s="50"/>
      <c r="AH587" s="50"/>
      <c r="AI587" s="50"/>
      <c r="AJ587" s="50"/>
      <c r="AK587" s="50"/>
      <c r="AL587" s="50"/>
    </row>
    <row r="588" spans="1:38" ht="13.8">
      <c r="A588" s="73"/>
      <c r="B588" s="74"/>
      <c r="C588" s="116"/>
      <c r="D588" s="24"/>
      <c r="E588" s="24"/>
      <c r="F588" s="24"/>
      <c r="G588" s="24"/>
      <c r="H588" s="24"/>
      <c r="I588" s="24"/>
      <c r="J588" s="63"/>
      <c r="K588" s="24"/>
      <c r="L588" s="118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119"/>
      <c r="X588" s="50"/>
      <c r="Y588" s="50"/>
      <c r="Z588" s="50"/>
      <c r="AA588" s="50"/>
      <c r="AB588" s="50"/>
      <c r="AC588" s="116"/>
      <c r="AD588" s="24"/>
      <c r="AE588" s="24"/>
      <c r="AF588" s="50"/>
      <c r="AG588" s="50"/>
      <c r="AH588" s="50"/>
      <c r="AI588" s="50"/>
      <c r="AJ588" s="50"/>
      <c r="AK588" s="50"/>
      <c r="AL588" s="50"/>
    </row>
    <row r="589" spans="1:38" ht="13.8">
      <c r="A589" s="73"/>
      <c r="B589" s="74"/>
      <c r="C589" s="116"/>
      <c r="D589" s="24"/>
      <c r="E589" s="24"/>
      <c r="F589" s="24"/>
      <c r="G589" s="24"/>
      <c r="H589" s="24"/>
      <c r="I589" s="24"/>
      <c r="J589" s="63"/>
      <c r="K589" s="24"/>
      <c r="L589" s="118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119"/>
      <c r="X589" s="50"/>
      <c r="Y589" s="50"/>
      <c r="Z589" s="50"/>
      <c r="AA589" s="50"/>
      <c r="AB589" s="50"/>
      <c r="AC589" s="116"/>
      <c r="AD589" s="24"/>
      <c r="AE589" s="24"/>
      <c r="AF589" s="50"/>
      <c r="AG589" s="50"/>
      <c r="AH589" s="50"/>
      <c r="AI589" s="50"/>
      <c r="AJ589" s="50"/>
      <c r="AK589" s="50"/>
      <c r="AL589" s="50"/>
    </row>
    <row r="590" spans="1:38" ht="13.8">
      <c r="A590" s="73"/>
      <c r="B590" s="74"/>
      <c r="C590" s="116"/>
      <c r="D590" s="24"/>
      <c r="E590" s="24"/>
      <c r="F590" s="24"/>
      <c r="G590" s="24"/>
      <c r="H590" s="24"/>
      <c r="I590" s="24"/>
      <c r="J590" s="63"/>
      <c r="K590" s="24"/>
      <c r="L590" s="118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119"/>
      <c r="X590" s="50"/>
      <c r="Y590" s="50"/>
      <c r="Z590" s="50"/>
      <c r="AA590" s="50"/>
      <c r="AB590" s="50"/>
      <c r="AC590" s="116"/>
      <c r="AD590" s="24"/>
      <c r="AE590" s="24"/>
      <c r="AF590" s="50"/>
      <c r="AG590" s="50"/>
      <c r="AH590" s="50"/>
      <c r="AI590" s="50"/>
      <c r="AJ590" s="50"/>
      <c r="AK590" s="50"/>
      <c r="AL590" s="50"/>
    </row>
    <row r="591" spans="1:38" ht="13.8">
      <c r="A591" s="73"/>
      <c r="B591" s="74"/>
      <c r="C591" s="116"/>
      <c r="D591" s="24"/>
      <c r="E591" s="24"/>
      <c r="F591" s="24"/>
      <c r="G591" s="24"/>
      <c r="H591" s="24"/>
      <c r="I591" s="24"/>
      <c r="J591" s="63"/>
      <c r="K591" s="24"/>
      <c r="L591" s="118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119"/>
      <c r="X591" s="50"/>
      <c r="Y591" s="50"/>
      <c r="Z591" s="50"/>
      <c r="AA591" s="50"/>
      <c r="AB591" s="50"/>
      <c r="AC591" s="116"/>
      <c r="AD591" s="24"/>
      <c r="AE591" s="24"/>
      <c r="AF591" s="50"/>
      <c r="AG591" s="50"/>
      <c r="AH591" s="50"/>
      <c r="AI591" s="50"/>
      <c r="AJ591" s="50"/>
      <c r="AK591" s="50"/>
      <c r="AL591" s="50"/>
    </row>
    <row r="592" spans="1:38" ht="13.8">
      <c r="A592" s="73"/>
      <c r="B592" s="74"/>
      <c r="C592" s="116"/>
      <c r="D592" s="24"/>
      <c r="E592" s="24"/>
      <c r="F592" s="24"/>
      <c r="G592" s="24"/>
      <c r="H592" s="24"/>
      <c r="I592" s="24"/>
      <c r="J592" s="63"/>
      <c r="K592" s="24"/>
      <c r="L592" s="118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119"/>
      <c r="X592" s="50"/>
      <c r="Y592" s="50"/>
      <c r="Z592" s="50"/>
      <c r="AA592" s="50"/>
      <c r="AB592" s="50"/>
      <c r="AC592" s="116"/>
      <c r="AD592" s="24"/>
      <c r="AE592" s="24"/>
      <c r="AF592" s="50"/>
      <c r="AG592" s="50"/>
      <c r="AH592" s="50"/>
      <c r="AI592" s="50"/>
      <c r="AJ592" s="50"/>
      <c r="AK592" s="50"/>
      <c r="AL592" s="50"/>
    </row>
    <row r="593" spans="1:38" ht="13.8">
      <c r="A593" s="73"/>
      <c r="B593" s="74"/>
      <c r="C593" s="116"/>
      <c r="D593" s="24"/>
      <c r="E593" s="24"/>
      <c r="F593" s="24"/>
      <c r="G593" s="24"/>
      <c r="H593" s="24"/>
      <c r="I593" s="24"/>
      <c r="J593" s="63"/>
      <c r="K593" s="24"/>
      <c r="L593" s="118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119"/>
      <c r="X593" s="50"/>
      <c r="Y593" s="50"/>
      <c r="Z593" s="50"/>
      <c r="AA593" s="50"/>
      <c r="AB593" s="50"/>
      <c r="AC593" s="116"/>
      <c r="AD593" s="24"/>
      <c r="AE593" s="24"/>
      <c r="AF593" s="50"/>
      <c r="AG593" s="50"/>
      <c r="AH593" s="50"/>
      <c r="AI593" s="50"/>
      <c r="AJ593" s="50"/>
      <c r="AK593" s="50"/>
      <c r="AL593" s="50"/>
    </row>
    <row r="594" spans="1:38" ht="13.8">
      <c r="A594" s="73"/>
      <c r="B594" s="74"/>
      <c r="C594" s="116"/>
      <c r="D594" s="24"/>
      <c r="E594" s="24"/>
      <c r="F594" s="24"/>
      <c r="G594" s="24"/>
      <c r="H594" s="24"/>
      <c r="I594" s="24"/>
      <c r="J594" s="63"/>
      <c r="K594" s="24"/>
      <c r="L594" s="118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119"/>
      <c r="X594" s="50"/>
      <c r="Y594" s="50"/>
      <c r="Z594" s="50"/>
      <c r="AA594" s="50"/>
      <c r="AB594" s="50"/>
      <c r="AC594" s="116"/>
      <c r="AD594" s="24"/>
      <c r="AE594" s="24"/>
      <c r="AF594" s="50"/>
      <c r="AG594" s="50"/>
      <c r="AH594" s="50"/>
      <c r="AI594" s="50"/>
      <c r="AJ594" s="50"/>
      <c r="AK594" s="50"/>
      <c r="AL594" s="50"/>
    </row>
    <row r="595" spans="1:38" ht="13.8">
      <c r="A595" s="73"/>
      <c r="B595" s="74"/>
      <c r="C595" s="116"/>
      <c r="D595" s="24"/>
      <c r="E595" s="24"/>
      <c r="F595" s="24"/>
      <c r="G595" s="24"/>
      <c r="H595" s="24"/>
      <c r="I595" s="24"/>
      <c r="J595" s="63"/>
      <c r="K595" s="24"/>
      <c r="L595" s="118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119"/>
      <c r="X595" s="50"/>
      <c r="Y595" s="50"/>
      <c r="Z595" s="50"/>
      <c r="AA595" s="50"/>
      <c r="AB595" s="50"/>
      <c r="AC595" s="116"/>
      <c r="AD595" s="24"/>
      <c r="AE595" s="24"/>
      <c r="AF595" s="50"/>
      <c r="AG595" s="50"/>
      <c r="AH595" s="50"/>
      <c r="AI595" s="50"/>
      <c r="AJ595" s="50"/>
      <c r="AK595" s="50"/>
      <c r="AL595" s="50"/>
    </row>
    <row r="596" spans="1:38" ht="13.8">
      <c r="A596" s="73"/>
      <c r="B596" s="74"/>
      <c r="C596" s="116"/>
      <c r="D596" s="24"/>
      <c r="E596" s="24"/>
      <c r="F596" s="24"/>
      <c r="G596" s="24"/>
      <c r="H596" s="24"/>
      <c r="I596" s="24"/>
      <c r="J596" s="63"/>
      <c r="K596" s="24"/>
      <c r="L596" s="118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119"/>
      <c r="X596" s="50"/>
      <c r="Y596" s="50"/>
      <c r="Z596" s="50"/>
      <c r="AA596" s="50"/>
      <c r="AB596" s="50"/>
      <c r="AC596" s="116"/>
      <c r="AD596" s="24"/>
      <c r="AE596" s="24"/>
      <c r="AF596" s="50"/>
      <c r="AG596" s="50"/>
      <c r="AH596" s="50"/>
      <c r="AI596" s="50"/>
      <c r="AJ596" s="50"/>
      <c r="AK596" s="50"/>
      <c r="AL596" s="50"/>
    </row>
    <row r="597" spans="1:38" ht="13.8">
      <c r="A597" s="73"/>
      <c r="B597" s="74"/>
      <c r="C597" s="116"/>
      <c r="D597" s="24"/>
      <c r="E597" s="24"/>
      <c r="F597" s="24"/>
      <c r="G597" s="24"/>
      <c r="H597" s="24"/>
      <c r="I597" s="24"/>
      <c r="J597" s="63"/>
      <c r="K597" s="24"/>
      <c r="L597" s="118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119"/>
      <c r="X597" s="50"/>
      <c r="Y597" s="50"/>
      <c r="Z597" s="50"/>
      <c r="AA597" s="50"/>
      <c r="AB597" s="50"/>
      <c r="AC597" s="116"/>
      <c r="AD597" s="24"/>
      <c r="AE597" s="24"/>
      <c r="AF597" s="50"/>
      <c r="AG597" s="50"/>
      <c r="AH597" s="50"/>
      <c r="AI597" s="50"/>
      <c r="AJ597" s="50"/>
      <c r="AK597" s="50"/>
      <c r="AL597" s="50"/>
    </row>
    <row r="598" spans="1:38" ht="13.8">
      <c r="A598" s="73"/>
      <c r="B598" s="74"/>
      <c r="C598" s="116"/>
      <c r="D598" s="24"/>
      <c r="E598" s="24"/>
      <c r="F598" s="24"/>
      <c r="G598" s="24"/>
      <c r="H598" s="24"/>
      <c r="I598" s="24"/>
      <c r="J598" s="63"/>
      <c r="K598" s="24"/>
      <c r="L598" s="118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119"/>
      <c r="X598" s="50"/>
      <c r="Y598" s="50"/>
      <c r="Z598" s="50"/>
      <c r="AA598" s="50"/>
      <c r="AB598" s="50"/>
      <c r="AC598" s="116"/>
      <c r="AD598" s="24"/>
      <c r="AE598" s="24"/>
      <c r="AF598" s="50"/>
      <c r="AG598" s="50"/>
      <c r="AH598" s="50"/>
      <c r="AI598" s="50"/>
      <c r="AJ598" s="50"/>
      <c r="AK598" s="50"/>
      <c r="AL598" s="50"/>
    </row>
    <row r="599" spans="1:38" ht="13.8">
      <c r="A599" s="73"/>
      <c r="B599" s="74"/>
      <c r="C599" s="116"/>
      <c r="D599" s="24"/>
      <c r="E599" s="24"/>
      <c r="F599" s="24"/>
      <c r="G599" s="24"/>
      <c r="H599" s="24"/>
      <c r="I599" s="24"/>
      <c r="J599" s="63"/>
      <c r="K599" s="24"/>
      <c r="L599" s="118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119"/>
      <c r="X599" s="50"/>
      <c r="Y599" s="50"/>
      <c r="Z599" s="50"/>
      <c r="AA599" s="50"/>
      <c r="AB599" s="50"/>
      <c r="AC599" s="116"/>
      <c r="AD599" s="24"/>
      <c r="AE599" s="24"/>
      <c r="AF599" s="50"/>
      <c r="AG599" s="50"/>
      <c r="AH599" s="50"/>
      <c r="AI599" s="50"/>
      <c r="AJ599" s="50"/>
      <c r="AK599" s="50"/>
      <c r="AL599" s="50"/>
    </row>
    <row r="600" spans="1:38" ht="13.8">
      <c r="A600" s="73"/>
      <c r="B600" s="74"/>
      <c r="C600" s="116"/>
      <c r="D600" s="24"/>
      <c r="E600" s="24"/>
      <c r="F600" s="24"/>
      <c r="G600" s="24"/>
      <c r="H600" s="24"/>
      <c r="I600" s="24"/>
      <c r="J600" s="63"/>
      <c r="K600" s="24"/>
      <c r="L600" s="118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119"/>
      <c r="X600" s="50"/>
      <c r="Y600" s="50"/>
      <c r="Z600" s="50"/>
      <c r="AA600" s="50"/>
      <c r="AB600" s="50"/>
      <c r="AC600" s="116"/>
      <c r="AD600" s="24"/>
      <c r="AE600" s="24"/>
      <c r="AF600" s="50"/>
      <c r="AG600" s="50"/>
      <c r="AH600" s="50"/>
      <c r="AI600" s="50"/>
      <c r="AJ600" s="50"/>
      <c r="AK600" s="50"/>
      <c r="AL600" s="50"/>
    </row>
    <row r="601" spans="1:38" ht="13.8">
      <c r="A601" s="73"/>
      <c r="B601" s="74"/>
      <c r="C601" s="116"/>
      <c r="D601" s="24"/>
      <c r="E601" s="24"/>
      <c r="F601" s="24"/>
      <c r="G601" s="24"/>
      <c r="H601" s="24"/>
      <c r="I601" s="24"/>
      <c r="J601" s="63"/>
      <c r="K601" s="24"/>
      <c r="L601" s="118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119"/>
      <c r="X601" s="50"/>
      <c r="Y601" s="50"/>
      <c r="Z601" s="50"/>
      <c r="AA601" s="50"/>
      <c r="AB601" s="50"/>
      <c r="AC601" s="116"/>
      <c r="AD601" s="24"/>
      <c r="AE601" s="24"/>
      <c r="AF601" s="50"/>
      <c r="AG601" s="50"/>
      <c r="AH601" s="50"/>
      <c r="AI601" s="50"/>
      <c r="AJ601" s="50"/>
      <c r="AK601" s="50"/>
      <c r="AL601" s="50"/>
    </row>
    <row r="602" spans="1:38" ht="13.8">
      <c r="A602" s="73"/>
      <c r="B602" s="74"/>
      <c r="C602" s="116"/>
      <c r="D602" s="24"/>
      <c r="E602" s="24"/>
      <c r="F602" s="24"/>
      <c r="G602" s="24"/>
      <c r="H602" s="24"/>
      <c r="I602" s="24"/>
      <c r="J602" s="63"/>
      <c r="K602" s="24"/>
      <c r="L602" s="118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119"/>
      <c r="X602" s="50"/>
      <c r="Y602" s="50"/>
      <c r="Z602" s="50"/>
      <c r="AA602" s="50"/>
      <c r="AB602" s="50"/>
      <c r="AC602" s="116"/>
      <c r="AD602" s="24"/>
      <c r="AE602" s="24"/>
      <c r="AF602" s="50"/>
      <c r="AG602" s="50"/>
      <c r="AH602" s="50"/>
      <c r="AI602" s="50"/>
      <c r="AJ602" s="50"/>
      <c r="AK602" s="50"/>
      <c r="AL602" s="50"/>
    </row>
    <row r="603" spans="1:38" ht="13.8">
      <c r="A603" s="73"/>
      <c r="B603" s="74"/>
      <c r="C603" s="116"/>
      <c r="D603" s="24"/>
      <c r="E603" s="24"/>
      <c r="F603" s="24"/>
      <c r="G603" s="24"/>
      <c r="H603" s="24"/>
      <c r="I603" s="24"/>
      <c r="J603" s="63"/>
      <c r="K603" s="24"/>
      <c r="L603" s="118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119"/>
      <c r="X603" s="50"/>
      <c r="Y603" s="50"/>
      <c r="Z603" s="50"/>
      <c r="AA603" s="50"/>
      <c r="AB603" s="50"/>
      <c r="AC603" s="116"/>
      <c r="AD603" s="24"/>
      <c r="AE603" s="24"/>
      <c r="AF603" s="50"/>
      <c r="AG603" s="50"/>
      <c r="AH603" s="50"/>
      <c r="AI603" s="50"/>
      <c r="AJ603" s="50"/>
      <c r="AK603" s="50"/>
      <c r="AL603" s="50"/>
    </row>
    <row r="604" spans="1:38" ht="13.8">
      <c r="A604" s="73"/>
      <c r="B604" s="74"/>
      <c r="C604" s="116"/>
      <c r="D604" s="24"/>
      <c r="E604" s="24"/>
      <c r="F604" s="24"/>
      <c r="G604" s="24"/>
      <c r="H604" s="24"/>
      <c r="I604" s="24"/>
      <c r="J604" s="63"/>
      <c r="K604" s="24"/>
      <c r="L604" s="118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119"/>
      <c r="X604" s="50"/>
      <c r="Y604" s="50"/>
      <c r="Z604" s="50"/>
      <c r="AA604" s="50"/>
      <c r="AB604" s="50"/>
      <c r="AC604" s="116"/>
      <c r="AD604" s="24"/>
      <c r="AE604" s="24"/>
      <c r="AF604" s="50"/>
      <c r="AG604" s="50"/>
      <c r="AH604" s="50"/>
      <c r="AI604" s="50"/>
      <c r="AJ604" s="50"/>
      <c r="AK604" s="50"/>
      <c r="AL604" s="50"/>
    </row>
    <row r="605" spans="1:38" ht="13.8">
      <c r="A605" s="73"/>
      <c r="B605" s="74"/>
      <c r="C605" s="116"/>
      <c r="D605" s="24"/>
      <c r="E605" s="24"/>
      <c r="F605" s="24"/>
      <c r="G605" s="24"/>
      <c r="H605" s="24"/>
      <c r="I605" s="24"/>
      <c r="J605" s="63"/>
      <c r="K605" s="24"/>
      <c r="L605" s="118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119"/>
      <c r="X605" s="50"/>
      <c r="Y605" s="50"/>
      <c r="Z605" s="50"/>
      <c r="AA605" s="50"/>
      <c r="AB605" s="50"/>
      <c r="AC605" s="116"/>
      <c r="AD605" s="24"/>
      <c r="AE605" s="24"/>
      <c r="AF605" s="50"/>
      <c r="AG605" s="50"/>
      <c r="AH605" s="50"/>
      <c r="AI605" s="50"/>
      <c r="AJ605" s="50"/>
      <c r="AK605" s="50"/>
      <c r="AL605" s="50"/>
    </row>
    <row r="606" spans="1:38" ht="13.8">
      <c r="A606" s="73"/>
      <c r="B606" s="74"/>
      <c r="C606" s="116"/>
      <c r="D606" s="24"/>
      <c r="E606" s="24"/>
      <c r="F606" s="24"/>
      <c r="G606" s="24"/>
      <c r="H606" s="24"/>
      <c r="I606" s="24"/>
      <c r="J606" s="63"/>
      <c r="K606" s="24"/>
      <c r="L606" s="118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119"/>
      <c r="X606" s="50"/>
      <c r="Y606" s="50"/>
      <c r="Z606" s="50"/>
      <c r="AA606" s="50"/>
      <c r="AB606" s="50"/>
      <c r="AC606" s="116"/>
      <c r="AD606" s="24"/>
      <c r="AE606" s="24"/>
      <c r="AF606" s="50"/>
      <c r="AG606" s="50"/>
      <c r="AH606" s="50"/>
      <c r="AI606" s="50"/>
      <c r="AJ606" s="50"/>
      <c r="AK606" s="50"/>
      <c r="AL606" s="50"/>
    </row>
    <row r="607" spans="1:38" ht="13.8">
      <c r="A607" s="73"/>
      <c r="B607" s="74"/>
      <c r="C607" s="116"/>
      <c r="D607" s="24"/>
      <c r="E607" s="24"/>
      <c r="F607" s="24"/>
      <c r="G607" s="24"/>
      <c r="H607" s="24"/>
      <c r="I607" s="24"/>
      <c r="J607" s="63"/>
      <c r="K607" s="24"/>
      <c r="L607" s="118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119"/>
      <c r="X607" s="50"/>
      <c r="Y607" s="50"/>
      <c r="Z607" s="50"/>
      <c r="AA607" s="50"/>
      <c r="AB607" s="50"/>
      <c r="AC607" s="116"/>
      <c r="AD607" s="24"/>
      <c r="AE607" s="24"/>
      <c r="AF607" s="50"/>
      <c r="AG607" s="50"/>
      <c r="AH607" s="50"/>
      <c r="AI607" s="50"/>
      <c r="AJ607" s="50"/>
      <c r="AK607" s="50"/>
      <c r="AL607" s="50"/>
    </row>
    <row r="608" spans="1:38" ht="13.8">
      <c r="A608" s="73"/>
      <c r="B608" s="74"/>
      <c r="C608" s="116"/>
      <c r="D608" s="24"/>
      <c r="E608" s="24"/>
      <c r="F608" s="24"/>
      <c r="G608" s="24"/>
      <c r="H608" s="24"/>
      <c r="I608" s="24"/>
      <c r="J608" s="63"/>
      <c r="K608" s="24"/>
      <c r="L608" s="118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119"/>
      <c r="X608" s="50"/>
      <c r="Y608" s="50"/>
      <c r="Z608" s="50"/>
      <c r="AA608" s="50"/>
      <c r="AB608" s="50"/>
      <c r="AC608" s="116"/>
      <c r="AD608" s="24"/>
      <c r="AE608" s="24"/>
      <c r="AF608" s="50"/>
      <c r="AG608" s="50"/>
      <c r="AH608" s="50"/>
      <c r="AI608" s="50"/>
      <c r="AJ608" s="50"/>
      <c r="AK608" s="50"/>
      <c r="AL608" s="50"/>
    </row>
    <row r="609" spans="1:38" ht="13.8">
      <c r="A609" s="73"/>
      <c r="B609" s="74"/>
      <c r="C609" s="116"/>
      <c r="D609" s="24"/>
      <c r="E609" s="24"/>
      <c r="F609" s="24"/>
      <c r="G609" s="24"/>
      <c r="H609" s="24"/>
      <c r="I609" s="24"/>
      <c r="J609" s="63"/>
      <c r="K609" s="24"/>
      <c r="L609" s="118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119"/>
      <c r="X609" s="50"/>
      <c r="Y609" s="50"/>
      <c r="Z609" s="50"/>
      <c r="AA609" s="50"/>
      <c r="AB609" s="50"/>
      <c r="AC609" s="116"/>
      <c r="AD609" s="24"/>
      <c r="AE609" s="24"/>
      <c r="AF609" s="50"/>
      <c r="AG609" s="50"/>
      <c r="AH609" s="50"/>
      <c r="AI609" s="50"/>
      <c r="AJ609" s="50"/>
      <c r="AK609" s="50"/>
      <c r="AL609" s="50"/>
    </row>
    <row r="610" spans="1:38" ht="13.8">
      <c r="A610" s="73"/>
      <c r="B610" s="74"/>
      <c r="C610" s="116"/>
      <c r="D610" s="24"/>
      <c r="E610" s="24"/>
      <c r="F610" s="24"/>
      <c r="G610" s="24"/>
      <c r="H610" s="24"/>
      <c r="I610" s="24"/>
      <c r="J610" s="63"/>
      <c r="K610" s="24"/>
      <c r="L610" s="118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119"/>
      <c r="X610" s="50"/>
      <c r="Y610" s="50"/>
      <c r="Z610" s="50"/>
      <c r="AA610" s="50"/>
      <c r="AB610" s="50"/>
      <c r="AC610" s="116"/>
      <c r="AD610" s="24"/>
      <c r="AE610" s="24"/>
      <c r="AF610" s="50"/>
      <c r="AG610" s="50"/>
      <c r="AH610" s="50"/>
      <c r="AI610" s="50"/>
      <c r="AJ610" s="50"/>
      <c r="AK610" s="50"/>
      <c r="AL610" s="50"/>
    </row>
    <row r="611" spans="1:38" ht="13.8">
      <c r="A611" s="73"/>
      <c r="B611" s="74"/>
      <c r="C611" s="116"/>
      <c r="D611" s="24"/>
      <c r="E611" s="24"/>
      <c r="F611" s="24"/>
      <c r="G611" s="24"/>
      <c r="H611" s="24"/>
      <c r="I611" s="24"/>
      <c r="J611" s="63"/>
      <c r="K611" s="24"/>
      <c r="L611" s="118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119"/>
      <c r="X611" s="50"/>
      <c r="Y611" s="50"/>
      <c r="Z611" s="50"/>
      <c r="AA611" s="50"/>
      <c r="AB611" s="50"/>
      <c r="AC611" s="116"/>
      <c r="AD611" s="24"/>
      <c r="AE611" s="24"/>
      <c r="AF611" s="50"/>
      <c r="AG611" s="50"/>
      <c r="AH611" s="50"/>
      <c r="AI611" s="50"/>
      <c r="AJ611" s="50"/>
      <c r="AK611" s="50"/>
      <c r="AL611" s="50"/>
    </row>
    <row r="612" spans="1:38" ht="13.8">
      <c r="A612" s="73"/>
      <c r="B612" s="74"/>
      <c r="C612" s="116"/>
      <c r="D612" s="24"/>
      <c r="E612" s="24"/>
      <c r="F612" s="24"/>
      <c r="G612" s="24"/>
      <c r="H612" s="24"/>
      <c r="I612" s="24"/>
      <c r="J612" s="63"/>
      <c r="K612" s="24"/>
      <c r="L612" s="118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119"/>
      <c r="X612" s="50"/>
      <c r="Y612" s="50"/>
      <c r="Z612" s="50"/>
      <c r="AA612" s="50"/>
      <c r="AB612" s="50"/>
      <c r="AC612" s="116"/>
      <c r="AD612" s="24"/>
      <c r="AE612" s="24"/>
      <c r="AF612" s="50"/>
      <c r="AG612" s="50"/>
      <c r="AH612" s="50"/>
      <c r="AI612" s="50"/>
      <c r="AJ612" s="50"/>
      <c r="AK612" s="50"/>
      <c r="AL612" s="50"/>
    </row>
    <row r="613" spans="1:38" ht="13.8">
      <c r="A613" s="73"/>
      <c r="B613" s="74"/>
      <c r="C613" s="116"/>
      <c r="D613" s="24"/>
      <c r="E613" s="24"/>
      <c r="F613" s="24"/>
      <c r="G613" s="24"/>
      <c r="H613" s="24"/>
      <c r="I613" s="24"/>
      <c r="J613" s="63"/>
      <c r="K613" s="24"/>
      <c r="L613" s="118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119"/>
      <c r="X613" s="50"/>
      <c r="Y613" s="50"/>
      <c r="Z613" s="50"/>
      <c r="AA613" s="50"/>
      <c r="AB613" s="50"/>
      <c r="AC613" s="116"/>
      <c r="AD613" s="24"/>
      <c r="AE613" s="24"/>
      <c r="AF613" s="50"/>
      <c r="AG613" s="50"/>
      <c r="AH613" s="50"/>
      <c r="AI613" s="50"/>
      <c r="AJ613" s="50"/>
      <c r="AK613" s="50"/>
      <c r="AL613" s="50"/>
    </row>
    <row r="614" spans="1:38" ht="13.8">
      <c r="A614" s="73"/>
      <c r="B614" s="74"/>
      <c r="C614" s="116"/>
      <c r="D614" s="24"/>
      <c r="E614" s="24"/>
      <c r="F614" s="24"/>
      <c r="G614" s="24"/>
      <c r="H614" s="24"/>
      <c r="I614" s="24"/>
      <c r="J614" s="63"/>
      <c r="K614" s="24"/>
      <c r="L614" s="118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119"/>
      <c r="X614" s="50"/>
      <c r="Y614" s="50"/>
      <c r="Z614" s="50"/>
      <c r="AA614" s="50"/>
      <c r="AB614" s="50"/>
      <c r="AC614" s="116"/>
      <c r="AD614" s="24"/>
      <c r="AE614" s="24"/>
      <c r="AF614" s="50"/>
      <c r="AG614" s="50"/>
      <c r="AH614" s="50"/>
      <c r="AI614" s="50"/>
      <c r="AJ614" s="50"/>
      <c r="AK614" s="50"/>
      <c r="AL614" s="50"/>
    </row>
    <row r="615" spans="1:38" ht="13.8">
      <c r="A615" s="73"/>
      <c r="B615" s="74"/>
      <c r="C615" s="116"/>
      <c r="D615" s="24"/>
      <c r="E615" s="24"/>
      <c r="F615" s="24"/>
      <c r="G615" s="24"/>
      <c r="H615" s="24"/>
      <c r="I615" s="24"/>
      <c r="J615" s="63"/>
      <c r="K615" s="24"/>
      <c r="L615" s="118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119"/>
      <c r="X615" s="50"/>
      <c r="Y615" s="50"/>
      <c r="Z615" s="50"/>
      <c r="AA615" s="50"/>
      <c r="AB615" s="50"/>
      <c r="AC615" s="116"/>
      <c r="AD615" s="24"/>
      <c r="AE615" s="24"/>
      <c r="AF615" s="50"/>
      <c r="AG615" s="50"/>
      <c r="AH615" s="50"/>
      <c r="AI615" s="50"/>
      <c r="AJ615" s="50"/>
      <c r="AK615" s="50"/>
      <c r="AL615" s="50"/>
    </row>
    <row r="616" spans="1:38" ht="13.8">
      <c r="A616" s="73"/>
      <c r="B616" s="74"/>
      <c r="C616" s="116"/>
      <c r="D616" s="24"/>
      <c r="E616" s="24"/>
      <c r="F616" s="24"/>
      <c r="G616" s="24"/>
      <c r="H616" s="24"/>
      <c r="I616" s="24"/>
      <c r="J616" s="63"/>
      <c r="K616" s="24"/>
      <c r="L616" s="118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119"/>
      <c r="X616" s="50"/>
      <c r="Y616" s="50"/>
      <c r="Z616" s="50"/>
      <c r="AA616" s="50"/>
      <c r="AB616" s="50"/>
      <c r="AC616" s="116"/>
      <c r="AD616" s="24"/>
      <c r="AE616" s="24"/>
      <c r="AF616" s="50"/>
      <c r="AG616" s="50"/>
      <c r="AH616" s="50"/>
      <c r="AI616" s="50"/>
      <c r="AJ616" s="50"/>
      <c r="AK616" s="50"/>
      <c r="AL616" s="50"/>
    </row>
    <row r="617" spans="1:38" ht="13.8">
      <c r="A617" s="73"/>
      <c r="B617" s="74"/>
      <c r="C617" s="116"/>
      <c r="D617" s="24"/>
      <c r="E617" s="24"/>
      <c r="F617" s="24"/>
      <c r="G617" s="24"/>
      <c r="H617" s="24"/>
      <c r="I617" s="24"/>
      <c r="J617" s="63"/>
      <c r="K617" s="24"/>
      <c r="L617" s="118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119"/>
      <c r="X617" s="50"/>
      <c r="Y617" s="50"/>
      <c r="Z617" s="50"/>
      <c r="AA617" s="50"/>
      <c r="AB617" s="50"/>
      <c r="AC617" s="116"/>
      <c r="AD617" s="24"/>
      <c r="AE617" s="24"/>
      <c r="AF617" s="50"/>
      <c r="AG617" s="50"/>
      <c r="AH617" s="50"/>
      <c r="AI617" s="50"/>
      <c r="AJ617" s="50"/>
      <c r="AK617" s="50"/>
      <c r="AL617" s="50"/>
    </row>
    <row r="618" spans="1:38" ht="13.8">
      <c r="A618" s="73"/>
      <c r="B618" s="74"/>
      <c r="C618" s="116"/>
      <c r="D618" s="24"/>
      <c r="E618" s="24"/>
      <c r="F618" s="24"/>
      <c r="G618" s="24"/>
      <c r="H618" s="24"/>
      <c r="I618" s="24"/>
      <c r="J618" s="63"/>
      <c r="K618" s="24"/>
      <c r="L618" s="118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119"/>
      <c r="X618" s="50"/>
      <c r="Y618" s="50"/>
      <c r="Z618" s="50"/>
      <c r="AA618" s="50"/>
      <c r="AB618" s="50"/>
      <c r="AC618" s="116"/>
      <c r="AD618" s="24"/>
      <c r="AE618" s="24"/>
      <c r="AF618" s="50"/>
      <c r="AG618" s="50"/>
      <c r="AH618" s="50"/>
      <c r="AI618" s="50"/>
      <c r="AJ618" s="50"/>
      <c r="AK618" s="50"/>
      <c r="AL618" s="50"/>
    </row>
    <row r="619" spans="1:38" ht="13.8">
      <c r="A619" s="73"/>
      <c r="B619" s="74"/>
      <c r="C619" s="116"/>
      <c r="D619" s="24"/>
      <c r="E619" s="24"/>
      <c r="F619" s="24"/>
      <c r="G619" s="24"/>
      <c r="H619" s="24"/>
      <c r="I619" s="24"/>
      <c r="J619" s="63"/>
      <c r="K619" s="24"/>
      <c r="L619" s="118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119"/>
      <c r="X619" s="50"/>
      <c r="Y619" s="50"/>
      <c r="Z619" s="50"/>
      <c r="AA619" s="50"/>
      <c r="AB619" s="50"/>
      <c r="AC619" s="116"/>
      <c r="AD619" s="24"/>
      <c r="AE619" s="24"/>
      <c r="AF619" s="50"/>
      <c r="AG619" s="50"/>
      <c r="AH619" s="50"/>
      <c r="AI619" s="50"/>
      <c r="AJ619" s="50"/>
      <c r="AK619" s="50"/>
      <c r="AL619" s="50"/>
    </row>
    <row r="620" spans="1:38" ht="13.8">
      <c r="A620" s="73"/>
      <c r="B620" s="74"/>
      <c r="C620" s="116"/>
      <c r="D620" s="24"/>
      <c r="E620" s="24"/>
      <c r="F620" s="24"/>
      <c r="G620" s="24"/>
      <c r="H620" s="24"/>
      <c r="I620" s="24"/>
      <c r="J620" s="63"/>
      <c r="K620" s="24"/>
      <c r="L620" s="118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119"/>
      <c r="X620" s="50"/>
      <c r="Y620" s="50"/>
      <c r="Z620" s="50"/>
      <c r="AA620" s="50"/>
      <c r="AB620" s="50"/>
      <c r="AC620" s="116"/>
      <c r="AD620" s="24"/>
      <c r="AE620" s="24"/>
      <c r="AF620" s="50"/>
      <c r="AG620" s="50"/>
      <c r="AH620" s="50"/>
      <c r="AI620" s="50"/>
      <c r="AJ620" s="50"/>
      <c r="AK620" s="50"/>
      <c r="AL620" s="50"/>
    </row>
    <row r="621" spans="1:38" ht="13.8">
      <c r="A621" s="73"/>
      <c r="B621" s="74"/>
      <c r="C621" s="116"/>
      <c r="D621" s="24"/>
      <c r="E621" s="24"/>
      <c r="F621" s="24"/>
      <c r="G621" s="24"/>
      <c r="H621" s="24"/>
      <c r="I621" s="24"/>
      <c r="J621" s="63"/>
      <c r="K621" s="24"/>
      <c r="L621" s="118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119"/>
      <c r="X621" s="50"/>
      <c r="Y621" s="50"/>
      <c r="Z621" s="50"/>
      <c r="AA621" s="50"/>
      <c r="AB621" s="50"/>
      <c r="AC621" s="116"/>
      <c r="AD621" s="24"/>
      <c r="AE621" s="24"/>
      <c r="AF621" s="50"/>
      <c r="AG621" s="50"/>
      <c r="AH621" s="50"/>
      <c r="AI621" s="50"/>
      <c r="AJ621" s="50"/>
      <c r="AK621" s="50"/>
      <c r="AL621" s="50"/>
    </row>
    <row r="622" spans="1:38" ht="13.8">
      <c r="A622" s="73"/>
      <c r="B622" s="74"/>
      <c r="C622" s="116"/>
      <c r="D622" s="24"/>
      <c r="E622" s="24"/>
      <c r="F622" s="24"/>
      <c r="G622" s="24"/>
      <c r="H622" s="24"/>
      <c r="I622" s="24"/>
      <c r="J622" s="63"/>
      <c r="K622" s="24"/>
      <c r="L622" s="118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119"/>
      <c r="X622" s="50"/>
      <c r="Y622" s="50"/>
      <c r="Z622" s="50"/>
      <c r="AA622" s="50"/>
      <c r="AB622" s="50"/>
      <c r="AC622" s="116"/>
      <c r="AD622" s="24"/>
      <c r="AE622" s="24"/>
      <c r="AF622" s="50"/>
      <c r="AG622" s="50"/>
      <c r="AH622" s="50"/>
      <c r="AI622" s="50"/>
      <c r="AJ622" s="50"/>
      <c r="AK622" s="50"/>
      <c r="AL622" s="50"/>
    </row>
    <row r="623" spans="1:38" ht="13.8">
      <c r="A623" s="73"/>
      <c r="B623" s="74"/>
      <c r="C623" s="116"/>
      <c r="D623" s="24"/>
      <c r="E623" s="24"/>
      <c r="F623" s="24"/>
      <c r="G623" s="24"/>
      <c r="H623" s="24"/>
      <c r="I623" s="24"/>
      <c r="J623" s="63"/>
      <c r="K623" s="24"/>
      <c r="L623" s="118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119"/>
      <c r="X623" s="50"/>
      <c r="Y623" s="50"/>
      <c r="Z623" s="50"/>
      <c r="AA623" s="50"/>
      <c r="AB623" s="50"/>
      <c r="AC623" s="116"/>
      <c r="AD623" s="24"/>
      <c r="AE623" s="24"/>
      <c r="AF623" s="50"/>
      <c r="AG623" s="50"/>
      <c r="AH623" s="50"/>
      <c r="AI623" s="50"/>
      <c r="AJ623" s="50"/>
      <c r="AK623" s="50"/>
      <c r="AL623" s="50"/>
    </row>
    <row r="624" spans="1:38" ht="13.8">
      <c r="A624" s="73"/>
      <c r="B624" s="74"/>
      <c r="C624" s="116"/>
      <c r="D624" s="24"/>
      <c r="E624" s="24"/>
      <c r="F624" s="24"/>
      <c r="G624" s="24"/>
      <c r="H624" s="24"/>
      <c r="I624" s="24"/>
      <c r="J624" s="63"/>
      <c r="K624" s="24"/>
      <c r="L624" s="118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119"/>
      <c r="X624" s="50"/>
      <c r="Y624" s="50"/>
      <c r="Z624" s="50"/>
      <c r="AA624" s="50"/>
      <c r="AB624" s="50"/>
      <c r="AC624" s="116"/>
      <c r="AD624" s="24"/>
      <c r="AE624" s="24"/>
      <c r="AF624" s="50"/>
      <c r="AG624" s="50"/>
      <c r="AH624" s="50"/>
      <c r="AI624" s="50"/>
      <c r="AJ624" s="50"/>
      <c r="AK624" s="50"/>
      <c r="AL624" s="50"/>
    </row>
    <row r="625" spans="1:38" ht="13.8">
      <c r="A625" s="73"/>
      <c r="B625" s="74"/>
      <c r="C625" s="116"/>
      <c r="D625" s="24"/>
      <c r="E625" s="24"/>
      <c r="F625" s="24"/>
      <c r="G625" s="24"/>
      <c r="H625" s="24"/>
      <c r="I625" s="24"/>
      <c r="J625" s="63"/>
      <c r="K625" s="24"/>
      <c r="L625" s="118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119"/>
      <c r="X625" s="50"/>
      <c r="Y625" s="50"/>
      <c r="Z625" s="50"/>
      <c r="AA625" s="50"/>
      <c r="AB625" s="50"/>
      <c r="AC625" s="116"/>
      <c r="AD625" s="24"/>
      <c r="AE625" s="24"/>
      <c r="AF625" s="50"/>
      <c r="AG625" s="50"/>
      <c r="AH625" s="50"/>
      <c r="AI625" s="50"/>
      <c r="AJ625" s="50"/>
      <c r="AK625" s="50"/>
      <c r="AL625" s="50"/>
    </row>
    <row r="626" spans="1:38" ht="13.8">
      <c r="A626" s="73"/>
      <c r="B626" s="74"/>
      <c r="C626" s="116"/>
      <c r="D626" s="24"/>
      <c r="E626" s="24"/>
      <c r="F626" s="24"/>
      <c r="G626" s="24"/>
      <c r="H626" s="24"/>
      <c r="I626" s="24"/>
      <c r="J626" s="63"/>
      <c r="K626" s="24"/>
      <c r="L626" s="118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119"/>
      <c r="X626" s="50"/>
      <c r="Y626" s="50"/>
      <c r="Z626" s="50"/>
      <c r="AA626" s="50"/>
      <c r="AB626" s="50"/>
      <c r="AC626" s="116"/>
      <c r="AD626" s="24"/>
      <c r="AE626" s="24"/>
      <c r="AF626" s="50"/>
      <c r="AG626" s="50"/>
      <c r="AH626" s="50"/>
      <c r="AI626" s="50"/>
      <c r="AJ626" s="50"/>
      <c r="AK626" s="50"/>
      <c r="AL626" s="50"/>
    </row>
    <row r="627" spans="1:38" ht="13.8">
      <c r="A627" s="73"/>
      <c r="B627" s="74"/>
      <c r="C627" s="116"/>
      <c r="D627" s="24"/>
      <c r="E627" s="24"/>
      <c r="F627" s="24"/>
      <c r="G627" s="24"/>
      <c r="H627" s="24"/>
      <c r="I627" s="24"/>
      <c r="J627" s="63"/>
      <c r="K627" s="24"/>
      <c r="L627" s="118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119"/>
      <c r="X627" s="50"/>
      <c r="Y627" s="50"/>
      <c r="Z627" s="50"/>
      <c r="AA627" s="50"/>
      <c r="AB627" s="50"/>
      <c r="AC627" s="116"/>
      <c r="AD627" s="24"/>
      <c r="AE627" s="24"/>
      <c r="AF627" s="50"/>
      <c r="AG627" s="50"/>
      <c r="AH627" s="50"/>
      <c r="AI627" s="50"/>
      <c r="AJ627" s="50"/>
      <c r="AK627" s="50"/>
      <c r="AL627" s="50"/>
    </row>
    <row r="628" spans="1:38" ht="13.8">
      <c r="A628" s="73"/>
      <c r="B628" s="74"/>
      <c r="C628" s="116"/>
      <c r="D628" s="24"/>
      <c r="E628" s="24"/>
      <c r="F628" s="24"/>
      <c r="G628" s="24"/>
      <c r="H628" s="24"/>
      <c r="I628" s="24"/>
      <c r="J628" s="63"/>
      <c r="K628" s="24"/>
      <c r="L628" s="118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119"/>
      <c r="X628" s="50"/>
      <c r="Y628" s="50"/>
      <c r="Z628" s="50"/>
      <c r="AA628" s="50"/>
      <c r="AB628" s="50"/>
      <c r="AC628" s="116"/>
      <c r="AD628" s="24"/>
      <c r="AE628" s="24"/>
      <c r="AF628" s="50"/>
      <c r="AG628" s="50"/>
      <c r="AH628" s="50"/>
      <c r="AI628" s="50"/>
      <c r="AJ628" s="50"/>
      <c r="AK628" s="50"/>
      <c r="AL628" s="50"/>
    </row>
    <row r="629" spans="1:38" ht="13.8">
      <c r="A629" s="73"/>
      <c r="B629" s="74"/>
      <c r="C629" s="116"/>
      <c r="D629" s="24"/>
      <c r="E629" s="24"/>
      <c r="F629" s="24"/>
      <c r="G629" s="24"/>
      <c r="H629" s="24"/>
      <c r="I629" s="24"/>
      <c r="J629" s="63"/>
      <c r="K629" s="24"/>
      <c r="L629" s="118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119"/>
      <c r="X629" s="50"/>
      <c r="Y629" s="50"/>
      <c r="Z629" s="50"/>
      <c r="AA629" s="50"/>
      <c r="AB629" s="50"/>
      <c r="AC629" s="116"/>
      <c r="AD629" s="24"/>
      <c r="AE629" s="24"/>
      <c r="AF629" s="50"/>
      <c r="AG629" s="50"/>
      <c r="AH629" s="50"/>
      <c r="AI629" s="50"/>
      <c r="AJ629" s="50"/>
      <c r="AK629" s="50"/>
      <c r="AL629" s="50"/>
    </row>
    <row r="630" spans="1:38" ht="13.8">
      <c r="A630" s="73"/>
      <c r="B630" s="74"/>
      <c r="C630" s="116"/>
      <c r="D630" s="24"/>
      <c r="E630" s="24"/>
      <c r="F630" s="24"/>
      <c r="G630" s="24"/>
      <c r="H630" s="24"/>
      <c r="I630" s="24"/>
      <c r="J630" s="63"/>
      <c r="K630" s="24"/>
      <c r="L630" s="118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119"/>
      <c r="X630" s="50"/>
      <c r="Y630" s="50"/>
      <c r="Z630" s="50"/>
      <c r="AA630" s="50"/>
      <c r="AB630" s="50"/>
      <c r="AC630" s="116"/>
      <c r="AD630" s="24"/>
      <c r="AE630" s="24"/>
      <c r="AF630" s="50"/>
      <c r="AG630" s="50"/>
      <c r="AH630" s="50"/>
      <c r="AI630" s="50"/>
      <c r="AJ630" s="50"/>
      <c r="AK630" s="50"/>
      <c r="AL630" s="50"/>
    </row>
    <row r="631" spans="1:38" ht="13.8">
      <c r="A631" s="73"/>
      <c r="B631" s="74"/>
      <c r="C631" s="116"/>
      <c r="D631" s="24"/>
      <c r="E631" s="24"/>
      <c r="F631" s="24"/>
      <c r="G631" s="24"/>
      <c r="H631" s="24"/>
      <c r="I631" s="24"/>
      <c r="J631" s="63"/>
      <c r="K631" s="24"/>
      <c r="L631" s="118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119"/>
      <c r="X631" s="50"/>
      <c r="Y631" s="50"/>
      <c r="Z631" s="50"/>
      <c r="AA631" s="50"/>
      <c r="AB631" s="50"/>
      <c r="AC631" s="116"/>
      <c r="AD631" s="24"/>
      <c r="AE631" s="24"/>
      <c r="AF631" s="50"/>
      <c r="AG631" s="50"/>
      <c r="AH631" s="50"/>
      <c r="AI631" s="50"/>
      <c r="AJ631" s="50"/>
      <c r="AK631" s="50"/>
      <c r="AL631" s="50"/>
    </row>
    <row r="632" spans="1:38" ht="13.8">
      <c r="A632" s="73"/>
      <c r="B632" s="74"/>
      <c r="C632" s="116"/>
      <c r="D632" s="24"/>
      <c r="E632" s="24"/>
      <c r="F632" s="24"/>
      <c r="G632" s="24"/>
      <c r="H632" s="24"/>
      <c r="I632" s="24"/>
      <c r="J632" s="63"/>
      <c r="K632" s="24"/>
      <c r="L632" s="118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119"/>
      <c r="X632" s="50"/>
      <c r="Y632" s="50"/>
      <c r="Z632" s="50"/>
      <c r="AA632" s="50"/>
      <c r="AB632" s="50"/>
      <c r="AC632" s="116"/>
      <c r="AD632" s="24"/>
      <c r="AE632" s="24"/>
      <c r="AF632" s="50"/>
      <c r="AG632" s="50"/>
      <c r="AH632" s="50"/>
      <c r="AI632" s="50"/>
      <c r="AJ632" s="50"/>
      <c r="AK632" s="50"/>
      <c r="AL632" s="50"/>
    </row>
    <row r="633" spans="1:38" ht="13.8">
      <c r="A633" s="73"/>
      <c r="B633" s="74"/>
      <c r="C633" s="116"/>
      <c r="D633" s="24"/>
      <c r="E633" s="24"/>
      <c r="F633" s="24"/>
      <c r="G633" s="24"/>
      <c r="H633" s="24"/>
      <c r="I633" s="24"/>
      <c r="J633" s="63"/>
      <c r="K633" s="24"/>
      <c r="L633" s="118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119"/>
      <c r="X633" s="50"/>
      <c r="Y633" s="50"/>
      <c r="Z633" s="50"/>
      <c r="AA633" s="50"/>
      <c r="AB633" s="50"/>
      <c r="AC633" s="116"/>
      <c r="AD633" s="24"/>
      <c r="AE633" s="24"/>
      <c r="AF633" s="50"/>
      <c r="AG633" s="50"/>
      <c r="AH633" s="50"/>
      <c r="AI633" s="50"/>
      <c r="AJ633" s="50"/>
      <c r="AK633" s="50"/>
      <c r="AL633" s="50"/>
    </row>
    <row r="634" spans="1:38" ht="13.8">
      <c r="A634" s="73"/>
      <c r="B634" s="74"/>
      <c r="C634" s="116"/>
      <c r="D634" s="24"/>
      <c r="E634" s="24"/>
      <c r="F634" s="24"/>
      <c r="G634" s="24"/>
      <c r="H634" s="24"/>
      <c r="I634" s="24"/>
      <c r="J634" s="63"/>
      <c r="K634" s="24"/>
      <c r="L634" s="118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119"/>
      <c r="X634" s="50"/>
      <c r="Y634" s="50"/>
      <c r="Z634" s="50"/>
      <c r="AA634" s="50"/>
      <c r="AB634" s="50"/>
      <c r="AC634" s="116"/>
      <c r="AD634" s="24"/>
      <c r="AE634" s="24"/>
      <c r="AF634" s="50"/>
      <c r="AG634" s="50"/>
      <c r="AH634" s="50"/>
      <c r="AI634" s="50"/>
      <c r="AJ634" s="50"/>
      <c r="AK634" s="50"/>
      <c r="AL634" s="50"/>
    </row>
    <row r="635" spans="1:38" ht="13.8">
      <c r="A635" s="73"/>
      <c r="B635" s="74"/>
      <c r="C635" s="116"/>
      <c r="D635" s="24"/>
      <c r="E635" s="24"/>
      <c r="F635" s="24"/>
      <c r="G635" s="24"/>
      <c r="H635" s="24"/>
      <c r="I635" s="24"/>
      <c r="J635" s="63"/>
      <c r="K635" s="24"/>
      <c r="L635" s="118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119"/>
      <c r="X635" s="50"/>
      <c r="Y635" s="50"/>
      <c r="Z635" s="50"/>
      <c r="AA635" s="50"/>
      <c r="AB635" s="50"/>
      <c r="AC635" s="116"/>
      <c r="AD635" s="24"/>
      <c r="AE635" s="24"/>
      <c r="AF635" s="50"/>
      <c r="AG635" s="50"/>
      <c r="AH635" s="50"/>
      <c r="AI635" s="50"/>
      <c r="AJ635" s="50"/>
      <c r="AK635" s="50"/>
      <c r="AL635" s="50"/>
    </row>
    <row r="636" spans="1:38" ht="13.8">
      <c r="A636" s="73"/>
      <c r="B636" s="74"/>
      <c r="C636" s="116"/>
      <c r="D636" s="24"/>
      <c r="E636" s="24"/>
      <c r="F636" s="24"/>
      <c r="G636" s="24"/>
      <c r="H636" s="24"/>
      <c r="I636" s="24"/>
      <c r="J636" s="63"/>
      <c r="K636" s="24"/>
      <c r="L636" s="118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119"/>
      <c r="X636" s="50"/>
      <c r="Y636" s="50"/>
      <c r="Z636" s="50"/>
      <c r="AA636" s="50"/>
      <c r="AB636" s="50"/>
      <c r="AC636" s="116"/>
      <c r="AD636" s="24"/>
      <c r="AE636" s="24"/>
      <c r="AF636" s="50"/>
      <c r="AG636" s="50"/>
      <c r="AH636" s="50"/>
      <c r="AI636" s="50"/>
      <c r="AJ636" s="50"/>
      <c r="AK636" s="50"/>
      <c r="AL636" s="50"/>
    </row>
    <row r="637" spans="1:38" ht="13.8">
      <c r="A637" s="73"/>
      <c r="B637" s="74"/>
      <c r="C637" s="116"/>
      <c r="D637" s="24"/>
      <c r="E637" s="24"/>
      <c r="F637" s="24"/>
      <c r="G637" s="24"/>
      <c r="H637" s="24"/>
      <c r="I637" s="24"/>
      <c r="J637" s="63"/>
      <c r="K637" s="24"/>
      <c r="L637" s="118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119"/>
      <c r="X637" s="50"/>
      <c r="Y637" s="50"/>
      <c r="Z637" s="50"/>
      <c r="AA637" s="50"/>
      <c r="AB637" s="50"/>
      <c r="AC637" s="116"/>
      <c r="AD637" s="24"/>
      <c r="AE637" s="24"/>
      <c r="AF637" s="50"/>
      <c r="AG637" s="50"/>
      <c r="AH637" s="50"/>
      <c r="AI637" s="50"/>
      <c r="AJ637" s="50"/>
      <c r="AK637" s="50"/>
      <c r="AL637" s="50"/>
    </row>
    <row r="638" spans="1:38" ht="13.8">
      <c r="A638" s="73"/>
      <c r="B638" s="74"/>
      <c r="C638" s="116"/>
      <c r="D638" s="24"/>
      <c r="E638" s="24"/>
      <c r="F638" s="24"/>
      <c r="G638" s="24"/>
      <c r="H638" s="24"/>
      <c r="I638" s="24"/>
      <c r="J638" s="63"/>
      <c r="K638" s="24"/>
      <c r="L638" s="118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119"/>
      <c r="X638" s="50"/>
      <c r="Y638" s="50"/>
      <c r="Z638" s="50"/>
      <c r="AA638" s="50"/>
      <c r="AB638" s="50"/>
      <c r="AC638" s="116"/>
      <c r="AD638" s="24"/>
      <c r="AE638" s="24"/>
      <c r="AF638" s="50"/>
      <c r="AG638" s="50"/>
      <c r="AH638" s="50"/>
      <c r="AI638" s="50"/>
      <c r="AJ638" s="50"/>
      <c r="AK638" s="50"/>
      <c r="AL638" s="50"/>
    </row>
    <row r="639" spans="1:38" ht="13.8">
      <c r="A639" s="73"/>
      <c r="B639" s="74"/>
      <c r="C639" s="116"/>
      <c r="D639" s="24"/>
      <c r="E639" s="24"/>
      <c r="F639" s="24"/>
      <c r="G639" s="24"/>
      <c r="H639" s="24"/>
      <c r="I639" s="24"/>
      <c r="J639" s="63"/>
      <c r="K639" s="24"/>
      <c r="L639" s="118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119"/>
      <c r="X639" s="50"/>
      <c r="Y639" s="50"/>
      <c r="Z639" s="50"/>
      <c r="AA639" s="50"/>
      <c r="AB639" s="50"/>
      <c r="AC639" s="116"/>
      <c r="AD639" s="24"/>
      <c r="AE639" s="24"/>
      <c r="AF639" s="50"/>
      <c r="AG639" s="50"/>
      <c r="AH639" s="50"/>
      <c r="AI639" s="50"/>
      <c r="AJ639" s="50"/>
      <c r="AK639" s="50"/>
      <c r="AL639" s="50"/>
    </row>
    <row r="640" spans="1:38" ht="13.8">
      <c r="A640" s="73"/>
      <c r="B640" s="74"/>
      <c r="C640" s="116"/>
      <c r="D640" s="24"/>
      <c r="E640" s="24"/>
      <c r="F640" s="24"/>
      <c r="G640" s="24"/>
      <c r="H640" s="24"/>
      <c r="I640" s="24"/>
      <c r="J640" s="63"/>
      <c r="K640" s="24"/>
      <c r="L640" s="118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119"/>
      <c r="X640" s="50"/>
      <c r="Y640" s="50"/>
      <c r="Z640" s="50"/>
      <c r="AA640" s="50"/>
      <c r="AB640" s="50"/>
      <c r="AC640" s="116"/>
      <c r="AD640" s="24"/>
      <c r="AE640" s="24"/>
      <c r="AF640" s="50"/>
      <c r="AG640" s="50"/>
      <c r="AH640" s="50"/>
      <c r="AI640" s="50"/>
      <c r="AJ640" s="50"/>
      <c r="AK640" s="50"/>
      <c r="AL640" s="50"/>
    </row>
    <row r="641" spans="1:38" ht="13.8">
      <c r="A641" s="73"/>
      <c r="B641" s="74"/>
      <c r="C641" s="116"/>
      <c r="D641" s="24"/>
      <c r="E641" s="24"/>
      <c r="F641" s="24"/>
      <c r="G641" s="24"/>
      <c r="H641" s="24"/>
      <c r="I641" s="24"/>
      <c r="J641" s="63"/>
      <c r="K641" s="24"/>
      <c r="L641" s="118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119"/>
      <c r="X641" s="50"/>
      <c r="Y641" s="50"/>
      <c r="Z641" s="50"/>
      <c r="AA641" s="50"/>
      <c r="AB641" s="50"/>
      <c r="AC641" s="116"/>
      <c r="AD641" s="24"/>
      <c r="AE641" s="24"/>
      <c r="AF641" s="50"/>
      <c r="AG641" s="50"/>
      <c r="AH641" s="50"/>
      <c r="AI641" s="50"/>
      <c r="AJ641" s="50"/>
      <c r="AK641" s="50"/>
      <c r="AL641" s="50"/>
    </row>
    <row r="642" spans="1:38" ht="13.8">
      <c r="A642" s="73"/>
      <c r="B642" s="74"/>
      <c r="C642" s="116"/>
      <c r="D642" s="24"/>
      <c r="E642" s="24"/>
      <c r="F642" s="24"/>
      <c r="G642" s="24"/>
      <c r="H642" s="24"/>
      <c r="I642" s="24"/>
      <c r="J642" s="63"/>
      <c r="K642" s="24"/>
      <c r="L642" s="118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119"/>
      <c r="X642" s="50"/>
      <c r="Y642" s="50"/>
      <c r="Z642" s="50"/>
      <c r="AA642" s="50"/>
      <c r="AB642" s="50"/>
      <c r="AC642" s="116"/>
      <c r="AD642" s="24"/>
      <c r="AE642" s="24"/>
      <c r="AF642" s="50"/>
      <c r="AG642" s="50"/>
      <c r="AH642" s="50"/>
      <c r="AI642" s="50"/>
      <c r="AJ642" s="50"/>
      <c r="AK642" s="50"/>
      <c r="AL642" s="50"/>
    </row>
    <row r="643" spans="1:38" ht="13.8">
      <c r="A643" s="73"/>
      <c r="B643" s="74"/>
      <c r="C643" s="116"/>
      <c r="D643" s="24"/>
      <c r="E643" s="24"/>
      <c r="F643" s="24"/>
      <c r="G643" s="24"/>
      <c r="H643" s="24"/>
      <c r="I643" s="24"/>
      <c r="J643" s="63"/>
      <c r="K643" s="24"/>
      <c r="L643" s="118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119"/>
      <c r="X643" s="50"/>
      <c r="Y643" s="50"/>
      <c r="Z643" s="50"/>
      <c r="AA643" s="50"/>
      <c r="AB643" s="50"/>
      <c r="AC643" s="116"/>
      <c r="AD643" s="24"/>
      <c r="AE643" s="24"/>
      <c r="AF643" s="50"/>
      <c r="AG643" s="50"/>
      <c r="AH643" s="50"/>
      <c r="AI643" s="50"/>
      <c r="AJ643" s="50"/>
      <c r="AK643" s="50"/>
      <c r="AL643" s="50"/>
    </row>
    <row r="644" spans="1:38" ht="13.8">
      <c r="A644" s="73"/>
      <c r="B644" s="74"/>
      <c r="C644" s="116"/>
      <c r="D644" s="24"/>
      <c r="E644" s="24"/>
      <c r="F644" s="24"/>
      <c r="G644" s="24"/>
      <c r="H644" s="24"/>
      <c r="I644" s="24"/>
      <c r="J644" s="63"/>
      <c r="K644" s="24"/>
      <c r="L644" s="118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119"/>
      <c r="X644" s="50"/>
      <c r="Y644" s="50"/>
      <c r="Z644" s="50"/>
      <c r="AA644" s="50"/>
      <c r="AB644" s="50"/>
      <c r="AC644" s="116"/>
      <c r="AD644" s="24"/>
      <c r="AE644" s="24"/>
      <c r="AF644" s="50"/>
      <c r="AG644" s="50"/>
      <c r="AH644" s="50"/>
      <c r="AI644" s="50"/>
      <c r="AJ644" s="50"/>
      <c r="AK644" s="50"/>
      <c r="AL644" s="50"/>
    </row>
    <row r="645" spans="1:38" ht="13.8">
      <c r="A645" s="73"/>
      <c r="B645" s="74"/>
      <c r="C645" s="116"/>
      <c r="D645" s="24"/>
      <c r="E645" s="24"/>
      <c r="F645" s="24"/>
      <c r="G645" s="24"/>
      <c r="H645" s="24"/>
      <c r="I645" s="24"/>
      <c r="J645" s="63"/>
      <c r="K645" s="24"/>
      <c r="L645" s="118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119"/>
      <c r="X645" s="50"/>
      <c r="Y645" s="50"/>
      <c r="Z645" s="50"/>
      <c r="AA645" s="50"/>
      <c r="AB645" s="50"/>
      <c r="AC645" s="116"/>
      <c r="AD645" s="24"/>
      <c r="AE645" s="24"/>
      <c r="AF645" s="50"/>
      <c r="AG645" s="50"/>
      <c r="AH645" s="50"/>
      <c r="AI645" s="50"/>
      <c r="AJ645" s="50"/>
      <c r="AK645" s="50"/>
      <c r="AL645" s="50"/>
    </row>
    <row r="646" spans="1:38" ht="13.8">
      <c r="A646" s="73"/>
      <c r="B646" s="74"/>
      <c r="C646" s="116"/>
      <c r="D646" s="24"/>
      <c r="E646" s="24"/>
      <c r="F646" s="24"/>
      <c r="G646" s="24"/>
      <c r="H646" s="24"/>
      <c r="I646" s="24"/>
      <c r="J646" s="63"/>
      <c r="K646" s="24"/>
      <c r="L646" s="118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119"/>
      <c r="X646" s="50"/>
      <c r="Y646" s="50"/>
      <c r="Z646" s="50"/>
      <c r="AA646" s="50"/>
      <c r="AB646" s="50"/>
      <c r="AC646" s="116"/>
      <c r="AD646" s="24"/>
      <c r="AE646" s="24"/>
      <c r="AF646" s="50"/>
      <c r="AG646" s="50"/>
      <c r="AH646" s="50"/>
      <c r="AI646" s="50"/>
      <c r="AJ646" s="50"/>
      <c r="AK646" s="50"/>
      <c r="AL646" s="50"/>
    </row>
    <row r="647" spans="1:38" ht="13.8">
      <c r="A647" s="73"/>
      <c r="B647" s="74"/>
      <c r="C647" s="116"/>
      <c r="D647" s="24"/>
      <c r="E647" s="24"/>
      <c r="F647" s="24"/>
      <c r="G647" s="24"/>
      <c r="H647" s="24"/>
      <c r="I647" s="24"/>
      <c r="J647" s="63"/>
      <c r="K647" s="24"/>
      <c r="L647" s="118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119"/>
      <c r="X647" s="50"/>
      <c r="Y647" s="50"/>
      <c r="Z647" s="50"/>
      <c r="AA647" s="50"/>
      <c r="AB647" s="50"/>
      <c r="AC647" s="116"/>
      <c r="AD647" s="24"/>
      <c r="AE647" s="24"/>
      <c r="AF647" s="50"/>
      <c r="AG647" s="50"/>
      <c r="AH647" s="50"/>
      <c r="AI647" s="50"/>
      <c r="AJ647" s="50"/>
      <c r="AK647" s="50"/>
      <c r="AL647" s="50"/>
    </row>
    <row r="648" spans="1:38" ht="13.8">
      <c r="A648" s="73"/>
      <c r="B648" s="74"/>
      <c r="C648" s="116"/>
      <c r="D648" s="24"/>
      <c r="E648" s="24"/>
      <c r="F648" s="24"/>
      <c r="G648" s="24"/>
      <c r="H648" s="24"/>
      <c r="I648" s="24"/>
      <c r="J648" s="63"/>
      <c r="K648" s="24"/>
      <c r="L648" s="118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119"/>
      <c r="X648" s="50"/>
      <c r="Y648" s="50"/>
      <c r="Z648" s="50"/>
      <c r="AA648" s="50"/>
      <c r="AB648" s="50"/>
      <c r="AC648" s="116"/>
      <c r="AD648" s="24"/>
      <c r="AE648" s="24"/>
      <c r="AF648" s="50"/>
      <c r="AG648" s="50"/>
      <c r="AH648" s="50"/>
      <c r="AI648" s="50"/>
      <c r="AJ648" s="50"/>
      <c r="AK648" s="50"/>
      <c r="AL648" s="50"/>
    </row>
    <row r="649" spans="1:38" ht="13.8">
      <c r="A649" s="73"/>
      <c r="B649" s="74"/>
      <c r="C649" s="116"/>
      <c r="D649" s="24"/>
      <c r="E649" s="24"/>
      <c r="F649" s="24"/>
      <c r="G649" s="24"/>
      <c r="H649" s="24"/>
      <c r="I649" s="24"/>
      <c r="J649" s="63"/>
      <c r="K649" s="24"/>
      <c r="L649" s="118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119"/>
      <c r="X649" s="50"/>
      <c r="Y649" s="50"/>
      <c r="Z649" s="50"/>
      <c r="AA649" s="50"/>
      <c r="AB649" s="50"/>
      <c r="AC649" s="116"/>
      <c r="AD649" s="24"/>
      <c r="AE649" s="24"/>
      <c r="AF649" s="50"/>
      <c r="AG649" s="50"/>
      <c r="AH649" s="50"/>
      <c r="AI649" s="50"/>
      <c r="AJ649" s="50"/>
      <c r="AK649" s="50"/>
      <c r="AL649" s="50"/>
    </row>
    <row r="650" spans="1:38" ht="13.8">
      <c r="A650" s="73"/>
      <c r="B650" s="74"/>
      <c r="C650" s="116"/>
      <c r="D650" s="24"/>
      <c r="E650" s="24"/>
      <c r="F650" s="24"/>
      <c r="G650" s="24"/>
      <c r="H650" s="24"/>
      <c r="I650" s="24"/>
      <c r="J650" s="63"/>
      <c r="K650" s="24"/>
      <c r="L650" s="118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119"/>
      <c r="X650" s="50"/>
      <c r="Y650" s="50"/>
      <c r="Z650" s="50"/>
      <c r="AA650" s="50"/>
      <c r="AB650" s="50"/>
      <c r="AC650" s="116"/>
      <c r="AD650" s="24"/>
      <c r="AE650" s="24"/>
      <c r="AF650" s="50"/>
      <c r="AG650" s="50"/>
      <c r="AH650" s="50"/>
      <c r="AI650" s="50"/>
      <c r="AJ650" s="50"/>
      <c r="AK650" s="50"/>
      <c r="AL650" s="50"/>
    </row>
    <row r="651" spans="1:38" ht="13.8">
      <c r="A651" s="73"/>
      <c r="B651" s="74"/>
      <c r="C651" s="116"/>
      <c r="D651" s="24"/>
      <c r="E651" s="24"/>
      <c r="F651" s="24"/>
      <c r="G651" s="24"/>
      <c r="H651" s="24"/>
      <c r="I651" s="24"/>
      <c r="J651" s="63"/>
      <c r="K651" s="24"/>
      <c r="L651" s="118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119"/>
      <c r="X651" s="50"/>
      <c r="Y651" s="50"/>
      <c r="Z651" s="50"/>
      <c r="AA651" s="50"/>
      <c r="AB651" s="50"/>
      <c r="AC651" s="116"/>
      <c r="AD651" s="24"/>
      <c r="AE651" s="24"/>
      <c r="AF651" s="50"/>
      <c r="AG651" s="50"/>
      <c r="AH651" s="50"/>
      <c r="AI651" s="50"/>
      <c r="AJ651" s="50"/>
      <c r="AK651" s="50"/>
      <c r="AL651" s="50"/>
    </row>
    <row r="652" spans="1:38" ht="13.8">
      <c r="A652" s="73"/>
      <c r="B652" s="74"/>
      <c r="C652" s="116"/>
      <c r="D652" s="24"/>
      <c r="E652" s="24"/>
      <c r="F652" s="24"/>
      <c r="G652" s="24"/>
      <c r="H652" s="24"/>
      <c r="I652" s="24"/>
      <c r="J652" s="63"/>
      <c r="K652" s="24"/>
      <c r="L652" s="118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119"/>
      <c r="X652" s="50"/>
      <c r="Y652" s="50"/>
      <c r="Z652" s="50"/>
      <c r="AA652" s="50"/>
      <c r="AB652" s="50"/>
      <c r="AC652" s="116"/>
      <c r="AD652" s="24"/>
      <c r="AE652" s="24"/>
      <c r="AF652" s="50"/>
      <c r="AG652" s="50"/>
      <c r="AH652" s="50"/>
      <c r="AI652" s="50"/>
      <c r="AJ652" s="50"/>
      <c r="AK652" s="50"/>
      <c r="AL652" s="50"/>
    </row>
    <row r="653" spans="1:38" ht="13.8">
      <c r="A653" s="73"/>
      <c r="B653" s="74"/>
      <c r="C653" s="116"/>
      <c r="D653" s="24"/>
      <c r="E653" s="24"/>
      <c r="F653" s="24"/>
      <c r="G653" s="24"/>
      <c r="H653" s="24"/>
      <c r="I653" s="24"/>
      <c r="J653" s="63"/>
      <c r="K653" s="24"/>
      <c r="L653" s="118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119"/>
      <c r="X653" s="50"/>
      <c r="Y653" s="50"/>
      <c r="Z653" s="50"/>
      <c r="AA653" s="50"/>
      <c r="AB653" s="50"/>
      <c r="AC653" s="116"/>
      <c r="AD653" s="24"/>
      <c r="AE653" s="24"/>
      <c r="AF653" s="50"/>
      <c r="AG653" s="50"/>
      <c r="AH653" s="50"/>
      <c r="AI653" s="50"/>
      <c r="AJ653" s="50"/>
      <c r="AK653" s="50"/>
      <c r="AL653" s="50"/>
    </row>
    <row r="654" spans="1:38" ht="13.8">
      <c r="A654" s="73"/>
      <c r="B654" s="74"/>
      <c r="C654" s="116"/>
      <c r="D654" s="24"/>
      <c r="E654" s="24"/>
      <c r="F654" s="24"/>
      <c r="G654" s="24"/>
      <c r="H654" s="24"/>
      <c r="I654" s="24"/>
      <c r="J654" s="63"/>
      <c r="K654" s="24"/>
      <c r="L654" s="118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119"/>
      <c r="X654" s="50"/>
      <c r="Y654" s="50"/>
      <c r="Z654" s="50"/>
      <c r="AA654" s="50"/>
      <c r="AB654" s="50"/>
      <c r="AC654" s="116"/>
      <c r="AD654" s="24"/>
      <c r="AE654" s="24"/>
      <c r="AF654" s="50"/>
      <c r="AG654" s="50"/>
      <c r="AH654" s="50"/>
      <c r="AI654" s="50"/>
      <c r="AJ654" s="50"/>
      <c r="AK654" s="50"/>
      <c r="AL654" s="50"/>
    </row>
    <row r="655" spans="1:38" ht="13.8">
      <c r="A655" s="73"/>
      <c r="B655" s="74"/>
      <c r="C655" s="116"/>
      <c r="D655" s="24"/>
      <c r="E655" s="24"/>
      <c r="F655" s="24"/>
      <c r="G655" s="24"/>
      <c r="H655" s="24"/>
      <c r="I655" s="24"/>
      <c r="J655" s="63"/>
      <c r="K655" s="24"/>
      <c r="L655" s="118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119"/>
      <c r="X655" s="50"/>
      <c r="Y655" s="50"/>
      <c r="Z655" s="50"/>
      <c r="AA655" s="50"/>
      <c r="AB655" s="50"/>
      <c r="AC655" s="116"/>
      <c r="AD655" s="24"/>
      <c r="AE655" s="24"/>
      <c r="AF655" s="50"/>
      <c r="AG655" s="50"/>
      <c r="AH655" s="50"/>
      <c r="AI655" s="50"/>
      <c r="AJ655" s="50"/>
      <c r="AK655" s="50"/>
      <c r="AL655" s="50"/>
    </row>
    <row r="656" spans="1:38" ht="13.8">
      <c r="A656" s="73"/>
      <c r="B656" s="74"/>
      <c r="C656" s="116"/>
      <c r="D656" s="24"/>
      <c r="E656" s="24"/>
      <c r="F656" s="24"/>
      <c r="G656" s="24"/>
      <c r="H656" s="24"/>
      <c r="I656" s="24"/>
      <c r="J656" s="63"/>
      <c r="K656" s="24"/>
      <c r="L656" s="118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119"/>
      <c r="X656" s="50"/>
      <c r="Y656" s="50"/>
      <c r="Z656" s="50"/>
      <c r="AA656" s="50"/>
      <c r="AB656" s="50"/>
      <c r="AC656" s="116"/>
      <c r="AD656" s="24"/>
      <c r="AE656" s="24"/>
      <c r="AF656" s="50"/>
      <c r="AG656" s="50"/>
      <c r="AH656" s="50"/>
      <c r="AI656" s="50"/>
      <c r="AJ656" s="50"/>
      <c r="AK656" s="50"/>
      <c r="AL656" s="50"/>
    </row>
    <row r="657" spans="1:38" ht="13.8">
      <c r="A657" s="73"/>
      <c r="B657" s="74"/>
      <c r="C657" s="116"/>
      <c r="D657" s="24"/>
      <c r="E657" s="24"/>
      <c r="F657" s="24"/>
      <c r="G657" s="24"/>
      <c r="H657" s="24"/>
      <c r="I657" s="24"/>
      <c r="J657" s="63"/>
      <c r="K657" s="24"/>
      <c r="L657" s="118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119"/>
      <c r="X657" s="50"/>
      <c r="Y657" s="50"/>
      <c r="Z657" s="50"/>
      <c r="AA657" s="50"/>
      <c r="AB657" s="50"/>
      <c r="AC657" s="116"/>
      <c r="AD657" s="24"/>
      <c r="AE657" s="24"/>
      <c r="AF657" s="50"/>
      <c r="AG657" s="50"/>
      <c r="AH657" s="50"/>
      <c r="AI657" s="50"/>
      <c r="AJ657" s="50"/>
      <c r="AK657" s="50"/>
      <c r="AL657" s="50"/>
    </row>
    <row r="658" spans="1:38" ht="13.8">
      <c r="A658" s="73"/>
      <c r="B658" s="74"/>
      <c r="C658" s="116"/>
      <c r="D658" s="24"/>
      <c r="E658" s="24"/>
      <c r="F658" s="24"/>
      <c r="G658" s="24"/>
      <c r="H658" s="24"/>
      <c r="I658" s="24"/>
      <c r="J658" s="63"/>
      <c r="K658" s="24"/>
      <c r="L658" s="118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119"/>
      <c r="X658" s="50"/>
      <c r="Y658" s="50"/>
      <c r="Z658" s="50"/>
      <c r="AA658" s="50"/>
      <c r="AB658" s="50"/>
      <c r="AC658" s="116"/>
      <c r="AD658" s="24"/>
      <c r="AE658" s="24"/>
      <c r="AF658" s="50"/>
      <c r="AG658" s="50"/>
      <c r="AH658" s="50"/>
      <c r="AI658" s="50"/>
      <c r="AJ658" s="50"/>
      <c r="AK658" s="50"/>
      <c r="AL658" s="50"/>
    </row>
    <row r="659" spans="1:38" ht="13.8">
      <c r="A659" s="73"/>
      <c r="B659" s="74"/>
      <c r="C659" s="116"/>
      <c r="D659" s="24"/>
      <c r="E659" s="24"/>
      <c r="F659" s="24"/>
      <c r="G659" s="24"/>
      <c r="H659" s="24"/>
      <c r="I659" s="24"/>
      <c r="J659" s="63"/>
      <c r="K659" s="24"/>
      <c r="L659" s="118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119"/>
      <c r="X659" s="50"/>
      <c r="Y659" s="50"/>
      <c r="Z659" s="50"/>
      <c r="AA659" s="50"/>
      <c r="AB659" s="50"/>
      <c r="AC659" s="116"/>
      <c r="AD659" s="24"/>
      <c r="AE659" s="24"/>
      <c r="AF659" s="50"/>
      <c r="AG659" s="50"/>
      <c r="AH659" s="50"/>
      <c r="AI659" s="50"/>
      <c r="AJ659" s="50"/>
      <c r="AK659" s="50"/>
      <c r="AL659" s="50"/>
    </row>
    <row r="660" spans="1:38" ht="13.8">
      <c r="A660" s="73"/>
      <c r="B660" s="74"/>
      <c r="C660" s="116"/>
      <c r="D660" s="24"/>
      <c r="E660" s="24"/>
      <c r="F660" s="24"/>
      <c r="G660" s="24"/>
      <c r="H660" s="24"/>
      <c r="I660" s="24"/>
      <c r="J660" s="63"/>
      <c r="K660" s="24"/>
      <c r="L660" s="118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119"/>
      <c r="X660" s="50"/>
      <c r="Y660" s="50"/>
      <c r="Z660" s="50"/>
      <c r="AA660" s="50"/>
      <c r="AB660" s="50"/>
      <c r="AC660" s="116"/>
      <c r="AD660" s="24"/>
      <c r="AE660" s="24"/>
      <c r="AF660" s="50"/>
      <c r="AG660" s="50"/>
      <c r="AH660" s="50"/>
      <c r="AI660" s="50"/>
      <c r="AJ660" s="50"/>
      <c r="AK660" s="50"/>
      <c r="AL660" s="50"/>
    </row>
    <row r="661" spans="1:38" ht="13.8">
      <c r="A661" s="73"/>
      <c r="B661" s="74"/>
      <c r="C661" s="116"/>
      <c r="D661" s="24"/>
      <c r="E661" s="24"/>
      <c r="F661" s="24"/>
      <c r="G661" s="24"/>
      <c r="H661" s="24"/>
      <c r="I661" s="24"/>
      <c r="J661" s="63"/>
      <c r="K661" s="24"/>
      <c r="L661" s="118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119"/>
      <c r="X661" s="50"/>
      <c r="Y661" s="50"/>
      <c r="Z661" s="50"/>
      <c r="AA661" s="50"/>
      <c r="AB661" s="50"/>
      <c r="AC661" s="116"/>
      <c r="AD661" s="24"/>
      <c r="AE661" s="24"/>
      <c r="AF661" s="50"/>
      <c r="AG661" s="50"/>
      <c r="AH661" s="50"/>
      <c r="AI661" s="50"/>
      <c r="AJ661" s="50"/>
      <c r="AK661" s="50"/>
      <c r="AL661" s="50"/>
    </row>
    <row r="662" spans="1:38" ht="13.8">
      <c r="A662" s="73"/>
      <c r="B662" s="74"/>
      <c r="C662" s="116"/>
      <c r="D662" s="24"/>
      <c r="E662" s="24"/>
      <c r="F662" s="24"/>
      <c r="G662" s="24"/>
      <c r="H662" s="24"/>
      <c r="I662" s="24"/>
      <c r="J662" s="63"/>
      <c r="K662" s="24"/>
      <c r="L662" s="118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119"/>
      <c r="X662" s="50"/>
      <c r="Y662" s="50"/>
      <c r="Z662" s="50"/>
      <c r="AA662" s="50"/>
      <c r="AB662" s="50"/>
      <c r="AC662" s="116"/>
      <c r="AD662" s="24"/>
      <c r="AE662" s="24"/>
      <c r="AF662" s="50"/>
      <c r="AG662" s="50"/>
      <c r="AH662" s="50"/>
      <c r="AI662" s="50"/>
      <c r="AJ662" s="50"/>
      <c r="AK662" s="50"/>
      <c r="AL662" s="50"/>
    </row>
    <row r="663" spans="1:38" ht="13.8">
      <c r="A663" s="73"/>
      <c r="B663" s="74"/>
      <c r="C663" s="116"/>
      <c r="D663" s="24"/>
      <c r="E663" s="24"/>
      <c r="F663" s="24"/>
      <c r="G663" s="24"/>
      <c r="H663" s="24"/>
      <c r="I663" s="24"/>
      <c r="J663" s="63"/>
      <c r="K663" s="24"/>
      <c r="L663" s="118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119"/>
      <c r="X663" s="50"/>
      <c r="Y663" s="50"/>
      <c r="Z663" s="50"/>
      <c r="AA663" s="50"/>
      <c r="AB663" s="50"/>
      <c r="AC663" s="116"/>
      <c r="AD663" s="24"/>
      <c r="AE663" s="24"/>
      <c r="AF663" s="50"/>
      <c r="AG663" s="50"/>
      <c r="AH663" s="50"/>
      <c r="AI663" s="50"/>
      <c r="AJ663" s="50"/>
      <c r="AK663" s="50"/>
      <c r="AL663" s="50"/>
    </row>
    <row r="664" spans="1:38" ht="13.8">
      <c r="A664" s="73"/>
      <c r="B664" s="74"/>
      <c r="C664" s="116"/>
      <c r="D664" s="24"/>
      <c r="E664" s="24"/>
      <c r="F664" s="24"/>
      <c r="G664" s="24"/>
      <c r="H664" s="24"/>
      <c r="I664" s="24"/>
      <c r="J664" s="63"/>
      <c r="K664" s="24"/>
      <c r="L664" s="118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119"/>
      <c r="X664" s="50"/>
      <c r="Y664" s="50"/>
      <c r="Z664" s="50"/>
      <c r="AA664" s="50"/>
      <c r="AB664" s="50"/>
      <c r="AC664" s="116"/>
      <c r="AD664" s="24"/>
      <c r="AE664" s="24"/>
      <c r="AF664" s="50"/>
      <c r="AG664" s="50"/>
      <c r="AH664" s="50"/>
      <c r="AI664" s="50"/>
      <c r="AJ664" s="50"/>
      <c r="AK664" s="50"/>
      <c r="AL664" s="50"/>
    </row>
    <row r="665" spans="1:38" ht="13.8">
      <c r="A665" s="73"/>
      <c r="B665" s="74"/>
      <c r="C665" s="116"/>
      <c r="D665" s="24"/>
      <c r="E665" s="24"/>
      <c r="F665" s="24"/>
      <c r="G665" s="24"/>
      <c r="H665" s="24"/>
      <c r="I665" s="24"/>
      <c r="J665" s="63"/>
      <c r="K665" s="24"/>
      <c r="L665" s="118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119"/>
      <c r="X665" s="50"/>
      <c r="Y665" s="50"/>
      <c r="Z665" s="50"/>
      <c r="AA665" s="50"/>
      <c r="AB665" s="50"/>
      <c r="AC665" s="116"/>
      <c r="AD665" s="24"/>
      <c r="AE665" s="24"/>
      <c r="AF665" s="50"/>
      <c r="AG665" s="50"/>
      <c r="AH665" s="50"/>
      <c r="AI665" s="50"/>
      <c r="AJ665" s="50"/>
      <c r="AK665" s="50"/>
      <c r="AL665" s="50"/>
    </row>
    <row r="666" spans="1:38" ht="13.8">
      <c r="A666" s="73"/>
      <c r="B666" s="74"/>
      <c r="C666" s="116"/>
      <c r="D666" s="24"/>
      <c r="E666" s="24"/>
      <c r="F666" s="24"/>
      <c r="G666" s="24"/>
      <c r="H666" s="24"/>
      <c r="I666" s="24"/>
      <c r="J666" s="63"/>
      <c r="K666" s="24"/>
      <c r="L666" s="118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119"/>
      <c r="X666" s="50"/>
      <c r="Y666" s="50"/>
      <c r="Z666" s="50"/>
      <c r="AA666" s="50"/>
      <c r="AB666" s="50"/>
      <c r="AC666" s="116"/>
      <c r="AD666" s="24"/>
      <c r="AE666" s="24"/>
      <c r="AF666" s="50"/>
      <c r="AG666" s="50"/>
      <c r="AH666" s="50"/>
      <c r="AI666" s="50"/>
      <c r="AJ666" s="50"/>
      <c r="AK666" s="50"/>
      <c r="AL666" s="50"/>
    </row>
    <row r="667" spans="1:38" ht="13.8">
      <c r="A667" s="73"/>
      <c r="B667" s="74"/>
      <c r="C667" s="116"/>
      <c r="D667" s="24"/>
      <c r="E667" s="24"/>
      <c r="F667" s="24"/>
      <c r="G667" s="24"/>
      <c r="H667" s="24"/>
      <c r="I667" s="24"/>
      <c r="J667" s="63"/>
      <c r="K667" s="24"/>
      <c r="L667" s="118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119"/>
      <c r="X667" s="50"/>
      <c r="Y667" s="50"/>
      <c r="Z667" s="50"/>
      <c r="AA667" s="50"/>
      <c r="AB667" s="50"/>
      <c r="AC667" s="116"/>
      <c r="AD667" s="24"/>
      <c r="AE667" s="24"/>
      <c r="AF667" s="50"/>
      <c r="AG667" s="50"/>
      <c r="AH667" s="50"/>
      <c r="AI667" s="50"/>
      <c r="AJ667" s="50"/>
      <c r="AK667" s="50"/>
      <c r="AL667" s="50"/>
    </row>
    <row r="668" spans="1:38" ht="13.8">
      <c r="A668" s="73"/>
      <c r="B668" s="74"/>
      <c r="C668" s="116"/>
      <c r="D668" s="24"/>
      <c r="E668" s="24"/>
      <c r="F668" s="24"/>
      <c r="G668" s="24"/>
      <c r="H668" s="24"/>
      <c r="I668" s="24"/>
      <c r="J668" s="63"/>
      <c r="K668" s="24"/>
      <c r="L668" s="118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119"/>
      <c r="X668" s="50"/>
      <c r="Y668" s="50"/>
      <c r="Z668" s="50"/>
      <c r="AA668" s="50"/>
      <c r="AB668" s="50"/>
      <c r="AC668" s="116"/>
      <c r="AD668" s="24"/>
      <c r="AE668" s="24"/>
      <c r="AF668" s="50"/>
      <c r="AG668" s="50"/>
      <c r="AH668" s="50"/>
      <c r="AI668" s="50"/>
      <c r="AJ668" s="50"/>
      <c r="AK668" s="50"/>
      <c r="AL668" s="50"/>
    </row>
    <row r="669" spans="1:38" ht="13.8">
      <c r="A669" s="73"/>
      <c r="B669" s="74"/>
      <c r="C669" s="116"/>
      <c r="D669" s="24"/>
      <c r="E669" s="24"/>
      <c r="F669" s="24"/>
      <c r="G669" s="24"/>
      <c r="H669" s="24"/>
      <c r="I669" s="24"/>
      <c r="J669" s="63"/>
      <c r="K669" s="24"/>
      <c r="L669" s="118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119"/>
      <c r="X669" s="50"/>
      <c r="Y669" s="50"/>
      <c r="Z669" s="50"/>
      <c r="AA669" s="50"/>
      <c r="AB669" s="50"/>
      <c r="AC669" s="116"/>
      <c r="AD669" s="24"/>
      <c r="AE669" s="24"/>
      <c r="AF669" s="50"/>
      <c r="AG669" s="50"/>
      <c r="AH669" s="50"/>
      <c r="AI669" s="50"/>
      <c r="AJ669" s="50"/>
      <c r="AK669" s="50"/>
      <c r="AL669" s="50"/>
    </row>
    <row r="670" spans="1:38" ht="13.8">
      <c r="A670" s="73"/>
      <c r="B670" s="74"/>
      <c r="C670" s="116"/>
      <c r="D670" s="24"/>
      <c r="E670" s="24"/>
      <c r="F670" s="24"/>
      <c r="G670" s="24"/>
      <c r="H670" s="24"/>
      <c r="I670" s="24"/>
      <c r="J670" s="63"/>
      <c r="K670" s="24"/>
      <c r="L670" s="118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119"/>
      <c r="X670" s="50"/>
      <c r="Y670" s="50"/>
      <c r="Z670" s="50"/>
      <c r="AA670" s="50"/>
      <c r="AB670" s="50"/>
      <c r="AC670" s="116"/>
      <c r="AD670" s="24"/>
      <c r="AE670" s="24"/>
      <c r="AF670" s="50"/>
      <c r="AG670" s="50"/>
      <c r="AH670" s="50"/>
      <c r="AI670" s="50"/>
      <c r="AJ670" s="50"/>
      <c r="AK670" s="50"/>
      <c r="AL670" s="50"/>
    </row>
    <row r="671" spans="1:38" ht="13.8">
      <c r="A671" s="73"/>
      <c r="B671" s="74"/>
      <c r="C671" s="116"/>
      <c r="D671" s="24"/>
      <c r="E671" s="24"/>
      <c r="F671" s="24"/>
      <c r="G671" s="24"/>
      <c r="H671" s="24"/>
      <c r="I671" s="24"/>
      <c r="J671" s="63"/>
      <c r="K671" s="24"/>
      <c r="L671" s="118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119"/>
      <c r="X671" s="50"/>
      <c r="Y671" s="50"/>
      <c r="Z671" s="50"/>
      <c r="AA671" s="50"/>
      <c r="AB671" s="50"/>
      <c r="AC671" s="116"/>
      <c r="AD671" s="24"/>
      <c r="AE671" s="24"/>
      <c r="AF671" s="50"/>
      <c r="AG671" s="50"/>
      <c r="AH671" s="50"/>
      <c r="AI671" s="50"/>
      <c r="AJ671" s="50"/>
      <c r="AK671" s="50"/>
      <c r="AL671" s="50"/>
    </row>
    <row r="672" spans="1:38" ht="13.8">
      <c r="A672" s="73"/>
      <c r="B672" s="74"/>
      <c r="C672" s="116"/>
      <c r="D672" s="24"/>
      <c r="E672" s="24"/>
      <c r="F672" s="24"/>
      <c r="G672" s="24"/>
      <c r="H672" s="24"/>
      <c r="I672" s="24"/>
      <c r="J672" s="63"/>
      <c r="K672" s="24"/>
      <c r="L672" s="118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119"/>
      <c r="X672" s="50"/>
      <c r="Y672" s="50"/>
      <c r="Z672" s="50"/>
      <c r="AA672" s="50"/>
      <c r="AB672" s="50"/>
      <c r="AC672" s="116"/>
      <c r="AD672" s="24"/>
      <c r="AE672" s="24"/>
      <c r="AF672" s="50"/>
      <c r="AG672" s="50"/>
      <c r="AH672" s="50"/>
      <c r="AI672" s="50"/>
      <c r="AJ672" s="50"/>
      <c r="AK672" s="50"/>
      <c r="AL672" s="50"/>
    </row>
    <row r="673" spans="1:38" ht="13.8">
      <c r="A673" s="73"/>
      <c r="B673" s="74"/>
      <c r="C673" s="116"/>
      <c r="D673" s="24"/>
      <c r="E673" s="24"/>
      <c r="F673" s="24"/>
      <c r="G673" s="24"/>
      <c r="H673" s="24"/>
      <c r="I673" s="24"/>
      <c r="J673" s="63"/>
      <c r="K673" s="24"/>
      <c r="L673" s="118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119"/>
      <c r="X673" s="50"/>
      <c r="Y673" s="50"/>
      <c r="Z673" s="50"/>
      <c r="AA673" s="50"/>
      <c r="AB673" s="50"/>
      <c r="AC673" s="116"/>
      <c r="AD673" s="24"/>
      <c r="AE673" s="24"/>
      <c r="AF673" s="50"/>
      <c r="AG673" s="50"/>
      <c r="AH673" s="50"/>
      <c r="AI673" s="50"/>
      <c r="AJ673" s="50"/>
      <c r="AK673" s="50"/>
      <c r="AL673" s="50"/>
    </row>
    <row r="674" spans="1:38" ht="13.8">
      <c r="A674" s="73"/>
      <c r="B674" s="74"/>
      <c r="C674" s="116"/>
      <c r="D674" s="24"/>
      <c r="E674" s="24"/>
      <c r="F674" s="24"/>
      <c r="G674" s="24"/>
      <c r="H674" s="24"/>
      <c r="I674" s="24"/>
      <c r="J674" s="63"/>
      <c r="K674" s="24"/>
      <c r="L674" s="118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119"/>
      <c r="X674" s="50"/>
      <c r="Y674" s="50"/>
      <c r="Z674" s="50"/>
      <c r="AA674" s="50"/>
      <c r="AB674" s="50"/>
      <c r="AC674" s="116"/>
      <c r="AD674" s="24"/>
      <c r="AE674" s="24"/>
      <c r="AF674" s="50"/>
      <c r="AG674" s="50"/>
      <c r="AH674" s="50"/>
      <c r="AI674" s="50"/>
      <c r="AJ674" s="50"/>
      <c r="AK674" s="50"/>
      <c r="AL674" s="50"/>
    </row>
    <row r="675" spans="1:38" ht="13.8">
      <c r="A675" s="73"/>
      <c r="B675" s="74"/>
      <c r="C675" s="116"/>
      <c r="D675" s="24"/>
      <c r="E675" s="24"/>
      <c r="F675" s="24"/>
      <c r="G675" s="24"/>
      <c r="H675" s="24"/>
      <c r="I675" s="24"/>
      <c r="J675" s="63"/>
      <c r="K675" s="24"/>
      <c r="L675" s="118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119"/>
      <c r="X675" s="50"/>
      <c r="Y675" s="50"/>
      <c r="Z675" s="50"/>
      <c r="AA675" s="50"/>
      <c r="AB675" s="50"/>
      <c r="AC675" s="116"/>
      <c r="AD675" s="24"/>
      <c r="AE675" s="24"/>
      <c r="AF675" s="50"/>
      <c r="AG675" s="50"/>
      <c r="AH675" s="50"/>
      <c r="AI675" s="50"/>
      <c r="AJ675" s="50"/>
      <c r="AK675" s="50"/>
      <c r="AL675" s="50"/>
    </row>
    <row r="676" spans="1:38" ht="13.8">
      <c r="A676" s="73"/>
      <c r="B676" s="74"/>
      <c r="C676" s="116"/>
      <c r="D676" s="24"/>
      <c r="E676" s="24"/>
      <c r="F676" s="24"/>
      <c r="G676" s="24"/>
      <c r="H676" s="24"/>
      <c r="I676" s="24"/>
      <c r="J676" s="63"/>
      <c r="K676" s="24"/>
      <c r="L676" s="118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119"/>
      <c r="X676" s="50"/>
      <c r="Y676" s="50"/>
      <c r="Z676" s="50"/>
      <c r="AA676" s="50"/>
      <c r="AB676" s="50"/>
      <c r="AC676" s="116"/>
      <c r="AD676" s="24"/>
      <c r="AE676" s="24"/>
      <c r="AF676" s="50"/>
      <c r="AG676" s="50"/>
      <c r="AH676" s="50"/>
      <c r="AI676" s="50"/>
      <c r="AJ676" s="50"/>
      <c r="AK676" s="50"/>
      <c r="AL676" s="50"/>
    </row>
    <row r="677" spans="1:38" ht="13.8">
      <c r="A677" s="73"/>
      <c r="B677" s="74"/>
      <c r="C677" s="116"/>
      <c r="D677" s="24"/>
      <c r="E677" s="24"/>
      <c r="F677" s="24"/>
      <c r="G677" s="24"/>
      <c r="H677" s="24"/>
      <c r="I677" s="24"/>
      <c r="J677" s="63"/>
      <c r="K677" s="24"/>
      <c r="L677" s="118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119"/>
      <c r="X677" s="50"/>
      <c r="Y677" s="50"/>
      <c r="Z677" s="50"/>
      <c r="AA677" s="50"/>
      <c r="AB677" s="50"/>
      <c r="AC677" s="116"/>
      <c r="AD677" s="24"/>
      <c r="AE677" s="24"/>
      <c r="AF677" s="50"/>
      <c r="AG677" s="50"/>
      <c r="AH677" s="50"/>
      <c r="AI677" s="50"/>
      <c r="AJ677" s="50"/>
      <c r="AK677" s="50"/>
      <c r="AL677" s="50"/>
    </row>
    <row r="678" spans="1:38" ht="13.8">
      <c r="A678" s="73"/>
      <c r="B678" s="74"/>
      <c r="C678" s="116"/>
      <c r="D678" s="24"/>
      <c r="E678" s="24"/>
      <c r="F678" s="24"/>
      <c r="G678" s="24"/>
      <c r="H678" s="24"/>
      <c r="I678" s="24"/>
      <c r="J678" s="63"/>
      <c r="K678" s="24"/>
      <c r="L678" s="118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119"/>
      <c r="X678" s="50"/>
      <c r="Y678" s="50"/>
      <c r="Z678" s="50"/>
      <c r="AA678" s="50"/>
      <c r="AB678" s="50"/>
      <c r="AC678" s="116"/>
      <c r="AD678" s="24"/>
      <c r="AE678" s="24"/>
      <c r="AF678" s="50"/>
      <c r="AG678" s="50"/>
      <c r="AH678" s="50"/>
      <c r="AI678" s="50"/>
      <c r="AJ678" s="50"/>
      <c r="AK678" s="50"/>
      <c r="AL678" s="50"/>
    </row>
    <row r="679" spans="1:38" ht="13.8">
      <c r="A679" s="73"/>
      <c r="B679" s="74"/>
      <c r="C679" s="116"/>
      <c r="D679" s="24"/>
      <c r="E679" s="24"/>
      <c r="F679" s="24"/>
      <c r="G679" s="24"/>
      <c r="H679" s="24"/>
      <c r="I679" s="24"/>
      <c r="J679" s="63"/>
      <c r="K679" s="24"/>
      <c r="L679" s="118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119"/>
      <c r="X679" s="50"/>
      <c r="Y679" s="50"/>
      <c r="Z679" s="50"/>
      <c r="AA679" s="50"/>
      <c r="AB679" s="50"/>
      <c r="AC679" s="116"/>
      <c r="AD679" s="24"/>
      <c r="AE679" s="24"/>
      <c r="AF679" s="50"/>
      <c r="AG679" s="50"/>
      <c r="AH679" s="50"/>
      <c r="AI679" s="50"/>
      <c r="AJ679" s="50"/>
      <c r="AK679" s="50"/>
      <c r="AL679" s="50"/>
    </row>
    <row r="680" spans="1:38" ht="13.8">
      <c r="A680" s="73"/>
      <c r="B680" s="74"/>
      <c r="C680" s="116"/>
      <c r="D680" s="24"/>
      <c r="E680" s="24"/>
      <c r="F680" s="24"/>
      <c r="G680" s="24"/>
      <c r="H680" s="24"/>
      <c r="I680" s="24"/>
      <c r="J680" s="63"/>
      <c r="K680" s="24"/>
      <c r="L680" s="118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119"/>
      <c r="X680" s="50"/>
      <c r="Y680" s="50"/>
      <c r="Z680" s="50"/>
      <c r="AA680" s="50"/>
      <c r="AB680" s="50"/>
      <c r="AC680" s="116"/>
      <c r="AD680" s="24"/>
      <c r="AE680" s="24"/>
      <c r="AF680" s="50"/>
      <c r="AG680" s="50"/>
      <c r="AH680" s="50"/>
      <c r="AI680" s="50"/>
      <c r="AJ680" s="50"/>
      <c r="AK680" s="50"/>
      <c r="AL680" s="50"/>
    </row>
    <row r="681" spans="1:38" ht="13.8">
      <c r="A681" s="73"/>
      <c r="B681" s="74"/>
      <c r="C681" s="116"/>
      <c r="D681" s="24"/>
      <c r="E681" s="24"/>
      <c r="F681" s="24"/>
      <c r="G681" s="24"/>
      <c r="H681" s="24"/>
      <c r="I681" s="24"/>
      <c r="J681" s="63"/>
      <c r="K681" s="24"/>
      <c r="L681" s="118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119"/>
      <c r="X681" s="50"/>
      <c r="Y681" s="50"/>
      <c r="Z681" s="50"/>
      <c r="AA681" s="50"/>
      <c r="AB681" s="50"/>
      <c r="AC681" s="116"/>
      <c r="AD681" s="24"/>
      <c r="AE681" s="24"/>
      <c r="AF681" s="50"/>
      <c r="AG681" s="50"/>
      <c r="AH681" s="50"/>
      <c r="AI681" s="50"/>
      <c r="AJ681" s="50"/>
      <c r="AK681" s="50"/>
      <c r="AL681" s="50"/>
    </row>
    <row r="682" spans="1:38" ht="13.8">
      <c r="A682" s="73"/>
      <c r="B682" s="74"/>
      <c r="C682" s="116"/>
      <c r="D682" s="24"/>
      <c r="E682" s="24"/>
      <c r="F682" s="24"/>
      <c r="G682" s="24"/>
      <c r="H682" s="24"/>
      <c r="I682" s="24"/>
      <c r="J682" s="63"/>
      <c r="K682" s="24"/>
      <c r="L682" s="118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119"/>
      <c r="X682" s="50"/>
      <c r="Y682" s="50"/>
      <c r="Z682" s="50"/>
      <c r="AA682" s="50"/>
      <c r="AB682" s="50"/>
      <c r="AC682" s="116"/>
      <c r="AD682" s="24"/>
      <c r="AE682" s="24"/>
      <c r="AF682" s="50"/>
      <c r="AG682" s="50"/>
      <c r="AH682" s="50"/>
      <c r="AI682" s="50"/>
      <c r="AJ682" s="50"/>
      <c r="AK682" s="50"/>
      <c r="AL682" s="50"/>
    </row>
    <row r="683" spans="1:38" ht="13.8">
      <c r="A683" s="73"/>
      <c r="B683" s="74"/>
      <c r="C683" s="116"/>
      <c r="D683" s="24"/>
      <c r="E683" s="24"/>
      <c r="F683" s="24"/>
      <c r="G683" s="24"/>
      <c r="H683" s="24"/>
      <c r="I683" s="24"/>
      <c r="J683" s="63"/>
      <c r="K683" s="24"/>
      <c r="L683" s="118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119"/>
      <c r="X683" s="50"/>
      <c r="Y683" s="50"/>
      <c r="Z683" s="50"/>
      <c r="AA683" s="50"/>
      <c r="AB683" s="50"/>
      <c r="AC683" s="116"/>
      <c r="AD683" s="24"/>
      <c r="AE683" s="24"/>
      <c r="AF683" s="50"/>
      <c r="AG683" s="50"/>
      <c r="AH683" s="50"/>
      <c r="AI683" s="50"/>
      <c r="AJ683" s="50"/>
      <c r="AK683" s="50"/>
      <c r="AL683" s="50"/>
    </row>
    <row r="684" spans="1:38" ht="13.8">
      <c r="A684" s="73"/>
      <c r="B684" s="74"/>
      <c r="C684" s="116"/>
      <c r="D684" s="24"/>
      <c r="E684" s="24"/>
      <c r="F684" s="24"/>
      <c r="G684" s="24"/>
      <c r="H684" s="24"/>
      <c r="I684" s="24"/>
      <c r="J684" s="63"/>
      <c r="K684" s="24"/>
      <c r="L684" s="118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119"/>
      <c r="X684" s="50"/>
      <c r="Y684" s="50"/>
      <c r="Z684" s="50"/>
      <c r="AA684" s="50"/>
      <c r="AB684" s="50"/>
      <c r="AC684" s="116"/>
      <c r="AD684" s="24"/>
      <c r="AE684" s="24"/>
      <c r="AF684" s="50"/>
      <c r="AG684" s="50"/>
      <c r="AH684" s="50"/>
      <c r="AI684" s="50"/>
      <c r="AJ684" s="50"/>
      <c r="AK684" s="50"/>
      <c r="AL684" s="50"/>
    </row>
    <row r="685" spans="1:38" ht="13.8">
      <c r="A685" s="73"/>
      <c r="B685" s="74"/>
      <c r="C685" s="116"/>
      <c r="D685" s="24"/>
      <c r="E685" s="24"/>
      <c r="F685" s="24"/>
      <c r="G685" s="24"/>
      <c r="H685" s="24"/>
      <c r="I685" s="24"/>
      <c r="J685" s="63"/>
      <c r="K685" s="24"/>
      <c r="L685" s="118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119"/>
      <c r="X685" s="50"/>
      <c r="Y685" s="50"/>
      <c r="Z685" s="50"/>
      <c r="AA685" s="50"/>
      <c r="AB685" s="50"/>
      <c r="AC685" s="116"/>
      <c r="AD685" s="24"/>
      <c r="AE685" s="24"/>
      <c r="AF685" s="50"/>
      <c r="AG685" s="50"/>
      <c r="AH685" s="50"/>
      <c r="AI685" s="50"/>
      <c r="AJ685" s="50"/>
      <c r="AK685" s="50"/>
      <c r="AL685" s="50"/>
    </row>
    <row r="686" spans="1:38" ht="13.8">
      <c r="A686" s="73"/>
      <c r="B686" s="74"/>
      <c r="C686" s="116"/>
      <c r="D686" s="24"/>
      <c r="E686" s="24"/>
      <c r="F686" s="24"/>
      <c r="G686" s="24"/>
      <c r="H686" s="24"/>
      <c r="I686" s="24"/>
      <c r="J686" s="63"/>
      <c r="K686" s="24"/>
      <c r="L686" s="118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119"/>
      <c r="X686" s="50"/>
      <c r="Y686" s="50"/>
      <c r="Z686" s="50"/>
      <c r="AA686" s="50"/>
      <c r="AB686" s="50"/>
      <c r="AC686" s="116"/>
      <c r="AD686" s="24"/>
      <c r="AE686" s="24"/>
      <c r="AF686" s="50"/>
      <c r="AG686" s="50"/>
      <c r="AH686" s="50"/>
      <c r="AI686" s="50"/>
      <c r="AJ686" s="50"/>
      <c r="AK686" s="50"/>
      <c r="AL686" s="50"/>
    </row>
    <row r="687" spans="1:38" ht="13.8">
      <c r="A687" s="73"/>
      <c r="B687" s="74"/>
      <c r="C687" s="116"/>
      <c r="D687" s="24"/>
      <c r="E687" s="24"/>
      <c r="F687" s="24"/>
      <c r="G687" s="24"/>
      <c r="H687" s="24"/>
      <c r="I687" s="24"/>
      <c r="J687" s="63"/>
      <c r="K687" s="24"/>
      <c r="L687" s="118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119"/>
      <c r="X687" s="50"/>
      <c r="Y687" s="50"/>
      <c r="Z687" s="50"/>
      <c r="AA687" s="50"/>
      <c r="AB687" s="50"/>
      <c r="AC687" s="116"/>
      <c r="AD687" s="24"/>
      <c r="AE687" s="24"/>
      <c r="AF687" s="50"/>
      <c r="AG687" s="50"/>
      <c r="AH687" s="50"/>
      <c r="AI687" s="50"/>
      <c r="AJ687" s="50"/>
      <c r="AK687" s="50"/>
      <c r="AL687" s="50"/>
    </row>
    <row r="688" spans="1:38" ht="13.8">
      <c r="A688" s="73"/>
      <c r="B688" s="74"/>
      <c r="C688" s="116"/>
      <c r="D688" s="24"/>
      <c r="E688" s="24"/>
      <c r="F688" s="24"/>
      <c r="G688" s="24"/>
      <c r="H688" s="24"/>
      <c r="I688" s="24"/>
      <c r="J688" s="63"/>
      <c r="K688" s="24"/>
      <c r="L688" s="118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119"/>
      <c r="X688" s="50"/>
      <c r="Y688" s="50"/>
      <c r="Z688" s="50"/>
      <c r="AA688" s="50"/>
      <c r="AB688" s="50"/>
      <c r="AC688" s="116"/>
      <c r="AD688" s="24"/>
      <c r="AE688" s="24"/>
      <c r="AF688" s="50"/>
      <c r="AG688" s="50"/>
      <c r="AH688" s="50"/>
      <c r="AI688" s="50"/>
      <c r="AJ688" s="50"/>
      <c r="AK688" s="50"/>
      <c r="AL688" s="50"/>
    </row>
    <row r="689" spans="1:38" ht="13.8">
      <c r="A689" s="73"/>
      <c r="B689" s="74"/>
      <c r="C689" s="116"/>
      <c r="D689" s="24"/>
      <c r="E689" s="24"/>
      <c r="F689" s="24"/>
      <c r="G689" s="24"/>
      <c r="H689" s="24"/>
      <c r="I689" s="24"/>
      <c r="J689" s="63"/>
      <c r="K689" s="24"/>
      <c r="L689" s="118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119"/>
      <c r="X689" s="50"/>
      <c r="Y689" s="50"/>
      <c r="Z689" s="50"/>
      <c r="AA689" s="50"/>
      <c r="AB689" s="50"/>
      <c r="AC689" s="116"/>
      <c r="AD689" s="24"/>
      <c r="AE689" s="24"/>
      <c r="AF689" s="50"/>
      <c r="AG689" s="50"/>
      <c r="AH689" s="50"/>
      <c r="AI689" s="50"/>
      <c r="AJ689" s="50"/>
      <c r="AK689" s="50"/>
      <c r="AL689" s="50"/>
    </row>
    <row r="690" spans="1:38" ht="13.8">
      <c r="A690" s="73"/>
      <c r="B690" s="74"/>
      <c r="C690" s="116"/>
      <c r="D690" s="24"/>
      <c r="E690" s="24"/>
      <c r="F690" s="24"/>
      <c r="G690" s="24"/>
      <c r="H690" s="24"/>
      <c r="I690" s="24"/>
      <c r="J690" s="63"/>
      <c r="K690" s="24"/>
      <c r="L690" s="118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119"/>
      <c r="X690" s="50"/>
      <c r="Y690" s="50"/>
      <c r="Z690" s="50"/>
      <c r="AA690" s="50"/>
      <c r="AB690" s="50"/>
      <c r="AC690" s="116"/>
      <c r="AD690" s="24"/>
      <c r="AE690" s="24"/>
      <c r="AF690" s="50"/>
      <c r="AG690" s="50"/>
      <c r="AH690" s="50"/>
      <c r="AI690" s="50"/>
      <c r="AJ690" s="50"/>
      <c r="AK690" s="50"/>
      <c r="AL690" s="50"/>
    </row>
    <row r="691" spans="1:38" ht="13.8">
      <c r="A691" s="73"/>
      <c r="B691" s="74"/>
      <c r="C691" s="116"/>
      <c r="D691" s="24"/>
      <c r="E691" s="24"/>
      <c r="F691" s="24"/>
      <c r="G691" s="24"/>
      <c r="H691" s="24"/>
      <c r="I691" s="24"/>
      <c r="J691" s="63"/>
      <c r="K691" s="24"/>
      <c r="L691" s="118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119"/>
      <c r="X691" s="50"/>
      <c r="Y691" s="50"/>
      <c r="Z691" s="50"/>
      <c r="AA691" s="50"/>
      <c r="AB691" s="50"/>
      <c r="AC691" s="116"/>
      <c r="AD691" s="24"/>
      <c r="AE691" s="24"/>
      <c r="AF691" s="50"/>
      <c r="AG691" s="50"/>
      <c r="AH691" s="50"/>
      <c r="AI691" s="50"/>
      <c r="AJ691" s="50"/>
      <c r="AK691" s="50"/>
      <c r="AL691" s="50"/>
    </row>
    <row r="692" spans="1:38" ht="13.8">
      <c r="A692" s="73"/>
      <c r="B692" s="74"/>
      <c r="C692" s="116"/>
      <c r="D692" s="24"/>
      <c r="E692" s="24"/>
      <c r="F692" s="24"/>
      <c r="G692" s="24"/>
      <c r="H692" s="24"/>
      <c r="I692" s="24"/>
      <c r="J692" s="63"/>
      <c r="K692" s="24"/>
      <c r="L692" s="118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119"/>
      <c r="X692" s="50"/>
      <c r="Y692" s="50"/>
      <c r="Z692" s="50"/>
      <c r="AA692" s="50"/>
      <c r="AB692" s="50"/>
      <c r="AC692" s="116"/>
      <c r="AD692" s="24"/>
      <c r="AE692" s="24"/>
      <c r="AF692" s="50"/>
      <c r="AG692" s="50"/>
      <c r="AH692" s="50"/>
      <c r="AI692" s="50"/>
      <c r="AJ692" s="50"/>
      <c r="AK692" s="50"/>
      <c r="AL692" s="50"/>
    </row>
    <row r="693" spans="1:38" ht="13.8">
      <c r="A693" s="73"/>
      <c r="B693" s="74"/>
      <c r="C693" s="116"/>
      <c r="D693" s="24"/>
      <c r="E693" s="24"/>
      <c r="F693" s="24"/>
      <c r="G693" s="24"/>
      <c r="H693" s="24"/>
      <c r="I693" s="24"/>
      <c r="J693" s="63"/>
      <c r="K693" s="24"/>
      <c r="L693" s="118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119"/>
      <c r="X693" s="50"/>
      <c r="Y693" s="50"/>
      <c r="Z693" s="50"/>
      <c r="AA693" s="50"/>
      <c r="AB693" s="50"/>
      <c r="AC693" s="116"/>
      <c r="AD693" s="24"/>
      <c r="AE693" s="24"/>
      <c r="AF693" s="50"/>
      <c r="AG693" s="50"/>
      <c r="AH693" s="50"/>
      <c r="AI693" s="50"/>
      <c r="AJ693" s="50"/>
      <c r="AK693" s="50"/>
      <c r="AL693" s="50"/>
    </row>
    <row r="694" spans="1:38" ht="13.8">
      <c r="A694" s="73"/>
      <c r="B694" s="74"/>
      <c r="C694" s="116"/>
      <c r="D694" s="24"/>
      <c r="E694" s="24"/>
      <c r="F694" s="24"/>
      <c r="G694" s="24"/>
      <c r="H694" s="24"/>
      <c r="I694" s="24"/>
      <c r="J694" s="63"/>
      <c r="K694" s="24"/>
      <c r="L694" s="118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119"/>
      <c r="X694" s="50"/>
      <c r="Y694" s="50"/>
      <c r="Z694" s="50"/>
      <c r="AA694" s="50"/>
      <c r="AB694" s="50"/>
      <c r="AC694" s="116"/>
      <c r="AD694" s="24"/>
      <c r="AE694" s="24"/>
      <c r="AF694" s="50"/>
      <c r="AG694" s="50"/>
      <c r="AH694" s="50"/>
      <c r="AI694" s="50"/>
      <c r="AJ694" s="50"/>
      <c r="AK694" s="50"/>
      <c r="AL694" s="50"/>
    </row>
    <row r="695" spans="1:38" ht="13.8">
      <c r="A695" s="73"/>
      <c r="B695" s="74"/>
      <c r="C695" s="116"/>
      <c r="D695" s="24"/>
      <c r="E695" s="24"/>
      <c r="F695" s="24"/>
      <c r="G695" s="24"/>
      <c r="H695" s="24"/>
      <c r="I695" s="24"/>
      <c r="J695" s="63"/>
      <c r="K695" s="24"/>
      <c r="L695" s="118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119"/>
      <c r="X695" s="50"/>
      <c r="Y695" s="50"/>
      <c r="Z695" s="50"/>
      <c r="AA695" s="50"/>
      <c r="AB695" s="50"/>
      <c r="AC695" s="116"/>
      <c r="AD695" s="24"/>
      <c r="AE695" s="24"/>
      <c r="AF695" s="50"/>
      <c r="AG695" s="50"/>
      <c r="AH695" s="50"/>
      <c r="AI695" s="50"/>
      <c r="AJ695" s="50"/>
      <c r="AK695" s="50"/>
      <c r="AL695" s="50"/>
    </row>
    <row r="696" spans="1:38" ht="13.8">
      <c r="A696" s="73"/>
      <c r="B696" s="74"/>
      <c r="C696" s="116"/>
      <c r="D696" s="24"/>
      <c r="E696" s="24"/>
      <c r="F696" s="24"/>
      <c r="G696" s="24"/>
      <c r="H696" s="24"/>
      <c r="I696" s="24"/>
      <c r="J696" s="63"/>
      <c r="K696" s="24"/>
      <c r="L696" s="118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119"/>
      <c r="X696" s="50"/>
      <c r="Y696" s="50"/>
      <c r="Z696" s="50"/>
      <c r="AA696" s="50"/>
      <c r="AB696" s="50"/>
      <c r="AC696" s="116"/>
      <c r="AD696" s="24"/>
      <c r="AE696" s="24"/>
      <c r="AF696" s="50"/>
      <c r="AG696" s="50"/>
      <c r="AH696" s="50"/>
      <c r="AI696" s="50"/>
      <c r="AJ696" s="50"/>
      <c r="AK696" s="50"/>
      <c r="AL696" s="50"/>
    </row>
    <row r="697" spans="1:38" ht="13.8">
      <c r="A697" s="73"/>
      <c r="B697" s="74"/>
      <c r="C697" s="116"/>
      <c r="D697" s="24"/>
      <c r="E697" s="24"/>
      <c r="F697" s="24"/>
      <c r="G697" s="24"/>
      <c r="H697" s="24"/>
      <c r="I697" s="24"/>
      <c r="J697" s="63"/>
      <c r="K697" s="24"/>
      <c r="L697" s="118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119"/>
      <c r="X697" s="50"/>
      <c r="Y697" s="50"/>
      <c r="Z697" s="50"/>
      <c r="AA697" s="50"/>
      <c r="AB697" s="50"/>
      <c r="AC697" s="116"/>
      <c r="AD697" s="24"/>
      <c r="AE697" s="24"/>
      <c r="AF697" s="50"/>
      <c r="AG697" s="50"/>
      <c r="AH697" s="50"/>
      <c r="AI697" s="50"/>
      <c r="AJ697" s="50"/>
      <c r="AK697" s="50"/>
      <c r="AL697" s="50"/>
    </row>
    <row r="698" spans="1:38" ht="13.8">
      <c r="A698" s="73"/>
      <c r="B698" s="74"/>
      <c r="C698" s="116"/>
      <c r="D698" s="24"/>
      <c r="E698" s="24"/>
      <c r="F698" s="24"/>
      <c r="G698" s="24"/>
      <c r="H698" s="24"/>
      <c r="I698" s="24"/>
      <c r="J698" s="63"/>
      <c r="K698" s="24"/>
      <c r="L698" s="118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119"/>
      <c r="X698" s="50"/>
      <c r="Y698" s="50"/>
      <c r="Z698" s="50"/>
      <c r="AA698" s="50"/>
      <c r="AB698" s="50"/>
      <c r="AC698" s="116"/>
      <c r="AD698" s="24"/>
      <c r="AE698" s="24"/>
      <c r="AF698" s="50"/>
      <c r="AG698" s="50"/>
      <c r="AH698" s="50"/>
      <c r="AI698" s="50"/>
      <c r="AJ698" s="50"/>
      <c r="AK698" s="50"/>
      <c r="AL698" s="50"/>
    </row>
    <row r="699" spans="1:38" ht="13.8">
      <c r="A699" s="73"/>
      <c r="B699" s="74"/>
      <c r="C699" s="116"/>
      <c r="D699" s="24"/>
      <c r="E699" s="24"/>
      <c r="F699" s="24"/>
      <c r="G699" s="24"/>
      <c r="H699" s="24"/>
      <c r="I699" s="24"/>
      <c r="J699" s="63"/>
      <c r="K699" s="24"/>
      <c r="L699" s="118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119"/>
      <c r="X699" s="50"/>
      <c r="Y699" s="50"/>
      <c r="Z699" s="50"/>
      <c r="AA699" s="50"/>
      <c r="AB699" s="50"/>
      <c r="AC699" s="116"/>
      <c r="AD699" s="24"/>
      <c r="AE699" s="24"/>
      <c r="AF699" s="50"/>
      <c r="AG699" s="50"/>
      <c r="AH699" s="50"/>
      <c r="AI699" s="50"/>
      <c r="AJ699" s="50"/>
      <c r="AK699" s="50"/>
      <c r="AL699" s="50"/>
    </row>
    <row r="700" spans="1:38" ht="13.8">
      <c r="A700" s="73"/>
      <c r="B700" s="74"/>
      <c r="C700" s="116"/>
      <c r="D700" s="24"/>
      <c r="E700" s="24"/>
      <c r="F700" s="24"/>
      <c r="G700" s="24"/>
      <c r="H700" s="24"/>
      <c r="I700" s="24"/>
      <c r="J700" s="63"/>
      <c r="K700" s="24"/>
      <c r="L700" s="118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119"/>
      <c r="X700" s="50"/>
      <c r="Y700" s="50"/>
      <c r="Z700" s="50"/>
      <c r="AA700" s="50"/>
      <c r="AB700" s="50"/>
      <c r="AC700" s="116"/>
      <c r="AD700" s="24"/>
      <c r="AE700" s="24"/>
      <c r="AF700" s="50"/>
      <c r="AG700" s="50"/>
      <c r="AH700" s="50"/>
      <c r="AI700" s="50"/>
      <c r="AJ700" s="50"/>
      <c r="AK700" s="50"/>
      <c r="AL700" s="50"/>
    </row>
    <row r="701" spans="1:38" ht="13.8">
      <c r="A701" s="73"/>
      <c r="B701" s="74"/>
      <c r="C701" s="116"/>
      <c r="D701" s="24"/>
      <c r="E701" s="24"/>
      <c r="F701" s="24"/>
      <c r="G701" s="24"/>
      <c r="H701" s="24"/>
      <c r="I701" s="24"/>
      <c r="J701" s="63"/>
      <c r="K701" s="24"/>
      <c r="L701" s="118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119"/>
      <c r="X701" s="50"/>
      <c r="Y701" s="50"/>
      <c r="Z701" s="50"/>
      <c r="AA701" s="50"/>
      <c r="AB701" s="50"/>
      <c r="AC701" s="116"/>
      <c r="AD701" s="24"/>
      <c r="AE701" s="24"/>
      <c r="AF701" s="50"/>
      <c r="AG701" s="50"/>
      <c r="AH701" s="50"/>
      <c r="AI701" s="50"/>
      <c r="AJ701" s="50"/>
      <c r="AK701" s="50"/>
      <c r="AL701" s="50"/>
    </row>
    <row r="702" spans="1:38" ht="13.8">
      <c r="A702" s="73"/>
      <c r="B702" s="74"/>
      <c r="C702" s="116"/>
      <c r="D702" s="24"/>
      <c r="E702" s="24"/>
      <c r="F702" s="24"/>
      <c r="G702" s="24"/>
      <c r="H702" s="24"/>
      <c r="I702" s="24"/>
      <c r="J702" s="63"/>
      <c r="K702" s="24"/>
      <c r="L702" s="118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119"/>
      <c r="X702" s="50"/>
      <c r="Y702" s="50"/>
      <c r="Z702" s="50"/>
      <c r="AA702" s="50"/>
      <c r="AB702" s="50"/>
      <c r="AC702" s="116"/>
      <c r="AD702" s="24"/>
      <c r="AE702" s="24"/>
      <c r="AF702" s="50"/>
      <c r="AG702" s="50"/>
      <c r="AH702" s="50"/>
      <c r="AI702" s="50"/>
      <c r="AJ702" s="50"/>
      <c r="AK702" s="50"/>
      <c r="AL702" s="50"/>
    </row>
    <row r="703" spans="1:38" ht="13.8">
      <c r="A703" s="73"/>
      <c r="B703" s="74"/>
      <c r="C703" s="116"/>
      <c r="D703" s="24"/>
      <c r="E703" s="24"/>
      <c r="F703" s="24"/>
      <c r="G703" s="24"/>
      <c r="H703" s="24"/>
      <c r="I703" s="24"/>
      <c r="J703" s="63"/>
      <c r="K703" s="24"/>
      <c r="L703" s="118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119"/>
      <c r="X703" s="50"/>
      <c r="Y703" s="50"/>
      <c r="Z703" s="50"/>
      <c r="AA703" s="50"/>
      <c r="AB703" s="50"/>
      <c r="AC703" s="116"/>
      <c r="AD703" s="24"/>
      <c r="AE703" s="24"/>
      <c r="AF703" s="50"/>
      <c r="AG703" s="50"/>
      <c r="AH703" s="50"/>
      <c r="AI703" s="50"/>
      <c r="AJ703" s="50"/>
      <c r="AK703" s="50"/>
      <c r="AL703" s="50"/>
    </row>
    <row r="704" spans="1:38" ht="13.8">
      <c r="A704" s="73"/>
      <c r="B704" s="74"/>
      <c r="C704" s="116"/>
      <c r="D704" s="24"/>
      <c r="E704" s="24"/>
      <c r="F704" s="24"/>
      <c r="G704" s="24"/>
      <c r="H704" s="24"/>
      <c r="I704" s="24"/>
      <c r="J704" s="63"/>
      <c r="K704" s="24"/>
      <c r="L704" s="118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119"/>
      <c r="X704" s="50"/>
      <c r="Y704" s="50"/>
      <c r="Z704" s="50"/>
      <c r="AA704" s="50"/>
      <c r="AB704" s="50"/>
      <c r="AC704" s="116"/>
      <c r="AD704" s="24"/>
      <c r="AE704" s="24"/>
      <c r="AF704" s="50"/>
      <c r="AG704" s="50"/>
      <c r="AH704" s="50"/>
      <c r="AI704" s="50"/>
      <c r="AJ704" s="50"/>
      <c r="AK704" s="50"/>
      <c r="AL704" s="50"/>
    </row>
    <row r="705" spans="1:38" ht="13.8">
      <c r="A705" s="73"/>
      <c r="B705" s="74"/>
      <c r="C705" s="116"/>
      <c r="D705" s="24"/>
      <c r="E705" s="24"/>
      <c r="F705" s="24"/>
      <c r="G705" s="24"/>
      <c r="H705" s="24"/>
      <c r="I705" s="24"/>
      <c r="J705" s="63"/>
      <c r="K705" s="24"/>
      <c r="L705" s="118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119"/>
      <c r="X705" s="50"/>
      <c r="Y705" s="50"/>
      <c r="Z705" s="50"/>
      <c r="AA705" s="50"/>
      <c r="AB705" s="50"/>
      <c r="AC705" s="116"/>
      <c r="AD705" s="24"/>
      <c r="AE705" s="24"/>
      <c r="AF705" s="50"/>
      <c r="AG705" s="50"/>
      <c r="AH705" s="50"/>
      <c r="AI705" s="50"/>
      <c r="AJ705" s="50"/>
      <c r="AK705" s="50"/>
      <c r="AL705" s="50"/>
    </row>
    <row r="706" spans="1:38" ht="13.8">
      <c r="A706" s="73"/>
      <c r="B706" s="74"/>
      <c r="C706" s="116"/>
      <c r="D706" s="24"/>
      <c r="E706" s="24"/>
      <c r="F706" s="24"/>
      <c r="G706" s="24"/>
      <c r="H706" s="24"/>
      <c r="I706" s="24"/>
      <c r="J706" s="63"/>
      <c r="K706" s="24"/>
      <c r="L706" s="118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119"/>
      <c r="X706" s="50"/>
      <c r="Y706" s="50"/>
      <c r="Z706" s="50"/>
      <c r="AA706" s="50"/>
      <c r="AB706" s="50"/>
      <c r="AC706" s="116"/>
      <c r="AD706" s="24"/>
      <c r="AE706" s="24"/>
      <c r="AF706" s="50"/>
      <c r="AG706" s="50"/>
      <c r="AH706" s="50"/>
      <c r="AI706" s="50"/>
      <c r="AJ706" s="50"/>
      <c r="AK706" s="50"/>
      <c r="AL706" s="50"/>
    </row>
    <row r="707" spans="1:38" ht="13.8">
      <c r="A707" s="73"/>
      <c r="B707" s="74"/>
      <c r="C707" s="116"/>
      <c r="D707" s="24"/>
      <c r="E707" s="24"/>
      <c r="F707" s="24"/>
      <c r="G707" s="24"/>
      <c r="H707" s="24"/>
      <c r="I707" s="24"/>
      <c r="J707" s="63"/>
      <c r="K707" s="24"/>
      <c r="L707" s="118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119"/>
      <c r="X707" s="50"/>
      <c r="Y707" s="50"/>
      <c r="Z707" s="50"/>
      <c r="AA707" s="50"/>
      <c r="AB707" s="50"/>
      <c r="AC707" s="116"/>
      <c r="AD707" s="24"/>
      <c r="AE707" s="24"/>
      <c r="AF707" s="50"/>
      <c r="AG707" s="50"/>
      <c r="AH707" s="50"/>
      <c r="AI707" s="50"/>
      <c r="AJ707" s="50"/>
      <c r="AK707" s="50"/>
      <c r="AL707" s="50"/>
    </row>
    <row r="708" spans="1:38" ht="13.8">
      <c r="A708" s="73"/>
      <c r="B708" s="74"/>
      <c r="C708" s="116"/>
      <c r="D708" s="24"/>
      <c r="E708" s="24"/>
      <c r="F708" s="24"/>
      <c r="G708" s="24"/>
      <c r="H708" s="24"/>
      <c r="I708" s="24"/>
      <c r="J708" s="63"/>
      <c r="K708" s="24"/>
      <c r="L708" s="118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119"/>
      <c r="X708" s="50"/>
      <c r="Y708" s="50"/>
      <c r="Z708" s="50"/>
      <c r="AA708" s="50"/>
      <c r="AB708" s="50"/>
      <c r="AC708" s="116"/>
      <c r="AD708" s="24"/>
      <c r="AE708" s="24"/>
      <c r="AF708" s="50"/>
      <c r="AG708" s="50"/>
      <c r="AH708" s="50"/>
      <c r="AI708" s="50"/>
      <c r="AJ708" s="50"/>
      <c r="AK708" s="50"/>
      <c r="AL708" s="50"/>
    </row>
    <row r="709" spans="1:38" ht="13.8">
      <c r="A709" s="73"/>
      <c r="B709" s="74"/>
      <c r="C709" s="116"/>
      <c r="D709" s="24"/>
      <c r="E709" s="24"/>
      <c r="F709" s="24"/>
      <c r="G709" s="24"/>
      <c r="H709" s="24"/>
      <c r="I709" s="24"/>
      <c r="J709" s="63"/>
      <c r="K709" s="24"/>
      <c r="L709" s="118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119"/>
      <c r="X709" s="50"/>
      <c r="Y709" s="50"/>
      <c r="Z709" s="50"/>
      <c r="AA709" s="50"/>
      <c r="AB709" s="50"/>
      <c r="AC709" s="116"/>
      <c r="AD709" s="24"/>
      <c r="AE709" s="24"/>
      <c r="AF709" s="50"/>
      <c r="AG709" s="50"/>
      <c r="AH709" s="50"/>
      <c r="AI709" s="50"/>
      <c r="AJ709" s="50"/>
      <c r="AK709" s="50"/>
      <c r="AL709" s="50"/>
    </row>
    <row r="710" spans="1:38" ht="13.8">
      <c r="A710" s="73"/>
      <c r="B710" s="74"/>
      <c r="C710" s="116"/>
      <c r="D710" s="24"/>
      <c r="E710" s="24"/>
      <c r="F710" s="24"/>
      <c r="G710" s="24"/>
      <c r="H710" s="24"/>
      <c r="I710" s="24"/>
      <c r="J710" s="63"/>
      <c r="K710" s="24"/>
      <c r="L710" s="118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119"/>
      <c r="X710" s="50"/>
      <c r="Y710" s="50"/>
      <c r="Z710" s="50"/>
      <c r="AA710" s="50"/>
      <c r="AB710" s="50"/>
      <c r="AC710" s="116"/>
      <c r="AD710" s="24"/>
      <c r="AE710" s="24"/>
      <c r="AF710" s="50"/>
      <c r="AG710" s="50"/>
      <c r="AH710" s="50"/>
      <c r="AI710" s="50"/>
      <c r="AJ710" s="50"/>
      <c r="AK710" s="50"/>
      <c r="AL710" s="50"/>
    </row>
    <row r="711" spans="1:38" ht="13.8">
      <c r="A711" s="73"/>
      <c r="B711" s="74"/>
      <c r="C711" s="116"/>
      <c r="D711" s="24"/>
      <c r="E711" s="24"/>
      <c r="F711" s="24"/>
      <c r="G711" s="24"/>
      <c r="H711" s="24"/>
      <c r="I711" s="24"/>
      <c r="J711" s="63"/>
      <c r="K711" s="24"/>
      <c r="L711" s="118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119"/>
      <c r="X711" s="50"/>
      <c r="Y711" s="50"/>
      <c r="Z711" s="50"/>
      <c r="AA711" s="50"/>
      <c r="AB711" s="50"/>
      <c r="AC711" s="116"/>
      <c r="AD711" s="24"/>
      <c r="AE711" s="24"/>
      <c r="AF711" s="50"/>
      <c r="AG711" s="50"/>
      <c r="AH711" s="50"/>
      <c r="AI711" s="50"/>
      <c r="AJ711" s="50"/>
      <c r="AK711" s="50"/>
      <c r="AL711" s="50"/>
    </row>
    <row r="712" spans="1:38" ht="13.8">
      <c r="A712" s="73"/>
      <c r="B712" s="74"/>
      <c r="C712" s="116"/>
      <c r="D712" s="24"/>
      <c r="E712" s="24"/>
      <c r="F712" s="24"/>
      <c r="G712" s="24"/>
      <c r="H712" s="24"/>
      <c r="I712" s="24"/>
      <c r="J712" s="63"/>
      <c r="K712" s="24"/>
      <c r="L712" s="118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119"/>
      <c r="X712" s="50"/>
      <c r="Y712" s="50"/>
      <c r="Z712" s="50"/>
      <c r="AA712" s="50"/>
      <c r="AB712" s="50"/>
      <c r="AC712" s="116"/>
      <c r="AD712" s="24"/>
      <c r="AE712" s="24"/>
      <c r="AF712" s="50"/>
      <c r="AG712" s="50"/>
      <c r="AH712" s="50"/>
      <c r="AI712" s="50"/>
      <c r="AJ712" s="50"/>
      <c r="AK712" s="50"/>
      <c r="AL712" s="50"/>
    </row>
    <row r="713" spans="1:38" ht="13.8">
      <c r="A713" s="73"/>
      <c r="B713" s="74"/>
      <c r="C713" s="116"/>
      <c r="D713" s="24"/>
      <c r="E713" s="24"/>
      <c r="F713" s="24"/>
      <c r="G713" s="24"/>
      <c r="H713" s="24"/>
      <c r="I713" s="24"/>
      <c r="J713" s="63"/>
      <c r="K713" s="24"/>
      <c r="L713" s="118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119"/>
      <c r="X713" s="50"/>
      <c r="Y713" s="50"/>
      <c r="Z713" s="50"/>
      <c r="AA713" s="50"/>
      <c r="AB713" s="50"/>
      <c r="AC713" s="116"/>
      <c r="AD713" s="24"/>
      <c r="AE713" s="24"/>
      <c r="AF713" s="50"/>
      <c r="AG713" s="50"/>
      <c r="AH713" s="50"/>
      <c r="AI713" s="50"/>
      <c r="AJ713" s="50"/>
      <c r="AK713" s="50"/>
      <c r="AL713" s="50"/>
    </row>
    <row r="714" spans="1:38" ht="13.8">
      <c r="A714" s="73"/>
      <c r="B714" s="74"/>
      <c r="C714" s="116"/>
      <c r="D714" s="24"/>
      <c r="E714" s="24"/>
      <c r="F714" s="24"/>
      <c r="G714" s="24"/>
      <c r="H714" s="24"/>
      <c r="I714" s="24"/>
      <c r="J714" s="63"/>
      <c r="K714" s="24"/>
      <c r="L714" s="118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119"/>
      <c r="X714" s="50"/>
      <c r="Y714" s="50"/>
      <c r="Z714" s="50"/>
      <c r="AA714" s="50"/>
      <c r="AB714" s="50"/>
      <c r="AC714" s="116"/>
      <c r="AD714" s="24"/>
      <c r="AE714" s="24"/>
      <c r="AF714" s="50"/>
      <c r="AG714" s="50"/>
      <c r="AH714" s="50"/>
      <c r="AI714" s="50"/>
      <c r="AJ714" s="50"/>
      <c r="AK714" s="50"/>
      <c r="AL714" s="50"/>
    </row>
    <row r="715" spans="1:38" ht="13.8">
      <c r="A715" s="73"/>
      <c r="B715" s="74"/>
      <c r="C715" s="116"/>
      <c r="D715" s="24"/>
      <c r="E715" s="24"/>
      <c r="F715" s="24"/>
      <c r="G715" s="24"/>
      <c r="H715" s="24"/>
      <c r="I715" s="24"/>
      <c r="J715" s="63"/>
      <c r="K715" s="24"/>
      <c r="L715" s="118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119"/>
      <c r="X715" s="50"/>
      <c r="Y715" s="50"/>
      <c r="Z715" s="50"/>
      <c r="AA715" s="50"/>
      <c r="AB715" s="50"/>
      <c r="AC715" s="116"/>
      <c r="AD715" s="24"/>
      <c r="AE715" s="24"/>
      <c r="AF715" s="50"/>
      <c r="AG715" s="50"/>
      <c r="AH715" s="50"/>
      <c r="AI715" s="50"/>
      <c r="AJ715" s="50"/>
      <c r="AK715" s="50"/>
      <c r="AL715" s="50"/>
    </row>
    <row r="716" spans="1:38" ht="13.8">
      <c r="A716" s="73"/>
      <c r="B716" s="74"/>
      <c r="C716" s="116"/>
      <c r="D716" s="24"/>
      <c r="E716" s="24"/>
      <c r="F716" s="24"/>
      <c r="G716" s="24"/>
      <c r="H716" s="24"/>
      <c r="I716" s="24"/>
      <c r="J716" s="63"/>
      <c r="K716" s="24"/>
      <c r="L716" s="118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119"/>
      <c r="X716" s="50"/>
      <c r="Y716" s="50"/>
      <c r="Z716" s="50"/>
      <c r="AA716" s="50"/>
      <c r="AB716" s="50"/>
      <c r="AC716" s="116"/>
      <c r="AD716" s="24"/>
      <c r="AE716" s="24"/>
      <c r="AF716" s="50"/>
      <c r="AG716" s="50"/>
      <c r="AH716" s="50"/>
      <c r="AI716" s="50"/>
      <c r="AJ716" s="50"/>
      <c r="AK716" s="50"/>
      <c r="AL716" s="50"/>
    </row>
    <row r="717" spans="1:38" ht="13.8">
      <c r="A717" s="73"/>
      <c r="B717" s="74"/>
      <c r="C717" s="116"/>
      <c r="D717" s="24"/>
      <c r="E717" s="24"/>
      <c r="F717" s="24"/>
      <c r="G717" s="24"/>
      <c r="H717" s="24"/>
      <c r="I717" s="24"/>
      <c r="J717" s="63"/>
      <c r="K717" s="24"/>
      <c r="L717" s="118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119"/>
      <c r="X717" s="50"/>
      <c r="Y717" s="50"/>
      <c r="Z717" s="50"/>
      <c r="AA717" s="50"/>
      <c r="AB717" s="50"/>
      <c r="AC717" s="116"/>
      <c r="AD717" s="24"/>
      <c r="AE717" s="24"/>
      <c r="AF717" s="50"/>
      <c r="AG717" s="50"/>
      <c r="AH717" s="50"/>
      <c r="AI717" s="50"/>
      <c r="AJ717" s="50"/>
      <c r="AK717" s="50"/>
      <c r="AL717" s="50"/>
    </row>
    <row r="718" spans="1:38" ht="13.8">
      <c r="A718" s="73"/>
      <c r="B718" s="74"/>
      <c r="C718" s="116"/>
      <c r="D718" s="24"/>
      <c r="E718" s="24"/>
      <c r="F718" s="24"/>
      <c r="G718" s="24"/>
      <c r="H718" s="24"/>
      <c r="I718" s="24"/>
      <c r="J718" s="63"/>
      <c r="K718" s="24"/>
      <c r="L718" s="118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119"/>
      <c r="X718" s="50"/>
      <c r="Y718" s="50"/>
      <c r="Z718" s="50"/>
      <c r="AA718" s="50"/>
      <c r="AB718" s="50"/>
      <c r="AC718" s="116"/>
      <c r="AD718" s="24"/>
      <c r="AE718" s="24"/>
      <c r="AF718" s="50"/>
      <c r="AG718" s="50"/>
      <c r="AH718" s="50"/>
      <c r="AI718" s="50"/>
      <c r="AJ718" s="50"/>
      <c r="AK718" s="50"/>
      <c r="AL718" s="50"/>
    </row>
    <row r="719" spans="1:38" ht="13.8">
      <c r="A719" s="73"/>
      <c r="B719" s="74"/>
      <c r="C719" s="116"/>
      <c r="D719" s="24"/>
      <c r="E719" s="24"/>
      <c r="F719" s="24"/>
      <c r="G719" s="24"/>
      <c r="H719" s="24"/>
      <c r="I719" s="24"/>
      <c r="J719" s="63"/>
      <c r="K719" s="24"/>
      <c r="L719" s="118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119"/>
      <c r="X719" s="50"/>
      <c r="Y719" s="50"/>
      <c r="Z719" s="50"/>
      <c r="AA719" s="50"/>
      <c r="AB719" s="50"/>
      <c r="AC719" s="116"/>
      <c r="AD719" s="24"/>
      <c r="AE719" s="24"/>
      <c r="AF719" s="50"/>
      <c r="AG719" s="50"/>
      <c r="AH719" s="50"/>
      <c r="AI719" s="50"/>
      <c r="AJ719" s="50"/>
      <c r="AK719" s="50"/>
      <c r="AL719" s="50"/>
    </row>
    <row r="720" spans="1:38" ht="13.8">
      <c r="A720" s="73"/>
      <c r="B720" s="74"/>
      <c r="C720" s="116"/>
      <c r="D720" s="24"/>
      <c r="E720" s="24"/>
      <c r="F720" s="24"/>
      <c r="G720" s="24"/>
      <c r="H720" s="24"/>
      <c r="I720" s="24"/>
      <c r="J720" s="63"/>
      <c r="K720" s="24"/>
      <c r="L720" s="118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119"/>
      <c r="X720" s="50"/>
      <c r="Y720" s="50"/>
      <c r="Z720" s="50"/>
      <c r="AA720" s="50"/>
      <c r="AB720" s="50"/>
      <c r="AC720" s="116"/>
      <c r="AD720" s="24"/>
      <c r="AE720" s="24"/>
      <c r="AF720" s="50"/>
      <c r="AG720" s="50"/>
      <c r="AH720" s="50"/>
      <c r="AI720" s="50"/>
      <c r="AJ720" s="50"/>
      <c r="AK720" s="50"/>
      <c r="AL720" s="50"/>
    </row>
    <row r="721" spans="1:38" ht="13.8">
      <c r="A721" s="73"/>
      <c r="B721" s="74"/>
      <c r="C721" s="116"/>
      <c r="D721" s="24"/>
      <c r="E721" s="24"/>
      <c r="F721" s="24"/>
      <c r="G721" s="24"/>
      <c r="H721" s="24"/>
      <c r="I721" s="24"/>
      <c r="J721" s="63"/>
      <c r="K721" s="24"/>
      <c r="L721" s="118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119"/>
      <c r="X721" s="50"/>
      <c r="Y721" s="50"/>
      <c r="Z721" s="50"/>
      <c r="AA721" s="50"/>
      <c r="AB721" s="50"/>
      <c r="AC721" s="116"/>
      <c r="AD721" s="24"/>
      <c r="AE721" s="24"/>
      <c r="AF721" s="50"/>
      <c r="AG721" s="50"/>
      <c r="AH721" s="50"/>
      <c r="AI721" s="50"/>
      <c r="AJ721" s="50"/>
      <c r="AK721" s="50"/>
      <c r="AL721" s="50"/>
    </row>
    <row r="722" spans="1:38" ht="13.8">
      <c r="A722" s="73"/>
      <c r="B722" s="74"/>
      <c r="C722" s="116"/>
      <c r="D722" s="24"/>
      <c r="E722" s="24"/>
      <c r="F722" s="24"/>
      <c r="G722" s="24"/>
      <c r="H722" s="24"/>
      <c r="I722" s="24"/>
      <c r="J722" s="63"/>
      <c r="K722" s="24"/>
      <c r="L722" s="118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119"/>
      <c r="X722" s="50"/>
      <c r="Y722" s="50"/>
      <c r="Z722" s="50"/>
      <c r="AA722" s="50"/>
      <c r="AB722" s="50"/>
      <c r="AC722" s="116"/>
      <c r="AD722" s="24"/>
      <c r="AE722" s="24"/>
      <c r="AF722" s="50"/>
      <c r="AG722" s="50"/>
      <c r="AH722" s="50"/>
      <c r="AI722" s="50"/>
      <c r="AJ722" s="50"/>
      <c r="AK722" s="50"/>
      <c r="AL722" s="50"/>
    </row>
    <row r="723" spans="1:38" ht="13.8">
      <c r="A723" s="73"/>
      <c r="B723" s="74"/>
      <c r="C723" s="116"/>
      <c r="D723" s="24"/>
      <c r="E723" s="24"/>
      <c r="F723" s="24"/>
      <c r="G723" s="24"/>
      <c r="H723" s="24"/>
      <c r="I723" s="24"/>
      <c r="J723" s="63"/>
      <c r="K723" s="24"/>
      <c r="L723" s="118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119"/>
      <c r="X723" s="50"/>
      <c r="Y723" s="50"/>
      <c r="Z723" s="50"/>
      <c r="AA723" s="50"/>
      <c r="AB723" s="50"/>
      <c r="AC723" s="116"/>
      <c r="AD723" s="24"/>
      <c r="AE723" s="24"/>
      <c r="AF723" s="50"/>
      <c r="AG723" s="50"/>
      <c r="AH723" s="50"/>
      <c r="AI723" s="50"/>
      <c r="AJ723" s="50"/>
      <c r="AK723" s="50"/>
      <c r="AL723" s="50"/>
    </row>
    <row r="724" spans="1:38" ht="13.8">
      <c r="A724" s="73"/>
      <c r="B724" s="74"/>
      <c r="C724" s="116"/>
      <c r="D724" s="24"/>
      <c r="E724" s="24"/>
      <c r="F724" s="24"/>
      <c r="G724" s="24"/>
      <c r="H724" s="24"/>
      <c r="I724" s="24"/>
      <c r="J724" s="63"/>
      <c r="K724" s="24"/>
      <c r="L724" s="118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119"/>
      <c r="X724" s="50"/>
      <c r="Y724" s="50"/>
      <c r="Z724" s="50"/>
      <c r="AA724" s="50"/>
      <c r="AB724" s="50"/>
      <c r="AC724" s="116"/>
      <c r="AD724" s="24"/>
      <c r="AE724" s="24"/>
      <c r="AF724" s="50"/>
      <c r="AG724" s="50"/>
      <c r="AH724" s="50"/>
      <c r="AI724" s="50"/>
      <c r="AJ724" s="50"/>
      <c r="AK724" s="50"/>
      <c r="AL724" s="50"/>
    </row>
    <row r="725" spans="1:38" ht="13.8">
      <c r="A725" s="73"/>
      <c r="B725" s="74"/>
      <c r="C725" s="116"/>
      <c r="D725" s="24"/>
      <c r="E725" s="24"/>
      <c r="F725" s="24"/>
      <c r="G725" s="24"/>
      <c r="H725" s="24"/>
      <c r="I725" s="24"/>
      <c r="J725" s="63"/>
      <c r="K725" s="24"/>
      <c r="L725" s="118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119"/>
      <c r="X725" s="50"/>
      <c r="Y725" s="50"/>
      <c r="Z725" s="50"/>
      <c r="AA725" s="50"/>
      <c r="AB725" s="50"/>
      <c r="AC725" s="116"/>
      <c r="AD725" s="24"/>
      <c r="AE725" s="24"/>
      <c r="AF725" s="50"/>
      <c r="AG725" s="50"/>
      <c r="AH725" s="50"/>
      <c r="AI725" s="50"/>
      <c r="AJ725" s="50"/>
      <c r="AK725" s="50"/>
      <c r="AL725" s="50"/>
    </row>
    <row r="726" spans="1:38" ht="13.8">
      <c r="A726" s="73"/>
      <c r="B726" s="74"/>
      <c r="C726" s="116"/>
      <c r="D726" s="24"/>
      <c r="E726" s="24"/>
      <c r="F726" s="24"/>
      <c r="G726" s="24"/>
      <c r="H726" s="24"/>
      <c r="I726" s="24"/>
      <c r="J726" s="63"/>
      <c r="K726" s="24"/>
      <c r="L726" s="118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119"/>
      <c r="X726" s="50"/>
      <c r="Y726" s="50"/>
      <c r="Z726" s="50"/>
      <c r="AA726" s="50"/>
      <c r="AB726" s="50"/>
      <c r="AC726" s="116"/>
      <c r="AD726" s="24"/>
      <c r="AE726" s="24"/>
      <c r="AF726" s="50"/>
      <c r="AG726" s="50"/>
      <c r="AH726" s="50"/>
      <c r="AI726" s="50"/>
      <c r="AJ726" s="50"/>
      <c r="AK726" s="50"/>
      <c r="AL726" s="50"/>
    </row>
    <row r="727" spans="1:38" ht="13.8">
      <c r="A727" s="73"/>
      <c r="B727" s="74"/>
      <c r="C727" s="116"/>
      <c r="D727" s="24"/>
      <c r="E727" s="24"/>
      <c r="F727" s="24"/>
      <c r="G727" s="24"/>
      <c r="H727" s="24"/>
      <c r="I727" s="24"/>
      <c r="J727" s="63"/>
      <c r="K727" s="24"/>
      <c r="L727" s="118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119"/>
      <c r="X727" s="50"/>
      <c r="Y727" s="50"/>
      <c r="Z727" s="50"/>
      <c r="AA727" s="50"/>
      <c r="AB727" s="50"/>
      <c r="AC727" s="116"/>
      <c r="AD727" s="24"/>
      <c r="AE727" s="24"/>
      <c r="AF727" s="50"/>
      <c r="AG727" s="50"/>
      <c r="AH727" s="50"/>
      <c r="AI727" s="50"/>
      <c r="AJ727" s="50"/>
      <c r="AK727" s="50"/>
      <c r="AL727" s="50"/>
    </row>
    <row r="728" spans="1:38" ht="13.8">
      <c r="A728" s="73"/>
      <c r="B728" s="74"/>
      <c r="C728" s="116"/>
      <c r="D728" s="24"/>
      <c r="E728" s="24"/>
      <c r="F728" s="24"/>
      <c r="G728" s="24"/>
      <c r="H728" s="24"/>
      <c r="I728" s="24"/>
      <c r="J728" s="63"/>
      <c r="K728" s="24"/>
      <c r="L728" s="118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119"/>
      <c r="X728" s="50"/>
      <c r="Y728" s="50"/>
      <c r="Z728" s="50"/>
      <c r="AA728" s="50"/>
      <c r="AB728" s="50"/>
      <c r="AC728" s="116"/>
      <c r="AD728" s="24"/>
      <c r="AE728" s="24"/>
      <c r="AF728" s="50"/>
      <c r="AG728" s="50"/>
      <c r="AH728" s="50"/>
      <c r="AI728" s="50"/>
      <c r="AJ728" s="50"/>
      <c r="AK728" s="50"/>
      <c r="AL728" s="50"/>
    </row>
    <row r="729" spans="1:38" ht="13.8">
      <c r="A729" s="73"/>
      <c r="B729" s="74"/>
      <c r="C729" s="116"/>
      <c r="D729" s="24"/>
      <c r="E729" s="24"/>
      <c r="F729" s="24"/>
      <c r="G729" s="24"/>
      <c r="H729" s="24"/>
      <c r="I729" s="24"/>
      <c r="J729" s="63"/>
      <c r="K729" s="24"/>
      <c r="L729" s="118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119"/>
      <c r="X729" s="50"/>
      <c r="Y729" s="50"/>
      <c r="Z729" s="50"/>
      <c r="AA729" s="50"/>
      <c r="AB729" s="50"/>
      <c r="AC729" s="116"/>
      <c r="AD729" s="24"/>
      <c r="AE729" s="24"/>
      <c r="AF729" s="50"/>
      <c r="AG729" s="50"/>
      <c r="AH729" s="50"/>
      <c r="AI729" s="50"/>
      <c r="AJ729" s="50"/>
      <c r="AK729" s="50"/>
      <c r="AL729" s="50"/>
    </row>
    <row r="730" spans="1:38" ht="13.8">
      <c r="A730" s="73"/>
      <c r="B730" s="74"/>
      <c r="C730" s="116"/>
      <c r="D730" s="24"/>
      <c r="E730" s="24"/>
      <c r="F730" s="24"/>
      <c r="G730" s="24"/>
      <c r="H730" s="24"/>
      <c r="I730" s="24"/>
      <c r="J730" s="63"/>
      <c r="K730" s="24"/>
      <c r="L730" s="118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119"/>
      <c r="X730" s="50"/>
      <c r="Y730" s="50"/>
      <c r="Z730" s="50"/>
      <c r="AA730" s="50"/>
      <c r="AB730" s="50"/>
      <c r="AC730" s="116"/>
      <c r="AD730" s="24"/>
      <c r="AE730" s="24"/>
      <c r="AF730" s="50"/>
      <c r="AG730" s="50"/>
      <c r="AH730" s="50"/>
      <c r="AI730" s="50"/>
      <c r="AJ730" s="50"/>
      <c r="AK730" s="50"/>
      <c r="AL730" s="50"/>
    </row>
    <row r="731" spans="1:38" ht="13.8">
      <c r="A731" s="73"/>
      <c r="B731" s="74"/>
      <c r="C731" s="116"/>
      <c r="D731" s="24"/>
      <c r="E731" s="24"/>
      <c r="F731" s="24"/>
      <c r="G731" s="24"/>
      <c r="H731" s="24"/>
      <c r="I731" s="24"/>
      <c r="J731" s="63"/>
      <c r="K731" s="24"/>
      <c r="L731" s="118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119"/>
      <c r="X731" s="50"/>
      <c r="Y731" s="50"/>
      <c r="Z731" s="50"/>
      <c r="AA731" s="50"/>
      <c r="AB731" s="50"/>
      <c r="AC731" s="116"/>
      <c r="AD731" s="24"/>
      <c r="AE731" s="24"/>
      <c r="AF731" s="50"/>
      <c r="AG731" s="50"/>
      <c r="AH731" s="50"/>
      <c r="AI731" s="50"/>
      <c r="AJ731" s="50"/>
      <c r="AK731" s="50"/>
      <c r="AL731" s="50"/>
    </row>
    <row r="732" spans="1:38" ht="13.8">
      <c r="A732" s="73"/>
      <c r="B732" s="74"/>
      <c r="C732" s="116"/>
      <c r="D732" s="24"/>
      <c r="E732" s="24"/>
      <c r="F732" s="24"/>
      <c r="G732" s="24"/>
      <c r="H732" s="24"/>
      <c r="I732" s="24"/>
      <c r="J732" s="63"/>
      <c r="K732" s="24"/>
      <c r="L732" s="118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119"/>
      <c r="X732" s="50"/>
      <c r="Y732" s="50"/>
      <c r="Z732" s="50"/>
      <c r="AA732" s="50"/>
      <c r="AB732" s="50"/>
      <c r="AC732" s="116"/>
      <c r="AD732" s="24"/>
      <c r="AE732" s="24"/>
      <c r="AF732" s="50"/>
      <c r="AG732" s="50"/>
      <c r="AH732" s="50"/>
      <c r="AI732" s="50"/>
      <c r="AJ732" s="50"/>
      <c r="AK732" s="50"/>
      <c r="AL732" s="50"/>
    </row>
    <row r="733" spans="1:38" ht="13.8">
      <c r="A733" s="73"/>
      <c r="B733" s="74"/>
      <c r="C733" s="116"/>
      <c r="D733" s="24"/>
      <c r="E733" s="24"/>
      <c r="F733" s="24"/>
      <c r="G733" s="24"/>
      <c r="H733" s="24"/>
      <c r="I733" s="24"/>
      <c r="J733" s="63"/>
      <c r="K733" s="24"/>
      <c r="L733" s="118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119"/>
      <c r="X733" s="50"/>
      <c r="Y733" s="50"/>
      <c r="Z733" s="50"/>
      <c r="AA733" s="50"/>
      <c r="AB733" s="50"/>
      <c r="AC733" s="116"/>
      <c r="AD733" s="24"/>
      <c r="AE733" s="24"/>
      <c r="AF733" s="50"/>
      <c r="AG733" s="50"/>
      <c r="AH733" s="50"/>
      <c r="AI733" s="50"/>
      <c r="AJ733" s="50"/>
      <c r="AK733" s="50"/>
      <c r="AL733" s="50"/>
    </row>
    <row r="734" spans="1:38" ht="13.8">
      <c r="A734" s="73"/>
      <c r="B734" s="74"/>
      <c r="C734" s="116"/>
      <c r="D734" s="24"/>
      <c r="E734" s="24"/>
      <c r="F734" s="24"/>
      <c r="G734" s="24"/>
      <c r="H734" s="24"/>
      <c r="I734" s="24"/>
      <c r="J734" s="63"/>
      <c r="K734" s="24"/>
      <c r="L734" s="118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119"/>
      <c r="X734" s="50"/>
      <c r="Y734" s="50"/>
      <c r="Z734" s="50"/>
      <c r="AA734" s="50"/>
      <c r="AB734" s="50"/>
      <c r="AC734" s="116"/>
      <c r="AD734" s="24"/>
      <c r="AE734" s="24"/>
      <c r="AF734" s="50"/>
      <c r="AG734" s="50"/>
      <c r="AH734" s="50"/>
      <c r="AI734" s="50"/>
      <c r="AJ734" s="50"/>
      <c r="AK734" s="50"/>
      <c r="AL734" s="50"/>
    </row>
    <row r="735" spans="1:38" ht="13.8">
      <c r="A735" s="73"/>
      <c r="B735" s="74"/>
      <c r="C735" s="116"/>
      <c r="D735" s="24"/>
      <c r="E735" s="24"/>
      <c r="F735" s="24"/>
      <c r="G735" s="24"/>
      <c r="H735" s="24"/>
      <c r="I735" s="24"/>
      <c r="J735" s="63"/>
      <c r="K735" s="24"/>
      <c r="L735" s="118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119"/>
      <c r="X735" s="50"/>
      <c r="Y735" s="50"/>
      <c r="Z735" s="50"/>
      <c r="AA735" s="50"/>
      <c r="AB735" s="50"/>
      <c r="AC735" s="116"/>
      <c r="AD735" s="24"/>
      <c r="AE735" s="24"/>
      <c r="AF735" s="50"/>
      <c r="AG735" s="50"/>
      <c r="AH735" s="50"/>
      <c r="AI735" s="50"/>
      <c r="AJ735" s="50"/>
      <c r="AK735" s="50"/>
      <c r="AL735" s="50"/>
    </row>
    <row r="736" spans="1:38" ht="13.8">
      <c r="A736" s="73"/>
      <c r="B736" s="74"/>
      <c r="C736" s="116"/>
      <c r="D736" s="24"/>
      <c r="E736" s="24"/>
      <c r="F736" s="24"/>
      <c r="G736" s="24"/>
      <c r="H736" s="24"/>
      <c r="I736" s="24"/>
      <c r="J736" s="63"/>
      <c r="K736" s="24"/>
      <c r="L736" s="118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119"/>
      <c r="X736" s="50"/>
      <c r="Y736" s="50"/>
      <c r="Z736" s="50"/>
      <c r="AA736" s="50"/>
      <c r="AB736" s="50"/>
      <c r="AC736" s="116"/>
      <c r="AD736" s="24"/>
      <c r="AE736" s="24"/>
      <c r="AF736" s="50"/>
      <c r="AG736" s="50"/>
      <c r="AH736" s="50"/>
      <c r="AI736" s="50"/>
      <c r="AJ736" s="50"/>
      <c r="AK736" s="50"/>
      <c r="AL736" s="50"/>
    </row>
    <row r="737" spans="1:38" ht="13.8">
      <c r="A737" s="73"/>
      <c r="B737" s="74"/>
      <c r="C737" s="116"/>
      <c r="D737" s="24"/>
      <c r="E737" s="24"/>
      <c r="F737" s="24"/>
      <c r="G737" s="24"/>
      <c r="H737" s="24"/>
      <c r="I737" s="24"/>
      <c r="J737" s="63"/>
      <c r="K737" s="24"/>
      <c r="L737" s="118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119"/>
      <c r="X737" s="50"/>
      <c r="Y737" s="50"/>
      <c r="Z737" s="50"/>
      <c r="AA737" s="50"/>
      <c r="AB737" s="50"/>
      <c r="AC737" s="116"/>
      <c r="AD737" s="24"/>
      <c r="AE737" s="24"/>
      <c r="AF737" s="50"/>
      <c r="AG737" s="50"/>
      <c r="AH737" s="50"/>
      <c r="AI737" s="50"/>
      <c r="AJ737" s="50"/>
      <c r="AK737" s="50"/>
      <c r="AL737" s="50"/>
    </row>
    <row r="738" spans="1:38" ht="13.8">
      <c r="A738" s="73"/>
      <c r="B738" s="74"/>
      <c r="C738" s="116"/>
      <c r="D738" s="24"/>
      <c r="E738" s="24"/>
      <c r="F738" s="24"/>
      <c r="G738" s="24"/>
      <c r="H738" s="24"/>
      <c r="I738" s="24"/>
      <c r="J738" s="63"/>
      <c r="K738" s="24"/>
      <c r="L738" s="118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119"/>
      <c r="X738" s="50"/>
      <c r="Y738" s="50"/>
      <c r="Z738" s="50"/>
      <c r="AA738" s="50"/>
      <c r="AB738" s="50"/>
      <c r="AC738" s="116"/>
      <c r="AD738" s="24"/>
      <c r="AE738" s="24"/>
      <c r="AF738" s="50"/>
      <c r="AG738" s="50"/>
      <c r="AH738" s="50"/>
      <c r="AI738" s="50"/>
      <c r="AJ738" s="50"/>
      <c r="AK738" s="50"/>
      <c r="AL738" s="50"/>
    </row>
    <row r="739" spans="1:38" ht="13.8">
      <c r="A739" s="73"/>
      <c r="B739" s="74"/>
      <c r="C739" s="116"/>
      <c r="D739" s="24"/>
      <c r="E739" s="24"/>
      <c r="F739" s="24"/>
      <c r="G739" s="24"/>
      <c r="H739" s="24"/>
      <c r="I739" s="24"/>
      <c r="J739" s="63"/>
      <c r="K739" s="24"/>
      <c r="L739" s="118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119"/>
      <c r="X739" s="50"/>
      <c r="Y739" s="50"/>
      <c r="Z739" s="50"/>
      <c r="AA739" s="50"/>
      <c r="AB739" s="50"/>
      <c r="AC739" s="116"/>
      <c r="AD739" s="24"/>
      <c r="AE739" s="24"/>
      <c r="AF739" s="50"/>
      <c r="AG739" s="50"/>
      <c r="AH739" s="50"/>
      <c r="AI739" s="50"/>
      <c r="AJ739" s="50"/>
      <c r="AK739" s="50"/>
      <c r="AL739" s="50"/>
    </row>
    <row r="740" spans="1:38" ht="13.8">
      <c r="A740" s="73"/>
      <c r="B740" s="74"/>
      <c r="C740" s="116"/>
      <c r="D740" s="24"/>
      <c r="E740" s="24"/>
      <c r="F740" s="24"/>
      <c r="G740" s="24"/>
      <c r="H740" s="24"/>
      <c r="I740" s="24"/>
      <c r="J740" s="63"/>
      <c r="K740" s="24"/>
      <c r="L740" s="118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119"/>
      <c r="X740" s="50"/>
      <c r="Y740" s="50"/>
      <c r="Z740" s="50"/>
      <c r="AA740" s="50"/>
      <c r="AB740" s="50"/>
      <c r="AC740" s="116"/>
      <c r="AD740" s="24"/>
      <c r="AE740" s="24"/>
      <c r="AF740" s="50"/>
      <c r="AG740" s="50"/>
      <c r="AH740" s="50"/>
      <c r="AI740" s="50"/>
      <c r="AJ740" s="50"/>
      <c r="AK740" s="50"/>
      <c r="AL740" s="50"/>
    </row>
    <row r="741" spans="1:38" ht="13.8">
      <c r="A741" s="73"/>
      <c r="B741" s="74"/>
      <c r="C741" s="116"/>
      <c r="D741" s="24"/>
      <c r="E741" s="24"/>
      <c r="F741" s="24"/>
      <c r="G741" s="24"/>
      <c r="H741" s="24"/>
      <c r="I741" s="24"/>
      <c r="J741" s="63"/>
      <c r="K741" s="24"/>
      <c r="L741" s="118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119"/>
      <c r="X741" s="50"/>
      <c r="Y741" s="50"/>
      <c r="Z741" s="50"/>
      <c r="AA741" s="50"/>
      <c r="AB741" s="50"/>
      <c r="AC741" s="116"/>
      <c r="AD741" s="24"/>
      <c r="AE741" s="24"/>
      <c r="AF741" s="50"/>
      <c r="AG741" s="50"/>
      <c r="AH741" s="50"/>
      <c r="AI741" s="50"/>
      <c r="AJ741" s="50"/>
      <c r="AK741" s="50"/>
      <c r="AL741" s="50"/>
    </row>
    <row r="742" spans="1:38" ht="13.8">
      <c r="A742" s="73"/>
      <c r="B742" s="74"/>
      <c r="C742" s="116"/>
      <c r="D742" s="24"/>
      <c r="E742" s="24"/>
      <c r="F742" s="24"/>
      <c r="G742" s="24"/>
      <c r="H742" s="24"/>
      <c r="I742" s="24"/>
      <c r="J742" s="63"/>
      <c r="K742" s="24"/>
      <c r="L742" s="118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119"/>
      <c r="X742" s="50"/>
      <c r="Y742" s="50"/>
      <c r="Z742" s="50"/>
      <c r="AA742" s="50"/>
      <c r="AB742" s="50"/>
      <c r="AC742" s="116"/>
      <c r="AD742" s="24"/>
      <c r="AE742" s="24"/>
      <c r="AF742" s="50"/>
      <c r="AG742" s="50"/>
      <c r="AH742" s="50"/>
      <c r="AI742" s="50"/>
      <c r="AJ742" s="50"/>
      <c r="AK742" s="50"/>
      <c r="AL742" s="50"/>
    </row>
    <row r="743" spans="1:38" ht="13.8">
      <c r="A743" s="73"/>
      <c r="B743" s="74"/>
      <c r="C743" s="116"/>
      <c r="D743" s="24"/>
      <c r="E743" s="24"/>
      <c r="F743" s="24"/>
      <c r="G743" s="24"/>
      <c r="H743" s="24"/>
      <c r="I743" s="24"/>
      <c r="J743" s="63"/>
      <c r="K743" s="24"/>
      <c r="L743" s="118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119"/>
      <c r="X743" s="50"/>
      <c r="Y743" s="50"/>
      <c r="Z743" s="50"/>
      <c r="AA743" s="50"/>
      <c r="AB743" s="50"/>
      <c r="AC743" s="116"/>
      <c r="AD743" s="24"/>
      <c r="AE743" s="24"/>
      <c r="AF743" s="50"/>
      <c r="AG743" s="50"/>
      <c r="AH743" s="50"/>
      <c r="AI743" s="50"/>
      <c r="AJ743" s="50"/>
      <c r="AK743" s="50"/>
      <c r="AL743" s="50"/>
    </row>
    <row r="744" spans="1:38" ht="13.8">
      <c r="A744" s="73"/>
      <c r="B744" s="74"/>
      <c r="C744" s="116"/>
      <c r="D744" s="24"/>
      <c r="E744" s="24"/>
      <c r="F744" s="24"/>
      <c r="G744" s="24"/>
      <c r="H744" s="24"/>
      <c r="I744" s="24"/>
      <c r="J744" s="63"/>
      <c r="K744" s="24"/>
      <c r="L744" s="118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119"/>
      <c r="X744" s="50"/>
      <c r="Y744" s="50"/>
      <c r="Z744" s="50"/>
      <c r="AA744" s="50"/>
      <c r="AB744" s="50"/>
      <c r="AC744" s="116"/>
      <c r="AD744" s="24"/>
      <c r="AE744" s="24"/>
      <c r="AF744" s="50"/>
      <c r="AG744" s="50"/>
      <c r="AH744" s="50"/>
      <c r="AI744" s="50"/>
      <c r="AJ744" s="50"/>
      <c r="AK744" s="50"/>
      <c r="AL744" s="50"/>
    </row>
    <row r="745" spans="1:38" ht="13.8">
      <c r="A745" s="73"/>
      <c r="B745" s="74"/>
      <c r="C745" s="116"/>
      <c r="D745" s="24"/>
      <c r="E745" s="24"/>
      <c r="F745" s="24"/>
      <c r="G745" s="24"/>
      <c r="H745" s="24"/>
      <c r="I745" s="24"/>
      <c r="J745" s="63"/>
      <c r="K745" s="24"/>
      <c r="L745" s="118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119"/>
      <c r="X745" s="50"/>
      <c r="Y745" s="50"/>
      <c r="Z745" s="50"/>
      <c r="AA745" s="50"/>
      <c r="AB745" s="50"/>
      <c r="AC745" s="116"/>
      <c r="AD745" s="24"/>
      <c r="AE745" s="24"/>
      <c r="AF745" s="50"/>
      <c r="AG745" s="50"/>
      <c r="AH745" s="50"/>
      <c r="AI745" s="50"/>
      <c r="AJ745" s="50"/>
      <c r="AK745" s="50"/>
      <c r="AL745" s="50"/>
    </row>
    <row r="746" spans="1:38" ht="13.8">
      <c r="A746" s="73"/>
      <c r="B746" s="74"/>
      <c r="C746" s="116"/>
      <c r="D746" s="24"/>
      <c r="E746" s="24"/>
      <c r="F746" s="24"/>
      <c r="G746" s="24"/>
      <c r="H746" s="24"/>
      <c r="I746" s="24"/>
      <c r="J746" s="63"/>
      <c r="K746" s="24"/>
      <c r="L746" s="118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119"/>
      <c r="X746" s="50"/>
      <c r="Y746" s="50"/>
      <c r="Z746" s="50"/>
      <c r="AA746" s="50"/>
      <c r="AB746" s="50"/>
      <c r="AC746" s="116"/>
      <c r="AD746" s="24"/>
      <c r="AE746" s="24"/>
      <c r="AF746" s="50"/>
      <c r="AG746" s="50"/>
      <c r="AH746" s="50"/>
      <c r="AI746" s="50"/>
      <c r="AJ746" s="50"/>
      <c r="AK746" s="50"/>
      <c r="AL746" s="50"/>
    </row>
    <row r="747" spans="1:38" ht="13.8">
      <c r="A747" s="73"/>
      <c r="B747" s="74"/>
      <c r="C747" s="116"/>
      <c r="D747" s="24"/>
      <c r="E747" s="24"/>
      <c r="F747" s="24"/>
      <c r="G747" s="24"/>
      <c r="H747" s="24"/>
      <c r="I747" s="24"/>
      <c r="J747" s="63"/>
      <c r="K747" s="24"/>
      <c r="L747" s="118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119"/>
      <c r="X747" s="50"/>
      <c r="Y747" s="50"/>
      <c r="Z747" s="50"/>
      <c r="AA747" s="50"/>
      <c r="AB747" s="50"/>
      <c r="AC747" s="116"/>
      <c r="AD747" s="24"/>
      <c r="AE747" s="24"/>
      <c r="AF747" s="50"/>
      <c r="AG747" s="50"/>
      <c r="AH747" s="50"/>
      <c r="AI747" s="50"/>
      <c r="AJ747" s="50"/>
      <c r="AK747" s="50"/>
      <c r="AL747" s="50"/>
    </row>
    <row r="748" spans="1:38" ht="13.8">
      <c r="A748" s="73"/>
      <c r="B748" s="74"/>
      <c r="C748" s="116"/>
      <c r="D748" s="24"/>
      <c r="E748" s="24"/>
      <c r="F748" s="24"/>
      <c r="G748" s="24"/>
      <c r="H748" s="24"/>
      <c r="I748" s="24"/>
      <c r="J748" s="63"/>
      <c r="K748" s="24"/>
      <c r="L748" s="118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119"/>
      <c r="X748" s="50"/>
      <c r="Y748" s="50"/>
      <c r="Z748" s="50"/>
      <c r="AA748" s="50"/>
      <c r="AB748" s="50"/>
      <c r="AC748" s="116"/>
      <c r="AD748" s="24"/>
      <c r="AE748" s="24"/>
      <c r="AF748" s="50"/>
      <c r="AG748" s="50"/>
      <c r="AH748" s="50"/>
      <c r="AI748" s="50"/>
      <c r="AJ748" s="50"/>
      <c r="AK748" s="50"/>
      <c r="AL748" s="50"/>
    </row>
    <row r="749" spans="1:38" ht="13.8">
      <c r="A749" s="73"/>
      <c r="B749" s="74"/>
      <c r="C749" s="116"/>
      <c r="D749" s="24"/>
      <c r="E749" s="24"/>
      <c r="F749" s="24"/>
      <c r="G749" s="24"/>
      <c r="H749" s="24"/>
      <c r="I749" s="24"/>
      <c r="J749" s="63"/>
      <c r="K749" s="24"/>
      <c r="L749" s="118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119"/>
      <c r="X749" s="50"/>
      <c r="Y749" s="50"/>
      <c r="Z749" s="50"/>
      <c r="AA749" s="50"/>
      <c r="AB749" s="50"/>
      <c r="AC749" s="116"/>
      <c r="AD749" s="24"/>
      <c r="AE749" s="24"/>
      <c r="AF749" s="50"/>
      <c r="AG749" s="50"/>
      <c r="AH749" s="50"/>
      <c r="AI749" s="50"/>
      <c r="AJ749" s="50"/>
      <c r="AK749" s="50"/>
      <c r="AL749" s="50"/>
    </row>
    <row r="750" spans="1:38" ht="13.8">
      <c r="A750" s="73"/>
      <c r="B750" s="74"/>
      <c r="C750" s="116"/>
      <c r="D750" s="24"/>
      <c r="E750" s="24"/>
      <c r="F750" s="24"/>
      <c r="G750" s="24"/>
      <c r="H750" s="24"/>
      <c r="I750" s="24"/>
      <c r="J750" s="63"/>
      <c r="K750" s="24"/>
      <c r="L750" s="118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119"/>
      <c r="X750" s="50"/>
      <c r="Y750" s="50"/>
      <c r="Z750" s="50"/>
      <c r="AA750" s="50"/>
      <c r="AB750" s="50"/>
      <c r="AC750" s="116"/>
      <c r="AD750" s="24"/>
      <c r="AE750" s="24"/>
      <c r="AF750" s="50"/>
      <c r="AG750" s="50"/>
      <c r="AH750" s="50"/>
      <c r="AI750" s="50"/>
      <c r="AJ750" s="50"/>
      <c r="AK750" s="50"/>
      <c r="AL750" s="50"/>
    </row>
    <row r="751" spans="1:38" ht="13.8">
      <c r="A751" s="73"/>
      <c r="B751" s="74"/>
      <c r="C751" s="116"/>
      <c r="D751" s="24"/>
      <c r="E751" s="24"/>
      <c r="F751" s="24"/>
      <c r="G751" s="24"/>
      <c r="H751" s="24"/>
      <c r="I751" s="24"/>
      <c r="J751" s="63"/>
      <c r="K751" s="24"/>
      <c r="L751" s="118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119"/>
      <c r="X751" s="50"/>
      <c r="Y751" s="50"/>
      <c r="Z751" s="50"/>
      <c r="AA751" s="50"/>
      <c r="AB751" s="50"/>
      <c r="AC751" s="116"/>
      <c r="AD751" s="24"/>
      <c r="AE751" s="24"/>
      <c r="AF751" s="50"/>
      <c r="AG751" s="50"/>
      <c r="AH751" s="50"/>
      <c r="AI751" s="50"/>
      <c r="AJ751" s="50"/>
      <c r="AK751" s="50"/>
      <c r="AL751" s="50"/>
    </row>
    <row r="752" spans="1:38" ht="13.8">
      <c r="A752" s="73"/>
      <c r="B752" s="74"/>
      <c r="C752" s="116"/>
      <c r="D752" s="24"/>
      <c r="E752" s="24"/>
      <c r="F752" s="24"/>
      <c r="G752" s="24"/>
      <c r="H752" s="24"/>
      <c r="I752" s="24"/>
      <c r="J752" s="63"/>
      <c r="K752" s="24"/>
      <c r="L752" s="118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119"/>
      <c r="X752" s="50"/>
      <c r="Y752" s="50"/>
      <c r="Z752" s="50"/>
      <c r="AA752" s="50"/>
      <c r="AB752" s="50"/>
      <c r="AC752" s="116"/>
      <c r="AD752" s="24"/>
      <c r="AE752" s="24"/>
      <c r="AF752" s="50"/>
      <c r="AG752" s="50"/>
      <c r="AH752" s="50"/>
      <c r="AI752" s="50"/>
      <c r="AJ752" s="50"/>
      <c r="AK752" s="50"/>
      <c r="AL752" s="50"/>
    </row>
    <row r="753" spans="1:38" ht="13.8">
      <c r="A753" s="73"/>
      <c r="B753" s="74"/>
      <c r="C753" s="116"/>
      <c r="D753" s="24"/>
      <c r="E753" s="24"/>
      <c r="F753" s="24"/>
      <c r="G753" s="24"/>
      <c r="H753" s="24"/>
      <c r="I753" s="24"/>
      <c r="J753" s="63"/>
      <c r="K753" s="24"/>
      <c r="L753" s="118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119"/>
      <c r="X753" s="50"/>
      <c r="Y753" s="50"/>
      <c r="Z753" s="50"/>
      <c r="AA753" s="50"/>
      <c r="AB753" s="50"/>
      <c r="AC753" s="116"/>
      <c r="AD753" s="24"/>
      <c r="AE753" s="24"/>
      <c r="AF753" s="50"/>
      <c r="AG753" s="50"/>
      <c r="AH753" s="50"/>
      <c r="AI753" s="50"/>
      <c r="AJ753" s="50"/>
      <c r="AK753" s="50"/>
      <c r="AL753" s="50"/>
    </row>
    <row r="754" spans="1:38" ht="13.8">
      <c r="A754" s="73"/>
      <c r="B754" s="74"/>
      <c r="C754" s="116"/>
      <c r="D754" s="24"/>
      <c r="E754" s="24"/>
      <c r="F754" s="24"/>
      <c r="G754" s="24"/>
      <c r="H754" s="24"/>
      <c r="I754" s="24"/>
      <c r="J754" s="63"/>
      <c r="K754" s="24"/>
      <c r="L754" s="118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119"/>
      <c r="X754" s="50"/>
      <c r="Y754" s="50"/>
      <c r="Z754" s="50"/>
      <c r="AA754" s="50"/>
      <c r="AB754" s="50"/>
      <c r="AC754" s="116"/>
      <c r="AD754" s="24"/>
      <c r="AE754" s="24"/>
      <c r="AF754" s="50"/>
      <c r="AG754" s="50"/>
      <c r="AH754" s="50"/>
      <c r="AI754" s="50"/>
      <c r="AJ754" s="50"/>
      <c r="AK754" s="50"/>
      <c r="AL754" s="50"/>
    </row>
    <row r="755" spans="1:38" ht="13.8">
      <c r="A755" s="73"/>
      <c r="B755" s="74"/>
      <c r="C755" s="116"/>
      <c r="D755" s="24"/>
      <c r="E755" s="24"/>
      <c r="F755" s="24"/>
      <c r="G755" s="24"/>
      <c r="H755" s="24"/>
      <c r="I755" s="24"/>
      <c r="J755" s="63"/>
      <c r="K755" s="24"/>
      <c r="L755" s="118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119"/>
      <c r="X755" s="50"/>
      <c r="Y755" s="50"/>
      <c r="Z755" s="50"/>
      <c r="AA755" s="50"/>
      <c r="AB755" s="50"/>
      <c r="AC755" s="116"/>
      <c r="AD755" s="24"/>
      <c r="AE755" s="24"/>
      <c r="AF755" s="50"/>
      <c r="AG755" s="50"/>
      <c r="AH755" s="50"/>
      <c r="AI755" s="50"/>
      <c r="AJ755" s="50"/>
      <c r="AK755" s="50"/>
      <c r="AL755" s="50"/>
    </row>
    <row r="756" spans="1:38" ht="13.8">
      <c r="A756" s="73"/>
      <c r="B756" s="74"/>
      <c r="C756" s="116"/>
      <c r="D756" s="24"/>
      <c r="E756" s="24"/>
      <c r="F756" s="24"/>
      <c r="G756" s="24"/>
      <c r="H756" s="24"/>
      <c r="I756" s="24"/>
      <c r="J756" s="63"/>
      <c r="K756" s="24"/>
      <c r="L756" s="118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119"/>
      <c r="X756" s="50"/>
      <c r="Y756" s="50"/>
      <c r="Z756" s="50"/>
      <c r="AA756" s="50"/>
      <c r="AB756" s="50"/>
      <c r="AC756" s="116"/>
      <c r="AD756" s="24"/>
      <c r="AE756" s="24"/>
      <c r="AF756" s="50"/>
      <c r="AG756" s="50"/>
      <c r="AH756" s="50"/>
      <c r="AI756" s="50"/>
      <c r="AJ756" s="50"/>
      <c r="AK756" s="50"/>
      <c r="AL756" s="50"/>
    </row>
    <row r="757" spans="1:38" ht="13.8">
      <c r="A757" s="73"/>
      <c r="B757" s="74"/>
      <c r="C757" s="116"/>
      <c r="D757" s="24"/>
      <c r="E757" s="24"/>
      <c r="F757" s="24"/>
      <c r="G757" s="24"/>
      <c r="H757" s="24"/>
      <c r="I757" s="24"/>
      <c r="J757" s="63"/>
      <c r="K757" s="24"/>
      <c r="L757" s="118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119"/>
      <c r="X757" s="50"/>
      <c r="Y757" s="50"/>
      <c r="Z757" s="50"/>
      <c r="AA757" s="50"/>
      <c r="AB757" s="50"/>
      <c r="AC757" s="116"/>
      <c r="AD757" s="24"/>
      <c r="AE757" s="24"/>
      <c r="AF757" s="50"/>
      <c r="AG757" s="50"/>
      <c r="AH757" s="50"/>
      <c r="AI757" s="50"/>
      <c r="AJ757" s="50"/>
      <c r="AK757" s="50"/>
      <c r="AL757" s="50"/>
    </row>
    <row r="758" spans="1:38" ht="13.8">
      <c r="A758" s="73"/>
      <c r="B758" s="74"/>
      <c r="C758" s="116"/>
      <c r="D758" s="24"/>
      <c r="E758" s="24"/>
      <c r="F758" s="24"/>
      <c r="G758" s="24"/>
      <c r="H758" s="24"/>
      <c r="I758" s="24"/>
      <c r="J758" s="63"/>
      <c r="K758" s="24"/>
      <c r="L758" s="118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119"/>
      <c r="X758" s="50"/>
      <c r="Y758" s="50"/>
      <c r="Z758" s="50"/>
      <c r="AA758" s="50"/>
      <c r="AB758" s="50"/>
      <c r="AC758" s="116"/>
      <c r="AD758" s="24"/>
      <c r="AE758" s="24"/>
      <c r="AF758" s="50"/>
      <c r="AG758" s="50"/>
      <c r="AH758" s="50"/>
      <c r="AI758" s="50"/>
      <c r="AJ758" s="50"/>
      <c r="AK758" s="50"/>
      <c r="AL758" s="50"/>
    </row>
    <row r="759" spans="1:38" ht="13.8">
      <c r="A759" s="73"/>
      <c r="B759" s="74"/>
      <c r="C759" s="116"/>
      <c r="D759" s="24"/>
      <c r="E759" s="24"/>
      <c r="F759" s="24"/>
      <c r="G759" s="24"/>
      <c r="H759" s="24"/>
      <c r="I759" s="24"/>
      <c r="J759" s="63"/>
      <c r="K759" s="24"/>
      <c r="L759" s="118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119"/>
      <c r="X759" s="50"/>
      <c r="Y759" s="50"/>
      <c r="Z759" s="50"/>
      <c r="AA759" s="50"/>
      <c r="AB759" s="50"/>
      <c r="AC759" s="116"/>
      <c r="AD759" s="24"/>
      <c r="AE759" s="24"/>
      <c r="AF759" s="50"/>
      <c r="AG759" s="50"/>
      <c r="AH759" s="50"/>
      <c r="AI759" s="50"/>
      <c r="AJ759" s="50"/>
      <c r="AK759" s="50"/>
      <c r="AL759" s="50"/>
    </row>
    <row r="760" spans="1:38" ht="13.8">
      <c r="A760" s="73"/>
      <c r="B760" s="74"/>
      <c r="C760" s="116"/>
      <c r="D760" s="24"/>
      <c r="E760" s="24"/>
      <c r="F760" s="24"/>
      <c r="G760" s="24"/>
      <c r="H760" s="24"/>
      <c r="I760" s="24"/>
      <c r="J760" s="63"/>
      <c r="K760" s="24"/>
      <c r="L760" s="118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119"/>
      <c r="X760" s="50"/>
      <c r="Y760" s="50"/>
      <c r="Z760" s="50"/>
      <c r="AA760" s="50"/>
      <c r="AB760" s="50"/>
      <c r="AC760" s="116"/>
      <c r="AD760" s="24"/>
      <c r="AE760" s="24"/>
      <c r="AF760" s="50"/>
      <c r="AG760" s="50"/>
      <c r="AH760" s="50"/>
      <c r="AI760" s="50"/>
      <c r="AJ760" s="50"/>
      <c r="AK760" s="50"/>
      <c r="AL760" s="50"/>
    </row>
    <row r="761" spans="1:38" ht="13.8">
      <c r="A761" s="73"/>
      <c r="B761" s="74"/>
      <c r="C761" s="116"/>
      <c r="D761" s="24"/>
      <c r="E761" s="24"/>
      <c r="F761" s="24"/>
      <c r="G761" s="24"/>
      <c r="H761" s="24"/>
      <c r="I761" s="24"/>
      <c r="J761" s="63"/>
      <c r="K761" s="24"/>
      <c r="L761" s="118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119"/>
      <c r="X761" s="50"/>
      <c r="Y761" s="50"/>
      <c r="Z761" s="50"/>
      <c r="AA761" s="50"/>
      <c r="AB761" s="50"/>
      <c r="AC761" s="116"/>
      <c r="AD761" s="24"/>
      <c r="AE761" s="24"/>
      <c r="AF761" s="50"/>
      <c r="AG761" s="50"/>
      <c r="AH761" s="50"/>
      <c r="AI761" s="50"/>
      <c r="AJ761" s="50"/>
      <c r="AK761" s="50"/>
      <c r="AL761" s="50"/>
    </row>
    <row r="762" spans="1:38" ht="13.8">
      <c r="A762" s="73"/>
      <c r="B762" s="74"/>
      <c r="C762" s="116"/>
      <c r="D762" s="24"/>
      <c r="E762" s="24"/>
      <c r="F762" s="24"/>
      <c r="G762" s="24"/>
      <c r="H762" s="24"/>
      <c r="I762" s="24"/>
      <c r="J762" s="63"/>
      <c r="K762" s="24"/>
      <c r="L762" s="118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119"/>
      <c r="X762" s="50"/>
      <c r="Y762" s="50"/>
      <c r="Z762" s="50"/>
      <c r="AA762" s="50"/>
      <c r="AB762" s="50"/>
      <c r="AC762" s="116"/>
      <c r="AD762" s="24"/>
      <c r="AE762" s="24"/>
      <c r="AF762" s="50"/>
      <c r="AG762" s="50"/>
      <c r="AH762" s="50"/>
      <c r="AI762" s="50"/>
      <c r="AJ762" s="50"/>
      <c r="AK762" s="50"/>
      <c r="AL762" s="50"/>
    </row>
    <row r="763" spans="1:38" ht="13.8">
      <c r="A763" s="73"/>
      <c r="B763" s="74"/>
      <c r="C763" s="116"/>
      <c r="D763" s="24"/>
      <c r="E763" s="24"/>
      <c r="F763" s="24"/>
      <c r="G763" s="24"/>
      <c r="H763" s="24"/>
      <c r="I763" s="24"/>
      <c r="J763" s="63"/>
      <c r="K763" s="24"/>
      <c r="L763" s="118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119"/>
      <c r="X763" s="50"/>
      <c r="Y763" s="50"/>
      <c r="Z763" s="50"/>
      <c r="AA763" s="50"/>
      <c r="AB763" s="50"/>
      <c r="AC763" s="116"/>
      <c r="AD763" s="24"/>
      <c r="AE763" s="24"/>
      <c r="AF763" s="50"/>
      <c r="AG763" s="50"/>
      <c r="AH763" s="50"/>
      <c r="AI763" s="50"/>
      <c r="AJ763" s="50"/>
      <c r="AK763" s="50"/>
      <c r="AL763" s="50"/>
    </row>
    <row r="764" spans="1:38" ht="13.8">
      <c r="A764" s="73"/>
      <c r="B764" s="74"/>
      <c r="C764" s="116"/>
      <c r="D764" s="24"/>
      <c r="E764" s="24"/>
      <c r="F764" s="24"/>
      <c r="G764" s="24"/>
      <c r="H764" s="24"/>
      <c r="I764" s="24"/>
      <c r="J764" s="63"/>
      <c r="K764" s="24"/>
      <c r="L764" s="118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119"/>
      <c r="X764" s="50"/>
      <c r="Y764" s="50"/>
      <c r="Z764" s="50"/>
      <c r="AA764" s="50"/>
      <c r="AB764" s="50"/>
      <c r="AC764" s="116"/>
      <c r="AD764" s="24"/>
      <c r="AE764" s="24"/>
      <c r="AF764" s="50"/>
      <c r="AG764" s="50"/>
      <c r="AH764" s="50"/>
      <c r="AI764" s="50"/>
      <c r="AJ764" s="50"/>
      <c r="AK764" s="50"/>
      <c r="AL764" s="50"/>
    </row>
    <row r="765" spans="1:38" ht="13.8">
      <c r="A765" s="73"/>
      <c r="B765" s="74"/>
      <c r="C765" s="116"/>
      <c r="D765" s="24"/>
      <c r="E765" s="24"/>
      <c r="F765" s="24"/>
      <c r="G765" s="24"/>
      <c r="H765" s="24"/>
      <c r="I765" s="24"/>
      <c r="J765" s="63"/>
      <c r="K765" s="24"/>
      <c r="L765" s="118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119"/>
      <c r="X765" s="50"/>
      <c r="Y765" s="50"/>
      <c r="Z765" s="50"/>
      <c r="AA765" s="50"/>
      <c r="AB765" s="50"/>
      <c r="AC765" s="116"/>
      <c r="AD765" s="24"/>
      <c r="AE765" s="24"/>
      <c r="AF765" s="50"/>
      <c r="AG765" s="50"/>
      <c r="AH765" s="50"/>
      <c r="AI765" s="50"/>
      <c r="AJ765" s="50"/>
      <c r="AK765" s="50"/>
      <c r="AL765" s="50"/>
    </row>
    <row r="766" spans="1:38" ht="13.8">
      <c r="A766" s="73"/>
      <c r="B766" s="74"/>
      <c r="C766" s="116"/>
      <c r="D766" s="24"/>
      <c r="E766" s="24"/>
      <c r="F766" s="24"/>
      <c r="G766" s="24"/>
      <c r="H766" s="24"/>
      <c r="I766" s="24"/>
      <c r="J766" s="63"/>
      <c r="K766" s="24"/>
      <c r="L766" s="118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119"/>
      <c r="X766" s="50"/>
      <c r="Y766" s="50"/>
      <c r="Z766" s="50"/>
      <c r="AA766" s="50"/>
      <c r="AB766" s="50"/>
      <c r="AC766" s="116"/>
      <c r="AD766" s="24"/>
      <c r="AE766" s="24"/>
      <c r="AF766" s="50"/>
      <c r="AG766" s="50"/>
      <c r="AH766" s="50"/>
      <c r="AI766" s="50"/>
      <c r="AJ766" s="50"/>
      <c r="AK766" s="50"/>
      <c r="AL766" s="50"/>
    </row>
    <row r="767" spans="1:38" ht="13.8">
      <c r="A767" s="73"/>
      <c r="B767" s="74"/>
      <c r="C767" s="116"/>
      <c r="D767" s="24"/>
      <c r="E767" s="24"/>
      <c r="F767" s="24"/>
      <c r="G767" s="24"/>
      <c r="H767" s="24"/>
      <c r="I767" s="24"/>
      <c r="J767" s="63"/>
      <c r="K767" s="24"/>
      <c r="L767" s="118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119"/>
      <c r="X767" s="50"/>
      <c r="Y767" s="50"/>
      <c r="Z767" s="50"/>
      <c r="AA767" s="50"/>
      <c r="AB767" s="50"/>
      <c r="AC767" s="116"/>
      <c r="AD767" s="24"/>
      <c r="AE767" s="24"/>
      <c r="AF767" s="50"/>
      <c r="AG767" s="50"/>
      <c r="AH767" s="50"/>
      <c r="AI767" s="50"/>
      <c r="AJ767" s="50"/>
      <c r="AK767" s="50"/>
      <c r="AL767" s="50"/>
    </row>
    <row r="768" spans="1:38" ht="13.8">
      <c r="A768" s="73"/>
      <c r="B768" s="74"/>
      <c r="C768" s="116"/>
      <c r="D768" s="24"/>
      <c r="E768" s="24"/>
      <c r="F768" s="24"/>
      <c r="G768" s="24"/>
      <c r="H768" s="24"/>
      <c r="I768" s="24"/>
      <c r="J768" s="63"/>
      <c r="K768" s="24"/>
      <c r="L768" s="118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119"/>
      <c r="X768" s="50"/>
      <c r="Y768" s="50"/>
      <c r="Z768" s="50"/>
      <c r="AA768" s="50"/>
      <c r="AB768" s="50"/>
      <c r="AC768" s="116"/>
      <c r="AD768" s="24"/>
      <c r="AE768" s="24"/>
      <c r="AF768" s="50"/>
      <c r="AG768" s="50"/>
      <c r="AH768" s="50"/>
      <c r="AI768" s="50"/>
      <c r="AJ768" s="50"/>
      <c r="AK768" s="50"/>
      <c r="AL768" s="50"/>
    </row>
    <row r="769" spans="1:38" ht="13.8">
      <c r="A769" s="73"/>
      <c r="B769" s="74"/>
      <c r="C769" s="116"/>
      <c r="D769" s="24"/>
      <c r="E769" s="24"/>
      <c r="F769" s="24"/>
      <c r="G769" s="24"/>
      <c r="H769" s="24"/>
      <c r="I769" s="24"/>
      <c r="J769" s="63"/>
      <c r="K769" s="24"/>
      <c r="L769" s="118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119"/>
      <c r="X769" s="50"/>
      <c r="Y769" s="50"/>
      <c r="Z769" s="50"/>
      <c r="AA769" s="50"/>
      <c r="AB769" s="50"/>
      <c r="AC769" s="116"/>
      <c r="AD769" s="24"/>
      <c r="AE769" s="24"/>
      <c r="AF769" s="50"/>
      <c r="AG769" s="50"/>
      <c r="AH769" s="50"/>
      <c r="AI769" s="50"/>
      <c r="AJ769" s="50"/>
      <c r="AK769" s="50"/>
      <c r="AL769" s="50"/>
    </row>
    <row r="770" spans="1:38" ht="13.8">
      <c r="A770" s="73"/>
      <c r="B770" s="74"/>
      <c r="C770" s="116"/>
      <c r="D770" s="24"/>
      <c r="E770" s="24"/>
      <c r="F770" s="24"/>
      <c r="G770" s="24"/>
      <c r="H770" s="24"/>
      <c r="I770" s="24"/>
      <c r="J770" s="63"/>
      <c r="K770" s="24"/>
      <c r="L770" s="118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119"/>
      <c r="X770" s="50"/>
      <c r="Y770" s="50"/>
      <c r="Z770" s="50"/>
      <c r="AA770" s="50"/>
      <c r="AB770" s="50"/>
      <c r="AC770" s="116"/>
      <c r="AD770" s="24"/>
      <c r="AE770" s="24"/>
      <c r="AF770" s="50"/>
      <c r="AG770" s="50"/>
      <c r="AH770" s="50"/>
      <c r="AI770" s="50"/>
      <c r="AJ770" s="50"/>
      <c r="AK770" s="50"/>
      <c r="AL770" s="50"/>
    </row>
    <row r="771" spans="1:38" ht="13.8">
      <c r="A771" s="73"/>
      <c r="B771" s="74"/>
      <c r="C771" s="116"/>
      <c r="D771" s="24"/>
      <c r="E771" s="24"/>
      <c r="F771" s="24"/>
      <c r="G771" s="24"/>
      <c r="H771" s="24"/>
      <c r="I771" s="24"/>
      <c r="J771" s="63"/>
      <c r="K771" s="24"/>
      <c r="L771" s="118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119"/>
      <c r="X771" s="50"/>
      <c r="Y771" s="50"/>
      <c r="Z771" s="50"/>
      <c r="AA771" s="50"/>
      <c r="AB771" s="50"/>
      <c r="AC771" s="116"/>
      <c r="AD771" s="24"/>
      <c r="AE771" s="24"/>
      <c r="AF771" s="50"/>
      <c r="AG771" s="50"/>
      <c r="AH771" s="50"/>
      <c r="AI771" s="50"/>
      <c r="AJ771" s="50"/>
      <c r="AK771" s="50"/>
      <c r="AL771" s="50"/>
    </row>
    <row r="772" spans="1:38" ht="13.8">
      <c r="A772" s="73"/>
      <c r="B772" s="74"/>
      <c r="C772" s="116"/>
      <c r="D772" s="24"/>
      <c r="E772" s="24"/>
      <c r="F772" s="24"/>
      <c r="G772" s="24"/>
      <c r="H772" s="24"/>
      <c r="I772" s="24"/>
      <c r="J772" s="63"/>
      <c r="K772" s="24"/>
      <c r="L772" s="118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119"/>
      <c r="X772" s="50"/>
      <c r="Y772" s="50"/>
      <c r="Z772" s="50"/>
      <c r="AA772" s="50"/>
      <c r="AB772" s="50"/>
      <c r="AC772" s="116"/>
      <c r="AD772" s="24"/>
      <c r="AE772" s="24"/>
      <c r="AF772" s="50"/>
      <c r="AG772" s="50"/>
      <c r="AH772" s="50"/>
      <c r="AI772" s="50"/>
      <c r="AJ772" s="50"/>
      <c r="AK772" s="50"/>
      <c r="AL772" s="50"/>
    </row>
    <row r="773" spans="1:38" ht="13.8">
      <c r="A773" s="73"/>
      <c r="B773" s="74"/>
      <c r="C773" s="116"/>
      <c r="D773" s="24"/>
      <c r="E773" s="24"/>
      <c r="F773" s="24"/>
      <c r="G773" s="24"/>
      <c r="H773" s="24"/>
      <c r="I773" s="24"/>
      <c r="J773" s="63"/>
      <c r="K773" s="24"/>
      <c r="L773" s="118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119"/>
      <c r="X773" s="50"/>
      <c r="Y773" s="50"/>
      <c r="Z773" s="50"/>
      <c r="AA773" s="50"/>
      <c r="AB773" s="50"/>
      <c r="AC773" s="116"/>
      <c r="AD773" s="24"/>
      <c r="AE773" s="24"/>
      <c r="AF773" s="50"/>
      <c r="AG773" s="50"/>
      <c r="AH773" s="50"/>
      <c r="AI773" s="50"/>
      <c r="AJ773" s="50"/>
      <c r="AK773" s="50"/>
      <c r="AL773" s="50"/>
    </row>
    <row r="774" spans="1:38" ht="13.8">
      <c r="A774" s="73"/>
      <c r="B774" s="74"/>
      <c r="C774" s="116"/>
      <c r="D774" s="24"/>
      <c r="E774" s="24"/>
      <c r="F774" s="24"/>
      <c r="G774" s="24"/>
      <c r="H774" s="24"/>
      <c r="I774" s="24"/>
      <c r="J774" s="63"/>
      <c r="K774" s="24"/>
      <c r="L774" s="118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119"/>
      <c r="X774" s="50"/>
      <c r="Y774" s="50"/>
      <c r="Z774" s="50"/>
      <c r="AA774" s="50"/>
      <c r="AB774" s="50"/>
      <c r="AC774" s="116"/>
      <c r="AD774" s="24"/>
      <c r="AE774" s="24"/>
      <c r="AF774" s="50"/>
      <c r="AG774" s="50"/>
      <c r="AH774" s="50"/>
      <c r="AI774" s="50"/>
      <c r="AJ774" s="50"/>
      <c r="AK774" s="50"/>
      <c r="AL774" s="50"/>
    </row>
    <row r="775" spans="1:38" ht="13.8">
      <c r="A775" s="73"/>
      <c r="B775" s="74"/>
      <c r="C775" s="116"/>
      <c r="D775" s="24"/>
      <c r="E775" s="24"/>
      <c r="F775" s="24"/>
      <c r="G775" s="24"/>
      <c r="H775" s="24"/>
      <c r="I775" s="24"/>
      <c r="J775" s="63"/>
      <c r="K775" s="24"/>
      <c r="L775" s="118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119"/>
      <c r="X775" s="50"/>
      <c r="Y775" s="50"/>
      <c r="Z775" s="50"/>
      <c r="AA775" s="50"/>
      <c r="AB775" s="50"/>
      <c r="AC775" s="116"/>
      <c r="AD775" s="24"/>
      <c r="AE775" s="24"/>
      <c r="AF775" s="50"/>
      <c r="AG775" s="50"/>
      <c r="AH775" s="50"/>
      <c r="AI775" s="50"/>
      <c r="AJ775" s="50"/>
      <c r="AK775" s="50"/>
      <c r="AL775" s="50"/>
    </row>
    <row r="776" spans="1:38" ht="13.8">
      <c r="A776" s="73"/>
      <c r="B776" s="74"/>
      <c r="C776" s="116"/>
      <c r="D776" s="24"/>
      <c r="E776" s="24"/>
      <c r="F776" s="24"/>
      <c r="G776" s="24"/>
      <c r="H776" s="24"/>
      <c r="I776" s="24"/>
      <c r="J776" s="63"/>
      <c r="K776" s="24"/>
      <c r="L776" s="118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119"/>
      <c r="X776" s="50"/>
      <c r="Y776" s="50"/>
      <c r="Z776" s="50"/>
      <c r="AA776" s="50"/>
      <c r="AB776" s="50"/>
      <c r="AC776" s="116"/>
      <c r="AD776" s="24"/>
      <c r="AE776" s="24"/>
      <c r="AF776" s="50"/>
      <c r="AG776" s="50"/>
      <c r="AH776" s="50"/>
      <c r="AI776" s="50"/>
      <c r="AJ776" s="50"/>
      <c r="AK776" s="50"/>
      <c r="AL776" s="50"/>
    </row>
    <row r="777" spans="1:38" ht="13.8">
      <c r="A777" s="73"/>
      <c r="B777" s="74"/>
      <c r="C777" s="116"/>
      <c r="D777" s="24"/>
      <c r="E777" s="24"/>
      <c r="F777" s="24"/>
      <c r="G777" s="24"/>
      <c r="H777" s="24"/>
      <c r="I777" s="24"/>
      <c r="J777" s="63"/>
      <c r="K777" s="24"/>
      <c r="L777" s="118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119"/>
      <c r="X777" s="50"/>
      <c r="Y777" s="50"/>
      <c r="Z777" s="50"/>
      <c r="AA777" s="50"/>
      <c r="AB777" s="50"/>
      <c r="AC777" s="116"/>
      <c r="AD777" s="24"/>
      <c r="AE777" s="24"/>
      <c r="AF777" s="50"/>
      <c r="AG777" s="50"/>
      <c r="AH777" s="50"/>
      <c r="AI777" s="50"/>
      <c r="AJ777" s="50"/>
      <c r="AK777" s="50"/>
      <c r="AL777" s="50"/>
    </row>
    <row r="778" spans="1:38" ht="13.8">
      <c r="A778" s="73"/>
      <c r="B778" s="74"/>
      <c r="C778" s="116"/>
      <c r="D778" s="24"/>
      <c r="E778" s="24"/>
      <c r="F778" s="24"/>
      <c r="G778" s="24"/>
      <c r="H778" s="24"/>
      <c r="I778" s="24"/>
      <c r="J778" s="63"/>
      <c r="K778" s="24"/>
      <c r="L778" s="118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119"/>
      <c r="X778" s="50"/>
      <c r="Y778" s="50"/>
      <c r="Z778" s="50"/>
      <c r="AA778" s="50"/>
      <c r="AB778" s="50"/>
      <c r="AC778" s="116"/>
      <c r="AD778" s="24"/>
      <c r="AE778" s="24"/>
      <c r="AF778" s="50"/>
      <c r="AG778" s="50"/>
      <c r="AH778" s="50"/>
      <c r="AI778" s="50"/>
      <c r="AJ778" s="50"/>
      <c r="AK778" s="50"/>
      <c r="AL778" s="50"/>
    </row>
    <row r="779" spans="1:38" ht="13.8">
      <c r="A779" s="73"/>
      <c r="B779" s="74"/>
      <c r="C779" s="116"/>
      <c r="D779" s="24"/>
      <c r="E779" s="24"/>
      <c r="F779" s="24"/>
      <c r="G779" s="24"/>
      <c r="H779" s="24"/>
      <c r="I779" s="24"/>
      <c r="J779" s="63"/>
      <c r="K779" s="24"/>
      <c r="L779" s="118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119"/>
      <c r="X779" s="50"/>
      <c r="Y779" s="50"/>
      <c r="Z779" s="50"/>
      <c r="AA779" s="50"/>
      <c r="AB779" s="50"/>
      <c r="AC779" s="116"/>
      <c r="AD779" s="24"/>
      <c r="AE779" s="24"/>
      <c r="AF779" s="50"/>
      <c r="AG779" s="50"/>
      <c r="AH779" s="50"/>
      <c r="AI779" s="50"/>
      <c r="AJ779" s="50"/>
      <c r="AK779" s="50"/>
      <c r="AL779" s="50"/>
    </row>
    <row r="780" spans="1:38" ht="13.8">
      <c r="A780" s="73"/>
      <c r="B780" s="74"/>
      <c r="C780" s="116"/>
      <c r="D780" s="24"/>
      <c r="E780" s="24"/>
      <c r="F780" s="24"/>
      <c r="G780" s="24"/>
      <c r="H780" s="24"/>
      <c r="I780" s="24"/>
      <c r="J780" s="63"/>
      <c r="K780" s="24"/>
      <c r="L780" s="118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119"/>
      <c r="X780" s="50"/>
      <c r="Y780" s="50"/>
      <c r="Z780" s="50"/>
      <c r="AA780" s="50"/>
      <c r="AB780" s="50"/>
      <c r="AC780" s="116"/>
      <c r="AD780" s="24"/>
      <c r="AE780" s="24"/>
      <c r="AF780" s="50"/>
      <c r="AG780" s="50"/>
      <c r="AH780" s="50"/>
      <c r="AI780" s="50"/>
      <c r="AJ780" s="50"/>
      <c r="AK780" s="50"/>
      <c r="AL780" s="50"/>
    </row>
    <row r="781" spans="1:38" ht="13.8">
      <c r="A781" s="73"/>
      <c r="B781" s="74"/>
      <c r="C781" s="116"/>
      <c r="D781" s="24"/>
      <c r="E781" s="24"/>
      <c r="F781" s="24"/>
      <c r="G781" s="24"/>
      <c r="H781" s="24"/>
      <c r="I781" s="24"/>
      <c r="J781" s="63"/>
      <c r="K781" s="24"/>
      <c r="L781" s="118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119"/>
      <c r="X781" s="50"/>
      <c r="Y781" s="50"/>
      <c r="Z781" s="50"/>
      <c r="AA781" s="50"/>
      <c r="AB781" s="50"/>
      <c r="AC781" s="116"/>
      <c r="AD781" s="24"/>
      <c r="AE781" s="24"/>
      <c r="AF781" s="50"/>
      <c r="AG781" s="50"/>
      <c r="AH781" s="50"/>
      <c r="AI781" s="50"/>
      <c r="AJ781" s="50"/>
      <c r="AK781" s="50"/>
      <c r="AL781" s="50"/>
    </row>
    <row r="782" spans="1:38" ht="13.8">
      <c r="A782" s="73"/>
      <c r="B782" s="74"/>
      <c r="C782" s="116"/>
      <c r="D782" s="24"/>
      <c r="E782" s="24"/>
      <c r="F782" s="24"/>
      <c r="G782" s="24"/>
      <c r="H782" s="24"/>
      <c r="I782" s="24"/>
      <c r="J782" s="63"/>
      <c r="K782" s="24"/>
      <c r="L782" s="118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119"/>
      <c r="X782" s="50"/>
      <c r="Y782" s="50"/>
      <c r="Z782" s="50"/>
      <c r="AA782" s="50"/>
      <c r="AB782" s="50"/>
      <c r="AC782" s="116"/>
      <c r="AD782" s="24"/>
      <c r="AE782" s="24"/>
      <c r="AF782" s="50"/>
      <c r="AG782" s="50"/>
      <c r="AH782" s="50"/>
      <c r="AI782" s="50"/>
      <c r="AJ782" s="50"/>
      <c r="AK782" s="50"/>
      <c r="AL782" s="50"/>
    </row>
    <row r="783" spans="1:38" ht="13.8">
      <c r="A783" s="73"/>
      <c r="B783" s="74"/>
      <c r="C783" s="116"/>
      <c r="D783" s="24"/>
      <c r="E783" s="24"/>
      <c r="F783" s="24"/>
      <c r="G783" s="24"/>
      <c r="H783" s="24"/>
      <c r="I783" s="24"/>
      <c r="J783" s="63"/>
      <c r="K783" s="24"/>
      <c r="L783" s="118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119"/>
      <c r="X783" s="50"/>
      <c r="Y783" s="50"/>
      <c r="Z783" s="50"/>
      <c r="AA783" s="50"/>
      <c r="AB783" s="50"/>
      <c r="AC783" s="116"/>
      <c r="AD783" s="24"/>
      <c r="AE783" s="24"/>
      <c r="AF783" s="50"/>
      <c r="AG783" s="50"/>
      <c r="AH783" s="50"/>
      <c r="AI783" s="50"/>
      <c r="AJ783" s="50"/>
      <c r="AK783" s="50"/>
      <c r="AL783" s="50"/>
    </row>
    <row r="784" spans="1:38" ht="13.8">
      <c r="A784" s="73"/>
      <c r="B784" s="74"/>
      <c r="C784" s="116"/>
      <c r="D784" s="24"/>
      <c r="E784" s="24"/>
      <c r="F784" s="24"/>
      <c r="G784" s="24"/>
      <c r="H784" s="24"/>
      <c r="I784" s="24"/>
      <c r="J784" s="63"/>
      <c r="K784" s="24"/>
      <c r="L784" s="118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119"/>
      <c r="X784" s="50"/>
      <c r="Y784" s="50"/>
      <c r="Z784" s="50"/>
      <c r="AA784" s="50"/>
      <c r="AB784" s="50"/>
      <c r="AC784" s="116"/>
      <c r="AD784" s="24"/>
      <c r="AE784" s="24"/>
      <c r="AF784" s="50"/>
      <c r="AG784" s="50"/>
      <c r="AH784" s="50"/>
      <c r="AI784" s="50"/>
      <c r="AJ784" s="50"/>
      <c r="AK784" s="50"/>
      <c r="AL784" s="50"/>
    </row>
    <row r="785" spans="1:38" ht="13.8">
      <c r="A785" s="73"/>
      <c r="B785" s="74"/>
      <c r="C785" s="116"/>
      <c r="D785" s="24"/>
      <c r="E785" s="24"/>
      <c r="F785" s="24"/>
      <c r="G785" s="24"/>
      <c r="H785" s="24"/>
      <c r="I785" s="24"/>
      <c r="J785" s="63"/>
      <c r="K785" s="24"/>
      <c r="L785" s="118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119"/>
      <c r="X785" s="50"/>
      <c r="Y785" s="50"/>
      <c r="Z785" s="50"/>
      <c r="AA785" s="50"/>
      <c r="AB785" s="50"/>
      <c r="AC785" s="116"/>
      <c r="AD785" s="24"/>
      <c r="AE785" s="24"/>
      <c r="AF785" s="50"/>
      <c r="AG785" s="50"/>
      <c r="AH785" s="50"/>
      <c r="AI785" s="50"/>
      <c r="AJ785" s="50"/>
      <c r="AK785" s="50"/>
      <c r="AL785" s="50"/>
    </row>
    <row r="786" spans="1:38" ht="13.8">
      <c r="A786" s="73"/>
      <c r="B786" s="74"/>
      <c r="C786" s="116"/>
      <c r="D786" s="24"/>
      <c r="E786" s="24"/>
      <c r="F786" s="24"/>
      <c r="G786" s="24"/>
      <c r="H786" s="24"/>
      <c r="I786" s="24"/>
      <c r="J786" s="63"/>
      <c r="K786" s="24"/>
      <c r="L786" s="118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119"/>
      <c r="X786" s="50"/>
      <c r="Y786" s="50"/>
      <c r="Z786" s="50"/>
      <c r="AA786" s="50"/>
      <c r="AB786" s="50"/>
      <c r="AC786" s="116"/>
      <c r="AD786" s="24"/>
      <c r="AE786" s="24"/>
      <c r="AF786" s="50"/>
      <c r="AG786" s="50"/>
      <c r="AH786" s="50"/>
      <c r="AI786" s="50"/>
      <c r="AJ786" s="50"/>
      <c r="AK786" s="50"/>
      <c r="AL786" s="50"/>
    </row>
    <row r="787" spans="1:38" ht="13.8">
      <c r="A787" s="73"/>
      <c r="B787" s="74"/>
      <c r="C787" s="116"/>
      <c r="D787" s="24"/>
      <c r="E787" s="24"/>
      <c r="F787" s="24"/>
      <c r="G787" s="24"/>
      <c r="H787" s="24"/>
      <c r="I787" s="24"/>
      <c r="J787" s="63"/>
      <c r="K787" s="24"/>
      <c r="L787" s="118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119"/>
      <c r="X787" s="50"/>
      <c r="Y787" s="50"/>
      <c r="Z787" s="50"/>
      <c r="AA787" s="50"/>
      <c r="AB787" s="50"/>
      <c r="AC787" s="116"/>
      <c r="AD787" s="24"/>
      <c r="AE787" s="24"/>
      <c r="AF787" s="50"/>
      <c r="AG787" s="50"/>
      <c r="AH787" s="50"/>
      <c r="AI787" s="50"/>
      <c r="AJ787" s="50"/>
      <c r="AK787" s="50"/>
      <c r="AL787" s="50"/>
    </row>
    <row r="788" spans="1:38" ht="13.8">
      <c r="A788" s="73"/>
      <c r="B788" s="74"/>
      <c r="C788" s="116"/>
      <c r="D788" s="24"/>
      <c r="E788" s="24"/>
      <c r="F788" s="24"/>
      <c r="G788" s="24"/>
      <c r="H788" s="24"/>
      <c r="I788" s="24"/>
      <c r="J788" s="63"/>
      <c r="K788" s="24"/>
      <c r="L788" s="118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119"/>
      <c r="X788" s="50"/>
      <c r="Y788" s="50"/>
      <c r="Z788" s="50"/>
      <c r="AA788" s="50"/>
      <c r="AB788" s="50"/>
      <c r="AC788" s="116"/>
      <c r="AD788" s="24"/>
      <c r="AE788" s="24"/>
      <c r="AF788" s="50"/>
      <c r="AG788" s="50"/>
      <c r="AH788" s="50"/>
      <c r="AI788" s="50"/>
      <c r="AJ788" s="50"/>
      <c r="AK788" s="50"/>
      <c r="AL788" s="50"/>
    </row>
    <row r="789" spans="1:38" ht="13.8">
      <c r="A789" s="73"/>
      <c r="B789" s="74"/>
      <c r="C789" s="116"/>
      <c r="D789" s="24"/>
      <c r="E789" s="24"/>
      <c r="F789" s="24"/>
      <c r="G789" s="24"/>
      <c r="H789" s="24"/>
      <c r="I789" s="24"/>
      <c r="J789" s="63"/>
      <c r="K789" s="24"/>
      <c r="L789" s="118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119"/>
      <c r="X789" s="50"/>
      <c r="Y789" s="50"/>
      <c r="Z789" s="50"/>
      <c r="AA789" s="50"/>
      <c r="AB789" s="50"/>
      <c r="AC789" s="116"/>
      <c r="AD789" s="24"/>
      <c r="AE789" s="24"/>
      <c r="AF789" s="50"/>
      <c r="AG789" s="50"/>
      <c r="AH789" s="50"/>
      <c r="AI789" s="50"/>
      <c r="AJ789" s="50"/>
      <c r="AK789" s="50"/>
      <c r="AL789" s="50"/>
    </row>
    <row r="790" spans="1:38" ht="13.8">
      <c r="A790" s="73"/>
      <c r="B790" s="74"/>
      <c r="C790" s="116"/>
      <c r="D790" s="24"/>
      <c r="E790" s="24"/>
      <c r="F790" s="24"/>
      <c r="G790" s="24"/>
      <c r="H790" s="24"/>
      <c r="I790" s="24"/>
      <c r="J790" s="63"/>
      <c r="K790" s="24"/>
      <c r="L790" s="118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119"/>
      <c r="X790" s="50"/>
      <c r="Y790" s="50"/>
      <c r="Z790" s="50"/>
      <c r="AA790" s="50"/>
      <c r="AB790" s="50"/>
      <c r="AC790" s="116"/>
      <c r="AD790" s="24"/>
      <c r="AE790" s="24"/>
      <c r="AF790" s="50"/>
      <c r="AG790" s="50"/>
      <c r="AH790" s="50"/>
      <c r="AI790" s="50"/>
      <c r="AJ790" s="50"/>
      <c r="AK790" s="50"/>
      <c r="AL790" s="50"/>
    </row>
    <row r="791" spans="1:38" ht="13.8">
      <c r="A791" s="73"/>
      <c r="B791" s="74"/>
      <c r="C791" s="116"/>
      <c r="D791" s="24"/>
      <c r="E791" s="24"/>
      <c r="F791" s="24"/>
      <c r="G791" s="24"/>
      <c r="H791" s="24"/>
      <c r="I791" s="24"/>
      <c r="J791" s="63"/>
      <c r="K791" s="24"/>
      <c r="L791" s="118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119"/>
      <c r="X791" s="50"/>
      <c r="Y791" s="50"/>
      <c r="Z791" s="50"/>
      <c r="AA791" s="50"/>
      <c r="AB791" s="50"/>
      <c r="AC791" s="116"/>
      <c r="AD791" s="24"/>
      <c r="AE791" s="24"/>
      <c r="AF791" s="50"/>
      <c r="AG791" s="50"/>
      <c r="AH791" s="50"/>
      <c r="AI791" s="50"/>
      <c r="AJ791" s="50"/>
      <c r="AK791" s="50"/>
      <c r="AL791" s="50"/>
    </row>
    <row r="792" spans="1:38" ht="13.8">
      <c r="A792" s="73"/>
      <c r="B792" s="74"/>
      <c r="C792" s="116"/>
      <c r="D792" s="24"/>
      <c r="E792" s="24"/>
      <c r="F792" s="24"/>
      <c r="G792" s="24"/>
      <c r="H792" s="24"/>
      <c r="I792" s="24"/>
      <c r="J792" s="63"/>
      <c r="K792" s="24"/>
      <c r="L792" s="118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119"/>
      <c r="X792" s="50"/>
      <c r="Y792" s="50"/>
      <c r="Z792" s="50"/>
      <c r="AA792" s="50"/>
      <c r="AB792" s="50"/>
      <c r="AC792" s="116"/>
      <c r="AD792" s="24"/>
      <c r="AE792" s="24"/>
      <c r="AF792" s="50"/>
      <c r="AG792" s="50"/>
      <c r="AH792" s="50"/>
      <c r="AI792" s="50"/>
      <c r="AJ792" s="50"/>
      <c r="AK792" s="50"/>
      <c r="AL792" s="50"/>
    </row>
    <row r="793" spans="1:38" ht="13.8">
      <c r="A793" s="73"/>
      <c r="B793" s="74"/>
      <c r="C793" s="116"/>
      <c r="D793" s="24"/>
      <c r="E793" s="24"/>
      <c r="F793" s="24"/>
      <c r="G793" s="24"/>
      <c r="H793" s="24"/>
      <c r="I793" s="24"/>
      <c r="J793" s="63"/>
      <c r="K793" s="24"/>
      <c r="L793" s="118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119"/>
      <c r="X793" s="50"/>
      <c r="Y793" s="50"/>
      <c r="Z793" s="50"/>
      <c r="AA793" s="50"/>
      <c r="AB793" s="50"/>
      <c r="AC793" s="116"/>
      <c r="AD793" s="24"/>
      <c r="AE793" s="24"/>
      <c r="AF793" s="50"/>
      <c r="AG793" s="50"/>
      <c r="AH793" s="50"/>
      <c r="AI793" s="50"/>
      <c r="AJ793" s="50"/>
      <c r="AK793" s="50"/>
      <c r="AL793" s="50"/>
    </row>
    <row r="794" spans="1:38" ht="13.8">
      <c r="A794" s="73"/>
      <c r="B794" s="74"/>
      <c r="C794" s="116"/>
      <c r="D794" s="24"/>
      <c r="E794" s="24"/>
      <c r="F794" s="24"/>
      <c r="G794" s="24"/>
      <c r="H794" s="24"/>
      <c r="I794" s="24"/>
      <c r="J794" s="63"/>
      <c r="K794" s="24"/>
      <c r="L794" s="118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119"/>
      <c r="X794" s="50"/>
      <c r="Y794" s="50"/>
      <c r="Z794" s="50"/>
      <c r="AA794" s="50"/>
      <c r="AB794" s="50"/>
      <c r="AC794" s="116"/>
      <c r="AD794" s="24"/>
      <c r="AE794" s="24"/>
      <c r="AF794" s="50"/>
      <c r="AG794" s="50"/>
      <c r="AH794" s="50"/>
      <c r="AI794" s="50"/>
      <c r="AJ794" s="50"/>
      <c r="AK794" s="50"/>
      <c r="AL794" s="50"/>
    </row>
    <row r="795" spans="1:38" ht="13.8">
      <c r="A795" s="73"/>
      <c r="B795" s="74"/>
      <c r="C795" s="116"/>
      <c r="D795" s="24"/>
      <c r="E795" s="24"/>
      <c r="F795" s="24"/>
      <c r="G795" s="24"/>
      <c r="H795" s="24"/>
      <c r="I795" s="24"/>
      <c r="J795" s="63"/>
      <c r="K795" s="24"/>
      <c r="L795" s="118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119"/>
      <c r="X795" s="50"/>
      <c r="Y795" s="50"/>
      <c r="Z795" s="50"/>
      <c r="AA795" s="50"/>
      <c r="AB795" s="50"/>
      <c r="AC795" s="116"/>
      <c r="AD795" s="24"/>
      <c r="AE795" s="24"/>
      <c r="AF795" s="50"/>
      <c r="AG795" s="50"/>
      <c r="AH795" s="50"/>
      <c r="AI795" s="50"/>
      <c r="AJ795" s="50"/>
      <c r="AK795" s="50"/>
      <c r="AL795" s="50"/>
    </row>
    <row r="796" spans="1:38" ht="13.8">
      <c r="A796" s="73"/>
      <c r="B796" s="74"/>
      <c r="C796" s="116"/>
      <c r="D796" s="24"/>
      <c r="E796" s="24"/>
      <c r="F796" s="24"/>
      <c r="G796" s="24"/>
      <c r="H796" s="24"/>
      <c r="I796" s="24"/>
      <c r="J796" s="63"/>
      <c r="K796" s="24"/>
      <c r="L796" s="118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119"/>
      <c r="X796" s="50"/>
      <c r="Y796" s="50"/>
      <c r="Z796" s="50"/>
      <c r="AA796" s="50"/>
      <c r="AB796" s="50"/>
      <c r="AC796" s="116"/>
      <c r="AD796" s="24"/>
      <c r="AE796" s="24"/>
      <c r="AF796" s="50"/>
      <c r="AG796" s="50"/>
      <c r="AH796" s="50"/>
      <c r="AI796" s="50"/>
      <c r="AJ796" s="50"/>
      <c r="AK796" s="50"/>
      <c r="AL796" s="50"/>
    </row>
    <row r="797" spans="1:38" ht="13.8">
      <c r="A797" s="73"/>
      <c r="B797" s="74"/>
      <c r="C797" s="116"/>
      <c r="D797" s="24"/>
      <c r="E797" s="24"/>
      <c r="F797" s="24"/>
      <c r="G797" s="24"/>
      <c r="H797" s="24"/>
      <c r="I797" s="24"/>
      <c r="J797" s="63"/>
      <c r="K797" s="24"/>
      <c r="L797" s="118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119"/>
      <c r="X797" s="50"/>
      <c r="Y797" s="50"/>
      <c r="Z797" s="50"/>
      <c r="AA797" s="50"/>
      <c r="AB797" s="50"/>
      <c r="AC797" s="116"/>
      <c r="AD797" s="24"/>
      <c r="AE797" s="24"/>
      <c r="AF797" s="50"/>
      <c r="AG797" s="50"/>
      <c r="AH797" s="50"/>
      <c r="AI797" s="50"/>
      <c r="AJ797" s="50"/>
      <c r="AK797" s="50"/>
      <c r="AL797" s="50"/>
    </row>
    <row r="798" spans="1:38" ht="13.8">
      <c r="A798" s="73"/>
      <c r="B798" s="74"/>
      <c r="C798" s="116"/>
      <c r="D798" s="24"/>
      <c r="E798" s="24"/>
      <c r="F798" s="24"/>
      <c r="G798" s="24"/>
      <c r="H798" s="24"/>
      <c r="I798" s="24"/>
      <c r="J798" s="63"/>
      <c r="K798" s="24"/>
      <c r="L798" s="118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119"/>
      <c r="X798" s="50"/>
      <c r="Y798" s="50"/>
      <c r="Z798" s="50"/>
      <c r="AA798" s="50"/>
      <c r="AB798" s="50"/>
      <c r="AC798" s="116"/>
      <c r="AD798" s="24"/>
      <c r="AE798" s="24"/>
      <c r="AF798" s="50"/>
      <c r="AG798" s="50"/>
      <c r="AH798" s="50"/>
      <c r="AI798" s="50"/>
      <c r="AJ798" s="50"/>
      <c r="AK798" s="50"/>
      <c r="AL798" s="50"/>
    </row>
    <row r="799" spans="1:38" ht="13.8">
      <c r="A799" s="73"/>
      <c r="B799" s="74"/>
      <c r="C799" s="116"/>
      <c r="D799" s="24"/>
      <c r="E799" s="24"/>
      <c r="F799" s="24"/>
      <c r="G799" s="24"/>
      <c r="H799" s="24"/>
      <c r="I799" s="24"/>
      <c r="J799" s="63"/>
      <c r="K799" s="24"/>
      <c r="L799" s="118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119"/>
      <c r="X799" s="50"/>
      <c r="Y799" s="50"/>
      <c r="Z799" s="50"/>
      <c r="AA799" s="50"/>
      <c r="AB799" s="50"/>
      <c r="AC799" s="116"/>
      <c r="AD799" s="24"/>
      <c r="AE799" s="24"/>
      <c r="AF799" s="50"/>
      <c r="AG799" s="50"/>
      <c r="AH799" s="50"/>
      <c r="AI799" s="50"/>
      <c r="AJ799" s="50"/>
      <c r="AK799" s="50"/>
      <c r="AL799" s="50"/>
    </row>
    <row r="800" spans="1:38" ht="13.8">
      <c r="A800" s="73"/>
      <c r="B800" s="74"/>
      <c r="C800" s="116"/>
      <c r="D800" s="24"/>
      <c r="E800" s="24"/>
      <c r="F800" s="24"/>
      <c r="G800" s="24"/>
      <c r="H800" s="24"/>
      <c r="I800" s="24"/>
      <c r="J800" s="63"/>
      <c r="K800" s="24"/>
      <c r="L800" s="118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119"/>
      <c r="X800" s="50"/>
      <c r="Y800" s="50"/>
      <c r="Z800" s="50"/>
      <c r="AA800" s="50"/>
      <c r="AB800" s="50"/>
      <c r="AC800" s="116"/>
      <c r="AD800" s="24"/>
      <c r="AE800" s="24"/>
      <c r="AF800" s="50"/>
      <c r="AG800" s="50"/>
      <c r="AH800" s="50"/>
      <c r="AI800" s="50"/>
      <c r="AJ800" s="50"/>
      <c r="AK800" s="50"/>
      <c r="AL800" s="50"/>
    </row>
    <row r="801" spans="1:38" ht="13.8">
      <c r="A801" s="73"/>
      <c r="B801" s="74"/>
      <c r="C801" s="116"/>
      <c r="D801" s="24"/>
      <c r="E801" s="24"/>
      <c r="F801" s="24"/>
      <c r="G801" s="24"/>
      <c r="H801" s="24"/>
      <c r="I801" s="24"/>
      <c r="J801" s="63"/>
      <c r="K801" s="24"/>
      <c r="L801" s="118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119"/>
      <c r="X801" s="50"/>
      <c r="Y801" s="50"/>
      <c r="Z801" s="50"/>
      <c r="AA801" s="50"/>
      <c r="AB801" s="50"/>
      <c r="AC801" s="116"/>
      <c r="AD801" s="24"/>
      <c r="AE801" s="24"/>
      <c r="AF801" s="50"/>
      <c r="AG801" s="50"/>
      <c r="AH801" s="50"/>
      <c r="AI801" s="50"/>
      <c r="AJ801" s="50"/>
      <c r="AK801" s="50"/>
      <c r="AL801" s="50"/>
    </row>
    <row r="802" spans="1:38" ht="13.8">
      <c r="A802" s="73"/>
      <c r="B802" s="74"/>
      <c r="C802" s="116"/>
      <c r="D802" s="24"/>
      <c r="E802" s="24"/>
      <c r="F802" s="24"/>
      <c r="G802" s="24"/>
      <c r="H802" s="24"/>
      <c r="I802" s="24"/>
      <c r="J802" s="63"/>
      <c r="K802" s="24"/>
      <c r="L802" s="118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119"/>
      <c r="X802" s="50"/>
      <c r="Y802" s="50"/>
      <c r="Z802" s="50"/>
      <c r="AA802" s="50"/>
      <c r="AB802" s="50"/>
      <c r="AC802" s="116"/>
      <c r="AD802" s="24"/>
      <c r="AE802" s="24"/>
      <c r="AF802" s="50"/>
      <c r="AG802" s="50"/>
      <c r="AH802" s="50"/>
      <c r="AI802" s="50"/>
      <c r="AJ802" s="50"/>
      <c r="AK802" s="50"/>
      <c r="AL802" s="50"/>
    </row>
    <row r="803" spans="1:38" ht="13.8">
      <c r="A803" s="73"/>
      <c r="B803" s="74"/>
      <c r="C803" s="116"/>
      <c r="D803" s="24"/>
      <c r="E803" s="24"/>
      <c r="F803" s="24"/>
      <c r="G803" s="24"/>
      <c r="H803" s="24"/>
      <c r="I803" s="24"/>
      <c r="J803" s="63"/>
      <c r="K803" s="24"/>
      <c r="L803" s="118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119"/>
      <c r="X803" s="50"/>
      <c r="Y803" s="50"/>
      <c r="Z803" s="50"/>
      <c r="AA803" s="50"/>
      <c r="AB803" s="50"/>
      <c r="AC803" s="116"/>
      <c r="AD803" s="24"/>
      <c r="AE803" s="24"/>
      <c r="AF803" s="50"/>
      <c r="AG803" s="50"/>
      <c r="AH803" s="50"/>
      <c r="AI803" s="50"/>
      <c r="AJ803" s="50"/>
      <c r="AK803" s="50"/>
      <c r="AL803" s="50"/>
    </row>
    <row r="804" spans="1:38" ht="13.8">
      <c r="A804" s="73"/>
      <c r="B804" s="74"/>
      <c r="C804" s="116"/>
      <c r="D804" s="24"/>
      <c r="E804" s="24"/>
      <c r="F804" s="24"/>
      <c r="G804" s="24"/>
      <c r="H804" s="24"/>
      <c r="I804" s="24"/>
      <c r="J804" s="63"/>
      <c r="K804" s="24"/>
      <c r="L804" s="118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119"/>
      <c r="X804" s="50"/>
      <c r="Y804" s="50"/>
      <c r="Z804" s="50"/>
      <c r="AA804" s="50"/>
      <c r="AB804" s="50"/>
      <c r="AC804" s="116"/>
      <c r="AD804" s="24"/>
      <c r="AE804" s="24"/>
      <c r="AF804" s="50"/>
      <c r="AG804" s="50"/>
      <c r="AH804" s="50"/>
      <c r="AI804" s="50"/>
      <c r="AJ804" s="50"/>
      <c r="AK804" s="50"/>
      <c r="AL804" s="50"/>
    </row>
    <row r="805" spans="1:38" ht="13.8">
      <c r="A805" s="73"/>
      <c r="B805" s="74"/>
      <c r="C805" s="116"/>
      <c r="D805" s="24"/>
      <c r="E805" s="24"/>
      <c r="F805" s="24"/>
      <c r="G805" s="24"/>
      <c r="H805" s="24"/>
      <c r="I805" s="24"/>
      <c r="J805" s="63"/>
      <c r="K805" s="24"/>
      <c r="L805" s="118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119"/>
      <c r="X805" s="50"/>
      <c r="Y805" s="50"/>
      <c r="Z805" s="50"/>
      <c r="AA805" s="50"/>
      <c r="AB805" s="50"/>
      <c r="AC805" s="116"/>
      <c r="AD805" s="24"/>
      <c r="AE805" s="24"/>
      <c r="AF805" s="50"/>
      <c r="AG805" s="50"/>
      <c r="AH805" s="50"/>
      <c r="AI805" s="50"/>
      <c r="AJ805" s="50"/>
      <c r="AK805" s="50"/>
      <c r="AL805" s="50"/>
    </row>
    <row r="806" spans="1:38" ht="13.8">
      <c r="A806" s="73"/>
      <c r="B806" s="74"/>
      <c r="C806" s="116"/>
      <c r="D806" s="24"/>
      <c r="E806" s="24"/>
      <c r="F806" s="24"/>
      <c r="G806" s="24"/>
      <c r="H806" s="24"/>
      <c r="I806" s="24"/>
      <c r="J806" s="63"/>
      <c r="K806" s="24"/>
      <c r="L806" s="118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119"/>
      <c r="X806" s="50"/>
      <c r="Y806" s="50"/>
      <c r="Z806" s="50"/>
      <c r="AA806" s="50"/>
      <c r="AB806" s="50"/>
      <c r="AC806" s="116"/>
      <c r="AD806" s="24"/>
      <c r="AE806" s="24"/>
      <c r="AF806" s="50"/>
      <c r="AG806" s="50"/>
      <c r="AH806" s="50"/>
      <c r="AI806" s="50"/>
      <c r="AJ806" s="50"/>
      <c r="AK806" s="50"/>
      <c r="AL806" s="50"/>
    </row>
    <row r="807" spans="1:38" ht="13.8">
      <c r="A807" s="73"/>
      <c r="B807" s="74"/>
      <c r="C807" s="116"/>
      <c r="D807" s="24"/>
      <c r="E807" s="24"/>
      <c r="F807" s="24"/>
      <c r="G807" s="24"/>
      <c r="H807" s="24"/>
      <c r="I807" s="24"/>
      <c r="J807" s="63"/>
      <c r="K807" s="24"/>
      <c r="L807" s="118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119"/>
      <c r="X807" s="50"/>
      <c r="Y807" s="50"/>
      <c r="Z807" s="50"/>
      <c r="AA807" s="50"/>
      <c r="AB807" s="50"/>
      <c r="AC807" s="116"/>
      <c r="AD807" s="24"/>
      <c r="AE807" s="24"/>
      <c r="AF807" s="50"/>
      <c r="AG807" s="50"/>
      <c r="AH807" s="50"/>
      <c r="AI807" s="50"/>
      <c r="AJ807" s="50"/>
      <c r="AK807" s="50"/>
      <c r="AL807" s="50"/>
    </row>
    <row r="808" spans="1:38" ht="13.8">
      <c r="A808" s="73"/>
      <c r="B808" s="74"/>
      <c r="C808" s="116"/>
      <c r="D808" s="24"/>
      <c r="E808" s="24"/>
      <c r="F808" s="24"/>
      <c r="G808" s="24"/>
      <c r="H808" s="24"/>
      <c r="I808" s="24"/>
      <c r="J808" s="63"/>
      <c r="K808" s="24"/>
      <c r="L808" s="118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119"/>
      <c r="X808" s="50"/>
      <c r="Y808" s="50"/>
      <c r="Z808" s="50"/>
      <c r="AA808" s="50"/>
      <c r="AB808" s="50"/>
      <c r="AC808" s="116"/>
      <c r="AD808" s="24"/>
      <c r="AE808" s="24"/>
      <c r="AF808" s="50"/>
      <c r="AG808" s="50"/>
      <c r="AH808" s="50"/>
      <c r="AI808" s="50"/>
      <c r="AJ808" s="50"/>
      <c r="AK808" s="50"/>
      <c r="AL808" s="50"/>
    </row>
    <row r="809" spans="1:38" ht="13.8">
      <c r="A809" s="73"/>
      <c r="B809" s="74"/>
      <c r="C809" s="116"/>
      <c r="D809" s="24"/>
      <c r="E809" s="24"/>
      <c r="F809" s="24"/>
      <c r="G809" s="24"/>
      <c r="H809" s="24"/>
      <c r="I809" s="24"/>
      <c r="J809" s="63"/>
      <c r="K809" s="24"/>
      <c r="L809" s="118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119"/>
      <c r="X809" s="50"/>
      <c r="Y809" s="50"/>
      <c r="Z809" s="50"/>
      <c r="AA809" s="50"/>
      <c r="AB809" s="50"/>
      <c r="AC809" s="116"/>
      <c r="AD809" s="24"/>
      <c r="AE809" s="24"/>
      <c r="AF809" s="50"/>
      <c r="AG809" s="50"/>
      <c r="AH809" s="50"/>
      <c r="AI809" s="50"/>
      <c r="AJ809" s="50"/>
      <c r="AK809" s="50"/>
      <c r="AL809" s="50"/>
    </row>
    <row r="810" spans="1:38" ht="13.8">
      <c r="A810" s="73"/>
      <c r="B810" s="74"/>
      <c r="C810" s="116"/>
      <c r="D810" s="24"/>
      <c r="E810" s="24"/>
      <c r="F810" s="24"/>
      <c r="G810" s="24"/>
      <c r="H810" s="24"/>
      <c r="I810" s="24"/>
      <c r="J810" s="63"/>
      <c r="K810" s="24"/>
      <c r="L810" s="118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119"/>
      <c r="X810" s="50"/>
      <c r="Y810" s="50"/>
      <c r="Z810" s="50"/>
      <c r="AA810" s="50"/>
      <c r="AB810" s="50"/>
      <c r="AC810" s="116"/>
      <c r="AD810" s="24"/>
      <c r="AE810" s="24"/>
      <c r="AF810" s="50"/>
      <c r="AG810" s="50"/>
      <c r="AH810" s="50"/>
      <c r="AI810" s="50"/>
      <c r="AJ810" s="50"/>
      <c r="AK810" s="50"/>
      <c r="AL810" s="50"/>
    </row>
    <row r="811" spans="1:38" ht="13.8">
      <c r="A811" s="73"/>
      <c r="B811" s="74"/>
      <c r="C811" s="116"/>
      <c r="D811" s="24"/>
      <c r="E811" s="24"/>
      <c r="F811" s="24"/>
      <c r="G811" s="24"/>
      <c r="H811" s="24"/>
      <c r="I811" s="24"/>
      <c r="J811" s="63"/>
      <c r="K811" s="24"/>
      <c r="L811" s="118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119"/>
      <c r="X811" s="50"/>
      <c r="Y811" s="50"/>
      <c r="Z811" s="50"/>
      <c r="AA811" s="50"/>
      <c r="AB811" s="50"/>
      <c r="AC811" s="116"/>
      <c r="AD811" s="24"/>
      <c r="AE811" s="24"/>
      <c r="AF811" s="50"/>
      <c r="AG811" s="50"/>
      <c r="AH811" s="50"/>
      <c r="AI811" s="50"/>
      <c r="AJ811" s="50"/>
      <c r="AK811" s="50"/>
      <c r="AL811" s="50"/>
    </row>
    <row r="812" spans="1:38" ht="13.8">
      <c r="A812" s="73"/>
      <c r="B812" s="74"/>
      <c r="C812" s="116"/>
      <c r="D812" s="24"/>
      <c r="E812" s="24"/>
      <c r="F812" s="24"/>
      <c r="G812" s="24"/>
      <c r="H812" s="24"/>
      <c r="I812" s="24"/>
      <c r="J812" s="63"/>
      <c r="K812" s="24"/>
      <c r="L812" s="118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119"/>
      <c r="X812" s="50"/>
      <c r="Y812" s="50"/>
      <c r="Z812" s="50"/>
      <c r="AA812" s="50"/>
      <c r="AB812" s="50"/>
      <c r="AC812" s="116"/>
      <c r="AD812" s="24"/>
      <c r="AE812" s="24"/>
      <c r="AF812" s="50"/>
      <c r="AG812" s="50"/>
      <c r="AH812" s="50"/>
      <c r="AI812" s="50"/>
      <c r="AJ812" s="50"/>
      <c r="AK812" s="50"/>
      <c r="AL812" s="50"/>
    </row>
    <row r="813" spans="1:38" ht="13.8">
      <c r="A813" s="73"/>
      <c r="B813" s="74"/>
      <c r="C813" s="116"/>
      <c r="D813" s="24"/>
      <c r="E813" s="24"/>
      <c r="F813" s="24"/>
      <c r="G813" s="24"/>
      <c r="H813" s="24"/>
      <c r="I813" s="24"/>
      <c r="J813" s="63"/>
      <c r="K813" s="24"/>
      <c r="L813" s="118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119"/>
      <c r="X813" s="50"/>
      <c r="Y813" s="50"/>
      <c r="Z813" s="50"/>
      <c r="AA813" s="50"/>
      <c r="AB813" s="50"/>
      <c r="AC813" s="116"/>
      <c r="AD813" s="24"/>
      <c r="AE813" s="24"/>
      <c r="AF813" s="50"/>
      <c r="AG813" s="50"/>
      <c r="AH813" s="50"/>
      <c r="AI813" s="50"/>
      <c r="AJ813" s="50"/>
      <c r="AK813" s="50"/>
      <c r="AL813" s="50"/>
    </row>
    <row r="814" spans="1:38" ht="13.8">
      <c r="A814" s="73"/>
      <c r="B814" s="74"/>
      <c r="C814" s="116"/>
      <c r="D814" s="24"/>
      <c r="E814" s="24"/>
      <c r="F814" s="24"/>
      <c r="G814" s="24"/>
      <c r="H814" s="24"/>
      <c r="I814" s="24"/>
      <c r="J814" s="63"/>
      <c r="K814" s="24"/>
      <c r="L814" s="118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119"/>
      <c r="X814" s="50"/>
      <c r="Y814" s="50"/>
      <c r="Z814" s="50"/>
      <c r="AA814" s="50"/>
      <c r="AB814" s="50"/>
      <c r="AC814" s="116"/>
      <c r="AD814" s="24"/>
      <c r="AE814" s="24"/>
      <c r="AF814" s="50"/>
      <c r="AG814" s="50"/>
      <c r="AH814" s="50"/>
      <c r="AI814" s="50"/>
      <c r="AJ814" s="50"/>
      <c r="AK814" s="50"/>
      <c r="AL814" s="50"/>
    </row>
    <row r="815" spans="1:38" ht="13.8">
      <c r="A815" s="73"/>
      <c r="B815" s="74"/>
      <c r="C815" s="116"/>
      <c r="D815" s="24"/>
      <c r="E815" s="24"/>
      <c r="F815" s="24"/>
      <c r="G815" s="24"/>
      <c r="H815" s="24"/>
      <c r="I815" s="24"/>
      <c r="J815" s="63"/>
      <c r="K815" s="24"/>
      <c r="L815" s="118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119"/>
      <c r="X815" s="50"/>
      <c r="Y815" s="50"/>
      <c r="Z815" s="50"/>
      <c r="AA815" s="50"/>
      <c r="AB815" s="50"/>
      <c r="AC815" s="116"/>
      <c r="AD815" s="24"/>
      <c r="AE815" s="24"/>
      <c r="AF815" s="50"/>
      <c r="AG815" s="50"/>
      <c r="AH815" s="50"/>
      <c r="AI815" s="50"/>
      <c r="AJ815" s="50"/>
      <c r="AK815" s="50"/>
      <c r="AL815" s="50"/>
    </row>
    <row r="816" spans="1:38" ht="13.8">
      <c r="A816" s="73"/>
      <c r="B816" s="74"/>
      <c r="C816" s="116"/>
      <c r="D816" s="24"/>
      <c r="E816" s="24"/>
      <c r="F816" s="24"/>
      <c r="G816" s="24"/>
      <c r="H816" s="24"/>
      <c r="I816" s="24"/>
      <c r="J816" s="63"/>
      <c r="K816" s="24"/>
      <c r="L816" s="118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119"/>
      <c r="X816" s="50"/>
      <c r="Y816" s="50"/>
      <c r="Z816" s="50"/>
      <c r="AA816" s="50"/>
      <c r="AB816" s="50"/>
      <c r="AC816" s="116"/>
      <c r="AD816" s="24"/>
      <c r="AE816" s="24"/>
      <c r="AF816" s="50"/>
      <c r="AG816" s="50"/>
      <c r="AH816" s="50"/>
      <c r="AI816" s="50"/>
      <c r="AJ816" s="50"/>
      <c r="AK816" s="50"/>
      <c r="AL816" s="50"/>
    </row>
    <row r="817" spans="1:38" ht="13.8">
      <c r="A817" s="73"/>
      <c r="B817" s="74"/>
      <c r="C817" s="116"/>
      <c r="D817" s="24"/>
      <c r="E817" s="24"/>
      <c r="F817" s="24"/>
      <c r="G817" s="24"/>
      <c r="H817" s="24"/>
      <c r="I817" s="24"/>
      <c r="J817" s="63"/>
      <c r="K817" s="24"/>
      <c r="L817" s="118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119"/>
      <c r="X817" s="50"/>
      <c r="Y817" s="50"/>
      <c r="Z817" s="50"/>
      <c r="AA817" s="50"/>
      <c r="AB817" s="50"/>
      <c r="AC817" s="116"/>
      <c r="AD817" s="24"/>
      <c r="AE817" s="24"/>
      <c r="AF817" s="50"/>
      <c r="AG817" s="50"/>
      <c r="AH817" s="50"/>
      <c r="AI817" s="50"/>
      <c r="AJ817" s="50"/>
      <c r="AK817" s="50"/>
      <c r="AL817" s="50"/>
    </row>
    <row r="818" spans="1:38" ht="13.8">
      <c r="A818" s="73"/>
      <c r="B818" s="74"/>
      <c r="C818" s="116"/>
      <c r="D818" s="24"/>
      <c r="E818" s="24"/>
      <c r="F818" s="24"/>
      <c r="G818" s="24"/>
      <c r="H818" s="24"/>
      <c r="I818" s="24"/>
      <c r="J818" s="63"/>
      <c r="K818" s="24"/>
      <c r="L818" s="118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119"/>
      <c r="X818" s="50"/>
      <c r="Y818" s="50"/>
      <c r="Z818" s="50"/>
      <c r="AA818" s="50"/>
      <c r="AB818" s="50"/>
      <c r="AC818" s="116"/>
      <c r="AD818" s="24"/>
      <c r="AE818" s="24"/>
      <c r="AF818" s="50"/>
      <c r="AG818" s="50"/>
      <c r="AH818" s="50"/>
      <c r="AI818" s="50"/>
      <c r="AJ818" s="50"/>
      <c r="AK818" s="50"/>
      <c r="AL818" s="50"/>
    </row>
    <row r="819" spans="1:38" ht="13.8">
      <c r="A819" s="73"/>
      <c r="B819" s="74"/>
      <c r="C819" s="116"/>
      <c r="D819" s="24"/>
      <c r="E819" s="24"/>
      <c r="F819" s="24"/>
      <c r="G819" s="24"/>
      <c r="H819" s="24"/>
      <c r="I819" s="24"/>
      <c r="J819" s="63"/>
      <c r="K819" s="24"/>
      <c r="L819" s="118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119"/>
      <c r="X819" s="50"/>
      <c r="Y819" s="50"/>
      <c r="Z819" s="50"/>
      <c r="AA819" s="50"/>
      <c r="AB819" s="50"/>
      <c r="AC819" s="116"/>
      <c r="AD819" s="24"/>
      <c r="AE819" s="24"/>
      <c r="AF819" s="50"/>
      <c r="AG819" s="50"/>
      <c r="AH819" s="50"/>
      <c r="AI819" s="50"/>
      <c r="AJ819" s="50"/>
      <c r="AK819" s="50"/>
      <c r="AL819" s="50"/>
    </row>
    <row r="820" spans="1:38" ht="13.8">
      <c r="A820" s="73"/>
      <c r="B820" s="74"/>
      <c r="C820" s="116"/>
      <c r="D820" s="24"/>
      <c r="E820" s="24"/>
      <c r="F820" s="24"/>
      <c r="G820" s="24"/>
      <c r="H820" s="24"/>
      <c r="I820" s="24"/>
      <c r="J820" s="63"/>
      <c r="K820" s="24"/>
      <c r="L820" s="118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119"/>
      <c r="X820" s="50"/>
      <c r="Y820" s="50"/>
      <c r="Z820" s="50"/>
      <c r="AA820" s="50"/>
      <c r="AB820" s="50"/>
      <c r="AC820" s="116"/>
      <c r="AD820" s="24"/>
      <c r="AE820" s="24"/>
      <c r="AF820" s="50"/>
      <c r="AG820" s="50"/>
      <c r="AH820" s="50"/>
      <c r="AI820" s="50"/>
      <c r="AJ820" s="50"/>
      <c r="AK820" s="50"/>
      <c r="AL820" s="50"/>
    </row>
    <row r="821" spans="1:38" ht="13.8">
      <c r="A821" s="73"/>
      <c r="B821" s="74"/>
      <c r="C821" s="116"/>
      <c r="D821" s="24"/>
      <c r="E821" s="24"/>
      <c r="F821" s="24"/>
      <c r="G821" s="24"/>
      <c r="H821" s="24"/>
      <c r="I821" s="24"/>
      <c r="J821" s="63"/>
      <c r="K821" s="24"/>
      <c r="L821" s="118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119"/>
      <c r="X821" s="50"/>
      <c r="Y821" s="50"/>
      <c r="Z821" s="50"/>
      <c r="AA821" s="50"/>
      <c r="AB821" s="50"/>
      <c r="AC821" s="116"/>
      <c r="AD821" s="24"/>
      <c r="AE821" s="24"/>
      <c r="AF821" s="50"/>
      <c r="AG821" s="50"/>
      <c r="AH821" s="50"/>
      <c r="AI821" s="50"/>
      <c r="AJ821" s="50"/>
      <c r="AK821" s="50"/>
      <c r="AL821" s="50"/>
    </row>
    <row r="822" spans="1:38" ht="13.8">
      <c r="A822" s="73"/>
      <c r="B822" s="74"/>
      <c r="C822" s="116"/>
      <c r="D822" s="24"/>
      <c r="E822" s="24"/>
      <c r="F822" s="24"/>
      <c r="G822" s="24"/>
      <c r="H822" s="24"/>
      <c r="I822" s="24"/>
      <c r="J822" s="63"/>
      <c r="K822" s="24"/>
      <c r="L822" s="118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119"/>
      <c r="X822" s="50"/>
      <c r="Y822" s="50"/>
      <c r="Z822" s="50"/>
      <c r="AA822" s="50"/>
      <c r="AB822" s="50"/>
      <c r="AC822" s="116"/>
      <c r="AD822" s="24"/>
      <c r="AE822" s="24"/>
      <c r="AF822" s="50"/>
      <c r="AG822" s="50"/>
      <c r="AH822" s="50"/>
      <c r="AI822" s="50"/>
      <c r="AJ822" s="50"/>
      <c r="AK822" s="50"/>
      <c r="AL822" s="50"/>
    </row>
    <row r="823" spans="1:38" ht="13.8">
      <c r="A823" s="73"/>
      <c r="B823" s="74"/>
      <c r="C823" s="116"/>
      <c r="D823" s="24"/>
      <c r="E823" s="24"/>
      <c r="F823" s="24"/>
      <c r="G823" s="24"/>
      <c r="H823" s="24"/>
      <c r="I823" s="24"/>
      <c r="J823" s="63"/>
      <c r="K823" s="24"/>
      <c r="L823" s="118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119"/>
      <c r="X823" s="50"/>
      <c r="Y823" s="50"/>
      <c r="Z823" s="50"/>
      <c r="AA823" s="50"/>
      <c r="AB823" s="50"/>
      <c r="AC823" s="116"/>
      <c r="AD823" s="24"/>
      <c r="AE823" s="24"/>
      <c r="AF823" s="50"/>
      <c r="AG823" s="50"/>
      <c r="AH823" s="50"/>
      <c r="AI823" s="50"/>
      <c r="AJ823" s="50"/>
      <c r="AK823" s="50"/>
      <c r="AL823" s="50"/>
    </row>
    <row r="824" spans="1:38" ht="13.8">
      <c r="A824" s="73"/>
      <c r="B824" s="74"/>
      <c r="C824" s="116"/>
      <c r="D824" s="24"/>
      <c r="E824" s="24"/>
      <c r="F824" s="24"/>
      <c r="G824" s="24"/>
      <c r="H824" s="24"/>
      <c r="I824" s="24"/>
      <c r="J824" s="63"/>
      <c r="K824" s="24"/>
      <c r="L824" s="118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119"/>
      <c r="X824" s="50"/>
      <c r="Y824" s="50"/>
      <c r="Z824" s="50"/>
      <c r="AA824" s="50"/>
      <c r="AB824" s="50"/>
      <c r="AC824" s="116"/>
      <c r="AD824" s="24"/>
      <c r="AE824" s="24"/>
      <c r="AF824" s="50"/>
      <c r="AG824" s="50"/>
      <c r="AH824" s="50"/>
      <c r="AI824" s="50"/>
      <c r="AJ824" s="50"/>
      <c r="AK824" s="50"/>
      <c r="AL824" s="50"/>
    </row>
    <row r="825" spans="1:38" ht="13.8">
      <c r="A825" s="73"/>
      <c r="B825" s="74"/>
      <c r="C825" s="116"/>
      <c r="D825" s="24"/>
      <c r="E825" s="24"/>
      <c r="F825" s="24"/>
      <c r="G825" s="24"/>
      <c r="H825" s="24"/>
      <c r="I825" s="24"/>
      <c r="J825" s="63"/>
      <c r="K825" s="24"/>
      <c r="L825" s="118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119"/>
      <c r="X825" s="50"/>
      <c r="Y825" s="50"/>
      <c r="Z825" s="50"/>
      <c r="AA825" s="50"/>
      <c r="AB825" s="50"/>
      <c r="AC825" s="116"/>
      <c r="AD825" s="24"/>
      <c r="AE825" s="24"/>
      <c r="AF825" s="50"/>
      <c r="AG825" s="50"/>
      <c r="AH825" s="50"/>
      <c r="AI825" s="50"/>
      <c r="AJ825" s="50"/>
      <c r="AK825" s="50"/>
      <c r="AL825" s="50"/>
    </row>
    <row r="826" spans="1:38" ht="13.8">
      <c r="A826" s="73"/>
      <c r="B826" s="74"/>
      <c r="C826" s="116"/>
      <c r="D826" s="24"/>
      <c r="E826" s="24"/>
      <c r="F826" s="24"/>
      <c r="G826" s="24"/>
      <c r="H826" s="24"/>
      <c r="I826" s="24"/>
      <c r="J826" s="63"/>
      <c r="K826" s="24"/>
      <c r="L826" s="118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119"/>
      <c r="X826" s="50"/>
      <c r="Y826" s="50"/>
      <c r="Z826" s="50"/>
      <c r="AA826" s="50"/>
      <c r="AB826" s="50"/>
      <c r="AC826" s="116"/>
      <c r="AD826" s="24"/>
      <c r="AE826" s="24"/>
      <c r="AF826" s="50"/>
      <c r="AG826" s="50"/>
      <c r="AH826" s="50"/>
      <c r="AI826" s="50"/>
      <c r="AJ826" s="50"/>
      <c r="AK826" s="50"/>
      <c r="AL826" s="50"/>
    </row>
    <row r="827" spans="1:38" ht="13.8">
      <c r="A827" s="73"/>
      <c r="B827" s="74"/>
      <c r="C827" s="116"/>
      <c r="D827" s="24"/>
      <c r="E827" s="24"/>
      <c r="F827" s="24"/>
      <c r="G827" s="24"/>
      <c r="H827" s="24"/>
      <c r="I827" s="24"/>
      <c r="J827" s="63"/>
      <c r="K827" s="24"/>
      <c r="L827" s="118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119"/>
      <c r="X827" s="50"/>
      <c r="Y827" s="50"/>
      <c r="Z827" s="50"/>
      <c r="AA827" s="50"/>
      <c r="AB827" s="50"/>
      <c r="AC827" s="116"/>
      <c r="AD827" s="24"/>
      <c r="AE827" s="24"/>
      <c r="AF827" s="50"/>
      <c r="AG827" s="50"/>
      <c r="AH827" s="50"/>
      <c r="AI827" s="50"/>
      <c r="AJ827" s="50"/>
      <c r="AK827" s="50"/>
      <c r="AL827" s="50"/>
    </row>
    <row r="828" spans="1:38" ht="13.8">
      <c r="A828" s="73"/>
      <c r="B828" s="74"/>
      <c r="C828" s="116"/>
      <c r="D828" s="24"/>
      <c r="E828" s="24"/>
      <c r="F828" s="24"/>
      <c r="G828" s="24"/>
      <c r="H828" s="24"/>
      <c r="I828" s="24"/>
      <c r="J828" s="63"/>
      <c r="K828" s="24"/>
      <c r="L828" s="118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119"/>
      <c r="X828" s="50"/>
      <c r="Y828" s="50"/>
      <c r="Z828" s="50"/>
      <c r="AA828" s="50"/>
      <c r="AB828" s="50"/>
      <c r="AC828" s="116"/>
      <c r="AD828" s="24"/>
      <c r="AE828" s="24"/>
      <c r="AF828" s="50"/>
      <c r="AG828" s="50"/>
      <c r="AH828" s="50"/>
      <c r="AI828" s="50"/>
      <c r="AJ828" s="50"/>
      <c r="AK828" s="50"/>
      <c r="AL828" s="50"/>
    </row>
    <row r="829" spans="1:38" ht="13.8">
      <c r="A829" s="73"/>
      <c r="B829" s="74"/>
      <c r="C829" s="116"/>
      <c r="D829" s="24"/>
      <c r="E829" s="24"/>
      <c r="F829" s="24"/>
      <c r="G829" s="24"/>
      <c r="H829" s="24"/>
      <c r="I829" s="24"/>
      <c r="J829" s="63"/>
      <c r="K829" s="24"/>
      <c r="L829" s="118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119"/>
      <c r="X829" s="50"/>
      <c r="Y829" s="50"/>
      <c r="Z829" s="50"/>
      <c r="AA829" s="50"/>
      <c r="AB829" s="50"/>
      <c r="AC829" s="116"/>
      <c r="AD829" s="24"/>
      <c r="AE829" s="24"/>
      <c r="AF829" s="50"/>
      <c r="AG829" s="50"/>
      <c r="AH829" s="50"/>
      <c r="AI829" s="50"/>
      <c r="AJ829" s="50"/>
      <c r="AK829" s="50"/>
      <c r="AL829" s="50"/>
    </row>
    <row r="830" spans="1:38" ht="13.8">
      <c r="A830" s="73"/>
      <c r="B830" s="74"/>
      <c r="C830" s="116"/>
      <c r="D830" s="24"/>
      <c r="E830" s="24"/>
      <c r="F830" s="24"/>
      <c r="G830" s="24"/>
      <c r="H830" s="24"/>
      <c r="I830" s="24"/>
      <c r="J830" s="63"/>
      <c r="K830" s="24"/>
      <c r="L830" s="118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119"/>
      <c r="X830" s="50"/>
      <c r="Y830" s="50"/>
      <c r="Z830" s="50"/>
      <c r="AA830" s="50"/>
      <c r="AB830" s="50"/>
      <c r="AC830" s="116"/>
      <c r="AD830" s="24"/>
      <c r="AE830" s="24"/>
      <c r="AF830" s="50"/>
      <c r="AG830" s="50"/>
      <c r="AH830" s="50"/>
      <c r="AI830" s="50"/>
      <c r="AJ830" s="50"/>
      <c r="AK830" s="50"/>
      <c r="AL830" s="50"/>
    </row>
    <row r="831" spans="1:38" ht="13.8">
      <c r="A831" s="73"/>
      <c r="B831" s="74"/>
      <c r="C831" s="116"/>
      <c r="D831" s="24"/>
      <c r="E831" s="24"/>
      <c r="F831" s="24"/>
      <c r="G831" s="24"/>
      <c r="H831" s="24"/>
      <c r="I831" s="24"/>
      <c r="J831" s="63"/>
      <c r="K831" s="24"/>
      <c r="L831" s="118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119"/>
      <c r="X831" s="50"/>
      <c r="Y831" s="50"/>
      <c r="Z831" s="50"/>
      <c r="AA831" s="50"/>
      <c r="AB831" s="50"/>
      <c r="AC831" s="116"/>
      <c r="AD831" s="24"/>
      <c r="AE831" s="24"/>
      <c r="AF831" s="50"/>
      <c r="AG831" s="50"/>
      <c r="AH831" s="50"/>
      <c r="AI831" s="50"/>
      <c r="AJ831" s="50"/>
      <c r="AK831" s="50"/>
      <c r="AL831" s="50"/>
    </row>
    <row r="832" spans="1:38" ht="13.8">
      <c r="A832" s="73"/>
      <c r="B832" s="74"/>
      <c r="C832" s="116"/>
      <c r="D832" s="24"/>
      <c r="E832" s="24"/>
      <c r="F832" s="24"/>
      <c r="G832" s="24"/>
      <c r="H832" s="24"/>
      <c r="I832" s="24"/>
      <c r="J832" s="63"/>
      <c r="K832" s="24"/>
      <c r="L832" s="118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119"/>
      <c r="X832" s="50"/>
      <c r="Y832" s="50"/>
      <c r="Z832" s="50"/>
      <c r="AA832" s="50"/>
      <c r="AB832" s="50"/>
      <c r="AC832" s="116"/>
      <c r="AD832" s="24"/>
      <c r="AE832" s="24"/>
      <c r="AF832" s="50"/>
      <c r="AG832" s="50"/>
      <c r="AH832" s="50"/>
      <c r="AI832" s="50"/>
      <c r="AJ832" s="50"/>
      <c r="AK832" s="50"/>
      <c r="AL832" s="50"/>
    </row>
    <row r="833" spans="1:38" ht="13.8">
      <c r="A833" s="73"/>
      <c r="B833" s="74"/>
      <c r="C833" s="116"/>
      <c r="D833" s="24"/>
      <c r="E833" s="24"/>
      <c r="F833" s="24"/>
      <c r="G833" s="24"/>
      <c r="H833" s="24"/>
      <c r="I833" s="24"/>
      <c r="J833" s="63"/>
      <c r="K833" s="24"/>
      <c r="L833" s="118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119"/>
      <c r="X833" s="50"/>
      <c r="Y833" s="50"/>
      <c r="Z833" s="50"/>
      <c r="AA833" s="50"/>
      <c r="AB833" s="50"/>
      <c r="AC833" s="116"/>
      <c r="AD833" s="24"/>
      <c r="AE833" s="24"/>
      <c r="AF833" s="50"/>
      <c r="AG833" s="50"/>
      <c r="AH833" s="50"/>
      <c r="AI833" s="50"/>
      <c r="AJ833" s="50"/>
      <c r="AK833" s="50"/>
      <c r="AL833" s="50"/>
    </row>
    <row r="834" spans="1:38" ht="13.8">
      <c r="A834" s="73"/>
      <c r="B834" s="74"/>
      <c r="C834" s="116"/>
      <c r="D834" s="24"/>
      <c r="E834" s="24"/>
      <c r="F834" s="24"/>
      <c r="G834" s="24"/>
      <c r="H834" s="24"/>
      <c r="I834" s="24"/>
      <c r="J834" s="63"/>
      <c r="K834" s="24"/>
      <c r="L834" s="118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119"/>
      <c r="X834" s="50"/>
      <c r="Y834" s="50"/>
      <c r="Z834" s="50"/>
      <c r="AA834" s="50"/>
      <c r="AB834" s="50"/>
      <c r="AC834" s="116"/>
      <c r="AD834" s="24"/>
      <c r="AE834" s="24"/>
      <c r="AF834" s="50"/>
      <c r="AG834" s="50"/>
      <c r="AH834" s="50"/>
      <c r="AI834" s="50"/>
      <c r="AJ834" s="50"/>
      <c r="AK834" s="50"/>
      <c r="AL834" s="50"/>
    </row>
    <row r="835" spans="1:38" ht="13.8">
      <c r="A835" s="73"/>
      <c r="B835" s="74"/>
      <c r="C835" s="116"/>
      <c r="D835" s="24"/>
      <c r="E835" s="24"/>
      <c r="F835" s="24"/>
      <c r="G835" s="24"/>
      <c r="H835" s="24"/>
      <c r="I835" s="24"/>
      <c r="J835" s="63"/>
      <c r="K835" s="24"/>
      <c r="L835" s="118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119"/>
      <c r="X835" s="50"/>
      <c r="Y835" s="50"/>
      <c r="Z835" s="50"/>
      <c r="AA835" s="50"/>
      <c r="AB835" s="50"/>
      <c r="AC835" s="116"/>
      <c r="AD835" s="24"/>
      <c r="AE835" s="24"/>
      <c r="AF835" s="50"/>
      <c r="AG835" s="50"/>
      <c r="AH835" s="50"/>
      <c r="AI835" s="50"/>
      <c r="AJ835" s="50"/>
      <c r="AK835" s="50"/>
      <c r="AL835" s="50"/>
    </row>
    <row r="836" spans="1:38" ht="13.8">
      <c r="A836" s="73"/>
      <c r="B836" s="74"/>
      <c r="C836" s="116"/>
      <c r="D836" s="24"/>
      <c r="E836" s="24"/>
      <c r="F836" s="24"/>
      <c r="G836" s="24"/>
      <c r="H836" s="24"/>
      <c r="I836" s="24"/>
      <c r="J836" s="63"/>
      <c r="K836" s="24"/>
      <c r="L836" s="118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119"/>
      <c r="X836" s="50"/>
      <c r="Y836" s="50"/>
      <c r="Z836" s="50"/>
      <c r="AA836" s="50"/>
      <c r="AB836" s="50"/>
      <c r="AC836" s="116"/>
      <c r="AD836" s="24"/>
      <c r="AE836" s="24"/>
      <c r="AF836" s="50"/>
      <c r="AG836" s="50"/>
      <c r="AH836" s="50"/>
      <c r="AI836" s="50"/>
      <c r="AJ836" s="50"/>
      <c r="AK836" s="50"/>
      <c r="AL836" s="50"/>
    </row>
    <row r="837" spans="1:38" ht="13.8">
      <c r="A837" s="73"/>
      <c r="B837" s="74"/>
      <c r="C837" s="116"/>
      <c r="D837" s="24"/>
      <c r="E837" s="24"/>
      <c r="F837" s="24"/>
      <c r="G837" s="24"/>
      <c r="H837" s="24"/>
      <c r="I837" s="24"/>
      <c r="J837" s="63"/>
      <c r="K837" s="24"/>
      <c r="L837" s="118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119"/>
      <c r="X837" s="50"/>
      <c r="Y837" s="50"/>
      <c r="Z837" s="50"/>
      <c r="AA837" s="50"/>
      <c r="AB837" s="50"/>
      <c r="AC837" s="116"/>
      <c r="AD837" s="24"/>
      <c r="AE837" s="24"/>
      <c r="AF837" s="50"/>
      <c r="AG837" s="50"/>
      <c r="AH837" s="50"/>
      <c r="AI837" s="50"/>
      <c r="AJ837" s="50"/>
      <c r="AK837" s="50"/>
      <c r="AL837" s="50"/>
    </row>
    <row r="838" spans="1:38" ht="13.8">
      <c r="A838" s="73"/>
      <c r="B838" s="74"/>
      <c r="C838" s="116"/>
      <c r="D838" s="24"/>
      <c r="E838" s="24"/>
      <c r="F838" s="24"/>
      <c r="G838" s="24"/>
      <c r="H838" s="24"/>
      <c r="I838" s="24"/>
      <c r="J838" s="63"/>
      <c r="K838" s="24"/>
      <c r="L838" s="118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119"/>
      <c r="X838" s="50"/>
      <c r="Y838" s="50"/>
      <c r="Z838" s="50"/>
      <c r="AA838" s="50"/>
      <c r="AB838" s="50"/>
      <c r="AC838" s="116"/>
      <c r="AD838" s="24"/>
      <c r="AE838" s="24"/>
      <c r="AF838" s="50"/>
      <c r="AG838" s="50"/>
      <c r="AH838" s="50"/>
      <c r="AI838" s="50"/>
      <c r="AJ838" s="50"/>
      <c r="AK838" s="50"/>
      <c r="AL838" s="50"/>
    </row>
    <row r="839" spans="1:38" ht="13.8">
      <c r="A839" s="73"/>
      <c r="B839" s="74"/>
      <c r="C839" s="116"/>
      <c r="D839" s="24"/>
      <c r="E839" s="24"/>
      <c r="F839" s="24"/>
      <c r="G839" s="24"/>
      <c r="H839" s="24"/>
      <c r="I839" s="24"/>
      <c r="J839" s="63"/>
      <c r="K839" s="24"/>
      <c r="L839" s="118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119"/>
      <c r="X839" s="50"/>
      <c r="Y839" s="50"/>
      <c r="Z839" s="50"/>
      <c r="AA839" s="50"/>
      <c r="AB839" s="50"/>
      <c r="AC839" s="116"/>
      <c r="AD839" s="24"/>
      <c r="AE839" s="24"/>
      <c r="AF839" s="50"/>
      <c r="AG839" s="50"/>
      <c r="AH839" s="50"/>
      <c r="AI839" s="50"/>
      <c r="AJ839" s="50"/>
      <c r="AK839" s="50"/>
      <c r="AL839" s="50"/>
    </row>
    <row r="840" spans="1:38" ht="13.8">
      <c r="A840" s="73"/>
      <c r="B840" s="74"/>
      <c r="C840" s="116"/>
      <c r="D840" s="24"/>
      <c r="E840" s="24"/>
      <c r="F840" s="24"/>
      <c r="G840" s="24"/>
      <c r="H840" s="24"/>
      <c r="I840" s="24"/>
      <c r="J840" s="63"/>
      <c r="K840" s="24"/>
      <c r="L840" s="118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119"/>
      <c r="X840" s="50"/>
      <c r="Y840" s="50"/>
      <c r="Z840" s="50"/>
      <c r="AA840" s="50"/>
      <c r="AB840" s="50"/>
      <c r="AC840" s="116"/>
      <c r="AD840" s="24"/>
      <c r="AE840" s="24"/>
      <c r="AF840" s="50"/>
      <c r="AG840" s="50"/>
      <c r="AH840" s="50"/>
      <c r="AI840" s="50"/>
      <c r="AJ840" s="50"/>
      <c r="AK840" s="50"/>
      <c r="AL840" s="50"/>
    </row>
    <row r="841" spans="1:38" ht="13.8">
      <c r="A841" s="73"/>
      <c r="B841" s="74"/>
      <c r="C841" s="116"/>
      <c r="D841" s="24"/>
      <c r="E841" s="24"/>
      <c r="F841" s="24"/>
      <c r="G841" s="24"/>
      <c r="H841" s="24"/>
      <c r="I841" s="24"/>
      <c r="J841" s="63"/>
      <c r="K841" s="24"/>
      <c r="L841" s="118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119"/>
      <c r="X841" s="50"/>
      <c r="Y841" s="50"/>
      <c r="Z841" s="50"/>
      <c r="AA841" s="50"/>
      <c r="AB841" s="50"/>
      <c r="AC841" s="116"/>
      <c r="AD841" s="24"/>
      <c r="AE841" s="24"/>
      <c r="AF841" s="50"/>
      <c r="AG841" s="50"/>
      <c r="AH841" s="50"/>
      <c r="AI841" s="50"/>
      <c r="AJ841" s="50"/>
      <c r="AK841" s="50"/>
      <c r="AL841" s="50"/>
    </row>
    <row r="842" spans="1:38" ht="13.8">
      <c r="A842" s="73"/>
      <c r="B842" s="74"/>
      <c r="C842" s="116"/>
      <c r="D842" s="24"/>
      <c r="E842" s="24"/>
      <c r="F842" s="24"/>
      <c r="G842" s="24"/>
      <c r="H842" s="24"/>
      <c r="I842" s="24"/>
      <c r="J842" s="63"/>
      <c r="K842" s="24"/>
      <c r="L842" s="118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119"/>
      <c r="X842" s="50"/>
      <c r="Y842" s="50"/>
      <c r="Z842" s="50"/>
      <c r="AA842" s="50"/>
      <c r="AB842" s="50"/>
      <c r="AC842" s="116"/>
      <c r="AD842" s="24"/>
      <c r="AE842" s="24"/>
      <c r="AF842" s="50"/>
      <c r="AG842" s="50"/>
      <c r="AH842" s="50"/>
      <c r="AI842" s="50"/>
      <c r="AJ842" s="50"/>
      <c r="AK842" s="50"/>
      <c r="AL842" s="50"/>
    </row>
    <row r="843" spans="1:38" ht="13.8">
      <c r="A843" s="73"/>
      <c r="B843" s="74"/>
      <c r="C843" s="116"/>
      <c r="D843" s="24"/>
      <c r="E843" s="24"/>
      <c r="F843" s="24"/>
      <c r="G843" s="24"/>
      <c r="H843" s="24"/>
      <c r="I843" s="24"/>
      <c r="J843" s="63"/>
      <c r="K843" s="24"/>
      <c r="L843" s="118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119"/>
      <c r="X843" s="50"/>
      <c r="Y843" s="50"/>
      <c r="Z843" s="50"/>
      <c r="AA843" s="50"/>
      <c r="AB843" s="50"/>
      <c r="AC843" s="116"/>
      <c r="AD843" s="24"/>
      <c r="AE843" s="24"/>
      <c r="AF843" s="50"/>
      <c r="AG843" s="50"/>
      <c r="AH843" s="50"/>
      <c r="AI843" s="50"/>
      <c r="AJ843" s="50"/>
      <c r="AK843" s="50"/>
      <c r="AL843" s="50"/>
    </row>
    <row r="844" spans="1:38" ht="13.8">
      <c r="A844" s="73"/>
      <c r="B844" s="74"/>
      <c r="C844" s="116"/>
      <c r="D844" s="24"/>
      <c r="E844" s="24"/>
      <c r="F844" s="24"/>
      <c r="G844" s="24"/>
      <c r="H844" s="24"/>
      <c r="I844" s="24"/>
      <c r="J844" s="63"/>
      <c r="K844" s="24"/>
      <c r="L844" s="118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119"/>
      <c r="X844" s="50"/>
      <c r="Y844" s="50"/>
      <c r="Z844" s="50"/>
      <c r="AA844" s="50"/>
      <c r="AB844" s="50"/>
      <c r="AC844" s="116"/>
      <c r="AD844" s="24"/>
      <c r="AE844" s="24"/>
      <c r="AF844" s="50"/>
      <c r="AG844" s="50"/>
      <c r="AH844" s="50"/>
      <c r="AI844" s="50"/>
      <c r="AJ844" s="50"/>
      <c r="AK844" s="50"/>
      <c r="AL844" s="50"/>
    </row>
    <row r="845" spans="1:38" ht="13.8">
      <c r="A845" s="73"/>
      <c r="B845" s="74"/>
      <c r="C845" s="116"/>
      <c r="D845" s="24"/>
      <c r="E845" s="24"/>
      <c r="F845" s="24"/>
      <c r="G845" s="24"/>
      <c r="H845" s="24"/>
      <c r="I845" s="24"/>
      <c r="J845" s="63"/>
      <c r="K845" s="24"/>
      <c r="L845" s="118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119"/>
      <c r="X845" s="50"/>
      <c r="Y845" s="50"/>
      <c r="Z845" s="50"/>
      <c r="AA845" s="50"/>
      <c r="AB845" s="50"/>
      <c r="AC845" s="116"/>
      <c r="AD845" s="24"/>
      <c r="AE845" s="24"/>
      <c r="AF845" s="50"/>
      <c r="AG845" s="50"/>
      <c r="AH845" s="50"/>
      <c r="AI845" s="50"/>
      <c r="AJ845" s="50"/>
      <c r="AK845" s="50"/>
      <c r="AL845" s="50"/>
    </row>
    <row r="846" spans="1:38" ht="13.8">
      <c r="A846" s="73"/>
      <c r="B846" s="74"/>
      <c r="C846" s="116"/>
      <c r="D846" s="24"/>
      <c r="E846" s="24"/>
      <c r="F846" s="24"/>
      <c r="G846" s="24"/>
      <c r="H846" s="24"/>
      <c r="I846" s="24"/>
      <c r="J846" s="63"/>
      <c r="K846" s="24"/>
      <c r="L846" s="118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119"/>
      <c r="X846" s="50"/>
      <c r="Y846" s="50"/>
      <c r="Z846" s="50"/>
      <c r="AA846" s="50"/>
      <c r="AB846" s="50"/>
      <c r="AC846" s="116"/>
      <c r="AD846" s="24"/>
      <c r="AE846" s="24"/>
      <c r="AF846" s="50"/>
      <c r="AG846" s="50"/>
      <c r="AH846" s="50"/>
      <c r="AI846" s="50"/>
      <c r="AJ846" s="50"/>
      <c r="AK846" s="50"/>
      <c r="AL846" s="50"/>
    </row>
    <row r="847" spans="1:38" ht="13.8">
      <c r="A847" s="73"/>
      <c r="B847" s="74"/>
      <c r="C847" s="116"/>
      <c r="D847" s="24"/>
      <c r="E847" s="24"/>
      <c r="F847" s="24"/>
      <c r="G847" s="24"/>
      <c r="H847" s="24"/>
      <c r="I847" s="24"/>
      <c r="J847" s="63"/>
      <c r="K847" s="24"/>
      <c r="L847" s="118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119"/>
      <c r="X847" s="50"/>
      <c r="Y847" s="50"/>
      <c r="Z847" s="50"/>
      <c r="AA847" s="50"/>
      <c r="AB847" s="50"/>
      <c r="AC847" s="116"/>
      <c r="AD847" s="24"/>
      <c r="AE847" s="24"/>
      <c r="AF847" s="50"/>
      <c r="AG847" s="50"/>
      <c r="AH847" s="50"/>
      <c r="AI847" s="50"/>
      <c r="AJ847" s="50"/>
      <c r="AK847" s="50"/>
      <c r="AL847" s="50"/>
    </row>
    <row r="848" spans="1:38" ht="13.8">
      <c r="A848" s="73"/>
      <c r="B848" s="74"/>
      <c r="C848" s="116"/>
      <c r="D848" s="24"/>
      <c r="E848" s="24"/>
      <c r="F848" s="24"/>
      <c r="G848" s="24"/>
      <c r="H848" s="24"/>
      <c r="I848" s="24"/>
      <c r="J848" s="63"/>
      <c r="K848" s="24"/>
      <c r="L848" s="118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119"/>
      <c r="X848" s="50"/>
      <c r="Y848" s="50"/>
      <c r="Z848" s="50"/>
      <c r="AA848" s="50"/>
      <c r="AB848" s="50"/>
      <c r="AC848" s="116"/>
      <c r="AD848" s="24"/>
      <c r="AE848" s="24"/>
      <c r="AF848" s="50"/>
      <c r="AG848" s="50"/>
      <c r="AH848" s="50"/>
      <c r="AI848" s="50"/>
      <c r="AJ848" s="50"/>
      <c r="AK848" s="50"/>
      <c r="AL848" s="50"/>
    </row>
    <row r="849" spans="1:38" ht="13.8">
      <c r="A849" s="73"/>
      <c r="B849" s="74"/>
      <c r="C849" s="116"/>
      <c r="D849" s="24"/>
      <c r="E849" s="24"/>
      <c r="F849" s="24"/>
      <c r="G849" s="24"/>
      <c r="H849" s="24"/>
      <c r="I849" s="24"/>
      <c r="J849" s="63"/>
      <c r="K849" s="24"/>
      <c r="L849" s="118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119"/>
      <c r="X849" s="50"/>
      <c r="Y849" s="50"/>
      <c r="Z849" s="50"/>
      <c r="AA849" s="50"/>
      <c r="AB849" s="50"/>
      <c r="AC849" s="116"/>
      <c r="AD849" s="24"/>
      <c r="AE849" s="24"/>
      <c r="AF849" s="50"/>
      <c r="AG849" s="50"/>
      <c r="AH849" s="50"/>
      <c r="AI849" s="50"/>
      <c r="AJ849" s="50"/>
      <c r="AK849" s="50"/>
      <c r="AL849" s="50"/>
    </row>
    <row r="850" spans="1:38" ht="13.8">
      <c r="A850" s="73"/>
      <c r="B850" s="74"/>
      <c r="C850" s="116"/>
      <c r="D850" s="24"/>
      <c r="E850" s="24"/>
      <c r="F850" s="24"/>
      <c r="G850" s="24"/>
      <c r="H850" s="24"/>
      <c r="I850" s="24"/>
      <c r="J850" s="63"/>
      <c r="K850" s="24"/>
      <c r="L850" s="118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119"/>
      <c r="X850" s="50"/>
      <c r="Y850" s="50"/>
      <c r="Z850" s="50"/>
      <c r="AA850" s="50"/>
      <c r="AB850" s="50"/>
      <c r="AC850" s="116"/>
      <c r="AD850" s="24"/>
      <c r="AE850" s="24"/>
      <c r="AF850" s="50"/>
      <c r="AG850" s="50"/>
      <c r="AH850" s="50"/>
      <c r="AI850" s="50"/>
      <c r="AJ850" s="50"/>
      <c r="AK850" s="50"/>
      <c r="AL850" s="50"/>
    </row>
    <row r="851" spans="1:38" ht="13.8">
      <c r="A851" s="73"/>
      <c r="B851" s="74"/>
      <c r="C851" s="116"/>
      <c r="D851" s="24"/>
      <c r="E851" s="24"/>
      <c r="F851" s="24"/>
      <c r="G851" s="24"/>
      <c r="H851" s="24"/>
      <c r="I851" s="24"/>
      <c r="J851" s="63"/>
      <c r="K851" s="24"/>
      <c r="L851" s="118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119"/>
      <c r="X851" s="50"/>
      <c r="Y851" s="50"/>
      <c r="Z851" s="50"/>
      <c r="AA851" s="50"/>
      <c r="AB851" s="50"/>
      <c r="AC851" s="116"/>
      <c r="AD851" s="24"/>
      <c r="AE851" s="24"/>
      <c r="AF851" s="50"/>
      <c r="AG851" s="50"/>
      <c r="AH851" s="50"/>
      <c r="AI851" s="50"/>
      <c r="AJ851" s="50"/>
      <c r="AK851" s="50"/>
      <c r="AL851" s="50"/>
    </row>
    <row r="852" spans="1:38" ht="13.8">
      <c r="A852" s="73"/>
      <c r="B852" s="74"/>
      <c r="C852" s="116"/>
      <c r="D852" s="24"/>
      <c r="E852" s="24"/>
      <c r="F852" s="24"/>
      <c r="G852" s="24"/>
      <c r="H852" s="24"/>
      <c r="I852" s="24"/>
      <c r="J852" s="63"/>
      <c r="K852" s="24"/>
      <c r="L852" s="118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119"/>
      <c r="X852" s="50"/>
      <c r="Y852" s="50"/>
      <c r="Z852" s="50"/>
      <c r="AA852" s="50"/>
      <c r="AB852" s="50"/>
      <c r="AC852" s="116"/>
      <c r="AD852" s="24"/>
      <c r="AE852" s="24"/>
      <c r="AF852" s="50"/>
      <c r="AG852" s="50"/>
      <c r="AH852" s="50"/>
      <c r="AI852" s="50"/>
      <c r="AJ852" s="50"/>
      <c r="AK852" s="50"/>
      <c r="AL852" s="50"/>
    </row>
    <row r="853" spans="1:38" ht="13.8">
      <c r="A853" s="73"/>
      <c r="B853" s="74"/>
      <c r="C853" s="116"/>
      <c r="D853" s="24"/>
      <c r="E853" s="24"/>
      <c r="F853" s="24"/>
      <c r="G853" s="24"/>
      <c r="H853" s="24"/>
      <c r="I853" s="24"/>
      <c r="J853" s="63"/>
      <c r="K853" s="24"/>
      <c r="L853" s="118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119"/>
      <c r="X853" s="50"/>
      <c r="Y853" s="50"/>
      <c r="Z853" s="50"/>
      <c r="AA853" s="50"/>
      <c r="AB853" s="50"/>
      <c r="AC853" s="116"/>
      <c r="AD853" s="24"/>
      <c r="AE853" s="24"/>
      <c r="AF853" s="50"/>
      <c r="AG853" s="50"/>
      <c r="AH853" s="50"/>
      <c r="AI853" s="50"/>
      <c r="AJ853" s="50"/>
      <c r="AK853" s="50"/>
      <c r="AL853" s="50"/>
    </row>
    <row r="854" spans="1:38" ht="13.8">
      <c r="A854" s="73"/>
      <c r="B854" s="74"/>
      <c r="C854" s="116"/>
      <c r="D854" s="24"/>
      <c r="E854" s="24"/>
      <c r="F854" s="24"/>
      <c r="G854" s="24"/>
      <c r="H854" s="24"/>
      <c r="I854" s="24"/>
      <c r="J854" s="63"/>
      <c r="K854" s="24"/>
      <c r="L854" s="118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119"/>
      <c r="X854" s="50"/>
      <c r="Y854" s="50"/>
      <c r="Z854" s="50"/>
      <c r="AA854" s="50"/>
      <c r="AB854" s="50"/>
      <c r="AC854" s="116"/>
      <c r="AD854" s="24"/>
      <c r="AE854" s="24"/>
      <c r="AF854" s="50"/>
      <c r="AG854" s="50"/>
      <c r="AH854" s="50"/>
      <c r="AI854" s="50"/>
      <c r="AJ854" s="50"/>
      <c r="AK854" s="50"/>
      <c r="AL854" s="50"/>
    </row>
    <row r="855" spans="1:38" ht="13.8">
      <c r="A855" s="73"/>
      <c r="B855" s="74"/>
      <c r="C855" s="116"/>
      <c r="D855" s="24"/>
      <c r="E855" s="24"/>
      <c r="F855" s="24"/>
      <c r="G855" s="24"/>
      <c r="H855" s="24"/>
      <c r="I855" s="24"/>
      <c r="J855" s="63"/>
      <c r="K855" s="24"/>
      <c r="L855" s="118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119"/>
      <c r="X855" s="50"/>
      <c r="Y855" s="50"/>
      <c r="Z855" s="50"/>
      <c r="AA855" s="50"/>
      <c r="AB855" s="50"/>
      <c r="AC855" s="116"/>
      <c r="AD855" s="24"/>
      <c r="AE855" s="24"/>
      <c r="AF855" s="50"/>
      <c r="AG855" s="50"/>
      <c r="AH855" s="50"/>
      <c r="AI855" s="50"/>
      <c r="AJ855" s="50"/>
      <c r="AK855" s="50"/>
      <c r="AL855" s="50"/>
    </row>
    <row r="856" spans="1:38" ht="13.8">
      <c r="A856" s="73"/>
      <c r="B856" s="74"/>
      <c r="C856" s="116"/>
      <c r="D856" s="24"/>
      <c r="E856" s="24"/>
      <c r="F856" s="24"/>
      <c r="G856" s="24"/>
      <c r="H856" s="24"/>
      <c r="I856" s="24"/>
      <c r="J856" s="63"/>
      <c r="K856" s="24"/>
      <c r="L856" s="118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119"/>
      <c r="X856" s="50"/>
      <c r="Y856" s="50"/>
      <c r="Z856" s="50"/>
      <c r="AA856" s="50"/>
      <c r="AB856" s="50"/>
      <c r="AC856" s="116"/>
      <c r="AD856" s="24"/>
      <c r="AE856" s="24"/>
      <c r="AF856" s="50"/>
      <c r="AG856" s="50"/>
      <c r="AH856" s="50"/>
      <c r="AI856" s="50"/>
      <c r="AJ856" s="50"/>
      <c r="AK856" s="50"/>
      <c r="AL856" s="50"/>
    </row>
    <row r="857" spans="1:38" ht="13.8">
      <c r="A857" s="73"/>
      <c r="B857" s="74"/>
      <c r="C857" s="116"/>
      <c r="D857" s="24"/>
      <c r="E857" s="24"/>
      <c r="F857" s="24"/>
      <c r="G857" s="24"/>
      <c r="H857" s="24"/>
      <c r="I857" s="24"/>
      <c r="J857" s="63"/>
      <c r="K857" s="24"/>
      <c r="L857" s="118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119"/>
      <c r="X857" s="50"/>
      <c r="Y857" s="50"/>
      <c r="Z857" s="50"/>
      <c r="AA857" s="50"/>
      <c r="AB857" s="50"/>
      <c r="AC857" s="116"/>
      <c r="AD857" s="24"/>
      <c r="AE857" s="24"/>
      <c r="AF857" s="50"/>
      <c r="AG857" s="50"/>
      <c r="AH857" s="50"/>
      <c r="AI857" s="50"/>
      <c r="AJ857" s="50"/>
      <c r="AK857" s="50"/>
      <c r="AL857" s="50"/>
    </row>
    <row r="858" spans="1:38" ht="13.8">
      <c r="A858" s="73"/>
      <c r="B858" s="74"/>
      <c r="C858" s="116"/>
      <c r="D858" s="24"/>
      <c r="E858" s="24"/>
      <c r="F858" s="24"/>
      <c r="G858" s="24"/>
      <c r="H858" s="24"/>
      <c r="I858" s="24"/>
      <c r="J858" s="63"/>
      <c r="K858" s="24"/>
      <c r="L858" s="118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119"/>
      <c r="X858" s="50"/>
      <c r="Y858" s="50"/>
      <c r="Z858" s="50"/>
      <c r="AA858" s="50"/>
      <c r="AB858" s="50"/>
      <c r="AC858" s="116"/>
      <c r="AD858" s="24"/>
      <c r="AE858" s="24"/>
      <c r="AF858" s="50"/>
      <c r="AG858" s="50"/>
      <c r="AH858" s="50"/>
      <c r="AI858" s="50"/>
      <c r="AJ858" s="50"/>
      <c r="AK858" s="50"/>
      <c r="AL858" s="50"/>
    </row>
    <row r="859" spans="1:38" ht="13.8">
      <c r="A859" s="73"/>
      <c r="B859" s="74"/>
      <c r="C859" s="116"/>
      <c r="D859" s="24"/>
      <c r="E859" s="24"/>
      <c r="F859" s="24"/>
      <c r="G859" s="24"/>
      <c r="H859" s="24"/>
      <c r="I859" s="24"/>
      <c r="J859" s="63"/>
      <c r="K859" s="24"/>
      <c r="L859" s="118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119"/>
      <c r="X859" s="50"/>
      <c r="Y859" s="50"/>
      <c r="Z859" s="50"/>
      <c r="AA859" s="50"/>
      <c r="AB859" s="50"/>
      <c r="AC859" s="116"/>
      <c r="AD859" s="24"/>
      <c r="AE859" s="24"/>
      <c r="AF859" s="50"/>
      <c r="AG859" s="50"/>
      <c r="AH859" s="50"/>
      <c r="AI859" s="50"/>
      <c r="AJ859" s="50"/>
      <c r="AK859" s="50"/>
      <c r="AL859" s="50"/>
    </row>
    <row r="860" spans="1:38" ht="13.8">
      <c r="A860" s="73"/>
      <c r="B860" s="74"/>
      <c r="C860" s="116"/>
      <c r="D860" s="24"/>
      <c r="E860" s="24"/>
      <c r="F860" s="24"/>
      <c r="G860" s="24"/>
      <c r="H860" s="24"/>
      <c r="I860" s="24"/>
      <c r="J860" s="63"/>
      <c r="K860" s="24"/>
      <c r="L860" s="118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119"/>
      <c r="X860" s="50"/>
      <c r="Y860" s="50"/>
      <c r="Z860" s="50"/>
      <c r="AA860" s="50"/>
      <c r="AB860" s="50"/>
      <c r="AC860" s="116"/>
      <c r="AD860" s="24"/>
      <c r="AE860" s="24"/>
      <c r="AF860" s="50"/>
      <c r="AG860" s="50"/>
      <c r="AH860" s="50"/>
      <c r="AI860" s="50"/>
      <c r="AJ860" s="50"/>
      <c r="AK860" s="50"/>
      <c r="AL860" s="50"/>
    </row>
    <row r="861" spans="1:38" ht="13.8">
      <c r="A861" s="73"/>
      <c r="B861" s="74"/>
      <c r="C861" s="116"/>
      <c r="D861" s="24"/>
      <c r="E861" s="24"/>
      <c r="F861" s="24"/>
      <c r="G861" s="24"/>
      <c r="H861" s="24"/>
      <c r="I861" s="24"/>
      <c r="J861" s="63"/>
      <c r="K861" s="24"/>
      <c r="L861" s="118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119"/>
      <c r="X861" s="50"/>
      <c r="Y861" s="50"/>
      <c r="Z861" s="50"/>
      <c r="AA861" s="50"/>
      <c r="AB861" s="50"/>
      <c r="AC861" s="116"/>
      <c r="AD861" s="24"/>
      <c r="AE861" s="24"/>
      <c r="AF861" s="50"/>
      <c r="AG861" s="50"/>
      <c r="AH861" s="50"/>
      <c r="AI861" s="50"/>
      <c r="AJ861" s="50"/>
      <c r="AK861" s="50"/>
      <c r="AL861" s="50"/>
    </row>
    <row r="862" spans="1:38" ht="13.8">
      <c r="A862" s="73"/>
      <c r="B862" s="74"/>
      <c r="C862" s="116"/>
      <c r="D862" s="24"/>
      <c r="E862" s="24"/>
      <c r="F862" s="24"/>
      <c r="G862" s="24"/>
      <c r="H862" s="24"/>
      <c r="I862" s="24"/>
      <c r="J862" s="63"/>
      <c r="K862" s="24"/>
      <c r="L862" s="118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119"/>
      <c r="X862" s="50"/>
      <c r="Y862" s="50"/>
      <c r="Z862" s="50"/>
      <c r="AA862" s="50"/>
      <c r="AB862" s="50"/>
      <c r="AC862" s="116"/>
      <c r="AD862" s="24"/>
      <c r="AE862" s="24"/>
      <c r="AF862" s="50"/>
      <c r="AG862" s="50"/>
      <c r="AH862" s="50"/>
      <c r="AI862" s="50"/>
      <c r="AJ862" s="50"/>
      <c r="AK862" s="50"/>
      <c r="AL862" s="50"/>
    </row>
    <row r="863" spans="1:38" ht="13.8">
      <c r="A863" s="73"/>
      <c r="B863" s="74"/>
      <c r="C863" s="116"/>
      <c r="D863" s="24"/>
      <c r="E863" s="24"/>
      <c r="F863" s="24"/>
      <c r="G863" s="24"/>
      <c r="H863" s="24"/>
      <c r="I863" s="24"/>
      <c r="J863" s="63"/>
      <c r="K863" s="24"/>
      <c r="L863" s="118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119"/>
      <c r="X863" s="50"/>
      <c r="Y863" s="50"/>
      <c r="Z863" s="50"/>
      <c r="AA863" s="50"/>
      <c r="AB863" s="50"/>
      <c r="AC863" s="116"/>
      <c r="AD863" s="24"/>
      <c r="AE863" s="24"/>
      <c r="AF863" s="50"/>
      <c r="AG863" s="50"/>
      <c r="AH863" s="50"/>
      <c r="AI863" s="50"/>
      <c r="AJ863" s="50"/>
      <c r="AK863" s="50"/>
      <c r="AL863" s="50"/>
    </row>
    <row r="864" spans="1:38" ht="13.8">
      <c r="A864" s="73"/>
      <c r="B864" s="74"/>
      <c r="C864" s="116"/>
      <c r="D864" s="24"/>
      <c r="E864" s="24"/>
      <c r="F864" s="24"/>
      <c r="G864" s="24"/>
      <c r="H864" s="24"/>
      <c r="I864" s="24"/>
      <c r="J864" s="63"/>
      <c r="K864" s="24"/>
      <c r="L864" s="118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119"/>
      <c r="X864" s="50"/>
      <c r="Y864" s="50"/>
      <c r="Z864" s="50"/>
      <c r="AA864" s="50"/>
      <c r="AB864" s="50"/>
      <c r="AC864" s="116"/>
      <c r="AD864" s="24"/>
      <c r="AE864" s="24"/>
      <c r="AF864" s="50"/>
      <c r="AG864" s="50"/>
      <c r="AH864" s="50"/>
      <c r="AI864" s="50"/>
      <c r="AJ864" s="50"/>
      <c r="AK864" s="50"/>
      <c r="AL864" s="50"/>
    </row>
    <row r="865" spans="1:38" ht="13.8">
      <c r="A865" s="73"/>
      <c r="B865" s="74"/>
      <c r="C865" s="116"/>
      <c r="D865" s="24"/>
      <c r="E865" s="24"/>
      <c r="F865" s="24"/>
      <c r="G865" s="24"/>
      <c r="H865" s="24"/>
      <c r="I865" s="24"/>
      <c r="J865" s="63"/>
      <c r="K865" s="24"/>
      <c r="L865" s="118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119"/>
      <c r="X865" s="50"/>
      <c r="Y865" s="50"/>
      <c r="Z865" s="50"/>
      <c r="AA865" s="50"/>
      <c r="AB865" s="50"/>
      <c r="AC865" s="116"/>
      <c r="AD865" s="24"/>
      <c r="AE865" s="24"/>
      <c r="AF865" s="50"/>
      <c r="AG865" s="50"/>
      <c r="AH865" s="50"/>
      <c r="AI865" s="50"/>
      <c r="AJ865" s="50"/>
      <c r="AK865" s="50"/>
      <c r="AL865" s="50"/>
    </row>
    <row r="866" spans="1:38" ht="13.8">
      <c r="A866" s="73"/>
      <c r="B866" s="74"/>
      <c r="C866" s="116"/>
      <c r="D866" s="24"/>
      <c r="E866" s="24"/>
      <c r="F866" s="24"/>
      <c r="G866" s="24"/>
      <c r="H866" s="24"/>
      <c r="I866" s="24"/>
      <c r="J866" s="63"/>
      <c r="K866" s="24"/>
      <c r="L866" s="118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119"/>
      <c r="X866" s="50"/>
      <c r="Y866" s="50"/>
      <c r="Z866" s="50"/>
      <c r="AA866" s="50"/>
      <c r="AB866" s="50"/>
      <c r="AC866" s="116"/>
      <c r="AD866" s="24"/>
      <c r="AE866" s="24"/>
      <c r="AF866" s="50"/>
      <c r="AG866" s="50"/>
      <c r="AH866" s="50"/>
      <c r="AI866" s="50"/>
      <c r="AJ866" s="50"/>
      <c r="AK866" s="50"/>
      <c r="AL866" s="50"/>
    </row>
    <row r="867" spans="1:38" ht="13.8">
      <c r="A867" s="73"/>
      <c r="B867" s="74"/>
      <c r="C867" s="116"/>
      <c r="D867" s="24"/>
      <c r="E867" s="24"/>
      <c r="F867" s="24"/>
      <c r="G867" s="24"/>
      <c r="H867" s="24"/>
      <c r="I867" s="24"/>
      <c r="J867" s="63"/>
      <c r="K867" s="24"/>
      <c r="L867" s="118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119"/>
      <c r="X867" s="50"/>
      <c r="Y867" s="50"/>
      <c r="Z867" s="50"/>
      <c r="AA867" s="50"/>
      <c r="AB867" s="50"/>
      <c r="AC867" s="116"/>
      <c r="AD867" s="24"/>
      <c r="AE867" s="24"/>
      <c r="AF867" s="50"/>
      <c r="AG867" s="50"/>
      <c r="AH867" s="50"/>
      <c r="AI867" s="50"/>
      <c r="AJ867" s="50"/>
      <c r="AK867" s="50"/>
      <c r="AL867" s="50"/>
    </row>
    <row r="868" spans="1:38" ht="13.8">
      <c r="A868" s="73"/>
      <c r="B868" s="74"/>
      <c r="C868" s="116"/>
      <c r="D868" s="24"/>
      <c r="E868" s="24"/>
      <c r="F868" s="24"/>
      <c r="G868" s="24"/>
      <c r="H868" s="24"/>
      <c r="I868" s="24"/>
      <c r="J868" s="63"/>
      <c r="K868" s="24"/>
      <c r="L868" s="118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119"/>
      <c r="X868" s="50"/>
      <c r="Y868" s="50"/>
      <c r="Z868" s="50"/>
      <c r="AA868" s="50"/>
      <c r="AB868" s="50"/>
      <c r="AC868" s="116"/>
      <c r="AD868" s="24"/>
      <c r="AE868" s="24"/>
      <c r="AF868" s="50"/>
      <c r="AG868" s="50"/>
      <c r="AH868" s="50"/>
      <c r="AI868" s="50"/>
      <c r="AJ868" s="50"/>
      <c r="AK868" s="50"/>
      <c r="AL868" s="50"/>
    </row>
    <row r="869" spans="1:38" ht="13.8">
      <c r="A869" s="73"/>
      <c r="B869" s="74"/>
      <c r="C869" s="116"/>
      <c r="D869" s="24"/>
      <c r="E869" s="24"/>
      <c r="F869" s="24"/>
      <c r="G869" s="24"/>
      <c r="H869" s="24"/>
      <c r="I869" s="24"/>
      <c r="J869" s="63"/>
      <c r="K869" s="24"/>
      <c r="L869" s="118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119"/>
      <c r="X869" s="50"/>
      <c r="Y869" s="50"/>
      <c r="Z869" s="50"/>
      <c r="AA869" s="50"/>
      <c r="AB869" s="50"/>
      <c r="AC869" s="116"/>
      <c r="AD869" s="24"/>
      <c r="AE869" s="24"/>
      <c r="AF869" s="50"/>
      <c r="AG869" s="50"/>
      <c r="AH869" s="50"/>
      <c r="AI869" s="50"/>
      <c r="AJ869" s="50"/>
      <c r="AK869" s="50"/>
      <c r="AL869" s="50"/>
    </row>
    <row r="870" spans="1:38" ht="13.8">
      <c r="A870" s="73"/>
      <c r="B870" s="74"/>
      <c r="C870" s="116"/>
      <c r="D870" s="24"/>
      <c r="E870" s="24"/>
      <c r="F870" s="24"/>
      <c r="G870" s="24"/>
      <c r="H870" s="24"/>
      <c r="I870" s="24"/>
      <c r="J870" s="63"/>
      <c r="K870" s="24"/>
      <c r="L870" s="118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119"/>
      <c r="X870" s="50"/>
      <c r="Y870" s="50"/>
      <c r="Z870" s="50"/>
      <c r="AA870" s="50"/>
      <c r="AB870" s="50"/>
      <c r="AC870" s="116"/>
      <c r="AD870" s="24"/>
      <c r="AE870" s="24"/>
      <c r="AF870" s="50"/>
      <c r="AG870" s="50"/>
      <c r="AH870" s="50"/>
      <c r="AI870" s="50"/>
      <c r="AJ870" s="50"/>
      <c r="AK870" s="50"/>
      <c r="AL870" s="50"/>
    </row>
    <row r="871" spans="1:38" ht="13.8">
      <c r="A871" s="73"/>
      <c r="B871" s="74"/>
      <c r="C871" s="116"/>
      <c r="D871" s="24"/>
      <c r="E871" s="24"/>
      <c r="F871" s="24"/>
      <c r="G871" s="24"/>
      <c r="H871" s="24"/>
      <c r="I871" s="24"/>
      <c r="J871" s="63"/>
      <c r="K871" s="24"/>
      <c r="L871" s="118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119"/>
      <c r="X871" s="50"/>
      <c r="Y871" s="50"/>
      <c r="Z871" s="50"/>
      <c r="AA871" s="50"/>
      <c r="AB871" s="50"/>
      <c r="AC871" s="116"/>
      <c r="AD871" s="24"/>
      <c r="AE871" s="24"/>
      <c r="AF871" s="50"/>
      <c r="AG871" s="50"/>
      <c r="AH871" s="50"/>
      <c r="AI871" s="50"/>
      <c r="AJ871" s="50"/>
      <c r="AK871" s="50"/>
      <c r="AL871" s="50"/>
    </row>
    <row r="872" spans="1:38" ht="13.8">
      <c r="A872" s="73"/>
      <c r="B872" s="74"/>
      <c r="C872" s="116"/>
      <c r="D872" s="24"/>
      <c r="E872" s="24"/>
      <c r="F872" s="24"/>
      <c r="G872" s="24"/>
      <c r="H872" s="24"/>
      <c r="I872" s="24"/>
      <c r="J872" s="63"/>
      <c r="K872" s="24"/>
      <c r="L872" s="118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119"/>
      <c r="X872" s="50"/>
      <c r="Y872" s="50"/>
      <c r="Z872" s="50"/>
      <c r="AA872" s="50"/>
      <c r="AB872" s="50"/>
      <c r="AC872" s="116"/>
      <c r="AD872" s="24"/>
      <c r="AE872" s="24"/>
      <c r="AF872" s="50"/>
      <c r="AG872" s="50"/>
      <c r="AH872" s="50"/>
      <c r="AI872" s="50"/>
      <c r="AJ872" s="50"/>
      <c r="AK872" s="50"/>
      <c r="AL872" s="50"/>
    </row>
    <row r="873" spans="1:38" ht="13.8">
      <c r="A873" s="73"/>
      <c r="B873" s="74"/>
      <c r="C873" s="116"/>
      <c r="D873" s="24"/>
      <c r="E873" s="24"/>
      <c r="F873" s="24"/>
      <c r="G873" s="24"/>
      <c r="H873" s="24"/>
      <c r="I873" s="24"/>
      <c r="J873" s="63"/>
      <c r="K873" s="24"/>
      <c r="L873" s="118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119"/>
      <c r="X873" s="50"/>
      <c r="Y873" s="50"/>
      <c r="Z873" s="50"/>
      <c r="AA873" s="50"/>
      <c r="AB873" s="50"/>
      <c r="AC873" s="116"/>
      <c r="AD873" s="24"/>
      <c r="AE873" s="24"/>
      <c r="AF873" s="50"/>
      <c r="AG873" s="50"/>
      <c r="AH873" s="50"/>
      <c r="AI873" s="50"/>
      <c r="AJ873" s="50"/>
      <c r="AK873" s="50"/>
      <c r="AL873" s="50"/>
    </row>
    <row r="874" spans="1:38" ht="13.8">
      <c r="A874" s="73"/>
      <c r="B874" s="74"/>
      <c r="C874" s="116"/>
      <c r="D874" s="24"/>
      <c r="E874" s="24"/>
      <c r="F874" s="24"/>
      <c r="G874" s="24"/>
      <c r="H874" s="24"/>
      <c r="I874" s="24"/>
      <c r="J874" s="63"/>
      <c r="K874" s="24"/>
      <c r="L874" s="118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119"/>
      <c r="X874" s="50"/>
      <c r="Y874" s="50"/>
      <c r="Z874" s="50"/>
      <c r="AA874" s="50"/>
      <c r="AB874" s="50"/>
      <c r="AC874" s="116"/>
      <c r="AD874" s="24"/>
      <c r="AE874" s="24"/>
      <c r="AF874" s="50"/>
      <c r="AG874" s="50"/>
      <c r="AH874" s="50"/>
      <c r="AI874" s="50"/>
      <c r="AJ874" s="50"/>
      <c r="AK874" s="50"/>
      <c r="AL874" s="50"/>
    </row>
    <row r="875" spans="1:38" ht="13.8">
      <c r="A875" s="73"/>
      <c r="B875" s="74"/>
      <c r="C875" s="116"/>
      <c r="D875" s="24"/>
      <c r="E875" s="24"/>
      <c r="F875" s="24"/>
      <c r="G875" s="24"/>
      <c r="H875" s="24"/>
      <c r="I875" s="24"/>
      <c r="J875" s="63"/>
      <c r="K875" s="24"/>
      <c r="L875" s="118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119"/>
      <c r="X875" s="50"/>
      <c r="Y875" s="50"/>
      <c r="Z875" s="50"/>
      <c r="AA875" s="50"/>
      <c r="AB875" s="50"/>
      <c r="AC875" s="116"/>
      <c r="AD875" s="24"/>
      <c r="AE875" s="24"/>
      <c r="AF875" s="50"/>
      <c r="AG875" s="50"/>
      <c r="AH875" s="50"/>
      <c r="AI875" s="50"/>
      <c r="AJ875" s="50"/>
      <c r="AK875" s="50"/>
      <c r="AL875" s="50"/>
    </row>
    <row r="876" spans="1:38" ht="13.8">
      <c r="A876" s="73"/>
      <c r="B876" s="74"/>
      <c r="C876" s="116"/>
      <c r="D876" s="24"/>
      <c r="E876" s="24"/>
      <c r="F876" s="24"/>
      <c r="G876" s="24"/>
      <c r="H876" s="24"/>
      <c r="I876" s="24"/>
      <c r="J876" s="63"/>
      <c r="K876" s="24"/>
      <c r="L876" s="118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119"/>
      <c r="X876" s="50"/>
      <c r="Y876" s="50"/>
      <c r="Z876" s="50"/>
      <c r="AA876" s="50"/>
      <c r="AB876" s="50"/>
      <c r="AC876" s="116"/>
      <c r="AD876" s="24"/>
      <c r="AE876" s="24"/>
      <c r="AF876" s="50"/>
      <c r="AG876" s="50"/>
      <c r="AH876" s="50"/>
      <c r="AI876" s="50"/>
      <c r="AJ876" s="50"/>
      <c r="AK876" s="50"/>
      <c r="AL876" s="50"/>
    </row>
    <row r="877" spans="1:38" ht="13.8">
      <c r="A877" s="73"/>
      <c r="B877" s="74"/>
      <c r="C877" s="116"/>
      <c r="D877" s="24"/>
      <c r="E877" s="24"/>
      <c r="F877" s="24"/>
      <c r="G877" s="24"/>
      <c r="H877" s="24"/>
      <c r="I877" s="24"/>
      <c r="J877" s="63"/>
      <c r="K877" s="24"/>
      <c r="L877" s="118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119"/>
      <c r="X877" s="50"/>
      <c r="Y877" s="50"/>
      <c r="Z877" s="50"/>
      <c r="AA877" s="50"/>
      <c r="AB877" s="50"/>
      <c r="AC877" s="116"/>
      <c r="AD877" s="24"/>
      <c r="AE877" s="24"/>
      <c r="AF877" s="50"/>
      <c r="AG877" s="50"/>
      <c r="AH877" s="50"/>
      <c r="AI877" s="50"/>
      <c r="AJ877" s="50"/>
      <c r="AK877" s="50"/>
      <c r="AL877" s="50"/>
    </row>
    <row r="878" spans="1:38" ht="13.8">
      <c r="A878" s="73"/>
      <c r="B878" s="74"/>
      <c r="C878" s="116"/>
      <c r="D878" s="24"/>
      <c r="E878" s="24"/>
      <c r="F878" s="24"/>
      <c r="G878" s="24"/>
      <c r="H878" s="24"/>
      <c r="I878" s="24"/>
      <c r="J878" s="63"/>
      <c r="K878" s="24"/>
      <c r="L878" s="118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119"/>
      <c r="X878" s="50"/>
      <c r="Y878" s="50"/>
      <c r="Z878" s="50"/>
      <c r="AA878" s="50"/>
      <c r="AB878" s="50"/>
      <c r="AC878" s="116"/>
      <c r="AD878" s="24"/>
      <c r="AE878" s="24"/>
      <c r="AF878" s="50"/>
      <c r="AG878" s="50"/>
      <c r="AH878" s="50"/>
      <c r="AI878" s="50"/>
      <c r="AJ878" s="50"/>
      <c r="AK878" s="50"/>
      <c r="AL878" s="50"/>
    </row>
    <row r="879" spans="1:38" ht="13.8">
      <c r="A879" s="73"/>
      <c r="B879" s="74"/>
      <c r="C879" s="116"/>
      <c r="D879" s="24"/>
      <c r="E879" s="24"/>
      <c r="F879" s="24"/>
      <c r="G879" s="24"/>
      <c r="H879" s="24"/>
      <c r="I879" s="24"/>
      <c r="J879" s="63"/>
      <c r="K879" s="24"/>
      <c r="L879" s="118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119"/>
      <c r="X879" s="50"/>
      <c r="Y879" s="50"/>
      <c r="Z879" s="50"/>
      <c r="AA879" s="50"/>
      <c r="AB879" s="50"/>
      <c r="AC879" s="116"/>
      <c r="AD879" s="24"/>
      <c r="AE879" s="24"/>
      <c r="AF879" s="50"/>
      <c r="AG879" s="50"/>
      <c r="AH879" s="50"/>
      <c r="AI879" s="50"/>
      <c r="AJ879" s="50"/>
      <c r="AK879" s="50"/>
      <c r="AL879" s="50"/>
    </row>
    <row r="880" spans="1:38" ht="13.8">
      <c r="A880" s="73"/>
      <c r="B880" s="74"/>
      <c r="C880" s="116"/>
      <c r="D880" s="24"/>
      <c r="E880" s="24"/>
      <c r="F880" s="24"/>
      <c r="G880" s="24"/>
      <c r="H880" s="24"/>
      <c r="I880" s="24"/>
      <c r="J880" s="63"/>
      <c r="K880" s="24"/>
      <c r="L880" s="118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119"/>
      <c r="X880" s="50"/>
      <c r="Y880" s="50"/>
      <c r="Z880" s="50"/>
      <c r="AA880" s="50"/>
      <c r="AB880" s="50"/>
      <c r="AC880" s="116"/>
      <c r="AD880" s="24"/>
      <c r="AE880" s="24"/>
      <c r="AF880" s="50"/>
      <c r="AG880" s="50"/>
      <c r="AH880" s="50"/>
      <c r="AI880" s="50"/>
      <c r="AJ880" s="50"/>
      <c r="AK880" s="50"/>
      <c r="AL880" s="50"/>
    </row>
    <row r="881" spans="1:38" ht="13.8">
      <c r="A881" s="73"/>
      <c r="B881" s="74"/>
      <c r="C881" s="116"/>
      <c r="D881" s="24"/>
      <c r="E881" s="24"/>
      <c r="F881" s="24"/>
      <c r="G881" s="24"/>
      <c r="H881" s="24"/>
      <c r="I881" s="24"/>
      <c r="J881" s="63"/>
      <c r="K881" s="24"/>
      <c r="L881" s="118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119"/>
      <c r="X881" s="50"/>
      <c r="Y881" s="50"/>
      <c r="Z881" s="50"/>
      <c r="AA881" s="50"/>
      <c r="AB881" s="50"/>
      <c r="AC881" s="116"/>
      <c r="AD881" s="24"/>
      <c r="AE881" s="24"/>
      <c r="AF881" s="50"/>
      <c r="AG881" s="50"/>
      <c r="AH881" s="50"/>
      <c r="AI881" s="50"/>
      <c r="AJ881" s="50"/>
      <c r="AK881" s="50"/>
      <c r="AL881" s="50"/>
    </row>
    <row r="882" spans="1:38" ht="13.8">
      <c r="A882" s="73"/>
      <c r="B882" s="74"/>
      <c r="C882" s="116"/>
      <c r="D882" s="24"/>
      <c r="E882" s="24"/>
      <c r="F882" s="24"/>
      <c r="G882" s="24"/>
      <c r="H882" s="24"/>
      <c r="I882" s="24"/>
      <c r="J882" s="63"/>
      <c r="K882" s="24"/>
      <c r="L882" s="118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119"/>
      <c r="X882" s="50"/>
      <c r="Y882" s="50"/>
      <c r="Z882" s="50"/>
      <c r="AA882" s="50"/>
      <c r="AB882" s="50"/>
      <c r="AC882" s="116"/>
      <c r="AD882" s="24"/>
      <c r="AE882" s="24"/>
      <c r="AF882" s="50"/>
      <c r="AG882" s="50"/>
      <c r="AH882" s="50"/>
      <c r="AI882" s="50"/>
      <c r="AJ882" s="50"/>
      <c r="AK882" s="50"/>
      <c r="AL882" s="50"/>
    </row>
    <row r="883" spans="1:38" ht="13.8">
      <c r="A883" s="73"/>
      <c r="B883" s="74"/>
      <c r="C883" s="116"/>
      <c r="D883" s="24"/>
      <c r="E883" s="24"/>
      <c r="F883" s="24"/>
      <c r="G883" s="24"/>
      <c r="H883" s="24"/>
      <c r="I883" s="24"/>
      <c r="J883" s="63"/>
      <c r="K883" s="24"/>
      <c r="L883" s="118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119"/>
      <c r="X883" s="50"/>
      <c r="Y883" s="50"/>
      <c r="Z883" s="50"/>
      <c r="AA883" s="50"/>
      <c r="AB883" s="50"/>
      <c r="AC883" s="116"/>
      <c r="AD883" s="24"/>
      <c r="AE883" s="24"/>
      <c r="AF883" s="50"/>
      <c r="AG883" s="50"/>
      <c r="AH883" s="50"/>
      <c r="AI883" s="50"/>
      <c r="AJ883" s="50"/>
      <c r="AK883" s="50"/>
      <c r="AL883" s="50"/>
    </row>
    <row r="884" spans="1:38" ht="13.8">
      <c r="A884" s="73"/>
      <c r="B884" s="74"/>
      <c r="C884" s="116"/>
      <c r="D884" s="24"/>
      <c r="E884" s="24"/>
      <c r="F884" s="24"/>
      <c r="G884" s="24"/>
      <c r="H884" s="24"/>
      <c r="I884" s="24"/>
      <c r="J884" s="63"/>
      <c r="K884" s="24"/>
      <c r="L884" s="118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119"/>
      <c r="X884" s="50"/>
      <c r="Y884" s="50"/>
      <c r="Z884" s="50"/>
      <c r="AA884" s="50"/>
      <c r="AB884" s="50"/>
      <c r="AC884" s="116"/>
      <c r="AD884" s="24"/>
      <c r="AE884" s="24"/>
      <c r="AF884" s="50"/>
      <c r="AG884" s="50"/>
      <c r="AH884" s="50"/>
      <c r="AI884" s="50"/>
      <c r="AJ884" s="50"/>
      <c r="AK884" s="50"/>
      <c r="AL884" s="50"/>
    </row>
    <row r="885" spans="1:38" ht="13.8">
      <c r="A885" s="73"/>
      <c r="B885" s="74"/>
      <c r="C885" s="116"/>
      <c r="D885" s="24"/>
      <c r="E885" s="24"/>
      <c r="F885" s="24"/>
      <c r="G885" s="24"/>
      <c r="H885" s="24"/>
      <c r="I885" s="24"/>
      <c r="J885" s="63"/>
      <c r="K885" s="24"/>
      <c r="L885" s="118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119"/>
      <c r="X885" s="50"/>
      <c r="Y885" s="50"/>
      <c r="Z885" s="50"/>
      <c r="AA885" s="50"/>
      <c r="AB885" s="50"/>
      <c r="AC885" s="116"/>
      <c r="AD885" s="24"/>
      <c r="AE885" s="24"/>
      <c r="AF885" s="50"/>
      <c r="AG885" s="50"/>
      <c r="AH885" s="50"/>
      <c r="AI885" s="50"/>
      <c r="AJ885" s="50"/>
      <c r="AK885" s="50"/>
      <c r="AL885" s="50"/>
    </row>
    <row r="886" spans="1:38" ht="13.8">
      <c r="A886" s="73"/>
      <c r="B886" s="74"/>
      <c r="C886" s="116"/>
      <c r="D886" s="24"/>
      <c r="E886" s="24"/>
      <c r="F886" s="24"/>
      <c r="G886" s="24"/>
      <c r="H886" s="24"/>
      <c r="I886" s="24"/>
      <c r="J886" s="63"/>
      <c r="K886" s="24"/>
      <c r="L886" s="118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119"/>
      <c r="X886" s="50"/>
      <c r="Y886" s="50"/>
      <c r="Z886" s="50"/>
      <c r="AA886" s="50"/>
      <c r="AB886" s="50"/>
      <c r="AC886" s="116"/>
      <c r="AD886" s="24"/>
      <c r="AE886" s="24"/>
      <c r="AF886" s="50"/>
      <c r="AG886" s="50"/>
      <c r="AH886" s="50"/>
      <c r="AI886" s="50"/>
      <c r="AJ886" s="50"/>
      <c r="AK886" s="50"/>
      <c r="AL886" s="50"/>
    </row>
    <row r="887" spans="1:38" ht="13.8">
      <c r="A887" s="73"/>
      <c r="B887" s="74"/>
      <c r="C887" s="116"/>
      <c r="D887" s="24"/>
      <c r="E887" s="24"/>
      <c r="F887" s="24"/>
      <c r="G887" s="24"/>
      <c r="H887" s="24"/>
      <c r="I887" s="24"/>
      <c r="J887" s="63"/>
      <c r="K887" s="24"/>
      <c r="L887" s="118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119"/>
      <c r="X887" s="50"/>
      <c r="Y887" s="50"/>
      <c r="Z887" s="50"/>
      <c r="AA887" s="50"/>
      <c r="AB887" s="50"/>
      <c r="AC887" s="116"/>
      <c r="AD887" s="24"/>
      <c r="AE887" s="24"/>
      <c r="AF887" s="50"/>
      <c r="AG887" s="50"/>
      <c r="AH887" s="50"/>
      <c r="AI887" s="50"/>
      <c r="AJ887" s="50"/>
      <c r="AK887" s="50"/>
      <c r="AL887" s="50"/>
    </row>
    <row r="888" spans="1:38" ht="13.8">
      <c r="A888" s="73"/>
      <c r="B888" s="74"/>
      <c r="C888" s="116"/>
      <c r="D888" s="24"/>
      <c r="E888" s="24"/>
      <c r="F888" s="24"/>
      <c r="G888" s="24"/>
      <c r="H888" s="24"/>
      <c r="I888" s="24"/>
      <c r="J888" s="63"/>
      <c r="K888" s="24"/>
      <c r="L888" s="118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119"/>
      <c r="X888" s="50"/>
      <c r="Y888" s="50"/>
      <c r="Z888" s="50"/>
      <c r="AA888" s="50"/>
      <c r="AB888" s="50"/>
      <c r="AC888" s="116"/>
      <c r="AD888" s="24"/>
      <c r="AE888" s="24"/>
      <c r="AF888" s="50"/>
      <c r="AG888" s="50"/>
      <c r="AH888" s="50"/>
      <c r="AI888" s="50"/>
      <c r="AJ888" s="50"/>
      <c r="AK888" s="50"/>
      <c r="AL888" s="50"/>
    </row>
    <row r="889" spans="1:38" ht="13.8">
      <c r="A889" s="73"/>
      <c r="B889" s="74"/>
      <c r="C889" s="116"/>
      <c r="D889" s="24"/>
      <c r="E889" s="24"/>
      <c r="F889" s="24"/>
      <c r="G889" s="24"/>
      <c r="H889" s="24"/>
      <c r="I889" s="24"/>
      <c r="J889" s="63"/>
      <c r="K889" s="24"/>
      <c r="L889" s="118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119"/>
      <c r="X889" s="50"/>
      <c r="Y889" s="50"/>
      <c r="Z889" s="50"/>
      <c r="AA889" s="50"/>
      <c r="AB889" s="50"/>
      <c r="AC889" s="116"/>
      <c r="AD889" s="24"/>
      <c r="AE889" s="24"/>
      <c r="AF889" s="50"/>
      <c r="AG889" s="50"/>
      <c r="AH889" s="50"/>
      <c r="AI889" s="50"/>
      <c r="AJ889" s="50"/>
      <c r="AK889" s="50"/>
      <c r="AL889" s="50"/>
    </row>
    <row r="890" spans="1:38" ht="13.8">
      <c r="A890" s="73"/>
      <c r="B890" s="74"/>
      <c r="C890" s="116"/>
      <c r="D890" s="24"/>
      <c r="E890" s="24"/>
      <c r="F890" s="24"/>
      <c r="G890" s="24"/>
      <c r="H890" s="24"/>
      <c r="I890" s="24"/>
      <c r="J890" s="63"/>
      <c r="K890" s="24"/>
      <c r="L890" s="118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119"/>
      <c r="X890" s="50"/>
      <c r="Y890" s="50"/>
      <c r="Z890" s="50"/>
      <c r="AA890" s="50"/>
      <c r="AB890" s="50"/>
      <c r="AC890" s="116"/>
      <c r="AD890" s="24"/>
      <c r="AE890" s="24"/>
      <c r="AF890" s="50"/>
      <c r="AG890" s="50"/>
      <c r="AH890" s="50"/>
      <c r="AI890" s="50"/>
      <c r="AJ890" s="50"/>
      <c r="AK890" s="50"/>
      <c r="AL890" s="50"/>
    </row>
    <row r="891" spans="1:38" ht="13.8">
      <c r="A891" s="73"/>
      <c r="B891" s="74"/>
      <c r="C891" s="116"/>
      <c r="D891" s="24"/>
      <c r="E891" s="24"/>
      <c r="F891" s="24"/>
      <c r="G891" s="24"/>
      <c r="H891" s="24"/>
      <c r="I891" s="24"/>
      <c r="J891" s="63"/>
      <c r="K891" s="24"/>
      <c r="L891" s="118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119"/>
      <c r="X891" s="50"/>
      <c r="Y891" s="50"/>
      <c r="Z891" s="50"/>
      <c r="AA891" s="50"/>
      <c r="AB891" s="50"/>
      <c r="AC891" s="116"/>
      <c r="AD891" s="24"/>
      <c r="AE891" s="24"/>
      <c r="AF891" s="50"/>
      <c r="AG891" s="50"/>
      <c r="AH891" s="50"/>
      <c r="AI891" s="50"/>
      <c r="AJ891" s="50"/>
      <c r="AK891" s="50"/>
      <c r="AL891" s="50"/>
    </row>
    <row r="892" spans="1:38" ht="13.8">
      <c r="A892" s="73"/>
      <c r="B892" s="74"/>
      <c r="C892" s="116"/>
      <c r="D892" s="24"/>
      <c r="E892" s="24"/>
      <c r="F892" s="24"/>
      <c r="G892" s="24"/>
      <c r="H892" s="24"/>
      <c r="I892" s="24"/>
      <c r="J892" s="63"/>
      <c r="K892" s="24"/>
      <c r="L892" s="118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119"/>
      <c r="X892" s="50"/>
      <c r="Y892" s="50"/>
      <c r="Z892" s="50"/>
      <c r="AA892" s="50"/>
      <c r="AB892" s="50"/>
      <c r="AC892" s="116"/>
      <c r="AD892" s="24"/>
      <c r="AE892" s="24"/>
      <c r="AF892" s="50"/>
      <c r="AG892" s="50"/>
      <c r="AH892" s="50"/>
      <c r="AI892" s="50"/>
      <c r="AJ892" s="50"/>
      <c r="AK892" s="50"/>
      <c r="AL892" s="50"/>
    </row>
    <row r="893" spans="1:38" ht="13.8">
      <c r="A893" s="73"/>
      <c r="B893" s="74"/>
      <c r="C893" s="116"/>
      <c r="D893" s="24"/>
      <c r="E893" s="24"/>
      <c r="F893" s="24"/>
      <c r="G893" s="24"/>
      <c r="H893" s="24"/>
      <c r="I893" s="24"/>
      <c r="J893" s="63"/>
      <c r="K893" s="24"/>
      <c r="L893" s="118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119"/>
      <c r="X893" s="50"/>
      <c r="Y893" s="50"/>
      <c r="Z893" s="50"/>
      <c r="AA893" s="50"/>
      <c r="AB893" s="50"/>
      <c r="AC893" s="116"/>
      <c r="AD893" s="24"/>
      <c r="AE893" s="24"/>
      <c r="AF893" s="50"/>
      <c r="AG893" s="50"/>
      <c r="AH893" s="50"/>
      <c r="AI893" s="50"/>
      <c r="AJ893" s="50"/>
      <c r="AK893" s="50"/>
      <c r="AL893" s="50"/>
    </row>
    <row r="894" spans="1:38" ht="13.8">
      <c r="A894" s="73"/>
      <c r="B894" s="74"/>
      <c r="C894" s="116"/>
      <c r="D894" s="24"/>
      <c r="E894" s="24"/>
      <c r="F894" s="24"/>
      <c r="G894" s="24"/>
      <c r="H894" s="24"/>
      <c r="I894" s="24"/>
      <c r="J894" s="63"/>
      <c r="K894" s="24"/>
      <c r="L894" s="118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119"/>
      <c r="X894" s="50"/>
      <c r="Y894" s="50"/>
      <c r="Z894" s="50"/>
      <c r="AA894" s="50"/>
      <c r="AB894" s="50"/>
      <c r="AC894" s="116"/>
      <c r="AD894" s="24"/>
      <c r="AE894" s="24"/>
      <c r="AF894" s="50"/>
      <c r="AG894" s="50"/>
      <c r="AH894" s="50"/>
      <c r="AI894" s="50"/>
      <c r="AJ894" s="50"/>
      <c r="AK894" s="50"/>
      <c r="AL894" s="50"/>
    </row>
    <row r="895" spans="1:38" ht="13.8">
      <c r="A895" s="73"/>
      <c r="B895" s="74"/>
      <c r="C895" s="116"/>
      <c r="D895" s="24"/>
      <c r="E895" s="24"/>
      <c r="F895" s="24"/>
      <c r="G895" s="24"/>
      <c r="H895" s="24"/>
      <c r="I895" s="24"/>
      <c r="J895" s="63"/>
      <c r="K895" s="24"/>
      <c r="L895" s="118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119"/>
      <c r="X895" s="50"/>
      <c r="Y895" s="50"/>
      <c r="Z895" s="50"/>
      <c r="AA895" s="50"/>
      <c r="AB895" s="50"/>
      <c r="AC895" s="116"/>
      <c r="AD895" s="24"/>
      <c r="AE895" s="24"/>
      <c r="AF895" s="50"/>
      <c r="AG895" s="50"/>
      <c r="AH895" s="50"/>
      <c r="AI895" s="50"/>
      <c r="AJ895" s="50"/>
      <c r="AK895" s="50"/>
      <c r="AL895" s="50"/>
    </row>
    <row r="896" spans="1:38" ht="13.8">
      <c r="A896" s="73"/>
      <c r="B896" s="74"/>
      <c r="C896" s="116"/>
      <c r="D896" s="24"/>
      <c r="E896" s="24"/>
      <c r="F896" s="24"/>
      <c r="G896" s="24"/>
      <c r="H896" s="24"/>
      <c r="I896" s="24"/>
      <c r="J896" s="63"/>
      <c r="K896" s="24"/>
      <c r="L896" s="118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119"/>
      <c r="X896" s="50"/>
      <c r="Y896" s="50"/>
      <c r="Z896" s="50"/>
      <c r="AA896" s="50"/>
      <c r="AB896" s="50"/>
      <c r="AC896" s="116"/>
      <c r="AD896" s="24"/>
      <c r="AE896" s="24"/>
      <c r="AF896" s="50"/>
      <c r="AG896" s="50"/>
      <c r="AH896" s="50"/>
      <c r="AI896" s="50"/>
      <c r="AJ896" s="50"/>
      <c r="AK896" s="50"/>
      <c r="AL896" s="50"/>
    </row>
    <row r="897" spans="1:38" ht="13.8">
      <c r="A897" s="73"/>
      <c r="B897" s="74"/>
      <c r="C897" s="116"/>
      <c r="D897" s="24"/>
      <c r="E897" s="24"/>
      <c r="F897" s="24"/>
      <c r="G897" s="24"/>
      <c r="H897" s="24"/>
      <c r="I897" s="24"/>
      <c r="J897" s="63"/>
      <c r="K897" s="24"/>
      <c r="L897" s="118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119"/>
      <c r="X897" s="50"/>
      <c r="Y897" s="50"/>
      <c r="Z897" s="50"/>
      <c r="AA897" s="50"/>
      <c r="AB897" s="50"/>
      <c r="AC897" s="116"/>
      <c r="AD897" s="24"/>
      <c r="AE897" s="24"/>
      <c r="AF897" s="50"/>
      <c r="AG897" s="50"/>
      <c r="AH897" s="50"/>
      <c r="AI897" s="50"/>
      <c r="AJ897" s="50"/>
      <c r="AK897" s="50"/>
      <c r="AL897" s="50"/>
    </row>
    <row r="898" spans="1:38" ht="13.8">
      <c r="A898" s="73"/>
      <c r="B898" s="74"/>
      <c r="C898" s="116"/>
      <c r="D898" s="24"/>
      <c r="E898" s="24"/>
      <c r="F898" s="24"/>
      <c r="G898" s="24"/>
      <c r="H898" s="24"/>
      <c r="I898" s="24"/>
      <c r="J898" s="63"/>
      <c r="K898" s="24"/>
      <c r="L898" s="118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119"/>
      <c r="X898" s="50"/>
      <c r="Y898" s="50"/>
      <c r="Z898" s="50"/>
      <c r="AA898" s="50"/>
      <c r="AB898" s="50"/>
      <c r="AC898" s="116"/>
      <c r="AD898" s="24"/>
      <c r="AE898" s="24"/>
      <c r="AF898" s="50"/>
      <c r="AG898" s="50"/>
      <c r="AH898" s="50"/>
      <c r="AI898" s="50"/>
      <c r="AJ898" s="50"/>
      <c r="AK898" s="50"/>
      <c r="AL898" s="50"/>
    </row>
    <row r="899" spans="1:38" ht="13.8">
      <c r="A899" s="73"/>
      <c r="B899" s="74"/>
      <c r="C899" s="116"/>
      <c r="D899" s="24"/>
      <c r="E899" s="24"/>
      <c r="F899" s="24"/>
      <c r="G899" s="24"/>
      <c r="H899" s="24"/>
      <c r="I899" s="24"/>
      <c r="J899" s="63"/>
      <c r="K899" s="24"/>
      <c r="L899" s="118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119"/>
      <c r="X899" s="50"/>
      <c r="Y899" s="50"/>
      <c r="Z899" s="50"/>
      <c r="AA899" s="50"/>
      <c r="AB899" s="50"/>
      <c r="AC899" s="116"/>
      <c r="AD899" s="24"/>
      <c r="AE899" s="24"/>
      <c r="AF899" s="50"/>
      <c r="AG899" s="50"/>
      <c r="AH899" s="50"/>
      <c r="AI899" s="50"/>
      <c r="AJ899" s="50"/>
      <c r="AK899" s="50"/>
      <c r="AL899" s="50"/>
    </row>
    <row r="900" spans="1:38" ht="13.8">
      <c r="A900" s="73"/>
      <c r="B900" s="74"/>
      <c r="C900" s="116"/>
      <c r="D900" s="24"/>
      <c r="E900" s="24"/>
      <c r="F900" s="24"/>
      <c r="G900" s="24"/>
      <c r="H900" s="24"/>
      <c r="I900" s="24"/>
      <c r="J900" s="63"/>
      <c r="K900" s="24"/>
      <c r="L900" s="118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119"/>
      <c r="X900" s="50"/>
      <c r="Y900" s="50"/>
      <c r="Z900" s="50"/>
      <c r="AA900" s="50"/>
      <c r="AB900" s="50"/>
      <c r="AC900" s="116"/>
      <c r="AD900" s="24"/>
      <c r="AE900" s="24"/>
      <c r="AF900" s="50"/>
      <c r="AG900" s="50"/>
      <c r="AH900" s="50"/>
      <c r="AI900" s="50"/>
      <c r="AJ900" s="50"/>
      <c r="AK900" s="50"/>
      <c r="AL900" s="50"/>
    </row>
    <row r="901" spans="1:38" ht="13.8">
      <c r="A901" s="73"/>
      <c r="B901" s="74"/>
      <c r="C901" s="116"/>
      <c r="D901" s="24"/>
      <c r="E901" s="24"/>
      <c r="F901" s="24"/>
      <c r="G901" s="24"/>
      <c r="H901" s="24"/>
      <c r="I901" s="24"/>
      <c r="J901" s="63"/>
      <c r="K901" s="24"/>
      <c r="L901" s="118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119"/>
      <c r="X901" s="50"/>
      <c r="Y901" s="50"/>
      <c r="Z901" s="50"/>
      <c r="AA901" s="50"/>
      <c r="AB901" s="50"/>
      <c r="AC901" s="116"/>
      <c r="AD901" s="24"/>
      <c r="AE901" s="24"/>
      <c r="AF901" s="50"/>
      <c r="AG901" s="50"/>
      <c r="AH901" s="50"/>
      <c r="AI901" s="50"/>
      <c r="AJ901" s="50"/>
      <c r="AK901" s="50"/>
      <c r="AL901" s="50"/>
    </row>
    <row r="902" spans="1:38" ht="13.8">
      <c r="A902" s="73"/>
      <c r="B902" s="74"/>
      <c r="C902" s="116"/>
      <c r="D902" s="24"/>
      <c r="E902" s="24"/>
      <c r="F902" s="24"/>
      <c r="G902" s="24"/>
      <c r="H902" s="24"/>
      <c r="I902" s="24"/>
      <c r="J902" s="63"/>
      <c r="K902" s="24"/>
      <c r="L902" s="118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119"/>
      <c r="X902" s="50"/>
      <c r="Y902" s="50"/>
      <c r="Z902" s="50"/>
      <c r="AA902" s="50"/>
      <c r="AB902" s="50"/>
      <c r="AC902" s="116"/>
      <c r="AD902" s="24"/>
      <c r="AE902" s="24"/>
      <c r="AF902" s="50"/>
      <c r="AG902" s="50"/>
      <c r="AH902" s="50"/>
      <c r="AI902" s="50"/>
      <c r="AJ902" s="50"/>
      <c r="AK902" s="50"/>
      <c r="AL902" s="50"/>
    </row>
    <row r="903" spans="1:38" ht="13.8">
      <c r="A903" s="73"/>
      <c r="B903" s="74"/>
      <c r="C903" s="116"/>
      <c r="D903" s="24"/>
      <c r="E903" s="24"/>
      <c r="F903" s="24"/>
      <c r="G903" s="24"/>
      <c r="H903" s="24"/>
      <c r="I903" s="24"/>
      <c r="J903" s="63"/>
      <c r="K903" s="24"/>
      <c r="L903" s="118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119"/>
      <c r="X903" s="50"/>
      <c r="Y903" s="50"/>
      <c r="Z903" s="50"/>
      <c r="AA903" s="50"/>
      <c r="AB903" s="50"/>
      <c r="AC903" s="116"/>
      <c r="AD903" s="24"/>
      <c r="AE903" s="24"/>
      <c r="AF903" s="50"/>
      <c r="AG903" s="50"/>
      <c r="AH903" s="50"/>
      <c r="AI903" s="50"/>
      <c r="AJ903" s="50"/>
      <c r="AK903" s="50"/>
      <c r="AL903" s="50"/>
    </row>
    <row r="904" spans="1:38" ht="13.8">
      <c r="A904" s="73"/>
      <c r="B904" s="74"/>
      <c r="C904" s="116"/>
      <c r="D904" s="24"/>
      <c r="E904" s="24"/>
      <c r="F904" s="24"/>
      <c r="G904" s="24"/>
      <c r="H904" s="24"/>
      <c r="I904" s="24"/>
      <c r="J904" s="63"/>
      <c r="K904" s="24"/>
      <c r="L904" s="118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119"/>
      <c r="X904" s="50"/>
      <c r="Y904" s="50"/>
      <c r="Z904" s="50"/>
      <c r="AA904" s="50"/>
      <c r="AB904" s="50"/>
      <c r="AC904" s="116"/>
      <c r="AD904" s="24"/>
      <c r="AE904" s="24"/>
      <c r="AF904" s="50"/>
      <c r="AG904" s="50"/>
      <c r="AH904" s="50"/>
      <c r="AI904" s="50"/>
      <c r="AJ904" s="50"/>
      <c r="AK904" s="50"/>
      <c r="AL904" s="50"/>
    </row>
    <row r="905" spans="1:38" ht="13.8">
      <c r="A905" s="73"/>
      <c r="B905" s="74"/>
      <c r="C905" s="116"/>
      <c r="D905" s="24"/>
      <c r="E905" s="24"/>
      <c r="F905" s="24"/>
      <c r="G905" s="24"/>
      <c r="H905" s="24"/>
      <c r="I905" s="24"/>
      <c r="J905" s="63"/>
      <c r="K905" s="24"/>
      <c r="L905" s="118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119"/>
      <c r="X905" s="50"/>
      <c r="Y905" s="50"/>
      <c r="Z905" s="50"/>
      <c r="AA905" s="50"/>
      <c r="AB905" s="50"/>
      <c r="AC905" s="116"/>
      <c r="AD905" s="24"/>
      <c r="AE905" s="24"/>
      <c r="AF905" s="50"/>
      <c r="AG905" s="50"/>
      <c r="AH905" s="50"/>
      <c r="AI905" s="50"/>
      <c r="AJ905" s="50"/>
      <c r="AK905" s="50"/>
      <c r="AL905" s="50"/>
    </row>
    <row r="906" spans="1:38" ht="13.8">
      <c r="A906" s="73"/>
      <c r="B906" s="74"/>
      <c r="C906" s="116"/>
      <c r="D906" s="24"/>
      <c r="E906" s="24"/>
      <c r="F906" s="24"/>
      <c r="G906" s="24"/>
      <c r="H906" s="24"/>
      <c r="I906" s="24"/>
      <c r="J906" s="63"/>
      <c r="K906" s="24"/>
      <c r="L906" s="118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119"/>
      <c r="X906" s="50"/>
      <c r="Y906" s="50"/>
      <c r="Z906" s="50"/>
      <c r="AA906" s="50"/>
      <c r="AB906" s="50"/>
      <c r="AC906" s="116"/>
      <c r="AD906" s="24"/>
      <c r="AE906" s="24"/>
      <c r="AF906" s="50"/>
      <c r="AG906" s="50"/>
      <c r="AH906" s="50"/>
      <c r="AI906" s="50"/>
      <c r="AJ906" s="50"/>
      <c r="AK906" s="50"/>
      <c r="AL906" s="50"/>
    </row>
    <row r="907" spans="1:38" ht="13.8">
      <c r="A907" s="73"/>
      <c r="B907" s="74"/>
      <c r="C907" s="116"/>
      <c r="D907" s="24"/>
      <c r="E907" s="24"/>
      <c r="F907" s="24"/>
      <c r="G907" s="24"/>
      <c r="H907" s="24"/>
      <c r="I907" s="24"/>
      <c r="J907" s="63"/>
      <c r="K907" s="24"/>
      <c r="L907" s="118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119"/>
      <c r="X907" s="50"/>
      <c r="Y907" s="50"/>
      <c r="Z907" s="50"/>
      <c r="AA907" s="50"/>
      <c r="AB907" s="50"/>
      <c r="AC907" s="116"/>
      <c r="AD907" s="24"/>
      <c r="AE907" s="24"/>
      <c r="AF907" s="50"/>
      <c r="AG907" s="50"/>
      <c r="AH907" s="50"/>
      <c r="AI907" s="50"/>
      <c r="AJ907" s="50"/>
      <c r="AK907" s="50"/>
      <c r="AL907" s="50"/>
    </row>
    <row r="908" spans="1:38" ht="13.8">
      <c r="A908" s="73"/>
      <c r="B908" s="74"/>
      <c r="C908" s="116"/>
      <c r="D908" s="24"/>
      <c r="E908" s="24"/>
      <c r="F908" s="24"/>
      <c r="G908" s="24"/>
      <c r="H908" s="24"/>
      <c r="I908" s="24"/>
      <c r="J908" s="63"/>
      <c r="K908" s="24"/>
      <c r="L908" s="118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119"/>
      <c r="X908" s="50"/>
      <c r="Y908" s="50"/>
      <c r="Z908" s="50"/>
      <c r="AA908" s="50"/>
      <c r="AB908" s="50"/>
      <c r="AC908" s="116"/>
      <c r="AD908" s="24"/>
      <c r="AE908" s="24"/>
      <c r="AF908" s="50"/>
      <c r="AG908" s="50"/>
      <c r="AH908" s="50"/>
      <c r="AI908" s="50"/>
      <c r="AJ908" s="50"/>
      <c r="AK908" s="50"/>
      <c r="AL908" s="50"/>
    </row>
    <row r="909" spans="1:38" ht="13.8">
      <c r="A909" s="73"/>
      <c r="B909" s="74"/>
      <c r="C909" s="116"/>
      <c r="D909" s="24"/>
      <c r="E909" s="24"/>
      <c r="F909" s="24"/>
      <c r="G909" s="24"/>
      <c r="H909" s="24"/>
      <c r="I909" s="24"/>
      <c r="J909" s="63"/>
      <c r="K909" s="24"/>
      <c r="L909" s="118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119"/>
      <c r="X909" s="50"/>
      <c r="Y909" s="50"/>
      <c r="Z909" s="50"/>
      <c r="AA909" s="50"/>
      <c r="AB909" s="50"/>
      <c r="AC909" s="116"/>
      <c r="AD909" s="24"/>
      <c r="AE909" s="24"/>
      <c r="AF909" s="50"/>
      <c r="AG909" s="50"/>
      <c r="AH909" s="50"/>
      <c r="AI909" s="50"/>
      <c r="AJ909" s="50"/>
      <c r="AK909" s="50"/>
      <c r="AL909" s="50"/>
    </row>
    <row r="910" spans="1:38" ht="13.8">
      <c r="A910" s="73"/>
      <c r="B910" s="74"/>
      <c r="C910" s="116"/>
      <c r="D910" s="24"/>
      <c r="E910" s="24"/>
      <c r="F910" s="24"/>
      <c r="G910" s="24"/>
      <c r="H910" s="24"/>
      <c r="I910" s="24"/>
      <c r="J910" s="63"/>
      <c r="K910" s="24"/>
      <c r="L910" s="118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119"/>
      <c r="X910" s="50"/>
      <c r="Y910" s="50"/>
      <c r="Z910" s="50"/>
      <c r="AA910" s="50"/>
      <c r="AB910" s="50"/>
      <c r="AC910" s="116"/>
      <c r="AD910" s="24"/>
      <c r="AE910" s="24"/>
      <c r="AF910" s="50"/>
      <c r="AG910" s="50"/>
      <c r="AH910" s="50"/>
      <c r="AI910" s="50"/>
      <c r="AJ910" s="50"/>
      <c r="AK910" s="50"/>
      <c r="AL910" s="50"/>
    </row>
    <row r="911" spans="1:38" ht="13.8">
      <c r="A911" s="73"/>
      <c r="B911" s="74"/>
      <c r="C911" s="116"/>
      <c r="D911" s="24"/>
      <c r="E911" s="24"/>
      <c r="F911" s="24"/>
      <c r="G911" s="24"/>
      <c r="H911" s="24"/>
      <c r="I911" s="24"/>
      <c r="J911" s="63"/>
      <c r="K911" s="24"/>
      <c r="L911" s="118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119"/>
      <c r="X911" s="50"/>
      <c r="Y911" s="50"/>
      <c r="Z911" s="50"/>
      <c r="AA911" s="50"/>
      <c r="AB911" s="50"/>
      <c r="AC911" s="116"/>
      <c r="AD911" s="24"/>
      <c r="AE911" s="24"/>
      <c r="AF911" s="50"/>
      <c r="AG911" s="50"/>
      <c r="AH911" s="50"/>
      <c r="AI911" s="50"/>
      <c r="AJ911" s="50"/>
      <c r="AK911" s="50"/>
      <c r="AL911" s="50"/>
    </row>
    <row r="912" spans="1:38" ht="13.8">
      <c r="A912" s="73"/>
      <c r="B912" s="74"/>
      <c r="C912" s="116"/>
      <c r="D912" s="24"/>
      <c r="E912" s="24"/>
      <c r="F912" s="24"/>
      <c r="G912" s="24"/>
      <c r="H912" s="24"/>
      <c r="I912" s="24"/>
      <c r="J912" s="63"/>
      <c r="K912" s="24"/>
      <c r="L912" s="118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119"/>
      <c r="X912" s="50"/>
      <c r="Y912" s="50"/>
      <c r="Z912" s="50"/>
      <c r="AA912" s="50"/>
      <c r="AB912" s="50"/>
      <c r="AC912" s="116"/>
      <c r="AD912" s="24"/>
      <c r="AE912" s="24"/>
      <c r="AF912" s="50"/>
      <c r="AG912" s="50"/>
      <c r="AH912" s="50"/>
      <c r="AI912" s="50"/>
      <c r="AJ912" s="50"/>
      <c r="AK912" s="50"/>
      <c r="AL912" s="50"/>
    </row>
    <row r="913" spans="1:38" ht="13.8">
      <c r="A913" s="73"/>
      <c r="B913" s="74"/>
      <c r="C913" s="116"/>
      <c r="D913" s="24"/>
      <c r="E913" s="24"/>
      <c r="F913" s="24"/>
      <c r="G913" s="24"/>
      <c r="H913" s="24"/>
      <c r="I913" s="24"/>
      <c r="J913" s="63"/>
      <c r="K913" s="24"/>
      <c r="L913" s="118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119"/>
      <c r="X913" s="50"/>
      <c r="Y913" s="50"/>
      <c r="Z913" s="50"/>
      <c r="AA913" s="50"/>
      <c r="AB913" s="50"/>
      <c r="AC913" s="116"/>
      <c r="AD913" s="24"/>
      <c r="AE913" s="24"/>
      <c r="AF913" s="50"/>
      <c r="AG913" s="50"/>
      <c r="AH913" s="50"/>
      <c r="AI913" s="50"/>
      <c r="AJ913" s="50"/>
      <c r="AK913" s="50"/>
      <c r="AL913" s="50"/>
    </row>
    <row r="914" spans="1:38" ht="13.8">
      <c r="A914" s="73"/>
      <c r="B914" s="74"/>
      <c r="C914" s="116"/>
      <c r="D914" s="24"/>
      <c r="E914" s="24"/>
      <c r="F914" s="24"/>
      <c r="G914" s="24"/>
      <c r="H914" s="24"/>
      <c r="I914" s="24"/>
      <c r="J914" s="63"/>
      <c r="K914" s="24"/>
      <c r="L914" s="118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119"/>
      <c r="X914" s="50"/>
      <c r="Y914" s="50"/>
      <c r="Z914" s="50"/>
      <c r="AA914" s="50"/>
      <c r="AB914" s="50"/>
      <c r="AC914" s="116"/>
      <c r="AD914" s="24"/>
      <c r="AE914" s="24"/>
      <c r="AF914" s="50"/>
      <c r="AG914" s="50"/>
      <c r="AH914" s="50"/>
      <c r="AI914" s="50"/>
      <c r="AJ914" s="50"/>
      <c r="AK914" s="50"/>
      <c r="AL914" s="50"/>
    </row>
    <row r="915" spans="1:38" ht="13.8">
      <c r="A915" s="73"/>
      <c r="B915" s="74"/>
      <c r="C915" s="116"/>
      <c r="D915" s="24"/>
      <c r="E915" s="24"/>
      <c r="F915" s="24"/>
      <c r="G915" s="24"/>
      <c r="H915" s="24"/>
      <c r="I915" s="24"/>
      <c r="J915" s="63"/>
      <c r="K915" s="24"/>
      <c r="L915" s="118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119"/>
      <c r="X915" s="50"/>
      <c r="Y915" s="50"/>
      <c r="Z915" s="50"/>
      <c r="AA915" s="50"/>
      <c r="AB915" s="50"/>
      <c r="AC915" s="116"/>
      <c r="AD915" s="24"/>
      <c r="AE915" s="24"/>
      <c r="AF915" s="50"/>
      <c r="AG915" s="50"/>
      <c r="AH915" s="50"/>
      <c r="AI915" s="50"/>
      <c r="AJ915" s="50"/>
      <c r="AK915" s="50"/>
      <c r="AL915" s="50"/>
    </row>
    <row r="916" spans="1:38" ht="13.8">
      <c r="A916" s="73"/>
      <c r="B916" s="74"/>
      <c r="C916" s="116"/>
      <c r="D916" s="24"/>
      <c r="E916" s="24"/>
      <c r="F916" s="24"/>
      <c r="G916" s="24"/>
      <c r="H916" s="24"/>
      <c r="I916" s="24"/>
      <c r="J916" s="63"/>
      <c r="K916" s="24"/>
      <c r="L916" s="118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119"/>
      <c r="X916" s="50"/>
      <c r="Y916" s="50"/>
      <c r="Z916" s="50"/>
      <c r="AA916" s="50"/>
      <c r="AB916" s="50"/>
      <c r="AC916" s="116"/>
      <c r="AD916" s="24"/>
      <c r="AE916" s="24"/>
      <c r="AF916" s="50"/>
      <c r="AG916" s="50"/>
      <c r="AH916" s="50"/>
      <c r="AI916" s="50"/>
      <c r="AJ916" s="50"/>
      <c r="AK916" s="50"/>
      <c r="AL916" s="50"/>
    </row>
    <row r="917" spans="1:38" ht="13.8">
      <c r="A917" s="73"/>
      <c r="B917" s="74"/>
      <c r="C917" s="116"/>
      <c r="D917" s="24"/>
      <c r="E917" s="24"/>
      <c r="F917" s="24"/>
      <c r="G917" s="24"/>
      <c r="H917" s="24"/>
      <c r="I917" s="24"/>
      <c r="J917" s="63"/>
      <c r="K917" s="24"/>
      <c r="L917" s="118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119"/>
      <c r="X917" s="50"/>
      <c r="Y917" s="50"/>
      <c r="Z917" s="50"/>
      <c r="AA917" s="50"/>
      <c r="AB917" s="50"/>
      <c r="AC917" s="116"/>
      <c r="AD917" s="24"/>
      <c r="AE917" s="24"/>
      <c r="AF917" s="50"/>
      <c r="AG917" s="50"/>
      <c r="AH917" s="50"/>
      <c r="AI917" s="50"/>
      <c r="AJ917" s="50"/>
      <c r="AK917" s="50"/>
      <c r="AL917" s="50"/>
    </row>
    <row r="918" spans="1:38" ht="13.8">
      <c r="A918" s="73"/>
      <c r="B918" s="74"/>
      <c r="C918" s="116"/>
      <c r="D918" s="24"/>
      <c r="E918" s="24"/>
      <c r="F918" s="24"/>
      <c r="G918" s="24"/>
      <c r="H918" s="24"/>
      <c r="I918" s="24"/>
      <c r="J918" s="63"/>
      <c r="K918" s="24"/>
      <c r="L918" s="118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119"/>
      <c r="X918" s="50"/>
      <c r="Y918" s="50"/>
      <c r="Z918" s="50"/>
      <c r="AA918" s="50"/>
      <c r="AB918" s="50"/>
      <c r="AC918" s="116"/>
      <c r="AD918" s="24"/>
      <c r="AE918" s="24"/>
      <c r="AF918" s="50"/>
      <c r="AG918" s="50"/>
      <c r="AH918" s="50"/>
      <c r="AI918" s="50"/>
      <c r="AJ918" s="50"/>
      <c r="AK918" s="50"/>
      <c r="AL918" s="50"/>
    </row>
    <row r="919" spans="1:38" ht="13.8">
      <c r="A919" s="73"/>
      <c r="B919" s="74"/>
      <c r="C919" s="116"/>
      <c r="D919" s="24"/>
      <c r="E919" s="24"/>
      <c r="F919" s="24"/>
      <c r="G919" s="24"/>
      <c r="H919" s="24"/>
      <c r="I919" s="24"/>
      <c r="J919" s="63"/>
      <c r="K919" s="24"/>
      <c r="L919" s="118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119"/>
      <c r="X919" s="50"/>
      <c r="Y919" s="50"/>
      <c r="Z919" s="50"/>
      <c r="AA919" s="50"/>
      <c r="AB919" s="50"/>
      <c r="AC919" s="116"/>
      <c r="AD919" s="24"/>
      <c r="AE919" s="24"/>
      <c r="AF919" s="50"/>
      <c r="AG919" s="50"/>
      <c r="AH919" s="50"/>
      <c r="AI919" s="50"/>
      <c r="AJ919" s="50"/>
      <c r="AK919" s="50"/>
      <c r="AL919" s="50"/>
    </row>
    <row r="920" spans="1:38" ht="13.8">
      <c r="A920" s="73"/>
      <c r="B920" s="74"/>
      <c r="C920" s="116"/>
      <c r="D920" s="24"/>
      <c r="E920" s="24"/>
      <c r="F920" s="24"/>
      <c r="G920" s="24"/>
      <c r="H920" s="24"/>
      <c r="I920" s="24"/>
      <c r="J920" s="63"/>
      <c r="K920" s="24"/>
      <c r="L920" s="118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119"/>
      <c r="X920" s="50"/>
      <c r="Y920" s="50"/>
      <c r="Z920" s="50"/>
      <c r="AA920" s="50"/>
      <c r="AB920" s="50"/>
      <c r="AC920" s="116"/>
      <c r="AD920" s="24"/>
      <c r="AE920" s="24"/>
      <c r="AF920" s="50"/>
      <c r="AG920" s="50"/>
      <c r="AH920" s="50"/>
      <c r="AI920" s="50"/>
      <c r="AJ920" s="50"/>
      <c r="AK920" s="50"/>
      <c r="AL920" s="50"/>
    </row>
    <row r="921" spans="1:38" ht="13.8">
      <c r="A921" s="73"/>
      <c r="B921" s="74"/>
      <c r="C921" s="116"/>
      <c r="D921" s="24"/>
      <c r="E921" s="24"/>
      <c r="F921" s="24"/>
      <c r="G921" s="24"/>
      <c r="H921" s="24"/>
      <c r="I921" s="24"/>
      <c r="J921" s="63"/>
      <c r="K921" s="24"/>
      <c r="L921" s="118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119"/>
      <c r="X921" s="50"/>
      <c r="Y921" s="50"/>
      <c r="Z921" s="50"/>
      <c r="AA921" s="50"/>
      <c r="AB921" s="50"/>
      <c r="AC921" s="116"/>
      <c r="AD921" s="24"/>
      <c r="AE921" s="24"/>
      <c r="AF921" s="50"/>
      <c r="AG921" s="50"/>
      <c r="AH921" s="50"/>
      <c r="AI921" s="50"/>
      <c r="AJ921" s="50"/>
      <c r="AK921" s="50"/>
      <c r="AL921" s="50"/>
    </row>
    <row r="922" spans="1:38" ht="13.8">
      <c r="A922" s="73"/>
      <c r="B922" s="74"/>
      <c r="C922" s="116"/>
      <c r="D922" s="24"/>
      <c r="E922" s="24"/>
      <c r="F922" s="24"/>
      <c r="G922" s="24"/>
      <c r="H922" s="24"/>
      <c r="I922" s="24"/>
      <c r="J922" s="63"/>
      <c r="K922" s="24"/>
      <c r="L922" s="118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119"/>
      <c r="X922" s="50"/>
      <c r="Y922" s="50"/>
      <c r="Z922" s="50"/>
      <c r="AA922" s="50"/>
      <c r="AB922" s="50"/>
      <c r="AC922" s="116"/>
      <c r="AD922" s="24"/>
      <c r="AE922" s="24"/>
      <c r="AF922" s="50"/>
      <c r="AG922" s="50"/>
      <c r="AH922" s="50"/>
      <c r="AI922" s="50"/>
      <c r="AJ922" s="50"/>
      <c r="AK922" s="50"/>
      <c r="AL922" s="50"/>
    </row>
    <row r="923" spans="1:38" ht="13.8">
      <c r="A923" s="73"/>
      <c r="B923" s="74"/>
      <c r="C923" s="116"/>
      <c r="D923" s="24"/>
      <c r="E923" s="24"/>
      <c r="F923" s="24"/>
      <c r="G923" s="24"/>
      <c r="H923" s="24"/>
      <c r="I923" s="24"/>
      <c r="J923" s="63"/>
      <c r="K923" s="24"/>
      <c r="L923" s="118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119"/>
      <c r="X923" s="50"/>
      <c r="Y923" s="50"/>
      <c r="Z923" s="50"/>
      <c r="AA923" s="50"/>
      <c r="AB923" s="50"/>
      <c r="AC923" s="116"/>
      <c r="AD923" s="24"/>
      <c r="AE923" s="24"/>
      <c r="AF923" s="50"/>
      <c r="AG923" s="50"/>
      <c r="AH923" s="50"/>
      <c r="AI923" s="50"/>
      <c r="AJ923" s="50"/>
      <c r="AK923" s="50"/>
      <c r="AL923" s="50"/>
    </row>
    <row r="924" spans="1:38" ht="13.8">
      <c r="A924" s="73"/>
      <c r="B924" s="74"/>
      <c r="C924" s="116"/>
      <c r="D924" s="24"/>
      <c r="E924" s="24"/>
      <c r="F924" s="24"/>
      <c r="G924" s="24"/>
      <c r="H924" s="24"/>
      <c r="I924" s="24"/>
      <c r="J924" s="63"/>
      <c r="K924" s="24"/>
      <c r="L924" s="118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119"/>
      <c r="X924" s="50"/>
      <c r="Y924" s="50"/>
      <c r="Z924" s="50"/>
      <c r="AA924" s="50"/>
      <c r="AB924" s="50"/>
      <c r="AC924" s="116"/>
      <c r="AD924" s="24"/>
      <c r="AE924" s="24"/>
      <c r="AF924" s="50"/>
      <c r="AG924" s="50"/>
      <c r="AH924" s="50"/>
      <c r="AI924" s="50"/>
      <c r="AJ924" s="50"/>
      <c r="AK924" s="50"/>
      <c r="AL924" s="50"/>
    </row>
    <row r="925" spans="1:38" ht="13.8">
      <c r="A925" s="73"/>
      <c r="B925" s="74"/>
      <c r="C925" s="116"/>
      <c r="D925" s="24"/>
      <c r="E925" s="24"/>
      <c r="F925" s="24"/>
      <c r="G925" s="24"/>
      <c r="H925" s="24"/>
      <c r="I925" s="24"/>
      <c r="J925" s="63"/>
      <c r="K925" s="24"/>
      <c r="L925" s="118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119"/>
      <c r="X925" s="50"/>
      <c r="Y925" s="50"/>
      <c r="Z925" s="50"/>
      <c r="AA925" s="50"/>
      <c r="AB925" s="50"/>
      <c r="AC925" s="116"/>
      <c r="AD925" s="24"/>
      <c r="AE925" s="24"/>
      <c r="AF925" s="50"/>
      <c r="AG925" s="50"/>
      <c r="AH925" s="50"/>
      <c r="AI925" s="50"/>
      <c r="AJ925" s="50"/>
      <c r="AK925" s="50"/>
      <c r="AL925" s="50"/>
    </row>
    <row r="926" spans="1:38" ht="13.8">
      <c r="A926" s="73"/>
      <c r="B926" s="74"/>
      <c r="C926" s="116"/>
      <c r="D926" s="24"/>
      <c r="E926" s="24"/>
      <c r="F926" s="24"/>
      <c r="G926" s="24"/>
      <c r="H926" s="24"/>
      <c r="I926" s="24"/>
      <c r="J926" s="63"/>
      <c r="K926" s="24"/>
      <c r="L926" s="118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119"/>
      <c r="X926" s="50"/>
      <c r="Y926" s="50"/>
      <c r="Z926" s="50"/>
      <c r="AA926" s="50"/>
      <c r="AB926" s="50"/>
      <c r="AC926" s="116"/>
      <c r="AD926" s="24"/>
      <c r="AE926" s="24"/>
      <c r="AF926" s="50"/>
      <c r="AG926" s="50"/>
      <c r="AH926" s="50"/>
      <c r="AI926" s="50"/>
      <c r="AJ926" s="50"/>
      <c r="AK926" s="50"/>
      <c r="AL926" s="50"/>
    </row>
    <row r="927" spans="1:38" ht="13.8">
      <c r="A927" s="73"/>
      <c r="B927" s="74"/>
      <c r="C927" s="116"/>
      <c r="D927" s="24"/>
      <c r="E927" s="24"/>
      <c r="F927" s="24"/>
      <c r="G927" s="24"/>
      <c r="H927" s="24"/>
      <c r="I927" s="24"/>
      <c r="J927" s="63"/>
      <c r="K927" s="24"/>
      <c r="L927" s="118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119"/>
      <c r="X927" s="50"/>
      <c r="Y927" s="50"/>
      <c r="Z927" s="50"/>
      <c r="AA927" s="50"/>
      <c r="AB927" s="50"/>
      <c r="AC927" s="116"/>
      <c r="AD927" s="24"/>
      <c r="AE927" s="24"/>
      <c r="AF927" s="50"/>
      <c r="AG927" s="50"/>
      <c r="AH927" s="50"/>
      <c r="AI927" s="50"/>
      <c r="AJ927" s="50"/>
      <c r="AK927" s="50"/>
      <c r="AL927" s="50"/>
    </row>
    <row r="928" spans="1:38" ht="13.8">
      <c r="A928" s="73"/>
      <c r="B928" s="74"/>
      <c r="C928" s="116"/>
      <c r="D928" s="24"/>
      <c r="E928" s="24"/>
      <c r="F928" s="24"/>
      <c r="G928" s="24"/>
      <c r="H928" s="24"/>
      <c r="I928" s="24"/>
      <c r="J928" s="63"/>
      <c r="K928" s="24"/>
      <c r="L928" s="118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119"/>
      <c r="X928" s="50"/>
      <c r="Y928" s="50"/>
      <c r="Z928" s="50"/>
      <c r="AA928" s="50"/>
      <c r="AB928" s="50"/>
      <c r="AC928" s="116"/>
      <c r="AD928" s="24"/>
      <c r="AE928" s="24"/>
      <c r="AF928" s="50"/>
      <c r="AG928" s="50"/>
      <c r="AH928" s="50"/>
      <c r="AI928" s="50"/>
      <c r="AJ928" s="50"/>
      <c r="AK928" s="50"/>
      <c r="AL928" s="50"/>
    </row>
    <row r="929" spans="1:38" ht="13.8">
      <c r="A929" s="73"/>
      <c r="B929" s="74"/>
      <c r="C929" s="116"/>
      <c r="D929" s="24"/>
      <c r="E929" s="24"/>
      <c r="F929" s="24"/>
      <c r="G929" s="24"/>
      <c r="H929" s="24"/>
      <c r="I929" s="24"/>
      <c r="J929" s="63"/>
      <c r="K929" s="24"/>
      <c r="L929" s="118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119"/>
      <c r="X929" s="50"/>
      <c r="Y929" s="50"/>
      <c r="Z929" s="50"/>
      <c r="AA929" s="50"/>
      <c r="AB929" s="50"/>
      <c r="AC929" s="116"/>
      <c r="AD929" s="24"/>
      <c r="AE929" s="24"/>
      <c r="AF929" s="50"/>
      <c r="AG929" s="50"/>
      <c r="AH929" s="50"/>
      <c r="AI929" s="50"/>
      <c r="AJ929" s="50"/>
      <c r="AK929" s="50"/>
      <c r="AL929" s="50"/>
    </row>
    <row r="930" spans="1:38" ht="13.8">
      <c r="A930" s="73"/>
      <c r="B930" s="74"/>
      <c r="C930" s="116"/>
      <c r="D930" s="24"/>
      <c r="E930" s="24"/>
      <c r="F930" s="24"/>
      <c r="G930" s="24"/>
      <c r="H930" s="24"/>
      <c r="I930" s="24"/>
      <c r="J930" s="63"/>
      <c r="K930" s="24"/>
      <c r="L930" s="118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119"/>
      <c r="X930" s="50"/>
      <c r="Y930" s="50"/>
      <c r="Z930" s="50"/>
      <c r="AA930" s="50"/>
      <c r="AB930" s="50"/>
      <c r="AC930" s="116"/>
      <c r="AD930" s="24"/>
      <c r="AE930" s="24"/>
      <c r="AF930" s="50"/>
      <c r="AG930" s="50"/>
      <c r="AH930" s="50"/>
      <c r="AI930" s="50"/>
      <c r="AJ930" s="50"/>
      <c r="AK930" s="50"/>
      <c r="AL930" s="50"/>
    </row>
    <row r="931" spans="1:38" ht="13.8">
      <c r="A931" s="73"/>
      <c r="B931" s="74"/>
      <c r="C931" s="116"/>
      <c r="D931" s="24"/>
      <c r="E931" s="24"/>
      <c r="F931" s="24"/>
      <c r="G931" s="24"/>
      <c r="H931" s="24"/>
      <c r="I931" s="24"/>
      <c r="J931" s="63"/>
      <c r="K931" s="24"/>
      <c r="L931" s="118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119"/>
      <c r="X931" s="50"/>
      <c r="Y931" s="50"/>
      <c r="Z931" s="50"/>
      <c r="AA931" s="50"/>
      <c r="AB931" s="50"/>
      <c r="AC931" s="116"/>
      <c r="AD931" s="24"/>
      <c r="AE931" s="24"/>
      <c r="AF931" s="50"/>
      <c r="AG931" s="50"/>
      <c r="AH931" s="50"/>
      <c r="AI931" s="50"/>
      <c r="AJ931" s="50"/>
      <c r="AK931" s="50"/>
      <c r="AL931" s="50"/>
    </row>
    <row r="932" spans="1:38" ht="13.8">
      <c r="A932" s="73"/>
      <c r="B932" s="74"/>
      <c r="C932" s="116"/>
      <c r="D932" s="24"/>
      <c r="E932" s="24"/>
      <c r="F932" s="24"/>
      <c r="G932" s="24"/>
      <c r="H932" s="24"/>
      <c r="I932" s="24"/>
      <c r="J932" s="63"/>
      <c r="K932" s="24"/>
      <c r="L932" s="118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119"/>
      <c r="X932" s="50"/>
      <c r="Y932" s="50"/>
      <c r="Z932" s="50"/>
      <c r="AA932" s="50"/>
      <c r="AB932" s="50"/>
      <c r="AC932" s="116"/>
      <c r="AD932" s="24"/>
      <c r="AE932" s="24"/>
      <c r="AF932" s="50"/>
      <c r="AG932" s="50"/>
      <c r="AH932" s="50"/>
      <c r="AI932" s="50"/>
      <c r="AJ932" s="50"/>
      <c r="AK932" s="50"/>
      <c r="AL932" s="50"/>
    </row>
    <row r="933" spans="1:38" ht="13.8">
      <c r="A933" s="73"/>
      <c r="B933" s="74"/>
      <c r="C933" s="116"/>
      <c r="D933" s="24"/>
      <c r="E933" s="24"/>
      <c r="F933" s="24"/>
      <c r="G933" s="24"/>
      <c r="H933" s="24"/>
      <c r="I933" s="24"/>
      <c r="J933" s="63"/>
      <c r="K933" s="24"/>
      <c r="L933" s="118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119"/>
      <c r="X933" s="50"/>
      <c r="Y933" s="50"/>
      <c r="Z933" s="50"/>
      <c r="AA933" s="50"/>
      <c r="AB933" s="50"/>
      <c r="AC933" s="116"/>
      <c r="AD933" s="24"/>
      <c r="AE933" s="24"/>
      <c r="AF933" s="50"/>
      <c r="AG933" s="50"/>
      <c r="AH933" s="50"/>
      <c r="AI933" s="50"/>
      <c r="AJ933" s="50"/>
      <c r="AK933" s="50"/>
      <c r="AL933" s="50"/>
    </row>
    <row r="934" spans="1:38" ht="13.8">
      <c r="A934" s="73"/>
      <c r="B934" s="74"/>
      <c r="C934" s="116"/>
      <c r="D934" s="24"/>
      <c r="E934" s="24"/>
      <c r="F934" s="24"/>
      <c r="G934" s="24"/>
      <c r="H934" s="24"/>
      <c r="I934" s="24"/>
      <c r="J934" s="63"/>
      <c r="K934" s="24"/>
      <c r="L934" s="118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119"/>
      <c r="X934" s="50"/>
      <c r="Y934" s="50"/>
      <c r="Z934" s="50"/>
      <c r="AA934" s="50"/>
      <c r="AB934" s="50"/>
      <c r="AC934" s="116"/>
      <c r="AD934" s="24"/>
      <c r="AE934" s="24"/>
      <c r="AF934" s="50"/>
      <c r="AG934" s="50"/>
      <c r="AH934" s="50"/>
      <c r="AI934" s="50"/>
      <c r="AJ934" s="50"/>
      <c r="AK934" s="50"/>
      <c r="AL934" s="50"/>
    </row>
    <row r="935" spans="1:38" ht="13.8">
      <c r="A935" s="73"/>
      <c r="B935" s="74"/>
      <c r="C935" s="116"/>
      <c r="D935" s="24"/>
      <c r="E935" s="24"/>
      <c r="F935" s="24"/>
      <c r="G935" s="24"/>
      <c r="H935" s="24"/>
      <c r="I935" s="24"/>
      <c r="J935" s="63"/>
      <c r="K935" s="24"/>
      <c r="L935" s="118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119"/>
      <c r="X935" s="50"/>
      <c r="Y935" s="50"/>
      <c r="Z935" s="50"/>
      <c r="AA935" s="50"/>
      <c r="AB935" s="50"/>
      <c r="AC935" s="116"/>
      <c r="AD935" s="24"/>
      <c r="AE935" s="24"/>
      <c r="AF935" s="50"/>
      <c r="AG935" s="50"/>
      <c r="AH935" s="50"/>
      <c r="AI935" s="50"/>
      <c r="AJ935" s="50"/>
      <c r="AK935" s="50"/>
      <c r="AL935" s="50"/>
    </row>
    <row r="936" spans="1:38" ht="13.8">
      <c r="A936" s="73"/>
      <c r="B936" s="74"/>
      <c r="C936" s="116"/>
      <c r="D936" s="24"/>
      <c r="E936" s="24"/>
      <c r="F936" s="24"/>
      <c r="G936" s="24"/>
      <c r="H936" s="24"/>
      <c r="I936" s="24"/>
      <c r="J936" s="63"/>
      <c r="K936" s="24"/>
      <c r="L936" s="118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119"/>
      <c r="X936" s="50"/>
      <c r="Y936" s="50"/>
      <c r="Z936" s="50"/>
      <c r="AA936" s="50"/>
      <c r="AB936" s="50"/>
      <c r="AC936" s="116"/>
      <c r="AD936" s="24"/>
      <c r="AE936" s="24"/>
      <c r="AF936" s="50"/>
      <c r="AG936" s="50"/>
      <c r="AH936" s="50"/>
      <c r="AI936" s="50"/>
      <c r="AJ936" s="50"/>
      <c r="AK936" s="50"/>
      <c r="AL936" s="50"/>
    </row>
    <row r="937" spans="1:38" ht="13.8">
      <c r="A937" s="73"/>
      <c r="B937" s="74"/>
      <c r="C937" s="116"/>
      <c r="D937" s="24"/>
      <c r="E937" s="24"/>
      <c r="F937" s="24"/>
      <c r="G937" s="24"/>
      <c r="H937" s="24"/>
      <c r="I937" s="24"/>
      <c r="J937" s="63"/>
      <c r="K937" s="24"/>
      <c r="L937" s="118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119"/>
      <c r="X937" s="50"/>
      <c r="Y937" s="50"/>
      <c r="Z937" s="50"/>
      <c r="AA937" s="50"/>
      <c r="AB937" s="50"/>
      <c r="AC937" s="116"/>
      <c r="AD937" s="24"/>
      <c r="AE937" s="24"/>
      <c r="AF937" s="50"/>
      <c r="AG937" s="50"/>
      <c r="AH937" s="50"/>
      <c r="AI937" s="50"/>
      <c r="AJ937" s="50"/>
      <c r="AK937" s="50"/>
      <c r="AL937" s="50"/>
    </row>
    <row r="938" spans="1:38" ht="13.8">
      <c r="A938" s="73"/>
      <c r="B938" s="74"/>
      <c r="C938" s="116"/>
      <c r="D938" s="24"/>
      <c r="E938" s="24"/>
      <c r="F938" s="24"/>
      <c r="G938" s="24"/>
      <c r="H938" s="24"/>
      <c r="I938" s="24"/>
      <c r="J938" s="63"/>
      <c r="K938" s="24"/>
      <c r="L938" s="118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119"/>
      <c r="X938" s="50"/>
      <c r="Y938" s="50"/>
      <c r="Z938" s="50"/>
      <c r="AA938" s="50"/>
      <c r="AB938" s="50"/>
      <c r="AC938" s="116"/>
      <c r="AD938" s="24"/>
      <c r="AE938" s="24"/>
      <c r="AF938" s="50"/>
      <c r="AG938" s="50"/>
      <c r="AH938" s="50"/>
      <c r="AI938" s="50"/>
      <c r="AJ938" s="50"/>
      <c r="AK938" s="50"/>
      <c r="AL938" s="50"/>
    </row>
    <row r="939" spans="1:38" ht="13.8">
      <c r="A939" s="73"/>
      <c r="B939" s="74"/>
      <c r="C939" s="116"/>
      <c r="D939" s="24"/>
      <c r="E939" s="24"/>
      <c r="F939" s="24"/>
      <c r="G939" s="24"/>
      <c r="H939" s="24"/>
      <c r="I939" s="24"/>
      <c r="J939" s="63"/>
      <c r="K939" s="24"/>
      <c r="L939" s="118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119"/>
      <c r="X939" s="50"/>
      <c r="Y939" s="50"/>
      <c r="Z939" s="50"/>
      <c r="AA939" s="50"/>
      <c r="AB939" s="50"/>
      <c r="AC939" s="116"/>
      <c r="AD939" s="24"/>
      <c r="AE939" s="24"/>
      <c r="AF939" s="50"/>
      <c r="AG939" s="50"/>
      <c r="AH939" s="50"/>
      <c r="AI939" s="50"/>
      <c r="AJ939" s="50"/>
      <c r="AK939" s="50"/>
      <c r="AL939" s="50"/>
    </row>
    <row r="940" spans="1:38" ht="13.8">
      <c r="A940" s="73"/>
      <c r="B940" s="74"/>
      <c r="C940" s="116"/>
      <c r="D940" s="24"/>
      <c r="E940" s="24"/>
      <c r="F940" s="24"/>
      <c r="G940" s="24"/>
      <c r="H940" s="24"/>
      <c r="I940" s="24"/>
      <c r="J940" s="63"/>
      <c r="K940" s="24"/>
      <c r="L940" s="118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119"/>
      <c r="X940" s="50"/>
      <c r="Y940" s="50"/>
      <c r="Z940" s="50"/>
      <c r="AA940" s="50"/>
      <c r="AB940" s="50"/>
      <c r="AC940" s="116"/>
      <c r="AD940" s="24"/>
      <c r="AE940" s="24"/>
      <c r="AF940" s="50"/>
      <c r="AG940" s="50"/>
      <c r="AH940" s="50"/>
      <c r="AI940" s="50"/>
      <c r="AJ940" s="50"/>
      <c r="AK940" s="50"/>
      <c r="AL940" s="50"/>
    </row>
    <row r="941" spans="1:38" ht="13.8">
      <c r="A941" s="73"/>
      <c r="B941" s="74"/>
      <c r="C941" s="116"/>
      <c r="D941" s="24"/>
      <c r="E941" s="24"/>
      <c r="F941" s="24"/>
      <c r="G941" s="24"/>
      <c r="H941" s="24"/>
      <c r="I941" s="24"/>
      <c r="J941" s="63"/>
      <c r="K941" s="24"/>
      <c r="L941" s="118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119"/>
      <c r="X941" s="50"/>
      <c r="Y941" s="50"/>
      <c r="Z941" s="50"/>
      <c r="AA941" s="50"/>
      <c r="AB941" s="50"/>
      <c r="AC941" s="116"/>
      <c r="AD941" s="24"/>
      <c r="AE941" s="24"/>
      <c r="AF941" s="50"/>
      <c r="AG941" s="50"/>
      <c r="AH941" s="50"/>
      <c r="AI941" s="50"/>
      <c r="AJ941" s="50"/>
      <c r="AK941" s="50"/>
      <c r="AL941" s="50"/>
    </row>
    <row r="942" spans="1:38" ht="13.8">
      <c r="A942" s="73"/>
      <c r="B942" s="74"/>
      <c r="C942" s="116"/>
      <c r="D942" s="24"/>
      <c r="E942" s="24"/>
      <c r="F942" s="24"/>
      <c r="G942" s="24"/>
      <c r="H942" s="24"/>
      <c r="I942" s="24"/>
      <c r="J942" s="63"/>
      <c r="K942" s="24"/>
      <c r="L942" s="118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119"/>
      <c r="X942" s="50"/>
      <c r="Y942" s="50"/>
      <c r="Z942" s="50"/>
      <c r="AA942" s="50"/>
      <c r="AB942" s="50"/>
      <c r="AC942" s="116"/>
      <c r="AD942" s="24"/>
      <c r="AE942" s="24"/>
      <c r="AF942" s="50"/>
      <c r="AG942" s="50"/>
      <c r="AH942" s="50"/>
      <c r="AI942" s="50"/>
      <c r="AJ942" s="50"/>
      <c r="AK942" s="50"/>
      <c r="AL942" s="50"/>
    </row>
    <row r="943" spans="1:38" ht="13.8">
      <c r="A943" s="73"/>
      <c r="B943" s="74"/>
      <c r="C943" s="116"/>
      <c r="D943" s="24"/>
      <c r="E943" s="24"/>
      <c r="F943" s="24"/>
      <c r="G943" s="24"/>
      <c r="H943" s="24"/>
      <c r="I943" s="24"/>
      <c r="J943" s="63"/>
      <c r="K943" s="24"/>
      <c r="L943" s="118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119"/>
      <c r="X943" s="50"/>
      <c r="Y943" s="50"/>
      <c r="Z943" s="50"/>
      <c r="AA943" s="50"/>
      <c r="AB943" s="50"/>
      <c r="AC943" s="116"/>
      <c r="AD943" s="24"/>
      <c r="AE943" s="24"/>
      <c r="AF943" s="50"/>
      <c r="AG943" s="50"/>
      <c r="AH943" s="50"/>
      <c r="AI943" s="50"/>
      <c r="AJ943" s="50"/>
      <c r="AK943" s="50"/>
      <c r="AL943" s="50"/>
    </row>
    <row r="944" spans="1:38" ht="13.8">
      <c r="A944" s="73"/>
      <c r="B944" s="74"/>
      <c r="C944" s="116"/>
      <c r="D944" s="24"/>
      <c r="E944" s="24"/>
      <c r="F944" s="24"/>
      <c r="G944" s="24"/>
      <c r="H944" s="24"/>
      <c r="I944" s="24"/>
      <c r="J944" s="63"/>
      <c r="K944" s="24"/>
      <c r="L944" s="118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119"/>
      <c r="X944" s="50"/>
      <c r="Y944" s="50"/>
      <c r="Z944" s="50"/>
      <c r="AA944" s="50"/>
      <c r="AB944" s="50"/>
      <c r="AC944" s="116"/>
      <c r="AD944" s="24"/>
      <c r="AE944" s="24"/>
      <c r="AF944" s="50"/>
      <c r="AG944" s="50"/>
      <c r="AH944" s="50"/>
      <c r="AI944" s="50"/>
      <c r="AJ944" s="50"/>
      <c r="AK944" s="50"/>
      <c r="AL944" s="50"/>
    </row>
    <row r="945" spans="1:38" ht="13.8">
      <c r="A945" s="73"/>
      <c r="B945" s="74"/>
      <c r="C945" s="116"/>
      <c r="D945" s="24"/>
      <c r="E945" s="24"/>
      <c r="F945" s="24"/>
      <c r="G945" s="24"/>
      <c r="H945" s="24"/>
      <c r="I945" s="24"/>
      <c r="J945" s="63"/>
      <c r="K945" s="24"/>
      <c r="L945" s="118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119"/>
      <c r="X945" s="50"/>
      <c r="Y945" s="50"/>
      <c r="Z945" s="50"/>
      <c r="AA945" s="50"/>
      <c r="AB945" s="50"/>
      <c r="AC945" s="116"/>
      <c r="AD945" s="24"/>
      <c r="AE945" s="24"/>
      <c r="AF945" s="50"/>
      <c r="AG945" s="50"/>
      <c r="AH945" s="50"/>
      <c r="AI945" s="50"/>
      <c r="AJ945" s="50"/>
      <c r="AK945" s="50"/>
      <c r="AL945" s="50"/>
    </row>
    <row r="946" spans="1:38" ht="13.8">
      <c r="A946" s="73"/>
      <c r="B946" s="74"/>
      <c r="C946" s="116"/>
      <c r="D946" s="24"/>
      <c r="E946" s="24"/>
      <c r="F946" s="24"/>
      <c r="G946" s="24"/>
      <c r="H946" s="24"/>
      <c r="I946" s="24"/>
      <c r="J946" s="63"/>
      <c r="K946" s="24"/>
      <c r="L946" s="118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119"/>
      <c r="X946" s="50"/>
      <c r="Y946" s="50"/>
      <c r="Z946" s="50"/>
      <c r="AA946" s="50"/>
      <c r="AB946" s="50"/>
      <c r="AC946" s="116"/>
      <c r="AD946" s="24"/>
      <c r="AE946" s="24"/>
      <c r="AF946" s="50"/>
      <c r="AG946" s="50"/>
      <c r="AH946" s="50"/>
      <c r="AI946" s="50"/>
      <c r="AJ946" s="50"/>
      <c r="AK946" s="50"/>
      <c r="AL946" s="50"/>
    </row>
    <row r="947" spans="1:38" ht="13.8">
      <c r="A947" s="73"/>
      <c r="B947" s="74"/>
      <c r="C947" s="116"/>
      <c r="D947" s="24"/>
      <c r="E947" s="24"/>
      <c r="F947" s="24"/>
      <c r="G947" s="24"/>
      <c r="H947" s="24"/>
      <c r="I947" s="24"/>
      <c r="J947" s="63"/>
      <c r="K947" s="24"/>
      <c r="L947" s="118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119"/>
      <c r="X947" s="50"/>
      <c r="Y947" s="50"/>
      <c r="Z947" s="50"/>
      <c r="AA947" s="50"/>
      <c r="AB947" s="50"/>
      <c r="AC947" s="116"/>
      <c r="AD947" s="24"/>
      <c r="AE947" s="24"/>
      <c r="AF947" s="50"/>
      <c r="AG947" s="50"/>
      <c r="AH947" s="50"/>
      <c r="AI947" s="50"/>
      <c r="AJ947" s="50"/>
      <c r="AK947" s="50"/>
      <c r="AL947" s="50"/>
    </row>
  </sheetData>
  <autoFilter ref="A2:AE55" xr:uid="{00000000-0009-0000-0000-000001000000}"/>
  <mergeCells count="3">
    <mergeCell ref="A1:B1"/>
    <mergeCell ref="O1:Q1"/>
    <mergeCell ref="R1:T1"/>
  </mergeCells>
  <conditionalFormatting sqref="B3:B85">
    <cfRule type="expression" dxfId="20" priority="3">
      <formula>COUNTIF($B$3:$B$85, B3) &gt; 1</formula>
    </cfRule>
  </conditionalFormatting>
  <conditionalFormatting sqref="B48">
    <cfRule type="expression" dxfId="19" priority="1">
      <formula>COUNTIF($B$2:$B$98, B48) &gt; 1</formula>
    </cfRule>
  </conditionalFormatting>
  <conditionalFormatting sqref="E3:E55">
    <cfRule type="expression" dxfId="18" priority="6">
      <formula>E3&gt;=D3</formula>
    </cfRule>
  </conditionalFormatting>
  <conditionalFormatting sqref="G3:G55">
    <cfRule type="expression" dxfId="17" priority="8">
      <formula>G3&gt;=F3</formula>
    </cfRule>
  </conditionalFormatting>
  <conditionalFormatting sqref="I3:I55">
    <cfRule type="expression" dxfId="16" priority="9">
      <formula>I3&gt;=H3</formula>
    </cfRule>
  </conditionalFormatting>
  <conditionalFormatting sqref="J3:J55">
    <cfRule type="expression" dxfId="15" priority="2">
      <formula>AND(J3 &gt;= 80%,C3 &lt;&gt; "DSTV")</formula>
    </cfRule>
    <cfRule type="expression" dxfId="14" priority="5">
      <formula>AND(J3 &lt; 60%,C3 &lt;&gt; "DSTV")</formula>
    </cfRule>
  </conditionalFormatting>
  <conditionalFormatting sqref="L3:L55">
    <cfRule type="expression" dxfId="13" priority="7">
      <formula>L3=0.8</formula>
    </cfRule>
  </conditionalFormatting>
  <conditionalFormatting sqref="W1 W3:W947">
    <cfRule type="containsText" dxfId="12" priority="4" operator="containsText" text="pass">
      <formula>NOT(ISERROR(SEARCH(("pass"),(W1))))</formula>
    </cfRule>
  </conditionalFormatting>
  <dataValidations count="1">
    <dataValidation type="list" allowBlank="1" showErrorMessage="1" sqref="C3:C55" xr:uid="{00000000-0002-0000-0100-000000000000}">
      <formula1>"CHT,BC,PT,DSHV,DSTV,Q.CHT,DSXC,DSCD,DSXC (TV),DSCD (TV)"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1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" customHeight="1"/>
  <cols>
    <col min="1" max="1" width="22.88671875" customWidth="1"/>
    <col min="2" max="2" width="15" customWidth="1"/>
    <col min="3" max="3" width="16.109375" customWidth="1"/>
    <col min="4" max="4" width="15.6640625" customWidth="1"/>
    <col min="5" max="5" width="16.109375" customWidth="1"/>
    <col min="6" max="7" width="13.109375" customWidth="1"/>
    <col min="8" max="8" width="12.77734375" customWidth="1"/>
    <col min="9" max="10" width="12.6640625" customWidth="1"/>
    <col min="11" max="11" width="12.6640625" hidden="1" customWidth="1"/>
    <col min="12" max="21" width="12.6640625" customWidth="1"/>
    <col min="22" max="22" width="15.88671875" customWidth="1"/>
    <col min="23" max="23" width="14.21875" customWidth="1"/>
    <col min="24" max="38" width="12.6640625" customWidth="1"/>
  </cols>
  <sheetData>
    <row r="1" spans="1:38" ht="20.25" customHeight="1">
      <c r="A1" s="1"/>
      <c r="B1" s="1"/>
      <c r="C1" s="25"/>
      <c r="D1" s="120" t="s">
        <v>0</v>
      </c>
      <c r="E1" s="121"/>
      <c r="F1" s="30">
        <f>'kpi dược sĩ'!C1</f>
        <v>46262</v>
      </c>
      <c r="G1" s="25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0">
        <v>46265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9.75" customHeight="1">
      <c r="A2" s="40" t="s">
        <v>40</v>
      </c>
      <c r="B2" s="40" t="s">
        <v>1</v>
      </c>
      <c r="C2" s="40" t="s">
        <v>44</v>
      </c>
      <c r="D2" s="43" t="s">
        <v>45</v>
      </c>
      <c r="E2" s="44" t="s">
        <v>46</v>
      </c>
      <c r="F2" s="46" t="s">
        <v>49</v>
      </c>
      <c r="G2" s="46" t="s">
        <v>51</v>
      </c>
      <c r="H2" s="48" t="s">
        <v>52</v>
      </c>
      <c r="I2" s="48" t="s">
        <v>53</v>
      </c>
      <c r="J2" s="48" t="s">
        <v>54</v>
      </c>
      <c r="K2" s="48" t="s">
        <v>55</v>
      </c>
      <c r="L2" s="48" t="s">
        <v>55</v>
      </c>
      <c r="M2" s="53" t="s">
        <v>56</v>
      </c>
      <c r="N2" s="53" t="s">
        <v>63</v>
      </c>
      <c r="O2" s="53" t="s">
        <v>64</v>
      </c>
      <c r="P2" s="53" t="s">
        <v>65</v>
      </c>
      <c r="Q2" s="46" t="s">
        <v>66</v>
      </c>
      <c r="R2" s="46" t="s">
        <v>67</v>
      </c>
      <c r="S2" s="46" t="s">
        <v>68</v>
      </c>
      <c r="T2" s="46" t="s">
        <v>69</v>
      </c>
      <c r="U2" s="56" t="s">
        <v>72</v>
      </c>
      <c r="V2" s="43" t="s">
        <v>73</v>
      </c>
      <c r="W2" s="43" t="s">
        <v>74</v>
      </c>
      <c r="X2" s="43" t="s">
        <v>3</v>
      </c>
      <c r="Y2" s="43" t="s">
        <v>4</v>
      </c>
      <c r="Z2" s="43" t="s">
        <v>75</v>
      </c>
      <c r="AA2" s="57" t="s">
        <v>5</v>
      </c>
      <c r="AB2" s="57" t="s">
        <v>6</v>
      </c>
      <c r="AC2" s="57" t="s">
        <v>78</v>
      </c>
      <c r="AD2" s="58" t="s">
        <v>7</v>
      </c>
      <c r="AE2" s="58" t="s">
        <v>8</v>
      </c>
      <c r="AF2" s="58" t="s">
        <v>61</v>
      </c>
      <c r="AG2" s="59"/>
      <c r="AH2" s="59"/>
      <c r="AI2" s="59"/>
      <c r="AJ2" s="59"/>
      <c r="AK2" s="59"/>
      <c r="AL2" s="59"/>
    </row>
    <row r="3" spans="1:38" ht="15.75" customHeight="1">
      <c r="A3" s="60" t="s">
        <v>29</v>
      </c>
      <c r="B3" s="61" t="s">
        <v>12</v>
      </c>
      <c r="C3" s="13">
        <v>640000000</v>
      </c>
      <c r="D3" s="18">
        <f t="shared" ref="D3:D13" si="0">AE3</f>
        <v>422821143</v>
      </c>
      <c r="E3" s="18">
        <f>D3/DAY('kpi dược sĩ'!$C$1)</f>
        <v>15100755.107142856</v>
      </c>
      <c r="F3" s="62">
        <f t="shared" ref="F3:F13" si="1">E3/T3</f>
        <v>0.73144282550223216</v>
      </c>
      <c r="G3" s="18">
        <f t="shared" ref="G3:G13" si="2">IF(
    W3&lt;&gt;"Đạt",0,IF(E3&gt;=T3,D3*0.5%+1000000,IF(E3&gt;=P3,D3*0.4%+700000,IF(E3&gt;=K3,D3*0.35%+500000,0)))
)</f>
        <v>0</v>
      </c>
      <c r="H3" s="64">
        <v>0.8</v>
      </c>
      <c r="I3" s="18">
        <f t="shared" ref="I3:I13" si="3">J3*0.25</f>
        <v>128000000</v>
      </c>
      <c r="J3" s="18">
        <f t="shared" ref="J3:J13" si="4">C3*H3</f>
        <v>512000000</v>
      </c>
      <c r="K3" s="18">
        <f t="shared" ref="K3:K13" si="5">T3*H3</f>
        <v>16516129.032258064</v>
      </c>
      <c r="L3" s="18">
        <f t="shared" ref="L3:L13" si="6">CEILING(K3,100000)</f>
        <v>16600000</v>
      </c>
      <c r="M3" s="64">
        <v>0.9</v>
      </c>
      <c r="N3" s="18">
        <f t="shared" ref="N3:N13" si="7">O3*0.25</f>
        <v>144000000</v>
      </c>
      <c r="O3" s="18">
        <f t="shared" ref="O3:O13" si="8">C3*M3</f>
        <v>576000000</v>
      </c>
      <c r="P3" s="18">
        <f t="shared" ref="P3:P13" si="9">T3*M3</f>
        <v>18580645.161290321</v>
      </c>
      <c r="Q3" s="64">
        <v>1</v>
      </c>
      <c r="R3" s="18">
        <f t="shared" ref="R3:R13" si="10">S3*0.25</f>
        <v>160000000</v>
      </c>
      <c r="S3" s="18">
        <f t="shared" ref="S3:S13" si="11">C3*Q3</f>
        <v>640000000</v>
      </c>
      <c r="T3" s="18">
        <f t="shared" ref="T3:T13" si="12">C3/DAY($T$1)</f>
        <v>20645161.290322579</v>
      </c>
      <c r="U3" s="18">
        <f>SUMIF('Dự án T8'!$A:$A,B3,'Dự án T8'!D:D)*DAY($F$1)</f>
        <v>182721610</v>
      </c>
      <c r="V3" s="62">
        <f t="shared" ref="V3:V13" si="13">U3/D3</f>
        <v>0.43214870643306502</v>
      </c>
      <c r="W3" s="18" t="str">
        <f t="shared" ref="W3:W13" si="14">IF(OR(F3="",V3=""),"",IF(AND(F3&gt;=80%,V3&gt;=25%),"Đạt","Không đạt"))</f>
        <v>Không đạt</v>
      </c>
      <c r="X3" s="18">
        <f>SUMIF(data!$A:$A,B3,data!$C:$C)</f>
        <v>2176</v>
      </c>
      <c r="Y3" s="18">
        <f>SUMIF(data!$A:$A,B3,data!$D:$D)</f>
        <v>171544602</v>
      </c>
      <c r="Z3" s="18">
        <f t="shared" ref="Z3:Z14" si="15">Y3/X3</f>
        <v>78834.835477941175</v>
      </c>
      <c r="AA3" s="18">
        <f>SUMIF(data!$A:$A,B3,data!$E:$E)</f>
        <v>1265</v>
      </c>
      <c r="AB3" s="18">
        <f>SUMIF(data!$A:$A,B3,data!$F:$F)</f>
        <v>251276541</v>
      </c>
      <c r="AC3" s="18">
        <f t="shared" ref="AC3:AC14" si="16">AB3/AA3</f>
        <v>198637.58181818182</v>
      </c>
      <c r="AD3" s="18">
        <f t="shared" ref="AD3:AE3" si="17">X3+AA3</f>
        <v>3441</v>
      </c>
      <c r="AE3" s="18">
        <f t="shared" si="17"/>
        <v>422821143</v>
      </c>
      <c r="AF3" s="18">
        <f t="shared" ref="AF3:AF14" si="18">AE3/AD3</f>
        <v>122877.40278988666</v>
      </c>
      <c r="AG3" s="18"/>
      <c r="AH3" s="18"/>
      <c r="AI3" s="18"/>
      <c r="AJ3" s="18"/>
      <c r="AK3" s="18"/>
      <c r="AL3" s="18"/>
    </row>
    <row r="4" spans="1:38" ht="15.75" customHeight="1">
      <c r="A4" s="60" t="s">
        <v>79</v>
      </c>
      <c r="B4" s="61" t="s">
        <v>70</v>
      </c>
      <c r="C4" s="13">
        <v>1100000000</v>
      </c>
      <c r="D4" s="18">
        <f t="shared" si="0"/>
        <v>883370960</v>
      </c>
      <c r="E4" s="18">
        <f>D4/DAY('kpi dược sĩ'!$C$1)</f>
        <v>31548962.857142858</v>
      </c>
      <c r="F4" s="62">
        <f t="shared" si="1"/>
        <v>0.88910713506493511</v>
      </c>
      <c r="G4" s="18">
        <f t="shared" si="2"/>
        <v>0</v>
      </c>
      <c r="H4" s="64">
        <v>0.8</v>
      </c>
      <c r="I4" s="18">
        <f t="shared" si="3"/>
        <v>220000000</v>
      </c>
      <c r="J4" s="18">
        <f t="shared" si="4"/>
        <v>880000000</v>
      </c>
      <c r="K4" s="18">
        <f t="shared" si="5"/>
        <v>28387096.774193551</v>
      </c>
      <c r="L4" s="18">
        <f t="shared" si="6"/>
        <v>28400000</v>
      </c>
      <c r="M4" s="64">
        <v>0.9</v>
      </c>
      <c r="N4" s="18">
        <f t="shared" si="7"/>
        <v>247500000</v>
      </c>
      <c r="O4" s="18">
        <f t="shared" si="8"/>
        <v>990000000</v>
      </c>
      <c r="P4" s="18">
        <f t="shared" si="9"/>
        <v>31935483.870967742</v>
      </c>
      <c r="Q4" s="64">
        <v>1</v>
      </c>
      <c r="R4" s="18">
        <f t="shared" si="10"/>
        <v>275000000</v>
      </c>
      <c r="S4" s="18">
        <f t="shared" si="11"/>
        <v>1100000000</v>
      </c>
      <c r="T4" s="18">
        <f t="shared" si="12"/>
        <v>35483870.967741936</v>
      </c>
      <c r="U4" s="18">
        <f>SUMIF('Dự án T8'!$A:$A,B4,'Dự án T8'!D:D)*DAY($F$1)</f>
        <v>85503660</v>
      </c>
      <c r="V4" s="62">
        <f t="shared" si="13"/>
        <v>9.6792473232310008E-2</v>
      </c>
      <c r="W4" s="18" t="str">
        <f t="shared" si="14"/>
        <v>Không đạt</v>
      </c>
      <c r="X4" s="18">
        <f>SUMIF(data!$A:$A,B4,data!$C:$C)</f>
        <v>2625</v>
      </c>
      <c r="Y4" s="18">
        <f>SUMIF(data!$A:$A,B4,data!$D:$D)</f>
        <v>705472310</v>
      </c>
      <c r="Z4" s="18">
        <f t="shared" si="15"/>
        <v>268751.35619047622</v>
      </c>
      <c r="AA4" s="18">
        <f>SUMIF(data!$A:$A,B4,data!$E:$E)</f>
        <v>815</v>
      </c>
      <c r="AB4" s="18">
        <f>SUMIF(data!$A:$A,B4,data!$F:$F)</f>
        <v>177898650</v>
      </c>
      <c r="AC4" s="18">
        <f t="shared" si="16"/>
        <v>218280.55214723927</v>
      </c>
      <c r="AD4" s="18">
        <f t="shared" ref="AD4:AE4" si="19">X4+AA4</f>
        <v>3440</v>
      </c>
      <c r="AE4" s="18">
        <f t="shared" si="19"/>
        <v>883370960</v>
      </c>
      <c r="AF4" s="18">
        <f t="shared" si="18"/>
        <v>256793.88372093023</v>
      </c>
      <c r="AG4" s="18"/>
      <c r="AH4" s="18"/>
      <c r="AI4" s="18"/>
      <c r="AJ4" s="18"/>
      <c r="AK4" s="18"/>
      <c r="AL4" s="18"/>
    </row>
    <row r="5" spans="1:38" ht="15.75" customHeight="1">
      <c r="A5" s="60" t="s">
        <v>97</v>
      </c>
      <c r="B5" s="61" t="s">
        <v>91</v>
      </c>
      <c r="C5" s="13">
        <v>460000000</v>
      </c>
      <c r="D5" s="18">
        <f t="shared" si="0"/>
        <v>288503944</v>
      </c>
      <c r="E5" s="18">
        <f>D5/DAY('kpi dược sĩ'!$C$1)</f>
        <v>10303712.285714285</v>
      </c>
      <c r="F5" s="62">
        <f t="shared" si="1"/>
        <v>0.69438061055900613</v>
      </c>
      <c r="G5" s="18">
        <f t="shared" si="2"/>
        <v>0</v>
      </c>
      <c r="H5" s="64">
        <v>0.8</v>
      </c>
      <c r="I5" s="18">
        <f t="shared" si="3"/>
        <v>92000000</v>
      </c>
      <c r="J5" s="18">
        <f t="shared" si="4"/>
        <v>368000000</v>
      </c>
      <c r="K5" s="18">
        <f t="shared" si="5"/>
        <v>11870967.741935484</v>
      </c>
      <c r="L5" s="18">
        <f t="shared" si="6"/>
        <v>11900000</v>
      </c>
      <c r="M5" s="64">
        <v>0.9</v>
      </c>
      <c r="N5" s="18">
        <f t="shared" si="7"/>
        <v>103500000</v>
      </c>
      <c r="O5" s="18">
        <f t="shared" si="8"/>
        <v>414000000</v>
      </c>
      <c r="P5" s="18">
        <f t="shared" si="9"/>
        <v>13354838.709677421</v>
      </c>
      <c r="Q5" s="64">
        <v>1</v>
      </c>
      <c r="R5" s="18">
        <f t="shared" si="10"/>
        <v>115000000</v>
      </c>
      <c r="S5" s="18">
        <f t="shared" si="11"/>
        <v>460000000</v>
      </c>
      <c r="T5" s="18">
        <f t="shared" si="12"/>
        <v>14838709.677419355</v>
      </c>
      <c r="U5" s="18">
        <f>SUMIF('Dự án T8'!$A:$A,B5,'Dự án T8'!D:D)*DAY($F$1)</f>
        <v>119689428.00000001</v>
      </c>
      <c r="V5" s="62">
        <f t="shared" si="13"/>
        <v>0.41486236319875064</v>
      </c>
      <c r="W5" s="18" t="str">
        <f t="shared" si="14"/>
        <v>Không đạt</v>
      </c>
      <c r="X5" s="18">
        <f>SUMIF(data!$A:$A,B5,data!$C:$C)</f>
        <v>2611</v>
      </c>
      <c r="Y5" s="18">
        <f>SUMIF(data!$A:$A,B5,data!$D:$D)</f>
        <v>215881494</v>
      </c>
      <c r="Z5" s="18">
        <f t="shared" si="15"/>
        <v>82681.537342014548</v>
      </c>
      <c r="AA5" s="18">
        <f>SUMIF(data!$A:$A,B5,data!$E:$E)</f>
        <v>489</v>
      </c>
      <c r="AB5" s="18">
        <f>SUMIF(data!$A:$A,B5,data!$F:$F)</f>
        <v>72622450</v>
      </c>
      <c r="AC5" s="18">
        <f t="shared" si="16"/>
        <v>148512.16768916155</v>
      </c>
      <c r="AD5" s="18">
        <f t="shared" ref="AD5:AE5" si="20">X5+AA5</f>
        <v>3100</v>
      </c>
      <c r="AE5" s="18">
        <f t="shared" si="20"/>
        <v>288503944</v>
      </c>
      <c r="AF5" s="18">
        <f t="shared" si="18"/>
        <v>93065.788387096778</v>
      </c>
      <c r="AG5" s="18"/>
      <c r="AH5" s="18"/>
      <c r="AI5" s="18"/>
      <c r="AJ5" s="18"/>
      <c r="AK5" s="18"/>
      <c r="AL5" s="18"/>
    </row>
    <row r="6" spans="1:38" ht="15.75" customHeight="1">
      <c r="A6" s="60" t="s">
        <v>109</v>
      </c>
      <c r="B6" s="61" t="s">
        <v>98</v>
      </c>
      <c r="C6" s="13">
        <v>330000000</v>
      </c>
      <c r="D6" s="18">
        <f t="shared" si="0"/>
        <v>206337778</v>
      </c>
      <c r="E6" s="18">
        <f>D6/DAY('kpi dược sĩ'!$C$1)</f>
        <v>7369206.3571428573</v>
      </c>
      <c r="F6" s="62">
        <f t="shared" si="1"/>
        <v>0.69225877900432897</v>
      </c>
      <c r="G6" s="18">
        <f t="shared" si="2"/>
        <v>0</v>
      </c>
      <c r="H6" s="64">
        <v>0.8</v>
      </c>
      <c r="I6" s="18">
        <f t="shared" si="3"/>
        <v>66000000</v>
      </c>
      <c r="J6" s="18">
        <f t="shared" si="4"/>
        <v>264000000</v>
      </c>
      <c r="K6" s="18">
        <f t="shared" si="5"/>
        <v>8516129.0322580654</v>
      </c>
      <c r="L6" s="18">
        <f t="shared" si="6"/>
        <v>8600000</v>
      </c>
      <c r="M6" s="64">
        <v>0.9</v>
      </c>
      <c r="N6" s="18">
        <f t="shared" si="7"/>
        <v>74250000</v>
      </c>
      <c r="O6" s="18">
        <f t="shared" si="8"/>
        <v>297000000</v>
      </c>
      <c r="P6" s="18">
        <f t="shared" si="9"/>
        <v>9580645.1612903234</v>
      </c>
      <c r="Q6" s="64">
        <v>1</v>
      </c>
      <c r="R6" s="18">
        <f t="shared" si="10"/>
        <v>82500000</v>
      </c>
      <c r="S6" s="18">
        <f t="shared" si="11"/>
        <v>330000000</v>
      </c>
      <c r="T6" s="18">
        <f t="shared" si="12"/>
        <v>10645161.290322581</v>
      </c>
      <c r="U6" s="18">
        <f>SUMIF('Dự án T8'!$A:$A,B6,'Dự án T8'!D:D)*DAY($F$1)</f>
        <v>80482838</v>
      </c>
      <c r="V6" s="62">
        <f t="shared" si="13"/>
        <v>0.39005381748367962</v>
      </c>
      <c r="W6" s="18" t="str">
        <f t="shared" si="14"/>
        <v>Không đạt</v>
      </c>
      <c r="X6" s="18">
        <f>SUMIF(data!$A:$A,B6,data!$C:$C)</f>
        <v>1468</v>
      </c>
      <c r="Y6" s="18">
        <f>SUMIF(data!$A:$A,B6,data!$D:$D)</f>
        <v>107946928</v>
      </c>
      <c r="Z6" s="18">
        <f t="shared" si="15"/>
        <v>73533.329700272487</v>
      </c>
      <c r="AA6" s="18">
        <f>SUMIF(data!$A:$A,B6,data!$E:$E)</f>
        <v>478</v>
      </c>
      <c r="AB6" s="18">
        <f>SUMIF(data!$A:$A,B6,data!$F:$F)</f>
        <v>98390850</v>
      </c>
      <c r="AC6" s="18">
        <f t="shared" si="16"/>
        <v>205838.59832635985</v>
      </c>
      <c r="AD6" s="18">
        <f t="shared" ref="AD6:AE6" si="21">X6+AA6</f>
        <v>1946</v>
      </c>
      <c r="AE6" s="18">
        <f t="shared" si="21"/>
        <v>206337778</v>
      </c>
      <c r="AF6" s="18">
        <f t="shared" si="18"/>
        <v>106031.74614594039</v>
      </c>
      <c r="AG6" s="18"/>
      <c r="AH6" s="18"/>
      <c r="AI6" s="18"/>
      <c r="AJ6" s="18"/>
      <c r="AK6" s="18"/>
      <c r="AL6" s="18"/>
    </row>
    <row r="7" spans="1:38" ht="15.75" customHeight="1">
      <c r="A7" s="60" t="s">
        <v>108</v>
      </c>
      <c r="B7" s="61" t="s">
        <v>106</v>
      </c>
      <c r="C7" s="13">
        <v>550000000</v>
      </c>
      <c r="D7" s="18">
        <f t="shared" si="0"/>
        <v>369744300</v>
      </c>
      <c r="E7" s="18">
        <f>D7/DAY('kpi dược sĩ'!$C$1)</f>
        <v>13205153.571428571</v>
      </c>
      <c r="F7" s="62">
        <f t="shared" si="1"/>
        <v>0.74429047402597392</v>
      </c>
      <c r="G7" s="18" t="e">
        <f t="shared" si="2"/>
        <v>#N/A</v>
      </c>
      <c r="H7" s="64">
        <v>0.8</v>
      </c>
      <c r="I7" s="18">
        <f t="shared" si="3"/>
        <v>110000000</v>
      </c>
      <c r="J7" s="18">
        <f t="shared" si="4"/>
        <v>440000000</v>
      </c>
      <c r="K7" s="18">
        <f t="shared" si="5"/>
        <v>14193548.387096776</v>
      </c>
      <c r="L7" s="18">
        <f t="shared" si="6"/>
        <v>14200000</v>
      </c>
      <c r="M7" s="64">
        <v>0.9</v>
      </c>
      <c r="N7" s="18">
        <f t="shared" si="7"/>
        <v>123750000</v>
      </c>
      <c r="O7" s="18">
        <f t="shared" si="8"/>
        <v>495000000</v>
      </c>
      <c r="P7" s="18">
        <f t="shared" si="9"/>
        <v>15967741.935483871</v>
      </c>
      <c r="Q7" s="64">
        <v>1</v>
      </c>
      <c r="R7" s="18">
        <f t="shared" si="10"/>
        <v>137500000</v>
      </c>
      <c r="S7" s="18">
        <f t="shared" si="11"/>
        <v>550000000</v>
      </c>
      <c r="T7" s="18">
        <f t="shared" si="12"/>
        <v>17741935.483870968</v>
      </c>
      <c r="U7" s="18" t="e">
        <f>SUMIF('Dự án T8'!$A:$A,B7,'Dự án T8'!D:D)*DAY($F$1)</f>
        <v>#N/A</v>
      </c>
      <c r="V7" s="62" t="e">
        <f t="shared" si="13"/>
        <v>#N/A</v>
      </c>
      <c r="W7" s="18" t="e">
        <f t="shared" si="14"/>
        <v>#N/A</v>
      </c>
      <c r="X7" s="18">
        <f>SUMIF(data!$A:$A,B7,data!$C:$C)</f>
        <v>2191</v>
      </c>
      <c r="Y7" s="18">
        <f>SUMIF(data!$A:$A,B7,data!$D:$D)</f>
        <v>183768725</v>
      </c>
      <c r="Z7" s="18">
        <f t="shared" si="15"/>
        <v>83874.361022364217</v>
      </c>
      <c r="AA7" s="18">
        <f>SUMIF(data!$A:$A,B7,data!$E:$E)</f>
        <v>714</v>
      </c>
      <c r="AB7" s="18">
        <f>SUMIF(data!$A:$A,B7,data!$F:$F)</f>
        <v>185975575</v>
      </c>
      <c r="AC7" s="18">
        <f t="shared" si="16"/>
        <v>260469.99299719889</v>
      </c>
      <c r="AD7" s="18">
        <f t="shared" ref="AD7:AE7" si="22">X7+AA7</f>
        <v>2905</v>
      </c>
      <c r="AE7" s="18">
        <f t="shared" si="22"/>
        <v>369744300</v>
      </c>
      <c r="AF7" s="18">
        <f t="shared" si="18"/>
        <v>127278.58864027538</v>
      </c>
      <c r="AG7" s="18"/>
      <c r="AH7" s="18"/>
      <c r="AI7" s="18"/>
      <c r="AJ7" s="18"/>
      <c r="AK7" s="18"/>
      <c r="AL7" s="18"/>
    </row>
    <row r="8" spans="1:38" ht="15.75" customHeight="1">
      <c r="A8" s="60" t="s">
        <v>115</v>
      </c>
      <c r="B8" s="61" t="s">
        <v>112</v>
      </c>
      <c r="C8" s="13">
        <v>545000000</v>
      </c>
      <c r="D8" s="18">
        <f t="shared" si="0"/>
        <v>371046068</v>
      </c>
      <c r="E8" s="18">
        <f>D8/DAY('kpi dược sĩ'!$C$1)</f>
        <v>13251645.285714285</v>
      </c>
      <c r="F8" s="62">
        <f t="shared" si="1"/>
        <v>0.75376330982961992</v>
      </c>
      <c r="G8" s="18">
        <f t="shared" si="2"/>
        <v>0</v>
      </c>
      <c r="H8" s="64">
        <v>0.8</v>
      </c>
      <c r="I8" s="18">
        <f t="shared" si="3"/>
        <v>109000000</v>
      </c>
      <c r="J8" s="18">
        <f t="shared" si="4"/>
        <v>436000000</v>
      </c>
      <c r="K8" s="18">
        <f t="shared" si="5"/>
        <v>14064516.129032258</v>
      </c>
      <c r="L8" s="18">
        <f t="shared" si="6"/>
        <v>14100000</v>
      </c>
      <c r="M8" s="64">
        <v>0.9</v>
      </c>
      <c r="N8" s="18">
        <f t="shared" si="7"/>
        <v>122625000</v>
      </c>
      <c r="O8" s="18">
        <f t="shared" si="8"/>
        <v>490500000</v>
      </c>
      <c r="P8" s="18">
        <f t="shared" si="9"/>
        <v>15822580.64516129</v>
      </c>
      <c r="Q8" s="64">
        <v>1</v>
      </c>
      <c r="R8" s="18">
        <f t="shared" si="10"/>
        <v>136250000</v>
      </c>
      <c r="S8" s="18">
        <f t="shared" si="11"/>
        <v>545000000</v>
      </c>
      <c r="T8" s="18">
        <f t="shared" si="12"/>
        <v>17580645.161290321</v>
      </c>
      <c r="U8" s="18">
        <f>SUMIF('Dự án T8'!$A:$A,B8,'Dự án T8'!D:D)*DAY($F$1)</f>
        <v>73088899.999999985</v>
      </c>
      <c r="V8" s="62">
        <f t="shared" si="13"/>
        <v>0.1969806617112568</v>
      </c>
      <c r="W8" s="18" t="str">
        <f t="shared" si="14"/>
        <v>Không đạt</v>
      </c>
      <c r="X8" s="18">
        <f>SUMIF(data!$A:$A,B8,data!$C:$C)</f>
        <v>1797</v>
      </c>
      <c r="Y8" s="18">
        <f>SUMIF(data!$A:$A,B8,data!$D:$D)</f>
        <v>122940600</v>
      </c>
      <c r="Z8" s="18">
        <f t="shared" si="15"/>
        <v>68414.357262103513</v>
      </c>
      <c r="AA8" s="18">
        <f>SUMIF(data!$A:$A,B8,data!$E:$E)</f>
        <v>1141</v>
      </c>
      <c r="AB8" s="18">
        <f>SUMIF(data!$A:$A,B8,data!$F:$F)</f>
        <v>248105468</v>
      </c>
      <c r="AC8" s="18">
        <f t="shared" si="16"/>
        <v>217445.63365468886</v>
      </c>
      <c r="AD8" s="18">
        <f t="shared" ref="AD8:AE8" si="23">X8+AA8</f>
        <v>2938</v>
      </c>
      <c r="AE8" s="18">
        <f t="shared" si="23"/>
        <v>371046068</v>
      </c>
      <c r="AF8" s="18">
        <f t="shared" si="18"/>
        <v>126292.05854322668</v>
      </c>
      <c r="AG8" s="18"/>
      <c r="AH8" s="18"/>
      <c r="AI8" s="18"/>
      <c r="AJ8" s="18"/>
      <c r="AK8" s="18"/>
      <c r="AL8" s="18"/>
    </row>
    <row r="9" spans="1:38" ht="15.75" customHeight="1">
      <c r="A9" s="60" t="s">
        <v>117</v>
      </c>
      <c r="B9" s="61" t="s">
        <v>118</v>
      </c>
      <c r="C9" s="13">
        <v>400000000</v>
      </c>
      <c r="D9" s="18">
        <f t="shared" si="0"/>
        <v>251130550</v>
      </c>
      <c r="E9" s="18">
        <f>D9/DAY('kpi dược sĩ'!$C$1)</f>
        <v>8968948.2142857146</v>
      </c>
      <c r="F9" s="62">
        <f t="shared" si="1"/>
        <v>0.69509348660714287</v>
      </c>
      <c r="G9" s="18">
        <f t="shared" si="2"/>
        <v>0</v>
      </c>
      <c r="H9" s="64">
        <v>0.8</v>
      </c>
      <c r="I9" s="18">
        <f t="shared" si="3"/>
        <v>80000000</v>
      </c>
      <c r="J9" s="18">
        <f t="shared" si="4"/>
        <v>320000000</v>
      </c>
      <c r="K9" s="18">
        <f t="shared" si="5"/>
        <v>10322580.645161292</v>
      </c>
      <c r="L9" s="18">
        <f t="shared" si="6"/>
        <v>10400000</v>
      </c>
      <c r="M9" s="64">
        <v>0.9</v>
      </c>
      <c r="N9" s="18">
        <f t="shared" si="7"/>
        <v>90000000</v>
      </c>
      <c r="O9" s="18">
        <f t="shared" si="8"/>
        <v>360000000</v>
      </c>
      <c r="P9" s="18">
        <f t="shared" si="9"/>
        <v>11612903.225806452</v>
      </c>
      <c r="Q9" s="64">
        <v>1</v>
      </c>
      <c r="R9" s="18">
        <f t="shared" si="10"/>
        <v>100000000</v>
      </c>
      <c r="S9" s="18">
        <f t="shared" si="11"/>
        <v>400000000</v>
      </c>
      <c r="T9" s="18">
        <f t="shared" si="12"/>
        <v>12903225.806451613</v>
      </c>
      <c r="U9" s="18">
        <f>SUMIF('Dự án T8'!$A:$A,B9,'Dự án T8'!D:D)*DAY($F$1)</f>
        <v>111537019</v>
      </c>
      <c r="V9" s="62">
        <f t="shared" si="13"/>
        <v>0.4441395879553483</v>
      </c>
      <c r="W9" s="18" t="str">
        <f t="shared" si="14"/>
        <v>Không đạt</v>
      </c>
      <c r="X9" s="18">
        <f>SUMIF(data!$A:$A,B9,data!$C:$C)</f>
        <v>2696</v>
      </c>
      <c r="Y9" s="18">
        <f>SUMIF(data!$A:$A,B9,data!$D:$D)</f>
        <v>179324900</v>
      </c>
      <c r="Z9" s="18">
        <f t="shared" si="15"/>
        <v>66515.170623145401</v>
      </c>
      <c r="AA9" s="18">
        <f>SUMIF(data!$A:$A,B9,data!$E:$E)</f>
        <v>518</v>
      </c>
      <c r="AB9" s="18">
        <f>SUMIF(data!$A:$A,B9,data!$F:$F)</f>
        <v>71805650</v>
      </c>
      <c r="AC9" s="18">
        <f t="shared" si="16"/>
        <v>138620.94594594595</v>
      </c>
      <c r="AD9" s="18">
        <f t="shared" ref="AD9:AE9" si="24">X9+AA9</f>
        <v>3214</v>
      </c>
      <c r="AE9" s="18">
        <f t="shared" si="24"/>
        <v>251130550</v>
      </c>
      <c r="AF9" s="18">
        <f t="shared" si="18"/>
        <v>78136.449906658367</v>
      </c>
      <c r="AG9" s="18"/>
      <c r="AH9" s="18"/>
      <c r="AI9" s="18"/>
      <c r="AJ9" s="18"/>
      <c r="AK9" s="18"/>
      <c r="AL9" s="18"/>
    </row>
    <row r="10" spans="1:38" ht="15.75" customHeight="1">
      <c r="A10" s="60" t="s">
        <v>114</v>
      </c>
      <c r="B10" s="61" t="s">
        <v>124</v>
      </c>
      <c r="C10" s="13">
        <v>420000000</v>
      </c>
      <c r="D10" s="18">
        <f t="shared" si="0"/>
        <v>302503100</v>
      </c>
      <c r="E10" s="18">
        <f>D10/DAY('kpi dược sĩ'!$C$1)</f>
        <v>10803682.142857144</v>
      </c>
      <c r="F10" s="62">
        <f t="shared" si="1"/>
        <v>0.79741463435374149</v>
      </c>
      <c r="G10" s="18">
        <f t="shared" si="2"/>
        <v>0</v>
      </c>
      <c r="H10" s="64">
        <v>0.8</v>
      </c>
      <c r="I10" s="18">
        <f t="shared" si="3"/>
        <v>84000000</v>
      </c>
      <c r="J10" s="18">
        <f t="shared" si="4"/>
        <v>336000000</v>
      </c>
      <c r="K10" s="18">
        <f t="shared" si="5"/>
        <v>10838709.677419357</v>
      </c>
      <c r="L10" s="18">
        <f t="shared" si="6"/>
        <v>10900000</v>
      </c>
      <c r="M10" s="64">
        <v>0.9</v>
      </c>
      <c r="N10" s="18">
        <f t="shared" si="7"/>
        <v>94500000</v>
      </c>
      <c r="O10" s="18">
        <f t="shared" si="8"/>
        <v>378000000</v>
      </c>
      <c r="P10" s="18">
        <f t="shared" si="9"/>
        <v>12193548.387096776</v>
      </c>
      <c r="Q10" s="64">
        <v>1</v>
      </c>
      <c r="R10" s="18">
        <f t="shared" si="10"/>
        <v>105000000</v>
      </c>
      <c r="S10" s="18">
        <f t="shared" si="11"/>
        <v>420000000</v>
      </c>
      <c r="T10" s="18">
        <f t="shared" si="12"/>
        <v>13548387.096774194</v>
      </c>
      <c r="U10" s="18">
        <f>SUMIF('Dự án T8'!$A:$A,B10,'Dự án T8'!D:D)*DAY($F$1)</f>
        <v>88217979</v>
      </c>
      <c r="V10" s="62">
        <f t="shared" si="13"/>
        <v>0.29162669407354835</v>
      </c>
      <c r="W10" s="18" t="str">
        <f t="shared" si="14"/>
        <v>Không đạt</v>
      </c>
      <c r="X10" s="18">
        <f>SUMIF(data!$A:$A,B10,data!$C:$C)</f>
        <v>1640</v>
      </c>
      <c r="Y10" s="18">
        <f>SUMIF(data!$A:$A,B10,data!$D:$D)</f>
        <v>133699800</v>
      </c>
      <c r="Z10" s="18">
        <f t="shared" si="15"/>
        <v>81524.268292682929</v>
      </c>
      <c r="AA10" s="18">
        <f>SUMIF(data!$A:$A,B10,data!$E:$E)</f>
        <v>663</v>
      </c>
      <c r="AB10" s="18">
        <f>SUMIF(data!$A:$A,B10,data!$F:$F)</f>
        <v>168803300</v>
      </c>
      <c r="AC10" s="18">
        <f t="shared" si="16"/>
        <v>254605.27903469079</v>
      </c>
      <c r="AD10" s="18">
        <f t="shared" ref="AD10:AE10" si="25">X10+AA10</f>
        <v>2303</v>
      </c>
      <c r="AE10" s="18">
        <f t="shared" si="25"/>
        <v>302503100</v>
      </c>
      <c r="AF10" s="18">
        <f t="shared" si="18"/>
        <v>131351.75857577074</v>
      </c>
      <c r="AG10" s="18"/>
      <c r="AH10" s="18"/>
      <c r="AI10" s="18"/>
      <c r="AJ10" s="18"/>
      <c r="AK10" s="18"/>
      <c r="AL10" s="18"/>
    </row>
    <row r="11" spans="1:38" ht="15.75" customHeight="1">
      <c r="A11" s="60" t="s">
        <v>17</v>
      </c>
      <c r="B11" s="61" t="s">
        <v>85</v>
      </c>
      <c r="C11" s="13">
        <v>325500000</v>
      </c>
      <c r="D11" s="18">
        <f t="shared" si="0"/>
        <v>168556770</v>
      </c>
      <c r="E11" s="18">
        <f>D11/DAY('kpi dược sĩ'!$C$1)</f>
        <v>6019884.6428571427</v>
      </c>
      <c r="F11" s="62">
        <f t="shared" si="1"/>
        <v>0.57332234693877548</v>
      </c>
      <c r="G11" s="18">
        <f t="shared" si="2"/>
        <v>0</v>
      </c>
      <c r="H11" s="64">
        <v>0.8</v>
      </c>
      <c r="I11" s="18">
        <f t="shared" si="3"/>
        <v>65100000</v>
      </c>
      <c r="J11" s="18">
        <f t="shared" si="4"/>
        <v>260400000</v>
      </c>
      <c r="K11" s="18">
        <f t="shared" si="5"/>
        <v>8400000</v>
      </c>
      <c r="L11" s="18">
        <f t="shared" si="6"/>
        <v>8400000</v>
      </c>
      <c r="M11" s="64">
        <v>0.9</v>
      </c>
      <c r="N11" s="18">
        <f t="shared" si="7"/>
        <v>73237500</v>
      </c>
      <c r="O11" s="18">
        <f t="shared" si="8"/>
        <v>292950000</v>
      </c>
      <c r="P11" s="18">
        <f t="shared" si="9"/>
        <v>9450000</v>
      </c>
      <c r="Q11" s="64">
        <v>1</v>
      </c>
      <c r="R11" s="18">
        <f t="shared" si="10"/>
        <v>81375000</v>
      </c>
      <c r="S11" s="18">
        <f t="shared" si="11"/>
        <v>325500000</v>
      </c>
      <c r="T11" s="18">
        <f t="shared" si="12"/>
        <v>10500000</v>
      </c>
      <c r="U11" s="18">
        <f>SUMIF('Dự án T8'!$A:$A,B11,'Dự án T8'!D:D)*DAY($F$1)</f>
        <v>74398544</v>
      </c>
      <c r="V11" s="62">
        <f t="shared" si="13"/>
        <v>0.44138567676634999</v>
      </c>
      <c r="W11" s="18" t="str">
        <f t="shared" si="14"/>
        <v>Không đạt</v>
      </c>
      <c r="X11" s="18">
        <f>SUMIF(data!$A:$A,B11,data!$C:$C)</f>
        <v>1023</v>
      </c>
      <c r="Y11" s="18">
        <f>SUMIF(data!$A:$A,B11,data!$D:$D)</f>
        <v>94073000</v>
      </c>
      <c r="Z11" s="18">
        <f t="shared" si="15"/>
        <v>91957.966764418379</v>
      </c>
      <c r="AA11" s="18">
        <f>SUMIF(data!$A:$A,B11,data!$E:$E)</f>
        <v>432</v>
      </c>
      <c r="AB11" s="18">
        <f>SUMIF(data!$A:$A,B11,data!$F:$F)</f>
        <v>74483770</v>
      </c>
      <c r="AC11" s="18">
        <f t="shared" si="16"/>
        <v>172416.13425925927</v>
      </c>
      <c r="AD11" s="18">
        <f t="shared" ref="AD11:AE11" si="26">X11+AA11</f>
        <v>1455</v>
      </c>
      <c r="AE11" s="18">
        <f t="shared" si="26"/>
        <v>168556770</v>
      </c>
      <c r="AF11" s="18">
        <f t="shared" si="18"/>
        <v>115846.57731958762</v>
      </c>
      <c r="AG11" s="18"/>
      <c r="AH11" s="18"/>
      <c r="AI11" s="18"/>
      <c r="AJ11" s="18"/>
      <c r="AK11" s="18"/>
      <c r="AL11" s="18"/>
    </row>
    <row r="12" spans="1:38" ht="15.75" customHeight="1">
      <c r="A12" s="60" t="s">
        <v>84</v>
      </c>
      <c r="B12" s="61" t="s">
        <v>83</v>
      </c>
      <c r="C12" s="13">
        <v>980000000</v>
      </c>
      <c r="D12" s="18">
        <f t="shared" si="0"/>
        <v>700342409</v>
      </c>
      <c r="E12" s="18">
        <f>D12/DAY('kpi dược sĩ'!$C$1)</f>
        <v>25012228.892857142</v>
      </c>
      <c r="F12" s="62">
        <f t="shared" si="1"/>
        <v>0.79120315885568504</v>
      </c>
      <c r="G12" s="18">
        <f t="shared" si="2"/>
        <v>0</v>
      </c>
      <c r="H12" s="64">
        <v>0.8</v>
      </c>
      <c r="I12" s="18">
        <f t="shared" si="3"/>
        <v>196000000</v>
      </c>
      <c r="J12" s="18">
        <f t="shared" si="4"/>
        <v>784000000</v>
      </c>
      <c r="K12" s="18">
        <f t="shared" si="5"/>
        <v>25290322.580645163</v>
      </c>
      <c r="L12" s="18">
        <f t="shared" si="6"/>
        <v>25300000</v>
      </c>
      <c r="M12" s="64">
        <v>0.9</v>
      </c>
      <c r="N12" s="18">
        <f t="shared" si="7"/>
        <v>220500000</v>
      </c>
      <c r="O12" s="18">
        <f t="shared" si="8"/>
        <v>882000000</v>
      </c>
      <c r="P12" s="18">
        <f t="shared" si="9"/>
        <v>28451612.903225809</v>
      </c>
      <c r="Q12" s="64">
        <v>1</v>
      </c>
      <c r="R12" s="18">
        <f t="shared" si="10"/>
        <v>245000000</v>
      </c>
      <c r="S12" s="18">
        <f t="shared" si="11"/>
        <v>980000000</v>
      </c>
      <c r="T12" s="18">
        <f t="shared" si="12"/>
        <v>31612903.225806452</v>
      </c>
      <c r="U12" s="18">
        <f>SUMIF('Dự án T8'!$A:$A,B12,'Dự án T8'!D:D)*DAY($F$1)</f>
        <v>299660971</v>
      </c>
      <c r="V12" s="62">
        <f t="shared" si="13"/>
        <v>0.42787780255643493</v>
      </c>
      <c r="W12" s="18" t="str">
        <f t="shared" si="14"/>
        <v>Không đạt</v>
      </c>
      <c r="X12" s="18">
        <f>SUMIF(data!$A:$A,B12,data!$C:$C)</f>
        <v>2119</v>
      </c>
      <c r="Y12" s="18">
        <f>SUMIF(data!$A:$A,B12,data!$D:$D)</f>
        <v>243596095</v>
      </c>
      <c r="Z12" s="18">
        <f t="shared" si="15"/>
        <v>114958.04388862671</v>
      </c>
      <c r="AA12" s="18">
        <f>SUMIF(data!$A:$A,B12,data!$E:$E)</f>
        <v>1854</v>
      </c>
      <c r="AB12" s="18">
        <f>SUMIF(data!$A:$A,B12,data!$F:$F)</f>
        <v>456746314</v>
      </c>
      <c r="AC12" s="18">
        <f t="shared" si="16"/>
        <v>246357.23516720603</v>
      </c>
      <c r="AD12" s="18">
        <f t="shared" ref="AD12:AE12" si="27">X12+AA12</f>
        <v>3973</v>
      </c>
      <c r="AE12" s="18">
        <f t="shared" si="27"/>
        <v>700342409</v>
      </c>
      <c r="AF12" s="18">
        <f t="shared" si="18"/>
        <v>176275.46161590738</v>
      </c>
      <c r="AG12" s="18"/>
      <c r="AH12" s="18"/>
      <c r="AI12" s="18"/>
      <c r="AJ12" s="18"/>
      <c r="AK12" s="18"/>
      <c r="AL12" s="18"/>
    </row>
    <row r="13" spans="1:38" ht="15.75" customHeight="1">
      <c r="A13" s="60" t="s">
        <v>24</v>
      </c>
      <c r="B13" s="61" t="s">
        <v>23</v>
      </c>
      <c r="C13" s="13">
        <v>1270000000</v>
      </c>
      <c r="D13" s="18">
        <f t="shared" si="0"/>
        <v>925783725</v>
      </c>
      <c r="E13" s="18">
        <f>D13/DAY('kpi dược sĩ'!$C$1)</f>
        <v>33063704.464285713</v>
      </c>
      <c r="F13" s="62">
        <f t="shared" si="1"/>
        <v>0.80706680188413937</v>
      </c>
      <c r="G13" s="18" t="e">
        <f t="shared" ca="1" si="2"/>
        <v>#NAME?</v>
      </c>
      <c r="H13" s="64">
        <v>0.8</v>
      </c>
      <c r="I13" s="18">
        <f t="shared" si="3"/>
        <v>254000000</v>
      </c>
      <c r="J13" s="18">
        <f t="shared" si="4"/>
        <v>1016000000</v>
      </c>
      <c r="K13" s="18">
        <f t="shared" si="5"/>
        <v>32774193.548387099</v>
      </c>
      <c r="L13" s="18">
        <f t="shared" si="6"/>
        <v>32800000</v>
      </c>
      <c r="M13" s="64">
        <v>0.9</v>
      </c>
      <c r="N13" s="18">
        <f t="shared" si="7"/>
        <v>285750000</v>
      </c>
      <c r="O13" s="18">
        <f t="shared" si="8"/>
        <v>1143000000</v>
      </c>
      <c r="P13" s="18">
        <f t="shared" si="9"/>
        <v>36870967.741935484</v>
      </c>
      <c r="Q13" s="64">
        <v>1</v>
      </c>
      <c r="R13" s="18">
        <f t="shared" si="10"/>
        <v>317500000</v>
      </c>
      <c r="S13" s="18">
        <f t="shared" si="11"/>
        <v>1270000000</v>
      </c>
      <c r="T13" s="18">
        <f t="shared" si="12"/>
        <v>40967741.935483873</v>
      </c>
      <c r="U13" s="18">
        <f>SUMIF('Dự án T8'!$A:$A,B13,'Dự án T8'!D:D)*DAY($F$1)</f>
        <v>468153362</v>
      </c>
      <c r="V13" s="62">
        <f t="shared" si="13"/>
        <v>0.50568329228297892</v>
      </c>
      <c r="W13" s="18" t="str">
        <f t="shared" si="14"/>
        <v>Đạt</v>
      </c>
      <c r="X13" s="18">
        <f>SUMIF(data!$A:$A,B13,data!$C:$C)</f>
        <v>2972</v>
      </c>
      <c r="Y13" s="18">
        <f>SUMIF(data!$A:$A,B13,data!$D:$D)</f>
        <v>725404500</v>
      </c>
      <c r="Z13" s="18">
        <f t="shared" si="15"/>
        <v>244079.57604306864</v>
      </c>
      <c r="AA13" s="18">
        <f>SUMIF(data!$A:$A,B13,data!$E:$E)</f>
        <v>963</v>
      </c>
      <c r="AB13" s="18">
        <f>SUMIF(data!$A:$A,B13,data!$F:$F)</f>
        <v>200379225</v>
      </c>
      <c r="AC13" s="18">
        <f t="shared" si="16"/>
        <v>208078.1152647975</v>
      </c>
      <c r="AD13" s="18">
        <f t="shared" ref="AD13:AE13" si="28">X13+AA13</f>
        <v>3935</v>
      </c>
      <c r="AE13" s="18">
        <f t="shared" si="28"/>
        <v>925783725</v>
      </c>
      <c r="AF13" s="18">
        <f t="shared" si="18"/>
        <v>235269.05336721728</v>
      </c>
      <c r="AG13" s="18"/>
      <c r="AH13" s="18"/>
      <c r="AI13" s="18"/>
      <c r="AJ13" s="18"/>
      <c r="AK13" s="18"/>
      <c r="AL13" s="18"/>
    </row>
    <row r="14" spans="1:38" ht="21.75" customHeight="1">
      <c r="A14" s="60"/>
      <c r="B14" s="61"/>
      <c r="C14" s="77">
        <f t="shared" ref="C14:E14" si="29">SUBTOTAL(109,C3:C13)</f>
        <v>7020500000</v>
      </c>
      <c r="D14" s="78">
        <f t="shared" si="29"/>
        <v>4890140747</v>
      </c>
      <c r="E14" s="78">
        <f t="shared" si="29"/>
        <v>174647883.82142857</v>
      </c>
      <c r="F14" s="81">
        <f>(D14/DAY(F1)*30)/C14</f>
        <v>0.74630532221962209</v>
      </c>
      <c r="G14" s="77" t="e">
        <f t="shared" ref="G14:H14" si="30">SUBTOTAL(109,G3:G13)</f>
        <v>#N/A</v>
      </c>
      <c r="H14" s="82">
        <f t="shared" si="30"/>
        <v>8.7999999999999989</v>
      </c>
      <c r="I14" s="82">
        <f>SUM(I3:I13)</f>
        <v>1404100000</v>
      </c>
      <c r="J14" s="82">
        <f t="shared" ref="J14:M14" si="31">SUBTOTAL(109,J3:J13)</f>
        <v>5616400000</v>
      </c>
      <c r="K14" s="82">
        <f t="shared" si="31"/>
        <v>181174193.54838711</v>
      </c>
      <c r="L14" s="82">
        <f t="shared" si="31"/>
        <v>181600000</v>
      </c>
      <c r="M14" s="83">
        <f t="shared" si="31"/>
        <v>9.9000000000000021</v>
      </c>
      <c r="N14" s="83">
        <f>SUM(N3:N13)</f>
        <v>1579612500</v>
      </c>
      <c r="O14" s="83">
        <f t="shared" ref="O14:Q14" si="32">SUBTOTAL(109,O3:O13)</f>
        <v>6318450000</v>
      </c>
      <c r="P14" s="83">
        <f t="shared" si="32"/>
        <v>203820967.74193552</v>
      </c>
      <c r="Q14" s="84">
        <f t="shared" si="32"/>
        <v>11</v>
      </c>
      <c r="R14" s="84">
        <f>SUM(R3:R13)</f>
        <v>1755125000</v>
      </c>
      <c r="S14" s="84">
        <f t="shared" ref="S14:U14" si="33">SUBTOTAL(109,S3:S13)</f>
        <v>7020500000</v>
      </c>
      <c r="T14" s="84">
        <f t="shared" si="33"/>
        <v>226467741.93548387</v>
      </c>
      <c r="U14" s="85" t="e">
        <f t="shared" si="33"/>
        <v>#N/A</v>
      </c>
      <c r="V14" s="78"/>
      <c r="W14" s="78"/>
      <c r="X14" s="78">
        <f t="shared" ref="X14:Y14" si="34">SUBTOTAL(109,X3:X13)</f>
        <v>23318</v>
      </c>
      <c r="Y14" s="78">
        <f t="shared" si="34"/>
        <v>2883652954</v>
      </c>
      <c r="Z14" s="86">
        <f t="shared" si="15"/>
        <v>123666.39308688567</v>
      </c>
      <c r="AA14" s="87">
        <f t="shared" ref="AA14:AB14" si="35">SUBTOTAL(109,AA3:AA13)</f>
        <v>9332</v>
      </c>
      <c r="AB14" s="87">
        <f t="shared" si="35"/>
        <v>2006487793</v>
      </c>
      <c r="AC14" s="88">
        <f t="shared" si="16"/>
        <v>215011.55090012858</v>
      </c>
      <c r="AD14" s="89">
        <f t="shared" ref="AD14:AE14" si="36">SUBTOTAL(109,AD3:AD13)</f>
        <v>32650</v>
      </c>
      <c r="AE14" s="89">
        <f t="shared" si="36"/>
        <v>4890140747</v>
      </c>
      <c r="AF14" s="90">
        <f t="shared" si="18"/>
        <v>149774.60174578868</v>
      </c>
      <c r="AG14" s="18"/>
      <c r="AH14" s="18"/>
      <c r="AI14" s="18"/>
      <c r="AJ14" s="18"/>
      <c r="AK14" s="18"/>
      <c r="AL14" s="18"/>
    </row>
    <row r="15" spans="1:38" ht="20.25" customHeight="1">
      <c r="A15" s="61"/>
      <c r="B15" s="61"/>
      <c r="C15" s="76"/>
      <c r="D15" s="76"/>
      <c r="E15" s="76"/>
      <c r="F15" s="76"/>
      <c r="G15" s="76"/>
      <c r="H15" s="123"/>
      <c r="I15" s="121"/>
      <c r="J15" s="121"/>
      <c r="K15" s="121"/>
      <c r="L15" s="121"/>
      <c r="M15" s="123"/>
      <c r="N15" s="121"/>
      <c r="O15" s="121"/>
      <c r="P15" s="121"/>
      <c r="Q15" s="123"/>
      <c r="R15" s="121"/>
      <c r="S15" s="121"/>
      <c r="T15" s="12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</row>
    <row r="16" spans="1:38" ht="15.75" customHeight="1">
      <c r="A16" s="61"/>
      <c r="B16" s="61"/>
      <c r="C16" s="80"/>
      <c r="D16" s="13"/>
      <c r="E16" s="13"/>
      <c r="F16" s="92"/>
      <c r="G16" s="13"/>
      <c r="H16" s="92"/>
      <c r="I16" s="80"/>
      <c r="J16" s="80"/>
      <c r="K16" s="80"/>
      <c r="L16" s="80"/>
      <c r="M16" s="80"/>
      <c r="N16" s="80"/>
      <c r="O16" s="80"/>
      <c r="P16" s="61"/>
      <c r="Q16" s="93"/>
      <c r="R16" s="93"/>
      <c r="S16" s="93"/>
      <c r="T16" s="73"/>
      <c r="U16" s="9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</row>
    <row r="17" spans="1:38" ht="15.75" customHeight="1">
      <c r="A17" s="61"/>
      <c r="B17" s="61"/>
      <c r="C17" s="80"/>
      <c r="D17" s="92"/>
      <c r="E17" s="13"/>
      <c r="F17" s="80"/>
      <c r="G17" s="13"/>
      <c r="H17" s="80"/>
      <c r="I17" s="13"/>
      <c r="J17" s="13"/>
      <c r="K17" s="80"/>
      <c r="L17" s="80"/>
      <c r="M17" s="80"/>
      <c r="N17" s="80"/>
      <c r="O17" s="80"/>
      <c r="P17" s="61"/>
      <c r="Q17" s="93"/>
      <c r="R17" s="93"/>
      <c r="S17" s="93"/>
      <c r="T17" s="93"/>
      <c r="U17" s="94"/>
      <c r="V17" s="73"/>
      <c r="W17" s="73"/>
      <c r="X17" s="73"/>
      <c r="Y17" s="9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</row>
    <row r="18" spans="1:38" ht="15.75" customHeight="1">
      <c r="A18" s="61"/>
      <c r="B18" s="6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80"/>
      <c r="O18" s="80"/>
      <c r="P18" s="61"/>
      <c r="Q18" s="52"/>
      <c r="R18" s="60"/>
      <c r="S18" s="60"/>
      <c r="T18" s="93"/>
      <c r="U18" s="94"/>
      <c r="V18" s="95"/>
      <c r="W18" s="95"/>
      <c r="X18" s="95"/>
      <c r="Y18" s="52"/>
      <c r="Z18" s="95"/>
      <c r="AA18" s="95"/>
      <c r="AB18" s="95"/>
      <c r="AC18" s="95"/>
      <c r="AD18" s="96"/>
      <c r="AE18" s="95"/>
      <c r="AF18" s="95"/>
      <c r="AG18" s="95"/>
      <c r="AH18" s="95"/>
      <c r="AI18" s="95"/>
      <c r="AJ18" s="73"/>
      <c r="AK18" s="73"/>
      <c r="AL18" s="73"/>
    </row>
    <row r="19" spans="1:38" ht="15.75" customHeight="1">
      <c r="A19" s="61"/>
      <c r="B19" s="59"/>
      <c r="C19" s="59"/>
      <c r="D19" s="13"/>
      <c r="E19" s="80"/>
      <c r="F19" s="80"/>
      <c r="G19" s="80"/>
      <c r="H19" s="80"/>
      <c r="I19" s="80"/>
      <c r="J19" s="80"/>
      <c r="K19" s="61"/>
      <c r="L19" s="80"/>
      <c r="M19" s="80"/>
      <c r="N19" s="80"/>
      <c r="O19" s="80"/>
      <c r="P19" s="61"/>
      <c r="Q19" s="93"/>
      <c r="R19" s="73"/>
      <c r="S19" s="73"/>
      <c r="T19" s="93"/>
      <c r="U19" s="94"/>
      <c r="V19" s="73"/>
      <c r="W19" s="73"/>
      <c r="X19" s="73"/>
      <c r="Y19" s="93"/>
      <c r="Z19" s="93"/>
      <c r="AA19" s="93"/>
      <c r="AB19" s="93"/>
      <c r="AC19" s="73"/>
      <c r="AD19" s="93"/>
      <c r="AE19" s="73"/>
      <c r="AF19" s="73"/>
      <c r="AG19" s="73"/>
      <c r="AH19" s="73"/>
      <c r="AI19" s="73"/>
      <c r="AJ19" s="73"/>
      <c r="AK19" s="73"/>
      <c r="AL19" s="73"/>
    </row>
    <row r="20" spans="1:38" ht="15.75" customHeight="1">
      <c r="A20" s="61"/>
      <c r="B20" s="61"/>
      <c r="C20" s="61"/>
      <c r="D20" s="13"/>
      <c r="E20" s="13"/>
      <c r="F20" s="13"/>
      <c r="G20" s="13"/>
      <c r="H20" s="13"/>
      <c r="I20" s="13"/>
      <c r="J20" s="13"/>
      <c r="K20" s="97"/>
      <c r="L20" s="92"/>
      <c r="M20" s="92"/>
      <c r="N20" s="80"/>
      <c r="O20" s="80"/>
      <c r="P20" s="59"/>
      <c r="Q20" s="76"/>
      <c r="R20" s="76"/>
      <c r="S20" s="76"/>
      <c r="T20" s="93"/>
      <c r="U20" s="94"/>
      <c r="V20" s="73"/>
      <c r="W20" s="73"/>
      <c r="X20" s="73"/>
      <c r="Y20" s="98"/>
      <c r="Z20" s="99"/>
      <c r="AA20" s="99"/>
      <c r="AB20" s="99"/>
      <c r="AC20" s="73"/>
      <c r="AD20" s="99"/>
      <c r="AE20" s="73"/>
      <c r="AF20" s="73"/>
      <c r="AG20" s="73"/>
      <c r="AH20" s="73"/>
      <c r="AI20" s="73"/>
      <c r="AJ20" s="73"/>
      <c r="AK20" s="73"/>
      <c r="AL20" s="73"/>
    </row>
    <row r="21" spans="1:38" ht="15.75" customHeight="1">
      <c r="A21" s="61"/>
      <c r="B21" s="61"/>
      <c r="C21" s="61"/>
      <c r="D21" s="13"/>
      <c r="E21" s="92"/>
      <c r="F21" s="13"/>
      <c r="G21" s="13"/>
      <c r="H21" s="13"/>
      <c r="I21" s="13"/>
      <c r="J21" s="13"/>
      <c r="K21" s="97"/>
      <c r="L21" s="92"/>
      <c r="M21" s="92"/>
      <c r="N21" s="80"/>
      <c r="O21" s="80"/>
      <c r="P21" s="59"/>
      <c r="Q21" s="18"/>
      <c r="R21" s="13"/>
      <c r="S21" s="13"/>
      <c r="T21" s="93"/>
      <c r="U21" s="93"/>
      <c r="V21" s="94"/>
      <c r="W21" s="94"/>
      <c r="X21" s="94"/>
      <c r="Y21" s="94"/>
      <c r="Z21" s="94"/>
      <c r="AA21" s="94"/>
      <c r="AB21" s="94"/>
      <c r="AC21" s="73"/>
      <c r="AD21" s="73"/>
      <c r="AE21" s="73"/>
      <c r="AF21" s="73"/>
      <c r="AG21" s="73"/>
      <c r="AH21" s="73"/>
      <c r="AI21" s="73"/>
      <c r="AJ21" s="73"/>
      <c r="AK21" s="73"/>
      <c r="AL21" s="73"/>
    </row>
    <row r="22" spans="1:38" ht="15.75" customHeight="1">
      <c r="A22" s="61"/>
      <c r="B22" s="61"/>
      <c r="C22" s="61"/>
      <c r="D22" s="13"/>
      <c r="E22" s="13"/>
      <c r="F22" s="13"/>
      <c r="G22" s="13"/>
      <c r="H22" s="13"/>
      <c r="I22" s="13"/>
      <c r="J22" s="13"/>
      <c r="K22" s="97"/>
      <c r="L22" s="92"/>
      <c r="M22" s="92"/>
      <c r="N22" s="80"/>
      <c r="O22" s="80"/>
      <c r="P22" s="59"/>
      <c r="Q22" s="18"/>
      <c r="R22" s="13"/>
      <c r="S22" s="13"/>
      <c r="T22" s="93"/>
      <c r="U22" s="93"/>
      <c r="V22" s="94"/>
      <c r="W22" s="94"/>
      <c r="X22" s="94"/>
      <c r="Y22" s="94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</row>
    <row r="23" spans="1:38" ht="15.75" customHeight="1">
      <c r="A23" s="61"/>
      <c r="B23" s="61"/>
      <c r="C23" s="61"/>
      <c r="D23" s="13"/>
      <c r="E23" s="13"/>
      <c r="F23" s="13"/>
      <c r="G23" s="13"/>
      <c r="H23" s="13"/>
      <c r="I23" s="13"/>
      <c r="J23" s="13"/>
      <c r="K23" s="97"/>
      <c r="L23" s="92"/>
      <c r="M23" s="92"/>
      <c r="N23" s="80"/>
      <c r="O23" s="80"/>
      <c r="P23" s="59"/>
      <c r="Q23" s="18"/>
      <c r="R23" s="13"/>
      <c r="S23" s="13"/>
      <c r="T23" s="93"/>
      <c r="U23" s="93"/>
      <c r="V23" s="94"/>
      <c r="W23" s="94"/>
      <c r="X23" s="94"/>
      <c r="Y23" s="94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</row>
    <row r="24" spans="1:38" ht="15.75" customHeight="1">
      <c r="A24" s="61"/>
      <c r="B24" s="61"/>
      <c r="C24" s="61"/>
      <c r="D24" s="13"/>
      <c r="E24" s="13"/>
      <c r="F24" s="13"/>
      <c r="G24" s="13"/>
      <c r="H24" s="13"/>
      <c r="I24" s="13"/>
      <c r="J24" s="13"/>
      <c r="K24" s="97"/>
      <c r="L24" s="92"/>
      <c r="M24" s="92"/>
      <c r="N24" s="80"/>
      <c r="O24" s="80"/>
      <c r="P24" s="59"/>
      <c r="Q24" s="18"/>
      <c r="R24" s="13"/>
      <c r="S24" s="13"/>
      <c r="T24" s="93"/>
      <c r="U24" s="93"/>
      <c r="V24" s="94"/>
      <c r="W24" s="94"/>
      <c r="X24" s="94"/>
      <c r="Y24" s="94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</row>
    <row r="25" spans="1:38" ht="15.75" customHeight="1">
      <c r="A25" s="61"/>
      <c r="B25" s="61"/>
      <c r="C25" s="61"/>
      <c r="D25" s="13"/>
      <c r="E25" s="13"/>
      <c r="F25" s="13"/>
      <c r="G25" s="13"/>
      <c r="H25" s="13"/>
      <c r="I25" s="13"/>
      <c r="J25" s="13"/>
      <c r="K25" s="97"/>
      <c r="L25" s="92"/>
      <c r="M25" s="92"/>
      <c r="N25" s="80"/>
      <c r="O25" s="80"/>
      <c r="P25" s="59"/>
      <c r="Q25" s="18"/>
      <c r="R25" s="13"/>
      <c r="S25" s="13"/>
      <c r="T25" s="93"/>
      <c r="U25" s="93"/>
      <c r="V25" s="94"/>
      <c r="W25" s="94"/>
      <c r="X25" s="94"/>
      <c r="Y25" s="94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</row>
    <row r="26" spans="1:38" ht="15.75" customHeight="1">
      <c r="A26" s="61"/>
      <c r="B26" s="61"/>
      <c r="C26" s="61"/>
      <c r="D26" s="13"/>
      <c r="E26" s="13"/>
      <c r="F26" s="13"/>
      <c r="G26" s="13"/>
      <c r="H26" s="13"/>
      <c r="I26" s="13"/>
      <c r="J26" s="13"/>
      <c r="K26" s="97"/>
      <c r="L26" s="92"/>
      <c r="M26" s="92"/>
      <c r="N26" s="80"/>
      <c r="O26" s="80"/>
      <c r="P26" s="59"/>
      <c r="Q26" s="18"/>
      <c r="R26" s="13"/>
      <c r="S26" s="13"/>
      <c r="T26" s="93"/>
      <c r="U26" s="93"/>
      <c r="V26" s="94"/>
      <c r="W26" s="94"/>
      <c r="X26" s="94"/>
      <c r="Y26" s="94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</row>
    <row r="27" spans="1:38" ht="15.75" customHeight="1">
      <c r="A27" s="61"/>
      <c r="B27" s="61"/>
      <c r="C27" s="61"/>
      <c r="D27" s="13"/>
      <c r="E27" s="13"/>
      <c r="F27" s="13"/>
      <c r="G27" s="13"/>
      <c r="H27" s="13"/>
      <c r="I27" s="13"/>
      <c r="J27" s="13"/>
      <c r="K27" s="97"/>
      <c r="L27" s="92"/>
      <c r="M27" s="92"/>
      <c r="N27" s="80"/>
      <c r="O27" s="80"/>
      <c r="P27" s="59"/>
      <c r="Q27" s="18"/>
      <c r="R27" s="13"/>
      <c r="S27" s="13"/>
      <c r="T27" s="93"/>
      <c r="U27" s="93"/>
      <c r="V27" s="94"/>
      <c r="W27" s="94"/>
      <c r="X27" s="94"/>
      <c r="Y27" s="94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</row>
    <row r="28" spans="1:38" ht="15.75" customHeight="1">
      <c r="A28" s="61"/>
      <c r="B28" s="61"/>
      <c r="C28" s="61"/>
      <c r="D28" s="13"/>
      <c r="E28" s="13"/>
      <c r="F28" s="13"/>
      <c r="G28" s="13"/>
      <c r="H28" s="13"/>
      <c r="I28" s="13"/>
      <c r="J28" s="13"/>
      <c r="K28" s="97"/>
      <c r="L28" s="92"/>
      <c r="M28" s="92"/>
      <c r="N28" s="80"/>
      <c r="O28" s="80"/>
      <c r="P28" s="59"/>
      <c r="Q28" s="18"/>
      <c r="R28" s="13"/>
      <c r="S28" s="13"/>
      <c r="T28" s="93"/>
      <c r="U28" s="93"/>
      <c r="V28" s="94"/>
      <c r="W28" s="94"/>
      <c r="X28" s="94"/>
      <c r="Y28" s="94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</row>
    <row r="29" spans="1:38" ht="15.75" customHeight="1">
      <c r="A29" s="61"/>
      <c r="B29" s="61"/>
      <c r="C29" s="61"/>
      <c r="D29" s="13"/>
      <c r="E29" s="13"/>
      <c r="F29" s="13"/>
      <c r="G29" s="13"/>
      <c r="H29" s="13"/>
      <c r="I29" s="13"/>
      <c r="J29" s="13"/>
      <c r="K29" s="97"/>
      <c r="L29" s="92"/>
      <c r="M29" s="92"/>
      <c r="N29" s="80"/>
      <c r="O29" s="80"/>
      <c r="P29" s="59"/>
      <c r="Q29" s="18"/>
      <c r="R29" s="13"/>
      <c r="S29" s="13"/>
      <c r="T29" s="93"/>
      <c r="U29" s="93"/>
      <c r="V29" s="94"/>
      <c r="W29" s="94"/>
      <c r="X29" s="94"/>
      <c r="Y29" s="94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</row>
    <row r="30" spans="1:38" ht="15.75" customHeight="1">
      <c r="A30" s="61"/>
      <c r="B30" s="61"/>
      <c r="C30" s="80"/>
      <c r="D30" s="80"/>
      <c r="E30" s="80"/>
      <c r="F30" s="80"/>
      <c r="G30" s="61"/>
      <c r="H30" s="61"/>
      <c r="I30" s="61"/>
      <c r="J30" s="61"/>
      <c r="K30" s="61"/>
      <c r="L30" s="13"/>
      <c r="M30" s="13"/>
      <c r="N30" s="80"/>
      <c r="O30" s="80"/>
      <c r="P30" s="61"/>
      <c r="Q30" s="18"/>
      <c r="R30" s="18"/>
      <c r="S30" s="18"/>
      <c r="T30" s="93"/>
      <c r="U30" s="93"/>
      <c r="V30" s="94"/>
      <c r="W30" s="94"/>
      <c r="X30" s="94"/>
      <c r="Y30" s="94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</row>
    <row r="31" spans="1:38" ht="15.75" customHeight="1">
      <c r="A31" s="61"/>
      <c r="B31" s="61"/>
      <c r="C31" s="100"/>
      <c r="D31" s="13"/>
      <c r="E31" s="13"/>
      <c r="F31" s="13"/>
      <c r="G31" s="61"/>
      <c r="H31" s="61"/>
      <c r="I31" s="61"/>
      <c r="J31" s="61"/>
      <c r="K31" s="61"/>
      <c r="L31" s="13"/>
      <c r="M31" s="13"/>
      <c r="N31" s="80"/>
      <c r="O31" s="80"/>
      <c r="P31" s="61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</row>
    <row r="32" spans="1:38" ht="15.75" customHeight="1">
      <c r="A32" s="61"/>
      <c r="B32" s="61"/>
      <c r="C32" s="80"/>
      <c r="D32" s="13"/>
      <c r="E32" s="13"/>
      <c r="F32" s="13"/>
      <c r="G32" s="61"/>
      <c r="H32" s="61"/>
      <c r="I32" s="61"/>
      <c r="J32" s="61"/>
      <c r="K32" s="61"/>
      <c r="L32" s="13"/>
      <c r="M32" s="13"/>
      <c r="N32" s="80"/>
      <c r="O32" s="80"/>
      <c r="P32" s="101"/>
      <c r="Q32" s="93"/>
      <c r="R32" s="93"/>
      <c r="S32" s="9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</row>
    <row r="33" spans="1:38" ht="15.75" customHeight="1">
      <c r="A33" s="61"/>
      <c r="B33" s="61"/>
      <c r="C33" s="80"/>
      <c r="D33" s="80"/>
      <c r="E33" s="13"/>
      <c r="F33" s="13"/>
      <c r="G33" s="13"/>
      <c r="H33" s="13"/>
      <c r="I33" s="13"/>
      <c r="J33" s="13"/>
      <c r="K33" s="13"/>
      <c r="L33" s="13"/>
      <c r="M33" s="13"/>
      <c r="N33" s="80"/>
      <c r="O33" s="80"/>
      <c r="P33" s="61"/>
      <c r="Q33" s="93"/>
      <c r="R33" s="93"/>
      <c r="S33" s="9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</row>
    <row r="34" spans="1:38" ht="15.75" customHeight="1">
      <c r="A34" s="61"/>
      <c r="B34" s="61"/>
      <c r="C34" s="80"/>
      <c r="D34" s="61"/>
      <c r="E34" s="61"/>
      <c r="F34" s="13"/>
      <c r="G34" s="80"/>
      <c r="H34" s="31"/>
      <c r="I34" s="13"/>
      <c r="J34" s="13"/>
      <c r="K34" s="61"/>
      <c r="L34" s="80"/>
      <c r="M34" s="13"/>
      <c r="N34" s="61"/>
      <c r="O34" s="61"/>
      <c r="P34" s="61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</row>
    <row r="35" spans="1:38" ht="15.75" customHeight="1">
      <c r="A35" s="61"/>
      <c r="B35" s="61"/>
      <c r="C35" s="76"/>
      <c r="D35" s="73"/>
      <c r="E35" s="73"/>
      <c r="F35" s="18"/>
      <c r="G35" s="18"/>
      <c r="H35" s="93"/>
      <c r="I35" s="94"/>
      <c r="J35" s="94"/>
      <c r="K35" s="73"/>
      <c r="L35" s="94"/>
      <c r="M35" s="9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</row>
    <row r="36" spans="1:38" ht="15.75" customHeight="1">
      <c r="A36" s="61"/>
      <c r="B36" s="61"/>
      <c r="C36" s="76"/>
      <c r="D36" s="73"/>
      <c r="E36" s="73"/>
      <c r="F36" s="18"/>
      <c r="G36" s="18"/>
      <c r="H36" s="93"/>
      <c r="I36" s="94"/>
      <c r="J36" s="94"/>
      <c r="K36" s="73"/>
      <c r="L36" s="94"/>
      <c r="M36" s="9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</row>
    <row r="37" spans="1:38" ht="15.75" customHeight="1">
      <c r="A37" s="61"/>
      <c r="B37" s="61"/>
      <c r="C37" s="76"/>
      <c r="D37" s="73"/>
      <c r="E37" s="73"/>
      <c r="F37" s="18"/>
      <c r="G37" s="18"/>
      <c r="H37" s="93"/>
      <c r="I37" s="94"/>
      <c r="J37" s="94"/>
      <c r="K37" s="73"/>
      <c r="L37" s="94"/>
      <c r="M37" s="9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</row>
    <row r="38" spans="1:38" ht="15.75" customHeight="1">
      <c r="A38" s="61"/>
      <c r="B38" s="61"/>
      <c r="C38" s="76"/>
      <c r="D38" s="73"/>
      <c r="E38" s="73"/>
      <c r="F38" s="18"/>
      <c r="G38" s="18"/>
      <c r="H38" s="93"/>
      <c r="I38" s="94"/>
      <c r="J38" s="94"/>
      <c r="K38" s="73"/>
      <c r="L38" s="94"/>
      <c r="M38" s="9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</row>
    <row r="39" spans="1:38" ht="15.75" customHeight="1">
      <c r="A39" s="61"/>
      <c r="B39" s="61"/>
      <c r="C39" s="76"/>
      <c r="D39" s="73"/>
      <c r="E39" s="73"/>
      <c r="F39" s="73"/>
      <c r="G39" s="73"/>
      <c r="H39" s="93"/>
      <c r="I39" s="73"/>
      <c r="J39" s="73"/>
      <c r="K39" s="73"/>
      <c r="L39" s="73"/>
      <c r="M39" s="9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</row>
    <row r="40" spans="1:38" ht="15.75" customHeight="1">
      <c r="A40" s="61"/>
      <c r="B40" s="61"/>
      <c r="C40" s="76"/>
      <c r="D40" s="73"/>
      <c r="E40" s="73"/>
      <c r="F40" s="73"/>
      <c r="G40" s="94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</row>
    <row r="41" spans="1:38" ht="15.75" customHeight="1">
      <c r="A41" s="61"/>
      <c r="B41" s="61"/>
      <c r="C41" s="76"/>
      <c r="D41" s="73"/>
      <c r="E41" s="73"/>
      <c r="F41" s="73"/>
      <c r="G41" s="73"/>
      <c r="H41" s="9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</row>
    <row r="42" spans="1:38" ht="15.75" customHeight="1">
      <c r="A42" s="61"/>
      <c r="B42" s="61"/>
      <c r="C42" s="76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</row>
    <row r="43" spans="1:38" ht="15.75" customHeight="1">
      <c r="A43" s="61"/>
      <c r="B43" s="61"/>
      <c r="C43" s="76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</row>
    <row r="44" spans="1:38" ht="15.75" customHeight="1">
      <c r="A44" s="61"/>
      <c r="B44" s="61"/>
      <c r="C44" s="76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</row>
    <row r="45" spans="1:38" ht="15.75" customHeight="1">
      <c r="A45" s="61"/>
      <c r="B45" s="61"/>
      <c r="C45" s="76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</row>
    <row r="46" spans="1:38" ht="15.75" customHeight="1">
      <c r="A46" s="61"/>
      <c r="B46" s="61"/>
      <c r="C46" s="76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</row>
    <row r="47" spans="1:38" ht="15.75" customHeight="1">
      <c r="A47" s="61"/>
      <c r="B47" s="61"/>
      <c r="C47" s="76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</row>
    <row r="48" spans="1:38" ht="15.75" customHeight="1">
      <c r="A48" s="61"/>
      <c r="B48" s="61"/>
      <c r="C48" s="76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</row>
    <row r="49" spans="1:38" ht="15.75" customHeight="1">
      <c r="A49" s="61"/>
      <c r="B49" s="61"/>
      <c r="C49" s="76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</row>
    <row r="50" spans="1:38" ht="15.75" customHeight="1">
      <c r="A50" s="61"/>
      <c r="B50" s="61"/>
      <c r="C50" s="76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</row>
    <row r="51" spans="1:38" ht="15.75" customHeight="1">
      <c r="A51" s="61"/>
      <c r="B51" s="61"/>
      <c r="C51" s="76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</row>
    <row r="52" spans="1:38" ht="15.75" customHeight="1">
      <c r="A52" s="61"/>
      <c r="B52" s="61"/>
      <c r="C52" s="76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</row>
    <row r="53" spans="1:38" ht="15.75" customHeight="1">
      <c r="A53" s="61"/>
      <c r="B53" s="61"/>
      <c r="C53" s="76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</row>
    <row r="54" spans="1:38" ht="15.75" customHeight="1">
      <c r="A54" s="61"/>
      <c r="B54" s="61"/>
      <c r="C54" s="76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</row>
    <row r="55" spans="1:38" ht="15.75" customHeight="1">
      <c r="A55" s="61"/>
      <c r="B55" s="61"/>
      <c r="C55" s="76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1:38" ht="15.75" customHeight="1">
      <c r="A56" s="61"/>
      <c r="B56" s="61"/>
      <c r="C56" s="76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1:38" ht="15.75" customHeight="1">
      <c r="A57" s="61"/>
      <c r="B57" s="61"/>
      <c r="C57" s="76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1:38" ht="15.75" customHeight="1">
      <c r="A58" s="61"/>
      <c r="B58" s="61"/>
      <c r="C58" s="76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  <row r="59" spans="1:38" ht="15.75" customHeight="1">
      <c r="A59" s="61"/>
      <c r="B59" s="61"/>
      <c r="C59" s="76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</row>
    <row r="60" spans="1:38" ht="15.75" customHeight="1">
      <c r="A60" s="61"/>
      <c r="B60" s="61"/>
      <c r="C60" s="76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</row>
    <row r="61" spans="1:38" ht="15.75" customHeight="1">
      <c r="A61" s="61"/>
      <c r="B61" s="61"/>
      <c r="C61" s="76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</row>
    <row r="62" spans="1:38" ht="15.75" customHeight="1">
      <c r="A62" s="61"/>
      <c r="B62" s="61"/>
      <c r="C62" s="76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</row>
    <row r="63" spans="1:38" ht="15.75" customHeight="1">
      <c r="A63" s="61"/>
      <c r="B63" s="61"/>
      <c r="C63" s="76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</row>
    <row r="64" spans="1:38" ht="15.75" customHeight="1">
      <c r="A64" s="61"/>
      <c r="B64" s="61"/>
      <c r="C64" s="76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</row>
    <row r="65" spans="1:38" ht="15.75" customHeight="1">
      <c r="A65" s="61"/>
      <c r="B65" s="61"/>
      <c r="C65" s="76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</row>
    <row r="66" spans="1:38" ht="15.75" customHeight="1">
      <c r="A66" s="61"/>
      <c r="B66" s="61"/>
      <c r="C66" s="76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</row>
    <row r="67" spans="1:38" ht="15.75" customHeight="1">
      <c r="A67" s="61"/>
      <c r="B67" s="61"/>
      <c r="C67" s="76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</row>
    <row r="68" spans="1:38" ht="15.75" customHeight="1">
      <c r="A68" s="61"/>
      <c r="B68" s="61"/>
      <c r="C68" s="76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</row>
    <row r="69" spans="1:38" ht="15.75" customHeight="1">
      <c r="A69" s="61"/>
      <c r="B69" s="61"/>
      <c r="C69" s="76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</row>
    <row r="70" spans="1:38" ht="15.75" customHeight="1">
      <c r="A70" s="61"/>
      <c r="B70" s="61"/>
      <c r="C70" s="76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</row>
    <row r="71" spans="1:38" ht="15.75" customHeight="1">
      <c r="A71" s="61"/>
      <c r="B71" s="61"/>
      <c r="C71" s="76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</row>
    <row r="72" spans="1:38" ht="15.75" customHeight="1">
      <c r="A72" s="61"/>
      <c r="B72" s="61"/>
      <c r="C72" s="76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</row>
    <row r="73" spans="1:38" ht="15.75" customHeight="1">
      <c r="A73" s="61"/>
      <c r="B73" s="61"/>
      <c r="C73" s="76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</row>
    <row r="74" spans="1:38" ht="15.75" customHeight="1">
      <c r="A74" s="61"/>
      <c r="B74" s="61"/>
      <c r="C74" s="76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</row>
    <row r="75" spans="1:38" ht="15.75" customHeight="1">
      <c r="A75" s="61"/>
      <c r="B75" s="61"/>
      <c r="C75" s="76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</row>
    <row r="76" spans="1:38" ht="15.75" customHeight="1">
      <c r="A76" s="61"/>
      <c r="B76" s="61"/>
      <c r="C76" s="76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</row>
    <row r="77" spans="1:38" ht="15.75" customHeight="1">
      <c r="A77" s="61"/>
      <c r="B77" s="61"/>
      <c r="C77" s="76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</row>
    <row r="78" spans="1:38" ht="15.75" customHeight="1">
      <c r="A78" s="61"/>
      <c r="B78" s="61"/>
      <c r="C78" s="76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</row>
    <row r="79" spans="1:38" ht="15.75" customHeight="1">
      <c r="A79" s="61"/>
      <c r="B79" s="61"/>
      <c r="C79" s="76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</row>
    <row r="80" spans="1:38" ht="15.75" customHeight="1">
      <c r="A80" s="61"/>
      <c r="B80" s="61"/>
      <c r="C80" s="76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</row>
    <row r="81" spans="1:38" ht="15.75" customHeight="1">
      <c r="A81" s="61"/>
      <c r="B81" s="61"/>
      <c r="C81" s="76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</row>
    <row r="82" spans="1:38" ht="15.75" customHeight="1">
      <c r="A82" s="61"/>
      <c r="B82" s="61"/>
      <c r="C82" s="76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</row>
    <row r="83" spans="1:38" ht="15.75" customHeight="1">
      <c r="A83" s="61"/>
      <c r="B83" s="61"/>
      <c r="C83" s="76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</row>
    <row r="84" spans="1:38" ht="15.75" customHeight="1">
      <c r="A84" s="61"/>
      <c r="B84" s="61"/>
      <c r="C84" s="76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</row>
    <row r="85" spans="1:38" ht="15.75" customHeight="1">
      <c r="A85" s="61"/>
      <c r="B85" s="61"/>
      <c r="C85" s="76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</row>
    <row r="86" spans="1:38" ht="15.75" customHeight="1">
      <c r="A86" s="61"/>
      <c r="B86" s="61"/>
      <c r="C86" s="76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</row>
    <row r="87" spans="1:38" ht="15.75" customHeight="1">
      <c r="A87" s="61"/>
      <c r="B87" s="61"/>
      <c r="C87" s="76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</row>
    <row r="88" spans="1:38" ht="15.75" customHeight="1">
      <c r="A88" s="61"/>
      <c r="B88" s="61"/>
      <c r="C88" s="76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</row>
    <row r="89" spans="1:38" ht="15.75" customHeight="1">
      <c r="A89" s="61"/>
      <c r="B89" s="61"/>
      <c r="C89" s="76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</row>
    <row r="90" spans="1:38" ht="15.75" customHeight="1">
      <c r="A90" s="61"/>
      <c r="B90" s="61"/>
      <c r="C90" s="76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</row>
    <row r="91" spans="1:38" ht="15.75" customHeight="1">
      <c r="A91" s="61"/>
      <c r="B91" s="61"/>
      <c r="C91" s="76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</row>
    <row r="92" spans="1:38" ht="15.75" customHeight="1">
      <c r="A92" s="61"/>
      <c r="B92" s="61"/>
      <c r="C92" s="76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</row>
    <row r="93" spans="1:38" ht="15.75" customHeight="1">
      <c r="A93" s="61"/>
      <c r="B93" s="61"/>
      <c r="C93" s="76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</row>
    <row r="94" spans="1:38" ht="15.75" customHeight="1">
      <c r="A94" s="61"/>
      <c r="B94" s="61"/>
      <c r="C94" s="76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</row>
    <row r="95" spans="1:38" ht="15.75" customHeight="1">
      <c r="A95" s="61"/>
      <c r="B95" s="61"/>
      <c r="C95" s="76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</row>
    <row r="96" spans="1:38" ht="15.75" customHeight="1">
      <c r="A96" s="61"/>
      <c r="B96" s="61"/>
      <c r="C96" s="76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</row>
    <row r="97" spans="1:38" ht="15.75" customHeight="1">
      <c r="A97" s="61"/>
      <c r="B97" s="61"/>
      <c r="C97" s="76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</row>
    <row r="98" spans="1:38" ht="15.75" customHeight="1">
      <c r="A98" s="61"/>
      <c r="B98" s="61"/>
      <c r="C98" s="76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</row>
    <row r="99" spans="1:38" ht="15.75" customHeight="1">
      <c r="A99" s="61"/>
      <c r="B99" s="61"/>
      <c r="C99" s="76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</row>
    <row r="100" spans="1:38" ht="15.75" customHeight="1">
      <c r="A100" s="61"/>
      <c r="B100" s="61"/>
      <c r="C100" s="76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</row>
    <row r="101" spans="1:38" ht="15.75" customHeight="1">
      <c r="A101" s="61"/>
      <c r="B101" s="61"/>
      <c r="C101" s="76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</row>
    <row r="102" spans="1:38" ht="15.75" customHeight="1">
      <c r="A102" s="61"/>
      <c r="B102" s="61"/>
      <c r="C102" s="76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</row>
    <row r="103" spans="1:38" ht="15.75" customHeight="1">
      <c r="A103" s="61"/>
      <c r="B103" s="61"/>
      <c r="C103" s="76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</row>
    <row r="104" spans="1:38" ht="15.75" customHeight="1">
      <c r="A104" s="61"/>
      <c r="B104" s="61"/>
      <c r="C104" s="76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</row>
    <row r="105" spans="1:38" ht="15.75" customHeight="1">
      <c r="A105" s="61"/>
      <c r="B105" s="61"/>
      <c r="C105" s="76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</row>
    <row r="106" spans="1:38" ht="15.75" customHeight="1">
      <c r="A106" s="61"/>
      <c r="B106" s="61"/>
      <c r="C106" s="76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</row>
    <row r="107" spans="1:38" ht="15.75" customHeight="1">
      <c r="A107" s="61"/>
      <c r="B107" s="61"/>
      <c r="C107" s="76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</row>
    <row r="108" spans="1:38" ht="15.75" customHeight="1">
      <c r="A108" s="61"/>
      <c r="B108" s="61"/>
      <c r="C108" s="76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</row>
    <row r="109" spans="1:38" ht="15.75" customHeight="1">
      <c r="A109" s="61"/>
      <c r="B109" s="61"/>
      <c r="C109" s="76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</row>
    <row r="110" spans="1:38" ht="15.75" customHeight="1">
      <c r="A110" s="61"/>
      <c r="B110" s="61"/>
      <c r="C110" s="76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</row>
    <row r="111" spans="1:38" ht="15.75" customHeight="1">
      <c r="A111" s="61"/>
      <c r="B111" s="61"/>
      <c r="C111" s="76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</row>
    <row r="112" spans="1:38" ht="15.75" customHeight="1">
      <c r="A112" s="61"/>
      <c r="B112" s="61"/>
      <c r="C112" s="76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</row>
    <row r="113" spans="1:38" ht="15.75" customHeight="1">
      <c r="A113" s="61"/>
      <c r="B113" s="61"/>
      <c r="C113" s="76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</row>
    <row r="114" spans="1:38" ht="15.75" customHeight="1">
      <c r="A114" s="61"/>
      <c r="B114" s="61"/>
      <c r="C114" s="76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</row>
    <row r="115" spans="1:38" ht="15.75" customHeight="1">
      <c r="A115" s="61"/>
      <c r="B115" s="61"/>
      <c r="C115" s="76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</row>
    <row r="116" spans="1:38" ht="15.75" customHeight="1">
      <c r="A116" s="61"/>
      <c r="B116" s="61"/>
      <c r="C116" s="76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</row>
    <row r="117" spans="1:38" ht="15.75" customHeight="1">
      <c r="A117" s="61"/>
      <c r="B117" s="61"/>
      <c r="C117" s="76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</row>
    <row r="118" spans="1:38" ht="15.75" customHeight="1">
      <c r="A118" s="61"/>
      <c r="B118" s="61"/>
      <c r="C118" s="76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</row>
    <row r="119" spans="1:38" ht="15.75" customHeight="1">
      <c r="A119" s="61"/>
      <c r="B119" s="61"/>
      <c r="C119" s="76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</row>
    <row r="120" spans="1:38" ht="15.75" customHeight="1">
      <c r="A120" s="61"/>
      <c r="B120" s="61"/>
      <c r="C120" s="76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</row>
    <row r="121" spans="1:38" ht="15.75" customHeight="1">
      <c r="A121" s="61"/>
      <c r="B121" s="61"/>
      <c r="C121" s="76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</row>
    <row r="122" spans="1:38" ht="15.75" customHeight="1">
      <c r="A122" s="61"/>
      <c r="B122" s="61"/>
      <c r="C122" s="76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</row>
    <row r="123" spans="1:38" ht="15.75" customHeight="1">
      <c r="A123" s="61"/>
      <c r="B123" s="61"/>
      <c r="C123" s="76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</row>
    <row r="124" spans="1:38" ht="15.75" customHeight="1">
      <c r="A124" s="61"/>
      <c r="B124" s="61"/>
      <c r="C124" s="76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</row>
    <row r="125" spans="1:38" ht="15.75" customHeight="1">
      <c r="A125" s="61"/>
      <c r="B125" s="61"/>
      <c r="C125" s="76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</row>
    <row r="126" spans="1:38" ht="15.75" customHeight="1">
      <c r="A126" s="61"/>
      <c r="B126" s="61"/>
      <c r="C126" s="76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</row>
    <row r="127" spans="1:38" ht="15.75" customHeight="1">
      <c r="A127" s="61"/>
      <c r="B127" s="61"/>
      <c r="C127" s="76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</row>
    <row r="128" spans="1:38" ht="15.75" customHeight="1">
      <c r="A128" s="61"/>
      <c r="B128" s="61"/>
      <c r="C128" s="76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</row>
    <row r="129" spans="1:38" ht="15.75" customHeight="1">
      <c r="A129" s="61"/>
      <c r="B129" s="61"/>
      <c r="C129" s="76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</row>
    <row r="130" spans="1:38" ht="15.75" customHeight="1">
      <c r="A130" s="61"/>
      <c r="B130" s="61"/>
      <c r="C130" s="76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</row>
    <row r="131" spans="1:38" ht="15.75" customHeight="1">
      <c r="A131" s="61"/>
      <c r="B131" s="61"/>
      <c r="C131" s="76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</row>
    <row r="132" spans="1:38" ht="15.75" customHeight="1">
      <c r="A132" s="61"/>
      <c r="B132" s="61"/>
      <c r="C132" s="76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</row>
    <row r="133" spans="1:38" ht="15.75" customHeight="1">
      <c r="A133" s="61"/>
      <c r="B133" s="61"/>
      <c r="C133" s="76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</row>
    <row r="134" spans="1:38" ht="15.75" customHeight="1">
      <c r="A134" s="61"/>
      <c r="B134" s="61"/>
      <c r="C134" s="76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</row>
    <row r="135" spans="1:38" ht="15.75" customHeight="1">
      <c r="A135" s="61"/>
      <c r="B135" s="61"/>
      <c r="C135" s="76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</row>
    <row r="136" spans="1:38" ht="15.75" customHeight="1">
      <c r="A136" s="61"/>
      <c r="B136" s="61"/>
      <c r="C136" s="76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</row>
    <row r="137" spans="1:38" ht="15.75" customHeight="1">
      <c r="A137" s="61"/>
      <c r="B137" s="61"/>
      <c r="C137" s="76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</row>
    <row r="138" spans="1:38" ht="15.75" customHeight="1">
      <c r="A138" s="61"/>
      <c r="B138" s="61"/>
      <c r="C138" s="76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</row>
    <row r="139" spans="1:38" ht="15.75" customHeight="1">
      <c r="A139" s="61"/>
      <c r="B139" s="61"/>
      <c r="C139" s="76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</row>
    <row r="140" spans="1:38" ht="15.75" customHeight="1">
      <c r="A140" s="61"/>
      <c r="B140" s="61"/>
      <c r="C140" s="76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</row>
    <row r="141" spans="1:38" ht="15.75" customHeight="1">
      <c r="A141" s="61"/>
      <c r="B141" s="61"/>
      <c r="C141" s="76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</row>
    <row r="142" spans="1:38" ht="15.75" customHeight="1">
      <c r="A142" s="61"/>
      <c r="B142" s="61"/>
      <c r="C142" s="76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</row>
    <row r="143" spans="1:38" ht="15.75" customHeight="1">
      <c r="A143" s="61"/>
      <c r="B143" s="61"/>
      <c r="C143" s="76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</row>
    <row r="144" spans="1:38" ht="15.75" customHeight="1">
      <c r="A144" s="61"/>
      <c r="B144" s="61"/>
      <c r="C144" s="76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</row>
    <row r="145" spans="1:38" ht="15.75" customHeight="1">
      <c r="A145" s="61"/>
      <c r="B145" s="61"/>
      <c r="C145" s="76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</row>
    <row r="146" spans="1:38" ht="15.75" customHeight="1">
      <c r="A146" s="61"/>
      <c r="B146" s="61"/>
      <c r="C146" s="76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</row>
    <row r="147" spans="1:38" ht="15.75" customHeight="1">
      <c r="A147" s="61"/>
      <c r="B147" s="61"/>
      <c r="C147" s="76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</row>
    <row r="148" spans="1:38" ht="15.75" customHeight="1">
      <c r="A148" s="61"/>
      <c r="B148" s="61"/>
      <c r="C148" s="76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</row>
    <row r="149" spans="1:38" ht="15.75" customHeight="1">
      <c r="A149" s="61"/>
      <c r="B149" s="61"/>
      <c r="C149" s="76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</row>
    <row r="150" spans="1:38" ht="15.75" customHeight="1">
      <c r="A150" s="61"/>
      <c r="B150" s="61"/>
      <c r="C150" s="76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</row>
    <row r="151" spans="1:38" ht="15.75" customHeight="1">
      <c r="A151" s="61"/>
      <c r="B151" s="61"/>
      <c r="C151" s="76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</row>
    <row r="152" spans="1:38" ht="15.75" customHeight="1">
      <c r="A152" s="61"/>
      <c r="B152" s="61"/>
      <c r="C152" s="76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</row>
    <row r="153" spans="1:38" ht="15.75" customHeight="1">
      <c r="A153" s="61"/>
      <c r="B153" s="61"/>
      <c r="C153" s="76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</row>
    <row r="154" spans="1:38" ht="15.75" customHeight="1">
      <c r="A154" s="61"/>
      <c r="B154" s="61"/>
      <c r="C154" s="76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</row>
    <row r="155" spans="1:38" ht="15.75" customHeight="1">
      <c r="A155" s="61"/>
      <c r="B155" s="61"/>
      <c r="C155" s="76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</row>
    <row r="156" spans="1:38" ht="15.75" customHeight="1">
      <c r="A156" s="61"/>
      <c r="B156" s="61"/>
      <c r="C156" s="76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</row>
    <row r="157" spans="1:38" ht="15.75" customHeight="1">
      <c r="A157" s="61"/>
      <c r="B157" s="61"/>
      <c r="C157" s="76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</row>
    <row r="158" spans="1:38" ht="15.75" customHeight="1">
      <c r="A158" s="61"/>
      <c r="B158" s="61"/>
      <c r="C158" s="76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</row>
    <row r="159" spans="1:38" ht="15.75" customHeight="1">
      <c r="A159" s="61"/>
      <c r="B159" s="61"/>
      <c r="C159" s="76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</row>
    <row r="160" spans="1:38" ht="15.75" customHeight="1">
      <c r="A160" s="61"/>
      <c r="B160" s="61"/>
      <c r="C160" s="76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</row>
    <row r="161" spans="1:38" ht="15.75" customHeight="1">
      <c r="A161" s="61"/>
      <c r="B161" s="61"/>
      <c r="C161" s="76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</row>
    <row r="162" spans="1:38" ht="15.75" customHeight="1">
      <c r="A162" s="61"/>
      <c r="B162" s="61"/>
      <c r="C162" s="76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</row>
    <row r="163" spans="1:38" ht="15.75" customHeight="1">
      <c r="A163" s="61"/>
      <c r="B163" s="61"/>
      <c r="C163" s="76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</row>
    <row r="164" spans="1:38" ht="15.75" customHeight="1">
      <c r="A164" s="61"/>
      <c r="B164" s="61"/>
      <c r="C164" s="76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</row>
    <row r="165" spans="1:38" ht="15.75" customHeight="1">
      <c r="A165" s="61"/>
      <c r="B165" s="61"/>
      <c r="C165" s="76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</row>
    <row r="166" spans="1:38" ht="15.75" customHeight="1">
      <c r="A166" s="61"/>
      <c r="B166" s="61"/>
      <c r="C166" s="76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</row>
    <row r="167" spans="1:38" ht="15.75" customHeight="1">
      <c r="A167" s="61"/>
      <c r="B167" s="61"/>
      <c r="C167" s="76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</row>
    <row r="168" spans="1:38" ht="15.75" customHeight="1">
      <c r="A168" s="61"/>
      <c r="B168" s="61"/>
      <c r="C168" s="76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</row>
    <row r="169" spans="1:38" ht="15.75" customHeight="1">
      <c r="A169" s="61"/>
      <c r="B169" s="61"/>
      <c r="C169" s="76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</row>
    <row r="170" spans="1:38" ht="15.75" customHeight="1">
      <c r="A170" s="61"/>
      <c r="B170" s="61"/>
      <c r="C170" s="7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</row>
    <row r="171" spans="1:38" ht="15.75" customHeight="1">
      <c r="A171" s="61"/>
      <c r="B171" s="61"/>
      <c r="C171" s="76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</row>
    <row r="172" spans="1:38" ht="15.75" customHeight="1">
      <c r="A172" s="61"/>
      <c r="B172" s="61"/>
      <c r="C172" s="76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</row>
    <row r="173" spans="1:38" ht="15.75" customHeight="1">
      <c r="A173" s="61"/>
      <c r="B173" s="61"/>
      <c r="C173" s="76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</row>
    <row r="174" spans="1:38" ht="15.75" customHeight="1">
      <c r="A174" s="61"/>
      <c r="B174" s="61"/>
      <c r="C174" s="7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</row>
    <row r="175" spans="1:38" ht="15.75" customHeight="1">
      <c r="A175" s="61"/>
      <c r="B175" s="61"/>
      <c r="C175" s="76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</row>
    <row r="176" spans="1:38" ht="15.75" customHeight="1">
      <c r="A176" s="61"/>
      <c r="B176" s="61"/>
      <c r="C176" s="76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</row>
    <row r="177" spans="1:38" ht="15.75" customHeight="1">
      <c r="A177" s="61"/>
      <c r="B177" s="61"/>
      <c r="C177" s="76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</row>
    <row r="178" spans="1:38" ht="15.75" customHeight="1">
      <c r="A178" s="61"/>
      <c r="B178" s="61"/>
      <c r="C178" s="7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</row>
    <row r="179" spans="1:38" ht="15.75" customHeight="1">
      <c r="A179" s="61"/>
      <c r="B179" s="61"/>
      <c r="C179" s="76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</row>
    <row r="180" spans="1:38" ht="15.75" customHeight="1">
      <c r="A180" s="61"/>
      <c r="B180" s="61"/>
      <c r="C180" s="76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</row>
    <row r="181" spans="1:38" ht="15.75" customHeight="1">
      <c r="A181" s="61"/>
      <c r="B181" s="61"/>
      <c r="C181" s="76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</row>
    <row r="182" spans="1:38" ht="15.75" customHeight="1">
      <c r="A182" s="61"/>
      <c r="B182" s="61"/>
      <c r="C182" s="7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</row>
    <row r="183" spans="1:38" ht="15.75" customHeight="1">
      <c r="A183" s="61"/>
      <c r="B183" s="61"/>
      <c r="C183" s="76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</row>
    <row r="184" spans="1:38" ht="15.75" customHeight="1">
      <c r="A184" s="61"/>
      <c r="B184" s="61"/>
      <c r="C184" s="76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</row>
    <row r="185" spans="1:38" ht="15.75" customHeight="1">
      <c r="A185" s="61"/>
      <c r="B185" s="61"/>
      <c r="C185" s="76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</row>
    <row r="186" spans="1:38" ht="15.75" customHeight="1">
      <c r="A186" s="61"/>
      <c r="B186" s="61"/>
      <c r="C186" s="7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</row>
    <row r="187" spans="1:38" ht="15.75" customHeight="1">
      <c r="A187" s="61"/>
      <c r="B187" s="61"/>
      <c r="C187" s="76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</row>
    <row r="188" spans="1:38" ht="15.75" customHeight="1">
      <c r="A188" s="61"/>
      <c r="B188" s="61"/>
      <c r="C188" s="76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</row>
    <row r="189" spans="1:38" ht="15.75" customHeight="1">
      <c r="A189" s="61"/>
      <c r="B189" s="61"/>
      <c r="C189" s="76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</row>
    <row r="190" spans="1:38" ht="15.75" customHeight="1">
      <c r="A190" s="61"/>
      <c r="B190" s="61"/>
      <c r="C190" s="7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</row>
    <row r="191" spans="1:38" ht="15.75" customHeight="1">
      <c r="A191" s="61"/>
      <c r="B191" s="61"/>
      <c r="C191" s="76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</row>
    <row r="192" spans="1:38" ht="15.75" customHeight="1">
      <c r="A192" s="61"/>
      <c r="B192" s="61"/>
      <c r="C192" s="76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</row>
    <row r="193" spans="1:38" ht="15.75" customHeight="1">
      <c r="A193" s="61"/>
      <c r="B193" s="61"/>
      <c r="C193" s="76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</row>
    <row r="194" spans="1:38" ht="15.75" customHeight="1">
      <c r="A194" s="61"/>
      <c r="B194" s="61"/>
      <c r="C194" s="7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</row>
    <row r="195" spans="1:38" ht="15.75" customHeight="1">
      <c r="A195" s="61"/>
      <c r="B195" s="61"/>
      <c r="C195" s="76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</row>
    <row r="196" spans="1:38" ht="15.75" customHeight="1">
      <c r="A196" s="61"/>
      <c r="B196" s="61"/>
      <c r="C196" s="76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</row>
    <row r="197" spans="1:38" ht="15.75" customHeight="1">
      <c r="A197" s="61"/>
      <c r="B197" s="61"/>
      <c r="C197" s="76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</row>
    <row r="198" spans="1:38" ht="15.75" customHeight="1">
      <c r="A198" s="61"/>
      <c r="B198" s="61"/>
      <c r="C198" s="7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</row>
    <row r="199" spans="1:38" ht="15.75" customHeight="1">
      <c r="A199" s="61"/>
      <c r="B199" s="61"/>
      <c r="C199" s="76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</row>
    <row r="200" spans="1:38" ht="15.75" customHeight="1">
      <c r="A200" s="61"/>
      <c r="B200" s="61"/>
      <c r="C200" s="76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</row>
    <row r="201" spans="1:38" ht="15.75" customHeight="1">
      <c r="A201" s="61"/>
      <c r="B201" s="61"/>
      <c r="C201" s="76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</row>
    <row r="202" spans="1:38" ht="15.75" customHeight="1">
      <c r="A202" s="61"/>
      <c r="B202" s="61"/>
      <c r="C202" s="7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</row>
    <row r="203" spans="1:38" ht="15.75" customHeight="1">
      <c r="A203" s="61"/>
      <c r="B203" s="61"/>
      <c r="C203" s="76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</row>
    <row r="204" spans="1:38" ht="15.75" customHeight="1">
      <c r="A204" s="61"/>
      <c r="B204" s="61"/>
      <c r="C204" s="76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</row>
    <row r="205" spans="1:38" ht="15.75" customHeight="1">
      <c r="A205" s="61"/>
      <c r="B205" s="61"/>
      <c r="C205" s="76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</row>
    <row r="206" spans="1:38" ht="15.75" customHeight="1">
      <c r="A206" s="61"/>
      <c r="B206" s="61"/>
      <c r="C206" s="7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</row>
    <row r="207" spans="1:38" ht="15.75" customHeight="1">
      <c r="A207" s="61"/>
      <c r="B207" s="61"/>
      <c r="C207" s="76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</row>
    <row r="208" spans="1:38" ht="15.75" customHeight="1">
      <c r="A208" s="61"/>
      <c r="B208" s="61"/>
      <c r="C208" s="76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</row>
    <row r="209" spans="1:38" ht="15.75" customHeight="1">
      <c r="A209" s="61"/>
      <c r="B209" s="61"/>
      <c r="C209" s="76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</row>
    <row r="210" spans="1:38" ht="15.75" customHeight="1">
      <c r="A210" s="61"/>
      <c r="B210" s="61"/>
      <c r="C210" s="7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</row>
    <row r="211" spans="1:38" ht="15.75" customHeight="1">
      <c r="A211" s="61"/>
      <c r="B211" s="61"/>
      <c r="C211" s="76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</row>
    <row r="212" spans="1:38" ht="15.75" customHeight="1">
      <c r="A212" s="61"/>
      <c r="B212" s="61"/>
      <c r="C212" s="76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</row>
    <row r="213" spans="1:38" ht="15.75" customHeight="1">
      <c r="A213" s="61"/>
      <c r="B213" s="61"/>
      <c r="C213" s="76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</row>
    <row r="214" spans="1:38" ht="15.75" customHeight="1">
      <c r="A214" s="61"/>
      <c r="B214" s="61"/>
      <c r="C214" s="7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</row>
    <row r="215" spans="1:38" ht="15.75" customHeight="1">
      <c r="A215" s="61"/>
      <c r="B215" s="61"/>
      <c r="C215" s="76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</row>
    <row r="216" spans="1:38" ht="15.75" customHeight="1">
      <c r="A216" s="61"/>
      <c r="B216" s="61"/>
      <c r="C216" s="76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</row>
    <row r="217" spans="1:38" ht="15.75" customHeight="1">
      <c r="A217" s="61"/>
      <c r="B217" s="61"/>
      <c r="C217" s="76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</row>
    <row r="218" spans="1:38" ht="15.75" customHeight="1">
      <c r="A218" s="61"/>
      <c r="B218" s="61"/>
      <c r="C218" s="7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</row>
    <row r="219" spans="1:38" ht="15.75" customHeight="1">
      <c r="A219" s="61"/>
      <c r="B219" s="61"/>
      <c r="C219" s="76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</row>
    <row r="220" spans="1:38" ht="15.75" customHeight="1">
      <c r="A220" s="61"/>
      <c r="B220" s="61"/>
      <c r="C220" s="76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</row>
    <row r="221" spans="1:38" ht="15.75" customHeight="1">
      <c r="A221" s="61"/>
      <c r="B221" s="61"/>
      <c r="C221" s="76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</row>
    <row r="222" spans="1:38" ht="15.75" customHeight="1">
      <c r="A222" s="73"/>
      <c r="B222" s="73"/>
      <c r="C222" s="7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</row>
    <row r="223" spans="1:38" ht="15.75" customHeight="1">
      <c r="A223" s="73"/>
      <c r="B223" s="73"/>
      <c r="C223" s="76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</row>
    <row r="224" spans="1:38" ht="15.75" customHeight="1">
      <c r="A224" s="73"/>
      <c r="B224" s="73"/>
      <c r="C224" s="76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</row>
    <row r="225" spans="1:38" ht="15.75" customHeight="1">
      <c r="A225" s="73"/>
      <c r="B225" s="73"/>
      <c r="C225" s="76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</row>
    <row r="226" spans="1:38" ht="15.75" customHeight="1">
      <c r="A226" s="73"/>
      <c r="B226" s="73"/>
      <c r="C226" s="7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</row>
    <row r="227" spans="1:38" ht="15.75" customHeight="1">
      <c r="A227" s="73"/>
      <c r="B227" s="73"/>
      <c r="C227" s="76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</row>
    <row r="228" spans="1:38" ht="15.75" customHeight="1">
      <c r="A228" s="73"/>
      <c r="B228" s="73"/>
      <c r="C228" s="76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</row>
    <row r="229" spans="1:38" ht="15.75" customHeight="1">
      <c r="A229" s="73"/>
      <c r="B229" s="73"/>
      <c r="C229" s="76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</row>
    <row r="230" spans="1:38" ht="15.75" customHeight="1">
      <c r="A230" s="73"/>
      <c r="B230" s="73"/>
      <c r="C230" s="7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</row>
    <row r="231" spans="1:38" ht="15.75" customHeight="1">
      <c r="A231" s="73"/>
      <c r="B231" s="73"/>
      <c r="C231" s="76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</row>
    <row r="232" spans="1:38" ht="15.75" customHeight="1">
      <c r="A232" s="73"/>
      <c r="B232" s="73"/>
      <c r="C232" s="76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</row>
    <row r="233" spans="1:38" ht="15.75" customHeight="1">
      <c r="A233" s="73"/>
      <c r="B233" s="73"/>
      <c r="C233" s="76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</row>
    <row r="234" spans="1:38" ht="15.75" customHeight="1">
      <c r="A234" s="73"/>
      <c r="B234" s="73"/>
      <c r="C234" s="7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</row>
    <row r="235" spans="1:38" ht="15.75" customHeight="1">
      <c r="A235" s="73"/>
      <c r="B235" s="73"/>
      <c r="C235" s="76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</row>
    <row r="236" spans="1:38" ht="15.75" customHeight="1">
      <c r="A236" s="73"/>
      <c r="B236" s="73"/>
      <c r="C236" s="76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</row>
    <row r="237" spans="1:38" ht="15.75" customHeight="1">
      <c r="A237" s="73"/>
      <c r="B237" s="73"/>
      <c r="C237" s="76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</row>
    <row r="238" spans="1:38" ht="15.75" customHeight="1">
      <c r="A238" s="73"/>
      <c r="B238" s="73"/>
      <c r="C238" s="7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</row>
    <row r="239" spans="1:38" ht="15.75" customHeight="1">
      <c r="A239" s="73"/>
      <c r="B239" s="73"/>
      <c r="C239" s="76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</row>
    <row r="240" spans="1:38" ht="15.75" customHeight="1">
      <c r="A240" s="73"/>
      <c r="B240" s="73"/>
      <c r="C240" s="76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</row>
    <row r="241" spans="1:38" ht="15.75" customHeight="1">
      <c r="A241" s="73"/>
      <c r="B241" s="73"/>
      <c r="C241" s="76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</row>
    <row r="242" spans="1:38" ht="15.75" customHeight="1">
      <c r="A242" s="73"/>
      <c r="B242" s="73"/>
      <c r="C242" s="7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</row>
    <row r="243" spans="1:38" ht="15.75" customHeight="1">
      <c r="A243" s="73"/>
      <c r="B243" s="73"/>
      <c r="C243" s="76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</row>
    <row r="244" spans="1:38" ht="15.75" customHeight="1">
      <c r="A244" s="73"/>
      <c r="B244" s="73"/>
      <c r="C244" s="76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</row>
    <row r="245" spans="1:38" ht="15.75" customHeight="1">
      <c r="A245" s="73"/>
      <c r="B245" s="73"/>
      <c r="C245" s="76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</row>
    <row r="246" spans="1:38" ht="15.75" customHeight="1">
      <c r="A246" s="73"/>
      <c r="B246" s="73"/>
      <c r="C246" s="7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</row>
    <row r="247" spans="1:38" ht="15.75" customHeight="1">
      <c r="A247" s="73"/>
      <c r="B247" s="73"/>
      <c r="C247" s="76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</row>
    <row r="248" spans="1:38" ht="15.75" customHeight="1">
      <c r="A248" s="73"/>
      <c r="B248" s="73"/>
      <c r="C248" s="76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</row>
    <row r="249" spans="1:38" ht="15.75" customHeight="1">
      <c r="A249" s="73"/>
      <c r="B249" s="73"/>
      <c r="C249" s="76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</row>
    <row r="250" spans="1:38" ht="15.75" customHeight="1">
      <c r="A250" s="73"/>
      <c r="B250" s="73"/>
      <c r="C250" s="7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</row>
    <row r="251" spans="1:38" ht="15.75" customHeight="1">
      <c r="A251" s="73"/>
      <c r="B251" s="73"/>
      <c r="C251" s="76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</row>
    <row r="252" spans="1:38" ht="15.75" customHeight="1">
      <c r="A252" s="73"/>
      <c r="B252" s="73"/>
      <c r="C252" s="76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</row>
    <row r="253" spans="1:38" ht="15.75" customHeight="1">
      <c r="A253" s="73"/>
      <c r="B253" s="73"/>
      <c r="C253" s="76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</row>
    <row r="254" spans="1:38" ht="15.75" customHeight="1">
      <c r="A254" s="73"/>
      <c r="B254" s="73"/>
      <c r="C254" s="7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</row>
    <row r="255" spans="1:38" ht="15.75" customHeight="1">
      <c r="A255" s="73"/>
      <c r="B255" s="73"/>
      <c r="C255" s="76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</row>
    <row r="256" spans="1:38" ht="15.75" customHeight="1">
      <c r="A256" s="73"/>
      <c r="B256" s="73"/>
      <c r="C256" s="76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</row>
    <row r="257" spans="1:38" ht="15.75" customHeight="1">
      <c r="A257" s="73"/>
      <c r="B257" s="73"/>
      <c r="C257" s="76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</row>
    <row r="258" spans="1:38" ht="15.75" customHeight="1">
      <c r="A258" s="73"/>
      <c r="B258" s="73"/>
      <c r="C258" s="7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</row>
    <row r="259" spans="1:38" ht="15.75" customHeight="1">
      <c r="A259" s="73"/>
      <c r="B259" s="73"/>
      <c r="C259" s="76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</row>
    <row r="260" spans="1:38" ht="15.75" customHeight="1">
      <c r="A260" s="73"/>
      <c r="B260" s="73"/>
      <c r="C260" s="76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</row>
    <row r="261" spans="1:38" ht="15.75" customHeight="1">
      <c r="A261" s="73"/>
      <c r="B261" s="73"/>
      <c r="C261" s="76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</row>
    <row r="262" spans="1:38" ht="15.75" customHeight="1">
      <c r="A262" s="73"/>
      <c r="B262" s="73"/>
      <c r="C262" s="7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</row>
    <row r="263" spans="1:38" ht="15.75" customHeight="1">
      <c r="A263" s="73"/>
      <c r="B263" s="73"/>
      <c r="C263" s="76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</row>
    <row r="264" spans="1:38" ht="15.75" customHeight="1">
      <c r="A264" s="73"/>
      <c r="B264" s="73"/>
      <c r="C264" s="76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</row>
    <row r="265" spans="1:38" ht="15.75" customHeight="1">
      <c r="A265" s="73"/>
      <c r="B265" s="73"/>
      <c r="C265" s="76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</row>
    <row r="266" spans="1:38" ht="15.75" customHeight="1">
      <c r="A266" s="73"/>
      <c r="B266" s="73"/>
      <c r="C266" s="7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</row>
    <row r="267" spans="1:38" ht="15.75" customHeight="1">
      <c r="A267" s="73"/>
      <c r="B267" s="73"/>
      <c r="C267" s="76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</row>
    <row r="268" spans="1:38" ht="15.75" customHeight="1">
      <c r="A268" s="73"/>
      <c r="B268" s="73"/>
      <c r="C268" s="76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</row>
    <row r="269" spans="1:38" ht="15.75" customHeight="1">
      <c r="A269" s="73"/>
      <c r="B269" s="73"/>
      <c r="C269" s="76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</row>
    <row r="270" spans="1:38" ht="15.75" customHeight="1">
      <c r="A270" s="73"/>
      <c r="B270" s="73"/>
      <c r="C270" s="7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</row>
    <row r="271" spans="1:38" ht="15.75" customHeight="1">
      <c r="A271" s="73"/>
      <c r="B271" s="73"/>
      <c r="C271" s="76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</row>
    <row r="272" spans="1:38" ht="15.75" customHeight="1">
      <c r="A272" s="73"/>
      <c r="B272" s="73"/>
      <c r="C272" s="76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</row>
    <row r="273" spans="1:38" ht="15.75" customHeight="1">
      <c r="A273" s="73"/>
      <c r="B273" s="73"/>
      <c r="C273" s="76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</row>
    <row r="274" spans="1:38" ht="15.75" customHeight="1">
      <c r="A274" s="73"/>
      <c r="B274" s="73"/>
      <c r="C274" s="7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</row>
    <row r="275" spans="1:38" ht="15.75" customHeight="1">
      <c r="A275" s="73"/>
      <c r="B275" s="73"/>
      <c r="C275" s="76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</row>
    <row r="276" spans="1:38" ht="15.75" customHeight="1">
      <c r="A276" s="73"/>
      <c r="B276" s="73"/>
      <c r="C276" s="76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</row>
    <row r="277" spans="1:38" ht="15.75" customHeight="1">
      <c r="A277" s="73"/>
      <c r="B277" s="73"/>
      <c r="C277" s="76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</row>
    <row r="278" spans="1:38" ht="15.75" customHeight="1">
      <c r="A278" s="73"/>
      <c r="B278" s="73"/>
      <c r="C278" s="7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</row>
    <row r="279" spans="1:38" ht="15.75" customHeight="1">
      <c r="A279" s="73"/>
      <c r="B279" s="73"/>
      <c r="C279" s="76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</row>
    <row r="280" spans="1:38" ht="15.75" customHeight="1">
      <c r="A280" s="73"/>
      <c r="B280" s="73"/>
      <c r="C280" s="76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</row>
    <row r="281" spans="1:38" ht="15.75" customHeight="1">
      <c r="A281" s="73"/>
      <c r="B281" s="73"/>
      <c r="C281" s="76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</row>
    <row r="282" spans="1:38" ht="15.75" customHeight="1">
      <c r="A282" s="73"/>
      <c r="B282" s="73"/>
      <c r="C282" s="7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</row>
    <row r="283" spans="1:38" ht="15.75" customHeight="1">
      <c r="A283" s="73"/>
      <c r="B283" s="73"/>
      <c r="C283" s="76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</row>
    <row r="284" spans="1:38" ht="15.75" customHeight="1">
      <c r="A284" s="73"/>
      <c r="B284" s="73"/>
      <c r="C284" s="76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</row>
    <row r="285" spans="1:38" ht="15.75" customHeight="1">
      <c r="A285" s="73"/>
      <c r="B285" s="73"/>
      <c r="C285" s="76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</row>
    <row r="286" spans="1:38" ht="15.75" customHeight="1">
      <c r="A286" s="73"/>
      <c r="B286" s="73"/>
      <c r="C286" s="7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</row>
    <row r="287" spans="1:38" ht="15.75" customHeight="1">
      <c r="A287" s="73"/>
      <c r="B287" s="73"/>
      <c r="C287" s="76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</row>
    <row r="288" spans="1:38" ht="15.75" customHeight="1">
      <c r="A288" s="73"/>
      <c r="B288" s="73"/>
      <c r="C288" s="76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</row>
    <row r="289" spans="1:38" ht="15.75" customHeight="1">
      <c r="A289" s="73"/>
      <c r="B289" s="73"/>
      <c r="C289" s="76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</row>
    <row r="290" spans="1:38" ht="15.75" customHeight="1">
      <c r="A290" s="73"/>
      <c r="B290" s="73"/>
      <c r="C290" s="7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</row>
    <row r="291" spans="1:38" ht="15.75" customHeight="1">
      <c r="A291" s="73"/>
      <c r="B291" s="73"/>
      <c r="C291" s="76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</row>
    <row r="292" spans="1:38" ht="15.75" customHeight="1">
      <c r="A292" s="73"/>
      <c r="B292" s="73"/>
      <c r="C292" s="76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</row>
    <row r="293" spans="1:38" ht="15.75" customHeight="1">
      <c r="A293" s="73"/>
      <c r="B293" s="73"/>
      <c r="C293" s="76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</row>
    <row r="294" spans="1:38" ht="15.75" customHeight="1">
      <c r="A294" s="73"/>
      <c r="B294" s="73"/>
      <c r="C294" s="7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</row>
    <row r="295" spans="1:38" ht="15.75" customHeight="1">
      <c r="A295" s="73"/>
      <c r="B295" s="73"/>
      <c r="C295" s="76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</row>
    <row r="296" spans="1:38" ht="15.75" customHeight="1">
      <c r="A296" s="73"/>
      <c r="B296" s="73"/>
      <c r="C296" s="76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</row>
    <row r="297" spans="1:38" ht="15.75" customHeight="1">
      <c r="A297" s="73"/>
      <c r="B297" s="73"/>
      <c r="C297" s="76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</row>
    <row r="298" spans="1:38" ht="15.75" customHeight="1">
      <c r="A298" s="73"/>
      <c r="B298" s="73"/>
      <c r="C298" s="7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</row>
    <row r="299" spans="1:38" ht="15.75" customHeight="1">
      <c r="A299" s="73"/>
      <c r="B299" s="73"/>
      <c r="C299" s="76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</row>
    <row r="300" spans="1:38" ht="15.75" customHeight="1">
      <c r="A300" s="73"/>
      <c r="B300" s="73"/>
      <c r="C300" s="76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</row>
    <row r="301" spans="1:38" ht="15.75" customHeight="1">
      <c r="A301" s="73"/>
      <c r="B301" s="73"/>
      <c r="C301" s="76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</row>
    <row r="302" spans="1:38" ht="15.75" customHeight="1">
      <c r="A302" s="73"/>
      <c r="B302" s="73"/>
      <c r="C302" s="7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</row>
    <row r="303" spans="1:38" ht="15.75" customHeight="1">
      <c r="A303" s="73"/>
      <c r="B303" s="73"/>
      <c r="C303" s="76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</row>
    <row r="304" spans="1:38" ht="15.75" customHeight="1">
      <c r="A304" s="73"/>
      <c r="B304" s="73"/>
      <c r="C304" s="76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</row>
    <row r="305" spans="1:38" ht="15.75" customHeight="1">
      <c r="A305" s="73"/>
      <c r="B305" s="73"/>
      <c r="C305" s="76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</row>
    <row r="306" spans="1:38" ht="15.75" customHeight="1">
      <c r="A306" s="73"/>
      <c r="B306" s="73"/>
      <c r="C306" s="7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</row>
    <row r="307" spans="1:38" ht="15.75" customHeight="1">
      <c r="A307" s="73"/>
      <c r="B307" s="73"/>
      <c r="C307" s="76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</row>
    <row r="308" spans="1:38" ht="15.75" customHeight="1">
      <c r="A308" s="73"/>
      <c r="B308" s="73"/>
      <c r="C308" s="76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</row>
    <row r="309" spans="1:38" ht="15.75" customHeight="1">
      <c r="A309" s="73"/>
      <c r="B309" s="73"/>
      <c r="C309" s="76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</row>
    <row r="310" spans="1:38" ht="15.75" customHeight="1">
      <c r="A310" s="73"/>
      <c r="B310" s="73"/>
      <c r="C310" s="7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</row>
    <row r="311" spans="1:38" ht="15.75" customHeight="1">
      <c r="A311" s="73"/>
      <c r="B311" s="73"/>
      <c r="C311" s="76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</row>
    <row r="312" spans="1:38" ht="15.75" customHeight="1">
      <c r="A312" s="73"/>
      <c r="B312" s="73"/>
      <c r="C312" s="76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</row>
    <row r="313" spans="1:38" ht="15.75" customHeight="1">
      <c r="A313" s="73"/>
      <c r="B313" s="73"/>
      <c r="C313" s="76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</row>
    <row r="314" spans="1:38" ht="15.75" customHeight="1">
      <c r="A314" s="73"/>
      <c r="B314" s="73"/>
      <c r="C314" s="7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</row>
    <row r="315" spans="1:38" ht="15.75" customHeight="1">
      <c r="A315" s="73"/>
      <c r="B315" s="73"/>
      <c r="C315" s="76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</row>
    <row r="316" spans="1:38" ht="15.75" customHeight="1">
      <c r="A316" s="73"/>
      <c r="B316" s="73"/>
      <c r="C316" s="76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</row>
    <row r="317" spans="1:38" ht="15.75" customHeight="1">
      <c r="A317" s="73"/>
      <c r="B317" s="73"/>
      <c r="C317" s="76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</row>
    <row r="318" spans="1:38" ht="15.75" customHeight="1">
      <c r="A318" s="73"/>
      <c r="B318" s="73"/>
      <c r="C318" s="7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</row>
    <row r="319" spans="1:38" ht="15.75" customHeight="1">
      <c r="A319" s="73"/>
      <c r="B319" s="73"/>
      <c r="C319" s="76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</row>
    <row r="320" spans="1:38" ht="15.75" customHeight="1">
      <c r="A320" s="73"/>
      <c r="B320" s="73"/>
      <c r="C320" s="76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</row>
    <row r="321" spans="1:38" ht="15.75" customHeight="1">
      <c r="A321" s="73"/>
      <c r="B321" s="73"/>
      <c r="C321" s="76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</row>
    <row r="322" spans="1:38" ht="15.75" customHeight="1">
      <c r="A322" s="73"/>
      <c r="B322" s="73"/>
      <c r="C322" s="7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</row>
    <row r="323" spans="1:38" ht="15.75" customHeight="1">
      <c r="A323" s="73"/>
      <c r="B323" s="73"/>
      <c r="C323" s="76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</row>
    <row r="324" spans="1:38" ht="15.75" customHeight="1">
      <c r="A324" s="73"/>
      <c r="B324" s="73"/>
      <c r="C324" s="76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</row>
    <row r="325" spans="1:38" ht="15.75" customHeight="1">
      <c r="A325" s="73"/>
      <c r="B325" s="73"/>
      <c r="C325" s="76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</row>
    <row r="326" spans="1:38" ht="15.75" customHeight="1">
      <c r="A326" s="73"/>
      <c r="B326" s="73"/>
      <c r="C326" s="7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</row>
    <row r="327" spans="1:38" ht="15.75" customHeight="1">
      <c r="A327" s="73"/>
      <c r="B327" s="73"/>
      <c r="C327" s="76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</row>
    <row r="328" spans="1:38" ht="15.75" customHeight="1">
      <c r="A328" s="73"/>
      <c r="B328" s="73"/>
      <c r="C328" s="76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</row>
    <row r="329" spans="1:38" ht="15.75" customHeight="1">
      <c r="A329" s="73"/>
      <c r="B329" s="73"/>
      <c r="C329" s="76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</row>
    <row r="330" spans="1:38" ht="15.75" customHeight="1">
      <c r="A330" s="73"/>
      <c r="B330" s="73"/>
      <c r="C330" s="7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</row>
    <row r="331" spans="1:38" ht="15.75" customHeight="1">
      <c r="A331" s="73"/>
      <c r="B331" s="73"/>
      <c r="C331" s="76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</row>
    <row r="332" spans="1:38" ht="15.75" customHeight="1">
      <c r="A332" s="73"/>
      <c r="B332" s="73"/>
      <c r="C332" s="76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</row>
    <row r="333" spans="1:38" ht="15.75" customHeight="1">
      <c r="A333" s="73"/>
      <c r="B333" s="73"/>
      <c r="C333" s="76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</row>
    <row r="334" spans="1:38" ht="15.75" customHeight="1">
      <c r="A334" s="73"/>
      <c r="B334" s="73"/>
      <c r="C334" s="7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</row>
    <row r="335" spans="1:38" ht="15.75" customHeight="1">
      <c r="A335" s="73"/>
      <c r="B335" s="73"/>
      <c r="C335" s="76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</row>
    <row r="336" spans="1:38" ht="15.75" customHeight="1">
      <c r="A336" s="73"/>
      <c r="B336" s="73"/>
      <c r="C336" s="76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</row>
    <row r="337" spans="1:38" ht="15.75" customHeight="1">
      <c r="A337" s="73"/>
      <c r="B337" s="73"/>
      <c r="C337" s="76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</row>
    <row r="338" spans="1:38" ht="15.75" customHeight="1">
      <c r="A338" s="73"/>
      <c r="B338" s="73"/>
      <c r="C338" s="7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</row>
    <row r="339" spans="1:38" ht="15.75" customHeight="1">
      <c r="A339" s="73"/>
      <c r="B339" s="73"/>
      <c r="C339" s="76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</row>
    <row r="340" spans="1:38" ht="15.75" customHeight="1">
      <c r="A340" s="73"/>
      <c r="B340" s="73"/>
      <c r="C340" s="76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</row>
    <row r="341" spans="1:38" ht="15.75" customHeight="1">
      <c r="A341" s="73"/>
      <c r="B341" s="73"/>
      <c r="C341" s="76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</row>
    <row r="342" spans="1:38" ht="15.75" customHeight="1">
      <c r="A342" s="73"/>
      <c r="B342" s="73"/>
      <c r="C342" s="7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</row>
    <row r="343" spans="1:38" ht="15.75" customHeight="1">
      <c r="A343" s="73"/>
      <c r="B343" s="73"/>
      <c r="C343" s="76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</row>
    <row r="344" spans="1:38" ht="15.75" customHeight="1">
      <c r="A344" s="73"/>
      <c r="B344" s="73"/>
      <c r="C344" s="76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</row>
    <row r="345" spans="1:38" ht="15.75" customHeight="1">
      <c r="A345" s="73"/>
      <c r="B345" s="73"/>
      <c r="C345" s="76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</row>
    <row r="346" spans="1:38" ht="15.75" customHeight="1">
      <c r="A346" s="73"/>
      <c r="B346" s="73"/>
      <c r="C346" s="7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</row>
    <row r="347" spans="1:38" ht="15.75" customHeight="1">
      <c r="A347" s="73"/>
      <c r="B347" s="73"/>
      <c r="C347" s="76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</row>
    <row r="348" spans="1:38" ht="15.75" customHeight="1">
      <c r="A348" s="73"/>
      <c r="B348" s="73"/>
      <c r="C348" s="76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</row>
    <row r="349" spans="1:38" ht="15.75" customHeight="1">
      <c r="A349" s="73"/>
      <c r="B349" s="73"/>
      <c r="C349" s="76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</row>
    <row r="350" spans="1:38" ht="15.75" customHeight="1">
      <c r="A350" s="73"/>
      <c r="B350" s="73"/>
      <c r="C350" s="7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</row>
    <row r="351" spans="1:38" ht="15.75" customHeight="1">
      <c r="A351" s="73"/>
      <c r="B351" s="73"/>
      <c r="C351" s="76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</row>
    <row r="352" spans="1:38" ht="15.75" customHeight="1">
      <c r="A352" s="73"/>
      <c r="B352" s="73"/>
      <c r="C352" s="76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</row>
    <row r="353" spans="1:38" ht="15.75" customHeight="1">
      <c r="A353" s="73"/>
      <c r="B353" s="73"/>
      <c r="C353" s="76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</row>
    <row r="354" spans="1:38" ht="15.75" customHeight="1">
      <c r="A354" s="73"/>
      <c r="B354" s="73"/>
      <c r="C354" s="7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</row>
    <row r="355" spans="1:38" ht="15.75" customHeight="1">
      <c r="A355" s="73"/>
      <c r="B355" s="73"/>
      <c r="C355" s="76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</row>
    <row r="356" spans="1:38" ht="15.75" customHeight="1">
      <c r="A356" s="73"/>
      <c r="B356" s="73"/>
      <c r="C356" s="76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</row>
    <row r="357" spans="1:38" ht="15.75" customHeight="1">
      <c r="A357" s="73"/>
      <c r="B357" s="73"/>
      <c r="C357" s="76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</row>
    <row r="358" spans="1:38" ht="15.75" customHeight="1">
      <c r="A358" s="73"/>
      <c r="B358" s="73"/>
      <c r="C358" s="7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</row>
    <row r="359" spans="1:38" ht="15.75" customHeight="1">
      <c r="A359" s="73"/>
      <c r="B359" s="73"/>
      <c r="C359" s="76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</row>
    <row r="360" spans="1:38" ht="15.75" customHeight="1">
      <c r="A360" s="73"/>
      <c r="B360" s="73"/>
      <c r="C360" s="76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</row>
    <row r="361" spans="1:38" ht="15.75" customHeight="1">
      <c r="A361" s="73"/>
      <c r="B361" s="73"/>
      <c r="C361" s="76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</row>
    <row r="362" spans="1:38" ht="15.75" customHeight="1">
      <c r="A362" s="73"/>
      <c r="B362" s="73"/>
      <c r="C362" s="7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</row>
    <row r="363" spans="1:38" ht="15.75" customHeight="1">
      <c r="A363" s="73"/>
      <c r="B363" s="73"/>
      <c r="C363" s="76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</row>
    <row r="364" spans="1:38" ht="15.75" customHeight="1">
      <c r="A364" s="73"/>
      <c r="B364" s="73"/>
      <c r="C364" s="76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</row>
    <row r="365" spans="1:38" ht="15.75" customHeight="1">
      <c r="A365" s="73"/>
      <c r="B365" s="73"/>
      <c r="C365" s="76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</row>
    <row r="366" spans="1:38" ht="15.75" customHeight="1">
      <c r="A366" s="73"/>
      <c r="B366" s="73"/>
      <c r="C366" s="7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</row>
    <row r="367" spans="1:38" ht="15.75" customHeight="1">
      <c r="A367" s="73"/>
      <c r="B367" s="73"/>
      <c r="C367" s="76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</row>
    <row r="368" spans="1:38" ht="15.75" customHeight="1">
      <c r="A368" s="73"/>
      <c r="B368" s="73"/>
      <c r="C368" s="76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</row>
    <row r="369" spans="1:38" ht="15.75" customHeight="1">
      <c r="A369" s="73"/>
      <c r="B369" s="73"/>
      <c r="C369" s="76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</row>
    <row r="370" spans="1:38" ht="15.75" customHeight="1">
      <c r="A370" s="73"/>
      <c r="B370" s="73"/>
      <c r="C370" s="7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</row>
    <row r="371" spans="1:38" ht="15.75" customHeight="1">
      <c r="A371" s="73"/>
      <c r="B371" s="73"/>
      <c r="C371" s="76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</row>
    <row r="372" spans="1:38" ht="15.75" customHeight="1">
      <c r="A372" s="73"/>
      <c r="B372" s="73"/>
      <c r="C372" s="76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</row>
    <row r="373" spans="1:38" ht="15.75" customHeight="1">
      <c r="A373" s="73"/>
      <c r="B373" s="73"/>
      <c r="C373" s="76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</row>
    <row r="374" spans="1:38" ht="15.75" customHeight="1">
      <c r="A374" s="73"/>
      <c r="B374" s="73"/>
      <c r="C374" s="7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</row>
    <row r="375" spans="1:38" ht="15.75" customHeight="1">
      <c r="A375" s="73"/>
      <c r="B375" s="73"/>
      <c r="C375" s="76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</row>
    <row r="376" spans="1:38" ht="15.75" customHeight="1">
      <c r="A376" s="73"/>
      <c r="B376" s="73"/>
      <c r="C376" s="76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</row>
    <row r="377" spans="1:38" ht="15.75" customHeight="1">
      <c r="A377" s="73"/>
      <c r="B377" s="73"/>
      <c r="C377" s="76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</row>
    <row r="378" spans="1:38" ht="15.75" customHeight="1">
      <c r="A378" s="73"/>
      <c r="B378" s="73"/>
      <c r="C378" s="7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</row>
    <row r="379" spans="1:38" ht="15.75" customHeight="1">
      <c r="A379" s="73"/>
      <c r="B379" s="73"/>
      <c r="C379" s="76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</row>
    <row r="380" spans="1:38" ht="15.75" customHeight="1">
      <c r="A380" s="73"/>
      <c r="B380" s="73"/>
      <c r="C380" s="76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</row>
    <row r="381" spans="1:38" ht="15.75" customHeight="1">
      <c r="A381" s="73"/>
      <c r="B381" s="73"/>
      <c r="C381" s="76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</row>
    <row r="382" spans="1:38" ht="15.75" customHeight="1">
      <c r="A382" s="73"/>
      <c r="B382" s="73"/>
      <c r="C382" s="7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</row>
    <row r="383" spans="1:38" ht="15.75" customHeight="1">
      <c r="A383" s="73"/>
      <c r="B383" s="73"/>
      <c r="C383" s="76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</row>
    <row r="384" spans="1:38" ht="15.75" customHeight="1">
      <c r="A384" s="73"/>
      <c r="B384" s="73"/>
      <c r="C384" s="76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</row>
    <row r="385" spans="1:38" ht="15.75" customHeight="1">
      <c r="A385" s="73"/>
      <c r="B385" s="73"/>
      <c r="C385" s="76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</row>
    <row r="386" spans="1:38" ht="15.75" customHeight="1">
      <c r="A386" s="73"/>
      <c r="B386" s="73"/>
      <c r="C386" s="7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</row>
    <row r="387" spans="1:38" ht="15.75" customHeight="1">
      <c r="A387" s="73"/>
      <c r="B387" s="73"/>
      <c r="C387" s="76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</row>
    <row r="388" spans="1:38" ht="15.75" customHeight="1">
      <c r="A388" s="73"/>
      <c r="B388" s="73"/>
      <c r="C388" s="76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</row>
    <row r="389" spans="1:38" ht="15.75" customHeight="1">
      <c r="A389" s="73"/>
      <c r="B389" s="73"/>
      <c r="C389" s="76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</row>
    <row r="390" spans="1:38" ht="15.75" customHeight="1">
      <c r="A390" s="73"/>
      <c r="B390" s="73"/>
      <c r="C390" s="7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</row>
    <row r="391" spans="1:38" ht="15.75" customHeight="1">
      <c r="A391" s="73"/>
      <c r="B391" s="73"/>
      <c r="C391" s="76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</row>
    <row r="392" spans="1:38" ht="15.75" customHeight="1">
      <c r="A392" s="73"/>
      <c r="B392" s="73"/>
      <c r="C392" s="76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</row>
    <row r="393" spans="1:38" ht="15.75" customHeight="1">
      <c r="A393" s="73"/>
      <c r="B393" s="73"/>
      <c r="C393" s="76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</row>
    <row r="394" spans="1:38" ht="15.75" customHeight="1">
      <c r="A394" s="73"/>
      <c r="B394" s="73"/>
      <c r="C394" s="7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</row>
    <row r="395" spans="1:38" ht="15.75" customHeight="1">
      <c r="A395" s="73"/>
      <c r="B395" s="73"/>
      <c r="C395" s="76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</row>
    <row r="396" spans="1:38" ht="15.75" customHeight="1">
      <c r="A396" s="73"/>
      <c r="B396" s="73"/>
      <c r="C396" s="76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</row>
    <row r="397" spans="1:38" ht="15.75" customHeight="1">
      <c r="A397" s="73"/>
      <c r="B397" s="73"/>
      <c r="C397" s="76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</row>
    <row r="398" spans="1:38" ht="15.75" customHeight="1">
      <c r="A398" s="73"/>
      <c r="B398" s="73"/>
      <c r="C398" s="7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</row>
    <row r="399" spans="1:38" ht="15.75" customHeight="1">
      <c r="A399" s="73"/>
      <c r="B399" s="73"/>
      <c r="C399" s="76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</row>
    <row r="400" spans="1:38" ht="15.75" customHeight="1">
      <c r="A400" s="73"/>
      <c r="B400" s="73"/>
      <c r="C400" s="76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</row>
    <row r="401" spans="1:38" ht="15.75" customHeight="1">
      <c r="A401" s="73"/>
      <c r="B401" s="73"/>
      <c r="C401" s="76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</row>
    <row r="402" spans="1:38" ht="15.75" customHeight="1">
      <c r="A402" s="73"/>
      <c r="B402" s="73"/>
      <c r="C402" s="7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</row>
    <row r="403" spans="1:38" ht="15.75" customHeight="1">
      <c r="A403" s="73"/>
      <c r="B403" s="73"/>
      <c r="C403" s="76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</row>
    <row r="404" spans="1:38" ht="15.75" customHeight="1">
      <c r="A404" s="73"/>
      <c r="B404" s="73"/>
      <c r="C404" s="76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</row>
    <row r="405" spans="1:38" ht="15.75" customHeight="1">
      <c r="A405" s="73"/>
      <c r="B405" s="73"/>
      <c r="C405" s="76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</row>
    <row r="406" spans="1:38" ht="15.75" customHeight="1">
      <c r="A406" s="73"/>
      <c r="B406" s="73"/>
      <c r="C406" s="7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</row>
    <row r="407" spans="1:38" ht="15.75" customHeight="1">
      <c r="A407" s="73"/>
      <c r="B407" s="73"/>
      <c r="C407" s="76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</row>
    <row r="408" spans="1:38" ht="15.75" customHeight="1">
      <c r="A408" s="73"/>
      <c r="B408" s="73"/>
      <c r="C408" s="76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</row>
    <row r="409" spans="1:38" ht="15.75" customHeight="1">
      <c r="A409" s="73"/>
      <c r="B409" s="73"/>
      <c r="C409" s="76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</row>
    <row r="410" spans="1:38" ht="15.75" customHeight="1">
      <c r="A410" s="73"/>
      <c r="B410" s="73"/>
      <c r="C410" s="7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</row>
    <row r="411" spans="1:38" ht="15.75" customHeight="1">
      <c r="A411" s="73"/>
      <c r="B411" s="73"/>
      <c r="C411" s="76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</row>
    <row r="412" spans="1:38" ht="15.75" customHeight="1">
      <c r="A412" s="73"/>
      <c r="B412" s="73"/>
      <c r="C412" s="76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</row>
    <row r="413" spans="1:38" ht="15.75" customHeight="1">
      <c r="A413" s="73"/>
      <c r="B413" s="73"/>
      <c r="C413" s="76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</row>
    <row r="414" spans="1:38" ht="15.75" customHeight="1">
      <c r="A414" s="73"/>
      <c r="B414" s="73"/>
      <c r="C414" s="7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</row>
    <row r="415" spans="1:38" ht="15.75" customHeight="1">
      <c r="A415" s="73"/>
      <c r="B415" s="73"/>
      <c r="C415" s="76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</row>
    <row r="416" spans="1:38" ht="15.75" customHeight="1">
      <c r="A416" s="73"/>
      <c r="B416" s="73"/>
      <c r="C416" s="76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</row>
    <row r="417" spans="1:38" ht="15.75" customHeight="1">
      <c r="A417" s="73"/>
      <c r="B417" s="73"/>
      <c r="C417" s="76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</row>
    <row r="418" spans="1:38" ht="15.75" customHeight="1">
      <c r="A418" s="73"/>
      <c r="B418" s="73"/>
      <c r="C418" s="7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</row>
    <row r="419" spans="1:38" ht="15.75" customHeight="1">
      <c r="A419" s="73"/>
      <c r="B419" s="73"/>
      <c r="C419" s="76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</row>
    <row r="420" spans="1:38" ht="15.75" customHeight="1">
      <c r="A420" s="73"/>
      <c r="B420" s="73"/>
      <c r="C420" s="76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</row>
    <row r="421" spans="1:38" ht="15.75" customHeight="1">
      <c r="A421" s="73"/>
      <c r="B421" s="73"/>
      <c r="C421" s="76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</row>
    <row r="422" spans="1:38" ht="15.75" customHeight="1">
      <c r="A422" s="73"/>
      <c r="B422" s="73"/>
      <c r="C422" s="7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</row>
    <row r="423" spans="1:38" ht="15.75" customHeight="1">
      <c r="A423" s="73"/>
      <c r="B423" s="73"/>
      <c r="C423" s="76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</row>
    <row r="424" spans="1:38" ht="15.75" customHeight="1">
      <c r="A424" s="73"/>
      <c r="B424" s="73"/>
      <c r="C424" s="76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</row>
    <row r="425" spans="1:38" ht="15.75" customHeight="1">
      <c r="A425" s="73"/>
      <c r="B425" s="73"/>
      <c r="C425" s="76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</row>
    <row r="426" spans="1:38" ht="15.75" customHeight="1">
      <c r="A426" s="73"/>
      <c r="B426" s="73"/>
      <c r="C426" s="7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</row>
    <row r="427" spans="1:38" ht="15.75" customHeight="1">
      <c r="A427" s="73"/>
      <c r="B427" s="73"/>
      <c r="C427" s="76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</row>
    <row r="428" spans="1:38" ht="15.75" customHeight="1">
      <c r="A428" s="73"/>
      <c r="B428" s="73"/>
      <c r="C428" s="76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</row>
    <row r="429" spans="1:38" ht="15.75" customHeight="1">
      <c r="A429" s="73"/>
      <c r="B429" s="73"/>
      <c r="C429" s="76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</row>
    <row r="430" spans="1:38" ht="15.75" customHeight="1">
      <c r="A430" s="73"/>
      <c r="B430" s="73"/>
      <c r="C430" s="7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</row>
    <row r="431" spans="1:38" ht="15.75" customHeight="1">
      <c r="A431" s="73"/>
      <c r="B431" s="73"/>
      <c r="C431" s="76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</row>
    <row r="432" spans="1:38" ht="15.75" customHeight="1">
      <c r="A432" s="73"/>
      <c r="B432" s="73"/>
      <c r="C432" s="76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</row>
    <row r="433" spans="1:38" ht="15.75" customHeight="1">
      <c r="A433" s="73"/>
      <c r="B433" s="73"/>
      <c r="C433" s="76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</row>
    <row r="434" spans="1:38" ht="15.75" customHeight="1">
      <c r="A434" s="73"/>
      <c r="B434" s="73"/>
      <c r="C434" s="7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</row>
    <row r="435" spans="1:38" ht="15.75" customHeight="1">
      <c r="A435" s="73"/>
      <c r="B435" s="73"/>
      <c r="C435" s="76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</row>
    <row r="436" spans="1:38" ht="15.75" customHeight="1">
      <c r="A436" s="73"/>
      <c r="B436" s="73"/>
      <c r="C436" s="76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</row>
    <row r="437" spans="1:38" ht="15.75" customHeight="1">
      <c r="A437" s="73"/>
      <c r="B437" s="73"/>
      <c r="C437" s="76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</row>
    <row r="438" spans="1:38" ht="15.75" customHeight="1">
      <c r="A438" s="73"/>
      <c r="B438" s="73"/>
      <c r="C438" s="7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</row>
    <row r="439" spans="1:38" ht="15.75" customHeight="1">
      <c r="A439" s="73"/>
      <c r="B439" s="73"/>
      <c r="C439" s="76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</row>
    <row r="440" spans="1:38" ht="15.75" customHeight="1">
      <c r="A440" s="73"/>
      <c r="B440" s="73"/>
      <c r="C440" s="76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</row>
    <row r="441" spans="1:38" ht="15.75" customHeight="1">
      <c r="A441" s="73"/>
      <c r="B441" s="73"/>
      <c r="C441" s="76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</row>
    <row r="442" spans="1:38" ht="15.75" customHeight="1">
      <c r="A442" s="73"/>
      <c r="B442" s="73"/>
      <c r="C442" s="7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</row>
    <row r="443" spans="1:38" ht="15.75" customHeight="1">
      <c r="A443" s="73"/>
      <c r="B443" s="73"/>
      <c r="C443" s="76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</row>
    <row r="444" spans="1:38" ht="15.75" customHeight="1">
      <c r="A444" s="73"/>
      <c r="B444" s="73"/>
      <c r="C444" s="76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</row>
    <row r="445" spans="1:38" ht="15.75" customHeight="1">
      <c r="A445" s="73"/>
      <c r="B445" s="73"/>
      <c r="C445" s="76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</row>
    <row r="446" spans="1:38" ht="15.75" customHeight="1">
      <c r="A446" s="73"/>
      <c r="B446" s="73"/>
      <c r="C446" s="7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</row>
    <row r="447" spans="1:38" ht="15.75" customHeight="1">
      <c r="A447" s="73"/>
      <c r="B447" s="73"/>
      <c r="C447" s="76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</row>
    <row r="448" spans="1:38" ht="15.75" customHeight="1">
      <c r="A448" s="73"/>
      <c r="B448" s="73"/>
      <c r="C448" s="76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</row>
    <row r="449" spans="1:38" ht="15.75" customHeight="1">
      <c r="A449" s="73"/>
      <c r="B449" s="73"/>
      <c r="C449" s="76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</row>
    <row r="450" spans="1:38" ht="15.75" customHeight="1">
      <c r="A450" s="73"/>
      <c r="B450" s="73"/>
      <c r="C450" s="7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</row>
    <row r="451" spans="1:38" ht="15.75" customHeight="1">
      <c r="A451" s="73"/>
      <c r="B451" s="73"/>
      <c r="C451" s="76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</row>
    <row r="452" spans="1:38" ht="15.75" customHeight="1">
      <c r="A452" s="73"/>
      <c r="B452" s="73"/>
      <c r="C452" s="76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</row>
    <row r="453" spans="1:38" ht="15.75" customHeight="1">
      <c r="A453" s="73"/>
      <c r="B453" s="73"/>
      <c r="C453" s="76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</row>
    <row r="454" spans="1:38" ht="15.75" customHeight="1">
      <c r="A454" s="73"/>
      <c r="B454" s="73"/>
      <c r="C454" s="7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</row>
    <row r="455" spans="1:38" ht="15.75" customHeight="1">
      <c r="A455" s="73"/>
      <c r="B455" s="73"/>
      <c r="C455" s="76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</row>
    <row r="456" spans="1:38" ht="15.75" customHeight="1">
      <c r="A456" s="73"/>
      <c r="B456" s="73"/>
      <c r="C456" s="76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</row>
    <row r="457" spans="1:38" ht="15.75" customHeight="1">
      <c r="A457" s="73"/>
      <c r="B457" s="73"/>
      <c r="C457" s="76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</row>
    <row r="458" spans="1:38" ht="15.75" customHeight="1">
      <c r="A458" s="73"/>
      <c r="B458" s="73"/>
      <c r="C458" s="7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</row>
    <row r="459" spans="1:38" ht="15.75" customHeight="1">
      <c r="A459" s="73"/>
      <c r="B459" s="73"/>
      <c r="C459" s="76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</row>
    <row r="460" spans="1:38" ht="15.75" customHeight="1">
      <c r="A460" s="73"/>
      <c r="B460" s="73"/>
      <c r="C460" s="76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</row>
    <row r="461" spans="1:38" ht="15.75" customHeight="1">
      <c r="A461" s="73"/>
      <c r="B461" s="73"/>
      <c r="C461" s="76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</row>
    <row r="462" spans="1:38" ht="15.75" customHeight="1">
      <c r="A462" s="73"/>
      <c r="B462" s="73"/>
      <c r="C462" s="7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</row>
    <row r="463" spans="1:38" ht="15.75" customHeight="1">
      <c r="A463" s="73"/>
      <c r="B463" s="73"/>
      <c r="C463" s="76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</row>
    <row r="464" spans="1:38" ht="15.75" customHeight="1">
      <c r="A464" s="73"/>
      <c r="B464" s="73"/>
      <c r="C464" s="76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</row>
    <row r="465" spans="1:38" ht="15.75" customHeight="1">
      <c r="A465" s="73"/>
      <c r="B465" s="73"/>
      <c r="C465" s="76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</row>
    <row r="466" spans="1:38" ht="15.75" customHeight="1">
      <c r="A466" s="73"/>
      <c r="B466" s="73"/>
      <c r="C466" s="7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</row>
    <row r="467" spans="1:38" ht="15.75" customHeight="1">
      <c r="A467" s="73"/>
      <c r="B467" s="73"/>
      <c r="C467" s="76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</row>
    <row r="468" spans="1:38" ht="15.75" customHeight="1">
      <c r="A468" s="73"/>
      <c r="B468" s="73"/>
      <c r="C468" s="76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</row>
    <row r="469" spans="1:38" ht="15.75" customHeight="1">
      <c r="A469" s="73"/>
      <c r="B469" s="73"/>
      <c r="C469" s="76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</row>
    <row r="470" spans="1:38" ht="15.75" customHeight="1">
      <c r="A470" s="73"/>
      <c r="B470" s="73"/>
      <c r="C470" s="7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</row>
    <row r="471" spans="1:38" ht="15.75" customHeight="1">
      <c r="A471" s="73"/>
      <c r="B471" s="73"/>
      <c r="C471" s="76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</row>
    <row r="472" spans="1:38" ht="15.75" customHeight="1">
      <c r="A472" s="73"/>
      <c r="B472" s="73"/>
      <c r="C472" s="76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</row>
    <row r="473" spans="1:38" ht="15.75" customHeight="1">
      <c r="A473" s="73"/>
      <c r="B473" s="73"/>
      <c r="C473" s="76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</row>
    <row r="474" spans="1:38" ht="15.75" customHeight="1">
      <c r="A474" s="73"/>
      <c r="B474" s="73"/>
      <c r="C474" s="7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</row>
    <row r="475" spans="1:38" ht="15.75" customHeight="1">
      <c r="A475" s="73"/>
      <c r="B475" s="73"/>
      <c r="C475" s="76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</row>
    <row r="476" spans="1:38" ht="15.75" customHeight="1">
      <c r="A476" s="73"/>
      <c r="B476" s="73"/>
      <c r="C476" s="76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</row>
    <row r="477" spans="1:38" ht="15.75" customHeight="1">
      <c r="A477" s="73"/>
      <c r="B477" s="73"/>
      <c r="C477" s="76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</row>
    <row r="478" spans="1:38" ht="15.75" customHeight="1">
      <c r="A478" s="73"/>
      <c r="B478" s="73"/>
      <c r="C478" s="7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</row>
    <row r="479" spans="1:38" ht="15.75" customHeight="1">
      <c r="A479" s="73"/>
      <c r="B479" s="73"/>
      <c r="C479" s="76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</row>
    <row r="480" spans="1:38" ht="15.75" customHeight="1">
      <c r="A480" s="73"/>
      <c r="B480" s="73"/>
      <c r="C480" s="76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</row>
    <row r="481" spans="1:38" ht="15.75" customHeight="1">
      <c r="A481" s="73"/>
      <c r="B481" s="73"/>
      <c r="C481" s="76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</row>
    <row r="482" spans="1:38" ht="15.75" customHeight="1">
      <c r="A482" s="73"/>
      <c r="B482" s="73"/>
      <c r="C482" s="7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</row>
    <row r="483" spans="1:38" ht="15.75" customHeight="1">
      <c r="A483" s="73"/>
      <c r="B483" s="73"/>
      <c r="C483" s="76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</row>
    <row r="484" spans="1:38" ht="15.75" customHeight="1">
      <c r="A484" s="73"/>
      <c r="B484" s="73"/>
      <c r="C484" s="76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</row>
    <row r="485" spans="1:38" ht="15.75" customHeight="1">
      <c r="A485" s="73"/>
      <c r="B485" s="73"/>
      <c r="C485" s="76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</row>
    <row r="486" spans="1:38" ht="15.75" customHeight="1">
      <c r="A486" s="73"/>
      <c r="B486" s="73"/>
      <c r="C486" s="7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</row>
    <row r="487" spans="1:38" ht="15.75" customHeight="1">
      <c r="A487" s="73"/>
      <c r="B487" s="73"/>
      <c r="C487" s="76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</row>
    <row r="488" spans="1:38" ht="15.75" customHeight="1">
      <c r="A488" s="73"/>
      <c r="B488" s="73"/>
      <c r="C488" s="76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</row>
    <row r="489" spans="1:38" ht="15.75" customHeight="1">
      <c r="A489" s="73"/>
      <c r="B489" s="73"/>
      <c r="C489" s="76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</row>
    <row r="490" spans="1:38" ht="15.75" customHeight="1">
      <c r="A490" s="73"/>
      <c r="B490" s="73"/>
      <c r="C490" s="7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</row>
    <row r="491" spans="1:38" ht="15.75" customHeight="1">
      <c r="A491" s="73"/>
      <c r="B491" s="73"/>
      <c r="C491" s="76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</row>
    <row r="492" spans="1:38" ht="15.75" customHeight="1">
      <c r="A492" s="73"/>
      <c r="B492" s="73"/>
      <c r="C492" s="76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</row>
    <row r="493" spans="1:38" ht="15.75" customHeight="1">
      <c r="A493" s="73"/>
      <c r="B493" s="73"/>
      <c r="C493" s="76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</row>
    <row r="494" spans="1:38" ht="15.75" customHeight="1">
      <c r="A494" s="73"/>
      <c r="B494" s="73"/>
      <c r="C494" s="7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</row>
    <row r="495" spans="1:38" ht="15.75" customHeight="1">
      <c r="A495" s="73"/>
      <c r="B495" s="73"/>
      <c r="C495" s="76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</row>
    <row r="496" spans="1:38" ht="15.75" customHeight="1">
      <c r="A496" s="73"/>
      <c r="B496" s="73"/>
      <c r="C496" s="76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</row>
    <row r="497" spans="1:38" ht="15.75" customHeight="1">
      <c r="A497" s="73"/>
      <c r="B497" s="73"/>
      <c r="C497" s="76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</row>
    <row r="498" spans="1:38" ht="15.75" customHeight="1">
      <c r="A498" s="73"/>
      <c r="B498" s="73"/>
      <c r="C498" s="7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</row>
    <row r="499" spans="1:38" ht="15.75" customHeight="1">
      <c r="A499" s="73"/>
      <c r="B499" s="73"/>
      <c r="C499" s="76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</row>
    <row r="500" spans="1:38" ht="15.75" customHeight="1">
      <c r="A500" s="73"/>
      <c r="B500" s="73"/>
      <c r="C500" s="76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</row>
    <row r="501" spans="1:38" ht="15.75" customHeight="1">
      <c r="A501" s="73"/>
      <c r="B501" s="73"/>
      <c r="C501" s="76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</row>
    <row r="502" spans="1:38" ht="15.75" customHeight="1">
      <c r="A502" s="73"/>
      <c r="B502" s="73"/>
      <c r="C502" s="7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</row>
    <row r="503" spans="1:38" ht="15.75" customHeight="1">
      <c r="A503" s="73"/>
      <c r="B503" s="73"/>
      <c r="C503" s="76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</row>
    <row r="504" spans="1:38" ht="15.75" customHeight="1">
      <c r="A504" s="73"/>
      <c r="B504" s="73"/>
      <c r="C504" s="76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</row>
    <row r="505" spans="1:38" ht="15.75" customHeight="1">
      <c r="A505" s="73"/>
      <c r="B505" s="73"/>
      <c r="C505" s="76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</row>
    <row r="506" spans="1:38" ht="15.75" customHeight="1">
      <c r="A506" s="73"/>
      <c r="B506" s="73"/>
      <c r="C506" s="7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</row>
    <row r="507" spans="1:38" ht="15.75" customHeight="1">
      <c r="A507" s="73"/>
      <c r="B507" s="73"/>
      <c r="C507" s="76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</row>
    <row r="508" spans="1:38" ht="15.75" customHeight="1">
      <c r="A508" s="73"/>
      <c r="B508" s="73"/>
      <c r="C508" s="76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</row>
    <row r="509" spans="1:38" ht="15.75" customHeight="1">
      <c r="A509" s="73"/>
      <c r="B509" s="73"/>
      <c r="C509" s="76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</row>
    <row r="510" spans="1:38" ht="15.75" customHeight="1">
      <c r="A510" s="73"/>
      <c r="B510" s="73"/>
      <c r="C510" s="7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</row>
    <row r="511" spans="1:38" ht="15.75" customHeight="1">
      <c r="A511" s="73"/>
      <c r="B511" s="73"/>
      <c r="C511" s="76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</row>
    <row r="512" spans="1:38" ht="15.75" customHeight="1">
      <c r="A512" s="73"/>
      <c r="B512" s="73"/>
      <c r="C512" s="76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</row>
    <row r="513" spans="1:38" ht="15.75" customHeight="1">
      <c r="A513" s="73"/>
      <c r="B513" s="73"/>
      <c r="C513" s="76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</row>
    <row r="514" spans="1:38" ht="15.75" customHeight="1">
      <c r="A514" s="73"/>
      <c r="B514" s="73"/>
      <c r="C514" s="7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</row>
    <row r="515" spans="1:38" ht="15.75" customHeight="1">
      <c r="A515" s="73"/>
      <c r="B515" s="73"/>
      <c r="C515" s="76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</row>
    <row r="516" spans="1:38" ht="15.75" customHeight="1">
      <c r="A516" s="73"/>
      <c r="B516" s="73"/>
      <c r="C516" s="76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</row>
    <row r="517" spans="1:38" ht="15.75" customHeight="1">
      <c r="A517" s="73"/>
      <c r="B517" s="73"/>
      <c r="C517" s="76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</row>
    <row r="518" spans="1:38" ht="15.75" customHeight="1">
      <c r="A518" s="73"/>
      <c r="B518" s="73"/>
      <c r="C518" s="7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</row>
    <row r="519" spans="1:38" ht="15.75" customHeight="1">
      <c r="A519" s="73"/>
      <c r="B519" s="73"/>
      <c r="C519" s="76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</row>
    <row r="520" spans="1:38" ht="15.75" customHeight="1">
      <c r="A520" s="73"/>
      <c r="B520" s="73"/>
      <c r="C520" s="76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</row>
    <row r="521" spans="1:38" ht="15.75" customHeight="1">
      <c r="A521" s="73"/>
      <c r="B521" s="73"/>
      <c r="C521" s="76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</row>
    <row r="522" spans="1:38" ht="15.75" customHeight="1">
      <c r="A522" s="73"/>
      <c r="B522" s="73"/>
      <c r="C522" s="7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</row>
    <row r="523" spans="1:38" ht="15.75" customHeight="1">
      <c r="A523" s="73"/>
      <c r="B523" s="73"/>
      <c r="C523" s="76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</row>
    <row r="524" spans="1:38" ht="15.75" customHeight="1">
      <c r="A524" s="73"/>
      <c r="B524" s="73"/>
      <c r="C524" s="76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</row>
    <row r="525" spans="1:38" ht="15.75" customHeight="1">
      <c r="A525" s="73"/>
      <c r="B525" s="73"/>
      <c r="C525" s="76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</row>
    <row r="526" spans="1:38" ht="15.75" customHeight="1">
      <c r="A526" s="73"/>
      <c r="B526" s="73"/>
      <c r="C526" s="7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</row>
    <row r="527" spans="1:38" ht="15.75" customHeight="1">
      <c r="A527" s="73"/>
      <c r="B527" s="73"/>
      <c r="C527" s="76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</row>
    <row r="528" spans="1:38" ht="15.75" customHeight="1">
      <c r="A528" s="73"/>
      <c r="B528" s="73"/>
      <c r="C528" s="76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</row>
    <row r="529" spans="1:38" ht="15.75" customHeight="1">
      <c r="A529" s="73"/>
      <c r="B529" s="73"/>
      <c r="C529" s="76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</row>
    <row r="530" spans="1:38" ht="15.75" customHeight="1">
      <c r="A530" s="73"/>
      <c r="B530" s="73"/>
      <c r="C530" s="7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</row>
    <row r="531" spans="1:38" ht="15.75" customHeight="1">
      <c r="A531" s="73"/>
      <c r="B531" s="73"/>
      <c r="C531" s="76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</row>
    <row r="532" spans="1:38" ht="15.75" customHeight="1">
      <c r="A532" s="73"/>
      <c r="B532" s="73"/>
      <c r="C532" s="76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</row>
    <row r="533" spans="1:38" ht="15.75" customHeight="1">
      <c r="A533" s="73"/>
      <c r="B533" s="73"/>
      <c r="C533" s="76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</row>
    <row r="534" spans="1:38" ht="15.75" customHeight="1">
      <c r="A534" s="73"/>
      <c r="B534" s="73"/>
      <c r="C534" s="7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</row>
    <row r="535" spans="1:38" ht="15.75" customHeight="1">
      <c r="A535" s="73"/>
      <c r="B535" s="73"/>
      <c r="C535" s="76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</row>
    <row r="536" spans="1:38" ht="15.75" customHeight="1">
      <c r="A536" s="73"/>
      <c r="B536" s="73"/>
      <c r="C536" s="76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</row>
    <row r="537" spans="1:38" ht="15.75" customHeight="1">
      <c r="A537" s="73"/>
      <c r="B537" s="73"/>
      <c r="C537" s="76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</row>
    <row r="538" spans="1:38" ht="15.75" customHeight="1">
      <c r="A538" s="73"/>
      <c r="B538" s="73"/>
      <c r="C538" s="7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</row>
    <row r="539" spans="1:38" ht="15.75" customHeight="1">
      <c r="A539" s="73"/>
      <c r="B539" s="73"/>
      <c r="C539" s="76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</row>
    <row r="540" spans="1:38" ht="15.75" customHeight="1">
      <c r="A540" s="73"/>
      <c r="B540" s="73"/>
      <c r="C540" s="76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</row>
    <row r="541" spans="1:38" ht="15.75" customHeight="1">
      <c r="A541" s="73"/>
      <c r="B541" s="73"/>
      <c r="C541" s="76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</row>
    <row r="542" spans="1:38" ht="15.75" customHeight="1">
      <c r="A542" s="73"/>
      <c r="B542" s="73"/>
      <c r="C542" s="7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</row>
    <row r="543" spans="1:38" ht="15.75" customHeight="1">
      <c r="A543" s="73"/>
      <c r="B543" s="73"/>
      <c r="C543" s="76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</row>
    <row r="544" spans="1:38" ht="15.75" customHeight="1">
      <c r="A544" s="73"/>
      <c r="B544" s="73"/>
      <c r="C544" s="76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</row>
    <row r="545" spans="1:38" ht="15.75" customHeight="1">
      <c r="A545" s="73"/>
      <c r="B545" s="73"/>
      <c r="C545" s="76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</row>
    <row r="546" spans="1:38" ht="15.75" customHeight="1">
      <c r="A546" s="73"/>
      <c r="B546" s="73"/>
      <c r="C546" s="7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</row>
    <row r="547" spans="1:38" ht="15.75" customHeight="1">
      <c r="A547" s="73"/>
      <c r="B547" s="73"/>
      <c r="C547" s="76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</row>
    <row r="548" spans="1:38" ht="15.75" customHeight="1">
      <c r="A548" s="73"/>
      <c r="B548" s="73"/>
      <c r="C548" s="76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</row>
    <row r="549" spans="1:38" ht="15.75" customHeight="1">
      <c r="A549" s="73"/>
      <c r="B549" s="73"/>
      <c r="C549" s="76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</row>
    <row r="550" spans="1:38" ht="15.75" customHeight="1">
      <c r="A550" s="73"/>
      <c r="B550" s="73"/>
      <c r="C550" s="7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</row>
    <row r="551" spans="1:38" ht="15.75" customHeight="1">
      <c r="A551" s="73"/>
      <c r="B551" s="73"/>
      <c r="C551" s="76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</row>
    <row r="552" spans="1:38" ht="15.75" customHeight="1">
      <c r="A552" s="73"/>
      <c r="B552" s="73"/>
      <c r="C552" s="76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</row>
    <row r="553" spans="1:38" ht="15.75" customHeight="1">
      <c r="A553" s="73"/>
      <c r="B553" s="73"/>
      <c r="C553" s="76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</row>
    <row r="554" spans="1:38" ht="15.75" customHeight="1">
      <c r="A554" s="73"/>
      <c r="B554" s="73"/>
      <c r="C554" s="7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</row>
    <row r="555" spans="1:38" ht="15.75" customHeight="1">
      <c r="A555" s="73"/>
      <c r="B555" s="73"/>
      <c r="C555" s="76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</row>
    <row r="556" spans="1:38" ht="15.75" customHeight="1">
      <c r="A556" s="73"/>
      <c r="B556" s="73"/>
      <c r="C556" s="76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</row>
    <row r="557" spans="1:38" ht="15.75" customHeight="1">
      <c r="A557" s="73"/>
      <c r="B557" s="73"/>
      <c r="C557" s="76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</row>
    <row r="558" spans="1:38" ht="15.75" customHeight="1">
      <c r="A558" s="73"/>
      <c r="B558" s="73"/>
      <c r="C558" s="7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</row>
    <row r="559" spans="1:38" ht="15.75" customHeight="1">
      <c r="A559" s="73"/>
      <c r="B559" s="73"/>
      <c r="C559" s="76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</row>
    <row r="560" spans="1:38" ht="15.75" customHeight="1">
      <c r="A560" s="73"/>
      <c r="B560" s="73"/>
      <c r="C560" s="76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</row>
    <row r="561" spans="1:38" ht="15.75" customHeight="1">
      <c r="A561" s="73"/>
      <c r="B561" s="73"/>
      <c r="C561" s="76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</row>
    <row r="562" spans="1:38" ht="15.75" customHeight="1">
      <c r="A562" s="73"/>
      <c r="B562" s="73"/>
      <c r="C562" s="7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</row>
    <row r="563" spans="1:38" ht="15.75" customHeight="1">
      <c r="A563" s="73"/>
      <c r="B563" s="73"/>
      <c r="C563" s="76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</row>
    <row r="564" spans="1:38" ht="15.75" customHeight="1">
      <c r="A564" s="73"/>
      <c r="B564" s="73"/>
      <c r="C564" s="76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</row>
    <row r="565" spans="1:38" ht="15.75" customHeight="1">
      <c r="A565" s="73"/>
      <c r="B565" s="73"/>
      <c r="C565" s="76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</row>
    <row r="566" spans="1:38" ht="15.75" customHeight="1">
      <c r="A566" s="73"/>
      <c r="B566" s="73"/>
      <c r="C566" s="7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</row>
    <row r="567" spans="1:38" ht="15.75" customHeight="1">
      <c r="A567" s="73"/>
      <c r="B567" s="73"/>
      <c r="C567" s="76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</row>
    <row r="568" spans="1:38" ht="15.75" customHeight="1">
      <c r="A568" s="73"/>
      <c r="B568" s="73"/>
      <c r="C568" s="76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</row>
    <row r="569" spans="1:38" ht="15.75" customHeight="1">
      <c r="A569" s="73"/>
      <c r="B569" s="73"/>
      <c r="C569" s="76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</row>
    <row r="570" spans="1:38" ht="15.75" customHeight="1">
      <c r="A570" s="73"/>
      <c r="B570" s="73"/>
      <c r="C570" s="7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</row>
    <row r="571" spans="1:38" ht="15.75" customHeight="1">
      <c r="A571" s="73"/>
      <c r="B571" s="73"/>
      <c r="C571" s="76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</row>
    <row r="572" spans="1:38" ht="15.75" customHeight="1">
      <c r="A572" s="73"/>
      <c r="B572" s="73"/>
      <c r="C572" s="76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</row>
    <row r="573" spans="1:38" ht="15.75" customHeight="1">
      <c r="A573" s="73"/>
      <c r="B573" s="73"/>
      <c r="C573" s="76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</row>
    <row r="574" spans="1:38" ht="15.75" customHeight="1">
      <c r="A574" s="73"/>
      <c r="B574" s="73"/>
      <c r="C574" s="7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</row>
    <row r="575" spans="1:38" ht="15.75" customHeight="1">
      <c r="A575" s="73"/>
      <c r="B575" s="73"/>
      <c r="C575" s="76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</row>
    <row r="576" spans="1:38" ht="15.75" customHeight="1">
      <c r="A576" s="73"/>
      <c r="B576" s="73"/>
      <c r="C576" s="76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</row>
    <row r="577" spans="1:38" ht="15.75" customHeight="1">
      <c r="A577" s="73"/>
      <c r="B577" s="73"/>
      <c r="C577" s="76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</row>
    <row r="578" spans="1:38" ht="15.75" customHeight="1">
      <c r="A578" s="73"/>
      <c r="B578" s="73"/>
      <c r="C578" s="7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</row>
    <row r="579" spans="1:38" ht="15.75" customHeight="1">
      <c r="A579" s="73"/>
      <c r="B579" s="73"/>
      <c r="C579" s="76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</row>
    <row r="580" spans="1:38" ht="15.75" customHeight="1">
      <c r="A580" s="73"/>
      <c r="B580" s="73"/>
      <c r="C580" s="76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</row>
    <row r="581" spans="1:38" ht="15.75" customHeight="1">
      <c r="A581" s="73"/>
      <c r="B581" s="73"/>
      <c r="C581" s="76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</row>
    <row r="582" spans="1:38" ht="15.75" customHeight="1">
      <c r="A582" s="73"/>
      <c r="B582" s="73"/>
      <c r="C582" s="7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</row>
    <row r="583" spans="1:38" ht="15.75" customHeight="1">
      <c r="A583" s="73"/>
      <c r="B583" s="73"/>
      <c r="C583" s="76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</row>
    <row r="584" spans="1:38" ht="15.75" customHeight="1">
      <c r="A584" s="73"/>
      <c r="B584" s="73"/>
      <c r="C584" s="76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</row>
    <row r="585" spans="1:38" ht="15.75" customHeight="1">
      <c r="A585" s="73"/>
      <c r="B585" s="73"/>
      <c r="C585" s="76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</row>
    <row r="586" spans="1:38" ht="15.75" customHeight="1">
      <c r="A586" s="73"/>
      <c r="B586" s="73"/>
      <c r="C586" s="7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</row>
    <row r="587" spans="1:38" ht="15.75" customHeight="1">
      <c r="A587" s="73"/>
      <c r="B587" s="73"/>
      <c r="C587" s="76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</row>
    <row r="588" spans="1:38" ht="15.75" customHeight="1">
      <c r="A588" s="73"/>
      <c r="B588" s="73"/>
      <c r="C588" s="76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</row>
    <row r="589" spans="1:38" ht="15.75" customHeight="1">
      <c r="A589" s="73"/>
      <c r="B589" s="73"/>
      <c r="C589" s="76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</row>
    <row r="590" spans="1:38" ht="15.75" customHeight="1">
      <c r="A590" s="73"/>
      <c r="B590" s="73"/>
      <c r="C590" s="7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</row>
    <row r="591" spans="1:38" ht="15.75" customHeight="1">
      <c r="A591" s="73"/>
      <c r="B591" s="73"/>
      <c r="C591" s="76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</row>
    <row r="592" spans="1:38" ht="15.75" customHeight="1">
      <c r="A592" s="73"/>
      <c r="B592" s="73"/>
      <c r="C592" s="76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</row>
    <row r="593" spans="1:38" ht="15.75" customHeight="1">
      <c r="A593" s="73"/>
      <c r="B593" s="73"/>
      <c r="C593" s="76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</row>
    <row r="594" spans="1:38" ht="15.75" customHeight="1">
      <c r="A594" s="73"/>
      <c r="B594" s="73"/>
      <c r="C594" s="7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</row>
    <row r="595" spans="1:38" ht="15.75" customHeight="1">
      <c r="A595" s="73"/>
      <c r="B595" s="73"/>
      <c r="C595" s="76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</row>
    <row r="596" spans="1:38" ht="15.75" customHeight="1">
      <c r="A596" s="73"/>
      <c r="B596" s="73"/>
      <c r="C596" s="76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</row>
    <row r="597" spans="1:38" ht="15.75" customHeight="1">
      <c r="A597" s="73"/>
      <c r="B597" s="73"/>
      <c r="C597" s="76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</row>
    <row r="598" spans="1:38" ht="15.75" customHeight="1">
      <c r="A598" s="73"/>
      <c r="B598" s="73"/>
      <c r="C598" s="7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</row>
    <row r="599" spans="1:38" ht="15.75" customHeight="1">
      <c r="A599" s="73"/>
      <c r="B599" s="73"/>
      <c r="C599" s="76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</row>
    <row r="600" spans="1:38" ht="15.75" customHeight="1">
      <c r="A600" s="73"/>
      <c r="B600" s="73"/>
      <c r="C600" s="76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</row>
    <row r="601" spans="1:38" ht="15.75" customHeight="1">
      <c r="A601" s="73"/>
      <c r="B601" s="73"/>
      <c r="C601" s="76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</row>
    <row r="602" spans="1:38" ht="15.75" customHeight="1">
      <c r="A602" s="73"/>
      <c r="B602" s="73"/>
      <c r="C602" s="7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</row>
    <row r="603" spans="1:38" ht="15.75" customHeight="1">
      <c r="A603" s="73"/>
      <c r="B603" s="73"/>
      <c r="C603" s="76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</row>
    <row r="604" spans="1:38" ht="15.75" customHeight="1">
      <c r="A604" s="73"/>
      <c r="B604" s="73"/>
      <c r="C604" s="76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</row>
    <row r="605" spans="1:38" ht="15.75" customHeight="1">
      <c r="A605" s="73"/>
      <c r="B605" s="73"/>
      <c r="C605" s="76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</row>
    <row r="606" spans="1:38" ht="15.75" customHeight="1">
      <c r="A606" s="73"/>
      <c r="B606" s="73"/>
      <c r="C606" s="7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</row>
    <row r="607" spans="1:38" ht="15.75" customHeight="1">
      <c r="A607" s="73"/>
      <c r="B607" s="73"/>
      <c r="C607" s="76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</row>
    <row r="608" spans="1:38" ht="15.75" customHeight="1">
      <c r="A608" s="73"/>
      <c r="B608" s="73"/>
      <c r="C608" s="76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</row>
    <row r="609" spans="1:38" ht="15.75" customHeight="1">
      <c r="A609" s="73"/>
      <c r="B609" s="73"/>
      <c r="C609" s="76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</row>
    <row r="610" spans="1:38" ht="15.75" customHeight="1">
      <c r="A610" s="73"/>
      <c r="B610" s="73"/>
      <c r="C610" s="7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</row>
    <row r="611" spans="1:38" ht="15.75" customHeight="1">
      <c r="A611" s="73"/>
      <c r="B611" s="73"/>
      <c r="C611" s="76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</row>
    <row r="612" spans="1:38" ht="15.75" customHeight="1">
      <c r="A612" s="73"/>
      <c r="B612" s="73"/>
      <c r="C612" s="76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</row>
    <row r="613" spans="1:38" ht="15.75" customHeight="1">
      <c r="A613" s="73"/>
      <c r="B613" s="73"/>
      <c r="C613" s="76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</row>
    <row r="614" spans="1:38" ht="15.75" customHeight="1">
      <c r="A614" s="73"/>
      <c r="B614" s="73"/>
      <c r="C614" s="7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</row>
    <row r="615" spans="1:38" ht="15.75" customHeight="1">
      <c r="A615" s="73"/>
      <c r="B615" s="73"/>
      <c r="C615" s="76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</row>
    <row r="616" spans="1:38" ht="15.75" customHeight="1">
      <c r="A616" s="73"/>
      <c r="B616" s="73"/>
      <c r="C616" s="76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</row>
    <row r="617" spans="1:38" ht="15.75" customHeight="1">
      <c r="A617" s="73"/>
      <c r="B617" s="73"/>
      <c r="C617" s="76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</row>
    <row r="618" spans="1:38" ht="15.75" customHeight="1">
      <c r="A618" s="73"/>
      <c r="B618" s="73"/>
      <c r="C618" s="7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</row>
    <row r="619" spans="1:38" ht="15.75" customHeight="1">
      <c r="A619" s="73"/>
      <c r="B619" s="73"/>
      <c r="C619" s="76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</row>
    <row r="620" spans="1:38" ht="15.75" customHeight="1">
      <c r="A620" s="73"/>
      <c r="B620" s="73"/>
      <c r="C620" s="76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</row>
    <row r="621" spans="1:38" ht="15.75" customHeight="1">
      <c r="A621" s="73"/>
      <c r="B621" s="73"/>
      <c r="C621" s="76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</row>
    <row r="622" spans="1:38" ht="15.75" customHeight="1">
      <c r="A622" s="73"/>
      <c r="B622" s="73"/>
      <c r="C622" s="7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</row>
    <row r="623" spans="1:38" ht="15.75" customHeight="1">
      <c r="A623" s="73"/>
      <c r="B623" s="73"/>
      <c r="C623" s="76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</row>
    <row r="624" spans="1:38" ht="15.75" customHeight="1">
      <c r="A624" s="73"/>
      <c r="B624" s="73"/>
      <c r="C624" s="76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</row>
    <row r="625" spans="1:38" ht="15.75" customHeight="1">
      <c r="A625" s="73"/>
      <c r="B625" s="73"/>
      <c r="C625" s="76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</row>
    <row r="626" spans="1:38" ht="15.75" customHeight="1">
      <c r="A626" s="73"/>
      <c r="B626" s="73"/>
      <c r="C626" s="7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</row>
    <row r="627" spans="1:38" ht="15.75" customHeight="1">
      <c r="A627" s="73"/>
      <c r="B627" s="73"/>
      <c r="C627" s="76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</row>
    <row r="628" spans="1:38" ht="15.75" customHeight="1">
      <c r="A628" s="73"/>
      <c r="B628" s="73"/>
      <c r="C628" s="76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</row>
    <row r="629" spans="1:38" ht="15.75" customHeight="1">
      <c r="A629" s="73"/>
      <c r="B629" s="73"/>
      <c r="C629" s="76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</row>
    <row r="630" spans="1:38" ht="15.75" customHeight="1">
      <c r="A630" s="73"/>
      <c r="B630" s="73"/>
      <c r="C630" s="7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</row>
    <row r="631" spans="1:38" ht="15.75" customHeight="1">
      <c r="A631" s="73"/>
      <c r="B631" s="73"/>
      <c r="C631" s="76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</row>
    <row r="632" spans="1:38" ht="15.75" customHeight="1">
      <c r="A632" s="73"/>
      <c r="B632" s="73"/>
      <c r="C632" s="76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</row>
    <row r="633" spans="1:38" ht="15.75" customHeight="1">
      <c r="A633" s="73"/>
      <c r="B633" s="73"/>
      <c r="C633" s="76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</row>
    <row r="634" spans="1:38" ht="15.75" customHeight="1">
      <c r="A634" s="73"/>
      <c r="B634" s="73"/>
      <c r="C634" s="7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</row>
    <row r="635" spans="1:38" ht="15.75" customHeight="1">
      <c r="A635" s="73"/>
      <c r="B635" s="73"/>
      <c r="C635" s="76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</row>
    <row r="636" spans="1:38" ht="15.75" customHeight="1">
      <c r="A636" s="73"/>
      <c r="B636" s="73"/>
      <c r="C636" s="76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</row>
    <row r="637" spans="1:38" ht="15.75" customHeight="1">
      <c r="A637" s="73"/>
      <c r="B637" s="73"/>
      <c r="C637" s="76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</row>
    <row r="638" spans="1:38" ht="15.75" customHeight="1">
      <c r="A638" s="73"/>
      <c r="B638" s="73"/>
      <c r="C638" s="7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</row>
    <row r="639" spans="1:38" ht="15.75" customHeight="1">
      <c r="A639" s="73"/>
      <c r="B639" s="73"/>
      <c r="C639" s="76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</row>
    <row r="640" spans="1:38" ht="15.75" customHeight="1">
      <c r="A640" s="73"/>
      <c r="B640" s="73"/>
      <c r="C640" s="76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</row>
    <row r="641" spans="1:38" ht="15.75" customHeight="1">
      <c r="A641" s="73"/>
      <c r="B641" s="73"/>
      <c r="C641" s="76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</row>
    <row r="642" spans="1:38" ht="15.75" customHeight="1">
      <c r="A642" s="73"/>
      <c r="B642" s="73"/>
      <c r="C642" s="7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</row>
    <row r="643" spans="1:38" ht="15.75" customHeight="1">
      <c r="A643" s="73"/>
      <c r="B643" s="73"/>
      <c r="C643" s="76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</row>
    <row r="644" spans="1:38" ht="15.75" customHeight="1">
      <c r="A644" s="73"/>
      <c r="B644" s="73"/>
      <c r="C644" s="76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</row>
    <row r="645" spans="1:38" ht="15.75" customHeight="1">
      <c r="A645" s="73"/>
      <c r="B645" s="73"/>
      <c r="C645" s="76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</row>
    <row r="646" spans="1:38" ht="15.75" customHeight="1">
      <c r="A646" s="73"/>
      <c r="B646" s="73"/>
      <c r="C646" s="7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</row>
    <row r="647" spans="1:38" ht="15.75" customHeight="1">
      <c r="A647" s="73"/>
      <c r="B647" s="73"/>
      <c r="C647" s="76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</row>
    <row r="648" spans="1:38" ht="15.75" customHeight="1">
      <c r="A648" s="73"/>
      <c r="B648" s="73"/>
      <c r="C648" s="76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</row>
    <row r="649" spans="1:38" ht="15.75" customHeight="1">
      <c r="A649" s="73"/>
      <c r="B649" s="73"/>
      <c r="C649" s="76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</row>
    <row r="650" spans="1:38" ht="15.75" customHeight="1">
      <c r="A650" s="73"/>
      <c r="B650" s="73"/>
      <c r="C650" s="7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</row>
    <row r="651" spans="1:38" ht="15.75" customHeight="1">
      <c r="A651" s="73"/>
      <c r="B651" s="73"/>
      <c r="C651" s="76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</row>
    <row r="652" spans="1:38" ht="15.75" customHeight="1">
      <c r="A652" s="73"/>
      <c r="B652" s="73"/>
      <c r="C652" s="76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</row>
    <row r="653" spans="1:38" ht="15.75" customHeight="1">
      <c r="A653" s="73"/>
      <c r="B653" s="73"/>
      <c r="C653" s="76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</row>
    <row r="654" spans="1:38" ht="15.75" customHeight="1">
      <c r="A654" s="73"/>
      <c r="B654" s="73"/>
      <c r="C654" s="7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</row>
    <row r="655" spans="1:38" ht="15.75" customHeight="1">
      <c r="A655" s="73"/>
      <c r="B655" s="73"/>
      <c r="C655" s="76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</row>
    <row r="656" spans="1:38" ht="15.75" customHeight="1">
      <c r="A656" s="73"/>
      <c r="B656" s="73"/>
      <c r="C656" s="76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</row>
    <row r="657" spans="1:38" ht="15.75" customHeight="1">
      <c r="A657" s="73"/>
      <c r="B657" s="73"/>
      <c r="C657" s="76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</row>
    <row r="658" spans="1:38" ht="15.75" customHeight="1">
      <c r="A658" s="73"/>
      <c r="B658" s="73"/>
      <c r="C658" s="7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</row>
    <row r="659" spans="1:38" ht="15.75" customHeight="1">
      <c r="A659" s="73"/>
      <c r="B659" s="73"/>
      <c r="C659" s="76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</row>
    <row r="660" spans="1:38" ht="15.75" customHeight="1">
      <c r="A660" s="73"/>
      <c r="B660" s="73"/>
      <c r="C660" s="76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</row>
    <row r="661" spans="1:38" ht="15.75" customHeight="1">
      <c r="A661" s="73"/>
      <c r="B661" s="73"/>
      <c r="C661" s="76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</row>
    <row r="662" spans="1:38" ht="15.75" customHeight="1">
      <c r="A662" s="73"/>
      <c r="B662" s="73"/>
      <c r="C662" s="7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</row>
    <row r="663" spans="1:38" ht="15.75" customHeight="1">
      <c r="A663" s="73"/>
      <c r="B663" s="73"/>
      <c r="C663" s="76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</row>
    <row r="664" spans="1:38" ht="15.75" customHeight="1">
      <c r="A664" s="73"/>
      <c r="B664" s="73"/>
      <c r="C664" s="76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</row>
    <row r="665" spans="1:38" ht="15.75" customHeight="1">
      <c r="A665" s="73"/>
      <c r="B665" s="73"/>
      <c r="C665" s="76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</row>
    <row r="666" spans="1:38" ht="15.75" customHeight="1">
      <c r="A666" s="73"/>
      <c r="B666" s="73"/>
      <c r="C666" s="7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</row>
    <row r="667" spans="1:38" ht="15.75" customHeight="1">
      <c r="A667" s="73"/>
      <c r="B667" s="73"/>
      <c r="C667" s="76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</row>
    <row r="668" spans="1:38" ht="15.75" customHeight="1">
      <c r="A668" s="73"/>
      <c r="B668" s="73"/>
      <c r="C668" s="76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</row>
    <row r="669" spans="1:38" ht="15.75" customHeight="1">
      <c r="A669" s="73"/>
      <c r="B669" s="73"/>
      <c r="C669" s="76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</row>
    <row r="670" spans="1:38" ht="15.75" customHeight="1">
      <c r="A670" s="73"/>
      <c r="B670" s="73"/>
      <c r="C670" s="7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</row>
    <row r="671" spans="1:38" ht="15.75" customHeight="1">
      <c r="A671" s="73"/>
      <c r="B671" s="73"/>
      <c r="C671" s="76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</row>
    <row r="672" spans="1:38" ht="15.75" customHeight="1">
      <c r="A672" s="73"/>
      <c r="B672" s="73"/>
      <c r="C672" s="76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</row>
    <row r="673" spans="1:38" ht="15.75" customHeight="1">
      <c r="A673" s="73"/>
      <c r="B673" s="73"/>
      <c r="C673" s="76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</row>
    <row r="674" spans="1:38" ht="15.75" customHeight="1">
      <c r="A674" s="73"/>
      <c r="B674" s="73"/>
      <c r="C674" s="7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</row>
    <row r="675" spans="1:38" ht="15.75" customHeight="1">
      <c r="A675" s="73"/>
      <c r="B675" s="73"/>
      <c r="C675" s="76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</row>
    <row r="676" spans="1:38" ht="15.75" customHeight="1">
      <c r="A676" s="73"/>
      <c r="B676" s="73"/>
      <c r="C676" s="76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</row>
    <row r="677" spans="1:38" ht="15.75" customHeight="1">
      <c r="A677" s="73"/>
      <c r="B677" s="73"/>
      <c r="C677" s="76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</row>
    <row r="678" spans="1:38" ht="15.75" customHeight="1">
      <c r="A678" s="73"/>
      <c r="B678" s="73"/>
      <c r="C678" s="7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</row>
    <row r="679" spans="1:38" ht="15.75" customHeight="1">
      <c r="A679" s="73"/>
      <c r="B679" s="73"/>
      <c r="C679" s="76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</row>
    <row r="680" spans="1:38" ht="15.75" customHeight="1">
      <c r="A680" s="73"/>
      <c r="B680" s="73"/>
      <c r="C680" s="76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</row>
    <row r="681" spans="1:38" ht="15.75" customHeight="1">
      <c r="A681" s="73"/>
      <c r="B681" s="73"/>
      <c r="C681" s="76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</row>
    <row r="682" spans="1:38" ht="15.75" customHeight="1">
      <c r="A682" s="73"/>
      <c r="B682" s="73"/>
      <c r="C682" s="7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</row>
    <row r="683" spans="1:38" ht="15.75" customHeight="1">
      <c r="A683" s="73"/>
      <c r="B683" s="73"/>
      <c r="C683" s="76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</row>
    <row r="684" spans="1:38" ht="15.75" customHeight="1">
      <c r="A684" s="73"/>
      <c r="B684" s="73"/>
      <c r="C684" s="76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</row>
    <row r="685" spans="1:38" ht="15.75" customHeight="1">
      <c r="A685" s="73"/>
      <c r="B685" s="73"/>
      <c r="C685" s="76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</row>
    <row r="686" spans="1:38" ht="15.75" customHeight="1">
      <c r="A686" s="73"/>
      <c r="B686" s="73"/>
      <c r="C686" s="7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</row>
    <row r="687" spans="1:38" ht="15.75" customHeight="1">
      <c r="A687" s="73"/>
      <c r="B687" s="73"/>
      <c r="C687" s="76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</row>
    <row r="688" spans="1:38" ht="15.75" customHeight="1">
      <c r="A688" s="73"/>
      <c r="B688" s="73"/>
      <c r="C688" s="76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</row>
    <row r="689" spans="1:38" ht="15.75" customHeight="1">
      <c r="A689" s="73"/>
      <c r="B689" s="73"/>
      <c r="C689" s="76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</row>
    <row r="690" spans="1:38" ht="15.75" customHeight="1">
      <c r="A690" s="73"/>
      <c r="B690" s="73"/>
      <c r="C690" s="7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</row>
    <row r="691" spans="1:38" ht="15.75" customHeight="1">
      <c r="A691" s="73"/>
      <c r="B691" s="73"/>
      <c r="C691" s="76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</row>
    <row r="692" spans="1:38" ht="15.75" customHeight="1">
      <c r="A692" s="73"/>
      <c r="B692" s="73"/>
      <c r="C692" s="76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</row>
    <row r="693" spans="1:38" ht="15.75" customHeight="1">
      <c r="A693" s="73"/>
      <c r="B693" s="73"/>
      <c r="C693" s="76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</row>
    <row r="694" spans="1:38" ht="15.75" customHeight="1">
      <c r="A694" s="73"/>
      <c r="B694" s="73"/>
      <c r="C694" s="7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</row>
    <row r="695" spans="1:38" ht="15.75" customHeight="1">
      <c r="A695" s="73"/>
      <c r="B695" s="73"/>
      <c r="C695" s="76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</row>
    <row r="696" spans="1:38" ht="15.75" customHeight="1">
      <c r="A696" s="73"/>
      <c r="B696" s="73"/>
      <c r="C696" s="76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</row>
    <row r="697" spans="1:38" ht="15.75" customHeight="1">
      <c r="A697" s="73"/>
      <c r="B697" s="73"/>
      <c r="C697" s="76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</row>
    <row r="698" spans="1:38" ht="15.75" customHeight="1">
      <c r="A698" s="73"/>
      <c r="B698" s="73"/>
      <c r="C698" s="7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</row>
    <row r="699" spans="1:38" ht="15.75" customHeight="1">
      <c r="A699" s="73"/>
      <c r="B699" s="73"/>
      <c r="C699" s="76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</row>
    <row r="700" spans="1:38" ht="15.75" customHeight="1">
      <c r="A700" s="73"/>
      <c r="B700" s="73"/>
      <c r="C700" s="76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</row>
    <row r="701" spans="1:38" ht="15.75" customHeight="1">
      <c r="A701" s="73"/>
      <c r="B701" s="73"/>
      <c r="C701" s="76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</row>
    <row r="702" spans="1:38" ht="15.75" customHeight="1">
      <c r="A702" s="73"/>
      <c r="B702" s="73"/>
      <c r="C702" s="7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</row>
    <row r="703" spans="1:38" ht="15.75" customHeight="1">
      <c r="A703" s="73"/>
      <c r="B703" s="73"/>
      <c r="C703" s="76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</row>
    <row r="704" spans="1:38" ht="15.75" customHeight="1">
      <c r="A704" s="73"/>
      <c r="B704" s="73"/>
      <c r="C704" s="76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</row>
    <row r="705" spans="1:38" ht="15.75" customHeight="1">
      <c r="A705" s="73"/>
      <c r="B705" s="73"/>
      <c r="C705" s="76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</row>
    <row r="706" spans="1:38" ht="15.75" customHeight="1">
      <c r="A706" s="73"/>
      <c r="B706" s="73"/>
      <c r="C706" s="7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</row>
    <row r="707" spans="1:38" ht="15.75" customHeight="1">
      <c r="A707" s="73"/>
      <c r="B707" s="73"/>
      <c r="C707" s="76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</row>
    <row r="708" spans="1:38" ht="15.75" customHeight="1">
      <c r="A708" s="73"/>
      <c r="B708" s="73"/>
      <c r="C708" s="76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</row>
    <row r="709" spans="1:38" ht="15.75" customHeight="1">
      <c r="A709" s="73"/>
      <c r="B709" s="73"/>
      <c r="C709" s="76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</row>
    <row r="710" spans="1:38" ht="15.75" customHeight="1">
      <c r="A710" s="73"/>
      <c r="B710" s="73"/>
      <c r="C710" s="7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</row>
    <row r="711" spans="1:38" ht="15.75" customHeight="1">
      <c r="A711" s="73"/>
      <c r="B711" s="73"/>
      <c r="C711" s="76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</row>
    <row r="712" spans="1:38" ht="15.75" customHeight="1">
      <c r="A712" s="73"/>
      <c r="B712" s="73"/>
      <c r="C712" s="76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</row>
    <row r="713" spans="1:38" ht="15.75" customHeight="1">
      <c r="A713" s="73"/>
      <c r="B713" s="73"/>
      <c r="C713" s="76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</row>
    <row r="714" spans="1:38" ht="15.75" customHeight="1">
      <c r="A714" s="73"/>
      <c r="B714" s="73"/>
      <c r="C714" s="7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</row>
    <row r="715" spans="1:38" ht="15.75" customHeight="1">
      <c r="A715" s="73"/>
      <c r="B715" s="73"/>
      <c r="C715" s="76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</row>
    <row r="716" spans="1:38" ht="15.75" customHeight="1">
      <c r="A716" s="73"/>
      <c r="B716" s="73"/>
      <c r="C716" s="76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</row>
    <row r="717" spans="1:38" ht="15.75" customHeight="1">
      <c r="A717" s="73"/>
      <c r="B717" s="73"/>
      <c r="C717" s="76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</row>
    <row r="718" spans="1:38" ht="15.75" customHeight="1">
      <c r="A718" s="73"/>
      <c r="B718" s="73"/>
      <c r="C718" s="7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</row>
    <row r="719" spans="1:38" ht="15.75" customHeight="1">
      <c r="A719" s="73"/>
      <c r="B719" s="73"/>
      <c r="C719" s="76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</row>
    <row r="720" spans="1:38" ht="15.75" customHeight="1">
      <c r="A720" s="73"/>
      <c r="B720" s="73"/>
      <c r="C720" s="76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</row>
    <row r="721" spans="1:38" ht="15.75" customHeight="1">
      <c r="A721" s="73"/>
      <c r="B721" s="73"/>
      <c r="C721" s="76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</row>
    <row r="722" spans="1:38" ht="15.75" customHeight="1">
      <c r="A722" s="73"/>
      <c r="B722" s="73"/>
      <c r="C722" s="7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</row>
    <row r="723" spans="1:38" ht="15.75" customHeight="1">
      <c r="A723" s="73"/>
      <c r="B723" s="73"/>
      <c r="C723" s="76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</row>
    <row r="724" spans="1:38" ht="15.75" customHeight="1">
      <c r="A724" s="73"/>
      <c r="B724" s="73"/>
      <c r="C724" s="76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</row>
    <row r="725" spans="1:38" ht="15.75" customHeight="1">
      <c r="A725" s="73"/>
      <c r="B725" s="73"/>
      <c r="C725" s="76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</row>
    <row r="726" spans="1:38" ht="15.75" customHeight="1">
      <c r="A726" s="73"/>
      <c r="B726" s="73"/>
      <c r="C726" s="7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</row>
    <row r="727" spans="1:38" ht="15.75" customHeight="1">
      <c r="A727" s="73"/>
      <c r="B727" s="73"/>
      <c r="C727" s="76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</row>
    <row r="728" spans="1:38" ht="15.75" customHeight="1">
      <c r="A728" s="73"/>
      <c r="B728" s="73"/>
      <c r="C728" s="76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</row>
    <row r="729" spans="1:38" ht="15.75" customHeight="1">
      <c r="A729" s="73"/>
      <c r="B729" s="73"/>
      <c r="C729" s="76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</row>
    <row r="730" spans="1:38" ht="15.75" customHeight="1">
      <c r="A730" s="73"/>
      <c r="B730" s="73"/>
      <c r="C730" s="7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</row>
    <row r="731" spans="1:38" ht="15.75" customHeight="1">
      <c r="A731" s="73"/>
      <c r="B731" s="73"/>
      <c r="C731" s="76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</row>
    <row r="732" spans="1:38" ht="15.75" customHeight="1">
      <c r="A732" s="73"/>
      <c r="B732" s="73"/>
      <c r="C732" s="76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</row>
    <row r="733" spans="1:38" ht="15.75" customHeight="1">
      <c r="A733" s="73"/>
      <c r="B733" s="73"/>
      <c r="C733" s="76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</row>
    <row r="734" spans="1:38" ht="15.75" customHeight="1">
      <c r="A734" s="73"/>
      <c r="B734" s="73"/>
      <c r="C734" s="7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</row>
    <row r="735" spans="1:38" ht="15.75" customHeight="1">
      <c r="A735" s="73"/>
      <c r="B735" s="73"/>
      <c r="C735" s="76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</row>
    <row r="736" spans="1:38" ht="15.75" customHeight="1">
      <c r="A736" s="73"/>
      <c r="B736" s="73"/>
      <c r="C736" s="76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</row>
    <row r="737" spans="1:38" ht="15.75" customHeight="1">
      <c r="A737" s="73"/>
      <c r="B737" s="73"/>
      <c r="C737" s="76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</row>
    <row r="738" spans="1:38" ht="15.75" customHeight="1">
      <c r="A738" s="73"/>
      <c r="B738" s="73"/>
      <c r="C738" s="7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</row>
    <row r="739" spans="1:38" ht="15.75" customHeight="1">
      <c r="A739" s="73"/>
      <c r="B739" s="73"/>
      <c r="C739" s="76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</row>
    <row r="740" spans="1:38" ht="15.75" customHeight="1">
      <c r="A740" s="73"/>
      <c r="B740" s="73"/>
      <c r="C740" s="76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</row>
    <row r="741" spans="1:38" ht="15.75" customHeight="1">
      <c r="A741" s="73"/>
      <c r="B741" s="73"/>
      <c r="C741" s="76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</row>
    <row r="742" spans="1:38" ht="15.75" customHeight="1">
      <c r="A742" s="73"/>
      <c r="B742" s="73"/>
      <c r="C742" s="7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</row>
    <row r="743" spans="1:38" ht="15.75" customHeight="1">
      <c r="A743" s="73"/>
      <c r="B743" s="73"/>
      <c r="C743" s="76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</row>
    <row r="744" spans="1:38" ht="15.75" customHeight="1">
      <c r="A744" s="73"/>
      <c r="B744" s="73"/>
      <c r="C744" s="76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</row>
    <row r="745" spans="1:38" ht="15.75" customHeight="1">
      <c r="A745" s="73"/>
      <c r="B745" s="73"/>
      <c r="C745" s="76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</row>
    <row r="746" spans="1:38" ht="15.75" customHeight="1">
      <c r="A746" s="73"/>
      <c r="B746" s="73"/>
      <c r="C746" s="7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</row>
    <row r="747" spans="1:38" ht="15.75" customHeight="1">
      <c r="A747" s="73"/>
      <c r="B747" s="73"/>
      <c r="C747" s="76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</row>
    <row r="748" spans="1:38" ht="15.75" customHeight="1">
      <c r="A748" s="73"/>
      <c r="B748" s="73"/>
      <c r="C748" s="76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</row>
    <row r="749" spans="1:38" ht="15.75" customHeight="1">
      <c r="A749" s="73"/>
      <c r="B749" s="73"/>
      <c r="C749" s="76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</row>
    <row r="750" spans="1:38" ht="15.75" customHeight="1">
      <c r="A750" s="73"/>
      <c r="B750" s="73"/>
      <c r="C750" s="7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</row>
    <row r="751" spans="1:38" ht="15.75" customHeight="1">
      <c r="A751" s="73"/>
      <c r="B751" s="73"/>
      <c r="C751" s="76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</row>
    <row r="752" spans="1:38" ht="15.75" customHeight="1">
      <c r="A752" s="73"/>
      <c r="B752" s="73"/>
      <c r="C752" s="76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</row>
    <row r="753" spans="1:38" ht="15.75" customHeight="1">
      <c r="A753" s="73"/>
      <c r="B753" s="73"/>
      <c r="C753" s="76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</row>
    <row r="754" spans="1:38" ht="15.75" customHeight="1">
      <c r="A754" s="73"/>
      <c r="B754" s="73"/>
      <c r="C754" s="7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</row>
    <row r="755" spans="1:38" ht="15.75" customHeight="1">
      <c r="A755" s="73"/>
      <c r="B755" s="73"/>
      <c r="C755" s="76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</row>
    <row r="756" spans="1:38" ht="15.75" customHeight="1">
      <c r="A756" s="73"/>
      <c r="B756" s="73"/>
      <c r="C756" s="76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</row>
    <row r="757" spans="1:38" ht="15.75" customHeight="1">
      <c r="A757" s="73"/>
      <c r="B757" s="73"/>
      <c r="C757" s="76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</row>
    <row r="758" spans="1:38" ht="15.75" customHeight="1">
      <c r="A758" s="73"/>
      <c r="B758" s="73"/>
      <c r="C758" s="7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</row>
    <row r="759" spans="1:38" ht="15.75" customHeight="1">
      <c r="A759" s="73"/>
      <c r="B759" s="73"/>
      <c r="C759" s="76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</row>
    <row r="760" spans="1:38" ht="15.75" customHeight="1">
      <c r="A760" s="73"/>
      <c r="B760" s="73"/>
      <c r="C760" s="76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</row>
    <row r="761" spans="1:38" ht="15.75" customHeight="1">
      <c r="A761" s="73"/>
      <c r="B761" s="73"/>
      <c r="C761" s="76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</row>
    <row r="762" spans="1:38" ht="15.75" customHeight="1">
      <c r="A762" s="73"/>
      <c r="B762" s="73"/>
      <c r="C762" s="7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</row>
    <row r="763" spans="1:38" ht="15.75" customHeight="1">
      <c r="A763" s="73"/>
      <c r="B763" s="73"/>
      <c r="C763" s="76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</row>
    <row r="764" spans="1:38" ht="15.75" customHeight="1">
      <c r="A764" s="73"/>
      <c r="B764" s="73"/>
      <c r="C764" s="76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</row>
    <row r="765" spans="1:38" ht="15.75" customHeight="1">
      <c r="A765" s="73"/>
      <c r="B765" s="73"/>
      <c r="C765" s="76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</row>
    <row r="766" spans="1:38" ht="15.75" customHeight="1">
      <c r="A766" s="73"/>
      <c r="B766" s="73"/>
      <c r="C766" s="7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</row>
    <row r="767" spans="1:38" ht="15.75" customHeight="1">
      <c r="A767" s="73"/>
      <c r="B767" s="73"/>
      <c r="C767" s="76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</row>
    <row r="768" spans="1:38" ht="15.75" customHeight="1">
      <c r="A768" s="73"/>
      <c r="B768" s="73"/>
      <c r="C768" s="76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</row>
    <row r="769" spans="1:38" ht="15.75" customHeight="1">
      <c r="A769" s="73"/>
      <c r="B769" s="73"/>
      <c r="C769" s="76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</row>
    <row r="770" spans="1:38" ht="15.75" customHeight="1">
      <c r="A770" s="73"/>
      <c r="B770" s="73"/>
      <c r="C770" s="7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</row>
    <row r="771" spans="1:38" ht="15.75" customHeight="1">
      <c r="A771" s="73"/>
      <c r="B771" s="73"/>
      <c r="C771" s="76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</row>
    <row r="772" spans="1:38" ht="15.75" customHeight="1">
      <c r="A772" s="73"/>
      <c r="B772" s="73"/>
      <c r="C772" s="76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</row>
    <row r="773" spans="1:38" ht="15.75" customHeight="1">
      <c r="A773" s="73"/>
      <c r="B773" s="73"/>
      <c r="C773" s="76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</row>
    <row r="774" spans="1:38" ht="15.75" customHeight="1">
      <c r="A774" s="73"/>
      <c r="B774" s="73"/>
      <c r="C774" s="7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</row>
    <row r="775" spans="1:38" ht="15.75" customHeight="1">
      <c r="A775" s="73"/>
      <c r="B775" s="73"/>
      <c r="C775" s="76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</row>
    <row r="776" spans="1:38" ht="15.75" customHeight="1">
      <c r="A776" s="73"/>
      <c r="B776" s="73"/>
      <c r="C776" s="76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</row>
    <row r="777" spans="1:38" ht="15.75" customHeight="1">
      <c r="A777" s="73"/>
      <c r="B777" s="73"/>
      <c r="C777" s="76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</row>
    <row r="778" spans="1:38" ht="15.75" customHeight="1">
      <c r="A778" s="73"/>
      <c r="B778" s="73"/>
      <c r="C778" s="7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</row>
    <row r="779" spans="1:38" ht="15.75" customHeight="1">
      <c r="A779" s="73"/>
      <c r="B779" s="73"/>
      <c r="C779" s="76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</row>
    <row r="780" spans="1:38" ht="15.75" customHeight="1">
      <c r="A780" s="73"/>
      <c r="B780" s="73"/>
      <c r="C780" s="76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</row>
    <row r="781" spans="1:38" ht="15.75" customHeight="1">
      <c r="A781" s="73"/>
      <c r="B781" s="73"/>
      <c r="C781" s="76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</row>
    <row r="782" spans="1:38" ht="15.75" customHeight="1">
      <c r="A782" s="73"/>
      <c r="B782" s="73"/>
      <c r="C782" s="7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</row>
    <row r="783" spans="1:38" ht="15.75" customHeight="1">
      <c r="A783" s="73"/>
      <c r="B783" s="73"/>
      <c r="C783" s="76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</row>
    <row r="784" spans="1:38" ht="15.75" customHeight="1">
      <c r="A784" s="73"/>
      <c r="B784" s="73"/>
      <c r="C784" s="76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</row>
    <row r="785" spans="1:38" ht="15.75" customHeight="1">
      <c r="A785" s="73"/>
      <c r="B785" s="73"/>
      <c r="C785" s="76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</row>
    <row r="786" spans="1:38" ht="15.75" customHeight="1">
      <c r="A786" s="73"/>
      <c r="B786" s="73"/>
      <c r="C786" s="7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</row>
    <row r="787" spans="1:38" ht="15.75" customHeight="1">
      <c r="A787" s="73"/>
      <c r="B787" s="73"/>
      <c r="C787" s="76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</row>
    <row r="788" spans="1:38" ht="15.75" customHeight="1">
      <c r="A788" s="73"/>
      <c r="B788" s="73"/>
      <c r="C788" s="76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</row>
    <row r="789" spans="1:38" ht="15.75" customHeight="1">
      <c r="A789" s="73"/>
      <c r="B789" s="73"/>
      <c r="C789" s="76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</row>
    <row r="790" spans="1:38" ht="15.75" customHeight="1">
      <c r="A790" s="73"/>
      <c r="B790" s="73"/>
      <c r="C790" s="7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</row>
    <row r="791" spans="1:38" ht="15.75" customHeight="1">
      <c r="A791" s="73"/>
      <c r="B791" s="73"/>
      <c r="C791" s="76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</row>
    <row r="792" spans="1:38" ht="15.75" customHeight="1">
      <c r="A792" s="73"/>
      <c r="B792" s="73"/>
      <c r="C792" s="76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</row>
    <row r="793" spans="1:38" ht="15.75" customHeight="1">
      <c r="A793" s="73"/>
      <c r="B793" s="73"/>
      <c r="C793" s="76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</row>
    <row r="794" spans="1:38" ht="15.75" customHeight="1">
      <c r="A794" s="73"/>
      <c r="B794" s="73"/>
      <c r="C794" s="7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</row>
    <row r="795" spans="1:38" ht="15.75" customHeight="1">
      <c r="A795" s="73"/>
      <c r="B795" s="73"/>
      <c r="C795" s="76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</row>
    <row r="796" spans="1:38" ht="15.75" customHeight="1">
      <c r="A796" s="73"/>
      <c r="B796" s="73"/>
      <c r="C796" s="76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</row>
    <row r="797" spans="1:38" ht="15.75" customHeight="1">
      <c r="A797" s="73"/>
      <c r="B797" s="73"/>
      <c r="C797" s="76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</row>
    <row r="798" spans="1:38" ht="15.75" customHeight="1">
      <c r="A798" s="73"/>
      <c r="B798" s="73"/>
      <c r="C798" s="7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</row>
    <row r="799" spans="1:38" ht="15.75" customHeight="1">
      <c r="A799" s="73"/>
      <c r="B799" s="73"/>
      <c r="C799" s="76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</row>
    <row r="800" spans="1:38" ht="15.75" customHeight="1">
      <c r="A800" s="73"/>
      <c r="B800" s="73"/>
      <c r="C800" s="76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</row>
    <row r="801" spans="1:38" ht="15.75" customHeight="1">
      <c r="A801" s="73"/>
      <c r="B801" s="73"/>
      <c r="C801" s="76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</row>
    <row r="802" spans="1:38" ht="15.75" customHeight="1">
      <c r="A802" s="73"/>
      <c r="B802" s="73"/>
      <c r="C802" s="7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</row>
    <row r="803" spans="1:38" ht="15.75" customHeight="1">
      <c r="A803" s="73"/>
      <c r="B803" s="73"/>
      <c r="C803" s="76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</row>
    <row r="804" spans="1:38" ht="15.75" customHeight="1">
      <c r="A804" s="73"/>
      <c r="B804" s="73"/>
      <c r="C804" s="76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</row>
    <row r="805" spans="1:38" ht="15.75" customHeight="1">
      <c r="A805" s="73"/>
      <c r="B805" s="73"/>
      <c r="C805" s="76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</row>
    <row r="806" spans="1:38" ht="15.75" customHeight="1">
      <c r="A806" s="73"/>
      <c r="B806" s="73"/>
      <c r="C806" s="7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</row>
    <row r="807" spans="1:38" ht="15.75" customHeight="1">
      <c r="A807" s="73"/>
      <c r="B807" s="73"/>
      <c r="C807" s="76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</row>
    <row r="808" spans="1:38" ht="15.75" customHeight="1">
      <c r="A808" s="73"/>
      <c r="B808" s="73"/>
      <c r="C808" s="76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</row>
    <row r="809" spans="1:38" ht="15.75" customHeight="1">
      <c r="A809" s="73"/>
      <c r="B809" s="73"/>
      <c r="C809" s="76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</row>
    <row r="810" spans="1:38" ht="15.75" customHeight="1">
      <c r="A810" s="73"/>
      <c r="B810" s="73"/>
      <c r="C810" s="7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</row>
    <row r="811" spans="1:38" ht="15.75" customHeight="1">
      <c r="A811" s="73"/>
      <c r="B811" s="73"/>
      <c r="C811" s="76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</row>
    <row r="812" spans="1:38" ht="15.75" customHeight="1">
      <c r="A812" s="73"/>
      <c r="B812" s="73"/>
      <c r="C812" s="76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</row>
    <row r="813" spans="1:38" ht="15.75" customHeight="1">
      <c r="A813" s="73"/>
      <c r="B813" s="73"/>
      <c r="C813" s="76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</row>
    <row r="814" spans="1:38" ht="15.75" customHeight="1">
      <c r="A814" s="73"/>
      <c r="B814" s="73"/>
      <c r="C814" s="7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</row>
    <row r="815" spans="1:38" ht="15.75" customHeight="1">
      <c r="A815" s="73"/>
      <c r="B815" s="73"/>
      <c r="C815" s="76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</row>
    <row r="816" spans="1:38" ht="15.75" customHeight="1">
      <c r="A816" s="73"/>
      <c r="B816" s="73"/>
      <c r="C816" s="76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</row>
    <row r="817" spans="1:38" ht="15.75" customHeight="1">
      <c r="A817" s="73"/>
      <c r="B817" s="73"/>
      <c r="C817" s="76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</row>
    <row r="818" spans="1:38" ht="15.75" customHeight="1">
      <c r="A818" s="73"/>
      <c r="B818" s="73"/>
      <c r="C818" s="7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</row>
    <row r="819" spans="1:38" ht="15.75" customHeight="1">
      <c r="A819" s="73"/>
      <c r="B819" s="73"/>
      <c r="C819" s="76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</row>
    <row r="820" spans="1:38" ht="15.75" customHeight="1">
      <c r="A820" s="73"/>
      <c r="B820" s="73"/>
      <c r="C820" s="76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</row>
    <row r="821" spans="1:38" ht="15.75" customHeight="1">
      <c r="A821" s="73"/>
      <c r="B821" s="73"/>
      <c r="C821" s="76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</row>
    <row r="822" spans="1:38" ht="15.75" customHeight="1">
      <c r="A822" s="73"/>
      <c r="B822" s="73"/>
      <c r="C822" s="7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</row>
    <row r="823" spans="1:38" ht="15.75" customHeight="1">
      <c r="A823" s="73"/>
      <c r="B823" s="73"/>
      <c r="C823" s="76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</row>
    <row r="824" spans="1:38" ht="15.75" customHeight="1">
      <c r="A824" s="73"/>
      <c r="B824" s="73"/>
      <c r="C824" s="76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</row>
    <row r="825" spans="1:38" ht="15.75" customHeight="1">
      <c r="A825" s="73"/>
      <c r="B825" s="73"/>
      <c r="C825" s="76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</row>
    <row r="826" spans="1:38" ht="15.75" customHeight="1">
      <c r="A826" s="73"/>
      <c r="B826" s="73"/>
      <c r="C826" s="7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</row>
    <row r="827" spans="1:38" ht="15.75" customHeight="1">
      <c r="A827" s="73"/>
      <c r="B827" s="73"/>
      <c r="C827" s="76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</row>
    <row r="828" spans="1:38" ht="15.75" customHeight="1">
      <c r="A828" s="73"/>
      <c r="B828" s="73"/>
      <c r="C828" s="76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</row>
    <row r="829" spans="1:38" ht="15.75" customHeight="1">
      <c r="A829" s="73"/>
      <c r="B829" s="73"/>
      <c r="C829" s="76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</row>
    <row r="830" spans="1:38" ht="15.75" customHeight="1">
      <c r="A830" s="73"/>
      <c r="B830" s="73"/>
      <c r="C830" s="7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</row>
    <row r="831" spans="1:38" ht="15.75" customHeight="1">
      <c r="A831" s="73"/>
      <c r="B831" s="73"/>
      <c r="C831" s="76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</row>
    <row r="832" spans="1:38" ht="15.75" customHeight="1">
      <c r="A832" s="73"/>
      <c r="B832" s="73"/>
      <c r="C832" s="76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</row>
    <row r="833" spans="1:38" ht="15.75" customHeight="1">
      <c r="A833" s="73"/>
      <c r="B833" s="73"/>
      <c r="C833" s="76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</row>
    <row r="834" spans="1:38" ht="15.75" customHeight="1">
      <c r="A834" s="73"/>
      <c r="B834" s="73"/>
      <c r="C834" s="7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</row>
    <row r="835" spans="1:38" ht="15.75" customHeight="1">
      <c r="A835" s="73"/>
      <c r="B835" s="73"/>
      <c r="C835" s="76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</row>
    <row r="836" spans="1:38" ht="15.75" customHeight="1">
      <c r="A836" s="73"/>
      <c r="B836" s="73"/>
      <c r="C836" s="76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</row>
    <row r="837" spans="1:38" ht="15.75" customHeight="1">
      <c r="A837" s="73"/>
      <c r="B837" s="73"/>
      <c r="C837" s="76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</row>
    <row r="838" spans="1:38" ht="15.75" customHeight="1">
      <c r="A838" s="73"/>
      <c r="B838" s="73"/>
      <c r="C838" s="7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</row>
    <row r="839" spans="1:38" ht="15.75" customHeight="1">
      <c r="A839" s="73"/>
      <c r="B839" s="73"/>
      <c r="C839" s="76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</row>
    <row r="840" spans="1:38" ht="15.75" customHeight="1">
      <c r="A840" s="73"/>
      <c r="B840" s="73"/>
      <c r="C840" s="76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</row>
    <row r="841" spans="1:38" ht="15.75" customHeight="1">
      <c r="A841" s="73"/>
      <c r="B841" s="73"/>
      <c r="C841" s="76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</row>
    <row r="842" spans="1:38" ht="15.75" customHeight="1">
      <c r="A842" s="73"/>
      <c r="B842" s="73"/>
      <c r="C842" s="7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</row>
    <row r="843" spans="1:38" ht="15.75" customHeight="1">
      <c r="A843" s="73"/>
      <c r="B843" s="73"/>
      <c r="C843" s="76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</row>
    <row r="844" spans="1:38" ht="15.75" customHeight="1">
      <c r="A844" s="73"/>
      <c r="B844" s="73"/>
      <c r="C844" s="76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</row>
    <row r="845" spans="1:38" ht="15.75" customHeight="1">
      <c r="A845" s="73"/>
      <c r="B845" s="73"/>
      <c r="C845" s="76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</row>
    <row r="846" spans="1:38" ht="15.75" customHeight="1">
      <c r="A846" s="73"/>
      <c r="B846" s="73"/>
      <c r="C846" s="7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</row>
    <row r="847" spans="1:38" ht="15.75" customHeight="1">
      <c r="A847" s="73"/>
      <c r="B847" s="73"/>
      <c r="C847" s="76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</row>
    <row r="848" spans="1:38" ht="15.75" customHeight="1">
      <c r="A848" s="73"/>
      <c r="B848" s="73"/>
      <c r="C848" s="76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</row>
    <row r="849" spans="1:38" ht="15.75" customHeight="1">
      <c r="A849" s="73"/>
      <c r="B849" s="73"/>
      <c r="C849" s="76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</row>
    <row r="850" spans="1:38" ht="15.75" customHeight="1">
      <c r="A850" s="73"/>
      <c r="B850" s="73"/>
      <c r="C850" s="7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</row>
    <row r="851" spans="1:38" ht="15.75" customHeight="1">
      <c r="A851" s="73"/>
      <c r="B851" s="73"/>
      <c r="C851" s="76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</row>
    <row r="852" spans="1:38" ht="15.75" customHeight="1">
      <c r="A852" s="73"/>
      <c r="B852" s="73"/>
      <c r="C852" s="76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</row>
    <row r="853" spans="1:38" ht="15.75" customHeight="1">
      <c r="A853" s="73"/>
      <c r="B853" s="73"/>
      <c r="C853" s="76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</row>
    <row r="854" spans="1:38" ht="15.75" customHeight="1">
      <c r="A854" s="73"/>
      <c r="B854" s="73"/>
      <c r="C854" s="7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</row>
    <row r="855" spans="1:38" ht="15.75" customHeight="1">
      <c r="A855" s="73"/>
      <c r="B855" s="73"/>
      <c r="C855" s="76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</row>
    <row r="856" spans="1:38" ht="15.75" customHeight="1">
      <c r="A856" s="73"/>
      <c r="B856" s="73"/>
      <c r="C856" s="76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</row>
    <row r="857" spans="1:38" ht="15.75" customHeight="1">
      <c r="A857" s="73"/>
      <c r="B857" s="73"/>
      <c r="C857" s="76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</row>
    <row r="858" spans="1:38" ht="15.75" customHeight="1">
      <c r="A858" s="73"/>
      <c r="B858" s="73"/>
      <c r="C858" s="7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</row>
    <row r="859" spans="1:38" ht="15.75" customHeight="1">
      <c r="A859" s="73"/>
      <c r="B859" s="73"/>
      <c r="C859" s="76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</row>
    <row r="860" spans="1:38" ht="15.75" customHeight="1">
      <c r="A860" s="73"/>
      <c r="B860" s="73"/>
      <c r="C860" s="76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</row>
    <row r="861" spans="1:38" ht="15.75" customHeight="1">
      <c r="A861" s="73"/>
      <c r="B861" s="73"/>
      <c r="C861" s="76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</row>
    <row r="862" spans="1:38" ht="15.75" customHeight="1">
      <c r="A862" s="73"/>
      <c r="B862" s="73"/>
      <c r="C862" s="7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</row>
    <row r="863" spans="1:38" ht="15.75" customHeight="1">
      <c r="A863" s="73"/>
      <c r="B863" s="73"/>
      <c r="C863" s="76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</row>
    <row r="864" spans="1:38" ht="15.75" customHeight="1">
      <c r="A864" s="73"/>
      <c r="B864" s="73"/>
      <c r="C864" s="76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</row>
    <row r="865" spans="1:38" ht="15.75" customHeight="1">
      <c r="A865" s="73"/>
      <c r="B865" s="73"/>
      <c r="C865" s="76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</row>
    <row r="866" spans="1:38" ht="15.75" customHeight="1">
      <c r="A866" s="73"/>
      <c r="B866" s="73"/>
      <c r="C866" s="7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</row>
    <row r="867" spans="1:38" ht="15.75" customHeight="1">
      <c r="A867" s="73"/>
      <c r="B867" s="73"/>
      <c r="C867" s="76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</row>
    <row r="868" spans="1:38" ht="15.75" customHeight="1">
      <c r="A868" s="73"/>
      <c r="B868" s="73"/>
      <c r="C868" s="76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</row>
    <row r="869" spans="1:38" ht="15.75" customHeight="1">
      <c r="A869" s="73"/>
      <c r="B869" s="73"/>
      <c r="C869" s="76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</row>
    <row r="870" spans="1:38" ht="15.75" customHeight="1">
      <c r="A870" s="73"/>
      <c r="B870" s="73"/>
      <c r="C870" s="7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</row>
    <row r="871" spans="1:38" ht="15.75" customHeight="1">
      <c r="A871" s="73"/>
      <c r="B871" s="73"/>
      <c r="C871" s="76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</row>
    <row r="872" spans="1:38" ht="15.75" customHeight="1">
      <c r="A872" s="73"/>
      <c r="B872" s="73"/>
      <c r="C872" s="76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</row>
    <row r="873" spans="1:38" ht="15.75" customHeight="1">
      <c r="A873" s="73"/>
      <c r="B873" s="73"/>
      <c r="C873" s="76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</row>
    <row r="874" spans="1:38" ht="15.75" customHeight="1">
      <c r="A874" s="73"/>
      <c r="B874" s="73"/>
      <c r="C874" s="7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</row>
    <row r="875" spans="1:38" ht="15.75" customHeight="1">
      <c r="A875" s="73"/>
      <c r="B875" s="73"/>
      <c r="C875" s="76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</row>
    <row r="876" spans="1:38" ht="15.75" customHeight="1">
      <c r="A876" s="73"/>
      <c r="B876" s="73"/>
      <c r="C876" s="76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</row>
    <row r="877" spans="1:38" ht="15.75" customHeight="1">
      <c r="A877" s="73"/>
      <c r="B877" s="73"/>
      <c r="C877" s="76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</row>
    <row r="878" spans="1:38" ht="15.75" customHeight="1">
      <c r="A878" s="73"/>
      <c r="B878" s="73"/>
      <c r="C878" s="7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</row>
    <row r="879" spans="1:38" ht="15.75" customHeight="1">
      <c r="A879" s="73"/>
      <c r="B879" s="73"/>
      <c r="C879" s="76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</row>
    <row r="880" spans="1:38" ht="15.75" customHeight="1">
      <c r="A880" s="73"/>
      <c r="B880" s="73"/>
      <c r="C880" s="76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</row>
    <row r="881" spans="1:38" ht="15.75" customHeight="1">
      <c r="A881" s="73"/>
      <c r="B881" s="73"/>
      <c r="C881" s="76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</row>
    <row r="882" spans="1:38" ht="15.75" customHeight="1">
      <c r="A882" s="73"/>
      <c r="B882" s="73"/>
      <c r="C882" s="7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</row>
    <row r="883" spans="1:38" ht="15.75" customHeight="1">
      <c r="A883" s="73"/>
      <c r="B883" s="73"/>
      <c r="C883" s="76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</row>
    <row r="884" spans="1:38" ht="15.75" customHeight="1">
      <c r="A884" s="73"/>
      <c r="B884" s="73"/>
      <c r="C884" s="76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</row>
    <row r="885" spans="1:38" ht="15.75" customHeight="1">
      <c r="A885" s="73"/>
      <c r="B885" s="73"/>
      <c r="C885" s="76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</row>
    <row r="886" spans="1:38" ht="15.75" customHeight="1">
      <c r="A886" s="73"/>
      <c r="B886" s="73"/>
      <c r="C886" s="7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</row>
    <row r="887" spans="1:38" ht="15.75" customHeight="1">
      <c r="A887" s="73"/>
      <c r="B887" s="73"/>
      <c r="C887" s="76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</row>
    <row r="888" spans="1:38" ht="15.75" customHeight="1">
      <c r="A888" s="73"/>
      <c r="B888" s="73"/>
      <c r="C888" s="76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</row>
    <row r="889" spans="1:38" ht="15.75" customHeight="1">
      <c r="A889" s="73"/>
      <c r="B889" s="73"/>
      <c r="C889" s="76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</row>
    <row r="890" spans="1:38" ht="15.75" customHeight="1">
      <c r="A890" s="73"/>
      <c r="B890" s="73"/>
      <c r="C890" s="7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</row>
    <row r="891" spans="1:38" ht="15.75" customHeight="1">
      <c r="A891" s="73"/>
      <c r="B891" s="73"/>
      <c r="C891" s="76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</row>
    <row r="892" spans="1:38" ht="15.75" customHeight="1">
      <c r="A892" s="73"/>
      <c r="B892" s="73"/>
      <c r="C892" s="76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</row>
    <row r="893" spans="1:38" ht="15.75" customHeight="1">
      <c r="A893" s="73"/>
      <c r="B893" s="73"/>
      <c r="C893" s="76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</row>
    <row r="894" spans="1:38" ht="15.75" customHeight="1">
      <c r="A894" s="73"/>
      <c r="B894" s="73"/>
      <c r="C894" s="7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</row>
    <row r="895" spans="1:38" ht="15.75" customHeight="1">
      <c r="A895" s="73"/>
      <c r="B895" s="73"/>
      <c r="C895" s="76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</row>
    <row r="896" spans="1:38" ht="15.75" customHeight="1">
      <c r="A896" s="73"/>
      <c r="B896" s="73"/>
      <c r="C896" s="76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</row>
    <row r="897" spans="1:38" ht="15.75" customHeight="1">
      <c r="A897" s="73"/>
      <c r="B897" s="73"/>
      <c r="C897" s="76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</row>
    <row r="898" spans="1:38" ht="15.75" customHeight="1">
      <c r="A898" s="73"/>
      <c r="B898" s="73"/>
      <c r="C898" s="7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</row>
    <row r="899" spans="1:38" ht="15.75" customHeight="1">
      <c r="A899" s="73"/>
      <c r="B899" s="73"/>
      <c r="C899" s="76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</row>
    <row r="900" spans="1:38" ht="15.75" customHeight="1">
      <c r="A900" s="73"/>
      <c r="B900" s="73"/>
      <c r="C900" s="76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</row>
    <row r="901" spans="1:38" ht="15.75" customHeight="1">
      <c r="A901" s="73"/>
      <c r="B901" s="73"/>
      <c r="C901" s="76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</row>
    <row r="902" spans="1:38" ht="15.75" customHeight="1">
      <c r="A902" s="73"/>
      <c r="B902" s="73"/>
      <c r="C902" s="7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</row>
    <row r="903" spans="1:38" ht="15.75" customHeight="1">
      <c r="A903" s="73"/>
      <c r="B903" s="73"/>
      <c r="C903" s="76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</row>
    <row r="904" spans="1:38" ht="15.75" customHeight="1">
      <c r="A904" s="73"/>
      <c r="B904" s="73"/>
      <c r="C904" s="76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</row>
    <row r="905" spans="1:38" ht="15.75" customHeight="1">
      <c r="A905" s="73"/>
      <c r="B905" s="73"/>
      <c r="C905" s="76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</row>
    <row r="906" spans="1:38" ht="15.75" customHeight="1">
      <c r="A906" s="73"/>
      <c r="B906" s="73"/>
      <c r="C906" s="7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</row>
    <row r="907" spans="1:38" ht="15.75" customHeight="1">
      <c r="A907" s="73"/>
      <c r="B907" s="73"/>
      <c r="C907" s="76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</row>
    <row r="908" spans="1:38" ht="15.75" customHeight="1">
      <c r="A908" s="73"/>
      <c r="B908" s="73"/>
      <c r="C908" s="76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</row>
    <row r="909" spans="1:38" ht="15.75" customHeight="1">
      <c r="A909" s="73"/>
      <c r="B909" s="73"/>
      <c r="C909" s="76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</row>
    <row r="910" spans="1:38" ht="15.75" customHeight="1">
      <c r="A910" s="73"/>
      <c r="B910" s="73"/>
      <c r="C910" s="7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</row>
    <row r="911" spans="1:38" ht="15.75" customHeight="1">
      <c r="A911" s="73"/>
      <c r="B911" s="73"/>
      <c r="C911" s="76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</row>
    <row r="912" spans="1:38" ht="15.75" customHeight="1">
      <c r="A912" s="73"/>
      <c r="B912" s="73"/>
      <c r="C912" s="76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</row>
    <row r="913" spans="1:38" ht="15.75" customHeight="1">
      <c r="A913" s="73"/>
      <c r="B913" s="73"/>
      <c r="C913" s="76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</row>
    <row r="914" spans="1:38" ht="15.75" customHeight="1">
      <c r="A914" s="73"/>
      <c r="B914" s="73"/>
      <c r="C914" s="7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</row>
    <row r="915" spans="1:38" ht="15.75" customHeight="1">
      <c r="A915" s="73"/>
      <c r="B915" s="73"/>
      <c r="C915" s="76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</row>
    <row r="916" spans="1:38" ht="15.75" customHeight="1">
      <c r="A916" s="73"/>
      <c r="B916" s="73"/>
      <c r="C916" s="76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</row>
    <row r="917" spans="1:38" ht="15.75" customHeight="1">
      <c r="A917" s="73"/>
      <c r="B917" s="73"/>
      <c r="C917" s="76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</row>
    <row r="918" spans="1:38" ht="15.75" customHeight="1">
      <c r="A918" s="73"/>
      <c r="B918" s="73"/>
      <c r="C918" s="7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</row>
    <row r="919" spans="1:38" ht="15.75" customHeight="1">
      <c r="A919" s="73"/>
      <c r="B919" s="73"/>
      <c r="C919" s="76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</row>
    <row r="920" spans="1:38" ht="15.75" customHeight="1">
      <c r="A920" s="73"/>
      <c r="B920" s="73"/>
      <c r="C920" s="76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</row>
    <row r="921" spans="1:38" ht="15.75" customHeight="1">
      <c r="A921" s="73"/>
      <c r="B921" s="73"/>
      <c r="C921" s="76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</row>
    <row r="922" spans="1:38" ht="15.75" customHeight="1">
      <c r="A922" s="73"/>
      <c r="B922" s="73"/>
      <c r="C922" s="7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</row>
    <row r="923" spans="1:38" ht="15.75" customHeight="1">
      <c r="A923" s="73"/>
      <c r="B923" s="73"/>
      <c r="C923" s="76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</row>
    <row r="924" spans="1:38" ht="15.75" customHeight="1">
      <c r="A924" s="73"/>
      <c r="B924" s="73"/>
      <c r="C924" s="76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</row>
    <row r="925" spans="1:38" ht="15.75" customHeight="1">
      <c r="A925" s="73"/>
      <c r="B925" s="73"/>
      <c r="C925" s="76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</row>
    <row r="926" spans="1:38" ht="15.75" customHeight="1">
      <c r="A926" s="73"/>
      <c r="B926" s="73"/>
      <c r="C926" s="7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</row>
    <row r="927" spans="1:38" ht="15.75" customHeight="1">
      <c r="A927" s="73"/>
      <c r="B927" s="73"/>
      <c r="C927" s="76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</row>
    <row r="928" spans="1:38" ht="15.75" customHeight="1">
      <c r="A928" s="73"/>
      <c r="B928" s="73"/>
      <c r="C928" s="76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</row>
    <row r="929" spans="1:38" ht="15.75" customHeight="1">
      <c r="A929" s="73"/>
      <c r="B929" s="73"/>
      <c r="C929" s="76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</row>
    <row r="930" spans="1:38" ht="15.75" customHeight="1">
      <c r="A930" s="73"/>
      <c r="B930" s="73"/>
      <c r="C930" s="7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</row>
    <row r="931" spans="1:38" ht="15.75" customHeight="1">
      <c r="A931" s="73"/>
      <c r="B931" s="73"/>
      <c r="C931" s="76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</row>
    <row r="932" spans="1:38" ht="15.75" customHeight="1">
      <c r="A932" s="73"/>
      <c r="B932" s="73"/>
      <c r="C932" s="76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</row>
    <row r="933" spans="1:38" ht="15.75" customHeight="1">
      <c r="A933" s="73"/>
      <c r="B933" s="73"/>
      <c r="C933" s="76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</row>
    <row r="934" spans="1:38" ht="15.75" customHeight="1">
      <c r="A934" s="73"/>
      <c r="B934" s="73"/>
      <c r="C934" s="7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</row>
    <row r="935" spans="1:38" ht="15.75" customHeight="1">
      <c r="A935" s="73"/>
      <c r="B935" s="73"/>
      <c r="C935" s="76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</row>
    <row r="936" spans="1:38" ht="15.75" customHeight="1">
      <c r="A936" s="73"/>
      <c r="B936" s="73"/>
      <c r="C936" s="76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</row>
    <row r="937" spans="1:38" ht="15.75" customHeight="1">
      <c r="A937" s="73"/>
      <c r="B937" s="73"/>
      <c r="C937" s="76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</row>
    <row r="938" spans="1:38" ht="15.75" customHeight="1">
      <c r="A938" s="73"/>
      <c r="B938" s="73"/>
      <c r="C938" s="7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</row>
    <row r="939" spans="1:38" ht="15.75" customHeight="1">
      <c r="A939" s="73"/>
      <c r="B939" s="73"/>
      <c r="C939" s="76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</row>
    <row r="940" spans="1:38" ht="15.75" customHeight="1">
      <c r="A940" s="73"/>
      <c r="B940" s="73"/>
      <c r="C940" s="76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</row>
    <row r="941" spans="1:38" ht="15.75" customHeight="1">
      <c r="A941" s="73"/>
      <c r="B941" s="73"/>
      <c r="C941" s="76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</row>
    <row r="942" spans="1:38" ht="15.75" customHeight="1">
      <c r="A942" s="73"/>
      <c r="B942" s="73"/>
      <c r="C942" s="7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</row>
    <row r="943" spans="1:38" ht="15.75" customHeight="1">
      <c r="A943" s="73"/>
      <c r="B943" s="73"/>
      <c r="C943" s="76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</row>
    <row r="944" spans="1:38" ht="15.75" customHeight="1">
      <c r="A944" s="73"/>
      <c r="B944" s="73"/>
      <c r="C944" s="76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</row>
    <row r="945" spans="1:38" ht="15.75" customHeight="1">
      <c r="A945" s="73"/>
      <c r="B945" s="73"/>
      <c r="C945" s="76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</row>
    <row r="946" spans="1:38" ht="15.75" customHeight="1">
      <c r="A946" s="73"/>
      <c r="B946" s="73"/>
      <c r="C946" s="7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</row>
    <row r="947" spans="1:38" ht="15.75" customHeight="1">
      <c r="A947" s="73"/>
      <c r="B947" s="73"/>
      <c r="C947" s="76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</row>
    <row r="948" spans="1:38" ht="15.75" customHeight="1">
      <c r="A948" s="73"/>
      <c r="B948" s="73"/>
      <c r="C948" s="76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</row>
    <row r="949" spans="1:38" ht="15.75" customHeight="1">
      <c r="A949" s="73"/>
      <c r="B949" s="73"/>
      <c r="C949" s="76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</row>
    <row r="950" spans="1:38" ht="15.75" customHeight="1">
      <c r="A950" s="73"/>
      <c r="B950" s="73"/>
      <c r="C950" s="7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</row>
    <row r="951" spans="1:38" ht="15.75" customHeight="1">
      <c r="A951" s="73"/>
      <c r="B951" s="73"/>
      <c r="C951" s="76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</row>
    <row r="952" spans="1:38" ht="15.75" customHeight="1">
      <c r="A952" s="73"/>
      <c r="B952" s="73"/>
      <c r="C952" s="76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</row>
    <row r="953" spans="1:38" ht="15.75" customHeight="1">
      <c r="A953" s="73"/>
      <c r="B953" s="73"/>
      <c r="C953" s="76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</row>
    <row r="954" spans="1:38" ht="15.75" customHeight="1">
      <c r="A954" s="73"/>
      <c r="B954" s="73"/>
      <c r="C954" s="7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</row>
    <row r="955" spans="1:38" ht="15.75" customHeight="1">
      <c r="A955" s="73"/>
      <c r="B955" s="73"/>
      <c r="C955" s="76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</row>
    <row r="956" spans="1:38" ht="15.75" customHeight="1">
      <c r="A956" s="73"/>
      <c r="B956" s="73"/>
      <c r="C956" s="76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</row>
    <row r="957" spans="1:38" ht="15.75" customHeight="1">
      <c r="A957" s="73"/>
      <c r="B957" s="73"/>
      <c r="C957" s="76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</row>
    <row r="958" spans="1:38" ht="15.75" customHeight="1">
      <c r="A958" s="73"/>
      <c r="B958" s="73"/>
      <c r="C958" s="7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</row>
    <row r="959" spans="1:38" ht="15.75" customHeight="1">
      <c r="A959" s="73"/>
      <c r="B959" s="73"/>
      <c r="C959" s="76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</row>
    <row r="960" spans="1:38" ht="15.75" customHeight="1">
      <c r="A960" s="73"/>
      <c r="B960" s="73"/>
      <c r="C960" s="76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</row>
    <row r="961" spans="1:38" ht="15.75" customHeight="1">
      <c r="A961" s="73"/>
      <c r="B961" s="73"/>
      <c r="C961" s="76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</row>
    <row r="962" spans="1:38" ht="15.75" customHeight="1">
      <c r="A962" s="73"/>
      <c r="B962" s="73"/>
      <c r="C962" s="7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</row>
    <row r="963" spans="1:38" ht="15.75" customHeight="1">
      <c r="A963" s="73"/>
      <c r="B963" s="73"/>
      <c r="C963" s="76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</row>
    <row r="964" spans="1:38" ht="15.75" customHeight="1">
      <c r="A964" s="73"/>
      <c r="B964" s="73"/>
      <c r="C964" s="76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</row>
    <row r="965" spans="1:38" ht="15.75" customHeight="1">
      <c r="A965" s="73"/>
      <c r="B965" s="73"/>
      <c r="C965" s="76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</row>
    <row r="966" spans="1:38" ht="15.75" customHeight="1">
      <c r="A966" s="73"/>
      <c r="B966" s="73"/>
      <c r="C966" s="7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</row>
    <row r="967" spans="1:38" ht="15.75" customHeight="1">
      <c r="A967" s="73"/>
      <c r="B967" s="73"/>
      <c r="C967" s="76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</row>
    <row r="968" spans="1:38" ht="15.75" customHeight="1">
      <c r="A968" s="73"/>
      <c r="B968" s="73"/>
      <c r="C968" s="76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</row>
    <row r="969" spans="1:38" ht="15.75" customHeight="1">
      <c r="A969" s="73"/>
      <c r="B969" s="73"/>
      <c r="C969" s="76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</row>
    <row r="970" spans="1:38" ht="15.75" customHeight="1">
      <c r="A970" s="73"/>
      <c r="B970" s="73"/>
      <c r="C970" s="7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</row>
    <row r="971" spans="1:38" ht="15.75" customHeight="1">
      <c r="A971" s="73"/>
      <c r="B971" s="73"/>
      <c r="C971" s="76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</row>
    <row r="972" spans="1:38" ht="15.75" customHeight="1">
      <c r="A972" s="73"/>
      <c r="B972" s="73"/>
      <c r="C972" s="76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</row>
    <row r="973" spans="1:38" ht="15.75" customHeight="1">
      <c r="A973" s="73"/>
      <c r="B973" s="73"/>
      <c r="C973" s="76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</row>
    <row r="974" spans="1:38" ht="15.75" customHeight="1">
      <c r="A974" s="73"/>
      <c r="B974" s="73"/>
      <c r="C974" s="7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</row>
    <row r="975" spans="1:38" ht="15.75" customHeight="1">
      <c r="A975" s="73"/>
      <c r="B975" s="73"/>
      <c r="C975" s="76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</row>
    <row r="976" spans="1:38" ht="15.75" customHeight="1">
      <c r="A976" s="73"/>
      <c r="B976" s="73"/>
      <c r="C976" s="76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</row>
    <row r="977" spans="1:38" ht="15.75" customHeight="1">
      <c r="A977" s="73"/>
      <c r="B977" s="73"/>
      <c r="C977" s="76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</row>
    <row r="978" spans="1:38" ht="15.75" customHeight="1">
      <c r="A978" s="73"/>
      <c r="B978" s="73"/>
      <c r="C978" s="7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</row>
    <row r="979" spans="1:38" ht="15.75" customHeight="1">
      <c r="A979" s="73"/>
      <c r="B979" s="73"/>
      <c r="C979" s="76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</row>
    <row r="980" spans="1:38" ht="15.75" customHeight="1">
      <c r="A980" s="73"/>
      <c r="B980" s="73"/>
      <c r="C980" s="76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</row>
    <row r="981" spans="1:38" ht="15.75" customHeight="1">
      <c r="A981" s="73"/>
      <c r="B981" s="73"/>
      <c r="C981" s="76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</row>
    <row r="982" spans="1:38" ht="15.75" customHeight="1">
      <c r="A982" s="73"/>
      <c r="B982" s="73"/>
      <c r="C982" s="7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</row>
    <row r="983" spans="1:38" ht="15.75" customHeight="1">
      <c r="A983" s="73"/>
      <c r="B983" s="73"/>
      <c r="C983" s="76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</row>
    <row r="984" spans="1:38" ht="15.75" customHeight="1">
      <c r="A984" s="73"/>
      <c r="B984" s="73"/>
      <c r="C984" s="76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</row>
    <row r="985" spans="1:38" ht="15.75" customHeight="1">
      <c r="A985" s="73"/>
      <c r="B985" s="73"/>
      <c r="C985" s="76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</row>
    <row r="986" spans="1:38" ht="15.75" customHeight="1">
      <c r="A986" s="73"/>
      <c r="B986" s="73"/>
      <c r="C986" s="7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</row>
    <row r="987" spans="1:38" ht="15.75" customHeight="1">
      <c r="A987" s="73"/>
      <c r="B987" s="73"/>
      <c r="C987" s="76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</row>
    <row r="988" spans="1:38" ht="15.75" customHeight="1">
      <c r="A988" s="73"/>
      <c r="B988" s="73"/>
      <c r="C988" s="76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</row>
    <row r="989" spans="1:38" ht="15.75" customHeight="1">
      <c r="A989" s="73"/>
      <c r="B989" s="73"/>
      <c r="C989" s="76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</row>
    <row r="990" spans="1:38" ht="15.75" customHeight="1">
      <c r="A990" s="73"/>
      <c r="B990" s="73"/>
      <c r="C990" s="7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</row>
    <row r="991" spans="1:38" ht="15.75" customHeight="1">
      <c r="A991" s="73"/>
      <c r="B991" s="73"/>
      <c r="C991" s="76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</row>
    <row r="992" spans="1:38" ht="15.75" customHeight="1">
      <c r="A992" s="73"/>
      <c r="B992" s="73"/>
      <c r="C992" s="76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</row>
    <row r="993" spans="1:38" ht="15.75" customHeight="1">
      <c r="A993" s="73"/>
      <c r="B993" s="73"/>
      <c r="C993" s="76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</row>
    <row r="994" spans="1:38" ht="15.75" customHeight="1">
      <c r="A994" s="73"/>
      <c r="B994" s="73"/>
      <c r="C994" s="7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</row>
    <row r="995" spans="1:38" ht="15.75" customHeight="1">
      <c r="A995" s="73"/>
      <c r="B995" s="73"/>
      <c r="C995" s="76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</row>
    <row r="996" spans="1:38" ht="15.75" customHeight="1">
      <c r="A996" s="73"/>
      <c r="B996" s="73"/>
      <c r="C996" s="76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</row>
    <row r="997" spans="1:38" ht="15.75" customHeight="1">
      <c r="A997" s="73"/>
      <c r="B997" s="73"/>
      <c r="C997" s="76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</row>
    <row r="998" spans="1:38" ht="15.75" customHeight="1">
      <c r="A998" s="73"/>
      <c r="B998" s="73"/>
      <c r="C998" s="7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</row>
    <row r="999" spans="1:38" ht="15.75" customHeight="1">
      <c r="A999" s="73"/>
      <c r="B999" s="73"/>
      <c r="C999" s="76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</row>
    <row r="1000" spans="1:38" ht="15.75" customHeight="1">
      <c r="A1000" s="73"/>
      <c r="B1000" s="73"/>
      <c r="C1000" s="76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</row>
    <row r="1001" spans="1:38" ht="15.75" customHeight="1">
      <c r="A1001" s="73"/>
      <c r="B1001" s="73"/>
      <c r="C1001" s="76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</row>
  </sheetData>
  <mergeCells count="4">
    <mergeCell ref="D1:E1"/>
    <mergeCell ref="H15:L15"/>
    <mergeCell ref="M15:P15"/>
    <mergeCell ref="Q15:T15"/>
  </mergeCells>
  <conditionalFormatting sqref="F3:F13">
    <cfRule type="expression" dxfId="11" priority="1">
      <formula>F3 &gt;= 80%</formula>
    </cfRule>
    <cfRule type="expression" dxfId="10" priority="2">
      <formula>F3 &lt; 60%</formula>
    </cfRule>
  </conditionalFormatting>
  <conditionalFormatting sqref="V3:V13">
    <cfRule type="expression" dxfId="9" priority="3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9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/>
  <cols>
    <col min="1" max="1" width="15.6640625" customWidth="1"/>
    <col min="2" max="2" width="25.6640625" customWidth="1"/>
    <col min="3" max="3" width="13" customWidth="1"/>
    <col min="4" max="8" width="14.21875" customWidth="1"/>
    <col min="9" max="9" width="15.44140625" customWidth="1"/>
    <col min="10" max="11" width="14.21875" customWidth="1"/>
    <col min="12" max="12" width="22.6640625" hidden="1" customWidth="1"/>
    <col min="13" max="13" width="14.21875" customWidth="1"/>
  </cols>
  <sheetData>
    <row r="1" spans="1:33" ht="19.5" customHeight="1">
      <c r="A1" s="4">
        <f>'kpi dược sĩ'!C1</f>
        <v>46262</v>
      </c>
      <c r="B1" s="6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33.75" customHeight="1">
      <c r="A2" s="11" t="s">
        <v>1</v>
      </c>
      <c r="B2" s="11" t="s">
        <v>9</v>
      </c>
      <c r="C2" s="11" t="s">
        <v>10</v>
      </c>
      <c r="D2" s="12" t="s">
        <v>11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3.8">
      <c r="A3" s="20" t="s">
        <v>23</v>
      </c>
      <c r="B3" s="21" t="s">
        <v>24</v>
      </c>
      <c r="C3" s="22" t="s">
        <v>26</v>
      </c>
      <c r="D3" s="23">
        <f t="shared" ref="D3:D53" si="0">SUM(F3:G3)/DAY($A$1)</f>
        <v>2758480.5357142859</v>
      </c>
      <c r="E3" s="24">
        <v>13394373</v>
      </c>
      <c r="F3" s="24">
        <v>55925446</v>
      </c>
      <c r="G3" s="24">
        <v>7917636</v>
      </c>
      <c r="H3" s="23">
        <f t="shared" ref="H3:I3" si="1">F3/DAY($A$1)</f>
        <v>1997337.357142857</v>
      </c>
      <c r="I3" s="23">
        <f t="shared" si="1"/>
        <v>282772.71428571426</v>
      </c>
      <c r="J3" s="23">
        <f t="shared" ref="J3:J53" ca="1" si="2">IFERROR(
  IF(
    OR($A3="Hàng Bông",$A3="Đường Láng"),
    _xludf._xlfn.IFS(
      AND($H3&gt;=3400000,$I3&gt;=800000),4000000,
      AND($H3&gt;=3000000,$I3&gt;=700000),2800000,
      AND($H3&gt;=2600000,$I3&gt;=550000),2000000,
      AND($H3&gt;=2200000,$I3&gt;=450000),1200000,
      TRUE,0
    ),
    _xludf._xlfn.IFS(
      AND($H3&gt;=1500000,$I3&gt;=700000),4000000,
      AND($H3&gt;=1200000,$I3&gt;=650000),2800000,
      AND($H3&gt;=1000000,$I3&gt;=580000),2200000,
      AND($H3&gt;=850000,$I3&gt;=480000),1600000,
      AND($H3&gt;=630000,$I3&gt;=350000),1000000,
      TRUE,0
    )
  ),
0)</f>
        <v>0</v>
      </c>
      <c r="K3" s="23">
        <f t="shared" ref="K3:K53" ca="1" si="3">IFERROR(
  IF(
    AND(
      $J3=0,
      IF(OR($A3="Hàng Bông",$A3="Đường Láng"),$D3&gt;=2000000,$D3&gt;=950000)
    ),
    500000,
    0
  ),
0)</f>
        <v>500000</v>
      </c>
      <c r="L3" s="23">
        <f>IFERROR(
  SUMIF(
    'Hot Bill HN'!$D:$D,
    $B3,
    'Hot Bill HN'!$G:$G
  ),
0)</f>
        <v>100000</v>
      </c>
      <c r="M3" s="49">
        <f t="shared" ref="M3:M53" ca="1" si="4">IFERROR($J3+$K3+$L3,0)</f>
        <v>600000</v>
      </c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ht="13.8">
      <c r="A4" s="20" t="s">
        <v>23</v>
      </c>
      <c r="B4" s="21" t="s">
        <v>57</v>
      </c>
      <c r="C4" s="22" t="s">
        <v>58</v>
      </c>
      <c r="D4" s="23">
        <f t="shared" si="0"/>
        <v>8078076.8928571427</v>
      </c>
      <c r="E4" s="24">
        <v>112463349</v>
      </c>
      <c r="F4" s="24">
        <v>101243730</v>
      </c>
      <c r="G4" s="24">
        <v>12479074</v>
      </c>
      <c r="H4" s="23">
        <f t="shared" ref="H4:I4" si="5">F4/DAY($A$1)</f>
        <v>3615847.5</v>
      </c>
      <c r="I4" s="23">
        <f t="shared" si="5"/>
        <v>445681.21428571426</v>
      </c>
      <c r="J4" s="23">
        <f t="shared" ca="1" si="2"/>
        <v>0</v>
      </c>
      <c r="K4" s="23">
        <f t="shared" ca="1" si="3"/>
        <v>500000</v>
      </c>
      <c r="L4" s="23">
        <f>IFERROR(
  SUMIF(
    'Hot Bill HN'!$D:$D,
    $B4,
    'Hot Bill HN'!$G:$G
  ),
0)</f>
        <v>900000</v>
      </c>
      <c r="M4" s="49">
        <f t="shared" ca="1" si="4"/>
        <v>1400000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</row>
    <row r="5" spans="1:33" ht="13.8">
      <c r="A5" s="20" t="s">
        <v>23</v>
      </c>
      <c r="B5" s="21" t="s">
        <v>62</v>
      </c>
      <c r="C5" s="22" t="s">
        <v>58</v>
      </c>
      <c r="D5" s="23">
        <f t="shared" si="0"/>
        <v>2185630.4285714286</v>
      </c>
      <c r="E5" s="24">
        <v>6598538</v>
      </c>
      <c r="F5" s="24">
        <v>43607386</v>
      </c>
      <c r="G5" s="24">
        <v>10991728</v>
      </c>
      <c r="H5" s="23">
        <f t="shared" ref="H5:I5" si="6">F5/DAY($A$1)</f>
        <v>1557406.642857143</v>
      </c>
      <c r="I5" s="23">
        <f t="shared" si="6"/>
        <v>392561.71428571426</v>
      </c>
      <c r="J5" s="23">
        <f t="shared" ca="1" si="2"/>
        <v>0</v>
      </c>
      <c r="K5" s="23">
        <f t="shared" ca="1" si="3"/>
        <v>500000</v>
      </c>
      <c r="L5" s="23">
        <f>IFERROR(
  SUMIF(
    'Hot Bill HN'!$D:$D,
    $B5,
    'Hot Bill HN'!$G:$G
  ),
0)</f>
        <v>100000</v>
      </c>
      <c r="M5" s="49">
        <f t="shared" ca="1" si="4"/>
        <v>600000</v>
      </c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</row>
    <row r="6" spans="1:33" ht="13.8">
      <c r="A6" s="20" t="s">
        <v>23</v>
      </c>
      <c r="B6" s="21" t="s">
        <v>82</v>
      </c>
      <c r="C6" s="22" t="s">
        <v>58</v>
      </c>
      <c r="D6" s="23">
        <f t="shared" si="0"/>
        <v>3697575.0714285714</v>
      </c>
      <c r="E6" s="24">
        <v>10788615</v>
      </c>
      <c r="F6" s="24">
        <v>83995244</v>
      </c>
      <c r="G6" s="24">
        <v>8748243</v>
      </c>
      <c r="H6" s="23">
        <f t="shared" ref="H6:I6" si="7">F6/DAY($A$1)</f>
        <v>2999830.1428571427</v>
      </c>
      <c r="I6" s="23">
        <f t="shared" si="7"/>
        <v>312437.25</v>
      </c>
      <c r="J6" s="23">
        <f t="shared" ca="1" si="2"/>
        <v>0</v>
      </c>
      <c r="K6" s="23">
        <f t="shared" ca="1" si="3"/>
        <v>500000</v>
      </c>
      <c r="L6" s="23">
        <f>IFERROR(
  SUMIF(
    'Hot Bill HN'!$D:$D,
    $B6,
    'Hot Bill HN'!$G:$G
  ),
0)</f>
        <v>350000</v>
      </c>
      <c r="M6" s="49">
        <f t="shared" ca="1" si="4"/>
        <v>850000</v>
      </c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</row>
    <row r="7" spans="1:33" ht="13.8">
      <c r="A7" s="20" t="s">
        <v>83</v>
      </c>
      <c r="B7" s="21" t="s">
        <v>84</v>
      </c>
      <c r="C7" s="22" t="s">
        <v>26</v>
      </c>
      <c r="D7" s="23">
        <f t="shared" si="0"/>
        <v>268285.64285714284</v>
      </c>
      <c r="E7" s="24">
        <v>650940</v>
      </c>
      <c r="F7" s="24">
        <v>5906044</v>
      </c>
      <c r="G7" s="24">
        <v>955014</v>
      </c>
      <c r="H7" s="23">
        <f t="shared" ref="H7:I7" si="8">F7/DAY($A$1)</f>
        <v>210930.14285714287</v>
      </c>
      <c r="I7" s="23">
        <f t="shared" si="8"/>
        <v>34107.642857142855</v>
      </c>
      <c r="J7" s="23">
        <f t="shared" ca="1" si="2"/>
        <v>0</v>
      </c>
      <c r="K7" s="23">
        <f t="shared" ca="1" si="3"/>
        <v>0</v>
      </c>
      <c r="L7" s="23">
        <f>IFERROR(
  SUMIF(
    'Hot Bill HN'!$D:$D,
    $B7,
    'Hot Bill HN'!$G:$G
  ),
0)</f>
        <v>0</v>
      </c>
      <c r="M7" s="49">
        <f t="shared" ca="1" si="4"/>
        <v>0</v>
      </c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</row>
    <row r="8" spans="1:33" ht="13.8">
      <c r="A8" s="20" t="s">
        <v>83</v>
      </c>
      <c r="B8" s="21" t="s">
        <v>87</v>
      </c>
      <c r="C8" s="22" t="s">
        <v>58</v>
      </c>
      <c r="D8" s="23">
        <f t="shared" si="0"/>
        <v>3421011.9642857141</v>
      </c>
      <c r="E8" s="24">
        <v>8718828</v>
      </c>
      <c r="F8" s="24">
        <v>72176897</v>
      </c>
      <c r="G8" s="24">
        <v>14892610</v>
      </c>
      <c r="H8" s="23">
        <f t="shared" ref="H8:I8" si="9">F8/DAY($A$1)</f>
        <v>2577746.3214285714</v>
      </c>
      <c r="I8" s="23">
        <f t="shared" si="9"/>
        <v>531878.92857142852</v>
      </c>
      <c r="J8" s="23">
        <f t="shared" ca="1" si="2"/>
        <v>0</v>
      </c>
      <c r="K8" s="23">
        <f t="shared" ca="1" si="3"/>
        <v>500000</v>
      </c>
      <c r="L8" s="23">
        <f>IFERROR(
  SUMIF(
    'Hot Bill HN'!$D:$D,
    $B8,
    'Hot Bill HN'!$G:$G
  ),
0)</f>
        <v>50000</v>
      </c>
      <c r="M8" s="49">
        <f t="shared" ca="1" si="4"/>
        <v>550000</v>
      </c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</row>
    <row r="9" spans="1:33" ht="13.8">
      <c r="A9" s="20" t="s">
        <v>83</v>
      </c>
      <c r="B9" s="21" t="s">
        <v>89</v>
      </c>
      <c r="C9" s="22" t="s">
        <v>58</v>
      </c>
      <c r="D9" s="23">
        <f t="shared" si="0"/>
        <v>2881220.8214285714</v>
      </c>
      <c r="E9" s="24">
        <v>6592417</v>
      </c>
      <c r="F9" s="24">
        <v>61826930</v>
      </c>
      <c r="G9" s="24">
        <v>12254836</v>
      </c>
      <c r="H9" s="23">
        <f t="shared" ref="H9:I9" si="10">F9/DAY($A$1)</f>
        <v>2208104.6428571427</v>
      </c>
      <c r="I9" s="23">
        <f t="shared" si="10"/>
        <v>437672.71428571426</v>
      </c>
      <c r="J9" s="23">
        <f t="shared" ca="1" si="2"/>
        <v>0</v>
      </c>
      <c r="K9" s="23">
        <f t="shared" ca="1" si="3"/>
        <v>500000</v>
      </c>
      <c r="L9" s="23">
        <f>IFERROR(
  SUMIF(
    'Hot Bill HN'!$D:$D,
    $B9,
    'Hot Bill HN'!$G:$G
  ),
0)</f>
        <v>100000</v>
      </c>
      <c r="M9" s="49">
        <f t="shared" ca="1" si="4"/>
        <v>600000</v>
      </c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3" ht="13.8">
      <c r="A10" s="20" t="s">
        <v>83</v>
      </c>
      <c r="B10" s="21" t="s">
        <v>93</v>
      </c>
      <c r="C10" s="22" t="s">
        <v>58</v>
      </c>
      <c r="D10" s="23">
        <f t="shared" si="0"/>
        <v>3368580.6785714286</v>
      </c>
      <c r="E10" s="24">
        <v>6524765</v>
      </c>
      <c r="F10" s="24">
        <v>71737328</v>
      </c>
      <c r="G10" s="24">
        <v>16058166</v>
      </c>
      <c r="H10" s="23">
        <f t="shared" ref="H10:I10" si="11">F10/DAY($A$1)</f>
        <v>2562047.4285714286</v>
      </c>
      <c r="I10" s="23">
        <f t="shared" si="11"/>
        <v>573505.92857142852</v>
      </c>
      <c r="J10" s="23">
        <f t="shared" ca="1" si="2"/>
        <v>0</v>
      </c>
      <c r="K10" s="23">
        <f t="shared" ca="1" si="3"/>
        <v>500000</v>
      </c>
      <c r="L10" s="23">
        <f>IFERROR(
  SUMIF(
    'Hot Bill HN'!$D:$D,
    $B10,
    'Hot Bill HN'!$G:$G
  ),
0)</f>
        <v>200000</v>
      </c>
      <c r="M10" s="49">
        <f t="shared" ca="1" si="4"/>
        <v>700000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</row>
    <row r="11" spans="1:33" ht="13.8">
      <c r="A11" s="20" t="s">
        <v>83</v>
      </c>
      <c r="B11" s="21" t="s">
        <v>96</v>
      </c>
      <c r="C11" s="22" t="s">
        <v>58</v>
      </c>
      <c r="D11" s="23">
        <f t="shared" si="0"/>
        <v>763078.42857142852</v>
      </c>
      <c r="E11" s="24">
        <v>2545134</v>
      </c>
      <c r="F11" s="24">
        <v>15345707</v>
      </c>
      <c r="G11" s="24">
        <v>3475355</v>
      </c>
      <c r="H11" s="23">
        <f t="shared" ref="H11:I11" si="12">F11/DAY($A$1)</f>
        <v>548060.96428571432</v>
      </c>
      <c r="I11" s="23">
        <f t="shared" si="12"/>
        <v>124119.82142857143</v>
      </c>
      <c r="J11" s="23">
        <f t="shared" ca="1" si="2"/>
        <v>0</v>
      </c>
      <c r="K11" s="23">
        <f t="shared" ca="1" si="3"/>
        <v>0</v>
      </c>
      <c r="L11" s="23">
        <f>IFERROR(
  SUMIF(
    'Hot Bill HN'!$D:$D,
    $B11,
    'Hot Bill HN'!$G:$G
  ),
0)</f>
        <v>0</v>
      </c>
      <c r="M11" s="49">
        <f t="shared" ca="1" si="4"/>
        <v>0</v>
      </c>
      <c r="N11" s="50"/>
      <c r="O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</row>
    <row r="12" spans="1:33" ht="13.8">
      <c r="A12" s="66" t="s">
        <v>12</v>
      </c>
      <c r="B12" s="67" t="s">
        <v>29</v>
      </c>
      <c r="C12" s="22" t="s">
        <v>26</v>
      </c>
      <c r="D12" s="23">
        <f t="shared" si="0"/>
        <v>820280.39285714284</v>
      </c>
      <c r="E12" s="24">
        <v>978966</v>
      </c>
      <c r="F12" s="24">
        <v>12877735</v>
      </c>
      <c r="G12" s="24">
        <v>9111150</v>
      </c>
      <c r="H12" s="23">
        <f t="shared" ref="H12:I12" si="13">F12/DAY($A$1)</f>
        <v>459919.10714285716</v>
      </c>
      <c r="I12" s="23">
        <f t="shared" si="13"/>
        <v>325398.21428571426</v>
      </c>
      <c r="J12" s="23">
        <f t="shared" ca="1" si="2"/>
        <v>0</v>
      </c>
      <c r="K12" s="23">
        <f t="shared" ca="1" si="3"/>
        <v>0</v>
      </c>
      <c r="L12" s="23">
        <f>IFERROR(
  SUMIF(
    'Hot Bill HN'!$D:$D,
    $B12,
    'Hot Bill HN'!$G:$G
  ),
0)</f>
        <v>0</v>
      </c>
      <c r="M12" s="49">
        <f t="shared" ca="1" si="4"/>
        <v>0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</row>
    <row r="13" spans="1:33" ht="13.8">
      <c r="A13" s="66" t="s">
        <v>12</v>
      </c>
      <c r="B13" s="67" t="s">
        <v>31</v>
      </c>
      <c r="C13" s="22" t="s">
        <v>58</v>
      </c>
      <c r="D13" s="23">
        <f t="shared" si="0"/>
        <v>835680.64285714284</v>
      </c>
      <c r="E13" s="24">
        <v>519000</v>
      </c>
      <c r="F13" s="24">
        <v>14316640</v>
      </c>
      <c r="G13" s="24">
        <v>8563418</v>
      </c>
      <c r="H13" s="23">
        <f t="shared" ref="H13:I13" si="14">F13/DAY($A$1)</f>
        <v>511308.57142857142</v>
      </c>
      <c r="I13" s="23">
        <f t="shared" si="14"/>
        <v>305836.35714285716</v>
      </c>
      <c r="J13" s="23">
        <f t="shared" ca="1" si="2"/>
        <v>0</v>
      </c>
      <c r="K13" s="23">
        <f t="shared" ca="1" si="3"/>
        <v>0</v>
      </c>
      <c r="L13" s="23">
        <f>IFERROR(
  SUMIF(
    'Hot Bill HN'!$D:$D,
    $B13,
    'Hot Bill HN'!$G:$G
  ),
0)</f>
        <v>0</v>
      </c>
      <c r="M13" s="49">
        <f t="shared" ca="1" si="4"/>
        <v>0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</row>
    <row r="14" spans="1:33" ht="13.8">
      <c r="A14" s="66" t="s">
        <v>12</v>
      </c>
      <c r="B14" s="67" t="s">
        <v>28</v>
      </c>
      <c r="C14" s="22" t="s">
        <v>58</v>
      </c>
      <c r="D14" s="23">
        <f t="shared" si="0"/>
        <v>323234.28571428574</v>
      </c>
      <c r="E14" s="24">
        <v>268631</v>
      </c>
      <c r="F14" s="24">
        <v>6024318</v>
      </c>
      <c r="G14" s="24">
        <v>2757611</v>
      </c>
      <c r="H14" s="23">
        <f t="shared" ref="H14:I14" si="15">F14/DAY($A$1)</f>
        <v>215154.21428571429</v>
      </c>
      <c r="I14" s="23">
        <f t="shared" si="15"/>
        <v>98486.107142857145</v>
      </c>
      <c r="J14" s="23">
        <f t="shared" ca="1" si="2"/>
        <v>0</v>
      </c>
      <c r="K14" s="23">
        <f t="shared" ca="1" si="3"/>
        <v>0</v>
      </c>
      <c r="L14" s="23">
        <f>IFERROR(
  SUMIF(
    'Hot Bill HN'!$D:$D,
    $B14,
    'Hot Bill HN'!$G:$G
  ),
0)</f>
        <v>0</v>
      </c>
      <c r="M14" s="49">
        <f t="shared" ca="1" si="4"/>
        <v>0</v>
      </c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</row>
    <row r="15" spans="1:33" ht="13.8">
      <c r="A15" s="66" t="s">
        <v>12</v>
      </c>
      <c r="B15" s="67" t="s">
        <v>39</v>
      </c>
      <c r="C15" s="22" t="s">
        <v>58</v>
      </c>
      <c r="D15" s="23">
        <f t="shared" si="0"/>
        <v>2011880.8214285714</v>
      </c>
      <c r="E15" s="24">
        <v>4269089</v>
      </c>
      <c r="F15" s="24">
        <v>35681804</v>
      </c>
      <c r="G15" s="24">
        <v>16381770</v>
      </c>
      <c r="H15" s="23">
        <f t="shared" ref="H15:I15" si="16">F15/DAY($A$1)</f>
        <v>1274350.142857143</v>
      </c>
      <c r="I15" s="23">
        <f t="shared" si="16"/>
        <v>585063.21428571432</v>
      </c>
      <c r="J15" s="23">
        <f t="shared" ca="1" si="2"/>
        <v>0</v>
      </c>
      <c r="K15" s="23">
        <f t="shared" ca="1" si="3"/>
        <v>500000</v>
      </c>
      <c r="L15" s="23">
        <f>IFERROR(
  SUMIF(
    'Hot Bill HN'!$D:$D,
    $B15,
    'Hot Bill HN'!$G:$G
  ),
0)</f>
        <v>0</v>
      </c>
      <c r="M15" s="49">
        <f t="shared" ca="1" si="4"/>
        <v>500000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</row>
    <row r="16" spans="1:33" ht="13.8">
      <c r="A16" s="66" t="s">
        <v>12</v>
      </c>
      <c r="B16" s="67" t="s">
        <v>27</v>
      </c>
      <c r="C16" s="22" t="s">
        <v>58</v>
      </c>
      <c r="D16" s="23">
        <f t="shared" si="0"/>
        <v>659609.32142857148</v>
      </c>
      <c r="E16" s="24">
        <v>126880</v>
      </c>
      <c r="F16" s="24">
        <v>11498976</v>
      </c>
      <c r="G16" s="24">
        <v>6843205</v>
      </c>
      <c r="H16" s="23">
        <f t="shared" ref="H16:I16" si="17">F16/DAY($A$1)</f>
        <v>410677.71428571426</v>
      </c>
      <c r="I16" s="23">
        <f t="shared" si="17"/>
        <v>244400.17857142858</v>
      </c>
      <c r="J16" s="23">
        <f t="shared" ca="1" si="2"/>
        <v>0</v>
      </c>
      <c r="K16" s="23">
        <f t="shared" ca="1" si="3"/>
        <v>0</v>
      </c>
      <c r="L16" s="23">
        <f>IFERROR(
  SUMIF(
    'Hot Bill HN'!$D:$D,
    $B16,
    'Hot Bill HN'!$G:$G
  ),
0)</f>
        <v>0</v>
      </c>
      <c r="M16" s="49">
        <f t="shared" ca="1" si="4"/>
        <v>0</v>
      </c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 ht="13.8">
      <c r="A17" s="66" t="s">
        <v>12</v>
      </c>
      <c r="B17" s="67" t="s">
        <v>48</v>
      </c>
      <c r="C17" s="22" t="s">
        <v>26</v>
      </c>
      <c r="D17" s="23">
        <f t="shared" si="0"/>
        <v>1875086.3214285714</v>
      </c>
      <c r="E17" s="24">
        <v>1339829</v>
      </c>
      <c r="F17" s="24">
        <v>32593394</v>
      </c>
      <c r="G17" s="24">
        <v>18569194</v>
      </c>
      <c r="H17" s="23">
        <f t="shared" ref="H17:I17" si="18">F17/DAY($A$1)</f>
        <v>1164049.7857142857</v>
      </c>
      <c r="I17" s="23">
        <f t="shared" si="18"/>
        <v>663185.5</v>
      </c>
      <c r="J17" s="23">
        <f t="shared" ca="1" si="2"/>
        <v>0</v>
      </c>
      <c r="K17" s="23">
        <f t="shared" ca="1" si="3"/>
        <v>500000</v>
      </c>
      <c r="L17" s="23">
        <f>IFERROR(
  SUMIF(
    'Hot Bill HN'!$D:$D,
    $B17,
    'Hot Bill HN'!$G:$G
  ),
0)</f>
        <v>0</v>
      </c>
      <c r="M17" s="49">
        <f t="shared" ca="1" si="4"/>
        <v>500000</v>
      </c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</row>
    <row r="18" spans="1:33" ht="13.8">
      <c r="A18" s="66" t="s">
        <v>70</v>
      </c>
      <c r="B18" s="67" t="s">
        <v>80</v>
      </c>
      <c r="C18" s="22" t="s">
        <v>58</v>
      </c>
      <c r="D18" s="23">
        <f t="shared" si="0"/>
        <v>406134.07142857142</v>
      </c>
      <c r="E18" s="24">
        <v>2501745</v>
      </c>
      <c r="F18" s="24">
        <v>7689294</v>
      </c>
      <c r="G18" s="24">
        <v>1180715</v>
      </c>
      <c r="H18" s="23">
        <f t="shared" ref="H18:I18" si="19">F18/DAY($A$1)</f>
        <v>274617.64285714284</v>
      </c>
      <c r="I18" s="23">
        <f t="shared" si="19"/>
        <v>42168.392857142855</v>
      </c>
      <c r="J18" s="23">
        <f t="shared" ca="1" si="2"/>
        <v>0</v>
      </c>
      <c r="K18" s="23">
        <f t="shared" ca="1" si="3"/>
        <v>0</v>
      </c>
      <c r="L18" s="23">
        <f>IFERROR(
  SUMIF(
    'Hot Bill HN'!$D:$D,
    $B18,
    'Hot Bill HN'!$G:$G
  ),
0)</f>
        <v>0</v>
      </c>
      <c r="M18" s="49">
        <f t="shared" ca="1" si="4"/>
        <v>0</v>
      </c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</row>
    <row r="19" spans="1:33" ht="13.8">
      <c r="A19" s="66" t="s">
        <v>70</v>
      </c>
      <c r="B19" s="67" t="s">
        <v>81</v>
      </c>
      <c r="C19" s="22" t="s">
        <v>58</v>
      </c>
      <c r="D19" s="23">
        <f t="shared" si="0"/>
        <v>708572.78571428568</v>
      </c>
      <c r="E19" s="24">
        <v>6497762</v>
      </c>
      <c r="F19" s="24">
        <v>10517915</v>
      </c>
      <c r="G19" s="24">
        <v>2824361</v>
      </c>
      <c r="H19" s="23">
        <f t="shared" ref="H19:I19" si="20">F19/DAY($A$1)</f>
        <v>375639.82142857142</v>
      </c>
      <c r="I19" s="23">
        <f t="shared" si="20"/>
        <v>100870.03571428571</v>
      </c>
      <c r="J19" s="23">
        <f t="shared" ca="1" si="2"/>
        <v>0</v>
      </c>
      <c r="K19" s="23">
        <f t="shared" ca="1" si="3"/>
        <v>0</v>
      </c>
      <c r="L19" s="23">
        <f>IFERROR(
  SUMIF(
    'Hot Bill HN'!$D:$D,
    $B19,
    'Hot Bill HN'!$G:$G
  ),
0)</f>
        <v>0</v>
      </c>
      <c r="M19" s="49">
        <f t="shared" ca="1" si="4"/>
        <v>0</v>
      </c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</row>
    <row r="20" spans="1:33" ht="13.8">
      <c r="A20" s="66" t="s">
        <v>70</v>
      </c>
      <c r="B20" s="67" t="s">
        <v>79</v>
      </c>
      <c r="C20" s="22" t="s">
        <v>58</v>
      </c>
      <c r="D20" s="23">
        <f t="shared" si="0"/>
        <v>355213.64285714284</v>
      </c>
      <c r="E20" s="24">
        <v>2782000</v>
      </c>
      <c r="F20" s="24">
        <v>4853918</v>
      </c>
      <c r="G20" s="24">
        <v>2310064</v>
      </c>
      <c r="H20" s="23">
        <f t="shared" ref="H20:I20" si="21">F20/DAY($A$1)</f>
        <v>173354.21428571429</v>
      </c>
      <c r="I20" s="23">
        <f t="shared" si="21"/>
        <v>82502.28571428571</v>
      </c>
      <c r="J20" s="23">
        <f t="shared" ca="1" si="2"/>
        <v>0</v>
      </c>
      <c r="K20" s="23">
        <f t="shared" ca="1" si="3"/>
        <v>0</v>
      </c>
      <c r="L20" s="23">
        <f>IFERROR(
  SUMIF(
    'Hot Bill HN'!$D:$D,
    $B20,
    'Hot Bill HN'!$G:$G
  ),
0)</f>
        <v>0</v>
      </c>
      <c r="M20" s="49">
        <f t="shared" ca="1" si="4"/>
        <v>0</v>
      </c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 spans="1:33" ht="13.8">
      <c r="A21" s="66" t="s">
        <v>70</v>
      </c>
      <c r="B21" s="67" t="s">
        <v>76</v>
      </c>
      <c r="C21" s="22" t="s">
        <v>58</v>
      </c>
      <c r="D21" s="23">
        <f t="shared" si="0"/>
        <v>902543.82142857148</v>
      </c>
      <c r="E21" s="24">
        <v>3179444</v>
      </c>
      <c r="F21" s="24">
        <v>15879564</v>
      </c>
      <c r="G21" s="24">
        <v>6212219</v>
      </c>
      <c r="H21" s="23">
        <f t="shared" ref="H21:I21" si="22">F21/DAY($A$1)</f>
        <v>567127.28571428568</v>
      </c>
      <c r="I21" s="23">
        <f t="shared" si="22"/>
        <v>221864.96428571429</v>
      </c>
      <c r="J21" s="23">
        <f t="shared" ca="1" si="2"/>
        <v>0</v>
      </c>
      <c r="K21" s="23">
        <f t="shared" ca="1" si="3"/>
        <v>0</v>
      </c>
      <c r="L21" s="23">
        <f>IFERROR(
  SUMIF(
    'Hot Bill HN'!$D:$D,
    $B21,
    'Hot Bill HN'!$G:$G
  ),
0)</f>
        <v>0</v>
      </c>
      <c r="M21" s="49">
        <f t="shared" ca="1" si="4"/>
        <v>0</v>
      </c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</row>
    <row r="22" spans="1:33" ht="13.8">
      <c r="A22" s="66" t="s">
        <v>70</v>
      </c>
      <c r="B22" s="67" t="s">
        <v>77</v>
      </c>
      <c r="C22" s="22" t="s">
        <v>26</v>
      </c>
      <c r="D22" s="23">
        <f t="shared" si="0"/>
        <v>681237.82142857148</v>
      </c>
      <c r="E22" s="24">
        <v>4339950</v>
      </c>
      <c r="F22" s="24">
        <v>10944107</v>
      </c>
      <c r="G22" s="24">
        <v>3790602</v>
      </c>
      <c r="H22" s="23">
        <f t="shared" ref="H22:I22" si="23">F22/DAY($A$1)</f>
        <v>390860.96428571426</v>
      </c>
      <c r="I22" s="23">
        <f t="shared" si="23"/>
        <v>135378.64285714287</v>
      </c>
      <c r="J22" s="23">
        <f t="shared" ca="1" si="2"/>
        <v>0</v>
      </c>
      <c r="K22" s="23">
        <f t="shared" ca="1" si="3"/>
        <v>0</v>
      </c>
      <c r="L22" s="23">
        <f>IFERROR(
  SUMIF(
    'Hot Bill HN'!$D:$D,
    $B22,
    'Hot Bill HN'!$G:$G
  ),
0)</f>
        <v>0</v>
      </c>
      <c r="M22" s="49">
        <f t="shared" ca="1" si="4"/>
        <v>0</v>
      </c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</row>
    <row r="23" spans="1:33" ht="13.8">
      <c r="A23" s="66" t="s">
        <v>91</v>
      </c>
      <c r="B23" s="67" t="s">
        <v>97</v>
      </c>
      <c r="C23" s="22" t="s">
        <v>58</v>
      </c>
      <c r="D23" s="23">
        <f t="shared" si="0"/>
        <v>801972.85714285716</v>
      </c>
      <c r="E23" s="24">
        <v>499059</v>
      </c>
      <c r="F23" s="24">
        <v>16025660</v>
      </c>
      <c r="G23" s="24">
        <v>5930521</v>
      </c>
      <c r="H23" s="23">
        <f t="shared" ref="H23:I23" si="24">F23/DAY($A$1)</f>
        <v>572345</v>
      </c>
      <c r="I23" s="23">
        <f t="shared" si="24"/>
        <v>211804.32142857142</v>
      </c>
      <c r="J23" s="23">
        <f t="shared" ca="1" si="2"/>
        <v>0</v>
      </c>
      <c r="K23" s="23">
        <f t="shared" ca="1" si="3"/>
        <v>0</v>
      </c>
      <c r="L23" s="23">
        <f>IFERROR(
  SUMIF(
    'Hot Bill HN'!$D:$D,
    $B23,
    'Hot Bill HN'!$G:$G
  ),
0)</f>
        <v>0</v>
      </c>
      <c r="M23" s="49">
        <f t="shared" ca="1" si="4"/>
        <v>0</v>
      </c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</row>
    <row r="24" spans="1:33" ht="13.8">
      <c r="A24" s="66" t="s">
        <v>91</v>
      </c>
      <c r="B24" s="67" t="s">
        <v>92</v>
      </c>
      <c r="C24" s="22" t="s">
        <v>58</v>
      </c>
      <c r="D24" s="23">
        <f t="shared" si="0"/>
        <v>1069447.392857143</v>
      </c>
      <c r="E24" s="24">
        <v>862815</v>
      </c>
      <c r="F24" s="24">
        <v>17905976</v>
      </c>
      <c r="G24" s="24">
        <v>11175736</v>
      </c>
      <c r="H24" s="23">
        <f t="shared" ref="H24:I24" si="25">F24/DAY($A$1)</f>
        <v>639499.14285714284</v>
      </c>
      <c r="I24" s="23">
        <f t="shared" si="25"/>
        <v>399133.42857142858</v>
      </c>
      <c r="J24" s="23">
        <f t="shared" ca="1" si="2"/>
        <v>0</v>
      </c>
      <c r="K24" s="23">
        <f t="shared" ca="1" si="3"/>
        <v>500000</v>
      </c>
      <c r="L24" s="23">
        <f>IFERROR(
  SUMIF(
    'Hot Bill HN'!$D:$D,
    $B24,
    'Hot Bill HN'!$G:$G
  ),
0)</f>
        <v>0</v>
      </c>
      <c r="M24" s="49">
        <f t="shared" ca="1" si="4"/>
        <v>500000</v>
      </c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</row>
    <row r="25" spans="1:33" ht="13.8">
      <c r="A25" s="66" t="s">
        <v>91</v>
      </c>
      <c r="B25" s="67" t="s">
        <v>95</v>
      </c>
      <c r="C25" s="22" t="s">
        <v>116</v>
      </c>
      <c r="D25" s="23">
        <f t="shared" si="0"/>
        <v>2287962.4285714286</v>
      </c>
      <c r="E25" s="24">
        <v>4303516</v>
      </c>
      <c r="F25" s="24">
        <v>39572780</v>
      </c>
      <c r="G25" s="24">
        <v>20186652</v>
      </c>
      <c r="H25" s="23">
        <f t="shared" ref="H25:I25" si="26">F25/DAY($A$1)</f>
        <v>1413313.5714285714</v>
      </c>
      <c r="I25" s="23">
        <f t="shared" si="26"/>
        <v>720951.85714285716</v>
      </c>
      <c r="J25" s="23">
        <f t="shared" ca="1" si="2"/>
        <v>0</v>
      </c>
      <c r="K25" s="23">
        <f t="shared" ca="1" si="3"/>
        <v>500000</v>
      </c>
      <c r="L25" s="23">
        <f>IFERROR(
  SUMIF(
    'Hot Bill HN'!$D:$D,
    $B25,
    'Hot Bill HN'!$G:$G
  ),
0)</f>
        <v>0</v>
      </c>
      <c r="M25" s="49">
        <f t="shared" ca="1" si="4"/>
        <v>500000</v>
      </c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</row>
    <row r="26" spans="1:33" ht="13.8">
      <c r="A26" s="66" t="s">
        <v>91</v>
      </c>
      <c r="B26" s="67" t="s">
        <v>94</v>
      </c>
      <c r="C26" s="22" t="s">
        <v>116</v>
      </c>
      <c r="D26" s="23">
        <f t="shared" si="0"/>
        <v>115239.75</v>
      </c>
      <c r="E26" s="24">
        <v>65500</v>
      </c>
      <c r="F26" s="24">
        <v>1960600</v>
      </c>
      <c r="G26" s="24">
        <v>1200613</v>
      </c>
      <c r="H26" s="23">
        <f t="shared" ref="H26:I26" si="27">F26/DAY($A$1)</f>
        <v>70021.428571428565</v>
      </c>
      <c r="I26" s="23">
        <f t="shared" si="27"/>
        <v>42879.035714285717</v>
      </c>
      <c r="J26" s="23">
        <f t="shared" ca="1" si="2"/>
        <v>0</v>
      </c>
      <c r="K26" s="23">
        <f t="shared" ca="1" si="3"/>
        <v>0</v>
      </c>
      <c r="L26" s="23">
        <f>IFERROR(
  SUMIF(
    'Hot Bill HN'!$D:$D,
    $B26,
    'Hot Bill HN'!$G:$G
  ),
0)</f>
        <v>0</v>
      </c>
      <c r="M26" s="49">
        <f t="shared" ca="1" si="4"/>
        <v>0</v>
      </c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</row>
    <row r="27" spans="1:33" ht="13.8">
      <c r="A27" s="66" t="s">
        <v>98</v>
      </c>
      <c r="B27" s="67" t="s">
        <v>104</v>
      </c>
      <c r="C27" s="22" t="s">
        <v>116</v>
      </c>
      <c r="D27" s="23">
        <f t="shared" si="0"/>
        <v>1382847.892857143</v>
      </c>
      <c r="E27" s="24">
        <v>1955467</v>
      </c>
      <c r="F27" s="24">
        <v>23811629</v>
      </c>
      <c r="G27" s="24">
        <v>12952645</v>
      </c>
      <c r="H27" s="23">
        <f t="shared" ref="H27:I27" si="28">F27/DAY($A$1)</f>
        <v>850415.32142857148</v>
      </c>
      <c r="I27" s="23">
        <f t="shared" si="28"/>
        <v>462594.46428571426</v>
      </c>
      <c r="J27" s="23">
        <f t="shared" ca="1" si="2"/>
        <v>0</v>
      </c>
      <c r="K27" s="23">
        <f t="shared" ca="1" si="3"/>
        <v>500000</v>
      </c>
      <c r="L27" s="23">
        <f>IFERROR(
  SUMIF(
    'Hot Bill HN'!$D:$D,
    $B27,
    'Hot Bill HN'!$G:$G
  ),
0)</f>
        <v>0</v>
      </c>
      <c r="M27" s="49">
        <f t="shared" ca="1" si="4"/>
        <v>500000</v>
      </c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</row>
    <row r="28" spans="1:33" ht="13.8">
      <c r="A28" s="66" t="s">
        <v>98</v>
      </c>
      <c r="B28" s="67" t="s">
        <v>90</v>
      </c>
      <c r="C28" s="22" t="s">
        <v>58</v>
      </c>
      <c r="D28" s="23">
        <f t="shared" si="0"/>
        <v>334543</v>
      </c>
      <c r="E28" s="24">
        <v>183881</v>
      </c>
      <c r="F28" s="24">
        <v>5766941</v>
      </c>
      <c r="G28" s="24">
        <v>3416382</v>
      </c>
      <c r="H28" s="23">
        <f t="shared" ref="H28:I28" si="29">F28/DAY($A$1)</f>
        <v>205962.17857142858</v>
      </c>
      <c r="I28" s="23">
        <f t="shared" si="29"/>
        <v>122013.64285714286</v>
      </c>
      <c r="J28" s="23">
        <f t="shared" ca="1" si="2"/>
        <v>0</v>
      </c>
      <c r="K28" s="23">
        <f t="shared" ca="1" si="3"/>
        <v>0</v>
      </c>
      <c r="L28" s="23">
        <f>IFERROR(
  SUMIF(
    'Hot Bill HN'!$D:$D,
    $B28,
    'Hot Bill HN'!$G:$G
  ),
0)</f>
        <v>0</v>
      </c>
      <c r="M28" s="49">
        <f t="shared" ca="1" si="4"/>
        <v>0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</row>
    <row r="29" spans="1:33" ht="13.8">
      <c r="A29" s="66" t="s">
        <v>98</v>
      </c>
      <c r="B29" s="67" t="s">
        <v>100</v>
      </c>
      <c r="C29" s="22" t="s">
        <v>116</v>
      </c>
      <c r="D29" s="23">
        <f t="shared" si="0"/>
        <v>272429.64285714284</v>
      </c>
      <c r="E29" s="24">
        <v>86571</v>
      </c>
      <c r="F29" s="24">
        <v>4737831</v>
      </c>
      <c r="G29" s="24">
        <v>2803628</v>
      </c>
      <c r="H29" s="23">
        <f t="shared" ref="H29:I29" si="30">F29/DAY($A$1)</f>
        <v>169208.25</v>
      </c>
      <c r="I29" s="23">
        <f t="shared" si="30"/>
        <v>100129.57142857143</v>
      </c>
      <c r="J29" s="23">
        <f t="shared" ca="1" si="2"/>
        <v>0</v>
      </c>
      <c r="K29" s="23">
        <f t="shared" ca="1" si="3"/>
        <v>0</v>
      </c>
      <c r="L29" s="23">
        <f>IFERROR(
  SUMIF(
    'Hot Bill HN'!$D:$D,
    $B29,
    'Hot Bill HN'!$G:$G
  ),
0)</f>
        <v>0</v>
      </c>
      <c r="M29" s="49">
        <f t="shared" ca="1" si="4"/>
        <v>0</v>
      </c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</row>
    <row r="30" spans="1:33" ht="13.8">
      <c r="A30" s="66" t="s">
        <v>98</v>
      </c>
      <c r="B30" s="67" t="s">
        <v>101</v>
      </c>
      <c r="C30" s="22" t="s">
        <v>116</v>
      </c>
      <c r="D30" s="23">
        <f t="shared" si="0"/>
        <v>454234.64285714284</v>
      </c>
      <c r="E30" s="24">
        <v>18000</v>
      </c>
      <c r="F30" s="24">
        <v>1524834</v>
      </c>
      <c r="G30" s="24">
        <v>11175736</v>
      </c>
      <c r="H30" s="23">
        <f t="shared" ref="H30:I30" si="31">F30/DAY($A$1)</f>
        <v>54458.357142857145</v>
      </c>
      <c r="I30" s="23">
        <f t="shared" si="31"/>
        <v>399133.42857142858</v>
      </c>
      <c r="J30" s="23">
        <f t="shared" ca="1" si="2"/>
        <v>0</v>
      </c>
      <c r="K30" s="23">
        <f t="shared" ca="1" si="3"/>
        <v>0</v>
      </c>
      <c r="L30" s="23">
        <f>IFERROR(
  SUMIF(
    'Hot Bill HN'!$D:$D,
    $B30,
    'Hot Bill HN'!$G:$G
  ),
0)</f>
        <v>0</v>
      </c>
      <c r="M30" s="49">
        <f t="shared" ca="1" si="4"/>
        <v>0</v>
      </c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</row>
    <row r="31" spans="1:33" ht="13.8">
      <c r="A31" s="66" t="s">
        <v>98</v>
      </c>
      <c r="B31" s="67" t="s">
        <v>99</v>
      </c>
      <c r="C31" s="22" t="s">
        <v>26</v>
      </c>
      <c r="D31" s="23">
        <f t="shared" si="0"/>
        <v>430331.89285714284</v>
      </c>
      <c r="E31" s="24">
        <v>482000</v>
      </c>
      <c r="F31" s="24">
        <v>7495046</v>
      </c>
      <c r="G31" s="24">
        <v>4072247</v>
      </c>
      <c r="H31" s="23">
        <f t="shared" ref="H31:I31" si="32">F31/DAY($A$1)</f>
        <v>267680.21428571426</v>
      </c>
      <c r="I31" s="23">
        <f t="shared" si="32"/>
        <v>145437.39285714287</v>
      </c>
      <c r="J31" s="23">
        <f t="shared" ca="1" si="2"/>
        <v>0</v>
      </c>
      <c r="K31" s="23">
        <f t="shared" ca="1" si="3"/>
        <v>0</v>
      </c>
      <c r="L31" s="23">
        <f>IFERROR(
  SUMIF(
    'Hot Bill HN'!$D:$D,
    $B31,
    'Hot Bill HN'!$G:$G
  ),
0)</f>
        <v>0</v>
      </c>
      <c r="M31" s="49">
        <f t="shared" ca="1" si="4"/>
        <v>0</v>
      </c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</row>
    <row r="32" spans="1:33" ht="13.8">
      <c r="A32" s="66" t="s">
        <v>106</v>
      </c>
      <c r="B32" s="67" t="s">
        <v>108</v>
      </c>
      <c r="C32" s="22" t="s">
        <v>58</v>
      </c>
      <c r="D32" s="23">
        <f t="shared" si="0"/>
        <v>253045.14285714287</v>
      </c>
      <c r="E32" s="24">
        <v>418579</v>
      </c>
      <c r="F32" s="24">
        <v>3493985</v>
      </c>
      <c r="G32" s="24">
        <v>3172700</v>
      </c>
      <c r="H32" s="23">
        <f t="shared" ref="H32:I32" si="33">F32/DAY($A$1)</f>
        <v>124785.17857142857</v>
      </c>
      <c r="I32" s="23">
        <f t="shared" si="33"/>
        <v>113310.71428571429</v>
      </c>
      <c r="J32" s="23">
        <f t="shared" ca="1" si="2"/>
        <v>0</v>
      </c>
      <c r="K32" s="23">
        <f t="shared" ca="1" si="3"/>
        <v>0</v>
      </c>
      <c r="L32" s="23">
        <f>IFERROR(
  SUMIF(
    'Hot Bill HN'!$D:$D,
    $B32,
    'Hot Bill HN'!$G:$G
  ),
0)</f>
        <v>0</v>
      </c>
      <c r="M32" s="49">
        <f t="shared" ca="1" si="4"/>
        <v>0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</row>
    <row r="33" spans="1:33" ht="13.8">
      <c r="A33" s="66" t="s">
        <v>106</v>
      </c>
      <c r="B33" s="67" t="s">
        <v>107</v>
      </c>
      <c r="C33" s="22" t="s">
        <v>58</v>
      </c>
      <c r="D33" s="23">
        <f t="shared" si="0"/>
        <v>478506.78571428574</v>
      </c>
      <c r="E33" s="24">
        <v>727035</v>
      </c>
      <c r="F33" s="24">
        <v>5998724</v>
      </c>
      <c r="G33" s="24">
        <v>6672431</v>
      </c>
      <c r="H33" s="23">
        <f t="shared" ref="H33:I33" si="34">F33/DAY($A$1)</f>
        <v>214240.14285714287</v>
      </c>
      <c r="I33" s="23">
        <f t="shared" si="34"/>
        <v>238301.10714285713</v>
      </c>
      <c r="J33" s="23">
        <f t="shared" ca="1" si="2"/>
        <v>0</v>
      </c>
      <c r="K33" s="23">
        <f t="shared" ca="1" si="3"/>
        <v>0</v>
      </c>
      <c r="L33" s="23">
        <f>IFERROR(
  SUMIF(
    'Hot Bill HN'!$D:$D,
    $B33,
    'Hot Bill HN'!$G:$G
  ),
0)</f>
        <v>0</v>
      </c>
      <c r="M33" s="49">
        <f t="shared" ca="1" si="4"/>
        <v>0</v>
      </c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</row>
    <row r="34" spans="1:33" ht="13.8">
      <c r="A34" s="66" t="s">
        <v>106</v>
      </c>
      <c r="B34" s="67" t="s">
        <v>110</v>
      </c>
      <c r="C34" s="22" t="s">
        <v>116</v>
      </c>
      <c r="D34" s="23">
        <f t="shared" si="0"/>
        <v>798616.14285714284</v>
      </c>
      <c r="E34" s="24">
        <v>564500</v>
      </c>
      <c r="F34" s="24">
        <v>13665019</v>
      </c>
      <c r="G34" s="24">
        <v>8131733</v>
      </c>
      <c r="H34" s="23">
        <f t="shared" ref="H34:I34" si="35">F34/DAY($A$1)</f>
        <v>488036.39285714284</v>
      </c>
      <c r="I34" s="23">
        <f t="shared" si="35"/>
        <v>290419.03571428574</v>
      </c>
      <c r="J34" s="23">
        <f t="shared" ca="1" si="2"/>
        <v>0</v>
      </c>
      <c r="K34" s="23">
        <f t="shared" ca="1" si="3"/>
        <v>0</v>
      </c>
      <c r="L34" s="23">
        <f>IFERROR(
  SUMIF(
    'Hot Bill HN'!$D:$D,
    $B34,
    'Hot Bill HN'!$G:$G
  ),
0)</f>
        <v>0</v>
      </c>
      <c r="M34" s="49">
        <f t="shared" ca="1" si="4"/>
        <v>0</v>
      </c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</row>
    <row r="35" spans="1:33" ht="13.8">
      <c r="A35" s="66" t="s">
        <v>106</v>
      </c>
      <c r="B35" s="67" t="s">
        <v>111</v>
      </c>
      <c r="C35" s="22" t="s">
        <v>58</v>
      </c>
      <c r="D35" s="23">
        <f t="shared" si="0"/>
        <v>1047070.1428571428</v>
      </c>
      <c r="E35" s="24">
        <v>974434</v>
      </c>
      <c r="F35" s="24">
        <v>17190013</v>
      </c>
      <c r="G35" s="24">
        <v>11153517</v>
      </c>
      <c r="H35" s="23">
        <f t="shared" ref="H35:I35" si="36">F35/DAY($A$1)</f>
        <v>613929.03571428568</v>
      </c>
      <c r="I35" s="23">
        <f t="shared" si="36"/>
        <v>398339.89285714284</v>
      </c>
      <c r="J35" s="23">
        <f t="shared" ca="1" si="2"/>
        <v>0</v>
      </c>
      <c r="K35" s="23">
        <f t="shared" ca="1" si="3"/>
        <v>500000</v>
      </c>
      <c r="L35" s="23">
        <f>IFERROR(
  SUMIF(
    'Hot Bill HN'!$D:$D,
    $B35,
    'Hot Bill HN'!$G:$G
  ),
0)</f>
        <v>0</v>
      </c>
      <c r="M35" s="49">
        <f t="shared" ca="1" si="4"/>
        <v>500000</v>
      </c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</row>
    <row r="36" spans="1:33" ht="13.8">
      <c r="A36" s="66" t="s">
        <v>106</v>
      </c>
      <c r="B36" s="67" t="s">
        <v>125</v>
      </c>
      <c r="C36" s="22" t="s">
        <v>26</v>
      </c>
      <c r="D36" s="23" t="e">
        <f t="shared" si="0"/>
        <v>#N/A</v>
      </c>
      <c r="E36" s="24">
        <v>366995</v>
      </c>
      <c r="F36" s="24" t="e">
        <v>#N/A</v>
      </c>
      <c r="G36" s="24">
        <v>4473800</v>
      </c>
      <c r="H36" s="23" t="e">
        <f t="shared" ref="H36:I36" si="37">F36/DAY($A$1)</f>
        <v>#N/A</v>
      </c>
      <c r="I36" s="23">
        <f t="shared" si="37"/>
        <v>159778.57142857142</v>
      </c>
      <c r="J36" s="23">
        <f t="shared" ca="1" si="2"/>
        <v>0</v>
      </c>
      <c r="K36" s="23">
        <f t="shared" ca="1" si="3"/>
        <v>0</v>
      </c>
      <c r="L36" s="23">
        <f>IFERROR(
  SUMIF(
    'Hot Bill HN'!$D:$D,
    $B36,
    'Hot Bill HN'!$G:$G
  ),
0)</f>
        <v>0</v>
      </c>
      <c r="M36" s="49">
        <f t="shared" ca="1" si="4"/>
        <v>0</v>
      </c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</row>
    <row r="37" spans="1:33" ht="13.8">
      <c r="A37" s="66" t="s">
        <v>112</v>
      </c>
      <c r="B37" s="67" t="s">
        <v>119</v>
      </c>
      <c r="C37" s="22" t="s">
        <v>58</v>
      </c>
      <c r="D37" s="23">
        <f t="shared" si="0"/>
        <v>473695.10714285716</v>
      </c>
      <c r="E37" s="24">
        <v>5500</v>
      </c>
      <c r="F37" s="24">
        <v>6474677</v>
      </c>
      <c r="G37" s="24">
        <v>6783286</v>
      </c>
      <c r="H37" s="23">
        <f t="shared" ref="H37:I37" si="38">F37/DAY($A$1)</f>
        <v>231238.46428571429</v>
      </c>
      <c r="I37" s="23">
        <f t="shared" si="38"/>
        <v>242260.21428571429</v>
      </c>
      <c r="J37" s="23">
        <f t="shared" ca="1" si="2"/>
        <v>0</v>
      </c>
      <c r="K37" s="23">
        <f t="shared" ca="1" si="3"/>
        <v>0</v>
      </c>
      <c r="L37" s="23">
        <f>IFERROR(
  SUMIF(
    'Hot Bill HN'!$D:$D,
    $B37,
    'Hot Bill HN'!$G:$G
  ),
0)</f>
        <v>0</v>
      </c>
      <c r="M37" s="49">
        <f t="shared" ca="1" si="4"/>
        <v>0</v>
      </c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</row>
    <row r="38" spans="1:33" ht="13.8">
      <c r="A38" s="66" t="s">
        <v>112</v>
      </c>
      <c r="B38" s="67" t="s">
        <v>115</v>
      </c>
      <c r="C38" s="22" t="s">
        <v>58</v>
      </c>
      <c r="D38" s="23">
        <f t="shared" si="0"/>
        <v>830946.78571428568</v>
      </c>
      <c r="E38" s="24">
        <v>361935</v>
      </c>
      <c r="F38" s="24">
        <v>14505260</v>
      </c>
      <c r="G38" s="24">
        <v>8399315</v>
      </c>
      <c r="H38" s="23">
        <f t="shared" ref="H38:I38" si="39">F38/DAY($A$1)</f>
        <v>518045</v>
      </c>
      <c r="I38" s="23">
        <f t="shared" si="39"/>
        <v>299975.53571428574</v>
      </c>
      <c r="J38" s="23">
        <f t="shared" ca="1" si="2"/>
        <v>0</v>
      </c>
      <c r="K38" s="23">
        <f t="shared" ca="1" si="3"/>
        <v>0</v>
      </c>
      <c r="L38" s="23">
        <f>IFERROR(
  SUMIF(
    'Hot Bill HN'!$D:$D,
    $B38,
    'Hot Bill HN'!$G:$G
  ),
0)</f>
        <v>0</v>
      </c>
      <c r="M38" s="49">
        <f t="shared" ca="1" si="4"/>
        <v>0</v>
      </c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</row>
    <row r="39" spans="1:33" ht="13.8">
      <c r="A39" s="66" t="s">
        <v>112</v>
      </c>
      <c r="B39" s="67" t="s">
        <v>102</v>
      </c>
      <c r="C39" s="22" t="s">
        <v>58</v>
      </c>
      <c r="D39" s="23">
        <f t="shared" si="0"/>
        <v>307081.78571428574</v>
      </c>
      <c r="E39" s="24">
        <v>623279</v>
      </c>
      <c r="F39" s="24">
        <v>3155314</v>
      </c>
      <c r="G39" s="24">
        <v>4819697</v>
      </c>
      <c r="H39" s="23">
        <f t="shared" ref="H39:I39" si="40">F39/DAY($A$1)</f>
        <v>112689.78571428571</v>
      </c>
      <c r="I39" s="23">
        <f t="shared" si="40"/>
        <v>172132.03571428571</v>
      </c>
      <c r="J39" s="23">
        <f t="shared" ca="1" si="2"/>
        <v>0</v>
      </c>
      <c r="K39" s="23">
        <f t="shared" ca="1" si="3"/>
        <v>0</v>
      </c>
      <c r="L39" s="23">
        <f>IFERROR(
  SUMIF(
    'Hot Bill HN'!$D:$D,
    $B39,
    'Hot Bill HN'!$G:$G
  ),
0)</f>
        <v>0</v>
      </c>
      <c r="M39" s="49">
        <f t="shared" ca="1" si="4"/>
        <v>0</v>
      </c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</row>
    <row r="40" spans="1:33" ht="13.8">
      <c r="A40" s="66" t="s">
        <v>112</v>
      </c>
      <c r="B40" s="67" t="s">
        <v>113</v>
      </c>
      <c r="C40" s="22" t="s">
        <v>26</v>
      </c>
      <c r="D40" s="23">
        <f t="shared" si="0"/>
        <v>998594.17857142852</v>
      </c>
      <c r="E40" s="24">
        <v>518522</v>
      </c>
      <c r="F40" s="24">
        <v>14809237</v>
      </c>
      <c r="G40" s="24">
        <v>12632878</v>
      </c>
      <c r="H40" s="23">
        <f t="shared" ref="H40:I40" si="41">F40/DAY($A$1)</f>
        <v>528901.32142857148</v>
      </c>
      <c r="I40" s="23">
        <f t="shared" si="41"/>
        <v>451174.21428571426</v>
      </c>
      <c r="J40" s="23">
        <f t="shared" ca="1" si="2"/>
        <v>0</v>
      </c>
      <c r="K40" s="23">
        <f t="shared" ca="1" si="3"/>
        <v>500000</v>
      </c>
      <c r="L40" s="23">
        <f>IFERROR(
  SUMIF(
    'Hot Bill HN'!$D:$D,
    $B40,
    'Hot Bill HN'!$G:$G
  ),
0)</f>
        <v>0</v>
      </c>
      <c r="M40" s="49">
        <f t="shared" ca="1" si="4"/>
        <v>500000</v>
      </c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</row>
    <row r="41" spans="1:33" ht="13.8">
      <c r="A41" s="66" t="s">
        <v>118</v>
      </c>
      <c r="B41" s="67" t="s">
        <v>121</v>
      </c>
      <c r="C41" s="22" t="s">
        <v>58</v>
      </c>
      <c r="D41" s="23">
        <f t="shared" si="0"/>
        <v>976473.67857142852</v>
      </c>
      <c r="E41" s="24">
        <v>600454</v>
      </c>
      <c r="F41" s="24">
        <v>17810503</v>
      </c>
      <c r="G41" s="24">
        <v>8930306</v>
      </c>
      <c r="H41" s="23">
        <f t="shared" ref="H41:I41" si="42">F41/DAY($A$1)</f>
        <v>636089.39285714284</v>
      </c>
      <c r="I41" s="23">
        <f t="shared" si="42"/>
        <v>318939.5</v>
      </c>
      <c r="J41" s="23">
        <f t="shared" ca="1" si="2"/>
        <v>0</v>
      </c>
      <c r="K41" s="23">
        <f t="shared" ca="1" si="3"/>
        <v>500000</v>
      </c>
      <c r="L41" s="23">
        <f>IFERROR(
  SUMIF(
    'Hot Bill HN'!$D:$D,
    $B41,
    'Hot Bill HN'!$G:$G
  ),
0)</f>
        <v>0</v>
      </c>
      <c r="M41" s="49">
        <f t="shared" ca="1" si="4"/>
        <v>500000</v>
      </c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</row>
    <row r="42" spans="1:33" ht="13.8">
      <c r="A42" s="66" t="s">
        <v>118</v>
      </c>
      <c r="B42" s="67" t="s">
        <v>117</v>
      </c>
      <c r="C42" s="22" t="s">
        <v>58</v>
      </c>
      <c r="D42" s="23">
        <f t="shared" si="0"/>
        <v>724898.35714285716</v>
      </c>
      <c r="E42" s="24">
        <v>239074</v>
      </c>
      <c r="F42" s="24">
        <v>14379614</v>
      </c>
      <c r="G42" s="24">
        <v>5678466</v>
      </c>
      <c r="H42" s="23">
        <f t="shared" ref="H42:I42" si="43">F42/DAY($A$1)</f>
        <v>513557.64285714284</v>
      </c>
      <c r="I42" s="23">
        <f t="shared" si="43"/>
        <v>202802.35714285713</v>
      </c>
      <c r="J42" s="23">
        <f t="shared" ca="1" si="2"/>
        <v>0</v>
      </c>
      <c r="K42" s="23">
        <f t="shared" ca="1" si="3"/>
        <v>0</v>
      </c>
      <c r="L42" s="23">
        <f>IFERROR(
  SUMIF(
    'Hot Bill HN'!$D:$D,
    $B42,
    'Hot Bill HN'!$G:$G
  ),
0)</f>
        <v>0</v>
      </c>
      <c r="M42" s="49">
        <f t="shared" ca="1" si="4"/>
        <v>0</v>
      </c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</row>
    <row r="43" spans="1:33" ht="13.8">
      <c r="A43" s="70" t="s">
        <v>118</v>
      </c>
      <c r="B43" s="71" t="s">
        <v>123</v>
      </c>
      <c r="C43" s="22" t="s">
        <v>58</v>
      </c>
      <c r="D43" s="23">
        <f t="shared" si="0"/>
        <v>1323659.0714285714</v>
      </c>
      <c r="E43" s="24">
        <v>1094439</v>
      </c>
      <c r="F43" s="24">
        <v>19863367</v>
      </c>
      <c r="G43" s="24">
        <v>16104648</v>
      </c>
      <c r="H43" s="23">
        <f t="shared" ref="H43:I43" si="44">F43/DAY($A$1)</f>
        <v>709405.96428571432</v>
      </c>
      <c r="I43" s="23">
        <f t="shared" si="44"/>
        <v>575166</v>
      </c>
      <c r="J43" s="23">
        <f t="shared" ca="1" si="2"/>
        <v>0</v>
      </c>
      <c r="K43" s="23">
        <f t="shared" ca="1" si="3"/>
        <v>500000</v>
      </c>
      <c r="L43" s="23">
        <f>IFERROR(
  SUMIF(
    'Hot Bill HN'!$D:$D,
    $B43,
    'Hot Bill HN'!$G:$G
  ),
0)</f>
        <v>0</v>
      </c>
      <c r="M43" s="49">
        <f t="shared" ca="1" si="4"/>
        <v>500000</v>
      </c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</row>
    <row r="44" spans="1:33" ht="13.8">
      <c r="A44" s="70" t="s">
        <v>118</v>
      </c>
      <c r="B44" s="71" t="s">
        <v>122</v>
      </c>
      <c r="C44" s="22" t="s">
        <v>26</v>
      </c>
      <c r="D44" s="23">
        <f t="shared" si="0"/>
        <v>958433.85714285716</v>
      </c>
      <c r="E44" s="24">
        <v>319500</v>
      </c>
      <c r="F44" s="24">
        <v>14874783</v>
      </c>
      <c r="G44" s="24">
        <v>11641865</v>
      </c>
      <c r="H44" s="23">
        <f t="shared" ref="H44:I44" si="45">F44/DAY($A$1)</f>
        <v>531242.25</v>
      </c>
      <c r="I44" s="23">
        <f t="shared" si="45"/>
        <v>415780.89285714284</v>
      </c>
      <c r="J44" s="23">
        <f t="shared" ca="1" si="2"/>
        <v>0</v>
      </c>
      <c r="K44" s="23">
        <f t="shared" ca="1" si="3"/>
        <v>500000</v>
      </c>
      <c r="L44" s="23">
        <f>IFERROR(
  SUMIF(
    'Hot Bill HN'!$D:$D,
    $B44,
    'Hot Bill HN'!$G:$G
  ),
0)</f>
        <v>0</v>
      </c>
      <c r="M44" s="49">
        <f t="shared" ca="1" si="4"/>
        <v>500000</v>
      </c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 spans="1:33" ht="13.8">
      <c r="A45" s="70" t="s">
        <v>124</v>
      </c>
      <c r="B45" s="71" t="s">
        <v>114</v>
      </c>
      <c r="C45" s="22" t="s">
        <v>116</v>
      </c>
      <c r="D45" s="23">
        <f t="shared" si="0"/>
        <v>611955.07142857148</v>
      </c>
      <c r="E45" s="24">
        <v>914480</v>
      </c>
      <c r="F45" s="24">
        <v>7011275</v>
      </c>
      <c r="G45" s="24">
        <v>9208987</v>
      </c>
      <c r="H45" s="23">
        <f t="shared" ref="H45:I45" si="46">F45/DAY($A$1)</f>
        <v>250402.67857142858</v>
      </c>
      <c r="I45" s="23">
        <f t="shared" si="46"/>
        <v>328892.39285714284</v>
      </c>
      <c r="J45" s="23">
        <f t="shared" ca="1" si="2"/>
        <v>0</v>
      </c>
      <c r="K45" s="23">
        <f t="shared" ca="1" si="3"/>
        <v>0</v>
      </c>
      <c r="L45" s="23">
        <f>IFERROR(
  SUMIF(
    'Hot Bill HN'!$D:$D,
    $B45,
    'Hot Bill HN'!$G:$G
  ),
0)</f>
        <v>0</v>
      </c>
      <c r="M45" s="49">
        <f t="shared" ca="1" si="4"/>
        <v>0</v>
      </c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 spans="1:33" ht="13.8">
      <c r="A46" s="70" t="s">
        <v>124</v>
      </c>
      <c r="B46" s="71" t="s">
        <v>126</v>
      </c>
      <c r="C46" s="22" t="s">
        <v>116</v>
      </c>
      <c r="D46" s="23">
        <f t="shared" si="0"/>
        <v>934192.10714285716</v>
      </c>
      <c r="E46" s="24">
        <v>146000</v>
      </c>
      <c r="F46" s="24">
        <v>15205287</v>
      </c>
      <c r="G46" s="24">
        <v>10806092</v>
      </c>
      <c r="H46" s="23">
        <f t="shared" ref="H46:I46" si="47">F46/DAY($A$1)</f>
        <v>543045.96428571432</v>
      </c>
      <c r="I46" s="23">
        <f t="shared" si="47"/>
        <v>385931.85714285716</v>
      </c>
      <c r="J46" s="23">
        <f t="shared" ca="1" si="2"/>
        <v>0</v>
      </c>
      <c r="K46" s="23">
        <f t="shared" ca="1" si="3"/>
        <v>0</v>
      </c>
      <c r="L46" s="23">
        <f>IFERROR(
  SUMIF(
    'Hot Bill HN'!$D:$D,
    $B46,
    'Hot Bill HN'!$G:$G
  ),
0)</f>
        <v>0</v>
      </c>
      <c r="M46" s="49">
        <f t="shared" ca="1" si="4"/>
        <v>0</v>
      </c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  <row r="47" spans="1:33" ht="13.8">
      <c r="A47" s="70" t="s">
        <v>124</v>
      </c>
      <c r="B47" s="72" t="s">
        <v>127</v>
      </c>
      <c r="C47" s="22" t="s">
        <v>58</v>
      </c>
      <c r="D47" s="23">
        <f t="shared" si="0"/>
        <v>678153.67857142852</v>
      </c>
      <c r="E47" s="24">
        <v>366000</v>
      </c>
      <c r="F47" s="24">
        <v>9134464</v>
      </c>
      <c r="G47" s="24">
        <v>9487839</v>
      </c>
      <c r="H47" s="23">
        <f t="shared" ref="H47:I47" si="48">F47/DAY($A$1)</f>
        <v>326230.85714285716</v>
      </c>
      <c r="I47" s="23">
        <f t="shared" si="48"/>
        <v>338851.39285714284</v>
      </c>
      <c r="J47" s="23">
        <f t="shared" ca="1" si="2"/>
        <v>0</v>
      </c>
      <c r="K47" s="23">
        <f t="shared" ca="1" si="3"/>
        <v>0</v>
      </c>
      <c r="L47" s="23">
        <f>IFERROR(
  SUMIF(
    'Hot Bill HN'!$D:$D,
    $B47,
    'Hot Bill HN'!$G:$G
  ),
0)</f>
        <v>0</v>
      </c>
      <c r="M47" s="49">
        <f t="shared" ca="1" si="4"/>
        <v>0</v>
      </c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</row>
    <row r="48" spans="1:33" ht="13.8">
      <c r="A48" s="70" t="s">
        <v>124</v>
      </c>
      <c r="B48" s="71" t="s">
        <v>128</v>
      </c>
      <c r="C48" s="22" t="s">
        <v>116</v>
      </c>
      <c r="D48" s="23">
        <f t="shared" si="0"/>
        <v>246005.89285714287</v>
      </c>
      <c r="E48" s="24">
        <v>6524765</v>
      </c>
      <c r="F48" s="24">
        <v>193400</v>
      </c>
      <c r="G48" s="24">
        <v>170000</v>
      </c>
      <c r="H48" s="23">
        <f t="shared" ref="H48:I48" si="49">F48/DAY($A$1)</f>
        <v>6907.1428571428569</v>
      </c>
      <c r="I48" s="23">
        <f t="shared" si="49"/>
        <v>6071.4285714285716</v>
      </c>
      <c r="J48" s="23">
        <f t="shared" ca="1" si="2"/>
        <v>0</v>
      </c>
      <c r="K48" s="23">
        <f t="shared" ca="1" si="3"/>
        <v>0</v>
      </c>
      <c r="L48" s="23">
        <f>IFERROR(
  SUMIF(
    'Hot Bill HN'!$D:$D,
    $B48,
    'Hot Bill HN'!$G:$G
  ),
0)</f>
        <v>0</v>
      </c>
      <c r="M48" s="49">
        <f t="shared" ca="1" si="4"/>
        <v>0</v>
      </c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</row>
    <row r="49" spans="1:33" ht="13.8">
      <c r="A49" s="70" t="s">
        <v>124</v>
      </c>
      <c r="B49" s="71" t="s">
        <v>129</v>
      </c>
      <c r="C49" s="22" t="s">
        <v>58</v>
      </c>
      <c r="D49" s="23">
        <f t="shared" si="0"/>
        <v>680335.35714285716</v>
      </c>
      <c r="E49" s="24">
        <v>630477</v>
      </c>
      <c r="F49" s="24">
        <v>7490525</v>
      </c>
      <c r="G49" s="24">
        <v>10928388</v>
      </c>
      <c r="H49" s="23">
        <f t="shared" ref="H49:I49" si="50">F49/DAY($A$1)</f>
        <v>267518.75</v>
      </c>
      <c r="I49" s="23">
        <f t="shared" si="50"/>
        <v>390299.57142857142</v>
      </c>
      <c r="J49" s="23">
        <f t="shared" ca="1" si="2"/>
        <v>0</v>
      </c>
      <c r="K49" s="23">
        <f t="shared" ca="1" si="3"/>
        <v>0</v>
      </c>
      <c r="L49" s="23">
        <f>IFERROR(
  SUMIF(
    'Hot Bill HN'!$D:$D,
    $B49,
    'Hot Bill HN'!$G:$G
  ),
0)</f>
        <v>0</v>
      </c>
      <c r="M49" s="49">
        <f t="shared" ca="1" si="4"/>
        <v>0</v>
      </c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</row>
    <row r="50" spans="1:33" ht="13.8">
      <c r="A50" s="70" t="s">
        <v>85</v>
      </c>
      <c r="B50" s="71" t="s">
        <v>17</v>
      </c>
      <c r="C50" s="22" t="s">
        <v>116</v>
      </c>
      <c r="D50" s="23">
        <f t="shared" si="0"/>
        <v>774133.32142857148</v>
      </c>
      <c r="E50" s="24">
        <v>1117203</v>
      </c>
      <c r="F50" s="24">
        <v>16141229</v>
      </c>
      <c r="G50" s="24">
        <v>4417301</v>
      </c>
      <c r="H50" s="23">
        <f t="shared" ref="H50:I50" si="51">F50/DAY($A$1)</f>
        <v>576472.46428571432</v>
      </c>
      <c r="I50" s="23">
        <f t="shared" si="51"/>
        <v>157760.75</v>
      </c>
      <c r="J50" s="23">
        <f t="shared" ca="1" si="2"/>
        <v>0</v>
      </c>
      <c r="K50" s="23">
        <f t="shared" ca="1" si="3"/>
        <v>0</v>
      </c>
      <c r="L50" s="23">
        <f>IFERROR(
  SUMIF(
    'Hot Bill HN'!$D:$D,
    $B50,
    'Hot Bill HN'!$G:$G
  ),
0)</f>
        <v>0</v>
      </c>
      <c r="M50" s="49">
        <f t="shared" ca="1" si="4"/>
        <v>0</v>
      </c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</row>
    <row r="51" spans="1:33" ht="13.8">
      <c r="A51" s="70" t="s">
        <v>85</v>
      </c>
      <c r="B51" s="71" t="s">
        <v>88</v>
      </c>
      <c r="C51" s="22" t="s">
        <v>116</v>
      </c>
      <c r="D51" s="23">
        <f t="shared" si="0"/>
        <v>372487.17857142858</v>
      </c>
      <c r="E51" s="24">
        <v>366995</v>
      </c>
      <c r="F51" s="24">
        <v>5588846</v>
      </c>
      <c r="G51" s="24">
        <v>4473800</v>
      </c>
      <c r="H51" s="23">
        <f t="shared" ref="H51:I51" si="52">F51/DAY($A$1)</f>
        <v>199601.64285714287</v>
      </c>
      <c r="I51" s="23">
        <f t="shared" si="52"/>
        <v>159778.57142857142</v>
      </c>
      <c r="J51" s="23">
        <f t="shared" ca="1" si="2"/>
        <v>0</v>
      </c>
      <c r="K51" s="23">
        <f t="shared" ca="1" si="3"/>
        <v>0</v>
      </c>
      <c r="L51" s="23">
        <f>IFERROR(
  SUMIF(
    'Hot Bill HN'!$D:$D,
    $B51,
    'Hot Bill HN'!$G:$G
  ),
0)</f>
        <v>0</v>
      </c>
      <c r="M51" s="49">
        <f t="shared" ca="1" si="4"/>
        <v>0</v>
      </c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</row>
    <row r="52" spans="1:33" ht="13.8">
      <c r="A52" s="70" t="s">
        <v>85</v>
      </c>
      <c r="B52" s="71" t="s">
        <v>86</v>
      </c>
      <c r="C52" s="22" t="s">
        <v>116</v>
      </c>
      <c r="D52" s="23">
        <f t="shared" si="0"/>
        <v>701970.14285714284</v>
      </c>
      <c r="E52" s="24">
        <v>931147</v>
      </c>
      <c r="F52" s="24">
        <v>9758501</v>
      </c>
      <c r="G52" s="24">
        <v>8965516</v>
      </c>
      <c r="H52" s="23">
        <f t="shared" ref="H52:I52" si="53">F52/DAY($A$1)</f>
        <v>348517.89285714284</v>
      </c>
      <c r="I52" s="23">
        <f t="shared" si="53"/>
        <v>320197</v>
      </c>
      <c r="J52" s="23">
        <f t="shared" ca="1" si="2"/>
        <v>0</v>
      </c>
      <c r="K52" s="23">
        <f t="shared" ca="1" si="3"/>
        <v>0</v>
      </c>
      <c r="L52" s="23">
        <f>IFERROR(
  SUMIF(
    'Hot Bill HN'!$D:$D,
    $B52,
    'Hot Bill HN'!$G:$G
  ),
0)</f>
        <v>0</v>
      </c>
      <c r="M52" s="49">
        <f t="shared" ca="1" si="4"/>
        <v>0</v>
      </c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 spans="1:33" ht="13.8">
      <c r="A53" s="70" t="s">
        <v>85</v>
      </c>
      <c r="B53" s="71" t="s">
        <v>71</v>
      </c>
      <c r="C53" s="22" t="s">
        <v>58</v>
      </c>
      <c r="D53" s="23">
        <f t="shared" si="0"/>
        <v>808500.21428571432</v>
      </c>
      <c r="E53" s="24">
        <v>1359400</v>
      </c>
      <c r="F53" s="24">
        <v>15776914</v>
      </c>
      <c r="G53" s="24">
        <v>5501692</v>
      </c>
      <c r="H53" s="23">
        <f t="shared" ref="H53:I53" si="54">F53/DAY($A$1)</f>
        <v>563461.21428571432</v>
      </c>
      <c r="I53" s="23">
        <f t="shared" si="54"/>
        <v>196489</v>
      </c>
      <c r="J53" s="23">
        <f t="shared" ca="1" si="2"/>
        <v>0</v>
      </c>
      <c r="K53" s="23">
        <f t="shared" ca="1" si="3"/>
        <v>0</v>
      </c>
      <c r="L53" s="23">
        <f>IFERROR(
  SUMIF(
    'Hot Bill HN'!$D:$D,
    $B53,
    'Hot Bill HN'!$G:$G
  ),
0)</f>
        <v>0</v>
      </c>
      <c r="M53" s="49">
        <f t="shared" ca="1" si="4"/>
        <v>0</v>
      </c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</row>
    <row r="54" spans="1:33" ht="13.8">
      <c r="A54" s="73"/>
      <c r="B54" s="74"/>
      <c r="C54" s="7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  <row r="55" spans="1:33" ht="13.8">
      <c r="A55" s="73"/>
      <c r="B55" s="74"/>
      <c r="C55" s="7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</row>
    <row r="56" spans="1:33" ht="13.8">
      <c r="A56" s="73"/>
      <c r="B56" s="74"/>
      <c r="C56" s="7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</row>
    <row r="57" spans="1:33" ht="13.8">
      <c r="A57" s="73"/>
      <c r="B57" s="74"/>
      <c r="C57" s="7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</row>
    <row r="58" spans="1:33" ht="13.8">
      <c r="A58" s="73"/>
      <c r="B58" s="74"/>
      <c r="C58" s="7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</row>
    <row r="59" spans="1:33" ht="13.8">
      <c r="A59" s="73"/>
      <c r="B59" s="74"/>
      <c r="C59" s="7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</row>
    <row r="60" spans="1:33" ht="13.8">
      <c r="A60" s="73"/>
      <c r="B60" s="74"/>
      <c r="C60" s="7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</row>
    <row r="61" spans="1:33" ht="13.8">
      <c r="A61" s="73"/>
      <c r="B61" s="74"/>
      <c r="C61" s="7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</row>
    <row r="62" spans="1:33" ht="13.8">
      <c r="A62" s="73"/>
      <c r="B62" s="74"/>
      <c r="C62" s="7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</row>
    <row r="63" spans="1:33" ht="13.8">
      <c r="A63" s="73"/>
      <c r="B63" s="74"/>
      <c r="C63" s="7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</row>
    <row r="64" spans="1:33" ht="13.8">
      <c r="A64" s="73"/>
      <c r="B64" s="74"/>
      <c r="C64" s="7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</row>
    <row r="65" spans="1:33" ht="13.8">
      <c r="A65" s="73"/>
      <c r="B65" s="74"/>
      <c r="C65" s="7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</row>
    <row r="66" spans="1:33" ht="13.8">
      <c r="A66" s="73"/>
      <c r="B66" s="74"/>
      <c r="C66" s="7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</row>
    <row r="67" spans="1:33" ht="13.8">
      <c r="A67" s="73"/>
      <c r="B67" s="74"/>
      <c r="C67" s="7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</row>
    <row r="68" spans="1:33" ht="13.8">
      <c r="A68" s="73"/>
      <c r="B68" s="74"/>
      <c r="C68" s="7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</row>
    <row r="69" spans="1:33" ht="13.8">
      <c r="A69" s="73"/>
      <c r="B69" s="74"/>
      <c r="C69" s="7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</row>
    <row r="70" spans="1:33" ht="13.8">
      <c r="A70" s="73"/>
      <c r="B70" s="74"/>
      <c r="C70" s="7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</row>
    <row r="71" spans="1:33" ht="13.8">
      <c r="A71" s="73"/>
      <c r="B71" s="74"/>
      <c r="C71" s="7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</row>
    <row r="72" spans="1:33" ht="13.8">
      <c r="A72" s="73"/>
      <c r="B72" s="74"/>
      <c r="C72" s="7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</row>
    <row r="73" spans="1:33" ht="13.8">
      <c r="A73" s="73"/>
      <c r="B73" s="74"/>
      <c r="C73" s="7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</row>
    <row r="74" spans="1:33" ht="13.8">
      <c r="A74" s="73"/>
      <c r="B74" s="74"/>
      <c r="C74" s="7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</row>
    <row r="75" spans="1:33" ht="13.8">
      <c r="A75" s="73"/>
      <c r="B75" s="74"/>
      <c r="C75" s="7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</row>
    <row r="76" spans="1:33" ht="13.8">
      <c r="A76" s="73"/>
      <c r="B76" s="74"/>
      <c r="C76" s="7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</row>
    <row r="77" spans="1:33" ht="13.8">
      <c r="A77" s="73"/>
      <c r="B77" s="74"/>
      <c r="C77" s="7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</row>
    <row r="78" spans="1:33" ht="13.8">
      <c r="A78" s="73"/>
      <c r="B78" s="74"/>
      <c r="C78" s="7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</row>
    <row r="79" spans="1:33" ht="13.8">
      <c r="A79" s="73"/>
      <c r="B79" s="74"/>
      <c r="C79" s="7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</row>
    <row r="80" spans="1:33" ht="13.8">
      <c r="A80" s="73"/>
      <c r="B80" s="74"/>
      <c r="C80" s="7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</row>
    <row r="81" spans="1:33" ht="13.8">
      <c r="A81" s="73"/>
      <c r="B81" s="74"/>
      <c r="C81" s="7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</row>
    <row r="82" spans="1:33" ht="13.8">
      <c r="A82" s="73"/>
      <c r="B82" s="74"/>
      <c r="C82" s="7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</row>
    <row r="83" spans="1:33" ht="13.8">
      <c r="A83" s="73"/>
      <c r="B83" s="74"/>
      <c r="C83" s="7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</row>
    <row r="84" spans="1:33" ht="13.8">
      <c r="A84" s="73"/>
      <c r="B84" s="74"/>
      <c r="C84" s="7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</row>
    <row r="85" spans="1:33" ht="13.8">
      <c r="A85" s="73"/>
      <c r="B85" s="74"/>
      <c r="C85" s="7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</row>
    <row r="86" spans="1:33" ht="13.8">
      <c r="A86" s="73"/>
      <c r="B86" s="74"/>
      <c r="C86" s="7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</row>
    <row r="87" spans="1:33" ht="13.8">
      <c r="A87" s="73"/>
      <c r="B87" s="74"/>
      <c r="C87" s="7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</row>
    <row r="88" spans="1:33" ht="13.8">
      <c r="A88" s="73"/>
      <c r="B88" s="74"/>
      <c r="C88" s="7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</row>
    <row r="89" spans="1:33" ht="13.8">
      <c r="A89" s="73"/>
      <c r="B89" s="74"/>
      <c r="C89" s="7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</row>
    <row r="90" spans="1:33" ht="13.8">
      <c r="A90" s="73"/>
      <c r="B90" s="74"/>
      <c r="C90" s="7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</row>
    <row r="91" spans="1:33" ht="13.8">
      <c r="A91" s="73"/>
      <c r="B91" s="74"/>
      <c r="C91" s="7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</row>
    <row r="92" spans="1:33" ht="13.8">
      <c r="A92" s="73"/>
      <c r="B92" s="74"/>
      <c r="C92" s="7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</row>
    <row r="93" spans="1:33" ht="13.8">
      <c r="A93" s="73"/>
      <c r="B93" s="74"/>
      <c r="C93" s="7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</row>
    <row r="94" spans="1:33" ht="13.8">
      <c r="A94" s="73"/>
      <c r="B94" s="74"/>
      <c r="C94" s="7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</row>
    <row r="95" spans="1:33" ht="13.8">
      <c r="A95" s="73"/>
      <c r="B95" s="74"/>
      <c r="C95" s="7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</row>
    <row r="96" spans="1:33" ht="13.8">
      <c r="A96" s="73"/>
      <c r="B96" s="74"/>
      <c r="C96" s="7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</row>
    <row r="97" spans="1:33" ht="13.8">
      <c r="A97" s="73"/>
      <c r="B97" s="74"/>
      <c r="C97" s="7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</row>
    <row r="98" spans="1:33" ht="13.8">
      <c r="A98" s="73"/>
      <c r="B98" s="74"/>
      <c r="C98" s="7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</row>
    <row r="99" spans="1:33" ht="13.8">
      <c r="A99" s="73"/>
      <c r="B99" s="74"/>
      <c r="C99" s="7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</row>
    <row r="100" spans="1:33" ht="13.8">
      <c r="A100" s="73"/>
      <c r="B100" s="74"/>
      <c r="C100" s="7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</row>
    <row r="101" spans="1:33" ht="13.8">
      <c r="A101" s="73"/>
      <c r="B101" s="74"/>
      <c r="C101" s="7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</row>
    <row r="102" spans="1:33" ht="13.8">
      <c r="A102" s="73"/>
      <c r="B102" s="74"/>
      <c r="C102" s="7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</row>
    <row r="103" spans="1:33" ht="13.8">
      <c r="A103" s="73"/>
      <c r="B103" s="74"/>
      <c r="C103" s="7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</row>
    <row r="104" spans="1:33" ht="13.8">
      <c r="A104" s="73"/>
      <c r="B104" s="74"/>
      <c r="C104" s="7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</row>
    <row r="105" spans="1:33" ht="13.8">
      <c r="A105" s="73"/>
      <c r="B105" s="74"/>
      <c r="C105" s="7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</row>
    <row r="106" spans="1:33" ht="13.8">
      <c r="A106" s="73"/>
      <c r="B106" s="74"/>
      <c r="C106" s="7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</row>
    <row r="107" spans="1:33" ht="13.8">
      <c r="A107" s="73"/>
      <c r="B107" s="74"/>
      <c r="C107" s="7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</row>
    <row r="108" spans="1:33" ht="13.8">
      <c r="A108" s="73"/>
      <c r="B108" s="74"/>
      <c r="C108" s="7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</row>
    <row r="109" spans="1:33" ht="13.8">
      <c r="A109" s="73"/>
      <c r="B109" s="74"/>
      <c r="C109" s="7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</row>
    <row r="110" spans="1:33" ht="13.8">
      <c r="A110" s="73"/>
      <c r="B110" s="74"/>
      <c r="C110" s="7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</row>
    <row r="111" spans="1:33" ht="13.8">
      <c r="A111" s="73"/>
      <c r="B111" s="74"/>
      <c r="C111" s="7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</row>
    <row r="112" spans="1:33" ht="13.8">
      <c r="A112" s="73"/>
      <c r="B112" s="74"/>
      <c r="C112" s="7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 spans="1:33" ht="13.8">
      <c r="A113" s="73"/>
      <c r="B113" s="74"/>
      <c r="C113" s="7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</row>
    <row r="114" spans="1:33" ht="13.8">
      <c r="A114" s="73"/>
      <c r="B114" s="74"/>
      <c r="C114" s="7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</row>
    <row r="115" spans="1:33" ht="13.8">
      <c r="A115" s="73"/>
      <c r="B115" s="74"/>
      <c r="C115" s="7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</row>
    <row r="116" spans="1:33" ht="13.8">
      <c r="A116" s="73"/>
      <c r="B116" s="74"/>
      <c r="C116" s="7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</row>
    <row r="117" spans="1:33" ht="13.8">
      <c r="A117" s="73"/>
      <c r="B117" s="74"/>
      <c r="C117" s="7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</row>
    <row r="118" spans="1:33" ht="13.8">
      <c r="A118" s="73"/>
      <c r="B118" s="74"/>
      <c r="C118" s="7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 spans="1:33" ht="13.8">
      <c r="A119" s="73"/>
      <c r="B119" s="74"/>
      <c r="C119" s="7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</row>
    <row r="120" spans="1:33" ht="13.8">
      <c r="A120" s="73"/>
      <c r="B120" s="74"/>
      <c r="C120" s="7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 spans="1:33" ht="13.8">
      <c r="A121" s="73"/>
      <c r="B121" s="74"/>
      <c r="C121" s="7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 spans="1:33" ht="13.8">
      <c r="A122" s="73"/>
      <c r="B122" s="74"/>
      <c r="C122" s="7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 spans="1:33" ht="13.8">
      <c r="A123" s="73"/>
      <c r="B123" s="74"/>
      <c r="C123" s="7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 spans="1:33" ht="13.8">
      <c r="A124" s="73"/>
      <c r="B124" s="74"/>
      <c r="C124" s="7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 spans="1:33" ht="13.8">
      <c r="A125" s="73"/>
      <c r="B125" s="74"/>
      <c r="C125" s="7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 spans="1:33" ht="13.8">
      <c r="A126" s="73"/>
      <c r="B126" s="74"/>
      <c r="C126" s="7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 spans="1:33" ht="13.8">
      <c r="A127" s="73"/>
      <c r="B127" s="74"/>
      <c r="C127" s="7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</row>
    <row r="128" spans="1:33" ht="13.8">
      <c r="A128" s="73"/>
      <c r="B128" s="74"/>
      <c r="C128" s="7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 spans="1:33" ht="13.8">
      <c r="A129" s="73"/>
      <c r="B129" s="74"/>
      <c r="C129" s="7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</row>
    <row r="130" spans="1:33" ht="13.8">
      <c r="A130" s="73"/>
      <c r="B130" s="74"/>
      <c r="C130" s="7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 spans="1:33" ht="13.8">
      <c r="A131" s="73"/>
      <c r="B131" s="74"/>
      <c r="C131" s="7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</row>
    <row r="132" spans="1:33" ht="13.8">
      <c r="A132" s="73"/>
      <c r="B132" s="74"/>
      <c r="C132" s="7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</row>
    <row r="133" spans="1:33" ht="13.8">
      <c r="A133" s="73"/>
      <c r="B133" s="74"/>
      <c r="C133" s="7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</row>
    <row r="134" spans="1:33" ht="13.8">
      <c r="A134" s="73"/>
      <c r="B134" s="74"/>
      <c r="C134" s="7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</row>
    <row r="135" spans="1:33" ht="13.8">
      <c r="A135" s="73"/>
      <c r="B135" s="74"/>
      <c r="C135" s="7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</row>
    <row r="136" spans="1:33" ht="13.8">
      <c r="A136" s="73"/>
      <c r="B136" s="74"/>
      <c r="C136" s="7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</row>
    <row r="137" spans="1:33" ht="13.8">
      <c r="A137" s="73"/>
      <c r="B137" s="74"/>
      <c r="C137" s="7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</row>
    <row r="138" spans="1:33" ht="13.8">
      <c r="A138" s="73"/>
      <c r="B138" s="74"/>
      <c r="C138" s="7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</row>
    <row r="139" spans="1:33" ht="13.8">
      <c r="A139" s="73"/>
      <c r="B139" s="74"/>
      <c r="C139" s="7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</row>
    <row r="140" spans="1:33" ht="13.8">
      <c r="A140" s="73"/>
      <c r="B140" s="74"/>
      <c r="C140" s="7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</row>
    <row r="141" spans="1:33" ht="13.8">
      <c r="A141" s="73"/>
      <c r="B141" s="74"/>
      <c r="C141" s="7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</row>
    <row r="142" spans="1:33" ht="13.8">
      <c r="A142" s="73"/>
      <c r="B142" s="74"/>
      <c r="C142" s="7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</row>
    <row r="143" spans="1:33" ht="13.8">
      <c r="A143" s="73"/>
      <c r="B143" s="74"/>
      <c r="C143" s="7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</row>
    <row r="144" spans="1:33" ht="13.8">
      <c r="A144" s="73"/>
      <c r="B144" s="74"/>
      <c r="C144" s="7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</row>
    <row r="145" spans="1:33" ht="13.8">
      <c r="A145" s="73"/>
      <c r="B145" s="74"/>
      <c r="C145" s="7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</row>
    <row r="146" spans="1:33" ht="13.8">
      <c r="A146" s="73"/>
      <c r="B146" s="74"/>
      <c r="C146" s="7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</row>
    <row r="147" spans="1:33" ht="13.8">
      <c r="A147" s="73"/>
      <c r="B147" s="74"/>
      <c r="C147" s="7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</row>
    <row r="148" spans="1:33" ht="13.8">
      <c r="A148" s="73"/>
      <c r="B148" s="74"/>
      <c r="C148" s="7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</row>
    <row r="149" spans="1:33" ht="13.8">
      <c r="A149" s="73"/>
      <c r="B149" s="74"/>
      <c r="C149" s="7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</row>
    <row r="150" spans="1:33" ht="13.8">
      <c r="A150" s="73"/>
      <c r="B150" s="74"/>
      <c r="C150" s="7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</row>
    <row r="151" spans="1:33" ht="13.8">
      <c r="A151" s="73"/>
      <c r="B151" s="74"/>
      <c r="C151" s="7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</row>
    <row r="152" spans="1:33" ht="13.8">
      <c r="A152" s="73"/>
      <c r="B152" s="74"/>
      <c r="C152" s="7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</row>
    <row r="153" spans="1:33" ht="13.8">
      <c r="A153" s="73"/>
      <c r="B153" s="74"/>
      <c r="C153" s="7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</row>
    <row r="154" spans="1:33" ht="13.8">
      <c r="A154" s="73"/>
      <c r="B154" s="74"/>
      <c r="C154" s="7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</row>
    <row r="155" spans="1:33" ht="13.8">
      <c r="A155" s="73"/>
      <c r="B155" s="74"/>
      <c r="C155" s="7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</row>
    <row r="156" spans="1:33" ht="13.8">
      <c r="A156" s="73"/>
      <c r="B156" s="74"/>
      <c r="C156" s="7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</row>
    <row r="157" spans="1:33" ht="13.8">
      <c r="A157" s="73"/>
      <c r="B157" s="74"/>
      <c r="C157" s="7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</row>
    <row r="158" spans="1:33" ht="13.8">
      <c r="A158" s="73"/>
      <c r="B158" s="74"/>
      <c r="C158" s="7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</row>
    <row r="159" spans="1:33" ht="13.8">
      <c r="A159" s="73"/>
      <c r="B159" s="74"/>
      <c r="C159" s="7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</row>
    <row r="160" spans="1:33" ht="13.8">
      <c r="A160" s="73"/>
      <c r="B160" s="74"/>
      <c r="C160" s="7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</row>
    <row r="161" spans="1:33" ht="13.8">
      <c r="A161" s="73"/>
      <c r="B161" s="74"/>
      <c r="C161" s="7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</row>
    <row r="162" spans="1:33" ht="13.8">
      <c r="A162" s="73"/>
      <c r="B162" s="74"/>
      <c r="C162" s="7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</row>
    <row r="163" spans="1:33" ht="13.8">
      <c r="A163" s="73"/>
      <c r="B163" s="74"/>
      <c r="C163" s="7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</row>
    <row r="164" spans="1:33" ht="13.8">
      <c r="A164" s="73"/>
      <c r="B164" s="74"/>
      <c r="C164" s="7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</row>
    <row r="165" spans="1:33" ht="13.8">
      <c r="A165" s="73"/>
      <c r="B165" s="74"/>
      <c r="C165" s="7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</row>
    <row r="166" spans="1:33" ht="13.8">
      <c r="A166" s="73"/>
      <c r="B166" s="74"/>
      <c r="C166" s="7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</row>
    <row r="167" spans="1:33" ht="13.8">
      <c r="A167" s="73"/>
      <c r="B167" s="74"/>
      <c r="C167" s="7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</row>
    <row r="168" spans="1:33" ht="13.8">
      <c r="A168" s="73"/>
      <c r="B168" s="74"/>
      <c r="C168" s="7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</row>
    <row r="169" spans="1:33" ht="13.8">
      <c r="A169" s="73"/>
      <c r="B169" s="74"/>
      <c r="C169" s="7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</row>
    <row r="170" spans="1:33" ht="13.8">
      <c r="A170" s="73"/>
      <c r="B170" s="74"/>
      <c r="C170" s="7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</row>
    <row r="171" spans="1:33" ht="13.8">
      <c r="A171" s="73"/>
      <c r="B171" s="74"/>
      <c r="C171" s="7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</row>
    <row r="172" spans="1:33" ht="13.8">
      <c r="A172" s="73"/>
      <c r="B172" s="74"/>
      <c r="C172" s="7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</row>
    <row r="173" spans="1:33" ht="13.8">
      <c r="A173" s="73"/>
      <c r="B173" s="74"/>
      <c r="C173" s="7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</row>
    <row r="174" spans="1:33" ht="13.8">
      <c r="A174" s="73"/>
      <c r="B174" s="74"/>
      <c r="C174" s="7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</row>
    <row r="175" spans="1:33" ht="13.8">
      <c r="A175" s="73"/>
      <c r="B175" s="74"/>
      <c r="C175" s="7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</row>
    <row r="176" spans="1:33" ht="13.8">
      <c r="A176" s="73"/>
      <c r="B176" s="74"/>
      <c r="C176" s="7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</row>
    <row r="177" spans="1:33" ht="13.8">
      <c r="A177" s="73"/>
      <c r="B177" s="74"/>
      <c r="C177" s="7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</row>
    <row r="178" spans="1:33" ht="13.8">
      <c r="A178" s="73"/>
      <c r="B178" s="74"/>
      <c r="C178" s="7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</row>
    <row r="179" spans="1:33" ht="13.8">
      <c r="A179" s="73"/>
      <c r="B179" s="74"/>
      <c r="C179" s="7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</row>
    <row r="180" spans="1:33" ht="13.8">
      <c r="A180" s="73"/>
      <c r="B180" s="74"/>
      <c r="C180" s="7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</row>
    <row r="181" spans="1:33" ht="13.8">
      <c r="A181" s="73"/>
      <c r="B181" s="74"/>
      <c r="C181" s="7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</row>
    <row r="182" spans="1:33" ht="13.8">
      <c r="A182" s="73"/>
      <c r="B182" s="74"/>
      <c r="C182" s="7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</row>
    <row r="183" spans="1:33" ht="13.8">
      <c r="A183" s="73"/>
      <c r="B183" s="74"/>
      <c r="C183" s="7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</row>
    <row r="184" spans="1:33" ht="13.8">
      <c r="A184" s="73"/>
      <c r="B184" s="74"/>
      <c r="C184" s="7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</row>
    <row r="185" spans="1:33" ht="13.8">
      <c r="A185" s="73"/>
      <c r="B185" s="74"/>
      <c r="C185" s="7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</row>
    <row r="186" spans="1:33" ht="13.8">
      <c r="A186" s="73"/>
      <c r="B186" s="74"/>
      <c r="C186" s="7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</row>
    <row r="187" spans="1:33" ht="13.8">
      <c r="A187" s="73"/>
      <c r="B187" s="74"/>
      <c r="C187" s="7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</row>
    <row r="188" spans="1:33" ht="13.8">
      <c r="A188" s="73"/>
      <c r="B188" s="74"/>
      <c r="C188" s="7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</row>
    <row r="189" spans="1:33" ht="13.8">
      <c r="A189" s="73"/>
      <c r="B189" s="74"/>
      <c r="C189" s="7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</row>
    <row r="190" spans="1:33" ht="13.8">
      <c r="A190" s="73"/>
      <c r="B190" s="74"/>
      <c r="C190" s="7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</row>
    <row r="191" spans="1:33" ht="13.8">
      <c r="A191" s="73"/>
      <c r="B191" s="74"/>
      <c r="C191" s="7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</row>
    <row r="192" spans="1:33" ht="13.8">
      <c r="A192" s="73"/>
      <c r="B192" s="74"/>
      <c r="C192" s="7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</row>
    <row r="193" spans="1:33" ht="13.8">
      <c r="A193" s="73"/>
      <c r="B193" s="74"/>
      <c r="C193" s="7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</row>
    <row r="194" spans="1:33" ht="13.8">
      <c r="A194" s="73"/>
      <c r="B194" s="74"/>
      <c r="C194" s="7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</row>
    <row r="195" spans="1:33" ht="13.8">
      <c r="A195" s="73"/>
      <c r="B195" s="74"/>
      <c r="C195" s="7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</row>
    <row r="196" spans="1:33" ht="13.8">
      <c r="A196" s="73"/>
      <c r="B196" s="74"/>
      <c r="C196" s="7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</row>
    <row r="197" spans="1:33" ht="13.8">
      <c r="A197" s="73"/>
      <c r="B197" s="74"/>
      <c r="C197" s="7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</row>
    <row r="198" spans="1:33" ht="13.8">
      <c r="A198" s="73"/>
      <c r="B198" s="74"/>
      <c r="C198" s="7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</row>
    <row r="199" spans="1:33" ht="13.8">
      <c r="A199" s="73"/>
      <c r="B199" s="74"/>
      <c r="C199" s="7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</row>
    <row r="200" spans="1:33" ht="13.8">
      <c r="A200" s="73"/>
      <c r="B200" s="74"/>
      <c r="C200" s="7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</row>
    <row r="201" spans="1:33" ht="13.8">
      <c r="A201" s="73"/>
      <c r="B201" s="74"/>
      <c r="C201" s="7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</row>
    <row r="202" spans="1:33" ht="13.8">
      <c r="A202" s="73"/>
      <c r="B202" s="74"/>
      <c r="C202" s="7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</row>
    <row r="203" spans="1:33" ht="13.8">
      <c r="A203" s="73"/>
      <c r="B203" s="74"/>
      <c r="C203" s="7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</row>
    <row r="204" spans="1:33" ht="13.8">
      <c r="A204" s="73"/>
      <c r="B204" s="74"/>
      <c r="C204" s="7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</row>
    <row r="205" spans="1:33" ht="13.8">
      <c r="A205" s="73"/>
      <c r="B205" s="74"/>
      <c r="C205" s="7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</row>
    <row r="206" spans="1:33" ht="13.8">
      <c r="A206" s="73"/>
      <c r="B206" s="74"/>
      <c r="C206" s="7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</row>
    <row r="207" spans="1:33" ht="13.8">
      <c r="A207" s="73"/>
      <c r="B207" s="74"/>
      <c r="C207" s="7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</row>
    <row r="208" spans="1:33" ht="13.8">
      <c r="A208" s="73"/>
      <c r="B208" s="74"/>
      <c r="C208" s="7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</row>
    <row r="209" spans="1:33" ht="13.8">
      <c r="A209" s="73"/>
      <c r="B209" s="74"/>
      <c r="C209" s="7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</row>
    <row r="210" spans="1:33" ht="13.8">
      <c r="A210" s="73"/>
      <c r="B210" s="74"/>
      <c r="C210" s="7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</row>
    <row r="211" spans="1:33" ht="13.8">
      <c r="A211" s="73"/>
      <c r="B211" s="74"/>
      <c r="C211" s="7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</row>
    <row r="212" spans="1:33" ht="13.8">
      <c r="A212" s="73"/>
      <c r="B212" s="74"/>
      <c r="C212" s="7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</row>
    <row r="213" spans="1:33" ht="13.8">
      <c r="A213" s="73"/>
      <c r="B213" s="74"/>
      <c r="C213" s="7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</row>
    <row r="214" spans="1:33" ht="13.8">
      <c r="A214" s="73"/>
      <c r="B214" s="74"/>
      <c r="C214" s="7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</row>
    <row r="215" spans="1:33" ht="13.8">
      <c r="A215" s="73"/>
      <c r="B215" s="74"/>
      <c r="C215" s="7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</row>
    <row r="216" spans="1:33" ht="13.8">
      <c r="A216" s="73"/>
      <c r="B216" s="74"/>
      <c r="C216" s="7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</row>
    <row r="217" spans="1:33" ht="13.8">
      <c r="A217" s="73"/>
      <c r="B217" s="74"/>
      <c r="C217" s="7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</row>
    <row r="218" spans="1:33" ht="13.8">
      <c r="A218" s="73"/>
      <c r="B218" s="74"/>
      <c r="C218" s="7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</row>
    <row r="219" spans="1:33" ht="13.8">
      <c r="A219" s="73"/>
      <c r="B219" s="74"/>
      <c r="C219" s="7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</row>
    <row r="220" spans="1:33" ht="13.8">
      <c r="A220" s="73"/>
      <c r="B220" s="74"/>
      <c r="C220" s="7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</row>
    <row r="221" spans="1:33" ht="13.8">
      <c r="A221" s="73"/>
      <c r="B221" s="74"/>
      <c r="C221" s="7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</row>
    <row r="222" spans="1:33" ht="13.8">
      <c r="A222" s="73"/>
      <c r="B222" s="74"/>
      <c r="C222" s="7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</row>
    <row r="223" spans="1:33" ht="13.8">
      <c r="A223" s="73"/>
      <c r="B223" s="74"/>
      <c r="C223" s="7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</row>
    <row r="224" spans="1:33" ht="13.8">
      <c r="A224" s="73"/>
      <c r="B224" s="74"/>
      <c r="C224" s="7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</row>
    <row r="225" spans="1:33" ht="13.8">
      <c r="A225" s="73"/>
      <c r="B225" s="74"/>
      <c r="C225" s="7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</row>
    <row r="226" spans="1:33" ht="13.8">
      <c r="A226" s="73"/>
      <c r="B226" s="74"/>
      <c r="C226" s="7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</row>
    <row r="227" spans="1:33" ht="13.8">
      <c r="A227" s="73"/>
      <c r="B227" s="74"/>
      <c r="C227" s="7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</row>
    <row r="228" spans="1:33" ht="13.8">
      <c r="A228" s="73"/>
      <c r="B228" s="74"/>
      <c r="C228" s="7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</row>
    <row r="229" spans="1:33" ht="13.8">
      <c r="A229" s="73"/>
      <c r="B229" s="74"/>
      <c r="C229" s="7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</row>
    <row r="230" spans="1:33" ht="13.8">
      <c r="A230" s="73"/>
      <c r="B230" s="74"/>
      <c r="C230" s="7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</row>
    <row r="231" spans="1:33" ht="13.8">
      <c r="A231" s="73"/>
      <c r="B231" s="74"/>
      <c r="C231" s="7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</row>
    <row r="232" spans="1:33" ht="13.8">
      <c r="A232" s="73"/>
      <c r="B232" s="74"/>
      <c r="C232" s="7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</row>
    <row r="233" spans="1:33" ht="13.8">
      <c r="A233" s="73"/>
      <c r="B233" s="74"/>
      <c r="C233" s="7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</row>
    <row r="234" spans="1:33" ht="13.8">
      <c r="A234" s="73"/>
      <c r="B234" s="74"/>
      <c r="C234" s="7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</row>
    <row r="235" spans="1:33" ht="13.8">
      <c r="A235" s="73"/>
      <c r="B235" s="74"/>
      <c r="C235" s="7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</row>
    <row r="236" spans="1:33" ht="13.8">
      <c r="A236" s="73"/>
      <c r="B236" s="74"/>
      <c r="C236" s="7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</row>
    <row r="237" spans="1:33" ht="13.8">
      <c r="A237" s="73"/>
      <c r="B237" s="74"/>
      <c r="C237" s="7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</row>
    <row r="238" spans="1:33" ht="13.8">
      <c r="A238" s="73"/>
      <c r="B238" s="74"/>
      <c r="C238" s="7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</row>
    <row r="239" spans="1:33" ht="13.8">
      <c r="A239" s="73"/>
      <c r="B239" s="74"/>
      <c r="C239" s="7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</row>
    <row r="240" spans="1:33" ht="13.8">
      <c r="A240" s="73"/>
      <c r="B240" s="74"/>
      <c r="C240" s="7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</row>
    <row r="241" spans="1:33" ht="13.8">
      <c r="A241" s="73"/>
      <c r="B241" s="74"/>
      <c r="C241" s="7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</row>
    <row r="242" spans="1:33" ht="13.8">
      <c r="A242" s="73"/>
      <c r="B242" s="74"/>
      <c r="C242" s="7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</row>
    <row r="243" spans="1:33" ht="13.8">
      <c r="A243" s="73"/>
      <c r="B243" s="74"/>
      <c r="C243" s="7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</row>
    <row r="244" spans="1:33" ht="13.8">
      <c r="A244" s="73"/>
      <c r="B244" s="74"/>
      <c r="C244" s="7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</row>
    <row r="245" spans="1:33" ht="13.8">
      <c r="A245" s="73"/>
      <c r="B245" s="74"/>
      <c r="C245" s="7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</row>
    <row r="246" spans="1:33" ht="13.8">
      <c r="A246" s="73"/>
      <c r="B246" s="74"/>
      <c r="C246" s="7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</row>
    <row r="247" spans="1:33" ht="13.8">
      <c r="A247" s="73"/>
      <c r="B247" s="74"/>
      <c r="C247" s="7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</row>
    <row r="248" spans="1:33" ht="13.8">
      <c r="A248" s="73"/>
      <c r="B248" s="74"/>
      <c r="C248" s="7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</row>
    <row r="249" spans="1:33" ht="13.8">
      <c r="A249" s="73"/>
      <c r="B249" s="74"/>
      <c r="C249" s="7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</row>
    <row r="250" spans="1:33" ht="13.8">
      <c r="A250" s="73"/>
      <c r="B250" s="74"/>
      <c r="C250" s="7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</row>
    <row r="251" spans="1:33" ht="13.8">
      <c r="A251" s="73"/>
      <c r="B251" s="74"/>
      <c r="C251" s="7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</row>
    <row r="252" spans="1:33" ht="13.8">
      <c r="A252" s="73"/>
      <c r="B252" s="74"/>
      <c r="C252" s="7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</row>
    <row r="253" spans="1:33" ht="13.8">
      <c r="A253" s="73"/>
      <c r="B253" s="74"/>
      <c r="C253" s="7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</row>
    <row r="254" spans="1:33" ht="13.8">
      <c r="A254" s="73"/>
      <c r="B254" s="74"/>
      <c r="C254" s="7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</row>
    <row r="255" spans="1:33" ht="13.8">
      <c r="A255" s="73"/>
      <c r="B255" s="74"/>
      <c r="C255" s="7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</row>
    <row r="256" spans="1:33" ht="13.8">
      <c r="A256" s="73"/>
      <c r="B256" s="74"/>
      <c r="C256" s="7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</row>
    <row r="257" spans="1:33" ht="13.8">
      <c r="A257" s="73"/>
      <c r="B257" s="74"/>
      <c r="C257" s="7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</row>
    <row r="258" spans="1:33" ht="13.8">
      <c r="A258" s="73"/>
      <c r="B258" s="74"/>
      <c r="C258" s="7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</row>
    <row r="259" spans="1:33" ht="13.8">
      <c r="A259" s="73"/>
      <c r="B259" s="74"/>
      <c r="C259" s="7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</row>
    <row r="260" spans="1:33" ht="13.8">
      <c r="A260" s="73"/>
      <c r="B260" s="74"/>
      <c r="C260" s="7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</row>
    <row r="261" spans="1:33" ht="13.8">
      <c r="A261" s="73"/>
      <c r="B261" s="74"/>
      <c r="C261" s="7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</row>
    <row r="262" spans="1:33" ht="13.8">
      <c r="A262" s="73"/>
      <c r="B262" s="74"/>
      <c r="C262" s="7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</row>
    <row r="263" spans="1:33" ht="13.8">
      <c r="A263" s="73"/>
      <c r="B263" s="74"/>
      <c r="C263" s="7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</row>
    <row r="264" spans="1:33" ht="13.8">
      <c r="A264" s="73"/>
      <c r="B264" s="74"/>
      <c r="C264" s="7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</row>
    <row r="265" spans="1:33" ht="13.8">
      <c r="A265" s="73"/>
      <c r="B265" s="74"/>
      <c r="C265" s="7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</row>
    <row r="266" spans="1:33" ht="13.8">
      <c r="A266" s="73"/>
      <c r="B266" s="74"/>
      <c r="C266" s="7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</row>
    <row r="267" spans="1:33" ht="13.8">
      <c r="A267" s="73"/>
      <c r="B267" s="74"/>
      <c r="C267" s="7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</row>
    <row r="268" spans="1:33" ht="13.8">
      <c r="A268" s="73"/>
      <c r="B268" s="74"/>
      <c r="C268" s="7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</row>
    <row r="269" spans="1:33" ht="13.8">
      <c r="A269" s="73"/>
      <c r="B269" s="74"/>
      <c r="C269" s="7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</row>
    <row r="270" spans="1:33" ht="13.8">
      <c r="A270" s="73"/>
      <c r="B270" s="74"/>
      <c r="C270" s="7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</row>
    <row r="271" spans="1:33" ht="13.8">
      <c r="A271" s="73"/>
      <c r="B271" s="74"/>
      <c r="C271" s="7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</row>
    <row r="272" spans="1:33" ht="13.8">
      <c r="A272" s="73"/>
      <c r="B272" s="74"/>
      <c r="C272" s="7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</row>
    <row r="273" spans="1:33" ht="13.8">
      <c r="A273" s="73"/>
      <c r="B273" s="74"/>
      <c r="C273" s="7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</row>
    <row r="274" spans="1:33" ht="13.8">
      <c r="A274" s="73"/>
      <c r="B274" s="74"/>
      <c r="C274" s="7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</row>
    <row r="275" spans="1:33" ht="13.8">
      <c r="A275" s="73"/>
      <c r="B275" s="74"/>
      <c r="C275" s="7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</row>
    <row r="276" spans="1:33" ht="13.8">
      <c r="A276" s="73"/>
      <c r="B276" s="74"/>
      <c r="C276" s="7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</row>
    <row r="277" spans="1:33" ht="13.8">
      <c r="A277" s="73"/>
      <c r="B277" s="74"/>
      <c r="C277" s="7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</row>
    <row r="278" spans="1:33" ht="13.8">
      <c r="A278" s="73"/>
      <c r="B278" s="74"/>
      <c r="C278" s="7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</row>
    <row r="279" spans="1:33" ht="13.8">
      <c r="A279" s="73"/>
      <c r="B279" s="74"/>
      <c r="C279" s="7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</row>
    <row r="280" spans="1:33" ht="13.8">
      <c r="A280" s="73"/>
      <c r="B280" s="74"/>
      <c r="C280" s="7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</row>
    <row r="281" spans="1:33" ht="13.8">
      <c r="A281" s="73"/>
      <c r="B281" s="74"/>
      <c r="C281" s="7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</row>
    <row r="282" spans="1:33" ht="13.8">
      <c r="A282" s="73"/>
      <c r="B282" s="74"/>
      <c r="C282" s="7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</row>
    <row r="283" spans="1:33" ht="13.8">
      <c r="A283" s="73"/>
      <c r="B283" s="74"/>
      <c r="C283" s="7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</row>
    <row r="284" spans="1:33" ht="13.8">
      <c r="A284" s="73"/>
      <c r="B284" s="74"/>
      <c r="C284" s="7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</row>
    <row r="285" spans="1:33" ht="13.8">
      <c r="A285" s="73"/>
      <c r="B285" s="74"/>
      <c r="C285" s="7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</row>
    <row r="286" spans="1:33" ht="13.8">
      <c r="A286" s="73"/>
      <c r="B286" s="74"/>
      <c r="C286" s="7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</row>
    <row r="287" spans="1:33" ht="13.8">
      <c r="A287" s="73"/>
      <c r="B287" s="74"/>
      <c r="C287" s="7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</row>
    <row r="288" spans="1:33" ht="13.8">
      <c r="A288" s="73"/>
      <c r="B288" s="74"/>
      <c r="C288" s="7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</row>
    <row r="289" spans="1:33" ht="13.8">
      <c r="A289" s="73"/>
      <c r="B289" s="74"/>
      <c r="C289" s="7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</row>
    <row r="290" spans="1:33" ht="13.8">
      <c r="A290" s="73"/>
      <c r="B290" s="74"/>
      <c r="C290" s="7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</row>
    <row r="291" spans="1:33" ht="13.8">
      <c r="A291" s="73"/>
      <c r="B291" s="74"/>
      <c r="C291" s="7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</row>
    <row r="292" spans="1:33" ht="13.8">
      <c r="A292" s="73"/>
      <c r="B292" s="74"/>
      <c r="C292" s="7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</row>
    <row r="293" spans="1:33" ht="13.8">
      <c r="A293" s="73"/>
      <c r="B293" s="74"/>
      <c r="C293" s="7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</row>
    <row r="294" spans="1:33" ht="13.8">
      <c r="A294" s="73"/>
      <c r="B294" s="74"/>
      <c r="C294" s="7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</row>
    <row r="295" spans="1:33" ht="13.8">
      <c r="A295" s="73"/>
      <c r="B295" s="74"/>
      <c r="C295" s="7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</row>
    <row r="296" spans="1:33" ht="13.8">
      <c r="A296" s="73"/>
      <c r="B296" s="74"/>
      <c r="C296" s="7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</row>
    <row r="297" spans="1:33" ht="13.8">
      <c r="A297" s="73"/>
      <c r="B297" s="74"/>
      <c r="C297" s="7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</row>
    <row r="298" spans="1:33" ht="13.8">
      <c r="A298" s="73"/>
      <c r="B298" s="74"/>
      <c r="C298" s="7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</row>
    <row r="299" spans="1:33" ht="13.8">
      <c r="A299" s="73"/>
      <c r="B299" s="74"/>
      <c r="C299" s="7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</row>
    <row r="300" spans="1:33" ht="13.8">
      <c r="A300" s="73"/>
      <c r="B300" s="74"/>
      <c r="C300" s="7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</row>
    <row r="301" spans="1:33" ht="13.8">
      <c r="A301" s="73"/>
      <c r="B301" s="74"/>
      <c r="C301" s="7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</row>
    <row r="302" spans="1:33" ht="13.8">
      <c r="A302" s="73"/>
      <c r="B302" s="74"/>
      <c r="C302" s="7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</row>
    <row r="303" spans="1:33" ht="13.8">
      <c r="A303" s="73"/>
      <c r="B303" s="74"/>
      <c r="C303" s="7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</row>
    <row r="304" spans="1:33" ht="13.8">
      <c r="A304" s="73"/>
      <c r="B304" s="74"/>
      <c r="C304" s="7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</row>
    <row r="305" spans="1:33" ht="13.8">
      <c r="A305" s="73"/>
      <c r="B305" s="74"/>
      <c r="C305" s="7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</row>
    <row r="306" spans="1:33" ht="13.8">
      <c r="A306" s="73"/>
      <c r="B306" s="74"/>
      <c r="C306" s="7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</row>
    <row r="307" spans="1:33" ht="13.8">
      <c r="A307" s="73"/>
      <c r="B307" s="74"/>
      <c r="C307" s="7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</row>
    <row r="308" spans="1:33" ht="13.8">
      <c r="A308" s="73"/>
      <c r="B308" s="74"/>
      <c r="C308" s="7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</row>
    <row r="309" spans="1:33" ht="13.8">
      <c r="A309" s="73"/>
      <c r="B309" s="74"/>
      <c r="C309" s="7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</row>
    <row r="310" spans="1:33" ht="13.8">
      <c r="A310" s="73"/>
      <c r="B310" s="74"/>
      <c r="C310" s="7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</row>
    <row r="311" spans="1:33" ht="13.8">
      <c r="A311" s="73"/>
      <c r="B311" s="74"/>
      <c r="C311" s="7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</row>
    <row r="312" spans="1:33" ht="13.8">
      <c r="A312" s="73"/>
      <c r="B312" s="74"/>
      <c r="C312" s="7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</row>
    <row r="313" spans="1:33" ht="13.8">
      <c r="A313" s="73"/>
      <c r="B313" s="74"/>
      <c r="C313" s="7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</row>
    <row r="314" spans="1:33" ht="13.8">
      <c r="A314" s="73"/>
      <c r="B314" s="74"/>
      <c r="C314" s="7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</row>
    <row r="315" spans="1:33" ht="13.8">
      <c r="A315" s="73"/>
      <c r="B315" s="74"/>
      <c r="C315" s="7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</row>
    <row r="316" spans="1:33" ht="13.8">
      <c r="A316" s="73"/>
      <c r="B316" s="74"/>
      <c r="C316" s="7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</row>
    <row r="317" spans="1:33" ht="13.8">
      <c r="A317" s="73"/>
      <c r="B317" s="74"/>
      <c r="C317" s="7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</row>
    <row r="318" spans="1:33" ht="13.8">
      <c r="A318" s="73"/>
      <c r="B318" s="74"/>
      <c r="C318" s="7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</row>
    <row r="319" spans="1:33" ht="13.8">
      <c r="A319" s="73"/>
      <c r="B319" s="74"/>
      <c r="C319" s="7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</row>
    <row r="320" spans="1:33" ht="13.8">
      <c r="A320" s="73"/>
      <c r="B320" s="74"/>
      <c r="C320" s="7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</row>
    <row r="321" spans="1:33" ht="13.8">
      <c r="A321" s="73"/>
      <c r="B321" s="74"/>
      <c r="C321" s="7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</row>
    <row r="322" spans="1:33" ht="13.8">
      <c r="A322" s="73"/>
      <c r="B322" s="74"/>
      <c r="C322" s="7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</row>
    <row r="323" spans="1:33" ht="13.8">
      <c r="A323" s="73"/>
      <c r="B323" s="74"/>
      <c r="C323" s="7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</row>
    <row r="324" spans="1:33" ht="13.8">
      <c r="A324" s="73"/>
      <c r="B324" s="74"/>
      <c r="C324" s="7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</row>
    <row r="325" spans="1:33" ht="13.8">
      <c r="A325" s="73"/>
      <c r="B325" s="74"/>
      <c r="C325" s="7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</row>
    <row r="326" spans="1:33" ht="13.8">
      <c r="A326" s="73"/>
      <c r="B326" s="74"/>
      <c r="C326" s="7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</row>
    <row r="327" spans="1:33" ht="13.8">
      <c r="A327" s="73"/>
      <c r="B327" s="74"/>
      <c r="C327" s="7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</row>
    <row r="328" spans="1:33" ht="13.8">
      <c r="A328" s="73"/>
      <c r="B328" s="74"/>
      <c r="C328" s="7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</row>
    <row r="329" spans="1:33" ht="13.8">
      <c r="A329" s="73"/>
      <c r="B329" s="74"/>
      <c r="C329" s="7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</row>
    <row r="330" spans="1:33" ht="13.8">
      <c r="A330" s="73"/>
      <c r="B330" s="74"/>
      <c r="C330" s="7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</row>
    <row r="331" spans="1:33" ht="13.8">
      <c r="A331" s="73"/>
      <c r="B331" s="74"/>
      <c r="C331" s="7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</row>
    <row r="332" spans="1:33" ht="13.8">
      <c r="A332" s="73"/>
      <c r="B332" s="74"/>
      <c r="C332" s="7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</row>
    <row r="333" spans="1:33" ht="13.8">
      <c r="A333" s="73"/>
      <c r="B333" s="74"/>
      <c r="C333" s="7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</row>
    <row r="334" spans="1:33" ht="13.8">
      <c r="A334" s="73"/>
      <c r="B334" s="74"/>
      <c r="C334" s="7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</row>
    <row r="335" spans="1:33" ht="13.8">
      <c r="A335" s="73"/>
      <c r="B335" s="74"/>
      <c r="C335" s="7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</row>
    <row r="336" spans="1:33" ht="13.8">
      <c r="A336" s="73"/>
      <c r="B336" s="74"/>
      <c r="C336" s="7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</row>
    <row r="337" spans="1:33" ht="13.8">
      <c r="A337" s="73"/>
      <c r="B337" s="74"/>
      <c r="C337" s="7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</row>
    <row r="338" spans="1:33" ht="13.8">
      <c r="A338" s="73"/>
      <c r="B338" s="74"/>
      <c r="C338" s="7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</row>
    <row r="339" spans="1:33" ht="13.8">
      <c r="A339" s="73"/>
      <c r="B339" s="74"/>
      <c r="C339" s="7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</row>
    <row r="340" spans="1:33" ht="13.8">
      <c r="A340" s="73"/>
      <c r="B340" s="74"/>
      <c r="C340" s="7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</row>
    <row r="341" spans="1:33" ht="13.8">
      <c r="A341" s="73"/>
      <c r="B341" s="74"/>
      <c r="C341" s="7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</row>
    <row r="342" spans="1:33" ht="13.8">
      <c r="A342" s="73"/>
      <c r="B342" s="74"/>
      <c r="C342" s="7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</row>
    <row r="343" spans="1:33" ht="13.8">
      <c r="A343" s="73"/>
      <c r="B343" s="74"/>
      <c r="C343" s="7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</row>
    <row r="344" spans="1:33" ht="13.8">
      <c r="A344" s="73"/>
      <c r="B344" s="74"/>
      <c r="C344" s="7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</row>
    <row r="345" spans="1:33" ht="13.8">
      <c r="A345" s="73"/>
      <c r="B345" s="74"/>
      <c r="C345" s="7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</row>
    <row r="346" spans="1:33" ht="13.8">
      <c r="A346" s="73"/>
      <c r="B346" s="74"/>
      <c r="C346" s="7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</row>
    <row r="347" spans="1:33" ht="13.8">
      <c r="A347" s="73"/>
      <c r="B347" s="74"/>
      <c r="C347" s="7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</row>
    <row r="348" spans="1:33" ht="13.8">
      <c r="A348" s="73"/>
      <c r="B348" s="74"/>
      <c r="C348" s="7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</row>
    <row r="349" spans="1:33" ht="13.8">
      <c r="A349" s="73"/>
      <c r="B349" s="74"/>
      <c r="C349" s="7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</row>
    <row r="350" spans="1:33" ht="13.8">
      <c r="A350" s="73"/>
      <c r="B350" s="74"/>
      <c r="C350" s="7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</row>
    <row r="351" spans="1:33" ht="13.8">
      <c r="A351" s="73"/>
      <c r="B351" s="74"/>
      <c r="C351" s="7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</row>
    <row r="352" spans="1:33" ht="13.8">
      <c r="A352" s="73"/>
      <c r="B352" s="74"/>
      <c r="C352" s="7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</row>
    <row r="353" spans="1:33" ht="13.8">
      <c r="A353" s="73"/>
      <c r="B353" s="74"/>
      <c r="C353" s="7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</row>
    <row r="354" spans="1:33" ht="13.8">
      <c r="A354" s="73"/>
      <c r="B354" s="74"/>
      <c r="C354" s="7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</row>
    <row r="355" spans="1:33" ht="13.8">
      <c r="A355" s="73"/>
      <c r="B355" s="74"/>
      <c r="C355" s="7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</row>
    <row r="356" spans="1:33" ht="13.8">
      <c r="A356" s="73"/>
      <c r="B356" s="74"/>
      <c r="C356" s="7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</row>
    <row r="357" spans="1:33" ht="13.8">
      <c r="A357" s="73"/>
      <c r="B357" s="74"/>
      <c r="C357" s="7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</row>
    <row r="358" spans="1:33" ht="13.8">
      <c r="A358" s="73"/>
      <c r="B358" s="74"/>
      <c r="C358" s="7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</row>
    <row r="359" spans="1:33" ht="13.8">
      <c r="A359" s="73"/>
      <c r="B359" s="74"/>
      <c r="C359" s="7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</row>
    <row r="360" spans="1:33" ht="13.8">
      <c r="A360" s="73"/>
      <c r="B360" s="74"/>
      <c r="C360" s="7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</row>
    <row r="361" spans="1:33" ht="13.8">
      <c r="A361" s="73"/>
      <c r="B361" s="74"/>
      <c r="C361" s="7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</row>
    <row r="362" spans="1:33" ht="13.8">
      <c r="A362" s="73"/>
      <c r="B362" s="74"/>
      <c r="C362" s="7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</row>
    <row r="363" spans="1:33" ht="13.8">
      <c r="A363" s="73"/>
      <c r="B363" s="74"/>
      <c r="C363" s="7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</row>
    <row r="364" spans="1:33" ht="13.8">
      <c r="A364" s="73"/>
      <c r="B364" s="74"/>
      <c r="C364" s="7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</row>
    <row r="365" spans="1:33" ht="13.8">
      <c r="A365" s="73"/>
      <c r="B365" s="74"/>
      <c r="C365" s="7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</row>
    <row r="366" spans="1:33" ht="13.8">
      <c r="A366" s="73"/>
      <c r="B366" s="74"/>
      <c r="C366" s="7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</row>
    <row r="367" spans="1:33" ht="13.8">
      <c r="A367" s="73"/>
      <c r="B367" s="74"/>
      <c r="C367" s="7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</row>
    <row r="368" spans="1:33" ht="13.8">
      <c r="A368" s="73"/>
      <c r="B368" s="74"/>
      <c r="C368" s="7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</row>
    <row r="369" spans="1:33" ht="13.8">
      <c r="A369" s="73"/>
      <c r="B369" s="74"/>
      <c r="C369" s="7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</row>
    <row r="370" spans="1:33" ht="13.8">
      <c r="A370" s="73"/>
      <c r="B370" s="74"/>
      <c r="C370" s="7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</row>
    <row r="371" spans="1:33" ht="13.8">
      <c r="A371" s="73"/>
      <c r="B371" s="74"/>
      <c r="C371" s="7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</row>
    <row r="372" spans="1:33" ht="13.8">
      <c r="A372" s="73"/>
      <c r="B372" s="74"/>
      <c r="C372" s="7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</row>
    <row r="373" spans="1:33" ht="13.8">
      <c r="A373" s="73"/>
      <c r="B373" s="74"/>
      <c r="C373" s="7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</row>
    <row r="374" spans="1:33" ht="13.8">
      <c r="A374" s="73"/>
      <c r="B374" s="74"/>
      <c r="C374" s="7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</row>
    <row r="375" spans="1:33" ht="13.8">
      <c r="A375" s="73"/>
      <c r="B375" s="74"/>
      <c r="C375" s="7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</row>
    <row r="376" spans="1:33" ht="13.8">
      <c r="A376" s="73"/>
      <c r="B376" s="74"/>
      <c r="C376" s="7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</row>
    <row r="377" spans="1:33" ht="13.8">
      <c r="A377" s="73"/>
      <c r="B377" s="74"/>
      <c r="C377" s="7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</row>
    <row r="378" spans="1:33" ht="13.8">
      <c r="A378" s="73"/>
      <c r="B378" s="74"/>
      <c r="C378" s="7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</row>
    <row r="379" spans="1:33" ht="13.8">
      <c r="A379" s="73"/>
      <c r="B379" s="74"/>
      <c r="C379" s="7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</row>
    <row r="380" spans="1:33" ht="13.8">
      <c r="A380" s="73"/>
      <c r="B380" s="74"/>
      <c r="C380" s="7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</row>
    <row r="381" spans="1:33" ht="13.8">
      <c r="A381" s="73"/>
      <c r="B381" s="74"/>
      <c r="C381" s="7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</row>
    <row r="382" spans="1:33" ht="13.8">
      <c r="A382" s="73"/>
      <c r="B382" s="74"/>
      <c r="C382" s="7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</row>
    <row r="383" spans="1:33" ht="13.8">
      <c r="A383" s="73"/>
      <c r="B383" s="74"/>
      <c r="C383" s="7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</row>
    <row r="384" spans="1:33" ht="13.8">
      <c r="A384" s="73"/>
      <c r="B384" s="74"/>
      <c r="C384" s="7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</row>
    <row r="385" spans="1:33" ht="13.8">
      <c r="A385" s="73"/>
      <c r="B385" s="74"/>
      <c r="C385" s="7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</row>
    <row r="386" spans="1:33" ht="13.8">
      <c r="A386" s="73"/>
      <c r="B386" s="74"/>
      <c r="C386" s="7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</row>
    <row r="387" spans="1:33" ht="13.8">
      <c r="A387" s="73"/>
      <c r="B387" s="74"/>
      <c r="C387" s="7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</row>
    <row r="388" spans="1:33" ht="13.8">
      <c r="A388" s="73"/>
      <c r="B388" s="74"/>
      <c r="C388" s="7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</row>
    <row r="389" spans="1:33" ht="13.8">
      <c r="A389" s="73"/>
      <c r="B389" s="74"/>
      <c r="C389" s="7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</row>
    <row r="390" spans="1:33" ht="13.8">
      <c r="A390" s="73"/>
      <c r="B390" s="74"/>
      <c r="C390" s="7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</row>
    <row r="391" spans="1:33" ht="13.8">
      <c r="A391" s="73"/>
      <c r="B391" s="74"/>
      <c r="C391" s="7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</row>
    <row r="392" spans="1:33" ht="13.8">
      <c r="A392" s="73"/>
      <c r="B392" s="74"/>
      <c r="C392" s="7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</row>
    <row r="393" spans="1:33" ht="13.8">
      <c r="A393" s="73"/>
      <c r="B393" s="74"/>
      <c r="C393" s="7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</row>
    <row r="394" spans="1:33" ht="13.8">
      <c r="A394" s="73"/>
      <c r="B394" s="74"/>
      <c r="C394" s="7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</row>
    <row r="395" spans="1:33" ht="13.8">
      <c r="A395" s="73"/>
      <c r="B395" s="74"/>
      <c r="C395" s="7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</row>
    <row r="396" spans="1:33" ht="13.8">
      <c r="A396" s="73"/>
      <c r="B396" s="74"/>
      <c r="C396" s="7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</row>
    <row r="397" spans="1:33" ht="13.8">
      <c r="A397" s="73"/>
      <c r="B397" s="74"/>
      <c r="C397" s="7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</row>
    <row r="398" spans="1:33" ht="13.8">
      <c r="A398" s="73"/>
      <c r="B398" s="74"/>
      <c r="C398" s="7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</row>
    <row r="399" spans="1:33" ht="13.8">
      <c r="A399" s="73"/>
      <c r="B399" s="74"/>
      <c r="C399" s="7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</row>
    <row r="400" spans="1:33" ht="13.8">
      <c r="A400" s="73"/>
      <c r="B400" s="74"/>
      <c r="C400" s="7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</row>
    <row r="401" spans="1:33" ht="13.8">
      <c r="A401" s="73"/>
      <c r="B401" s="74"/>
      <c r="C401" s="7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</row>
    <row r="402" spans="1:33" ht="13.8">
      <c r="A402" s="73"/>
      <c r="B402" s="74"/>
      <c r="C402" s="7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</row>
    <row r="403" spans="1:33" ht="13.8">
      <c r="A403" s="73"/>
      <c r="B403" s="74"/>
      <c r="C403" s="7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</row>
    <row r="404" spans="1:33" ht="13.8">
      <c r="A404" s="73"/>
      <c r="B404" s="74"/>
      <c r="C404" s="7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</row>
    <row r="405" spans="1:33" ht="13.8">
      <c r="A405" s="73"/>
      <c r="B405" s="74"/>
      <c r="C405" s="7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</row>
    <row r="406" spans="1:33" ht="13.8">
      <c r="A406" s="73"/>
      <c r="B406" s="74"/>
      <c r="C406" s="7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</row>
    <row r="407" spans="1:33" ht="13.8">
      <c r="A407" s="73"/>
      <c r="B407" s="74"/>
      <c r="C407" s="7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</row>
    <row r="408" spans="1:33" ht="13.8">
      <c r="A408" s="73"/>
      <c r="B408" s="74"/>
      <c r="C408" s="7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</row>
    <row r="409" spans="1:33" ht="13.8">
      <c r="A409" s="73"/>
      <c r="B409" s="74"/>
      <c r="C409" s="7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</row>
    <row r="410" spans="1:33" ht="13.8">
      <c r="A410" s="73"/>
      <c r="B410" s="74"/>
      <c r="C410" s="7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</row>
    <row r="411" spans="1:33" ht="13.8">
      <c r="A411" s="73"/>
      <c r="B411" s="74"/>
      <c r="C411" s="7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</row>
    <row r="412" spans="1:33" ht="13.8">
      <c r="A412" s="73"/>
      <c r="B412" s="74"/>
      <c r="C412" s="7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</row>
    <row r="413" spans="1:33" ht="13.8">
      <c r="A413" s="73"/>
      <c r="B413" s="74"/>
      <c r="C413" s="7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</row>
    <row r="414" spans="1:33" ht="13.8">
      <c r="A414" s="73"/>
      <c r="B414" s="74"/>
      <c r="C414" s="7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</row>
    <row r="415" spans="1:33" ht="13.8">
      <c r="A415" s="73"/>
      <c r="B415" s="74"/>
      <c r="C415" s="7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</row>
    <row r="416" spans="1:33" ht="13.8">
      <c r="A416" s="73"/>
      <c r="B416" s="74"/>
      <c r="C416" s="7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</row>
    <row r="417" spans="1:33" ht="13.8">
      <c r="A417" s="73"/>
      <c r="B417" s="74"/>
      <c r="C417" s="7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</row>
    <row r="418" spans="1:33" ht="13.8">
      <c r="A418" s="73"/>
      <c r="B418" s="74"/>
      <c r="C418" s="7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</row>
    <row r="419" spans="1:33" ht="13.8">
      <c r="A419" s="73"/>
      <c r="B419" s="74"/>
      <c r="C419" s="7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</row>
    <row r="420" spans="1:33" ht="13.8">
      <c r="A420" s="73"/>
      <c r="B420" s="74"/>
      <c r="C420" s="7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</row>
    <row r="421" spans="1:33" ht="13.8">
      <c r="A421" s="73"/>
      <c r="B421" s="74"/>
      <c r="C421" s="7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</row>
    <row r="422" spans="1:33" ht="13.8">
      <c r="A422" s="73"/>
      <c r="B422" s="74"/>
      <c r="C422" s="7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</row>
    <row r="423" spans="1:33" ht="13.8">
      <c r="A423" s="73"/>
      <c r="B423" s="74"/>
      <c r="C423" s="7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</row>
    <row r="424" spans="1:33" ht="13.8">
      <c r="A424" s="73"/>
      <c r="B424" s="74"/>
      <c r="C424" s="7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</row>
    <row r="425" spans="1:33" ht="13.8">
      <c r="A425" s="73"/>
      <c r="B425" s="74"/>
      <c r="C425" s="7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</row>
    <row r="426" spans="1:33" ht="13.8">
      <c r="A426" s="73"/>
      <c r="B426" s="74"/>
      <c r="C426" s="7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</row>
    <row r="427" spans="1:33" ht="13.8">
      <c r="A427" s="73"/>
      <c r="B427" s="74"/>
      <c r="C427" s="7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</row>
    <row r="428" spans="1:33" ht="13.8">
      <c r="A428" s="73"/>
      <c r="B428" s="74"/>
      <c r="C428" s="7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</row>
    <row r="429" spans="1:33" ht="13.8">
      <c r="A429" s="73"/>
      <c r="B429" s="74"/>
      <c r="C429" s="7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</row>
    <row r="430" spans="1:33" ht="13.8">
      <c r="A430" s="73"/>
      <c r="B430" s="74"/>
      <c r="C430" s="7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</row>
    <row r="431" spans="1:33" ht="13.8">
      <c r="A431" s="73"/>
      <c r="B431" s="74"/>
      <c r="C431" s="7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</row>
    <row r="432" spans="1:33" ht="13.8">
      <c r="A432" s="73"/>
      <c r="B432" s="74"/>
      <c r="C432" s="7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</row>
    <row r="433" spans="1:33" ht="13.8">
      <c r="A433" s="73"/>
      <c r="B433" s="74"/>
      <c r="C433" s="7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</row>
    <row r="434" spans="1:33" ht="13.8">
      <c r="A434" s="73"/>
      <c r="B434" s="74"/>
      <c r="C434" s="7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</row>
    <row r="435" spans="1:33" ht="13.8">
      <c r="A435" s="73"/>
      <c r="B435" s="74"/>
      <c r="C435" s="7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</row>
    <row r="436" spans="1:33" ht="13.8">
      <c r="A436" s="73"/>
      <c r="B436" s="74"/>
      <c r="C436" s="7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</row>
    <row r="437" spans="1:33" ht="13.8">
      <c r="A437" s="73"/>
      <c r="B437" s="74"/>
      <c r="C437" s="7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</row>
    <row r="438" spans="1:33" ht="13.8">
      <c r="A438" s="73"/>
      <c r="B438" s="74"/>
      <c r="C438" s="7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</row>
    <row r="439" spans="1:33" ht="13.8">
      <c r="A439" s="73"/>
      <c r="B439" s="74"/>
      <c r="C439" s="7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</row>
    <row r="440" spans="1:33" ht="13.8">
      <c r="A440" s="73"/>
      <c r="B440" s="74"/>
      <c r="C440" s="7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</row>
    <row r="441" spans="1:33" ht="13.8">
      <c r="A441" s="73"/>
      <c r="B441" s="74"/>
      <c r="C441" s="7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</row>
    <row r="442" spans="1:33" ht="13.8">
      <c r="A442" s="73"/>
      <c r="B442" s="74"/>
      <c r="C442" s="7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</row>
    <row r="443" spans="1:33" ht="13.8">
      <c r="A443" s="73"/>
      <c r="B443" s="74"/>
      <c r="C443" s="7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</row>
    <row r="444" spans="1:33" ht="13.8">
      <c r="A444" s="73"/>
      <c r="B444" s="74"/>
      <c r="C444" s="7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</row>
    <row r="445" spans="1:33" ht="13.8">
      <c r="A445" s="73"/>
      <c r="B445" s="74"/>
      <c r="C445" s="7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</row>
    <row r="446" spans="1:33" ht="13.8">
      <c r="A446" s="73"/>
      <c r="B446" s="74"/>
      <c r="C446" s="7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</row>
    <row r="447" spans="1:33" ht="13.8">
      <c r="A447" s="73"/>
      <c r="B447" s="74"/>
      <c r="C447" s="7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</row>
    <row r="448" spans="1:33" ht="13.8">
      <c r="A448" s="73"/>
      <c r="B448" s="74"/>
      <c r="C448" s="7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</row>
    <row r="449" spans="1:33" ht="13.8">
      <c r="A449" s="73"/>
      <c r="B449" s="74"/>
      <c r="C449" s="7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</row>
    <row r="450" spans="1:33" ht="13.8">
      <c r="A450" s="73"/>
      <c r="B450" s="74"/>
      <c r="C450" s="7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</row>
    <row r="451" spans="1:33" ht="13.8">
      <c r="A451" s="73"/>
      <c r="B451" s="74"/>
      <c r="C451" s="7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</row>
    <row r="452" spans="1:33" ht="13.8">
      <c r="A452" s="73"/>
      <c r="B452" s="74"/>
      <c r="C452" s="7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</row>
    <row r="453" spans="1:33" ht="13.8">
      <c r="A453" s="73"/>
      <c r="B453" s="74"/>
      <c r="C453" s="7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</row>
    <row r="454" spans="1:33" ht="13.8">
      <c r="A454" s="73"/>
      <c r="B454" s="74"/>
      <c r="C454" s="7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</row>
    <row r="455" spans="1:33" ht="13.8">
      <c r="A455" s="73"/>
      <c r="B455" s="74"/>
      <c r="C455" s="7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</row>
    <row r="456" spans="1:33" ht="13.8">
      <c r="A456" s="73"/>
      <c r="B456" s="74"/>
      <c r="C456" s="7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</row>
    <row r="457" spans="1:33" ht="13.8">
      <c r="A457" s="73"/>
      <c r="B457" s="74"/>
      <c r="C457" s="7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</row>
    <row r="458" spans="1:33" ht="13.8">
      <c r="A458" s="73"/>
      <c r="B458" s="74"/>
      <c r="C458" s="7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</row>
    <row r="459" spans="1:33" ht="13.8">
      <c r="A459" s="73"/>
      <c r="B459" s="74"/>
      <c r="C459" s="7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</row>
    <row r="460" spans="1:33" ht="13.8">
      <c r="A460" s="73"/>
      <c r="B460" s="74"/>
      <c r="C460" s="7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</row>
    <row r="461" spans="1:33" ht="13.8">
      <c r="A461" s="73"/>
      <c r="B461" s="74"/>
      <c r="C461" s="7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</row>
    <row r="462" spans="1:33" ht="13.8">
      <c r="A462" s="73"/>
      <c r="B462" s="74"/>
      <c r="C462" s="7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</row>
    <row r="463" spans="1:33" ht="13.8">
      <c r="A463" s="73"/>
      <c r="B463" s="74"/>
      <c r="C463" s="7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</row>
    <row r="464" spans="1:33" ht="13.8">
      <c r="A464" s="73"/>
      <c r="B464" s="74"/>
      <c r="C464" s="7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</row>
    <row r="465" spans="1:33" ht="13.8">
      <c r="A465" s="73"/>
      <c r="B465" s="74"/>
      <c r="C465" s="7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</row>
    <row r="466" spans="1:33" ht="13.8">
      <c r="A466" s="73"/>
      <c r="B466" s="74"/>
      <c r="C466" s="7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</row>
    <row r="467" spans="1:33" ht="13.8">
      <c r="A467" s="73"/>
      <c r="B467" s="74"/>
      <c r="C467" s="7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</row>
    <row r="468" spans="1:33" ht="13.8">
      <c r="A468" s="73"/>
      <c r="B468" s="74"/>
      <c r="C468" s="7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</row>
    <row r="469" spans="1:33" ht="13.8">
      <c r="A469" s="73"/>
      <c r="B469" s="74"/>
      <c r="C469" s="7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</row>
    <row r="470" spans="1:33" ht="13.8">
      <c r="A470" s="73"/>
      <c r="B470" s="74"/>
      <c r="C470" s="7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</row>
    <row r="471" spans="1:33" ht="13.8">
      <c r="A471" s="73"/>
      <c r="B471" s="74"/>
      <c r="C471" s="7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</row>
    <row r="472" spans="1:33" ht="13.8">
      <c r="A472" s="73"/>
      <c r="B472" s="74"/>
      <c r="C472" s="7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</row>
    <row r="473" spans="1:33" ht="13.8">
      <c r="A473" s="73"/>
      <c r="B473" s="74"/>
      <c r="C473" s="7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</row>
    <row r="474" spans="1:33" ht="13.8">
      <c r="A474" s="73"/>
      <c r="B474" s="74"/>
      <c r="C474" s="7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</row>
    <row r="475" spans="1:33" ht="13.8">
      <c r="A475" s="73"/>
      <c r="B475" s="74"/>
      <c r="C475" s="7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</row>
    <row r="476" spans="1:33" ht="13.8">
      <c r="A476" s="73"/>
      <c r="B476" s="74"/>
      <c r="C476" s="7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</row>
    <row r="477" spans="1:33" ht="13.8">
      <c r="A477" s="73"/>
      <c r="B477" s="74"/>
      <c r="C477" s="7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</row>
    <row r="478" spans="1:33" ht="13.8">
      <c r="A478" s="73"/>
      <c r="B478" s="74"/>
      <c r="C478" s="7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</row>
    <row r="479" spans="1:33" ht="13.8">
      <c r="A479" s="73"/>
      <c r="B479" s="74"/>
      <c r="C479" s="7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</row>
    <row r="480" spans="1:33" ht="13.8">
      <c r="A480" s="73"/>
      <c r="B480" s="74"/>
      <c r="C480" s="7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</row>
    <row r="481" spans="1:33" ht="13.8">
      <c r="A481" s="73"/>
      <c r="B481" s="74"/>
      <c r="C481" s="7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</row>
    <row r="482" spans="1:33" ht="13.8">
      <c r="A482" s="73"/>
      <c r="B482" s="74"/>
      <c r="C482" s="7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</row>
    <row r="483" spans="1:33" ht="13.8">
      <c r="A483" s="73"/>
      <c r="B483" s="74"/>
      <c r="C483" s="7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</row>
    <row r="484" spans="1:33" ht="13.8">
      <c r="A484" s="73"/>
      <c r="B484" s="74"/>
      <c r="C484" s="7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</row>
    <row r="485" spans="1:33" ht="13.8">
      <c r="A485" s="73"/>
      <c r="B485" s="74"/>
      <c r="C485" s="7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</row>
    <row r="486" spans="1:33" ht="13.8">
      <c r="A486" s="73"/>
      <c r="B486" s="74"/>
      <c r="C486" s="7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</row>
    <row r="487" spans="1:33" ht="13.8">
      <c r="A487" s="73"/>
      <c r="B487" s="74"/>
      <c r="C487" s="7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</row>
    <row r="488" spans="1:33" ht="13.8">
      <c r="A488" s="73"/>
      <c r="B488" s="74"/>
      <c r="C488" s="7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</row>
    <row r="489" spans="1:33" ht="13.8">
      <c r="A489" s="73"/>
      <c r="B489" s="74"/>
      <c r="C489" s="7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</row>
    <row r="490" spans="1:33" ht="13.8">
      <c r="A490" s="73"/>
      <c r="B490" s="74"/>
      <c r="C490" s="7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</row>
    <row r="491" spans="1:33" ht="13.8">
      <c r="A491" s="73"/>
      <c r="B491" s="74"/>
      <c r="C491" s="7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</row>
    <row r="492" spans="1:33" ht="13.8">
      <c r="A492" s="73"/>
      <c r="B492" s="74"/>
      <c r="C492" s="7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</row>
    <row r="493" spans="1:33" ht="13.8">
      <c r="A493" s="73"/>
      <c r="B493" s="74"/>
      <c r="C493" s="7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</row>
    <row r="494" spans="1:33" ht="13.8">
      <c r="A494" s="73"/>
      <c r="B494" s="74"/>
      <c r="C494" s="7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</row>
    <row r="495" spans="1:33" ht="13.8">
      <c r="A495" s="73"/>
      <c r="B495" s="74"/>
      <c r="C495" s="7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</row>
    <row r="496" spans="1:33" ht="13.8">
      <c r="A496" s="73"/>
      <c r="B496" s="74"/>
      <c r="C496" s="7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</row>
    <row r="497" spans="1:33" ht="13.8">
      <c r="A497" s="73"/>
      <c r="B497" s="74"/>
      <c r="C497" s="7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</row>
    <row r="498" spans="1:33" ht="13.8">
      <c r="A498" s="73"/>
      <c r="B498" s="74"/>
      <c r="C498" s="7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</row>
    <row r="499" spans="1:33" ht="13.8">
      <c r="A499" s="73"/>
      <c r="B499" s="74"/>
      <c r="C499" s="7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</row>
    <row r="500" spans="1:33" ht="13.8">
      <c r="A500" s="73"/>
      <c r="B500" s="74"/>
      <c r="C500" s="7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</row>
    <row r="501" spans="1:33" ht="13.8">
      <c r="A501" s="73"/>
      <c r="B501" s="74"/>
      <c r="C501" s="7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</row>
    <row r="502" spans="1:33" ht="13.8">
      <c r="A502" s="73"/>
      <c r="B502" s="74"/>
      <c r="C502" s="7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</row>
    <row r="503" spans="1:33" ht="13.8">
      <c r="A503" s="73"/>
      <c r="B503" s="74"/>
      <c r="C503" s="7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</row>
    <row r="504" spans="1:33" ht="13.8">
      <c r="A504" s="73"/>
      <c r="B504" s="74"/>
      <c r="C504" s="7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</row>
    <row r="505" spans="1:33" ht="13.8">
      <c r="A505" s="73"/>
      <c r="B505" s="74"/>
      <c r="C505" s="7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</row>
    <row r="506" spans="1:33" ht="13.8">
      <c r="A506" s="73"/>
      <c r="B506" s="74"/>
      <c r="C506" s="7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</row>
    <row r="507" spans="1:33" ht="13.8">
      <c r="A507" s="73"/>
      <c r="B507" s="74"/>
      <c r="C507" s="7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</row>
    <row r="508" spans="1:33" ht="13.8">
      <c r="A508" s="73"/>
      <c r="B508" s="74"/>
      <c r="C508" s="7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</row>
    <row r="509" spans="1:33" ht="13.8">
      <c r="A509" s="73"/>
      <c r="B509" s="74"/>
      <c r="C509" s="7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</row>
    <row r="510" spans="1:33" ht="13.8">
      <c r="A510" s="73"/>
      <c r="B510" s="74"/>
      <c r="C510" s="7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</row>
    <row r="511" spans="1:33" ht="13.8">
      <c r="A511" s="73"/>
      <c r="B511" s="74"/>
      <c r="C511" s="7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</row>
    <row r="512" spans="1:33" ht="13.8">
      <c r="A512" s="73"/>
      <c r="B512" s="74"/>
      <c r="C512" s="7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</row>
    <row r="513" spans="1:33" ht="13.8">
      <c r="A513" s="73"/>
      <c r="B513" s="74"/>
      <c r="C513" s="7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</row>
    <row r="514" spans="1:33" ht="13.8">
      <c r="A514" s="73"/>
      <c r="B514" s="74"/>
      <c r="C514" s="7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</row>
    <row r="515" spans="1:33" ht="13.8">
      <c r="A515" s="73"/>
      <c r="B515" s="74"/>
      <c r="C515" s="7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</row>
    <row r="516" spans="1:33" ht="13.8">
      <c r="A516" s="73"/>
      <c r="B516" s="74"/>
      <c r="C516" s="7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</row>
    <row r="517" spans="1:33" ht="13.8">
      <c r="A517" s="73"/>
      <c r="B517" s="74"/>
      <c r="C517" s="7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</row>
    <row r="518" spans="1:33" ht="13.8">
      <c r="A518" s="73"/>
      <c r="B518" s="74"/>
      <c r="C518" s="7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</row>
    <row r="519" spans="1:33" ht="13.8">
      <c r="A519" s="73"/>
      <c r="B519" s="74"/>
      <c r="C519" s="7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</row>
    <row r="520" spans="1:33" ht="13.8">
      <c r="A520" s="73"/>
      <c r="B520" s="74"/>
      <c r="C520" s="7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</row>
    <row r="521" spans="1:33" ht="13.8">
      <c r="A521" s="73"/>
      <c r="B521" s="74"/>
      <c r="C521" s="7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</row>
    <row r="522" spans="1:33" ht="13.8">
      <c r="A522" s="73"/>
      <c r="B522" s="74"/>
      <c r="C522" s="7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</row>
    <row r="523" spans="1:33" ht="13.8">
      <c r="A523" s="73"/>
      <c r="B523" s="74"/>
      <c r="C523" s="7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</row>
    <row r="524" spans="1:33" ht="13.8">
      <c r="A524" s="73"/>
      <c r="B524" s="74"/>
      <c r="C524" s="7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</row>
    <row r="525" spans="1:33" ht="13.8">
      <c r="A525" s="73"/>
      <c r="B525" s="74"/>
      <c r="C525" s="7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</row>
    <row r="526" spans="1:33" ht="13.8">
      <c r="A526" s="73"/>
      <c r="B526" s="74"/>
      <c r="C526" s="7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</row>
    <row r="527" spans="1:33" ht="13.8">
      <c r="A527" s="73"/>
      <c r="B527" s="74"/>
      <c r="C527" s="7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</row>
    <row r="528" spans="1:33" ht="13.8">
      <c r="A528" s="73"/>
      <c r="B528" s="74"/>
      <c r="C528" s="7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</row>
    <row r="529" spans="1:33" ht="13.8">
      <c r="A529" s="73"/>
      <c r="B529" s="74"/>
      <c r="C529" s="7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</row>
    <row r="530" spans="1:33" ht="13.8">
      <c r="A530" s="73"/>
      <c r="B530" s="74"/>
      <c r="C530" s="7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</row>
    <row r="531" spans="1:33" ht="13.8">
      <c r="A531" s="73"/>
      <c r="B531" s="74"/>
      <c r="C531" s="7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</row>
    <row r="532" spans="1:33" ht="13.8">
      <c r="A532" s="73"/>
      <c r="B532" s="74"/>
      <c r="C532" s="7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</row>
    <row r="533" spans="1:33" ht="13.8">
      <c r="A533" s="73"/>
      <c r="B533" s="74"/>
      <c r="C533" s="7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</row>
    <row r="534" spans="1:33" ht="13.8">
      <c r="A534" s="73"/>
      <c r="B534" s="74"/>
      <c r="C534" s="7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</row>
    <row r="535" spans="1:33" ht="13.8">
      <c r="A535" s="73"/>
      <c r="B535" s="74"/>
      <c r="C535" s="7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</row>
    <row r="536" spans="1:33" ht="13.8">
      <c r="A536" s="73"/>
      <c r="B536" s="74"/>
      <c r="C536" s="7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</row>
    <row r="537" spans="1:33" ht="13.8">
      <c r="A537" s="73"/>
      <c r="B537" s="74"/>
      <c r="C537" s="7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</row>
    <row r="538" spans="1:33" ht="13.8">
      <c r="A538" s="73"/>
      <c r="B538" s="74"/>
      <c r="C538" s="7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</row>
    <row r="539" spans="1:33" ht="13.8">
      <c r="A539" s="73"/>
      <c r="B539" s="74"/>
      <c r="C539" s="7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</row>
    <row r="540" spans="1:33" ht="13.8">
      <c r="A540" s="73"/>
      <c r="B540" s="74"/>
      <c r="C540" s="7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</row>
    <row r="541" spans="1:33" ht="13.8">
      <c r="A541" s="73"/>
      <c r="B541" s="74"/>
      <c r="C541" s="7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</row>
    <row r="542" spans="1:33" ht="13.8">
      <c r="A542" s="73"/>
      <c r="B542" s="74"/>
      <c r="C542" s="7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</row>
    <row r="543" spans="1:33" ht="13.8">
      <c r="A543" s="73"/>
      <c r="B543" s="74"/>
      <c r="C543" s="7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</row>
    <row r="544" spans="1:33" ht="13.8">
      <c r="A544" s="73"/>
      <c r="B544" s="74"/>
      <c r="C544" s="7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</row>
    <row r="545" spans="1:33" ht="13.8">
      <c r="A545" s="73"/>
      <c r="B545" s="74"/>
      <c r="C545" s="7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</row>
    <row r="546" spans="1:33" ht="13.8">
      <c r="A546" s="73"/>
      <c r="B546" s="74"/>
      <c r="C546" s="7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</row>
    <row r="547" spans="1:33" ht="13.8">
      <c r="A547" s="73"/>
      <c r="B547" s="74"/>
      <c r="C547" s="7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</row>
    <row r="548" spans="1:33" ht="13.8">
      <c r="A548" s="73"/>
      <c r="B548" s="74"/>
      <c r="C548" s="7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</row>
    <row r="549" spans="1:33" ht="13.8">
      <c r="A549" s="73"/>
      <c r="B549" s="74"/>
      <c r="C549" s="7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</row>
    <row r="550" spans="1:33" ht="13.8">
      <c r="A550" s="73"/>
      <c r="B550" s="74"/>
      <c r="C550" s="7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</row>
    <row r="551" spans="1:33" ht="13.8">
      <c r="A551" s="73"/>
      <c r="B551" s="74"/>
      <c r="C551" s="7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</row>
    <row r="552" spans="1:33" ht="13.8">
      <c r="A552" s="73"/>
      <c r="B552" s="74"/>
      <c r="C552" s="7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</row>
    <row r="553" spans="1:33" ht="13.8">
      <c r="A553" s="73"/>
      <c r="B553" s="74"/>
      <c r="C553" s="7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</row>
    <row r="554" spans="1:33" ht="13.8">
      <c r="A554" s="73"/>
      <c r="B554" s="74"/>
      <c r="C554" s="7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</row>
    <row r="555" spans="1:33" ht="13.8">
      <c r="A555" s="73"/>
      <c r="B555" s="74"/>
      <c r="C555" s="7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</row>
    <row r="556" spans="1:33" ht="13.8">
      <c r="A556" s="73"/>
      <c r="B556" s="74"/>
      <c r="C556" s="7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</row>
    <row r="557" spans="1:33" ht="13.8">
      <c r="A557" s="73"/>
      <c r="B557" s="74"/>
      <c r="C557" s="7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</row>
    <row r="558" spans="1:33" ht="13.8">
      <c r="A558" s="73"/>
      <c r="B558" s="74"/>
      <c r="C558" s="7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</row>
    <row r="559" spans="1:33" ht="13.8">
      <c r="A559" s="73"/>
      <c r="B559" s="74"/>
      <c r="C559" s="7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</row>
    <row r="560" spans="1:33" ht="13.8">
      <c r="A560" s="73"/>
      <c r="B560" s="74"/>
      <c r="C560" s="7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</row>
    <row r="561" spans="1:33" ht="13.8">
      <c r="A561" s="73"/>
      <c r="B561" s="74"/>
      <c r="C561" s="7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</row>
    <row r="562" spans="1:33" ht="13.8">
      <c r="A562" s="73"/>
      <c r="B562" s="74"/>
      <c r="C562" s="7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</row>
    <row r="563" spans="1:33" ht="13.8">
      <c r="A563" s="73"/>
      <c r="B563" s="74"/>
      <c r="C563" s="7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</row>
    <row r="564" spans="1:33" ht="13.8">
      <c r="A564" s="73"/>
      <c r="B564" s="74"/>
      <c r="C564" s="7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</row>
    <row r="565" spans="1:33" ht="13.8">
      <c r="A565" s="73"/>
      <c r="B565" s="74"/>
      <c r="C565" s="7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</row>
    <row r="566" spans="1:33" ht="13.8">
      <c r="A566" s="73"/>
      <c r="B566" s="74"/>
      <c r="C566" s="7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</row>
    <row r="567" spans="1:33" ht="13.8">
      <c r="A567" s="73"/>
      <c r="B567" s="74"/>
      <c r="C567" s="7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</row>
    <row r="568" spans="1:33" ht="13.8">
      <c r="A568" s="73"/>
      <c r="B568" s="74"/>
      <c r="C568" s="7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</row>
    <row r="569" spans="1:33" ht="13.8">
      <c r="A569" s="73"/>
      <c r="B569" s="74"/>
      <c r="C569" s="7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</row>
    <row r="570" spans="1:33" ht="13.8">
      <c r="A570" s="73"/>
      <c r="B570" s="74"/>
      <c r="C570" s="7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</row>
    <row r="571" spans="1:33" ht="13.8">
      <c r="A571" s="73"/>
      <c r="B571" s="74"/>
      <c r="C571" s="7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</row>
    <row r="572" spans="1:33" ht="13.8">
      <c r="A572" s="73"/>
      <c r="B572" s="74"/>
      <c r="C572" s="7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</row>
    <row r="573" spans="1:33" ht="13.8">
      <c r="A573" s="73"/>
      <c r="B573" s="74"/>
      <c r="C573" s="7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</row>
    <row r="574" spans="1:33" ht="13.8">
      <c r="A574" s="73"/>
      <c r="B574" s="74"/>
      <c r="C574" s="7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</row>
    <row r="575" spans="1:33" ht="13.8">
      <c r="A575" s="73"/>
      <c r="B575" s="74"/>
      <c r="C575" s="7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</row>
    <row r="576" spans="1:33" ht="13.8">
      <c r="A576" s="73"/>
      <c r="B576" s="74"/>
      <c r="C576" s="7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</row>
    <row r="577" spans="1:33" ht="13.8">
      <c r="A577" s="73"/>
      <c r="B577" s="74"/>
      <c r="C577" s="7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</row>
    <row r="578" spans="1:33" ht="13.8">
      <c r="A578" s="73"/>
      <c r="B578" s="74"/>
      <c r="C578" s="7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</row>
    <row r="579" spans="1:33" ht="13.8">
      <c r="A579" s="73"/>
      <c r="B579" s="74"/>
      <c r="C579" s="7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</row>
    <row r="580" spans="1:33" ht="13.8">
      <c r="A580" s="73"/>
      <c r="B580" s="74"/>
      <c r="C580" s="7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</row>
    <row r="581" spans="1:33" ht="13.8">
      <c r="A581" s="73"/>
      <c r="B581" s="74"/>
      <c r="C581" s="7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</row>
    <row r="582" spans="1:33" ht="13.8">
      <c r="A582" s="73"/>
      <c r="B582" s="74"/>
      <c r="C582" s="7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</row>
    <row r="583" spans="1:33" ht="13.8">
      <c r="A583" s="73"/>
      <c r="B583" s="74"/>
      <c r="C583" s="7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</row>
    <row r="584" spans="1:33" ht="13.8">
      <c r="A584" s="73"/>
      <c r="B584" s="74"/>
      <c r="C584" s="7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</row>
    <row r="585" spans="1:33" ht="13.8">
      <c r="A585" s="73"/>
      <c r="B585" s="74"/>
      <c r="C585" s="7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</row>
    <row r="586" spans="1:33" ht="13.8">
      <c r="A586" s="73"/>
      <c r="B586" s="74"/>
      <c r="C586" s="7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</row>
    <row r="587" spans="1:33" ht="13.8">
      <c r="A587" s="73"/>
      <c r="B587" s="74"/>
      <c r="C587" s="7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</row>
    <row r="588" spans="1:33" ht="13.8">
      <c r="A588" s="73"/>
      <c r="B588" s="74"/>
      <c r="C588" s="7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</row>
    <row r="589" spans="1:33" ht="13.8">
      <c r="A589" s="73"/>
      <c r="B589" s="74"/>
      <c r="C589" s="7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</row>
    <row r="590" spans="1:33" ht="13.8">
      <c r="A590" s="73"/>
      <c r="B590" s="74"/>
      <c r="C590" s="7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</row>
    <row r="591" spans="1:33" ht="13.8">
      <c r="A591" s="73"/>
      <c r="B591" s="74"/>
      <c r="C591" s="7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</row>
    <row r="592" spans="1:33" ht="13.8">
      <c r="A592" s="73"/>
      <c r="B592" s="74"/>
      <c r="C592" s="7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</row>
    <row r="593" spans="1:33" ht="13.8">
      <c r="A593" s="73"/>
      <c r="B593" s="74"/>
      <c r="C593" s="7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</row>
    <row r="594" spans="1:33" ht="13.8">
      <c r="A594" s="73"/>
      <c r="B594" s="74"/>
      <c r="C594" s="7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</row>
    <row r="595" spans="1:33" ht="13.8">
      <c r="A595" s="73"/>
      <c r="B595" s="74"/>
      <c r="C595" s="7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</row>
    <row r="596" spans="1:33" ht="13.8">
      <c r="A596" s="73"/>
      <c r="B596" s="74"/>
      <c r="C596" s="7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</row>
    <row r="597" spans="1:33" ht="13.8">
      <c r="A597" s="73"/>
      <c r="B597" s="74"/>
      <c r="C597" s="7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</row>
    <row r="598" spans="1:33" ht="13.8">
      <c r="A598" s="73"/>
      <c r="B598" s="74"/>
      <c r="C598" s="7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</row>
    <row r="599" spans="1:33" ht="13.8">
      <c r="A599" s="73"/>
      <c r="B599" s="74"/>
      <c r="C599" s="7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</row>
    <row r="600" spans="1:33" ht="13.8">
      <c r="A600" s="73"/>
      <c r="B600" s="74"/>
      <c r="C600" s="7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</row>
    <row r="601" spans="1:33" ht="13.8">
      <c r="A601" s="73"/>
      <c r="B601" s="74"/>
      <c r="C601" s="7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</row>
    <row r="602" spans="1:33" ht="13.8">
      <c r="A602" s="73"/>
      <c r="B602" s="74"/>
      <c r="C602" s="7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</row>
    <row r="603" spans="1:33" ht="13.8">
      <c r="A603" s="73"/>
      <c r="B603" s="74"/>
      <c r="C603" s="7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</row>
    <row r="604" spans="1:33" ht="13.8">
      <c r="A604" s="73"/>
      <c r="B604" s="74"/>
      <c r="C604" s="7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</row>
    <row r="605" spans="1:33" ht="13.8">
      <c r="A605" s="73"/>
      <c r="B605" s="74"/>
      <c r="C605" s="7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</row>
    <row r="606" spans="1:33" ht="13.8">
      <c r="A606" s="73"/>
      <c r="B606" s="74"/>
      <c r="C606" s="7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</row>
    <row r="607" spans="1:33" ht="13.8">
      <c r="A607" s="73"/>
      <c r="B607" s="74"/>
      <c r="C607" s="7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</row>
    <row r="608" spans="1:33" ht="13.8">
      <c r="A608" s="73"/>
      <c r="B608" s="74"/>
      <c r="C608" s="7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</row>
    <row r="609" spans="1:33" ht="13.8">
      <c r="A609" s="73"/>
      <c r="B609" s="74"/>
      <c r="C609" s="7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</row>
    <row r="610" spans="1:33" ht="13.8">
      <c r="A610" s="73"/>
      <c r="B610" s="74"/>
      <c r="C610" s="7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</row>
    <row r="611" spans="1:33" ht="13.8">
      <c r="A611" s="73"/>
      <c r="B611" s="74"/>
      <c r="C611" s="7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</row>
    <row r="612" spans="1:33" ht="13.8">
      <c r="A612" s="73"/>
      <c r="B612" s="74"/>
      <c r="C612" s="7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</row>
    <row r="613" spans="1:33" ht="13.8">
      <c r="A613" s="73"/>
      <c r="B613" s="74"/>
      <c r="C613" s="7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</row>
    <row r="614" spans="1:33" ht="13.8">
      <c r="A614" s="73"/>
      <c r="B614" s="74"/>
      <c r="C614" s="7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</row>
    <row r="615" spans="1:33" ht="13.8">
      <c r="A615" s="73"/>
      <c r="B615" s="74"/>
      <c r="C615" s="7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</row>
    <row r="616" spans="1:33" ht="13.8">
      <c r="A616" s="73"/>
      <c r="B616" s="74"/>
      <c r="C616" s="7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</row>
    <row r="617" spans="1:33" ht="13.8">
      <c r="A617" s="73"/>
      <c r="B617" s="74"/>
      <c r="C617" s="7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</row>
    <row r="618" spans="1:33" ht="13.8">
      <c r="A618" s="73"/>
      <c r="B618" s="74"/>
      <c r="C618" s="7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</row>
    <row r="619" spans="1:33" ht="13.8">
      <c r="A619" s="73"/>
      <c r="B619" s="74"/>
      <c r="C619" s="7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</row>
    <row r="620" spans="1:33" ht="13.8">
      <c r="A620" s="73"/>
      <c r="B620" s="74"/>
      <c r="C620" s="7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</row>
    <row r="621" spans="1:33" ht="13.8">
      <c r="A621" s="73"/>
      <c r="B621" s="74"/>
      <c r="C621" s="7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</row>
    <row r="622" spans="1:33" ht="13.8">
      <c r="A622" s="73"/>
      <c r="B622" s="74"/>
      <c r="C622" s="7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</row>
    <row r="623" spans="1:33" ht="13.8">
      <c r="A623" s="73"/>
      <c r="B623" s="74"/>
      <c r="C623" s="7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</row>
    <row r="624" spans="1:33" ht="13.8">
      <c r="A624" s="73"/>
      <c r="B624" s="74"/>
      <c r="C624" s="7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</row>
    <row r="625" spans="1:33" ht="13.8">
      <c r="A625" s="73"/>
      <c r="B625" s="74"/>
      <c r="C625" s="7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</row>
    <row r="626" spans="1:33" ht="13.8">
      <c r="A626" s="73"/>
      <c r="B626" s="74"/>
      <c r="C626" s="7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</row>
    <row r="627" spans="1:33" ht="13.8">
      <c r="A627" s="73"/>
      <c r="B627" s="74"/>
      <c r="C627" s="7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</row>
    <row r="628" spans="1:33" ht="13.8">
      <c r="A628" s="73"/>
      <c r="B628" s="74"/>
      <c r="C628" s="7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</row>
    <row r="629" spans="1:33" ht="13.8">
      <c r="A629" s="73"/>
      <c r="B629" s="74"/>
      <c r="C629" s="7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</row>
    <row r="630" spans="1:33" ht="13.8">
      <c r="A630" s="73"/>
      <c r="B630" s="74"/>
      <c r="C630" s="7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</row>
    <row r="631" spans="1:33" ht="13.8">
      <c r="A631" s="73"/>
      <c r="B631" s="74"/>
      <c r="C631" s="7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</row>
    <row r="632" spans="1:33" ht="13.8">
      <c r="A632" s="73"/>
      <c r="B632" s="74"/>
      <c r="C632" s="7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</row>
    <row r="633" spans="1:33" ht="13.8">
      <c r="A633" s="73"/>
      <c r="B633" s="74"/>
      <c r="C633" s="7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</row>
    <row r="634" spans="1:33" ht="13.8">
      <c r="A634" s="73"/>
      <c r="B634" s="74"/>
      <c r="C634" s="7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</row>
    <row r="635" spans="1:33" ht="13.8">
      <c r="A635" s="73"/>
      <c r="B635" s="74"/>
      <c r="C635" s="7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</row>
    <row r="636" spans="1:33" ht="13.8">
      <c r="A636" s="73"/>
      <c r="B636" s="74"/>
      <c r="C636" s="7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</row>
    <row r="637" spans="1:33" ht="13.8">
      <c r="A637" s="73"/>
      <c r="B637" s="74"/>
      <c r="C637" s="7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</row>
    <row r="638" spans="1:33" ht="13.8">
      <c r="A638" s="73"/>
      <c r="B638" s="74"/>
      <c r="C638" s="7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</row>
    <row r="639" spans="1:33" ht="13.8">
      <c r="A639" s="73"/>
      <c r="B639" s="74"/>
      <c r="C639" s="7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</row>
    <row r="640" spans="1:33" ht="13.8">
      <c r="A640" s="73"/>
      <c r="B640" s="74"/>
      <c r="C640" s="7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</row>
    <row r="641" spans="1:33" ht="13.8">
      <c r="A641" s="73"/>
      <c r="B641" s="74"/>
      <c r="C641" s="7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</row>
    <row r="642" spans="1:33" ht="13.8">
      <c r="A642" s="73"/>
      <c r="B642" s="74"/>
      <c r="C642" s="7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</row>
    <row r="643" spans="1:33" ht="13.8">
      <c r="A643" s="73"/>
      <c r="B643" s="74"/>
      <c r="C643" s="7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</row>
    <row r="644" spans="1:33" ht="13.8">
      <c r="A644" s="73"/>
      <c r="B644" s="74"/>
      <c r="C644" s="7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</row>
    <row r="645" spans="1:33" ht="13.8">
      <c r="A645" s="73"/>
      <c r="B645" s="74"/>
      <c r="C645" s="7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</row>
    <row r="646" spans="1:33" ht="13.8">
      <c r="A646" s="73"/>
      <c r="B646" s="74"/>
      <c r="C646" s="7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</row>
    <row r="647" spans="1:33" ht="13.8">
      <c r="A647" s="73"/>
      <c r="B647" s="74"/>
      <c r="C647" s="7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</row>
    <row r="648" spans="1:33" ht="13.8">
      <c r="A648" s="73"/>
      <c r="B648" s="74"/>
      <c r="C648" s="7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</row>
    <row r="649" spans="1:33" ht="13.8">
      <c r="A649" s="73"/>
      <c r="B649" s="74"/>
      <c r="C649" s="7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</row>
    <row r="650" spans="1:33" ht="13.8">
      <c r="A650" s="73"/>
      <c r="B650" s="74"/>
      <c r="C650" s="7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</row>
    <row r="651" spans="1:33" ht="13.8">
      <c r="A651" s="73"/>
      <c r="B651" s="74"/>
      <c r="C651" s="7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</row>
    <row r="652" spans="1:33" ht="13.8">
      <c r="A652" s="73"/>
      <c r="B652" s="74"/>
      <c r="C652" s="7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</row>
    <row r="653" spans="1:33" ht="13.8">
      <c r="A653" s="73"/>
      <c r="B653" s="74"/>
      <c r="C653" s="7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</row>
    <row r="654" spans="1:33" ht="13.8">
      <c r="A654" s="73"/>
      <c r="B654" s="74"/>
      <c r="C654" s="7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</row>
    <row r="655" spans="1:33" ht="13.8">
      <c r="A655" s="73"/>
      <c r="B655" s="74"/>
      <c r="C655" s="7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</row>
    <row r="656" spans="1:33" ht="13.8">
      <c r="A656" s="73"/>
      <c r="B656" s="74"/>
      <c r="C656" s="7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</row>
    <row r="657" spans="1:33" ht="13.8">
      <c r="A657" s="73"/>
      <c r="B657" s="74"/>
      <c r="C657" s="7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</row>
    <row r="658" spans="1:33" ht="13.8">
      <c r="A658" s="73"/>
      <c r="B658" s="74"/>
      <c r="C658" s="7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</row>
    <row r="659" spans="1:33" ht="13.8">
      <c r="A659" s="73"/>
      <c r="B659" s="74"/>
      <c r="C659" s="7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</row>
    <row r="660" spans="1:33" ht="13.8">
      <c r="A660" s="73"/>
      <c r="B660" s="74"/>
      <c r="C660" s="7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</row>
    <row r="661" spans="1:33" ht="13.8">
      <c r="A661" s="73"/>
      <c r="B661" s="74"/>
      <c r="C661" s="7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</row>
    <row r="662" spans="1:33" ht="13.8">
      <c r="A662" s="73"/>
      <c r="B662" s="74"/>
      <c r="C662" s="7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</row>
    <row r="663" spans="1:33" ht="13.8">
      <c r="A663" s="73"/>
      <c r="B663" s="74"/>
      <c r="C663" s="7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</row>
    <row r="664" spans="1:33" ht="13.8">
      <c r="A664" s="73"/>
      <c r="B664" s="74"/>
      <c r="C664" s="7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</row>
    <row r="665" spans="1:33" ht="13.8">
      <c r="A665" s="73"/>
      <c r="B665" s="74"/>
      <c r="C665" s="7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</row>
    <row r="666" spans="1:33" ht="13.8">
      <c r="A666" s="73"/>
      <c r="B666" s="74"/>
      <c r="C666" s="7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</row>
    <row r="667" spans="1:33" ht="13.8">
      <c r="A667" s="73"/>
      <c r="B667" s="74"/>
      <c r="C667" s="7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</row>
    <row r="668" spans="1:33" ht="13.8">
      <c r="A668" s="73"/>
      <c r="B668" s="74"/>
      <c r="C668" s="7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</row>
    <row r="669" spans="1:33" ht="13.8">
      <c r="A669" s="73"/>
      <c r="B669" s="74"/>
      <c r="C669" s="7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</row>
    <row r="670" spans="1:33" ht="13.8">
      <c r="A670" s="73"/>
      <c r="B670" s="74"/>
      <c r="C670" s="7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</row>
    <row r="671" spans="1:33" ht="13.8">
      <c r="A671" s="73"/>
      <c r="B671" s="74"/>
      <c r="C671" s="7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</row>
    <row r="672" spans="1:33" ht="13.8">
      <c r="A672" s="73"/>
      <c r="B672" s="74"/>
      <c r="C672" s="7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</row>
    <row r="673" spans="1:33" ht="13.8">
      <c r="A673" s="73"/>
      <c r="B673" s="74"/>
      <c r="C673" s="7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</row>
    <row r="674" spans="1:33" ht="13.8">
      <c r="A674" s="73"/>
      <c r="B674" s="74"/>
      <c r="C674" s="7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</row>
    <row r="675" spans="1:33" ht="13.8">
      <c r="A675" s="73"/>
      <c r="B675" s="74"/>
      <c r="C675" s="7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</row>
    <row r="676" spans="1:33" ht="13.8">
      <c r="A676" s="73"/>
      <c r="B676" s="74"/>
      <c r="C676" s="7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</row>
    <row r="677" spans="1:33" ht="13.8">
      <c r="A677" s="73"/>
      <c r="B677" s="74"/>
      <c r="C677" s="7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</row>
    <row r="678" spans="1:33" ht="13.8">
      <c r="A678" s="73"/>
      <c r="B678" s="74"/>
      <c r="C678" s="7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</row>
    <row r="679" spans="1:33" ht="13.8">
      <c r="A679" s="73"/>
      <c r="B679" s="74"/>
      <c r="C679" s="7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</row>
    <row r="680" spans="1:33" ht="13.8">
      <c r="A680" s="73"/>
      <c r="B680" s="74"/>
      <c r="C680" s="7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</row>
    <row r="681" spans="1:33" ht="13.8">
      <c r="A681" s="73"/>
      <c r="B681" s="74"/>
      <c r="C681" s="7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</row>
    <row r="682" spans="1:33" ht="13.8">
      <c r="A682" s="73"/>
      <c r="B682" s="74"/>
      <c r="C682" s="7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</row>
    <row r="683" spans="1:33" ht="13.8">
      <c r="A683" s="73"/>
      <c r="B683" s="74"/>
      <c r="C683" s="7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</row>
    <row r="684" spans="1:33" ht="13.8">
      <c r="A684" s="73"/>
      <c r="B684" s="74"/>
      <c r="C684" s="7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</row>
    <row r="685" spans="1:33" ht="13.8">
      <c r="A685" s="73"/>
      <c r="B685" s="74"/>
      <c r="C685" s="7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</row>
    <row r="686" spans="1:33" ht="13.8">
      <c r="A686" s="73"/>
      <c r="B686" s="74"/>
      <c r="C686" s="7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</row>
    <row r="687" spans="1:33" ht="13.8">
      <c r="A687" s="73"/>
      <c r="B687" s="74"/>
      <c r="C687" s="7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</row>
    <row r="688" spans="1:33" ht="13.8">
      <c r="A688" s="73"/>
      <c r="B688" s="74"/>
      <c r="C688" s="7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</row>
    <row r="689" spans="1:33" ht="13.8">
      <c r="A689" s="73"/>
      <c r="B689" s="74"/>
      <c r="C689" s="7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</row>
    <row r="690" spans="1:33" ht="13.8">
      <c r="A690" s="73"/>
      <c r="B690" s="74"/>
      <c r="C690" s="7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</row>
    <row r="691" spans="1:33" ht="13.8">
      <c r="A691" s="73"/>
      <c r="B691" s="74"/>
      <c r="C691" s="7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</row>
    <row r="692" spans="1:33" ht="13.8">
      <c r="A692" s="73"/>
      <c r="B692" s="74"/>
      <c r="C692" s="7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</row>
    <row r="693" spans="1:33" ht="13.8">
      <c r="A693" s="73"/>
      <c r="B693" s="74"/>
      <c r="C693" s="7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</row>
    <row r="694" spans="1:33" ht="13.8">
      <c r="A694" s="73"/>
      <c r="B694" s="74"/>
      <c r="C694" s="7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</row>
    <row r="695" spans="1:33" ht="13.8">
      <c r="A695" s="73"/>
      <c r="B695" s="74"/>
      <c r="C695" s="7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</row>
    <row r="696" spans="1:33" ht="13.8">
      <c r="A696" s="73"/>
      <c r="B696" s="74"/>
      <c r="C696" s="7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</row>
    <row r="697" spans="1:33" ht="13.8">
      <c r="A697" s="73"/>
      <c r="B697" s="74"/>
      <c r="C697" s="7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</row>
    <row r="698" spans="1:33" ht="13.8">
      <c r="A698" s="73"/>
      <c r="B698" s="74"/>
      <c r="C698" s="7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</row>
    <row r="699" spans="1:33" ht="13.8">
      <c r="A699" s="73"/>
      <c r="B699" s="74"/>
      <c r="C699" s="7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</row>
    <row r="700" spans="1:33" ht="13.8">
      <c r="A700" s="73"/>
      <c r="B700" s="74"/>
      <c r="C700" s="7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</row>
    <row r="701" spans="1:33" ht="13.8">
      <c r="A701" s="73"/>
      <c r="B701" s="74"/>
      <c r="C701" s="7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</row>
    <row r="702" spans="1:33" ht="13.8">
      <c r="A702" s="73"/>
      <c r="B702" s="74"/>
      <c r="C702" s="7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</row>
    <row r="703" spans="1:33" ht="13.8">
      <c r="A703" s="73"/>
      <c r="B703" s="74"/>
      <c r="C703" s="7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</row>
    <row r="704" spans="1:33" ht="13.8">
      <c r="A704" s="73"/>
      <c r="B704" s="74"/>
      <c r="C704" s="7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</row>
    <row r="705" spans="1:33" ht="13.8">
      <c r="A705" s="73"/>
      <c r="B705" s="74"/>
      <c r="C705" s="7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</row>
    <row r="706" spans="1:33" ht="13.8">
      <c r="A706" s="73"/>
      <c r="B706" s="74"/>
      <c r="C706" s="7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</row>
    <row r="707" spans="1:33" ht="13.8">
      <c r="A707" s="73"/>
      <c r="B707" s="74"/>
      <c r="C707" s="7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</row>
    <row r="708" spans="1:33" ht="13.8">
      <c r="A708" s="73"/>
      <c r="B708" s="74"/>
      <c r="C708" s="7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</row>
    <row r="709" spans="1:33" ht="13.8">
      <c r="A709" s="73"/>
      <c r="B709" s="74"/>
      <c r="C709" s="7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</row>
    <row r="710" spans="1:33" ht="13.8">
      <c r="A710" s="73"/>
      <c r="B710" s="74"/>
      <c r="C710" s="7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</row>
    <row r="711" spans="1:33" ht="13.8">
      <c r="A711" s="73"/>
      <c r="B711" s="74"/>
      <c r="C711" s="7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</row>
    <row r="712" spans="1:33" ht="13.8">
      <c r="A712" s="73"/>
      <c r="B712" s="74"/>
      <c r="C712" s="7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</row>
    <row r="713" spans="1:33" ht="13.8">
      <c r="A713" s="73"/>
      <c r="B713" s="74"/>
      <c r="C713" s="7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</row>
    <row r="714" spans="1:33" ht="13.8">
      <c r="A714" s="73"/>
      <c r="B714" s="74"/>
      <c r="C714" s="7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</row>
    <row r="715" spans="1:33" ht="13.8">
      <c r="A715" s="73"/>
      <c r="B715" s="74"/>
      <c r="C715" s="7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</row>
    <row r="716" spans="1:33" ht="13.8">
      <c r="A716" s="73"/>
      <c r="B716" s="74"/>
      <c r="C716" s="7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</row>
    <row r="717" spans="1:33" ht="13.8">
      <c r="A717" s="73"/>
      <c r="B717" s="74"/>
      <c r="C717" s="7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</row>
    <row r="718" spans="1:33" ht="13.8">
      <c r="A718" s="73"/>
      <c r="B718" s="74"/>
      <c r="C718" s="7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</row>
    <row r="719" spans="1:33" ht="13.8">
      <c r="A719" s="73"/>
      <c r="B719" s="74"/>
      <c r="C719" s="7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</row>
    <row r="720" spans="1:33" ht="13.8">
      <c r="A720" s="73"/>
      <c r="B720" s="74"/>
      <c r="C720" s="7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</row>
    <row r="721" spans="1:33" ht="13.8">
      <c r="A721" s="73"/>
      <c r="B721" s="74"/>
      <c r="C721" s="7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</row>
    <row r="722" spans="1:33" ht="13.8">
      <c r="A722" s="73"/>
      <c r="B722" s="74"/>
      <c r="C722" s="7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</row>
    <row r="723" spans="1:33" ht="13.8">
      <c r="A723" s="73"/>
      <c r="B723" s="74"/>
      <c r="C723" s="7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</row>
    <row r="724" spans="1:33" ht="13.8">
      <c r="A724" s="73"/>
      <c r="B724" s="74"/>
      <c r="C724" s="7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</row>
    <row r="725" spans="1:33" ht="13.8">
      <c r="A725" s="73"/>
      <c r="B725" s="74"/>
      <c r="C725" s="7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</row>
    <row r="726" spans="1:33" ht="13.8">
      <c r="A726" s="73"/>
      <c r="B726" s="74"/>
      <c r="C726" s="7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</row>
    <row r="727" spans="1:33" ht="13.8">
      <c r="A727" s="73"/>
      <c r="B727" s="74"/>
      <c r="C727" s="7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</row>
    <row r="728" spans="1:33" ht="13.8">
      <c r="A728" s="73"/>
      <c r="B728" s="74"/>
      <c r="C728" s="7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</row>
    <row r="729" spans="1:33" ht="13.8">
      <c r="A729" s="73"/>
      <c r="B729" s="74"/>
      <c r="C729" s="7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</row>
    <row r="730" spans="1:33" ht="13.8">
      <c r="A730" s="73"/>
      <c r="B730" s="74"/>
      <c r="C730" s="7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</row>
    <row r="731" spans="1:33" ht="13.8">
      <c r="A731" s="73"/>
      <c r="B731" s="74"/>
      <c r="C731" s="7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</row>
    <row r="732" spans="1:33" ht="13.8">
      <c r="A732" s="73"/>
      <c r="B732" s="74"/>
      <c r="C732" s="7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</row>
    <row r="733" spans="1:33" ht="13.8">
      <c r="A733" s="73"/>
      <c r="B733" s="74"/>
      <c r="C733" s="7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</row>
    <row r="734" spans="1:33" ht="13.8">
      <c r="A734" s="73"/>
      <c r="B734" s="74"/>
      <c r="C734" s="7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</row>
    <row r="735" spans="1:33" ht="13.8">
      <c r="A735" s="73"/>
      <c r="B735" s="74"/>
      <c r="C735" s="7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</row>
    <row r="736" spans="1:33" ht="13.8">
      <c r="A736" s="73"/>
      <c r="B736" s="74"/>
      <c r="C736" s="7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</row>
    <row r="737" spans="1:33" ht="13.8">
      <c r="A737" s="73"/>
      <c r="B737" s="74"/>
      <c r="C737" s="7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</row>
    <row r="738" spans="1:33" ht="13.8">
      <c r="A738" s="73"/>
      <c r="B738" s="74"/>
      <c r="C738" s="7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</row>
    <row r="739" spans="1:33" ht="13.8">
      <c r="A739" s="73"/>
      <c r="B739" s="74"/>
      <c r="C739" s="7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</row>
    <row r="740" spans="1:33" ht="13.8">
      <c r="A740" s="73"/>
      <c r="B740" s="74"/>
      <c r="C740" s="7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</row>
    <row r="741" spans="1:33" ht="13.8">
      <c r="A741" s="73"/>
      <c r="B741" s="74"/>
      <c r="C741" s="7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</row>
    <row r="742" spans="1:33" ht="13.8">
      <c r="A742" s="73"/>
      <c r="B742" s="74"/>
      <c r="C742" s="7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</row>
    <row r="743" spans="1:33" ht="13.8">
      <c r="A743" s="73"/>
      <c r="B743" s="74"/>
      <c r="C743" s="7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</row>
    <row r="744" spans="1:33" ht="13.8">
      <c r="A744" s="73"/>
      <c r="B744" s="74"/>
      <c r="C744" s="7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</row>
    <row r="745" spans="1:33" ht="13.8">
      <c r="A745" s="73"/>
      <c r="B745" s="74"/>
      <c r="C745" s="7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</row>
    <row r="746" spans="1:33" ht="13.8">
      <c r="A746" s="73"/>
      <c r="B746" s="74"/>
      <c r="C746" s="7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</row>
    <row r="747" spans="1:33" ht="13.8">
      <c r="A747" s="73"/>
      <c r="B747" s="74"/>
      <c r="C747" s="7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</row>
    <row r="748" spans="1:33" ht="13.8">
      <c r="A748" s="73"/>
      <c r="B748" s="74"/>
      <c r="C748" s="7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</row>
    <row r="749" spans="1:33" ht="13.8">
      <c r="A749" s="73"/>
      <c r="B749" s="74"/>
      <c r="C749" s="7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</row>
    <row r="750" spans="1:33" ht="13.8">
      <c r="A750" s="73"/>
      <c r="B750" s="74"/>
      <c r="C750" s="7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</row>
    <row r="751" spans="1:33" ht="13.8">
      <c r="A751" s="73"/>
      <c r="B751" s="74"/>
      <c r="C751" s="7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</row>
    <row r="752" spans="1:33" ht="13.8">
      <c r="A752" s="73"/>
      <c r="B752" s="74"/>
      <c r="C752" s="7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</row>
    <row r="753" spans="1:33" ht="13.8">
      <c r="A753" s="73"/>
      <c r="B753" s="74"/>
      <c r="C753" s="7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</row>
    <row r="754" spans="1:33" ht="13.8">
      <c r="A754" s="73"/>
      <c r="B754" s="74"/>
      <c r="C754" s="7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</row>
    <row r="755" spans="1:33" ht="13.8">
      <c r="A755" s="73"/>
      <c r="B755" s="74"/>
      <c r="C755" s="7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</row>
    <row r="756" spans="1:33" ht="13.8">
      <c r="A756" s="73"/>
      <c r="B756" s="74"/>
      <c r="C756" s="7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</row>
    <row r="757" spans="1:33" ht="13.8">
      <c r="A757" s="73"/>
      <c r="B757" s="74"/>
      <c r="C757" s="7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</row>
    <row r="758" spans="1:33" ht="13.8">
      <c r="A758" s="73"/>
      <c r="B758" s="74"/>
      <c r="C758" s="7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</row>
    <row r="759" spans="1:33" ht="13.8">
      <c r="A759" s="73"/>
      <c r="B759" s="74"/>
      <c r="C759" s="7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</row>
    <row r="760" spans="1:33" ht="13.8">
      <c r="A760" s="73"/>
      <c r="B760" s="74"/>
      <c r="C760" s="7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</row>
    <row r="761" spans="1:33" ht="13.8">
      <c r="A761" s="73"/>
      <c r="B761" s="74"/>
      <c r="C761" s="7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</row>
    <row r="762" spans="1:33" ht="13.8">
      <c r="A762" s="73"/>
      <c r="B762" s="74"/>
      <c r="C762" s="7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</row>
    <row r="763" spans="1:33" ht="13.8">
      <c r="A763" s="73"/>
      <c r="B763" s="74"/>
      <c r="C763" s="7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</row>
    <row r="764" spans="1:33" ht="13.8">
      <c r="A764" s="73"/>
      <c r="B764" s="74"/>
      <c r="C764" s="7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</row>
    <row r="765" spans="1:33" ht="13.8">
      <c r="A765" s="73"/>
      <c r="B765" s="74"/>
      <c r="C765" s="7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</row>
    <row r="766" spans="1:33" ht="13.8">
      <c r="A766" s="73"/>
      <c r="B766" s="74"/>
      <c r="C766" s="7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</row>
    <row r="767" spans="1:33" ht="13.8">
      <c r="A767" s="73"/>
      <c r="B767" s="74"/>
      <c r="C767" s="7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</row>
    <row r="768" spans="1:33" ht="13.8">
      <c r="A768" s="73"/>
      <c r="B768" s="74"/>
      <c r="C768" s="7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</row>
    <row r="769" spans="1:33" ht="13.8">
      <c r="A769" s="73"/>
      <c r="B769" s="74"/>
      <c r="C769" s="7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</row>
    <row r="770" spans="1:33" ht="13.8">
      <c r="A770" s="73"/>
      <c r="B770" s="74"/>
      <c r="C770" s="7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</row>
    <row r="771" spans="1:33" ht="13.8">
      <c r="A771" s="73"/>
      <c r="B771" s="74"/>
      <c r="C771" s="7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</row>
    <row r="772" spans="1:33" ht="13.8">
      <c r="A772" s="73"/>
      <c r="B772" s="74"/>
      <c r="C772" s="7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</row>
    <row r="773" spans="1:33" ht="13.8">
      <c r="A773" s="73"/>
      <c r="B773" s="74"/>
      <c r="C773" s="7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</row>
    <row r="774" spans="1:33" ht="13.8">
      <c r="A774" s="73"/>
      <c r="B774" s="74"/>
      <c r="C774" s="7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</row>
    <row r="775" spans="1:33" ht="13.8">
      <c r="A775" s="73"/>
      <c r="B775" s="74"/>
      <c r="C775" s="7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</row>
    <row r="776" spans="1:33" ht="13.8">
      <c r="A776" s="73"/>
      <c r="B776" s="74"/>
      <c r="C776" s="7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</row>
    <row r="777" spans="1:33" ht="13.8">
      <c r="A777" s="73"/>
      <c r="B777" s="74"/>
      <c r="C777" s="7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</row>
    <row r="778" spans="1:33" ht="13.8">
      <c r="A778" s="73"/>
      <c r="B778" s="74"/>
      <c r="C778" s="7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</row>
    <row r="779" spans="1:33" ht="13.8">
      <c r="A779" s="73"/>
      <c r="B779" s="74"/>
      <c r="C779" s="7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</row>
    <row r="780" spans="1:33" ht="13.8">
      <c r="A780" s="73"/>
      <c r="B780" s="74"/>
      <c r="C780" s="7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</row>
    <row r="781" spans="1:33" ht="13.8">
      <c r="A781" s="73"/>
      <c r="B781" s="74"/>
      <c r="C781" s="7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</row>
    <row r="782" spans="1:33" ht="13.8">
      <c r="A782" s="73"/>
      <c r="B782" s="74"/>
      <c r="C782" s="7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</row>
    <row r="783" spans="1:33" ht="13.8">
      <c r="A783" s="73"/>
      <c r="B783" s="74"/>
      <c r="C783" s="7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</row>
    <row r="784" spans="1:33" ht="13.8">
      <c r="A784" s="73"/>
      <c r="B784" s="74"/>
      <c r="C784" s="7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</row>
    <row r="785" spans="1:33" ht="13.8">
      <c r="A785" s="73"/>
      <c r="B785" s="74"/>
      <c r="C785" s="7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</row>
    <row r="786" spans="1:33" ht="13.8">
      <c r="A786" s="73"/>
      <c r="B786" s="74"/>
      <c r="C786" s="7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</row>
    <row r="787" spans="1:33" ht="13.8">
      <c r="A787" s="73"/>
      <c r="B787" s="74"/>
      <c r="C787" s="7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</row>
    <row r="788" spans="1:33" ht="13.8">
      <c r="A788" s="73"/>
      <c r="B788" s="74"/>
      <c r="C788" s="7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</row>
    <row r="789" spans="1:33" ht="13.8">
      <c r="A789" s="73"/>
      <c r="B789" s="74"/>
      <c r="C789" s="7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</row>
    <row r="790" spans="1:33" ht="13.8">
      <c r="A790" s="73"/>
      <c r="B790" s="74"/>
      <c r="C790" s="7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</row>
    <row r="791" spans="1:33" ht="13.8">
      <c r="A791" s="73"/>
      <c r="B791" s="74"/>
      <c r="C791" s="7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</row>
    <row r="792" spans="1:33" ht="13.8">
      <c r="A792" s="73"/>
      <c r="B792" s="74"/>
      <c r="C792" s="7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</row>
    <row r="793" spans="1:33" ht="13.8">
      <c r="A793" s="73"/>
      <c r="B793" s="74"/>
      <c r="C793" s="7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</row>
    <row r="794" spans="1:33" ht="13.8">
      <c r="A794" s="73"/>
      <c r="B794" s="74"/>
      <c r="C794" s="7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</row>
    <row r="795" spans="1:33" ht="13.8">
      <c r="A795" s="73"/>
      <c r="B795" s="74"/>
      <c r="C795" s="7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</row>
    <row r="796" spans="1:33" ht="13.8">
      <c r="A796" s="73"/>
      <c r="B796" s="74"/>
      <c r="C796" s="7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</row>
    <row r="797" spans="1:33" ht="13.8">
      <c r="A797" s="73"/>
      <c r="B797" s="74"/>
      <c r="C797" s="7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</row>
    <row r="798" spans="1:33" ht="13.8">
      <c r="A798" s="73"/>
      <c r="B798" s="74"/>
      <c r="C798" s="7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</row>
    <row r="799" spans="1:33" ht="13.8">
      <c r="A799" s="73"/>
      <c r="B799" s="74"/>
      <c r="C799" s="7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</row>
    <row r="800" spans="1:33" ht="13.8">
      <c r="A800" s="73"/>
      <c r="B800" s="74"/>
      <c r="C800" s="7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</row>
    <row r="801" spans="1:33" ht="13.8">
      <c r="A801" s="73"/>
      <c r="B801" s="74"/>
      <c r="C801" s="7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</row>
    <row r="802" spans="1:33" ht="13.8">
      <c r="A802" s="73"/>
      <c r="B802" s="74"/>
      <c r="C802" s="7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</row>
    <row r="803" spans="1:33" ht="13.8">
      <c r="A803" s="73"/>
      <c r="B803" s="74"/>
      <c r="C803" s="7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</row>
    <row r="804" spans="1:33" ht="13.8">
      <c r="A804" s="73"/>
      <c r="B804" s="74"/>
      <c r="C804" s="7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</row>
    <row r="805" spans="1:33" ht="13.8">
      <c r="A805" s="73"/>
      <c r="B805" s="74"/>
      <c r="C805" s="7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</row>
    <row r="806" spans="1:33" ht="13.8">
      <c r="A806" s="73"/>
      <c r="B806" s="74"/>
      <c r="C806" s="7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</row>
    <row r="807" spans="1:33" ht="13.8">
      <c r="A807" s="73"/>
      <c r="B807" s="74"/>
      <c r="C807" s="7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</row>
    <row r="808" spans="1:33" ht="13.8">
      <c r="A808" s="73"/>
      <c r="B808" s="74"/>
      <c r="C808" s="7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</row>
    <row r="809" spans="1:33" ht="13.8">
      <c r="A809" s="73"/>
      <c r="B809" s="74"/>
      <c r="C809" s="7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</row>
    <row r="810" spans="1:33" ht="13.8">
      <c r="A810" s="73"/>
      <c r="B810" s="74"/>
      <c r="C810" s="7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</row>
    <row r="811" spans="1:33" ht="13.8">
      <c r="A811" s="73"/>
      <c r="B811" s="74"/>
      <c r="C811" s="7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</row>
    <row r="812" spans="1:33" ht="13.8">
      <c r="A812" s="73"/>
      <c r="B812" s="74"/>
      <c r="C812" s="7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</row>
    <row r="813" spans="1:33" ht="13.8">
      <c r="A813" s="73"/>
      <c r="B813" s="74"/>
      <c r="C813" s="7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</row>
    <row r="814" spans="1:33" ht="13.8">
      <c r="A814" s="73"/>
      <c r="B814" s="74"/>
      <c r="C814" s="7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</row>
    <row r="815" spans="1:33" ht="13.8">
      <c r="A815" s="73"/>
      <c r="B815" s="74"/>
      <c r="C815" s="7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</row>
    <row r="816" spans="1:33" ht="13.8">
      <c r="A816" s="73"/>
      <c r="B816" s="74"/>
      <c r="C816" s="7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</row>
    <row r="817" spans="1:33" ht="13.8">
      <c r="A817" s="73"/>
      <c r="B817" s="74"/>
      <c r="C817" s="7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</row>
    <row r="818" spans="1:33" ht="13.8">
      <c r="A818" s="73"/>
      <c r="B818" s="74"/>
      <c r="C818" s="7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</row>
    <row r="819" spans="1:33" ht="13.8">
      <c r="A819" s="73"/>
      <c r="B819" s="74"/>
      <c r="C819" s="7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</row>
    <row r="820" spans="1:33" ht="13.8">
      <c r="A820" s="73"/>
      <c r="B820" s="74"/>
      <c r="C820" s="7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</row>
    <row r="821" spans="1:33" ht="13.8">
      <c r="A821" s="73"/>
      <c r="B821" s="74"/>
      <c r="C821" s="7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</row>
    <row r="822" spans="1:33" ht="13.8">
      <c r="A822" s="73"/>
      <c r="B822" s="74"/>
      <c r="C822" s="7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</row>
    <row r="823" spans="1:33" ht="13.8">
      <c r="A823" s="73"/>
      <c r="B823" s="74"/>
      <c r="C823" s="7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</row>
    <row r="824" spans="1:33" ht="13.8">
      <c r="A824" s="73"/>
      <c r="B824" s="74"/>
      <c r="C824" s="7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</row>
    <row r="825" spans="1:33" ht="13.8">
      <c r="A825" s="73"/>
      <c r="B825" s="74"/>
      <c r="C825" s="7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</row>
    <row r="826" spans="1:33" ht="13.8">
      <c r="A826" s="73"/>
      <c r="B826" s="74"/>
      <c r="C826" s="7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</row>
    <row r="827" spans="1:33" ht="13.8">
      <c r="A827" s="73"/>
      <c r="B827" s="74"/>
      <c r="C827" s="7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</row>
    <row r="828" spans="1:33" ht="13.8">
      <c r="A828" s="73"/>
      <c r="B828" s="74"/>
      <c r="C828" s="7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</row>
    <row r="829" spans="1:33" ht="13.8">
      <c r="A829" s="73"/>
      <c r="B829" s="74"/>
      <c r="C829" s="7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</row>
    <row r="830" spans="1:33" ht="13.8">
      <c r="A830" s="73"/>
      <c r="B830" s="74"/>
      <c r="C830" s="7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</row>
    <row r="831" spans="1:33" ht="13.8">
      <c r="A831" s="73"/>
      <c r="B831" s="74"/>
      <c r="C831" s="7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</row>
    <row r="832" spans="1:33" ht="13.8">
      <c r="A832" s="73"/>
      <c r="B832" s="74"/>
      <c r="C832" s="7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</row>
    <row r="833" spans="1:33" ht="13.8">
      <c r="A833" s="73"/>
      <c r="B833" s="74"/>
      <c r="C833" s="7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</row>
    <row r="834" spans="1:33" ht="13.8">
      <c r="A834" s="73"/>
      <c r="B834" s="74"/>
      <c r="C834" s="7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</row>
    <row r="835" spans="1:33" ht="13.8">
      <c r="A835" s="73"/>
      <c r="B835" s="74"/>
      <c r="C835" s="7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</row>
    <row r="836" spans="1:33" ht="13.8">
      <c r="A836" s="73"/>
      <c r="B836" s="74"/>
      <c r="C836" s="7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</row>
    <row r="837" spans="1:33" ht="13.8">
      <c r="A837" s="73"/>
      <c r="B837" s="74"/>
      <c r="C837" s="7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</row>
    <row r="838" spans="1:33" ht="13.8">
      <c r="A838" s="73"/>
      <c r="B838" s="74"/>
      <c r="C838" s="7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</row>
    <row r="839" spans="1:33" ht="13.8">
      <c r="A839" s="73"/>
      <c r="B839" s="74"/>
      <c r="C839" s="7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</row>
    <row r="840" spans="1:33" ht="13.8">
      <c r="A840" s="73"/>
      <c r="B840" s="74"/>
      <c r="C840" s="7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</row>
    <row r="841" spans="1:33" ht="13.8">
      <c r="A841" s="73"/>
      <c r="B841" s="74"/>
      <c r="C841" s="7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</row>
    <row r="842" spans="1:33" ht="13.8">
      <c r="A842" s="73"/>
      <c r="B842" s="74"/>
      <c r="C842" s="7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</row>
    <row r="843" spans="1:33" ht="13.8">
      <c r="A843" s="73"/>
      <c r="B843" s="74"/>
      <c r="C843" s="7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</row>
    <row r="844" spans="1:33" ht="13.8">
      <c r="A844" s="73"/>
      <c r="B844" s="74"/>
      <c r="C844" s="7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</row>
    <row r="845" spans="1:33" ht="13.8">
      <c r="A845" s="73"/>
      <c r="B845" s="74"/>
      <c r="C845" s="7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</row>
    <row r="846" spans="1:33" ht="13.8">
      <c r="A846" s="73"/>
      <c r="B846" s="74"/>
      <c r="C846" s="7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</row>
    <row r="847" spans="1:33" ht="13.8">
      <c r="A847" s="73"/>
      <c r="B847" s="74"/>
      <c r="C847" s="7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</row>
    <row r="848" spans="1:33" ht="13.8">
      <c r="A848" s="73"/>
      <c r="B848" s="74"/>
      <c r="C848" s="7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</row>
    <row r="849" spans="1:33" ht="13.8">
      <c r="A849" s="73"/>
      <c r="B849" s="74"/>
      <c r="C849" s="7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</row>
    <row r="850" spans="1:33" ht="13.8">
      <c r="A850" s="73"/>
      <c r="B850" s="74"/>
      <c r="C850" s="7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</row>
    <row r="851" spans="1:33" ht="13.8">
      <c r="A851" s="73"/>
      <c r="B851" s="74"/>
      <c r="C851" s="7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</row>
    <row r="852" spans="1:33" ht="13.8">
      <c r="A852" s="73"/>
      <c r="B852" s="74"/>
      <c r="C852" s="7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</row>
    <row r="853" spans="1:33" ht="13.8">
      <c r="A853" s="73"/>
      <c r="B853" s="74"/>
      <c r="C853" s="7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</row>
    <row r="854" spans="1:33" ht="13.8">
      <c r="A854" s="73"/>
      <c r="B854" s="74"/>
      <c r="C854" s="7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</row>
    <row r="855" spans="1:33" ht="13.8">
      <c r="A855" s="73"/>
      <c r="B855" s="74"/>
      <c r="C855" s="7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</row>
    <row r="856" spans="1:33" ht="13.8">
      <c r="A856" s="73"/>
      <c r="B856" s="74"/>
      <c r="C856" s="7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</row>
    <row r="857" spans="1:33" ht="13.8">
      <c r="A857" s="73"/>
      <c r="B857" s="74"/>
      <c r="C857" s="7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</row>
    <row r="858" spans="1:33" ht="13.8">
      <c r="A858" s="73"/>
      <c r="B858" s="74"/>
      <c r="C858" s="7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</row>
    <row r="859" spans="1:33" ht="13.8">
      <c r="A859" s="73"/>
      <c r="B859" s="74"/>
      <c r="C859" s="7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</row>
    <row r="860" spans="1:33" ht="13.8">
      <c r="A860" s="73"/>
      <c r="B860" s="74"/>
      <c r="C860" s="7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</row>
    <row r="861" spans="1:33" ht="13.8">
      <c r="A861" s="73"/>
      <c r="B861" s="74"/>
      <c r="C861" s="7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</row>
    <row r="862" spans="1:33" ht="13.8">
      <c r="A862" s="73"/>
      <c r="B862" s="74"/>
      <c r="C862" s="7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</row>
    <row r="863" spans="1:33" ht="13.8">
      <c r="A863" s="73"/>
      <c r="B863" s="74"/>
      <c r="C863" s="7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</row>
    <row r="864" spans="1:33" ht="13.8">
      <c r="A864" s="73"/>
      <c r="B864" s="74"/>
      <c r="C864" s="7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</row>
    <row r="865" spans="1:33" ht="13.8">
      <c r="A865" s="73"/>
      <c r="B865" s="74"/>
      <c r="C865" s="7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</row>
    <row r="866" spans="1:33" ht="13.8">
      <c r="A866" s="73"/>
      <c r="B866" s="74"/>
      <c r="C866" s="7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</row>
    <row r="867" spans="1:33" ht="13.8">
      <c r="A867" s="73"/>
      <c r="B867" s="74"/>
      <c r="C867" s="7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</row>
    <row r="868" spans="1:33" ht="13.8">
      <c r="A868" s="73"/>
      <c r="B868" s="74"/>
      <c r="C868" s="7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</row>
    <row r="869" spans="1:33" ht="13.8">
      <c r="A869" s="73"/>
      <c r="B869" s="74"/>
      <c r="C869" s="7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</row>
    <row r="870" spans="1:33" ht="13.8">
      <c r="A870" s="73"/>
      <c r="B870" s="74"/>
      <c r="C870" s="7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</row>
    <row r="871" spans="1:33" ht="13.8">
      <c r="A871" s="73"/>
      <c r="B871" s="74"/>
      <c r="C871" s="7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</row>
    <row r="872" spans="1:33" ht="13.8">
      <c r="A872" s="73"/>
      <c r="B872" s="74"/>
      <c r="C872" s="7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</row>
    <row r="873" spans="1:33" ht="13.8">
      <c r="A873" s="73"/>
      <c r="B873" s="74"/>
      <c r="C873" s="7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</row>
    <row r="874" spans="1:33" ht="13.8">
      <c r="A874" s="73"/>
      <c r="B874" s="74"/>
      <c r="C874" s="7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</row>
    <row r="875" spans="1:33" ht="13.8">
      <c r="A875" s="73"/>
      <c r="B875" s="74"/>
      <c r="C875" s="7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</row>
    <row r="876" spans="1:33" ht="13.8">
      <c r="A876" s="73"/>
      <c r="B876" s="74"/>
      <c r="C876" s="7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</row>
    <row r="877" spans="1:33" ht="13.8">
      <c r="A877" s="73"/>
      <c r="B877" s="74"/>
      <c r="C877" s="7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</row>
    <row r="878" spans="1:33" ht="13.8">
      <c r="A878" s="73"/>
      <c r="B878" s="74"/>
      <c r="C878" s="7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</row>
    <row r="879" spans="1:33" ht="13.8">
      <c r="A879" s="73"/>
      <c r="B879" s="74"/>
      <c r="C879" s="7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</row>
    <row r="880" spans="1:33" ht="13.8">
      <c r="A880" s="73"/>
      <c r="B880" s="74"/>
      <c r="C880" s="7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</row>
    <row r="881" spans="1:33" ht="13.8">
      <c r="A881" s="73"/>
      <c r="B881" s="74"/>
      <c r="C881" s="7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</row>
    <row r="882" spans="1:33" ht="13.8">
      <c r="A882" s="73"/>
      <c r="B882" s="74"/>
      <c r="C882" s="7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</row>
    <row r="883" spans="1:33" ht="13.8">
      <c r="A883" s="73"/>
      <c r="B883" s="74"/>
      <c r="C883" s="7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</row>
    <row r="884" spans="1:33" ht="13.8">
      <c r="A884" s="73"/>
      <c r="B884" s="74"/>
      <c r="C884" s="7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</row>
    <row r="885" spans="1:33" ht="13.8">
      <c r="A885" s="73"/>
      <c r="B885" s="74"/>
      <c r="C885" s="7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</row>
    <row r="886" spans="1:33" ht="13.8">
      <c r="A886" s="73"/>
      <c r="B886" s="74"/>
      <c r="C886" s="7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</row>
    <row r="887" spans="1:33" ht="13.8">
      <c r="A887" s="73"/>
      <c r="B887" s="74"/>
      <c r="C887" s="7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</row>
    <row r="888" spans="1:33" ht="13.8">
      <c r="A888" s="73"/>
      <c r="B888" s="74"/>
      <c r="C888" s="7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</row>
    <row r="889" spans="1:33" ht="13.8">
      <c r="A889" s="73"/>
      <c r="B889" s="74"/>
      <c r="C889" s="7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</row>
    <row r="890" spans="1:33" ht="13.8">
      <c r="A890" s="73"/>
      <c r="B890" s="74"/>
      <c r="C890" s="7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</row>
    <row r="891" spans="1:33" ht="13.8">
      <c r="A891" s="73"/>
      <c r="B891" s="74"/>
      <c r="C891" s="7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</row>
    <row r="892" spans="1:33" ht="13.8">
      <c r="A892" s="73"/>
      <c r="B892" s="74"/>
      <c r="C892" s="7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</row>
    <row r="893" spans="1:33" ht="13.8">
      <c r="A893" s="73"/>
      <c r="B893" s="74"/>
      <c r="C893" s="7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</row>
    <row r="894" spans="1:33" ht="13.8">
      <c r="A894" s="73"/>
      <c r="B894" s="74"/>
      <c r="C894" s="7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</row>
    <row r="895" spans="1:33" ht="13.8">
      <c r="A895" s="73"/>
      <c r="B895" s="74"/>
      <c r="C895" s="7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</row>
    <row r="896" spans="1:33" ht="13.8">
      <c r="A896" s="73"/>
      <c r="B896" s="74"/>
      <c r="C896" s="7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</row>
    <row r="897" spans="1:33" ht="13.8">
      <c r="A897" s="73"/>
      <c r="B897" s="74"/>
      <c r="C897" s="7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</row>
    <row r="898" spans="1:33" ht="13.8">
      <c r="A898" s="73"/>
      <c r="B898" s="74"/>
      <c r="C898" s="7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</row>
    <row r="899" spans="1:33" ht="13.8">
      <c r="A899" s="73"/>
      <c r="B899" s="74"/>
      <c r="C899" s="7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</row>
    <row r="900" spans="1:33" ht="13.8">
      <c r="A900" s="73"/>
      <c r="B900" s="74"/>
      <c r="C900" s="7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</row>
    <row r="901" spans="1:33" ht="13.8">
      <c r="A901" s="73"/>
      <c r="B901" s="74"/>
      <c r="C901" s="7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</row>
    <row r="902" spans="1:33" ht="13.8">
      <c r="A902" s="73"/>
      <c r="B902" s="74"/>
      <c r="C902" s="7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</row>
    <row r="903" spans="1:33" ht="13.8">
      <c r="A903" s="73"/>
      <c r="B903" s="74"/>
      <c r="C903" s="7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</row>
    <row r="904" spans="1:33" ht="13.8">
      <c r="A904" s="73"/>
      <c r="B904" s="74"/>
      <c r="C904" s="7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</row>
    <row r="905" spans="1:33" ht="13.8">
      <c r="A905" s="73"/>
      <c r="B905" s="74"/>
      <c r="C905" s="7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</row>
    <row r="906" spans="1:33" ht="13.8">
      <c r="A906" s="73"/>
      <c r="B906" s="74"/>
      <c r="C906" s="7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</row>
    <row r="907" spans="1:33" ht="13.8">
      <c r="A907" s="73"/>
      <c r="B907" s="74"/>
      <c r="C907" s="7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</row>
    <row r="908" spans="1:33" ht="13.8">
      <c r="A908" s="73"/>
      <c r="B908" s="74"/>
      <c r="C908" s="7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</row>
    <row r="909" spans="1:33" ht="13.8">
      <c r="A909" s="73"/>
      <c r="B909" s="74"/>
      <c r="C909" s="7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</row>
    <row r="910" spans="1:33" ht="13.8">
      <c r="A910" s="73"/>
      <c r="B910" s="74"/>
      <c r="C910" s="7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</row>
    <row r="911" spans="1:33" ht="13.8">
      <c r="A911" s="73"/>
      <c r="B911" s="74"/>
      <c r="C911" s="7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</row>
    <row r="912" spans="1:33" ht="13.8">
      <c r="A912" s="73"/>
      <c r="B912" s="74"/>
      <c r="C912" s="7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</row>
    <row r="913" spans="1:33" ht="13.8">
      <c r="A913" s="73"/>
      <c r="B913" s="74"/>
      <c r="C913" s="7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</row>
    <row r="914" spans="1:33" ht="13.8">
      <c r="A914" s="73"/>
      <c r="B914" s="74"/>
      <c r="C914" s="7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</row>
    <row r="915" spans="1:33" ht="13.8">
      <c r="A915" s="73"/>
      <c r="B915" s="74"/>
      <c r="C915" s="7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</row>
    <row r="916" spans="1:33" ht="13.8">
      <c r="A916" s="73"/>
      <c r="B916" s="74"/>
      <c r="C916" s="7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</row>
    <row r="917" spans="1:33" ht="13.8">
      <c r="A917" s="73"/>
      <c r="B917" s="74"/>
      <c r="C917" s="7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</row>
    <row r="918" spans="1:33" ht="13.8">
      <c r="A918" s="73"/>
      <c r="B918" s="74"/>
      <c r="C918" s="7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</row>
    <row r="919" spans="1:33" ht="13.8">
      <c r="A919" s="73"/>
      <c r="B919" s="74"/>
      <c r="C919" s="7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</row>
    <row r="920" spans="1:33" ht="13.8">
      <c r="A920" s="73"/>
      <c r="B920" s="74"/>
      <c r="C920" s="7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</row>
    <row r="921" spans="1:33" ht="13.8">
      <c r="A921" s="73"/>
      <c r="B921" s="74"/>
      <c r="C921" s="7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</row>
    <row r="922" spans="1:33" ht="13.8">
      <c r="A922" s="73"/>
      <c r="B922" s="74"/>
      <c r="C922" s="7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</row>
    <row r="923" spans="1:33" ht="13.8">
      <c r="A923" s="73"/>
      <c r="B923" s="74"/>
      <c r="C923" s="7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</row>
    <row r="924" spans="1:33" ht="13.8">
      <c r="A924" s="73"/>
      <c r="B924" s="74"/>
      <c r="C924" s="7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</row>
    <row r="925" spans="1:33" ht="13.8">
      <c r="A925" s="73"/>
      <c r="B925" s="74"/>
      <c r="C925" s="7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</row>
    <row r="926" spans="1:33" ht="13.8">
      <c r="A926" s="73"/>
      <c r="B926" s="74"/>
      <c r="C926" s="7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</row>
    <row r="927" spans="1:33" ht="13.8">
      <c r="A927" s="73"/>
      <c r="B927" s="74"/>
      <c r="C927" s="7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</row>
    <row r="928" spans="1:33" ht="13.8">
      <c r="A928" s="73"/>
      <c r="B928" s="74"/>
      <c r="C928" s="7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</row>
    <row r="929" spans="1:33" ht="13.8">
      <c r="A929" s="73"/>
      <c r="B929" s="74"/>
      <c r="C929" s="7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</row>
    <row r="930" spans="1:33" ht="13.8">
      <c r="A930" s="73"/>
      <c r="B930" s="74"/>
      <c r="C930" s="7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</row>
    <row r="931" spans="1:33" ht="13.8">
      <c r="A931" s="73"/>
      <c r="B931" s="74"/>
      <c r="C931" s="7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</row>
    <row r="932" spans="1:33" ht="13.8">
      <c r="A932" s="73"/>
      <c r="B932" s="74"/>
      <c r="C932" s="7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</row>
    <row r="933" spans="1:33" ht="13.8">
      <c r="A933" s="73"/>
      <c r="B933" s="74"/>
      <c r="C933" s="7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</row>
    <row r="934" spans="1:33" ht="13.8">
      <c r="A934" s="73"/>
      <c r="B934" s="74"/>
      <c r="C934" s="7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</row>
    <row r="935" spans="1:33" ht="13.8">
      <c r="A935" s="73"/>
      <c r="B935" s="74"/>
      <c r="C935" s="7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</row>
    <row r="936" spans="1:33" ht="13.8">
      <c r="A936" s="73"/>
      <c r="B936" s="74"/>
      <c r="C936" s="7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</row>
    <row r="937" spans="1:33" ht="13.8">
      <c r="A937" s="73"/>
      <c r="B937" s="74"/>
      <c r="C937" s="7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</row>
    <row r="938" spans="1:33" ht="13.8">
      <c r="A938" s="73"/>
      <c r="B938" s="74"/>
      <c r="C938" s="7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</row>
  </sheetData>
  <autoFilter ref="A2:M55" xr:uid="{00000000-0009-0000-0000-000003000000}"/>
  <conditionalFormatting sqref="D3:E53 H3:H53 J3:J53">
    <cfRule type="expression" dxfId="8" priority="6">
      <formula>D3 = 4000000</formula>
    </cfRule>
    <cfRule type="expression" dxfId="7" priority="7">
      <formula>D3 = 2800000</formula>
    </cfRule>
    <cfRule type="expression" dxfId="6" priority="8">
      <formula>D3 = 2000000</formula>
    </cfRule>
    <cfRule type="expression" dxfId="5" priority="9">
      <formula>D3 = 1200000</formula>
    </cfRule>
  </conditionalFormatting>
  <conditionalFormatting sqref="H11:H44 J11:J44 D11:D48">
    <cfRule type="expression" dxfId="4" priority="1">
      <formula>D11 = 4000000</formula>
    </cfRule>
    <cfRule type="expression" dxfId="3" priority="2">
      <formula>D11 = 2800000</formula>
    </cfRule>
    <cfRule type="expression" dxfId="2" priority="3">
      <formula>D11 = 2200000</formula>
    </cfRule>
    <cfRule type="expression" dxfId="1" priority="4">
      <formula>D11 = 1600000</formula>
    </cfRule>
    <cfRule type="expression" dxfId="0" priority="5">
      <formula>D11 = 1000000</formula>
    </cfRule>
  </conditionalFormatting>
  <dataValidations count="1">
    <dataValidation type="list" allowBlank="1" showErrorMessage="1" sqref="C3:C53" xr:uid="{00000000-0002-0000-0300-000000000000}">
      <formula1>"CHT,BC,PT,DSHV,DSTV,Q.CHT"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/>
  </sheetViews>
  <sheetFormatPr defaultColWidth="12.6640625" defaultRowHeight="15" customHeight="1"/>
  <cols>
    <col min="1" max="1" width="12.44140625" customWidth="1"/>
    <col min="2" max="2" width="18" customWidth="1"/>
    <col min="3" max="3" width="16.77734375" customWidth="1"/>
    <col min="4" max="4" width="18.33203125" customWidth="1"/>
    <col min="5" max="5" width="16.21875" customWidth="1"/>
    <col min="6" max="6" width="29.44140625" customWidth="1"/>
    <col min="7" max="7" width="19.44140625" customWidth="1"/>
    <col min="8" max="8" width="62.44140625" customWidth="1"/>
  </cols>
  <sheetData>
    <row r="1" spans="1:8" ht="13.2">
      <c r="A1" s="102" t="s">
        <v>133</v>
      </c>
      <c r="B1" s="103" t="s">
        <v>134</v>
      </c>
      <c r="C1" s="103" t="s">
        <v>135</v>
      </c>
      <c r="D1" s="104" t="s">
        <v>136</v>
      </c>
      <c r="E1" s="103" t="s">
        <v>137</v>
      </c>
      <c r="F1" s="104" t="s">
        <v>138</v>
      </c>
      <c r="G1" s="103" t="s">
        <v>139</v>
      </c>
      <c r="H1" s="105" t="s">
        <v>140</v>
      </c>
    </row>
    <row r="2" spans="1:8" ht="39.6">
      <c r="A2" s="106" t="s">
        <v>141</v>
      </c>
      <c r="B2" s="107">
        <v>46255.865308182867</v>
      </c>
      <c r="C2" s="108" t="s">
        <v>142</v>
      </c>
      <c r="D2" s="108" t="s">
        <v>57</v>
      </c>
      <c r="E2" s="108">
        <v>2</v>
      </c>
      <c r="F2" s="108">
        <v>1223000</v>
      </c>
      <c r="G2" s="108">
        <v>50000</v>
      </c>
      <c r="H2" s="109" t="s">
        <v>143</v>
      </c>
    </row>
    <row r="3" spans="1:8" ht="26.4">
      <c r="A3" s="106" t="s">
        <v>144</v>
      </c>
      <c r="B3" s="107">
        <v>46255.716186655096</v>
      </c>
      <c r="C3" s="108" t="s">
        <v>142</v>
      </c>
      <c r="D3" s="108" t="s">
        <v>57</v>
      </c>
      <c r="E3" s="108">
        <v>2</v>
      </c>
      <c r="F3" s="108">
        <v>1022000</v>
      </c>
      <c r="G3" s="108">
        <v>50000</v>
      </c>
      <c r="H3" s="109" t="s">
        <v>145</v>
      </c>
    </row>
    <row r="4" spans="1:8" ht="39.6">
      <c r="A4" s="106" t="s">
        <v>146</v>
      </c>
      <c r="B4" s="107">
        <v>46255.318580439816</v>
      </c>
      <c r="C4" s="108" t="s">
        <v>142</v>
      </c>
      <c r="D4" s="108" t="s">
        <v>57</v>
      </c>
      <c r="E4" s="108">
        <v>2</v>
      </c>
      <c r="F4" s="108">
        <v>1240000</v>
      </c>
      <c r="G4" s="108">
        <v>50000</v>
      </c>
      <c r="H4" s="109" t="s">
        <v>147</v>
      </c>
    </row>
    <row r="5" spans="1:8" ht="39.6">
      <c r="A5" s="106" t="s">
        <v>148</v>
      </c>
      <c r="B5" s="107">
        <v>46254.867367326391</v>
      </c>
      <c r="C5" s="108" t="s">
        <v>142</v>
      </c>
      <c r="D5" s="108" t="s">
        <v>57</v>
      </c>
      <c r="E5" s="108">
        <v>2</v>
      </c>
      <c r="F5" s="108">
        <v>1240000</v>
      </c>
      <c r="G5" s="108">
        <v>50000</v>
      </c>
      <c r="H5" s="109" t="s">
        <v>147</v>
      </c>
    </row>
    <row r="6" spans="1:8" ht="52.8">
      <c r="A6" s="106" t="s">
        <v>149</v>
      </c>
      <c r="B6" s="107">
        <v>46254.096510763891</v>
      </c>
      <c r="C6" s="108" t="s">
        <v>142</v>
      </c>
      <c r="D6" s="108" t="s">
        <v>62</v>
      </c>
      <c r="E6" s="108">
        <v>4</v>
      </c>
      <c r="F6" s="108">
        <v>1029600</v>
      </c>
      <c r="G6" s="108">
        <v>50000</v>
      </c>
      <c r="H6" s="109" t="s">
        <v>150</v>
      </c>
    </row>
    <row r="7" spans="1:8" ht="39.6">
      <c r="A7" s="106" t="s">
        <v>151</v>
      </c>
      <c r="B7" s="107">
        <v>46252.876856331015</v>
      </c>
      <c r="C7" s="108" t="s">
        <v>142</v>
      </c>
      <c r="D7" s="108" t="s">
        <v>57</v>
      </c>
      <c r="E7" s="108">
        <v>2</v>
      </c>
      <c r="F7" s="108">
        <v>1111000</v>
      </c>
      <c r="G7" s="108">
        <v>50000</v>
      </c>
      <c r="H7" s="109" t="s">
        <v>152</v>
      </c>
    </row>
    <row r="8" spans="1:8" ht="39.6">
      <c r="A8" s="106" t="s">
        <v>153</v>
      </c>
      <c r="B8" s="107">
        <v>46252.685141863425</v>
      </c>
      <c r="C8" s="108" t="s">
        <v>142</v>
      </c>
      <c r="D8" s="108" t="s">
        <v>57</v>
      </c>
      <c r="E8" s="108">
        <v>2</v>
      </c>
      <c r="F8" s="108">
        <v>1111000</v>
      </c>
      <c r="G8" s="108">
        <v>50000</v>
      </c>
      <c r="H8" s="109" t="s">
        <v>152</v>
      </c>
    </row>
    <row r="9" spans="1:8" ht="15" customHeight="1">
      <c r="A9" s="110" t="s">
        <v>154</v>
      </c>
      <c r="B9" s="111">
        <v>46251.895162696761</v>
      </c>
      <c r="C9" s="112" t="s">
        <v>142</v>
      </c>
      <c r="D9" s="112" t="s">
        <v>82</v>
      </c>
      <c r="E9" s="112">
        <v>1</v>
      </c>
      <c r="F9" s="112">
        <v>2226000</v>
      </c>
      <c r="G9" s="112">
        <v>50000</v>
      </c>
      <c r="H9" s="113" t="s">
        <v>155</v>
      </c>
    </row>
    <row r="10" spans="1:8" ht="15" customHeight="1">
      <c r="A10" s="110" t="s">
        <v>156</v>
      </c>
      <c r="B10" s="111">
        <v>46250.907933831018</v>
      </c>
      <c r="C10" s="112" t="s">
        <v>142</v>
      </c>
      <c r="D10" s="112" t="s">
        <v>57</v>
      </c>
      <c r="E10" s="112">
        <v>2</v>
      </c>
      <c r="F10" s="112">
        <v>1114000</v>
      </c>
      <c r="G10" s="112">
        <v>50000</v>
      </c>
      <c r="H10" s="113" t="s">
        <v>157</v>
      </c>
    </row>
    <row r="11" spans="1:8" ht="15" customHeight="1">
      <c r="A11" s="110" t="s">
        <v>158</v>
      </c>
      <c r="B11" s="111">
        <v>46250.71940228009</v>
      </c>
      <c r="C11" s="112" t="s">
        <v>142</v>
      </c>
      <c r="D11" s="112" t="s">
        <v>57</v>
      </c>
      <c r="E11" s="112">
        <v>1</v>
      </c>
      <c r="F11" s="112">
        <v>1080000</v>
      </c>
      <c r="G11" s="112">
        <v>50000</v>
      </c>
      <c r="H11" s="113" t="s">
        <v>159</v>
      </c>
    </row>
    <row r="12" spans="1:8" ht="15" customHeight="1">
      <c r="A12" s="110" t="s">
        <v>160</v>
      </c>
      <c r="B12" s="111">
        <v>46250.331630208333</v>
      </c>
      <c r="C12" s="112" t="s">
        <v>142</v>
      </c>
      <c r="D12" s="112" t="s">
        <v>24</v>
      </c>
      <c r="E12" s="112">
        <v>2</v>
      </c>
      <c r="F12" s="112">
        <v>1011000</v>
      </c>
      <c r="G12" s="112">
        <v>50000</v>
      </c>
      <c r="H12" s="113" t="s">
        <v>161</v>
      </c>
    </row>
    <row r="13" spans="1:8" ht="15" customHeight="1">
      <c r="A13" s="110" t="s">
        <v>162</v>
      </c>
      <c r="B13" s="111">
        <v>46250.218809062499</v>
      </c>
      <c r="C13" s="112" t="s">
        <v>142</v>
      </c>
      <c r="D13" s="112" t="s">
        <v>62</v>
      </c>
      <c r="E13" s="112">
        <v>2</v>
      </c>
      <c r="F13" s="112">
        <v>1092000</v>
      </c>
      <c r="G13" s="112">
        <v>50000</v>
      </c>
      <c r="H13" s="113" t="s">
        <v>163</v>
      </c>
    </row>
    <row r="14" spans="1:8" ht="15" customHeight="1">
      <c r="A14" s="110" t="s">
        <v>164</v>
      </c>
      <c r="B14" s="111">
        <v>46249.734879976852</v>
      </c>
      <c r="C14" s="112" t="s">
        <v>142</v>
      </c>
      <c r="D14" s="112" t="s">
        <v>57</v>
      </c>
      <c r="E14" s="112">
        <v>2</v>
      </c>
      <c r="F14" s="112">
        <v>1209000</v>
      </c>
      <c r="G14" s="112">
        <v>50000</v>
      </c>
      <c r="H14" s="113" t="s">
        <v>165</v>
      </c>
    </row>
    <row r="15" spans="1:8" ht="15" customHeight="1">
      <c r="A15" s="110" t="s">
        <v>166</v>
      </c>
      <c r="B15" s="111">
        <v>46249.167608877317</v>
      </c>
      <c r="C15" s="112" t="s">
        <v>167</v>
      </c>
      <c r="D15" s="112" t="s">
        <v>87</v>
      </c>
      <c r="E15" s="112">
        <v>2</v>
      </c>
      <c r="F15" s="112">
        <v>1320000</v>
      </c>
      <c r="G15" s="112">
        <v>50000</v>
      </c>
      <c r="H15" s="113" t="s">
        <v>168</v>
      </c>
    </row>
    <row r="16" spans="1:8" ht="15" customHeight="1">
      <c r="A16" s="110" t="s">
        <v>169</v>
      </c>
      <c r="B16" s="111">
        <v>46248.856459259259</v>
      </c>
      <c r="C16" s="112" t="s">
        <v>142</v>
      </c>
      <c r="D16" s="112" t="s">
        <v>57</v>
      </c>
      <c r="E16" s="112">
        <v>2</v>
      </c>
      <c r="F16" s="112">
        <v>1076000</v>
      </c>
      <c r="G16" s="112">
        <v>50000</v>
      </c>
      <c r="H16" s="113" t="s">
        <v>170</v>
      </c>
    </row>
    <row r="17" spans="1:8" ht="15" customHeight="1">
      <c r="A17" s="110" t="s">
        <v>171</v>
      </c>
      <c r="B17" s="111">
        <v>46248.578693634263</v>
      </c>
      <c r="C17" s="112" t="s">
        <v>142</v>
      </c>
      <c r="D17" s="112" t="s">
        <v>82</v>
      </c>
      <c r="E17" s="112">
        <v>2</v>
      </c>
      <c r="F17" s="112">
        <v>1085000</v>
      </c>
      <c r="G17" s="112">
        <v>50000</v>
      </c>
      <c r="H17" s="113" t="s">
        <v>172</v>
      </c>
    </row>
    <row r="18" spans="1:8" ht="15" customHeight="1">
      <c r="A18" s="110" t="s">
        <v>173</v>
      </c>
      <c r="B18" s="111">
        <v>46246.774037847223</v>
      </c>
      <c r="C18" s="112" t="s">
        <v>167</v>
      </c>
      <c r="D18" s="112" t="s">
        <v>89</v>
      </c>
      <c r="E18" s="112">
        <v>2</v>
      </c>
      <c r="F18" s="112">
        <v>1129000</v>
      </c>
      <c r="G18" s="112">
        <v>50000</v>
      </c>
      <c r="H18" s="113" t="s">
        <v>174</v>
      </c>
    </row>
    <row r="19" spans="1:8" ht="15" customHeight="1">
      <c r="A19" s="110" t="s">
        <v>175</v>
      </c>
      <c r="B19" s="111">
        <v>46245.687407372687</v>
      </c>
      <c r="C19" s="112" t="s">
        <v>167</v>
      </c>
      <c r="D19" s="112" t="s">
        <v>93</v>
      </c>
      <c r="E19" s="112">
        <v>1</v>
      </c>
      <c r="F19" s="112">
        <v>2392000</v>
      </c>
      <c r="G19" s="112">
        <v>50000</v>
      </c>
      <c r="H19" s="113" t="s">
        <v>176</v>
      </c>
    </row>
    <row r="20" spans="1:8" ht="15" customHeight="1">
      <c r="A20" s="110" t="s">
        <v>177</v>
      </c>
      <c r="B20" s="111">
        <v>46245.613293171293</v>
      </c>
      <c r="C20" s="112" t="s">
        <v>167</v>
      </c>
      <c r="D20" s="112" t="s">
        <v>93</v>
      </c>
      <c r="E20" s="112">
        <v>1</v>
      </c>
      <c r="F20" s="112">
        <v>2990000</v>
      </c>
      <c r="G20" s="112">
        <v>50000</v>
      </c>
      <c r="H20" s="113" t="s">
        <v>178</v>
      </c>
    </row>
    <row r="21" spans="1:8" ht="15" customHeight="1">
      <c r="A21" s="110" t="s">
        <v>179</v>
      </c>
      <c r="B21" s="111">
        <v>46245.610405983796</v>
      </c>
      <c r="C21" s="112" t="s">
        <v>167</v>
      </c>
      <c r="D21" s="112" t="s">
        <v>93</v>
      </c>
      <c r="E21" s="112">
        <v>1</v>
      </c>
      <c r="F21" s="112">
        <v>2990000</v>
      </c>
      <c r="G21" s="112">
        <v>50000</v>
      </c>
      <c r="H21" s="113" t="s">
        <v>178</v>
      </c>
    </row>
    <row r="22" spans="1:8" ht="15" customHeight="1">
      <c r="A22" s="110" t="s">
        <v>180</v>
      </c>
      <c r="B22" s="111">
        <v>46245.462891932868</v>
      </c>
      <c r="C22" s="112" t="s">
        <v>142</v>
      </c>
      <c r="D22" s="112" t="s">
        <v>57</v>
      </c>
      <c r="E22" s="112">
        <v>3</v>
      </c>
      <c r="F22" s="112">
        <v>1702000</v>
      </c>
      <c r="G22" s="112">
        <v>50000</v>
      </c>
      <c r="H22" s="113" t="s">
        <v>181</v>
      </c>
    </row>
    <row r="23" spans="1:8" ht="15" customHeight="1">
      <c r="A23" s="110" t="s">
        <v>182</v>
      </c>
      <c r="B23" s="111">
        <v>46244.898564930554</v>
      </c>
      <c r="C23" s="112" t="s">
        <v>142</v>
      </c>
      <c r="D23" s="112" t="s">
        <v>57</v>
      </c>
      <c r="E23" s="112">
        <v>3</v>
      </c>
      <c r="F23" s="112">
        <v>1545000</v>
      </c>
      <c r="G23" s="112">
        <v>50000</v>
      </c>
      <c r="H23" s="113" t="s">
        <v>183</v>
      </c>
    </row>
    <row r="24" spans="1:8" ht="15" customHeight="1">
      <c r="A24" s="110" t="s">
        <v>184</v>
      </c>
      <c r="B24" s="111">
        <v>46244.474395254627</v>
      </c>
      <c r="C24" s="112" t="s">
        <v>142</v>
      </c>
      <c r="D24" s="112" t="s">
        <v>82</v>
      </c>
      <c r="E24" s="112">
        <v>2</v>
      </c>
      <c r="F24" s="112">
        <v>1145000</v>
      </c>
      <c r="G24" s="112">
        <v>50000</v>
      </c>
      <c r="H24" s="113" t="s">
        <v>185</v>
      </c>
    </row>
    <row r="25" spans="1:8" ht="28.8">
      <c r="A25" s="110" t="s">
        <v>186</v>
      </c>
      <c r="B25" s="111">
        <v>46243.73607230324</v>
      </c>
      <c r="C25" s="112" t="s">
        <v>142</v>
      </c>
      <c r="D25" s="112" t="s">
        <v>57</v>
      </c>
      <c r="E25" s="112">
        <v>2</v>
      </c>
      <c r="F25" s="112">
        <v>1172000</v>
      </c>
      <c r="G25" s="112">
        <v>50000</v>
      </c>
      <c r="H25" s="113" t="s">
        <v>187</v>
      </c>
    </row>
    <row r="26" spans="1:8" ht="43.2">
      <c r="A26" s="110" t="s">
        <v>188</v>
      </c>
      <c r="B26" s="111">
        <v>46243.503494328703</v>
      </c>
      <c r="C26" s="112" t="s">
        <v>142</v>
      </c>
      <c r="D26" s="112" t="s">
        <v>82</v>
      </c>
      <c r="E26" s="112">
        <v>2</v>
      </c>
      <c r="F26" s="112">
        <v>1315000</v>
      </c>
      <c r="G26" s="112">
        <v>50000</v>
      </c>
      <c r="H26" s="113" t="s">
        <v>189</v>
      </c>
    </row>
    <row r="27" spans="1:8" ht="14.4">
      <c r="A27" s="110" t="s">
        <v>190</v>
      </c>
      <c r="B27" s="111">
        <v>46243.481672569447</v>
      </c>
      <c r="C27" s="112" t="s">
        <v>142</v>
      </c>
      <c r="D27" s="112" t="s">
        <v>82</v>
      </c>
      <c r="E27" s="112">
        <v>1</v>
      </c>
      <c r="F27" s="112">
        <v>1390000</v>
      </c>
      <c r="G27" s="112">
        <v>50000</v>
      </c>
      <c r="H27" s="113" t="s">
        <v>191</v>
      </c>
    </row>
    <row r="28" spans="1:8" ht="28.8">
      <c r="A28" s="110" t="s">
        <v>192</v>
      </c>
      <c r="B28" s="111">
        <v>46242.75160447917</v>
      </c>
      <c r="C28" s="112" t="s">
        <v>142</v>
      </c>
      <c r="D28" s="112" t="s">
        <v>24</v>
      </c>
      <c r="E28" s="112">
        <v>2</v>
      </c>
      <c r="F28" s="112">
        <v>1111000</v>
      </c>
      <c r="G28" s="112">
        <v>50000</v>
      </c>
      <c r="H28" s="113" t="s">
        <v>193</v>
      </c>
    </row>
    <row r="29" spans="1:8" ht="28.8">
      <c r="A29" s="110" t="s">
        <v>194</v>
      </c>
      <c r="B29" s="111">
        <v>46242.581570254632</v>
      </c>
      <c r="C29" s="112" t="s">
        <v>142</v>
      </c>
      <c r="D29" s="112" t="s">
        <v>57</v>
      </c>
      <c r="E29" s="112">
        <v>1</v>
      </c>
      <c r="F29" s="112">
        <v>1080000</v>
      </c>
      <c r="G29" s="112">
        <v>50000</v>
      </c>
      <c r="H29" s="113" t="s">
        <v>159</v>
      </c>
    </row>
    <row r="30" spans="1:8" ht="43.2">
      <c r="A30" s="110" t="s">
        <v>195</v>
      </c>
      <c r="B30" s="111">
        <v>46241.930672881943</v>
      </c>
      <c r="C30" s="112" t="s">
        <v>142</v>
      </c>
      <c r="D30" s="112" t="s">
        <v>82</v>
      </c>
      <c r="E30" s="112">
        <v>2</v>
      </c>
      <c r="F30" s="112">
        <v>1315000</v>
      </c>
      <c r="G30" s="112">
        <v>50000</v>
      </c>
      <c r="H30" s="113" t="s">
        <v>196</v>
      </c>
    </row>
    <row r="31" spans="1:8" ht="43.2">
      <c r="A31" s="110" t="s">
        <v>197</v>
      </c>
      <c r="B31" s="111">
        <v>46236.962419131945</v>
      </c>
      <c r="C31" s="112" t="s">
        <v>167</v>
      </c>
      <c r="D31" s="112" t="s">
        <v>93</v>
      </c>
      <c r="E31" s="112">
        <v>2</v>
      </c>
      <c r="F31" s="112">
        <v>1309000</v>
      </c>
      <c r="G31" s="112">
        <v>50000</v>
      </c>
      <c r="H31" s="113" t="s">
        <v>198</v>
      </c>
    </row>
    <row r="32" spans="1:8" ht="72">
      <c r="A32" s="110" t="s">
        <v>199</v>
      </c>
      <c r="B32" s="111">
        <v>46236.644766168982</v>
      </c>
      <c r="C32" s="112" t="s">
        <v>142</v>
      </c>
      <c r="D32" s="112" t="s">
        <v>82</v>
      </c>
      <c r="E32" s="112">
        <v>4</v>
      </c>
      <c r="F32" s="112">
        <v>2917000</v>
      </c>
      <c r="G32" s="112">
        <v>50000</v>
      </c>
      <c r="H32" s="113" t="s">
        <v>200</v>
      </c>
    </row>
    <row r="33" spans="1:8" ht="43.2">
      <c r="A33" s="110" t="s">
        <v>201</v>
      </c>
      <c r="B33" s="111">
        <v>46236.268821527781</v>
      </c>
      <c r="C33" s="112" t="s">
        <v>142</v>
      </c>
      <c r="D33" s="112" t="s">
        <v>57</v>
      </c>
      <c r="E33" s="112">
        <v>2</v>
      </c>
      <c r="F33" s="112">
        <v>1105000</v>
      </c>
      <c r="G33" s="112">
        <v>50000</v>
      </c>
      <c r="H33" s="113" t="s">
        <v>202</v>
      </c>
    </row>
    <row r="34" spans="1:8" ht="57.6">
      <c r="A34" s="110" t="s">
        <v>203</v>
      </c>
      <c r="B34" s="111">
        <v>46235.550857326387</v>
      </c>
      <c r="C34" s="112" t="s">
        <v>142</v>
      </c>
      <c r="D34" s="112" t="s">
        <v>57</v>
      </c>
      <c r="E34" s="112">
        <v>4</v>
      </c>
      <c r="F34" s="112">
        <v>1035000</v>
      </c>
      <c r="G34" s="112">
        <v>50000</v>
      </c>
      <c r="H34" s="113" t="s">
        <v>204</v>
      </c>
    </row>
    <row r="35" spans="1:8" ht="28.8">
      <c r="A35" s="110" t="s">
        <v>205</v>
      </c>
      <c r="B35" s="111">
        <v>46235.177068171295</v>
      </c>
      <c r="C35" s="112" t="s">
        <v>167</v>
      </c>
      <c r="D35" s="112" t="s">
        <v>89</v>
      </c>
      <c r="E35" s="112">
        <v>2</v>
      </c>
      <c r="F35" s="112">
        <v>1235000</v>
      </c>
      <c r="G35" s="112">
        <v>50000</v>
      </c>
      <c r="H35" s="113" t="s">
        <v>206</v>
      </c>
    </row>
    <row r="36" spans="1:8" ht="52.8">
      <c r="A36" s="106" t="s">
        <v>207</v>
      </c>
      <c r="B36" s="107">
        <v>46257.828734178242</v>
      </c>
      <c r="C36" s="108" t="s">
        <v>142</v>
      </c>
      <c r="D36" s="108" t="s">
        <v>57</v>
      </c>
      <c r="E36" s="108">
        <v>3</v>
      </c>
      <c r="F36" s="108">
        <v>1097000</v>
      </c>
      <c r="G36" s="108">
        <v>50000</v>
      </c>
      <c r="H36" s="109" t="s">
        <v>208</v>
      </c>
    </row>
    <row r="37" spans="1:8" ht="39.6">
      <c r="A37" s="106" t="s">
        <v>209</v>
      </c>
      <c r="B37" s="107">
        <v>46257.857160914355</v>
      </c>
      <c r="C37" s="108" t="s">
        <v>142</v>
      </c>
      <c r="D37" s="108" t="s">
        <v>57</v>
      </c>
      <c r="E37" s="108">
        <v>3</v>
      </c>
      <c r="F37" s="108">
        <v>1060000</v>
      </c>
      <c r="G37" s="108">
        <v>50000</v>
      </c>
      <c r="H37" s="109" t="s">
        <v>210</v>
      </c>
    </row>
    <row r="38" spans="1:8" ht="13.2">
      <c r="B38" s="108"/>
      <c r="C38" s="108"/>
      <c r="D38" s="108"/>
      <c r="E38" s="108"/>
      <c r="F38" s="108"/>
      <c r="G38" s="108"/>
      <c r="H38" s="109"/>
    </row>
    <row r="39" spans="1:8" ht="13.2">
      <c r="B39" s="108"/>
      <c r="C39" s="108"/>
      <c r="D39" s="108"/>
      <c r="E39" s="108"/>
      <c r="F39" s="108"/>
      <c r="G39" s="108"/>
      <c r="H39" s="109"/>
    </row>
    <row r="40" spans="1:8" ht="13.2">
      <c r="B40" s="108"/>
      <c r="C40" s="108"/>
      <c r="D40" s="108"/>
      <c r="E40" s="108"/>
      <c r="F40" s="108"/>
      <c r="G40" s="108"/>
      <c r="H40" s="109"/>
    </row>
    <row r="41" spans="1:8" ht="13.2">
      <c r="B41" s="108"/>
      <c r="C41" s="108"/>
      <c r="D41" s="108"/>
      <c r="E41" s="108"/>
      <c r="F41" s="108"/>
      <c r="G41" s="108"/>
      <c r="H41" s="109"/>
    </row>
    <row r="42" spans="1:8" ht="13.2">
      <c r="B42" s="108"/>
      <c r="C42" s="108"/>
      <c r="D42" s="108"/>
      <c r="E42" s="108"/>
      <c r="F42" s="108"/>
      <c r="G42" s="108"/>
      <c r="H42" s="109"/>
    </row>
    <row r="43" spans="1:8" ht="13.2">
      <c r="B43" s="108"/>
      <c r="C43" s="108"/>
      <c r="D43" s="108"/>
      <c r="E43" s="108"/>
      <c r="F43" s="108"/>
      <c r="G43" s="108"/>
      <c r="H43" s="109"/>
    </row>
    <row r="44" spans="1:8" ht="13.2">
      <c r="B44" s="108"/>
      <c r="C44" s="108"/>
      <c r="D44" s="108"/>
      <c r="E44" s="108"/>
      <c r="F44" s="108"/>
      <c r="G44" s="108"/>
      <c r="H44" s="109"/>
    </row>
    <row r="45" spans="1:8" ht="13.2">
      <c r="B45" s="108"/>
      <c r="C45" s="108"/>
      <c r="D45" s="108"/>
      <c r="E45" s="108"/>
      <c r="F45" s="108"/>
      <c r="G45" s="108"/>
      <c r="H45" s="109"/>
    </row>
    <row r="46" spans="1:8" ht="13.2">
      <c r="B46" s="108"/>
      <c r="C46" s="108"/>
      <c r="D46" s="108"/>
      <c r="E46" s="108"/>
      <c r="F46" s="108"/>
      <c r="G46" s="108"/>
      <c r="H46" s="109"/>
    </row>
    <row r="47" spans="1:8" ht="13.2">
      <c r="B47" s="108"/>
      <c r="C47" s="108"/>
      <c r="D47" s="108"/>
      <c r="E47" s="108"/>
      <c r="F47" s="108"/>
      <c r="G47" s="108"/>
      <c r="H47" s="109"/>
    </row>
    <row r="48" spans="1:8" ht="13.2">
      <c r="B48" s="108"/>
      <c r="C48" s="108"/>
      <c r="D48" s="108"/>
      <c r="E48" s="108"/>
      <c r="F48" s="108"/>
      <c r="G48" s="108"/>
      <c r="H48" s="109"/>
    </row>
    <row r="49" spans="2:8" ht="13.2">
      <c r="B49" s="108"/>
      <c r="C49" s="108"/>
      <c r="D49" s="108"/>
      <c r="E49" s="108"/>
      <c r="F49" s="108"/>
      <c r="G49" s="108"/>
      <c r="H49" s="109"/>
    </row>
    <row r="50" spans="2:8" ht="13.2">
      <c r="B50" s="108"/>
      <c r="C50" s="108"/>
      <c r="D50" s="108"/>
      <c r="E50" s="108"/>
      <c r="F50" s="108"/>
      <c r="G50" s="108"/>
      <c r="H50" s="109"/>
    </row>
    <row r="51" spans="2:8" ht="13.2">
      <c r="B51" s="108"/>
      <c r="C51" s="108"/>
      <c r="D51" s="108"/>
      <c r="E51" s="108"/>
      <c r="F51" s="108"/>
      <c r="G51" s="108"/>
      <c r="H51" s="109"/>
    </row>
    <row r="52" spans="2:8" ht="13.2">
      <c r="B52" s="108"/>
      <c r="C52" s="108"/>
      <c r="D52" s="108"/>
      <c r="E52" s="108"/>
      <c r="F52" s="108"/>
      <c r="G52" s="108"/>
      <c r="H52" s="109"/>
    </row>
    <row r="53" spans="2:8" ht="13.2">
      <c r="B53" s="108"/>
      <c r="C53" s="108"/>
      <c r="D53" s="108"/>
      <c r="E53" s="108"/>
      <c r="F53" s="108"/>
      <c r="G53" s="108"/>
      <c r="H53" s="109"/>
    </row>
    <row r="54" spans="2:8" ht="13.2">
      <c r="B54" s="108"/>
      <c r="C54" s="108"/>
      <c r="D54" s="108"/>
      <c r="E54" s="108"/>
      <c r="F54" s="108"/>
      <c r="G54" s="108"/>
      <c r="H54" s="109"/>
    </row>
    <row r="55" spans="2:8" ht="13.2">
      <c r="B55" s="108"/>
      <c r="C55" s="108"/>
      <c r="D55" s="108"/>
      <c r="E55" s="108"/>
      <c r="F55" s="108"/>
      <c r="G55" s="108"/>
      <c r="H55" s="109"/>
    </row>
    <row r="56" spans="2:8" ht="13.2">
      <c r="B56" s="108"/>
      <c r="C56" s="108"/>
      <c r="D56" s="108"/>
      <c r="E56" s="108"/>
      <c r="F56" s="108"/>
      <c r="G56" s="108"/>
      <c r="H56" s="109"/>
    </row>
    <row r="57" spans="2:8" ht="13.2">
      <c r="B57" s="108"/>
      <c r="C57" s="108"/>
      <c r="D57" s="108"/>
      <c r="E57" s="108"/>
      <c r="F57" s="108"/>
      <c r="G57" s="108"/>
      <c r="H57" s="109"/>
    </row>
    <row r="58" spans="2:8" ht="13.2">
      <c r="B58" s="108"/>
      <c r="C58" s="108"/>
      <c r="D58" s="108"/>
      <c r="E58" s="108"/>
      <c r="F58" s="108"/>
      <c r="G58" s="108"/>
      <c r="H58" s="109"/>
    </row>
    <row r="59" spans="2:8" ht="13.2">
      <c r="B59" s="108"/>
      <c r="C59" s="108"/>
      <c r="D59" s="108"/>
      <c r="E59" s="108"/>
      <c r="F59" s="108"/>
      <c r="G59" s="108"/>
      <c r="H59" s="109"/>
    </row>
    <row r="60" spans="2:8" ht="13.2">
      <c r="B60" s="108"/>
      <c r="C60" s="108"/>
      <c r="D60" s="108"/>
      <c r="E60" s="108"/>
      <c r="F60" s="108"/>
      <c r="G60" s="108"/>
      <c r="H60" s="109"/>
    </row>
    <row r="61" spans="2:8" ht="13.2">
      <c r="B61" s="108"/>
      <c r="C61" s="108"/>
      <c r="D61" s="108"/>
      <c r="E61" s="108"/>
      <c r="F61" s="108"/>
      <c r="G61" s="108"/>
      <c r="H61" s="109"/>
    </row>
    <row r="62" spans="2:8" ht="13.2">
      <c r="B62" s="108"/>
      <c r="C62" s="108"/>
      <c r="D62" s="108"/>
      <c r="E62" s="108"/>
      <c r="F62" s="108"/>
      <c r="G62" s="108"/>
      <c r="H62" s="109"/>
    </row>
    <row r="63" spans="2:8" ht="13.2">
      <c r="B63" s="108"/>
      <c r="C63" s="108"/>
      <c r="D63" s="108"/>
      <c r="E63" s="108"/>
      <c r="F63" s="108"/>
      <c r="G63" s="108"/>
      <c r="H63" s="109"/>
    </row>
    <row r="64" spans="2:8" ht="13.2">
      <c r="B64" s="108"/>
      <c r="C64" s="108"/>
      <c r="D64" s="108"/>
      <c r="E64" s="108"/>
      <c r="F64" s="108"/>
      <c r="G64" s="108"/>
      <c r="H64" s="109"/>
    </row>
    <row r="65" spans="2:8" ht="13.2">
      <c r="B65" s="108"/>
      <c r="C65" s="108"/>
      <c r="D65" s="108"/>
      <c r="E65" s="108"/>
      <c r="F65" s="108"/>
      <c r="G65" s="108"/>
      <c r="H65" s="109"/>
    </row>
    <row r="66" spans="2:8" ht="13.2">
      <c r="B66" s="108"/>
      <c r="C66" s="108"/>
      <c r="D66" s="108"/>
      <c r="E66" s="108"/>
      <c r="F66" s="108"/>
      <c r="G66" s="108"/>
      <c r="H66" s="109"/>
    </row>
    <row r="67" spans="2:8" ht="13.2">
      <c r="B67" s="108"/>
      <c r="C67" s="108"/>
      <c r="D67" s="108"/>
      <c r="E67" s="108"/>
      <c r="F67" s="108"/>
      <c r="G67" s="108"/>
      <c r="H67" s="109"/>
    </row>
    <row r="68" spans="2:8" ht="13.2">
      <c r="B68" s="108"/>
      <c r="C68" s="108"/>
      <c r="D68" s="108"/>
      <c r="E68" s="108"/>
      <c r="F68" s="108"/>
      <c r="G68" s="108"/>
      <c r="H68" s="109"/>
    </row>
    <row r="69" spans="2:8" ht="13.2">
      <c r="B69" s="108"/>
      <c r="C69" s="108"/>
      <c r="D69" s="108"/>
      <c r="E69" s="108"/>
      <c r="F69" s="108"/>
      <c r="G69" s="108"/>
      <c r="H69" s="109"/>
    </row>
    <row r="70" spans="2:8" ht="13.2">
      <c r="B70" s="108"/>
      <c r="C70" s="108"/>
      <c r="D70" s="108"/>
      <c r="E70" s="108"/>
      <c r="F70" s="108"/>
      <c r="G70" s="108"/>
      <c r="H70" s="109"/>
    </row>
    <row r="71" spans="2:8" ht="13.2">
      <c r="B71" s="108"/>
      <c r="C71" s="108"/>
      <c r="D71" s="108"/>
      <c r="E71" s="108"/>
      <c r="F71" s="108"/>
      <c r="G71" s="108"/>
      <c r="H71" s="109"/>
    </row>
    <row r="72" spans="2:8" ht="13.2">
      <c r="B72" s="108"/>
      <c r="C72" s="108"/>
      <c r="D72" s="108"/>
      <c r="E72" s="108"/>
      <c r="F72" s="108"/>
      <c r="G72" s="108"/>
      <c r="H72" s="109"/>
    </row>
    <row r="73" spans="2:8" ht="13.2">
      <c r="B73" s="108"/>
      <c r="C73" s="108"/>
      <c r="D73" s="108"/>
      <c r="E73" s="108"/>
      <c r="F73" s="108"/>
      <c r="G73" s="108"/>
      <c r="H73" s="109"/>
    </row>
    <row r="74" spans="2:8" ht="13.2">
      <c r="B74" s="108"/>
      <c r="C74" s="108"/>
      <c r="D74" s="108"/>
      <c r="E74" s="108"/>
      <c r="F74" s="108"/>
      <c r="G74" s="108"/>
      <c r="H74" s="109"/>
    </row>
    <row r="75" spans="2:8" ht="13.2">
      <c r="B75" s="108"/>
      <c r="C75" s="108"/>
      <c r="D75" s="108"/>
      <c r="E75" s="108"/>
      <c r="F75" s="108"/>
      <c r="G75" s="108"/>
      <c r="H75" s="109"/>
    </row>
    <row r="76" spans="2:8" ht="13.2">
      <c r="B76" s="108"/>
      <c r="C76" s="108"/>
      <c r="D76" s="108"/>
      <c r="E76" s="108"/>
      <c r="F76" s="108"/>
      <c r="G76" s="108"/>
      <c r="H76" s="109"/>
    </row>
    <row r="77" spans="2:8" ht="13.2">
      <c r="B77" s="108"/>
      <c r="C77" s="108"/>
      <c r="D77" s="108"/>
      <c r="E77" s="108"/>
      <c r="F77" s="108"/>
      <c r="G77" s="108"/>
      <c r="H77" s="109"/>
    </row>
    <row r="78" spans="2:8" ht="13.2">
      <c r="B78" s="108"/>
      <c r="C78" s="108"/>
      <c r="D78" s="108"/>
      <c r="E78" s="108"/>
      <c r="F78" s="108"/>
      <c r="G78" s="108"/>
      <c r="H78" s="109"/>
    </row>
    <row r="79" spans="2:8" ht="13.2">
      <c r="B79" s="108"/>
      <c r="C79" s="108"/>
      <c r="D79" s="108"/>
      <c r="E79" s="108"/>
      <c r="F79" s="108"/>
      <c r="G79" s="108"/>
      <c r="H79" s="109"/>
    </row>
    <row r="80" spans="2:8" ht="13.2">
      <c r="B80" s="108"/>
      <c r="C80" s="108"/>
      <c r="D80" s="108"/>
      <c r="E80" s="108"/>
      <c r="F80" s="108"/>
      <c r="G80" s="108"/>
      <c r="H80" s="109"/>
    </row>
    <row r="81" spans="2:8" ht="13.2">
      <c r="B81" s="108"/>
      <c r="C81" s="108"/>
      <c r="D81" s="108"/>
      <c r="E81" s="108"/>
      <c r="F81" s="108"/>
      <c r="G81" s="108"/>
      <c r="H81" s="109"/>
    </row>
    <row r="82" spans="2:8" ht="13.2">
      <c r="B82" s="108"/>
      <c r="C82" s="108"/>
      <c r="D82" s="108"/>
      <c r="E82" s="108"/>
      <c r="F82" s="108"/>
      <c r="G82" s="108"/>
      <c r="H82" s="109"/>
    </row>
    <row r="83" spans="2:8" ht="13.2">
      <c r="B83" s="108"/>
      <c r="C83" s="108"/>
      <c r="D83" s="108"/>
      <c r="E83" s="108"/>
      <c r="F83" s="108"/>
      <c r="G83" s="108"/>
      <c r="H83" s="109"/>
    </row>
    <row r="84" spans="2:8" ht="13.2">
      <c r="B84" s="108"/>
      <c r="C84" s="108"/>
      <c r="D84" s="108"/>
      <c r="E84" s="108"/>
      <c r="F84" s="108"/>
      <c r="G84" s="108"/>
      <c r="H84" s="109"/>
    </row>
    <row r="85" spans="2:8" ht="13.2">
      <c r="B85" s="108"/>
      <c r="C85" s="108"/>
      <c r="D85" s="108"/>
      <c r="E85" s="108"/>
      <c r="F85" s="108"/>
      <c r="G85" s="108"/>
      <c r="H85" s="109"/>
    </row>
    <row r="86" spans="2:8" ht="13.2">
      <c r="B86" s="108"/>
      <c r="C86" s="108"/>
      <c r="D86" s="108"/>
      <c r="E86" s="108"/>
      <c r="F86" s="108"/>
      <c r="G86" s="108"/>
      <c r="H86" s="109"/>
    </row>
    <row r="87" spans="2:8" ht="13.2">
      <c r="B87" s="108"/>
      <c r="C87" s="108"/>
      <c r="D87" s="108"/>
      <c r="E87" s="108"/>
      <c r="F87" s="108"/>
      <c r="G87" s="108"/>
      <c r="H87" s="109"/>
    </row>
    <row r="88" spans="2:8" ht="13.2">
      <c r="B88" s="108"/>
      <c r="C88" s="108"/>
      <c r="D88" s="108"/>
      <c r="E88" s="108"/>
      <c r="F88" s="108"/>
      <c r="G88" s="108"/>
      <c r="H88" s="109"/>
    </row>
    <row r="89" spans="2:8" ht="13.2">
      <c r="B89" s="108"/>
      <c r="C89" s="108"/>
      <c r="D89" s="108"/>
      <c r="E89" s="108"/>
      <c r="F89" s="108"/>
      <c r="G89" s="108"/>
      <c r="H89" s="109"/>
    </row>
    <row r="90" spans="2:8" ht="13.2">
      <c r="B90" s="108"/>
      <c r="C90" s="108"/>
      <c r="D90" s="108"/>
      <c r="E90" s="108"/>
      <c r="F90" s="108"/>
      <c r="G90" s="108"/>
      <c r="H90" s="109"/>
    </row>
    <row r="91" spans="2:8" ht="13.2">
      <c r="B91" s="108"/>
      <c r="C91" s="108"/>
      <c r="D91" s="108"/>
      <c r="E91" s="108"/>
      <c r="F91" s="108"/>
      <c r="G91" s="108"/>
      <c r="H91" s="109"/>
    </row>
    <row r="92" spans="2:8" ht="13.2">
      <c r="B92" s="108"/>
      <c r="C92" s="108"/>
      <c r="D92" s="108"/>
      <c r="E92" s="108"/>
      <c r="F92" s="108"/>
      <c r="G92" s="108"/>
      <c r="H92" s="109"/>
    </row>
    <row r="93" spans="2:8" ht="13.2">
      <c r="B93" s="108"/>
      <c r="C93" s="108"/>
      <c r="D93" s="108"/>
      <c r="E93" s="108"/>
      <c r="F93" s="108"/>
      <c r="G93" s="108"/>
      <c r="H93" s="109"/>
    </row>
    <row r="94" spans="2:8" ht="13.2">
      <c r="B94" s="108"/>
      <c r="C94" s="108"/>
      <c r="D94" s="108"/>
      <c r="E94" s="108"/>
      <c r="F94" s="108"/>
      <c r="G94" s="108"/>
      <c r="H94" s="109"/>
    </row>
    <row r="95" spans="2:8" ht="13.2">
      <c r="B95" s="108"/>
      <c r="C95" s="108"/>
      <c r="D95" s="108"/>
      <c r="E95" s="108"/>
      <c r="F95" s="108"/>
      <c r="G95" s="108"/>
      <c r="H95" s="109"/>
    </row>
    <row r="96" spans="2:8" ht="13.2">
      <c r="B96" s="108"/>
      <c r="C96" s="108"/>
      <c r="D96" s="108"/>
      <c r="E96" s="108"/>
      <c r="F96" s="108"/>
      <c r="G96" s="108"/>
      <c r="H96" s="109"/>
    </row>
    <row r="97" spans="2:8" ht="13.2">
      <c r="B97" s="108"/>
      <c r="C97" s="108"/>
      <c r="D97" s="108"/>
      <c r="E97" s="108"/>
      <c r="F97" s="108"/>
      <c r="G97" s="108"/>
      <c r="H97" s="109"/>
    </row>
    <row r="98" spans="2:8" ht="13.2">
      <c r="B98" s="108"/>
      <c r="C98" s="108"/>
      <c r="D98" s="108"/>
      <c r="E98" s="108"/>
      <c r="F98" s="108"/>
      <c r="G98" s="108"/>
      <c r="H98" s="109"/>
    </row>
    <row r="99" spans="2:8" ht="13.2">
      <c r="B99" s="108"/>
      <c r="C99" s="108"/>
      <c r="D99" s="108"/>
      <c r="E99" s="108"/>
      <c r="F99" s="108"/>
      <c r="G99" s="108"/>
      <c r="H99" s="109"/>
    </row>
    <row r="100" spans="2:8" ht="13.2">
      <c r="B100" s="108"/>
      <c r="C100" s="108"/>
      <c r="D100" s="108"/>
      <c r="E100" s="108"/>
      <c r="F100" s="108"/>
      <c r="G100" s="108"/>
      <c r="H100" s="109"/>
    </row>
    <row r="101" spans="2:8" ht="13.2">
      <c r="B101" s="108"/>
      <c r="C101" s="108"/>
      <c r="D101" s="108"/>
      <c r="E101" s="108"/>
      <c r="F101" s="108"/>
      <c r="G101" s="108"/>
      <c r="H101" s="109"/>
    </row>
    <row r="102" spans="2:8" ht="13.2">
      <c r="B102" s="108"/>
      <c r="C102" s="108"/>
      <c r="D102" s="108"/>
      <c r="E102" s="108"/>
      <c r="F102" s="108"/>
      <c r="G102" s="108"/>
      <c r="H102" s="109"/>
    </row>
    <row r="103" spans="2:8" ht="13.2">
      <c r="B103" s="108"/>
      <c r="C103" s="108"/>
      <c r="D103" s="108"/>
      <c r="E103" s="108"/>
      <c r="F103" s="108"/>
      <c r="G103" s="108"/>
      <c r="H103" s="109"/>
    </row>
    <row r="104" spans="2:8" ht="13.2">
      <c r="B104" s="108"/>
      <c r="C104" s="108"/>
      <c r="D104" s="108"/>
      <c r="E104" s="108"/>
      <c r="F104" s="108"/>
      <c r="G104" s="108"/>
      <c r="H104" s="109"/>
    </row>
    <row r="105" spans="2:8" ht="13.2">
      <c r="B105" s="108"/>
      <c r="C105" s="108"/>
      <c r="D105" s="108"/>
      <c r="E105" s="108"/>
      <c r="F105" s="108"/>
      <c r="G105" s="108"/>
      <c r="H105" s="109"/>
    </row>
    <row r="106" spans="2:8" ht="13.2">
      <c r="B106" s="108"/>
      <c r="C106" s="108"/>
      <c r="D106" s="108"/>
      <c r="E106" s="108"/>
      <c r="F106" s="108"/>
      <c r="G106" s="108"/>
      <c r="H106" s="109"/>
    </row>
    <row r="107" spans="2:8" ht="13.2">
      <c r="B107" s="108"/>
      <c r="C107" s="108"/>
      <c r="D107" s="108"/>
      <c r="E107" s="108"/>
      <c r="F107" s="108"/>
      <c r="G107" s="108"/>
      <c r="H107" s="109"/>
    </row>
    <row r="108" spans="2:8" ht="13.2">
      <c r="B108" s="108"/>
      <c r="C108" s="108"/>
      <c r="D108" s="108"/>
      <c r="E108" s="108"/>
      <c r="F108" s="108"/>
      <c r="G108" s="108"/>
      <c r="H108" s="109"/>
    </row>
    <row r="109" spans="2:8" ht="13.2">
      <c r="B109" s="108"/>
      <c r="C109" s="108"/>
      <c r="D109" s="108"/>
      <c r="E109" s="108"/>
      <c r="F109" s="108"/>
      <c r="G109" s="108"/>
      <c r="H109" s="109"/>
    </row>
    <row r="110" spans="2:8" ht="13.2">
      <c r="B110" s="108"/>
      <c r="C110" s="108"/>
      <c r="D110" s="108"/>
      <c r="E110" s="108"/>
      <c r="F110" s="108"/>
      <c r="G110" s="108"/>
      <c r="H110" s="109"/>
    </row>
    <row r="111" spans="2:8" ht="13.2">
      <c r="B111" s="108"/>
      <c r="C111" s="108"/>
      <c r="D111" s="108"/>
      <c r="E111" s="108"/>
      <c r="F111" s="108"/>
      <c r="G111" s="108"/>
      <c r="H111" s="109"/>
    </row>
    <row r="112" spans="2:8" ht="13.2">
      <c r="B112" s="108"/>
      <c r="C112" s="108"/>
      <c r="D112" s="108"/>
      <c r="E112" s="108"/>
      <c r="F112" s="108"/>
      <c r="G112" s="108"/>
      <c r="H112" s="109"/>
    </row>
    <row r="113" spans="2:8" ht="13.2">
      <c r="B113" s="108"/>
      <c r="C113" s="108"/>
      <c r="D113" s="108"/>
      <c r="E113" s="108"/>
      <c r="F113" s="108"/>
      <c r="G113" s="108"/>
      <c r="H113" s="109"/>
    </row>
    <row r="114" spans="2:8" ht="13.2">
      <c r="B114" s="108"/>
      <c r="C114" s="108"/>
      <c r="D114" s="108"/>
      <c r="E114" s="108"/>
      <c r="F114" s="108"/>
      <c r="G114" s="108"/>
      <c r="H114" s="109"/>
    </row>
    <row r="115" spans="2:8" ht="13.2">
      <c r="B115" s="108"/>
      <c r="C115" s="108"/>
      <c r="D115" s="108"/>
      <c r="E115" s="108"/>
      <c r="F115" s="108"/>
      <c r="G115" s="108"/>
      <c r="H115" s="109"/>
    </row>
    <row r="116" spans="2:8" ht="13.2">
      <c r="B116" s="108"/>
      <c r="C116" s="108"/>
      <c r="D116" s="108"/>
      <c r="E116" s="108"/>
      <c r="F116" s="108"/>
      <c r="G116" s="108"/>
      <c r="H116" s="109"/>
    </row>
    <row r="117" spans="2:8" ht="13.2">
      <c r="B117" s="108"/>
      <c r="C117" s="108"/>
      <c r="D117" s="108"/>
      <c r="E117" s="108"/>
      <c r="F117" s="108"/>
      <c r="G117" s="108"/>
      <c r="H117" s="109"/>
    </row>
    <row r="118" spans="2:8" ht="13.2">
      <c r="B118" s="108"/>
      <c r="C118" s="108"/>
      <c r="D118" s="108"/>
      <c r="E118" s="108"/>
      <c r="F118" s="108"/>
      <c r="G118" s="108"/>
      <c r="H118" s="109"/>
    </row>
    <row r="119" spans="2:8" ht="13.2">
      <c r="B119" s="108"/>
      <c r="C119" s="108"/>
      <c r="D119" s="108"/>
      <c r="E119" s="108"/>
      <c r="F119" s="108"/>
      <c r="G119" s="108"/>
      <c r="H119" s="109"/>
    </row>
    <row r="120" spans="2:8" ht="13.2">
      <c r="B120" s="108"/>
      <c r="C120" s="108"/>
      <c r="D120" s="108"/>
      <c r="E120" s="108"/>
      <c r="F120" s="108"/>
      <c r="G120" s="108"/>
      <c r="H120" s="109"/>
    </row>
    <row r="121" spans="2:8" ht="13.2">
      <c r="B121" s="108"/>
      <c r="C121" s="108"/>
      <c r="D121" s="108"/>
      <c r="E121" s="108"/>
      <c r="F121" s="108"/>
      <c r="G121" s="108"/>
      <c r="H121" s="109"/>
    </row>
    <row r="122" spans="2:8" ht="13.2">
      <c r="B122" s="108"/>
      <c r="C122" s="108"/>
      <c r="D122" s="108"/>
      <c r="E122" s="108"/>
      <c r="F122" s="108"/>
      <c r="G122" s="108"/>
      <c r="H122" s="109"/>
    </row>
    <row r="123" spans="2:8" ht="13.2">
      <c r="B123" s="108"/>
      <c r="C123" s="108"/>
      <c r="D123" s="108"/>
      <c r="E123" s="108"/>
      <c r="F123" s="108"/>
      <c r="G123" s="108"/>
      <c r="H123" s="109"/>
    </row>
    <row r="124" spans="2:8" ht="13.2">
      <c r="B124" s="108"/>
      <c r="C124" s="108"/>
      <c r="D124" s="108"/>
      <c r="E124" s="108"/>
      <c r="F124" s="108"/>
      <c r="G124" s="108"/>
      <c r="H124" s="109"/>
    </row>
    <row r="125" spans="2:8" ht="13.2">
      <c r="B125" s="108"/>
      <c r="C125" s="108"/>
      <c r="D125" s="108"/>
      <c r="E125" s="108"/>
      <c r="F125" s="108"/>
      <c r="G125" s="108"/>
      <c r="H125" s="109"/>
    </row>
    <row r="126" spans="2:8" ht="13.2">
      <c r="B126" s="108"/>
      <c r="C126" s="108"/>
      <c r="D126" s="108"/>
      <c r="E126" s="108"/>
      <c r="F126" s="108"/>
      <c r="G126" s="108"/>
      <c r="H126" s="109"/>
    </row>
    <row r="127" spans="2:8" ht="13.2">
      <c r="B127" s="108"/>
      <c r="C127" s="108"/>
      <c r="D127" s="108"/>
      <c r="E127" s="108"/>
      <c r="F127" s="108"/>
      <c r="G127" s="108"/>
      <c r="H127" s="109"/>
    </row>
    <row r="128" spans="2:8" ht="13.2">
      <c r="B128" s="108"/>
      <c r="C128" s="108"/>
      <c r="D128" s="108"/>
      <c r="E128" s="108"/>
      <c r="F128" s="108"/>
      <c r="G128" s="108"/>
      <c r="H128" s="109"/>
    </row>
    <row r="129" spans="2:8" ht="13.2">
      <c r="B129" s="108"/>
      <c r="C129" s="108"/>
      <c r="D129" s="108"/>
      <c r="E129" s="108"/>
      <c r="F129" s="108"/>
      <c r="G129" s="108"/>
      <c r="H129" s="109"/>
    </row>
    <row r="130" spans="2:8" ht="13.2">
      <c r="B130" s="108"/>
      <c r="C130" s="108"/>
      <c r="D130" s="108"/>
      <c r="E130" s="108"/>
      <c r="F130" s="108"/>
      <c r="G130" s="108"/>
      <c r="H130" s="109"/>
    </row>
    <row r="131" spans="2:8" ht="13.2">
      <c r="B131" s="108"/>
      <c r="C131" s="108"/>
      <c r="D131" s="108"/>
      <c r="E131" s="108"/>
      <c r="F131" s="108"/>
      <c r="G131" s="108"/>
      <c r="H131" s="109"/>
    </row>
    <row r="132" spans="2:8" ht="13.2">
      <c r="B132" s="108"/>
      <c r="C132" s="108"/>
      <c r="D132" s="108"/>
      <c r="E132" s="108"/>
      <c r="F132" s="108"/>
      <c r="G132" s="108"/>
      <c r="H132" s="109"/>
    </row>
    <row r="133" spans="2:8" ht="13.2">
      <c r="B133" s="108"/>
      <c r="C133" s="108"/>
      <c r="D133" s="108"/>
      <c r="E133" s="108"/>
      <c r="F133" s="108"/>
      <c r="G133" s="108"/>
      <c r="H133" s="109"/>
    </row>
    <row r="134" spans="2:8" ht="13.2">
      <c r="B134" s="108"/>
      <c r="C134" s="108"/>
      <c r="D134" s="108"/>
      <c r="E134" s="108"/>
      <c r="F134" s="108"/>
      <c r="G134" s="108"/>
      <c r="H134" s="109"/>
    </row>
    <row r="135" spans="2:8" ht="13.2">
      <c r="B135" s="108"/>
      <c r="C135" s="108"/>
      <c r="D135" s="108"/>
      <c r="E135" s="108"/>
      <c r="F135" s="108"/>
      <c r="G135" s="108"/>
      <c r="H135" s="109"/>
    </row>
    <row r="136" spans="2:8" ht="13.2">
      <c r="B136" s="108"/>
      <c r="C136" s="108"/>
      <c r="D136" s="108"/>
      <c r="E136" s="108"/>
      <c r="F136" s="108"/>
      <c r="G136" s="108"/>
      <c r="H136" s="109"/>
    </row>
    <row r="137" spans="2:8" ht="13.2">
      <c r="B137" s="108"/>
      <c r="C137" s="108"/>
      <c r="D137" s="108"/>
      <c r="E137" s="108"/>
      <c r="F137" s="108"/>
      <c r="G137" s="108"/>
      <c r="H137" s="109"/>
    </row>
    <row r="138" spans="2:8" ht="13.2">
      <c r="B138" s="108"/>
      <c r="C138" s="108"/>
      <c r="D138" s="108"/>
      <c r="E138" s="108"/>
      <c r="F138" s="108"/>
      <c r="G138" s="108"/>
      <c r="H138" s="109"/>
    </row>
    <row r="139" spans="2:8" ht="13.2">
      <c r="B139" s="108"/>
      <c r="C139" s="108"/>
      <c r="D139" s="108"/>
      <c r="E139" s="108"/>
      <c r="F139" s="108"/>
      <c r="G139" s="108"/>
      <c r="H139" s="109"/>
    </row>
    <row r="140" spans="2:8" ht="13.2">
      <c r="B140" s="108"/>
      <c r="C140" s="108"/>
      <c r="D140" s="108"/>
      <c r="E140" s="108"/>
      <c r="F140" s="108"/>
      <c r="G140" s="108"/>
      <c r="H140" s="109"/>
    </row>
    <row r="141" spans="2:8" ht="13.2">
      <c r="B141" s="108"/>
      <c r="C141" s="108"/>
      <c r="D141" s="108"/>
      <c r="E141" s="108"/>
      <c r="F141" s="108"/>
      <c r="G141" s="108"/>
      <c r="H141" s="109"/>
    </row>
    <row r="142" spans="2:8" ht="13.2">
      <c r="B142" s="108"/>
      <c r="C142" s="108"/>
      <c r="D142" s="108"/>
      <c r="E142" s="108"/>
      <c r="F142" s="108"/>
      <c r="G142" s="108"/>
      <c r="H142" s="109"/>
    </row>
    <row r="143" spans="2:8" ht="13.2">
      <c r="B143" s="108"/>
      <c r="C143" s="108"/>
      <c r="D143" s="108"/>
      <c r="E143" s="108"/>
      <c r="F143" s="108"/>
      <c r="G143" s="108"/>
      <c r="H143" s="109"/>
    </row>
    <row r="144" spans="2:8" ht="13.2">
      <c r="B144" s="108"/>
      <c r="C144" s="108"/>
      <c r="D144" s="108"/>
      <c r="E144" s="108"/>
      <c r="F144" s="108"/>
      <c r="G144" s="108"/>
      <c r="H144" s="109"/>
    </row>
    <row r="145" spans="2:8" ht="13.2">
      <c r="B145" s="108"/>
      <c r="C145" s="108"/>
      <c r="D145" s="108"/>
      <c r="E145" s="108"/>
      <c r="F145" s="108"/>
      <c r="G145" s="108"/>
      <c r="H145" s="109"/>
    </row>
    <row r="146" spans="2:8" ht="13.2">
      <c r="B146" s="108"/>
      <c r="C146" s="108"/>
      <c r="D146" s="108"/>
      <c r="E146" s="108"/>
      <c r="F146" s="108"/>
      <c r="G146" s="108"/>
      <c r="H146" s="109"/>
    </row>
    <row r="147" spans="2:8" ht="13.2">
      <c r="B147" s="108"/>
      <c r="C147" s="108"/>
      <c r="D147" s="108"/>
      <c r="E147" s="108"/>
      <c r="F147" s="108"/>
      <c r="G147" s="108"/>
      <c r="H147" s="109"/>
    </row>
    <row r="148" spans="2:8" ht="13.2">
      <c r="B148" s="108"/>
      <c r="C148" s="108"/>
      <c r="D148" s="108"/>
      <c r="E148" s="108"/>
      <c r="F148" s="108"/>
      <c r="G148" s="108"/>
      <c r="H148" s="109"/>
    </row>
    <row r="149" spans="2:8" ht="13.2">
      <c r="B149" s="108"/>
      <c r="C149" s="108"/>
      <c r="D149" s="108"/>
      <c r="E149" s="108"/>
      <c r="F149" s="108"/>
      <c r="G149" s="108"/>
      <c r="H149" s="109"/>
    </row>
    <row r="150" spans="2:8" ht="13.2">
      <c r="B150" s="108"/>
      <c r="C150" s="108"/>
      <c r="D150" s="108"/>
      <c r="E150" s="108"/>
      <c r="F150" s="108"/>
      <c r="G150" s="108"/>
      <c r="H150" s="109"/>
    </row>
    <row r="151" spans="2:8" ht="13.2">
      <c r="B151" s="108"/>
      <c r="C151" s="108"/>
      <c r="D151" s="108"/>
      <c r="E151" s="108"/>
      <c r="F151" s="108"/>
      <c r="G151" s="108"/>
      <c r="H151" s="109"/>
    </row>
    <row r="152" spans="2:8" ht="13.2">
      <c r="B152" s="108"/>
      <c r="C152" s="108"/>
      <c r="D152" s="108"/>
      <c r="E152" s="108"/>
      <c r="F152" s="108"/>
      <c r="G152" s="108"/>
      <c r="H152" s="109"/>
    </row>
    <row r="153" spans="2:8" ht="13.2">
      <c r="B153" s="108"/>
      <c r="C153" s="108"/>
      <c r="D153" s="108"/>
      <c r="E153" s="108"/>
      <c r="F153" s="108"/>
      <c r="G153" s="108"/>
      <c r="H153" s="109"/>
    </row>
    <row r="154" spans="2:8" ht="13.2">
      <c r="B154" s="108"/>
      <c r="C154" s="108"/>
      <c r="D154" s="108"/>
      <c r="E154" s="108"/>
      <c r="F154" s="108"/>
      <c r="G154" s="108"/>
      <c r="H154" s="109"/>
    </row>
    <row r="155" spans="2:8" ht="13.2">
      <c r="B155" s="108"/>
      <c r="C155" s="108"/>
      <c r="D155" s="108"/>
      <c r="E155" s="108"/>
      <c r="F155" s="108"/>
      <c r="G155" s="108"/>
      <c r="H155" s="109"/>
    </row>
    <row r="156" spans="2:8" ht="13.2">
      <c r="B156" s="108"/>
      <c r="C156" s="108"/>
      <c r="D156" s="108"/>
      <c r="E156" s="108"/>
      <c r="F156" s="108"/>
      <c r="G156" s="108"/>
      <c r="H156" s="109"/>
    </row>
    <row r="157" spans="2:8" ht="13.2">
      <c r="B157" s="108"/>
      <c r="C157" s="108"/>
      <c r="D157" s="108"/>
      <c r="E157" s="108"/>
      <c r="F157" s="108"/>
      <c r="G157" s="108"/>
      <c r="H157" s="109"/>
    </row>
    <row r="158" spans="2:8" ht="13.2">
      <c r="B158" s="108"/>
      <c r="C158" s="108"/>
      <c r="D158" s="108"/>
      <c r="E158" s="108"/>
      <c r="F158" s="108"/>
      <c r="G158" s="108"/>
      <c r="H158" s="109"/>
    </row>
    <row r="159" spans="2:8" ht="13.2">
      <c r="B159" s="108"/>
      <c r="C159" s="108"/>
      <c r="D159" s="108"/>
      <c r="E159" s="108"/>
      <c r="F159" s="108"/>
      <c r="G159" s="108"/>
      <c r="H159" s="109"/>
    </row>
    <row r="160" spans="2:8" ht="13.2">
      <c r="B160" s="108"/>
      <c r="C160" s="108"/>
      <c r="D160" s="108"/>
      <c r="E160" s="108"/>
      <c r="F160" s="108"/>
      <c r="G160" s="108"/>
      <c r="H160" s="109"/>
    </row>
    <row r="161" spans="2:8" ht="13.2">
      <c r="B161" s="108"/>
      <c r="C161" s="108"/>
      <c r="D161" s="108"/>
      <c r="E161" s="108"/>
      <c r="F161" s="108"/>
      <c r="G161" s="108"/>
      <c r="H161" s="109"/>
    </row>
    <row r="162" spans="2:8" ht="13.2">
      <c r="B162" s="108"/>
      <c r="C162" s="108"/>
      <c r="D162" s="108"/>
      <c r="E162" s="108"/>
      <c r="F162" s="108"/>
      <c r="G162" s="108"/>
      <c r="H162" s="109"/>
    </row>
    <row r="163" spans="2:8" ht="13.2">
      <c r="B163" s="108"/>
      <c r="C163" s="108"/>
      <c r="D163" s="108"/>
      <c r="E163" s="108"/>
      <c r="F163" s="108"/>
      <c r="G163" s="108"/>
      <c r="H163" s="109"/>
    </row>
    <row r="164" spans="2:8" ht="13.2">
      <c r="B164" s="108"/>
      <c r="C164" s="108"/>
      <c r="D164" s="108"/>
      <c r="E164" s="108"/>
      <c r="F164" s="108"/>
      <c r="G164" s="108"/>
      <c r="H164" s="109"/>
    </row>
    <row r="165" spans="2:8" ht="13.2">
      <c r="B165" s="108"/>
      <c r="C165" s="108"/>
      <c r="D165" s="108"/>
      <c r="E165" s="108"/>
      <c r="F165" s="108"/>
      <c r="G165" s="108"/>
      <c r="H165" s="109"/>
    </row>
    <row r="166" spans="2:8" ht="13.2">
      <c r="B166" s="108"/>
      <c r="C166" s="108"/>
      <c r="D166" s="108"/>
      <c r="E166" s="108"/>
      <c r="F166" s="108"/>
      <c r="G166" s="108"/>
      <c r="H166" s="109"/>
    </row>
    <row r="167" spans="2:8" ht="13.2">
      <c r="B167" s="108"/>
      <c r="C167" s="108"/>
      <c r="D167" s="108"/>
      <c r="E167" s="108"/>
      <c r="F167" s="108"/>
      <c r="G167" s="108"/>
      <c r="H167" s="109"/>
    </row>
    <row r="168" spans="2:8" ht="13.2">
      <c r="B168" s="108"/>
      <c r="C168" s="108"/>
      <c r="D168" s="108"/>
      <c r="E168" s="108"/>
      <c r="F168" s="108"/>
      <c r="G168" s="108"/>
      <c r="H168" s="109"/>
    </row>
    <row r="169" spans="2:8" ht="13.2">
      <c r="B169" s="108"/>
      <c r="C169" s="108"/>
      <c r="D169" s="108"/>
      <c r="E169" s="108"/>
      <c r="F169" s="108"/>
      <c r="G169" s="108"/>
      <c r="H169" s="109"/>
    </row>
    <row r="170" spans="2:8" ht="13.2">
      <c r="B170" s="108"/>
      <c r="C170" s="108"/>
      <c r="D170" s="108"/>
      <c r="E170" s="108"/>
      <c r="F170" s="108"/>
      <c r="G170" s="108"/>
      <c r="H170" s="109"/>
    </row>
    <row r="171" spans="2:8" ht="13.2">
      <c r="B171" s="108"/>
      <c r="C171" s="108"/>
      <c r="D171" s="108"/>
      <c r="E171" s="108"/>
      <c r="F171" s="108"/>
      <c r="G171" s="108"/>
      <c r="H171" s="109"/>
    </row>
    <row r="172" spans="2:8" ht="13.2">
      <c r="B172" s="108"/>
      <c r="C172" s="108"/>
      <c r="D172" s="108"/>
      <c r="E172" s="108"/>
      <c r="F172" s="108"/>
      <c r="G172" s="108"/>
      <c r="H172" s="109"/>
    </row>
    <row r="173" spans="2:8" ht="13.2">
      <c r="B173" s="108"/>
      <c r="C173" s="108"/>
      <c r="D173" s="108"/>
      <c r="E173" s="108"/>
      <c r="F173" s="108"/>
      <c r="G173" s="108"/>
      <c r="H173" s="109"/>
    </row>
    <row r="174" spans="2:8" ht="13.2">
      <c r="B174" s="108"/>
      <c r="C174" s="108"/>
      <c r="D174" s="108"/>
      <c r="E174" s="108"/>
      <c r="F174" s="108"/>
      <c r="G174" s="108"/>
      <c r="H174" s="109"/>
    </row>
    <row r="175" spans="2:8" ht="13.2">
      <c r="B175" s="108"/>
      <c r="C175" s="108"/>
      <c r="D175" s="108"/>
      <c r="E175" s="108"/>
      <c r="F175" s="108"/>
      <c r="G175" s="108"/>
      <c r="H175" s="109"/>
    </row>
    <row r="176" spans="2:8" ht="13.2">
      <c r="B176" s="108"/>
      <c r="C176" s="108"/>
      <c r="D176" s="108"/>
      <c r="E176" s="108"/>
      <c r="F176" s="108"/>
      <c r="G176" s="108"/>
      <c r="H176" s="109"/>
    </row>
    <row r="177" spans="2:8" ht="13.2">
      <c r="B177" s="108"/>
      <c r="C177" s="108"/>
      <c r="D177" s="108"/>
      <c r="E177" s="108"/>
      <c r="F177" s="108"/>
      <c r="G177" s="108"/>
      <c r="H177" s="109"/>
    </row>
    <row r="178" spans="2:8" ht="13.2">
      <c r="B178" s="108"/>
      <c r="C178" s="108"/>
      <c r="D178" s="108"/>
      <c r="E178" s="108"/>
      <c r="F178" s="108"/>
      <c r="G178" s="108"/>
      <c r="H178" s="109"/>
    </row>
    <row r="179" spans="2:8" ht="13.2">
      <c r="B179" s="108"/>
      <c r="C179" s="108"/>
      <c r="D179" s="108"/>
      <c r="E179" s="108"/>
      <c r="F179" s="108"/>
      <c r="G179" s="108"/>
      <c r="H179" s="109"/>
    </row>
    <row r="180" spans="2:8" ht="13.2">
      <c r="B180" s="108"/>
      <c r="C180" s="108"/>
      <c r="D180" s="108"/>
      <c r="E180" s="108"/>
      <c r="F180" s="108"/>
      <c r="G180" s="108"/>
      <c r="H180" s="109"/>
    </row>
    <row r="181" spans="2:8" ht="13.2">
      <c r="B181" s="108"/>
      <c r="C181" s="108"/>
      <c r="D181" s="108"/>
      <c r="E181" s="108"/>
      <c r="F181" s="108"/>
      <c r="G181" s="108"/>
      <c r="H181" s="109"/>
    </row>
    <row r="182" spans="2:8" ht="13.2">
      <c r="B182" s="108"/>
      <c r="C182" s="108"/>
      <c r="D182" s="108"/>
      <c r="E182" s="108"/>
      <c r="F182" s="108"/>
      <c r="G182" s="108"/>
      <c r="H182" s="109"/>
    </row>
    <row r="183" spans="2:8" ht="13.2">
      <c r="B183" s="108"/>
      <c r="C183" s="108"/>
      <c r="D183" s="108"/>
      <c r="E183" s="108"/>
      <c r="F183" s="108"/>
      <c r="G183" s="108"/>
      <c r="H183" s="109"/>
    </row>
    <row r="184" spans="2:8" ht="13.2">
      <c r="B184" s="108"/>
      <c r="C184" s="108"/>
      <c r="D184" s="108"/>
      <c r="E184" s="108"/>
      <c r="F184" s="108"/>
      <c r="G184" s="108"/>
      <c r="H184" s="109"/>
    </row>
    <row r="185" spans="2:8" ht="13.2">
      <c r="B185" s="108"/>
      <c r="C185" s="108"/>
      <c r="D185" s="108"/>
      <c r="E185" s="108"/>
      <c r="F185" s="108"/>
      <c r="G185" s="108"/>
      <c r="H185" s="109"/>
    </row>
    <row r="186" spans="2:8" ht="13.2">
      <c r="B186" s="108"/>
      <c r="C186" s="108"/>
      <c r="D186" s="108"/>
      <c r="E186" s="108"/>
      <c r="F186" s="108"/>
      <c r="G186" s="108"/>
      <c r="H186" s="109"/>
    </row>
    <row r="187" spans="2:8" ht="13.2">
      <c r="B187" s="108"/>
      <c r="C187" s="108"/>
      <c r="D187" s="108"/>
      <c r="E187" s="108"/>
      <c r="F187" s="108"/>
      <c r="G187" s="108"/>
      <c r="H187" s="109"/>
    </row>
    <row r="188" spans="2:8" ht="13.2">
      <c r="B188" s="108"/>
      <c r="C188" s="108"/>
      <c r="D188" s="108"/>
      <c r="E188" s="108"/>
      <c r="F188" s="108"/>
      <c r="G188" s="108"/>
      <c r="H188" s="109"/>
    </row>
    <row r="189" spans="2:8" ht="13.2">
      <c r="B189" s="108"/>
      <c r="C189" s="108"/>
      <c r="D189" s="108"/>
      <c r="E189" s="108"/>
      <c r="F189" s="108"/>
      <c r="G189" s="108"/>
      <c r="H189" s="109"/>
    </row>
    <row r="190" spans="2:8" ht="13.2">
      <c r="B190" s="108"/>
      <c r="C190" s="108"/>
      <c r="D190" s="108"/>
      <c r="E190" s="108"/>
      <c r="F190" s="108"/>
      <c r="G190" s="108"/>
      <c r="H190" s="109"/>
    </row>
    <row r="191" spans="2:8" ht="13.2">
      <c r="B191" s="108"/>
      <c r="C191" s="108"/>
      <c r="D191" s="108"/>
      <c r="E191" s="108"/>
      <c r="F191" s="108"/>
      <c r="G191" s="108"/>
      <c r="H191" s="109"/>
    </row>
    <row r="192" spans="2:8" ht="13.2">
      <c r="B192" s="108"/>
      <c r="C192" s="108"/>
      <c r="D192" s="108"/>
      <c r="E192" s="108"/>
      <c r="F192" s="108"/>
      <c r="G192" s="108"/>
      <c r="H192" s="109"/>
    </row>
    <row r="193" spans="2:8" ht="13.2">
      <c r="B193" s="108"/>
      <c r="C193" s="108"/>
      <c r="D193" s="108"/>
      <c r="E193" s="108"/>
      <c r="F193" s="108"/>
      <c r="G193" s="108"/>
      <c r="H193" s="109"/>
    </row>
    <row r="194" spans="2:8" ht="13.2">
      <c r="B194" s="108"/>
      <c r="C194" s="108"/>
      <c r="D194" s="108"/>
      <c r="E194" s="108"/>
      <c r="F194" s="108"/>
      <c r="G194" s="108"/>
      <c r="H194" s="109"/>
    </row>
    <row r="195" spans="2:8" ht="13.2">
      <c r="B195" s="108"/>
      <c r="C195" s="108"/>
      <c r="D195" s="108"/>
      <c r="E195" s="108"/>
      <c r="F195" s="108"/>
      <c r="G195" s="108"/>
      <c r="H195" s="109"/>
    </row>
    <row r="196" spans="2:8" ht="13.2">
      <c r="B196" s="108"/>
      <c r="C196" s="108"/>
      <c r="D196" s="108"/>
      <c r="E196" s="108"/>
      <c r="F196" s="108"/>
      <c r="G196" s="108"/>
      <c r="H196" s="109"/>
    </row>
    <row r="197" spans="2:8" ht="13.2">
      <c r="B197" s="108"/>
      <c r="C197" s="108"/>
      <c r="D197" s="108"/>
      <c r="E197" s="108"/>
      <c r="F197" s="108"/>
      <c r="G197" s="108"/>
      <c r="H197" s="109"/>
    </row>
    <row r="198" spans="2:8" ht="13.2">
      <c r="B198" s="108"/>
      <c r="C198" s="108"/>
      <c r="D198" s="108"/>
      <c r="E198" s="108"/>
      <c r="F198" s="108"/>
      <c r="G198" s="108"/>
      <c r="H198" s="109"/>
    </row>
    <row r="199" spans="2:8" ht="13.2">
      <c r="B199" s="108"/>
      <c r="C199" s="108"/>
      <c r="D199" s="108"/>
      <c r="E199" s="108"/>
      <c r="F199" s="108"/>
      <c r="G199" s="108"/>
      <c r="H199" s="109"/>
    </row>
    <row r="200" spans="2:8" ht="13.2">
      <c r="B200" s="108"/>
      <c r="C200" s="108"/>
      <c r="D200" s="108"/>
      <c r="E200" s="108"/>
      <c r="F200" s="108"/>
      <c r="G200" s="108"/>
      <c r="H200" s="109"/>
    </row>
    <row r="201" spans="2:8" ht="13.2">
      <c r="B201" s="108"/>
      <c r="C201" s="108"/>
      <c r="D201" s="108"/>
      <c r="E201" s="108"/>
      <c r="F201" s="108"/>
      <c r="G201" s="108"/>
      <c r="H201" s="109"/>
    </row>
    <row r="202" spans="2:8" ht="13.2">
      <c r="B202" s="108"/>
      <c r="C202" s="108"/>
      <c r="D202" s="108"/>
      <c r="E202" s="108"/>
      <c r="F202" s="108"/>
      <c r="G202" s="108"/>
      <c r="H202" s="109"/>
    </row>
    <row r="203" spans="2:8" ht="13.2">
      <c r="B203" s="108"/>
      <c r="C203" s="108"/>
      <c r="D203" s="108"/>
      <c r="E203" s="108"/>
      <c r="F203" s="108"/>
      <c r="G203" s="108"/>
      <c r="H203" s="109"/>
    </row>
    <row r="204" spans="2:8" ht="13.2">
      <c r="B204" s="108"/>
      <c r="C204" s="108"/>
      <c r="D204" s="108"/>
      <c r="E204" s="108"/>
      <c r="F204" s="108"/>
      <c r="G204" s="108"/>
      <c r="H204" s="109"/>
    </row>
    <row r="205" spans="2:8" ht="13.2">
      <c r="B205" s="108"/>
      <c r="C205" s="108"/>
      <c r="D205" s="108"/>
      <c r="E205" s="108"/>
      <c r="F205" s="108"/>
      <c r="G205" s="108"/>
      <c r="H205" s="109"/>
    </row>
    <row r="206" spans="2:8" ht="13.2">
      <c r="B206" s="108"/>
      <c r="C206" s="108"/>
      <c r="D206" s="108"/>
      <c r="E206" s="108"/>
      <c r="F206" s="108"/>
      <c r="G206" s="108"/>
      <c r="H206" s="109"/>
    </row>
    <row r="207" spans="2:8" ht="13.2">
      <c r="B207" s="108"/>
      <c r="C207" s="108"/>
      <c r="D207" s="108"/>
      <c r="E207" s="108"/>
      <c r="F207" s="108"/>
      <c r="G207" s="108"/>
      <c r="H207" s="109"/>
    </row>
    <row r="208" spans="2:8" ht="13.2">
      <c r="B208" s="108"/>
      <c r="C208" s="108"/>
      <c r="D208" s="108"/>
      <c r="E208" s="108"/>
      <c r="F208" s="108"/>
      <c r="G208" s="108"/>
      <c r="H208" s="109"/>
    </row>
    <row r="209" spans="2:8" ht="13.2">
      <c r="B209" s="108"/>
      <c r="C209" s="108"/>
      <c r="D209" s="108"/>
      <c r="E209" s="108"/>
      <c r="F209" s="108"/>
      <c r="G209" s="108"/>
      <c r="H209" s="109"/>
    </row>
    <row r="210" spans="2:8" ht="13.2">
      <c r="B210" s="108"/>
      <c r="C210" s="108"/>
      <c r="D210" s="108"/>
      <c r="E210" s="108"/>
      <c r="F210" s="108"/>
      <c r="G210" s="108"/>
      <c r="H210" s="109"/>
    </row>
    <row r="211" spans="2:8" ht="13.2">
      <c r="B211" s="108"/>
      <c r="C211" s="108"/>
      <c r="D211" s="108"/>
      <c r="E211" s="108"/>
      <c r="F211" s="108"/>
      <c r="G211" s="108"/>
      <c r="H211" s="109"/>
    </row>
    <row r="212" spans="2:8" ht="13.2">
      <c r="B212" s="108"/>
      <c r="C212" s="108"/>
      <c r="D212" s="108"/>
      <c r="E212" s="108"/>
      <c r="F212" s="108"/>
      <c r="G212" s="108"/>
      <c r="H212" s="109"/>
    </row>
    <row r="213" spans="2:8" ht="13.2">
      <c r="B213" s="108"/>
      <c r="C213" s="108"/>
      <c r="D213" s="108"/>
      <c r="E213" s="108"/>
      <c r="F213" s="108"/>
      <c r="G213" s="108"/>
      <c r="H213" s="109"/>
    </row>
    <row r="214" spans="2:8" ht="13.2">
      <c r="B214" s="108"/>
      <c r="C214" s="108"/>
      <c r="D214" s="108"/>
      <c r="E214" s="108"/>
      <c r="F214" s="108"/>
      <c r="G214" s="108"/>
      <c r="H214" s="109"/>
    </row>
    <row r="215" spans="2:8" ht="13.2">
      <c r="B215" s="108"/>
      <c r="C215" s="108"/>
      <c r="D215" s="108"/>
      <c r="E215" s="108"/>
      <c r="F215" s="108"/>
      <c r="G215" s="108"/>
      <c r="H215" s="109"/>
    </row>
    <row r="216" spans="2:8" ht="13.2">
      <c r="B216" s="108"/>
      <c r="C216" s="108"/>
      <c r="D216" s="108"/>
      <c r="E216" s="108"/>
      <c r="F216" s="108"/>
      <c r="G216" s="108"/>
      <c r="H216" s="109"/>
    </row>
    <row r="217" spans="2:8" ht="13.2">
      <c r="B217" s="108"/>
      <c r="C217" s="108"/>
      <c r="D217" s="108"/>
      <c r="E217" s="108"/>
      <c r="F217" s="108"/>
      <c r="G217" s="108"/>
      <c r="H217" s="109"/>
    </row>
    <row r="218" spans="2:8" ht="13.2">
      <c r="B218" s="108"/>
      <c r="C218" s="108"/>
      <c r="D218" s="108"/>
      <c r="E218" s="108"/>
      <c r="F218" s="108"/>
      <c r="G218" s="108"/>
      <c r="H218" s="109"/>
    </row>
    <row r="219" spans="2:8" ht="13.2">
      <c r="B219" s="108"/>
      <c r="C219" s="108"/>
      <c r="D219" s="108"/>
      <c r="E219" s="108"/>
      <c r="F219" s="108"/>
      <c r="G219" s="108"/>
      <c r="H219" s="109"/>
    </row>
    <row r="220" spans="2:8" ht="13.2">
      <c r="B220" s="108"/>
      <c r="C220" s="108"/>
      <c r="D220" s="108"/>
      <c r="E220" s="108"/>
      <c r="F220" s="108"/>
      <c r="G220" s="108"/>
      <c r="H220" s="109"/>
    </row>
    <row r="221" spans="2:8" ht="13.2">
      <c r="B221" s="108"/>
      <c r="C221" s="108"/>
      <c r="D221" s="108"/>
      <c r="E221" s="108"/>
      <c r="F221" s="108"/>
      <c r="G221" s="108"/>
      <c r="H221" s="109"/>
    </row>
    <row r="222" spans="2:8" ht="13.2">
      <c r="B222" s="108"/>
      <c r="C222" s="108"/>
      <c r="D222" s="108"/>
      <c r="E222" s="108"/>
      <c r="F222" s="108"/>
      <c r="G222" s="108"/>
      <c r="H222" s="109"/>
    </row>
    <row r="223" spans="2:8" ht="13.2">
      <c r="B223" s="108"/>
      <c r="C223" s="108"/>
      <c r="D223" s="108"/>
      <c r="E223" s="108"/>
      <c r="F223" s="108"/>
      <c r="G223" s="108"/>
      <c r="H223" s="109"/>
    </row>
    <row r="224" spans="2:8" ht="13.2">
      <c r="B224" s="108"/>
      <c r="C224" s="108"/>
      <c r="D224" s="108"/>
      <c r="E224" s="108"/>
      <c r="F224" s="108"/>
      <c r="G224" s="108"/>
      <c r="H224" s="109"/>
    </row>
    <row r="225" spans="2:8" ht="13.2">
      <c r="B225" s="108"/>
      <c r="C225" s="108"/>
      <c r="D225" s="108"/>
      <c r="E225" s="108"/>
      <c r="F225" s="108"/>
      <c r="G225" s="108"/>
      <c r="H225" s="109"/>
    </row>
    <row r="226" spans="2:8" ht="13.2">
      <c r="B226" s="108"/>
      <c r="C226" s="108"/>
      <c r="D226" s="108"/>
      <c r="E226" s="108"/>
      <c r="F226" s="108"/>
      <c r="G226" s="108"/>
      <c r="H226" s="109"/>
    </row>
    <row r="227" spans="2:8" ht="13.2">
      <c r="B227" s="108"/>
      <c r="C227" s="108"/>
      <c r="D227" s="108"/>
      <c r="E227" s="108"/>
      <c r="F227" s="108"/>
      <c r="G227" s="108"/>
      <c r="H227" s="109"/>
    </row>
    <row r="228" spans="2:8" ht="13.2">
      <c r="B228" s="108"/>
      <c r="C228" s="108"/>
      <c r="D228" s="108"/>
      <c r="E228" s="108"/>
      <c r="F228" s="108"/>
      <c r="G228" s="108"/>
      <c r="H228" s="109"/>
    </row>
    <row r="229" spans="2:8" ht="13.2">
      <c r="B229" s="108"/>
      <c r="C229" s="108"/>
      <c r="D229" s="108"/>
      <c r="E229" s="108"/>
      <c r="F229" s="108"/>
      <c r="G229" s="108"/>
      <c r="H229" s="109"/>
    </row>
    <row r="230" spans="2:8" ht="13.2">
      <c r="B230" s="108"/>
      <c r="C230" s="108"/>
      <c r="D230" s="108"/>
      <c r="E230" s="108"/>
      <c r="F230" s="108"/>
      <c r="G230" s="108"/>
      <c r="H230" s="109"/>
    </row>
    <row r="231" spans="2:8" ht="13.2">
      <c r="B231" s="108"/>
      <c r="C231" s="108"/>
      <c r="D231" s="108"/>
      <c r="E231" s="108"/>
      <c r="F231" s="108"/>
      <c r="G231" s="108"/>
      <c r="H231" s="109"/>
    </row>
    <row r="232" spans="2:8" ht="13.2">
      <c r="B232" s="108"/>
      <c r="C232" s="108"/>
      <c r="D232" s="108"/>
      <c r="E232" s="108"/>
      <c r="F232" s="108"/>
      <c r="G232" s="108"/>
      <c r="H232" s="109"/>
    </row>
    <row r="233" spans="2:8" ht="13.2">
      <c r="B233" s="108"/>
      <c r="C233" s="108"/>
      <c r="D233" s="108"/>
      <c r="E233" s="108"/>
      <c r="F233" s="108"/>
      <c r="G233" s="108"/>
      <c r="H233" s="109"/>
    </row>
    <row r="234" spans="2:8" ht="13.2">
      <c r="B234" s="108"/>
      <c r="C234" s="108"/>
      <c r="D234" s="108"/>
      <c r="E234" s="108"/>
      <c r="F234" s="108"/>
      <c r="G234" s="108"/>
      <c r="H234" s="109"/>
    </row>
    <row r="235" spans="2:8" ht="13.2">
      <c r="B235" s="108"/>
      <c r="C235" s="108"/>
      <c r="D235" s="108"/>
      <c r="E235" s="108"/>
      <c r="F235" s="108"/>
      <c r="G235" s="108"/>
      <c r="H235" s="109"/>
    </row>
    <row r="236" spans="2:8" ht="13.2">
      <c r="B236" s="108"/>
      <c r="C236" s="108"/>
      <c r="D236" s="108"/>
      <c r="E236" s="108"/>
      <c r="F236" s="108"/>
      <c r="G236" s="108"/>
      <c r="H236" s="109"/>
    </row>
    <row r="237" spans="2:8" ht="13.2">
      <c r="B237" s="108"/>
      <c r="C237" s="108"/>
      <c r="D237" s="108"/>
      <c r="E237" s="108"/>
      <c r="F237" s="108"/>
      <c r="G237" s="108"/>
      <c r="H237" s="109"/>
    </row>
    <row r="238" spans="2:8" ht="13.2">
      <c r="B238" s="108"/>
      <c r="C238" s="108"/>
      <c r="D238" s="108"/>
      <c r="E238" s="108"/>
      <c r="F238" s="108"/>
      <c r="G238" s="108"/>
      <c r="H238" s="109"/>
    </row>
    <row r="239" spans="2:8" ht="13.2">
      <c r="B239" s="108"/>
      <c r="C239" s="108"/>
      <c r="D239" s="108"/>
      <c r="E239" s="108"/>
      <c r="F239" s="108"/>
      <c r="G239" s="108"/>
      <c r="H239" s="109"/>
    </row>
    <row r="240" spans="2:8" ht="13.2">
      <c r="B240" s="108"/>
      <c r="C240" s="108"/>
      <c r="D240" s="108"/>
      <c r="E240" s="108"/>
      <c r="F240" s="108"/>
      <c r="G240" s="108"/>
      <c r="H240" s="109"/>
    </row>
    <row r="241" spans="2:8" ht="13.2">
      <c r="B241" s="108"/>
      <c r="C241" s="108"/>
      <c r="D241" s="108"/>
      <c r="E241" s="108"/>
      <c r="F241" s="108"/>
      <c r="G241" s="108"/>
      <c r="H241" s="109"/>
    </row>
    <row r="242" spans="2:8" ht="13.2">
      <c r="B242" s="108"/>
      <c r="C242" s="108"/>
      <c r="D242" s="108"/>
      <c r="E242" s="108"/>
      <c r="F242" s="108"/>
      <c r="G242" s="108"/>
      <c r="H242" s="109"/>
    </row>
    <row r="243" spans="2:8" ht="13.2">
      <c r="B243" s="108"/>
      <c r="C243" s="108"/>
      <c r="D243" s="108"/>
      <c r="E243" s="108"/>
      <c r="F243" s="108"/>
      <c r="G243" s="108"/>
      <c r="H243" s="109"/>
    </row>
    <row r="244" spans="2:8" ht="13.2">
      <c r="B244" s="108"/>
      <c r="C244" s="108"/>
      <c r="D244" s="108"/>
      <c r="E244" s="108"/>
      <c r="F244" s="108"/>
      <c r="G244" s="108"/>
      <c r="H244" s="109"/>
    </row>
    <row r="245" spans="2:8" ht="13.2">
      <c r="B245" s="108"/>
      <c r="C245" s="108"/>
      <c r="D245" s="108"/>
      <c r="E245" s="108"/>
      <c r="F245" s="108"/>
      <c r="G245" s="108"/>
      <c r="H245" s="109"/>
    </row>
    <row r="246" spans="2:8" ht="13.2">
      <c r="B246" s="108"/>
      <c r="C246" s="108"/>
      <c r="D246" s="108"/>
      <c r="E246" s="108"/>
      <c r="F246" s="108"/>
      <c r="G246" s="108"/>
      <c r="H246" s="109"/>
    </row>
    <row r="247" spans="2:8" ht="13.2">
      <c r="B247" s="108"/>
      <c r="C247" s="108"/>
      <c r="D247" s="108"/>
      <c r="E247" s="108"/>
      <c r="F247" s="108"/>
      <c r="G247" s="108"/>
      <c r="H247" s="109"/>
    </row>
    <row r="248" spans="2:8" ht="13.2">
      <c r="B248" s="108"/>
      <c r="C248" s="108"/>
      <c r="D248" s="108"/>
      <c r="E248" s="108"/>
      <c r="F248" s="108"/>
      <c r="G248" s="108"/>
      <c r="H248" s="109"/>
    </row>
    <row r="249" spans="2:8" ht="13.2">
      <c r="B249" s="108"/>
      <c r="C249" s="108"/>
      <c r="D249" s="108"/>
      <c r="E249" s="108"/>
      <c r="F249" s="108"/>
      <c r="G249" s="108"/>
      <c r="H249" s="109"/>
    </row>
    <row r="250" spans="2:8" ht="13.2">
      <c r="B250" s="108"/>
      <c r="C250" s="108"/>
      <c r="D250" s="108"/>
      <c r="E250" s="108"/>
      <c r="F250" s="108"/>
      <c r="G250" s="108"/>
      <c r="H250" s="109"/>
    </row>
    <row r="251" spans="2:8" ht="13.2">
      <c r="B251" s="108"/>
      <c r="C251" s="108"/>
      <c r="D251" s="108"/>
      <c r="E251" s="108"/>
      <c r="F251" s="108"/>
      <c r="G251" s="108"/>
      <c r="H251" s="109"/>
    </row>
    <row r="252" spans="2:8" ht="13.2">
      <c r="B252" s="108"/>
      <c r="C252" s="108"/>
      <c r="D252" s="108"/>
      <c r="E252" s="108"/>
      <c r="F252" s="108"/>
      <c r="G252" s="108"/>
      <c r="H252" s="109"/>
    </row>
    <row r="253" spans="2:8" ht="13.2">
      <c r="B253" s="108"/>
      <c r="C253" s="108"/>
      <c r="D253" s="108"/>
      <c r="E253" s="108"/>
      <c r="F253" s="108"/>
      <c r="G253" s="108"/>
      <c r="H253" s="109"/>
    </row>
    <row r="254" spans="2:8" ht="13.2">
      <c r="B254" s="108"/>
      <c r="C254" s="108"/>
      <c r="D254" s="108"/>
      <c r="E254" s="108"/>
      <c r="F254" s="108"/>
      <c r="G254" s="108"/>
      <c r="H254" s="109"/>
    </row>
    <row r="255" spans="2:8" ht="13.2">
      <c r="B255" s="108"/>
      <c r="C255" s="108"/>
      <c r="D255" s="108"/>
      <c r="E255" s="108"/>
      <c r="F255" s="108"/>
      <c r="G255" s="108"/>
      <c r="H255" s="109"/>
    </row>
    <row r="256" spans="2:8" ht="13.2">
      <c r="B256" s="108"/>
      <c r="C256" s="108"/>
      <c r="D256" s="108"/>
      <c r="E256" s="108"/>
      <c r="F256" s="108"/>
      <c r="G256" s="108"/>
      <c r="H256" s="109"/>
    </row>
    <row r="257" spans="2:8" ht="13.2">
      <c r="B257" s="108"/>
      <c r="C257" s="108"/>
      <c r="D257" s="108"/>
      <c r="E257" s="108"/>
      <c r="F257" s="108"/>
      <c r="G257" s="108"/>
      <c r="H257" s="109"/>
    </row>
    <row r="258" spans="2:8" ht="13.2">
      <c r="B258" s="108"/>
      <c r="C258" s="108"/>
      <c r="D258" s="108"/>
      <c r="E258" s="108"/>
      <c r="F258" s="108"/>
      <c r="G258" s="108"/>
      <c r="H258" s="109"/>
    </row>
    <row r="259" spans="2:8" ht="13.2">
      <c r="B259" s="108"/>
      <c r="C259" s="108"/>
      <c r="D259" s="108"/>
      <c r="E259" s="108"/>
      <c r="F259" s="108"/>
      <c r="G259" s="108"/>
      <c r="H259" s="109"/>
    </row>
    <row r="260" spans="2:8" ht="13.2">
      <c r="B260" s="108"/>
      <c r="C260" s="108"/>
      <c r="D260" s="108"/>
      <c r="E260" s="108"/>
      <c r="F260" s="108"/>
      <c r="G260" s="108"/>
      <c r="H260" s="109"/>
    </row>
    <row r="261" spans="2:8" ht="13.2">
      <c r="B261" s="108"/>
      <c r="C261" s="108"/>
      <c r="D261" s="108"/>
      <c r="E261" s="108"/>
      <c r="F261" s="108"/>
      <c r="G261" s="108"/>
      <c r="H261" s="109"/>
    </row>
    <row r="262" spans="2:8" ht="13.2">
      <c r="B262" s="108"/>
      <c r="C262" s="108"/>
      <c r="D262" s="108"/>
      <c r="E262" s="108"/>
      <c r="F262" s="108"/>
      <c r="G262" s="108"/>
      <c r="H262" s="109"/>
    </row>
    <row r="263" spans="2:8" ht="13.2">
      <c r="B263" s="108"/>
      <c r="C263" s="108"/>
      <c r="D263" s="108"/>
      <c r="E263" s="108"/>
      <c r="F263" s="108"/>
      <c r="G263" s="108"/>
      <c r="H263" s="109"/>
    </row>
    <row r="264" spans="2:8" ht="13.2">
      <c r="B264" s="108"/>
      <c r="C264" s="108"/>
      <c r="D264" s="108"/>
      <c r="E264" s="108"/>
      <c r="F264" s="108"/>
      <c r="G264" s="108"/>
      <c r="H264" s="109"/>
    </row>
    <row r="265" spans="2:8" ht="13.2">
      <c r="B265" s="108"/>
      <c r="C265" s="108"/>
      <c r="D265" s="108"/>
      <c r="E265" s="108"/>
      <c r="F265" s="108"/>
      <c r="G265" s="108"/>
      <c r="H265" s="109"/>
    </row>
    <row r="266" spans="2:8" ht="13.2">
      <c r="B266" s="108"/>
      <c r="C266" s="108"/>
      <c r="D266" s="108"/>
      <c r="E266" s="108"/>
      <c r="F266" s="108"/>
      <c r="G266" s="108"/>
      <c r="H266" s="109"/>
    </row>
    <row r="267" spans="2:8" ht="13.2">
      <c r="B267" s="108"/>
      <c r="C267" s="108"/>
      <c r="D267" s="108"/>
      <c r="E267" s="108"/>
      <c r="F267" s="108"/>
      <c r="G267" s="108"/>
      <c r="H267" s="109"/>
    </row>
    <row r="268" spans="2:8" ht="13.2">
      <c r="B268" s="108"/>
      <c r="C268" s="108"/>
      <c r="D268" s="108"/>
      <c r="E268" s="108"/>
      <c r="F268" s="108"/>
      <c r="G268" s="108"/>
      <c r="H268" s="109"/>
    </row>
    <row r="269" spans="2:8" ht="13.2">
      <c r="B269" s="108"/>
      <c r="C269" s="108"/>
      <c r="D269" s="108"/>
      <c r="E269" s="108"/>
      <c r="F269" s="108"/>
      <c r="G269" s="108"/>
      <c r="H269" s="109"/>
    </row>
    <row r="270" spans="2:8" ht="13.2">
      <c r="B270" s="108"/>
      <c r="C270" s="108"/>
      <c r="D270" s="108"/>
      <c r="E270" s="108"/>
      <c r="F270" s="108"/>
      <c r="G270" s="108"/>
      <c r="H270" s="109"/>
    </row>
    <row r="271" spans="2:8" ht="13.2">
      <c r="B271" s="108"/>
      <c r="C271" s="108"/>
      <c r="D271" s="108"/>
      <c r="E271" s="108"/>
      <c r="F271" s="108"/>
      <c r="G271" s="108"/>
      <c r="H271" s="109"/>
    </row>
    <row r="272" spans="2:8" ht="13.2">
      <c r="B272" s="108"/>
      <c r="C272" s="108"/>
      <c r="D272" s="108"/>
      <c r="E272" s="108"/>
      <c r="F272" s="108"/>
      <c r="G272" s="108"/>
      <c r="H272" s="109"/>
    </row>
    <row r="273" spans="2:8" ht="13.2">
      <c r="B273" s="108"/>
      <c r="C273" s="108"/>
      <c r="D273" s="108"/>
      <c r="E273" s="108"/>
      <c r="F273" s="108"/>
      <c r="G273" s="108"/>
      <c r="H273" s="109"/>
    </row>
    <row r="274" spans="2:8" ht="13.2">
      <c r="B274" s="108"/>
      <c r="C274" s="108"/>
      <c r="D274" s="108"/>
      <c r="E274" s="108"/>
      <c r="F274" s="108"/>
      <c r="G274" s="108"/>
      <c r="H274" s="109"/>
    </row>
    <row r="275" spans="2:8" ht="13.2">
      <c r="B275" s="108"/>
      <c r="C275" s="108"/>
      <c r="D275" s="108"/>
      <c r="E275" s="108"/>
      <c r="F275" s="108"/>
      <c r="G275" s="108"/>
      <c r="H275" s="109"/>
    </row>
    <row r="276" spans="2:8" ht="13.2">
      <c r="B276" s="108"/>
      <c r="C276" s="108"/>
      <c r="D276" s="108"/>
      <c r="E276" s="108"/>
      <c r="F276" s="108"/>
      <c r="G276" s="108"/>
      <c r="H276" s="109"/>
    </row>
    <row r="277" spans="2:8" ht="13.2">
      <c r="B277" s="108"/>
      <c r="C277" s="108"/>
      <c r="D277" s="108"/>
      <c r="E277" s="108"/>
      <c r="F277" s="108"/>
      <c r="G277" s="108"/>
      <c r="H277" s="109"/>
    </row>
    <row r="278" spans="2:8" ht="13.2">
      <c r="B278" s="108"/>
      <c r="C278" s="108"/>
      <c r="D278" s="108"/>
      <c r="E278" s="108"/>
      <c r="F278" s="108"/>
      <c r="G278" s="108"/>
      <c r="H278" s="109"/>
    </row>
    <row r="279" spans="2:8" ht="13.2">
      <c r="B279" s="108"/>
      <c r="C279" s="108"/>
      <c r="D279" s="108"/>
      <c r="E279" s="108"/>
      <c r="F279" s="108"/>
      <c r="G279" s="108"/>
      <c r="H279" s="109"/>
    </row>
    <row r="280" spans="2:8" ht="13.2">
      <c r="B280" s="108"/>
      <c r="C280" s="108"/>
      <c r="D280" s="108"/>
      <c r="E280" s="108"/>
      <c r="F280" s="108"/>
      <c r="G280" s="108"/>
      <c r="H280" s="109"/>
    </row>
    <row r="281" spans="2:8" ht="13.2">
      <c r="B281" s="108"/>
      <c r="C281" s="108"/>
      <c r="D281" s="108"/>
      <c r="E281" s="108"/>
      <c r="F281" s="108"/>
      <c r="G281" s="108"/>
      <c r="H281" s="109"/>
    </row>
    <row r="282" spans="2:8" ht="13.2">
      <c r="B282" s="108"/>
      <c r="C282" s="108"/>
      <c r="D282" s="108"/>
      <c r="E282" s="108"/>
      <c r="F282" s="108"/>
      <c r="G282" s="108"/>
      <c r="H282" s="109"/>
    </row>
    <row r="283" spans="2:8" ht="13.2">
      <c r="B283" s="108"/>
      <c r="C283" s="108"/>
      <c r="D283" s="108"/>
      <c r="E283" s="108"/>
      <c r="F283" s="108"/>
      <c r="G283" s="108"/>
      <c r="H283" s="109"/>
    </row>
    <row r="284" spans="2:8" ht="13.2">
      <c r="B284" s="108"/>
      <c r="C284" s="108"/>
      <c r="D284" s="108"/>
      <c r="E284" s="108"/>
      <c r="F284" s="108"/>
      <c r="G284" s="108"/>
      <c r="H284" s="109"/>
    </row>
    <row r="285" spans="2:8" ht="13.2">
      <c r="B285" s="108"/>
      <c r="C285" s="108"/>
      <c r="D285" s="108"/>
      <c r="E285" s="108"/>
      <c r="F285" s="108"/>
      <c r="G285" s="108"/>
      <c r="H285" s="109"/>
    </row>
    <row r="286" spans="2:8" ht="13.2">
      <c r="B286" s="108"/>
      <c r="C286" s="108"/>
      <c r="D286" s="108"/>
      <c r="E286" s="108"/>
      <c r="F286" s="108"/>
      <c r="G286" s="108"/>
      <c r="H286" s="109"/>
    </row>
    <row r="287" spans="2:8" ht="13.2">
      <c r="B287" s="108"/>
      <c r="C287" s="108"/>
      <c r="D287" s="108"/>
      <c r="E287" s="108"/>
      <c r="F287" s="108"/>
      <c r="G287" s="108"/>
      <c r="H287" s="109"/>
    </row>
    <row r="288" spans="2:8" ht="13.2">
      <c r="B288" s="108"/>
      <c r="C288" s="108"/>
      <c r="D288" s="108"/>
      <c r="E288" s="108"/>
      <c r="F288" s="108"/>
      <c r="G288" s="108"/>
      <c r="H288" s="109"/>
    </row>
    <row r="289" spans="2:8" ht="13.2">
      <c r="B289" s="108"/>
      <c r="C289" s="108"/>
      <c r="D289" s="108"/>
      <c r="E289" s="108"/>
      <c r="F289" s="108"/>
      <c r="G289" s="108"/>
      <c r="H289" s="109"/>
    </row>
    <row r="290" spans="2:8" ht="13.2">
      <c r="B290" s="108"/>
      <c r="C290" s="108"/>
      <c r="D290" s="108"/>
      <c r="E290" s="108"/>
      <c r="F290" s="108"/>
      <c r="G290" s="108"/>
      <c r="H290" s="109"/>
    </row>
    <row r="291" spans="2:8" ht="13.2">
      <c r="B291" s="108"/>
      <c r="C291" s="108"/>
      <c r="D291" s="108"/>
      <c r="E291" s="108"/>
      <c r="F291" s="108"/>
      <c r="G291" s="108"/>
      <c r="H291" s="109"/>
    </row>
    <row r="292" spans="2:8" ht="13.2">
      <c r="B292" s="108"/>
      <c r="C292" s="108"/>
      <c r="D292" s="108"/>
      <c r="E292" s="108"/>
      <c r="F292" s="108"/>
      <c r="G292" s="108"/>
      <c r="H292" s="109"/>
    </row>
    <row r="293" spans="2:8" ht="13.2">
      <c r="B293" s="108"/>
      <c r="C293" s="108"/>
      <c r="D293" s="108"/>
      <c r="E293" s="108"/>
      <c r="F293" s="108"/>
      <c r="G293" s="108"/>
      <c r="H293" s="109"/>
    </row>
    <row r="294" spans="2:8" ht="13.2">
      <c r="B294" s="108"/>
      <c r="C294" s="108"/>
      <c r="D294" s="108"/>
      <c r="E294" s="108"/>
      <c r="F294" s="108"/>
      <c r="G294" s="108"/>
      <c r="H294" s="109"/>
    </row>
    <row r="295" spans="2:8" ht="13.2">
      <c r="B295" s="108"/>
      <c r="C295" s="108"/>
      <c r="D295" s="108"/>
      <c r="E295" s="108"/>
      <c r="F295" s="108"/>
      <c r="G295" s="108"/>
      <c r="H295" s="109"/>
    </row>
    <row r="296" spans="2:8" ht="13.2">
      <c r="B296" s="108"/>
      <c r="C296" s="108"/>
      <c r="D296" s="108"/>
      <c r="E296" s="108"/>
      <c r="F296" s="108"/>
      <c r="G296" s="108"/>
      <c r="H296" s="109"/>
    </row>
    <row r="297" spans="2:8" ht="13.2">
      <c r="B297" s="108"/>
      <c r="C297" s="108"/>
      <c r="D297" s="108"/>
      <c r="E297" s="108"/>
      <c r="F297" s="108"/>
      <c r="G297" s="108"/>
      <c r="H297" s="109"/>
    </row>
    <row r="298" spans="2:8" ht="13.2">
      <c r="B298" s="108"/>
      <c r="C298" s="108"/>
      <c r="D298" s="108"/>
      <c r="E298" s="108"/>
      <c r="F298" s="108"/>
      <c r="G298" s="108"/>
      <c r="H298" s="109"/>
    </row>
    <row r="299" spans="2:8" ht="13.2">
      <c r="B299" s="108"/>
      <c r="C299" s="108"/>
      <c r="D299" s="108"/>
      <c r="E299" s="108"/>
      <c r="F299" s="108"/>
      <c r="G299" s="108"/>
      <c r="H299" s="109"/>
    </row>
    <row r="300" spans="2:8" ht="13.2">
      <c r="B300" s="108"/>
      <c r="C300" s="108"/>
      <c r="D300" s="108"/>
      <c r="E300" s="108"/>
      <c r="F300" s="108"/>
      <c r="G300" s="108"/>
      <c r="H300" s="109"/>
    </row>
    <row r="301" spans="2:8" ht="13.2">
      <c r="B301" s="108"/>
      <c r="C301" s="108"/>
      <c r="D301" s="108"/>
      <c r="E301" s="108"/>
      <c r="F301" s="108"/>
      <c r="G301" s="108"/>
      <c r="H301" s="109"/>
    </row>
    <row r="302" spans="2:8" ht="13.2">
      <c r="B302" s="108"/>
      <c r="C302" s="108"/>
      <c r="D302" s="108"/>
      <c r="E302" s="108"/>
      <c r="F302" s="108"/>
      <c r="G302" s="108"/>
      <c r="H302" s="109"/>
    </row>
    <row r="303" spans="2:8" ht="13.2">
      <c r="B303" s="108"/>
      <c r="C303" s="108"/>
      <c r="D303" s="108"/>
      <c r="E303" s="108"/>
      <c r="F303" s="108"/>
      <c r="G303" s="108"/>
      <c r="H303" s="109"/>
    </row>
    <row r="304" spans="2:8" ht="13.2">
      <c r="B304" s="108"/>
      <c r="C304" s="108"/>
      <c r="D304" s="108"/>
      <c r="E304" s="108"/>
      <c r="F304" s="108"/>
      <c r="G304" s="108"/>
      <c r="H304" s="109"/>
    </row>
    <row r="305" spans="2:8" ht="13.2">
      <c r="B305" s="108"/>
      <c r="C305" s="108"/>
      <c r="D305" s="108"/>
      <c r="E305" s="108"/>
      <c r="F305" s="108"/>
      <c r="G305" s="108"/>
      <c r="H305" s="109"/>
    </row>
    <row r="306" spans="2:8" ht="13.2">
      <c r="B306" s="108"/>
      <c r="C306" s="108"/>
      <c r="D306" s="108"/>
      <c r="E306" s="108"/>
      <c r="F306" s="108"/>
      <c r="G306" s="108"/>
      <c r="H306" s="109"/>
    </row>
    <row r="307" spans="2:8" ht="13.2">
      <c r="B307" s="108"/>
      <c r="C307" s="108"/>
      <c r="D307" s="108"/>
      <c r="E307" s="108"/>
      <c r="F307" s="108"/>
      <c r="G307" s="108"/>
      <c r="H307" s="109"/>
    </row>
    <row r="308" spans="2:8" ht="13.2">
      <c r="B308" s="108"/>
      <c r="C308" s="108"/>
      <c r="D308" s="108"/>
      <c r="E308" s="108"/>
      <c r="F308" s="108"/>
      <c r="G308" s="108"/>
      <c r="H308" s="109"/>
    </row>
    <row r="309" spans="2:8" ht="13.2">
      <c r="B309" s="108"/>
      <c r="C309" s="108"/>
      <c r="D309" s="108"/>
      <c r="E309" s="108"/>
      <c r="F309" s="108"/>
      <c r="G309" s="108"/>
      <c r="H309" s="109"/>
    </row>
    <row r="310" spans="2:8" ht="13.2">
      <c r="B310" s="108"/>
      <c r="C310" s="108"/>
      <c r="D310" s="108"/>
      <c r="E310" s="108"/>
      <c r="F310" s="108"/>
      <c r="G310" s="108"/>
      <c r="H310" s="109"/>
    </row>
    <row r="311" spans="2:8" ht="13.2">
      <c r="B311" s="108"/>
      <c r="C311" s="108"/>
      <c r="D311" s="108"/>
      <c r="E311" s="108"/>
      <c r="F311" s="108"/>
      <c r="G311" s="108"/>
      <c r="H311" s="109"/>
    </row>
    <row r="312" spans="2:8" ht="13.2">
      <c r="B312" s="108"/>
      <c r="C312" s="108"/>
      <c r="D312" s="108"/>
      <c r="E312" s="108"/>
      <c r="F312" s="108"/>
      <c r="G312" s="108"/>
      <c r="H312" s="109"/>
    </row>
    <row r="313" spans="2:8" ht="13.2">
      <c r="B313" s="108"/>
      <c r="C313" s="108"/>
      <c r="D313" s="108"/>
      <c r="E313" s="108"/>
      <c r="F313" s="108"/>
      <c r="G313" s="108"/>
      <c r="H313" s="109"/>
    </row>
    <row r="314" spans="2:8" ht="13.2">
      <c r="B314" s="108"/>
      <c r="C314" s="108"/>
      <c r="D314" s="108"/>
      <c r="E314" s="108"/>
      <c r="F314" s="108"/>
      <c r="G314" s="108"/>
      <c r="H314" s="109"/>
    </row>
    <row r="315" spans="2:8" ht="13.2">
      <c r="B315" s="108"/>
      <c r="C315" s="108"/>
      <c r="D315" s="108"/>
      <c r="E315" s="108"/>
      <c r="F315" s="108"/>
      <c r="G315" s="108"/>
      <c r="H315" s="109"/>
    </row>
    <row r="316" spans="2:8" ht="13.2">
      <c r="B316" s="108"/>
      <c r="C316" s="108"/>
      <c r="D316" s="108"/>
      <c r="E316" s="108"/>
      <c r="F316" s="108"/>
      <c r="G316" s="108"/>
      <c r="H316" s="109"/>
    </row>
    <row r="317" spans="2:8" ht="13.2">
      <c r="B317" s="108"/>
      <c r="C317" s="108"/>
      <c r="D317" s="108"/>
      <c r="E317" s="108"/>
      <c r="F317" s="108"/>
      <c r="G317" s="108"/>
      <c r="H317" s="109"/>
    </row>
    <row r="318" spans="2:8" ht="13.2">
      <c r="B318" s="108"/>
      <c r="C318" s="108"/>
      <c r="D318" s="108"/>
      <c r="E318" s="108"/>
      <c r="F318" s="108"/>
      <c r="G318" s="108"/>
      <c r="H318" s="109"/>
    </row>
    <row r="319" spans="2:8" ht="13.2">
      <c r="B319" s="108"/>
      <c r="C319" s="108"/>
      <c r="D319" s="108"/>
      <c r="E319" s="108"/>
      <c r="F319" s="108"/>
      <c r="G319" s="108"/>
      <c r="H319" s="109"/>
    </row>
    <row r="320" spans="2:8" ht="13.2">
      <c r="B320" s="108"/>
      <c r="C320" s="108"/>
      <c r="D320" s="108"/>
      <c r="E320" s="108"/>
      <c r="F320" s="108"/>
      <c r="G320" s="108"/>
      <c r="H320" s="109"/>
    </row>
    <row r="321" spans="2:8" ht="13.2">
      <c r="B321" s="108"/>
      <c r="C321" s="108"/>
      <c r="D321" s="108"/>
      <c r="E321" s="108"/>
      <c r="F321" s="108"/>
      <c r="G321" s="108"/>
      <c r="H321" s="109"/>
    </row>
    <row r="322" spans="2:8" ht="13.2">
      <c r="B322" s="108"/>
      <c r="C322" s="108"/>
      <c r="D322" s="108"/>
      <c r="E322" s="108"/>
      <c r="F322" s="108"/>
      <c r="G322" s="108"/>
      <c r="H322" s="109"/>
    </row>
    <row r="323" spans="2:8" ht="13.2">
      <c r="B323" s="108"/>
      <c r="C323" s="108"/>
      <c r="D323" s="108"/>
      <c r="E323" s="108"/>
      <c r="F323" s="108"/>
      <c r="G323" s="108"/>
      <c r="H323" s="109"/>
    </row>
    <row r="324" spans="2:8" ht="13.2">
      <c r="B324" s="108"/>
      <c r="C324" s="108"/>
      <c r="D324" s="108"/>
      <c r="E324" s="108"/>
      <c r="F324" s="108"/>
      <c r="G324" s="108"/>
      <c r="H324" s="109"/>
    </row>
    <row r="325" spans="2:8" ht="13.2">
      <c r="B325" s="108"/>
      <c r="C325" s="108"/>
      <c r="D325" s="108"/>
      <c r="E325" s="108"/>
      <c r="F325" s="108"/>
      <c r="G325" s="108"/>
      <c r="H325" s="109"/>
    </row>
    <row r="326" spans="2:8" ht="13.2">
      <c r="B326" s="108"/>
      <c r="C326" s="108"/>
      <c r="D326" s="108"/>
      <c r="E326" s="108"/>
      <c r="F326" s="108"/>
      <c r="G326" s="108"/>
      <c r="H326" s="109"/>
    </row>
    <row r="327" spans="2:8" ht="13.2">
      <c r="B327" s="108"/>
      <c r="C327" s="108"/>
      <c r="D327" s="108"/>
      <c r="E327" s="108"/>
      <c r="F327" s="108"/>
      <c r="G327" s="108"/>
      <c r="H327" s="109"/>
    </row>
    <row r="328" spans="2:8" ht="13.2">
      <c r="B328" s="108"/>
      <c r="C328" s="108"/>
      <c r="D328" s="108"/>
      <c r="E328" s="108"/>
      <c r="F328" s="108"/>
      <c r="G328" s="108"/>
      <c r="H328" s="109"/>
    </row>
    <row r="329" spans="2:8" ht="13.2">
      <c r="B329" s="108"/>
      <c r="C329" s="108"/>
      <c r="D329" s="108"/>
      <c r="E329" s="108"/>
      <c r="F329" s="108"/>
      <c r="G329" s="108"/>
      <c r="H329" s="109"/>
    </row>
    <row r="330" spans="2:8" ht="13.2">
      <c r="B330" s="108"/>
      <c r="C330" s="108"/>
      <c r="D330" s="108"/>
      <c r="E330" s="108"/>
      <c r="F330" s="108"/>
      <c r="G330" s="108"/>
      <c r="H330" s="109"/>
    </row>
    <row r="331" spans="2:8" ht="13.2">
      <c r="B331" s="108"/>
      <c r="C331" s="108"/>
      <c r="D331" s="108"/>
      <c r="E331" s="108"/>
      <c r="F331" s="108"/>
      <c r="G331" s="108"/>
      <c r="H331" s="109"/>
    </row>
    <row r="332" spans="2:8" ht="13.2">
      <c r="B332" s="108"/>
      <c r="C332" s="108"/>
      <c r="D332" s="108"/>
      <c r="E332" s="108"/>
      <c r="F332" s="108"/>
      <c r="G332" s="108"/>
      <c r="H332" s="109"/>
    </row>
    <row r="333" spans="2:8" ht="13.2">
      <c r="B333" s="108"/>
      <c r="C333" s="108"/>
      <c r="D333" s="108"/>
      <c r="E333" s="108"/>
      <c r="F333" s="108"/>
      <c r="G333" s="108"/>
      <c r="H333" s="109"/>
    </row>
    <row r="334" spans="2:8" ht="13.2">
      <c r="B334" s="108"/>
      <c r="C334" s="108"/>
      <c r="D334" s="108"/>
      <c r="E334" s="108"/>
      <c r="F334" s="108"/>
      <c r="G334" s="108"/>
      <c r="H334" s="109"/>
    </row>
    <row r="335" spans="2:8" ht="13.2">
      <c r="B335" s="108"/>
      <c r="C335" s="108"/>
      <c r="D335" s="108"/>
      <c r="E335" s="108"/>
      <c r="F335" s="108"/>
      <c r="G335" s="108"/>
      <c r="H335" s="109"/>
    </row>
    <row r="336" spans="2:8" ht="13.2">
      <c r="B336" s="108"/>
      <c r="C336" s="108"/>
      <c r="D336" s="108"/>
      <c r="E336" s="108"/>
      <c r="F336" s="108"/>
      <c r="G336" s="108"/>
      <c r="H336" s="109"/>
    </row>
    <row r="337" spans="2:8" ht="13.2">
      <c r="B337" s="108"/>
      <c r="C337" s="108"/>
      <c r="D337" s="108"/>
      <c r="E337" s="108"/>
      <c r="F337" s="108"/>
      <c r="G337" s="108"/>
      <c r="H337" s="109"/>
    </row>
    <row r="338" spans="2:8" ht="13.2">
      <c r="B338" s="108"/>
      <c r="C338" s="108"/>
      <c r="D338" s="108"/>
      <c r="E338" s="108"/>
      <c r="F338" s="108"/>
      <c r="G338" s="108"/>
      <c r="H338" s="109"/>
    </row>
    <row r="339" spans="2:8" ht="13.2">
      <c r="B339" s="108"/>
      <c r="C339" s="108"/>
      <c r="D339" s="108"/>
      <c r="E339" s="108"/>
      <c r="F339" s="108"/>
      <c r="G339" s="108"/>
      <c r="H339" s="109"/>
    </row>
    <row r="340" spans="2:8" ht="13.2">
      <c r="B340" s="108"/>
      <c r="C340" s="108"/>
      <c r="D340" s="108"/>
      <c r="E340" s="108"/>
      <c r="F340" s="108"/>
      <c r="G340" s="108"/>
      <c r="H340" s="109"/>
    </row>
    <row r="341" spans="2:8" ht="13.2">
      <c r="B341" s="108"/>
      <c r="C341" s="108"/>
      <c r="D341" s="108"/>
      <c r="E341" s="108"/>
      <c r="F341" s="108"/>
      <c r="G341" s="108"/>
      <c r="H341" s="109"/>
    </row>
    <row r="342" spans="2:8" ht="13.2">
      <c r="B342" s="108"/>
      <c r="C342" s="108"/>
      <c r="D342" s="108"/>
      <c r="E342" s="108"/>
      <c r="F342" s="108"/>
      <c r="G342" s="108"/>
      <c r="H342" s="109"/>
    </row>
    <row r="343" spans="2:8" ht="13.2">
      <c r="B343" s="108"/>
      <c r="C343" s="108"/>
      <c r="D343" s="108"/>
      <c r="E343" s="108"/>
      <c r="F343" s="108"/>
      <c r="G343" s="108"/>
      <c r="H343" s="109"/>
    </row>
    <row r="344" spans="2:8" ht="13.2">
      <c r="B344" s="108"/>
      <c r="C344" s="108"/>
      <c r="D344" s="108"/>
      <c r="E344" s="108"/>
      <c r="F344" s="108"/>
      <c r="G344" s="108"/>
      <c r="H344" s="109"/>
    </row>
    <row r="345" spans="2:8" ht="13.2">
      <c r="B345" s="108"/>
      <c r="C345" s="108"/>
      <c r="D345" s="108"/>
      <c r="E345" s="108"/>
      <c r="F345" s="108"/>
      <c r="G345" s="108"/>
      <c r="H345" s="109"/>
    </row>
    <row r="346" spans="2:8" ht="13.2">
      <c r="B346" s="108"/>
      <c r="C346" s="108"/>
      <c r="D346" s="108"/>
      <c r="E346" s="108"/>
      <c r="F346" s="108"/>
      <c r="G346" s="108"/>
      <c r="H346" s="109"/>
    </row>
    <row r="347" spans="2:8" ht="13.2">
      <c r="B347" s="108"/>
      <c r="C347" s="108"/>
      <c r="D347" s="108"/>
      <c r="E347" s="108"/>
      <c r="F347" s="108"/>
      <c r="G347" s="108"/>
      <c r="H347" s="109"/>
    </row>
    <row r="348" spans="2:8" ht="13.2">
      <c r="B348" s="108"/>
      <c r="C348" s="108"/>
      <c r="D348" s="108"/>
      <c r="E348" s="108"/>
      <c r="F348" s="108"/>
      <c r="G348" s="108"/>
      <c r="H348" s="109"/>
    </row>
    <row r="349" spans="2:8" ht="13.2">
      <c r="B349" s="108"/>
      <c r="C349" s="108"/>
      <c r="D349" s="108"/>
      <c r="E349" s="108"/>
      <c r="F349" s="108"/>
      <c r="G349" s="108"/>
      <c r="H349" s="109"/>
    </row>
    <row r="350" spans="2:8" ht="13.2">
      <c r="B350" s="108"/>
      <c r="C350" s="108"/>
      <c r="D350" s="108"/>
      <c r="E350" s="108"/>
      <c r="F350" s="108"/>
      <c r="G350" s="108"/>
      <c r="H350" s="109"/>
    </row>
    <row r="351" spans="2:8" ht="13.2">
      <c r="B351" s="108"/>
      <c r="C351" s="108"/>
      <c r="D351" s="108"/>
      <c r="E351" s="108"/>
      <c r="F351" s="108"/>
      <c r="G351" s="108"/>
      <c r="H351" s="109"/>
    </row>
    <row r="352" spans="2:8" ht="13.2">
      <c r="B352" s="108"/>
      <c r="C352" s="108"/>
      <c r="D352" s="108"/>
      <c r="E352" s="108"/>
      <c r="F352" s="108"/>
      <c r="G352" s="108"/>
      <c r="H352" s="109"/>
    </row>
    <row r="353" spans="2:8" ht="13.2">
      <c r="B353" s="108"/>
      <c r="C353" s="108"/>
      <c r="D353" s="108"/>
      <c r="E353" s="108"/>
      <c r="F353" s="108"/>
      <c r="G353" s="108"/>
      <c r="H353" s="109"/>
    </row>
    <row r="354" spans="2:8" ht="13.2">
      <c r="B354" s="108"/>
      <c r="C354" s="108"/>
      <c r="D354" s="108"/>
      <c r="E354" s="108"/>
      <c r="F354" s="108"/>
      <c r="G354" s="108"/>
      <c r="H354" s="109"/>
    </row>
    <row r="355" spans="2:8" ht="13.2">
      <c r="B355" s="108"/>
      <c r="C355" s="108"/>
      <c r="D355" s="108"/>
      <c r="E355" s="108"/>
      <c r="F355" s="108"/>
      <c r="G355" s="108"/>
      <c r="H355" s="109"/>
    </row>
    <row r="356" spans="2:8" ht="13.2">
      <c r="B356" s="108"/>
      <c r="C356" s="108"/>
      <c r="D356" s="108"/>
      <c r="E356" s="108"/>
      <c r="F356" s="108"/>
      <c r="G356" s="108"/>
      <c r="H356" s="109"/>
    </row>
    <row r="357" spans="2:8" ht="13.2">
      <c r="B357" s="108"/>
      <c r="C357" s="108"/>
      <c r="D357" s="108"/>
      <c r="E357" s="108"/>
      <c r="F357" s="108"/>
      <c r="G357" s="108"/>
      <c r="H357" s="109"/>
    </row>
    <row r="358" spans="2:8" ht="13.2">
      <c r="B358" s="108"/>
      <c r="C358" s="108"/>
      <c r="D358" s="108"/>
      <c r="E358" s="108"/>
      <c r="F358" s="108"/>
      <c r="G358" s="108"/>
      <c r="H358" s="109"/>
    </row>
    <row r="359" spans="2:8" ht="13.2">
      <c r="B359" s="108"/>
      <c r="C359" s="108"/>
      <c r="D359" s="108"/>
      <c r="E359" s="108"/>
      <c r="F359" s="108"/>
      <c r="G359" s="108"/>
      <c r="H359" s="109"/>
    </row>
    <row r="360" spans="2:8" ht="13.2">
      <c r="B360" s="108"/>
      <c r="C360" s="108"/>
      <c r="D360" s="108"/>
      <c r="E360" s="108"/>
      <c r="F360" s="108"/>
      <c r="G360" s="108"/>
      <c r="H360" s="109"/>
    </row>
    <row r="361" spans="2:8" ht="13.2">
      <c r="B361" s="108"/>
      <c r="C361" s="108"/>
      <c r="D361" s="108"/>
      <c r="E361" s="108"/>
      <c r="F361" s="108"/>
      <c r="G361" s="108"/>
      <c r="H361" s="109"/>
    </row>
    <row r="362" spans="2:8" ht="13.2">
      <c r="B362" s="108"/>
      <c r="C362" s="108"/>
      <c r="D362" s="108"/>
      <c r="E362" s="108"/>
      <c r="F362" s="108"/>
      <c r="G362" s="108"/>
      <c r="H362" s="109"/>
    </row>
    <row r="363" spans="2:8" ht="13.2">
      <c r="B363" s="108"/>
      <c r="C363" s="108"/>
      <c r="D363" s="108"/>
      <c r="E363" s="108"/>
      <c r="F363" s="108"/>
      <c r="G363" s="108"/>
      <c r="H363" s="109"/>
    </row>
    <row r="364" spans="2:8" ht="13.2">
      <c r="B364" s="108"/>
      <c r="C364" s="108"/>
      <c r="D364" s="108"/>
      <c r="E364" s="108"/>
      <c r="F364" s="108"/>
      <c r="G364" s="108"/>
      <c r="H364" s="109"/>
    </row>
    <row r="365" spans="2:8" ht="13.2">
      <c r="B365" s="108"/>
      <c r="C365" s="108"/>
      <c r="D365" s="108"/>
      <c r="E365" s="108"/>
      <c r="F365" s="108"/>
      <c r="G365" s="108"/>
      <c r="H365" s="109"/>
    </row>
    <row r="366" spans="2:8" ht="13.2">
      <c r="B366" s="108"/>
      <c r="C366" s="108"/>
      <c r="D366" s="108"/>
      <c r="E366" s="108"/>
      <c r="F366" s="108"/>
      <c r="G366" s="108"/>
      <c r="H366" s="109"/>
    </row>
    <row r="367" spans="2:8" ht="13.2">
      <c r="B367" s="108"/>
      <c r="C367" s="108"/>
      <c r="D367" s="108"/>
      <c r="E367" s="108"/>
      <c r="F367" s="108"/>
      <c r="G367" s="108"/>
      <c r="H367" s="109"/>
    </row>
    <row r="368" spans="2:8" ht="13.2">
      <c r="B368" s="108"/>
      <c r="C368" s="108"/>
      <c r="D368" s="108"/>
      <c r="E368" s="108"/>
      <c r="F368" s="108"/>
      <c r="G368" s="108"/>
      <c r="H368" s="109"/>
    </row>
    <row r="369" spans="2:8" ht="13.2">
      <c r="B369" s="108"/>
      <c r="C369" s="108"/>
      <c r="D369" s="108"/>
      <c r="E369" s="108"/>
      <c r="F369" s="108"/>
      <c r="G369" s="108"/>
      <c r="H369" s="109"/>
    </row>
    <row r="370" spans="2:8" ht="13.2">
      <c r="B370" s="108"/>
      <c r="C370" s="108"/>
      <c r="D370" s="108"/>
      <c r="E370" s="108"/>
      <c r="F370" s="108"/>
      <c r="G370" s="108"/>
      <c r="H370" s="109"/>
    </row>
    <row r="371" spans="2:8" ht="13.2">
      <c r="B371" s="108"/>
      <c r="C371" s="108"/>
      <c r="D371" s="108"/>
      <c r="E371" s="108"/>
      <c r="F371" s="108"/>
      <c r="G371" s="108"/>
      <c r="H371" s="109"/>
    </row>
    <row r="372" spans="2:8" ht="13.2">
      <c r="B372" s="108"/>
      <c r="C372" s="108"/>
      <c r="D372" s="108"/>
      <c r="E372" s="108"/>
      <c r="F372" s="108"/>
      <c r="G372" s="108"/>
      <c r="H372" s="109"/>
    </row>
    <row r="373" spans="2:8" ht="13.2">
      <c r="B373" s="108"/>
      <c r="C373" s="108"/>
      <c r="D373" s="108"/>
      <c r="E373" s="108"/>
      <c r="F373" s="108"/>
      <c r="G373" s="108"/>
      <c r="H373" s="109"/>
    </row>
    <row r="374" spans="2:8" ht="13.2">
      <c r="B374" s="108"/>
      <c r="C374" s="108"/>
      <c r="D374" s="108"/>
      <c r="E374" s="108"/>
      <c r="F374" s="108"/>
      <c r="G374" s="108"/>
      <c r="H374" s="109"/>
    </row>
    <row r="375" spans="2:8" ht="13.2">
      <c r="B375" s="108"/>
      <c r="C375" s="108"/>
      <c r="D375" s="108"/>
      <c r="E375" s="108"/>
      <c r="F375" s="108"/>
      <c r="G375" s="108"/>
      <c r="H375" s="109"/>
    </row>
    <row r="376" spans="2:8" ht="13.2">
      <c r="B376" s="108"/>
      <c r="C376" s="108"/>
      <c r="D376" s="108"/>
      <c r="E376" s="108"/>
      <c r="F376" s="108"/>
      <c r="G376" s="108"/>
      <c r="H376" s="109"/>
    </row>
    <row r="377" spans="2:8" ht="13.2">
      <c r="B377" s="108"/>
      <c r="C377" s="108"/>
      <c r="D377" s="108"/>
      <c r="E377" s="108"/>
      <c r="F377" s="108"/>
      <c r="G377" s="108"/>
      <c r="H377" s="109"/>
    </row>
    <row r="378" spans="2:8" ht="13.2">
      <c r="B378" s="108"/>
      <c r="C378" s="108"/>
      <c r="D378" s="108"/>
      <c r="E378" s="108"/>
      <c r="F378" s="108"/>
      <c r="G378" s="108"/>
      <c r="H378" s="109"/>
    </row>
    <row r="379" spans="2:8" ht="13.2">
      <c r="B379" s="108"/>
      <c r="C379" s="108"/>
      <c r="D379" s="108"/>
      <c r="E379" s="108"/>
      <c r="F379" s="108"/>
      <c r="G379" s="108"/>
      <c r="H379" s="109"/>
    </row>
    <row r="380" spans="2:8" ht="13.2">
      <c r="B380" s="108"/>
      <c r="C380" s="108"/>
      <c r="D380" s="108"/>
      <c r="E380" s="108"/>
      <c r="F380" s="108"/>
      <c r="G380" s="108"/>
      <c r="H380" s="109"/>
    </row>
    <row r="381" spans="2:8" ht="13.2">
      <c r="B381" s="108"/>
      <c r="C381" s="108"/>
      <c r="D381" s="108"/>
      <c r="E381" s="108"/>
      <c r="F381" s="108"/>
      <c r="G381" s="108"/>
      <c r="H381" s="109"/>
    </row>
    <row r="382" spans="2:8" ht="13.2">
      <c r="B382" s="108"/>
      <c r="C382" s="108"/>
      <c r="D382" s="108"/>
      <c r="E382" s="108"/>
      <c r="F382" s="108"/>
      <c r="G382" s="108"/>
      <c r="H382" s="109"/>
    </row>
    <row r="383" spans="2:8" ht="13.2">
      <c r="B383" s="108"/>
      <c r="C383" s="108"/>
      <c r="D383" s="108"/>
      <c r="E383" s="108"/>
      <c r="F383" s="108"/>
      <c r="G383" s="108"/>
      <c r="H383" s="109"/>
    </row>
    <row r="384" spans="2:8" ht="13.2">
      <c r="B384" s="108"/>
      <c r="C384" s="108"/>
      <c r="D384" s="108"/>
      <c r="E384" s="108"/>
      <c r="F384" s="108"/>
      <c r="G384" s="108"/>
      <c r="H384" s="109"/>
    </row>
    <row r="385" spans="2:8" ht="13.2">
      <c r="B385" s="108"/>
      <c r="C385" s="108"/>
      <c r="D385" s="108"/>
      <c r="E385" s="108"/>
      <c r="F385" s="108"/>
      <c r="G385" s="108"/>
      <c r="H385" s="109"/>
    </row>
    <row r="386" spans="2:8" ht="13.2">
      <c r="B386" s="108"/>
      <c r="C386" s="108"/>
      <c r="D386" s="108"/>
      <c r="E386" s="108"/>
      <c r="F386" s="108"/>
      <c r="G386" s="108"/>
      <c r="H386" s="109"/>
    </row>
    <row r="387" spans="2:8" ht="13.2">
      <c r="B387" s="108"/>
      <c r="C387" s="108"/>
      <c r="D387" s="108"/>
      <c r="E387" s="108"/>
      <c r="F387" s="108"/>
      <c r="G387" s="108"/>
      <c r="H387" s="109"/>
    </row>
    <row r="388" spans="2:8" ht="13.2">
      <c r="B388" s="108"/>
      <c r="C388" s="108"/>
      <c r="D388" s="108"/>
      <c r="E388" s="108"/>
      <c r="F388" s="108"/>
      <c r="G388" s="108"/>
      <c r="H388" s="109"/>
    </row>
    <row r="389" spans="2:8" ht="13.2">
      <c r="B389" s="108"/>
      <c r="C389" s="108"/>
      <c r="D389" s="108"/>
      <c r="E389" s="108"/>
      <c r="F389" s="108"/>
      <c r="G389" s="108"/>
      <c r="H389" s="109"/>
    </row>
    <row r="390" spans="2:8" ht="13.2">
      <c r="B390" s="108"/>
      <c r="C390" s="108"/>
      <c r="D390" s="108"/>
      <c r="E390" s="108"/>
      <c r="F390" s="108"/>
      <c r="G390" s="108"/>
      <c r="H390" s="109"/>
    </row>
    <row r="391" spans="2:8" ht="13.2">
      <c r="B391" s="108"/>
      <c r="C391" s="108"/>
      <c r="D391" s="108"/>
      <c r="E391" s="108"/>
      <c r="F391" s="108"/>
      <c r="G391" s="108"/>
      <c r="H391" s="109"/>
    </row>
    <row r="392" spans="2:8" ht="13.2">
      <c r="B392" s="108"/>
      <c r="C392" s="108"/>
      <c r="D392" s="108"/>
      <c r="E392" s="108"/>
      <c r="F392" s="108"/>
      <c r="G392" s="108"/>
      <c r="H392" s="109"/>
    </row>
    <row r="393" spans="2:8" ht="13.2">
      <c r="B393" s="108"/>
      <c r="C393" s="108"/>
      <c r="D393" s="108"/>
      <c r="E393" s="108"/>
      <c r="F393" s="108"/>
      <c r="G393" s="108"/>
      <c r="H393" s="109"/>
    </row>
    <row r="394" spans="2:8" ht="13.2">
      <c r="B394" s="108"/>
      <c r="C394" s="108"/>
      <c r="D394" s="108"/>
      <c r="E394" s="108"/>
      <c r="F394" s="108"/>
      <c r="G394" s="108"/>
      <c r="H394" s="109"/>
    </row>
    <row r="395" spans="2:8" ht="13.2">
      <c r="B395" s="108"/>
      <c r="C395" s="108"/>
      <c r="D395" s="108"/>
      <c r="E395" s="108"/>
      <c r="F395" s="108"/>
      <c r="G395" s="108"/>
      <c r="H395" s="109"/>
    </row>
    <row r="396" spans="2:8" ht="13.2">
      <c r="B396" s="108"/>
      <c r="C396" s="108"/>
      <c r="D396" s="108"/>
      <c r="E396" s="108"/>
      <c r="F396" s="108"/>
      <c r="G396" s="108"/>
      <c r="H396" s="109"/>
    </row>
    <row r="397" spans="2:8" ht="13.2">
      <c r="B397" s="108"/>
      <c r="C397" s="108"/>
      <c r="D397" s="108"/>
      <c r="E397" s="108"/>
      <c r="F397" s="108"/>
      <c r="G397" s="108"/>
      <c r="H397" s="109"/>
    </row>
    <row r="398" spans="2:8" ht="13.2">
      <c r="B398" s="108"/>
      <c r="C398" s="108"/>
      <c r="D398" s="108"/>
      <c r="E398" s="108"/>
      <c r="F398" s="108"/>
      <c r="G398" s="108"/>
      <c r="H398" s="109"/>
    </row>
    <row r="399" spans="2:8" ht="13.2">
      <c r="B399" s="108"/>
      <c r="C399" s="108"/>
      <c r="D399" s="108"/>
      <c r="E399" s="108"/>
      <c r="F399" s="108"/>
      <c r="G399" s="108"/>
      <c r="H399" s="109"/>
    </row>
    <row r="400" spans="2:8" ht="13.2">
      <c r="B400" s="108"/>
      <c r="C400" s="108"/>
      <c r="D400" s="108"/>
      <c r="E400" s="108"/>
      <c r="F400" s="108"/>
      <c r="G400" s="108"/>
      <c r="H400" s="109"/>
    </row>
    <row r="401" spans="2:8" ht="13.2">
      <c r="B401" s="108"/>
      <c r="C401" s="108"/>
      <c r="D401" s="108"/>
      <c r="E401" s="108"/>
      <c r="F401" s="108"/>
      <c r="G401" s="108"/>
      <c r="H401" s="109"/>
    </row>
    <row r="402" spans="2:8" ht="13.2">
      <c r="B402" s="108"/>
      <c r="C402" s="108"/>
      <c r="D402" s="108"/>
      <c r="E402" s="108"/>
      <c r="F402" s="108"/>
      <c r="G402" s="108"/>
      <c r="H402" s="109"/>
    </row>
    <row r="403" spans="2:8" ht="13.2">
      <c r="B403" s="108"/>
      <c r="C403" s="108"/>
      <c r="D403" s="108"/>
      <c r="E403" s="108"/>
      <c r="F403" s="108"/>
      <c r="G403" s="108"/>
      <c r="H403" s="109"/>
    </row>
    <row r="404" spans="2:8" ht="13.2">
      <c r="B404" s="108"/>
      <c r="C404" s="108"/>
      <c r="D404" s="108"/>
      <c r="E404" s="108"/>
      <c r="F404" s="108"/>
      <c r="G404" s="108"/>
      <c r="H404" s="109"/>
    </row>
    <row r="405" spans="2:8" ht="13.2">
      <c r="B405" s="108"/>
      <c r="C405" s="108"/>
      <c r="D405" s="108"/>
      <c r="E405" s="108"/>
      <c r="F405" s="108"/>
      <c r="G405" s="108"/>
      <c r="H405" s="109"/>
    </row>
    <row r="406" spans="2:8" ht="13.2">
      <c r="B406" s="108"/>
      <c r="C406" s="108"/>
      <c r="D406" s="108"/>
      <c r="E406" s="108"/>
      <c r="F406" s="108"/>
      <c r="G406" s="108"/>
      <c r="H406" s="109"/>
    </row>
    <row r="407" spans="2:8" ht="13.2">
      <c r="B407" s="108"/>
      <c r="C407" s="108"/>
      <c r="D407" s="108"/>
      <c r="E407" s="108"/>
      <c r="F407" s="108"/>
      <c r="G407" s="108"/>
      <c r="H407" s="109"/>
    </row>
    <row r="408" spans="2:8" ht="13.2">
      <c r="B408" s="108"/>
      <c r="C408" s="108"/>
      <c r="D408" s="108"/>
      <c r="E408" s="108"/>
      <c r="F408" s="108"/>
      <c r="G408" s="108"/>
      <c r="H408" s="109"/>
    </row>
    <row r="409" spans="2:8" ht="13.2">
      <c r="B409" s="108"/>
      <c r="C409" s="108"/>
      <c r="D409" s="108"/>
      <c r="E409" s="108"/>
      <c r="F409" s="108"/>
      <c r="G409" s="108"/>
      <c r="H409" s="109"/>
    </row>
    <row r="410" spans="2:8" ht="13.2">
      <c r="B410" s="108"/>
      <c r="C410" s="108"/>
      <c r="D410" s="108"/>
      <c r="E410" s="108"/>
      <c r="F410" s="108"/>
      <c r="G410" s="108"/>
      <c r="H410" s="109"/>
    </row>
    <row r="411" spans="2:8" ht="13.2">
      <c r="B411" s="108"/>
      <c r="C411" s="108"/>
      <c r="D411" s="108"/>
      <c r="E411" s="108"/>
      <c r="F411" s="108"/>
      <c r="G411" s="108"/>
      <c r="H411" s="109"/>
    </row>
    <row r="412" spans="2:8" ht="13.2">
      <c r="B412" s="108"/>
      <c r="C412" s="108"/>
      <c r="D412" s="108"/>
      <c r="E412" s="108"/>
      <c r="F412" s="108"/>
      <c r="G412" s="108"/>
      <c r="H412" s="109"/>
    </row>
    <row r="413" spans="2:8" ht="13.2">
      <c r="B413" s="108"/>
      <c r="C413" s="108"/>
      <c r="D413" s="108"/>
      <c r="E413" s="108"/>
      <c r="F413" s="108"/>
      <c r="G413" s="108"/>
      <c r="H413" s="109"/>
    </row>
    <row r="414" spans="2:8" ht="13.2">
      <c r="B414" s="108"/>
      <c r="C414" s="108"/>
      <c r="D414" s="108"/>
      <c r="E414" s="108"/>
      <c r="F414" s="108"/>
      <c r="G414" s="108"/>
      <c r="H414" s="109"/>
    </row>
    <row r="415" spans="2:8" ht="13.2">
      <c r="B415" s="108"/>
      <c r="C415" s="108"/>
      <c r="D415" s="108"/>
      <c r="E415" s="108"/>
      <c r="F415" s="108"/>
      <c r="G415" s="108"/>
      <c r="H415" s="109"/>
    </row>
    <row r="416" spans="2:8" ht="13.2">
      <c r="B416" s="108"/>
      <c r="C416" s="108"/>
      <c r="D416" s="108"/>
      <c r="E416" s="108"/>
      <c r="F416" s="108"/>
      <c r="G416" s="108"/>
      <c r="H416" s="109"/>
    </row>
    <row r="417" spans="2:8" ht="13.2">
      <c r="B417" s="108"/>
      <c r="C417" s="108"/>
      <c r="D417" s="108"/>
      <c r="E417" s="108"/>
      <c r="F417" s="108"/>
      <c r="G417" s="108"/>
      <c r="H417" s="109"/>
    </row>
    <row r="418" spans="2:8" ht="13.2">
      <c r="B418" s="108"/>
      <c r="C418" s="108"/>
      <c r="D418" s="108"/>
      <c r="E418" s="108"/>
      <c r="F418" s="108"/>
      <c r="G418" s="108"/>
      <c r="H418" s="109"/>
    </row>
    <row r="419" spans="2:8" ht="13.2">
      <c r="B419" s="108"/>
      <c r="C419" s="108"/>
      <c r="D419" s="108"/>
      <c r="E419" s="108"/>
      <c r="F419" s="108"/>
      <c r="G419" s="108"/>
      <c r="H419" s="109"/>
    </row>
    <row r="420" spans="2:8" ht="13.2">
      <c r="B420" s="108"/>
      <c r="C420" s="108"/>
      <c r="D420" s="108"/>
      <c r="E420" s="108"/>
      <c r="F420" s="108"/>
      <c r="G420" s="108"/>
      <c r="H420" s="109"/>
    </row>
    <row r="421" spans="2:8" ht="13.2">
      <c r="B421" s="108"/>
      <c r="C421" s="108"/>
      <c r="D421" s="108"/>
      <c r="E421" s="108"/>
      <c r="F421" s="108"/>
      <c r="G421" s="108"/>
      <c r="H421" s="109"/>
    </row>
    <row r="422" spans="2:8" ht="13.2">
      <c r="B422" s="108"/>
      <c r="C422" s="108"/>
      <c r="D422" s="108"/>
      <c r="E422" s="108"/>
      <c r="F422" s="108"/>
      <c r="G422" s="108"/>
      <c r="H422" s="109"/>
    </row>
    <row r="423" spans="2:8" ht="13.2">
      <c r="B423" s="108"/>
      <c r="C423" s="108"/>
      <c r="D423" s="108"/>
      <c r="E423" s="108"/>
      <c r="F423" s="108"/>
      <c r="G423" s="108"/>
      <c r="H423" s="109"/>
    </row>
    <row r="424" spans="2:8" ht="13.2">
      <c r="B424" s="108"/>
      <c r="C424" s="108"/>
      <c r="D424" s="108"/>
      <c r="E424" s="108"/>
      <c r="F424" s="108"/>
      <c r="G424" s="108"/>
      <c r="H424" s="109"/>
    </row>
    <row r="425" spans="2:8" ht="13.2">
      <c r="B425" s="108"/>
      <c r="C425" s="108"/>
      <c r="D425" s="108"/>
      <c r="E425" s="108"/>
      <c r="F425" s="108"/>
      <c r="G425" s="108"/>
      <c r="H425" s="109"/>
    </row>
    <row r="426" spans="2:8" ht="13.2">
      <c r="B426" s="108"/>
      <c r="C426" s="108"/>
      <c r="D426" s="108"/>
      <c r="E426" s="108"/>
      <c r="F426" s="108"/>
      <c r="G426" s="108"/>
      <c r="H426" s="109"/>
    </row>
    <row r="427" spans="2:8" ht="13.2">
      <c r="B427" s="108"/>
      <c r="C427" s="108"/>
      <c r="D427" s="108"/>
      <c r="E427" s="108"/>
      <c r="F427" s="108"/>
      <c r="G427" s="108"/>
      <c r="H427" s="109"/>
    </row>
    <row r="428" spans="2:8" ht="13.2">
      <c r="B428" s="108"/>
      <c r="C428" s="108"/>
      <c r="D428" s="108"/>
      <c r="E428" s="108"/>
      <c r="F428" s="108"/>
      <c r="G428" s="108"/>
      <c r="H428" s="109"/>
    </row>
    <row r="429" spans="2:8" ht="13.2">
      <c r="B429" s="108"/>
      <c r="C429" s="108"/>
      <c r="D429" s="108"/>
      <c r="E429" s="108"/>
      <c r="F429" s="108"/>
      <c r="G429" s="108"/>
      <c r="H429" s="109"/>
    </row>
    <row r="430" spans="2:8" ht="13.2">
      <c r="B430" s="108"/>
      <c r="C430" s="108"/>
      <c r="D430" s="108"/>
      <c r="E430" s="108"/>
      <c r="F430" s="108"/>
      <c r="G430" s="108"/>
      <c r="H430" s="109"/>
    </row>
    <row r="431" spans="2:8" ht="13.2">
      <c r="B431" s="108"/>
      <c r="C431" s="108"/>
      <c r="D431" s="108"/>
      <c r="E431" s="108"/>
      <c r="F431" s="108"/>
      <c r="G431" s="108"/>
      <c r="H431" s="109"/>
    </row>
    <row r="432" spans="2:8" ht="13.2">
      <c r="B432" s="108"/>
      <c r="C432" s="108"/>
      <c r="D432" s="108"/>
      <c r="E432" s="108"/>
      <c r="F432" s="108"/>
      <c r="G432" s="108"/>
      <c r="H432" s="109"/>
    </row>
    <row r="433" spans="2:8" ht="13.2">
      <c r="B433" s="108"/>
      <c r="C433" s="108"/>
      <c r="D433" s="108"/>
      <c r="E433" s="108"/>
      <c r="F433" s="108"/>
      <c r="G433" s="108"/>
      <c r="H433" s="109"/>
    </row>
    <row r="434" spans="2:8" ht="13.2">
      <c r="B434" s="108"/>
      <c r="C434" s="108"/>
      <c r="D434" s="108"/>
      <c r="E434" s="108"/>
      <c r="F434" s="108"/>
      <c r="G434" s="108"/>
      <c r="H434" s="109"/>
    </row>
    <row r="435" spans="2:8" ht="13.2">
      <c r="B435" s="108"/>
      <c r="C435" s="108"/>
      <c r="D435" s="108"/>
      <c r="E435" s="108"/>
      <c r="F435" s="108"/>
      <c r="G435" s="108"/>
      <c r="H435" s="109"/>
    </row>
    <row r="436" spans="2:8" ht="13.2">
      <c r="B436" s="108"/>
      <c r="C436" s="108"/>
      <c r="D436" s="108"/>
      <c r="E436" s="108"/>
      <c r="F436" s="108"/>
      <c r="G436" s="108"/>
      <c r="H436" s="109"/>
    </row>
    <row r="437" spans="2:8" ht="13.2">
      <c r="B437" s="108"/>
      <c r="C437" s="108"/>
      <c r="D437" s="108"/>
      <c r="E437" s="108"/>
      <c r="F437" s="108"/>
      <c r="G437" s="108"/>
      <c r="H437" s="109"/>
    </row>
    <row r="438" spans="2:8" ht="13.2">
      <c r="B438" s="108"/>
      <c r="C438" s="108"/>
      <c r="D438" s="108"/>
      <c r="E438" s="108"/>
      <c r="F438" s="108"/>
      <c r="G438" s="108"/>
      <c r="H438" s="109"/>
    </row>
    <row r="439" spans="2:8" ht="13.2">
      <c r="B439" s="108"/>
      <c r="C439" s="108"/>
      <c r="D439" s="108"/>
      <c r="E439" s="108"/>
      <c r="F439" s="108"/>
      <c r="G439" s="108"/>
      <c r="H439" s="109"/>
    </row>
    <row r="440" spans="2:8" ht="13.2">
      <c r="B440" s="108"/>
      <c r="C440" s="108"/>
      <c r="D440" s="108"/>
      <c r="E440" s="108"/>
      <c r="F440" s="108"/>
      <c r="G440" s="108"/>
      <c r="H440" s="109"/>
    </row>
    <row r="441" spans="2:8" ht="13.2">
      <c r="B441" s="108"/>
      <c r="C441" s="108"/>
      <c r="D441" s="108"/>
      <c r="E441" s="108"/>
      <c r="F441" s="108"/>
      <c r="G441" s="108"/>
      <c r="H441" s="109"/>
    </row>
    <row r="442" spans="2:8" ht="13.2">
      <c r="B442" s="108"/>
      <c r="C442" s="108"/>
      <c r="D442" s="108"/>
      <c r="E442" s="108"/>
      <c r="F442" s="108"/>
      <c r="G442" s="108"/>
      <c r="H442" s="109"/>
    </row>
    <row r="443" spans="2:8" ht="13.2">
      <c r="B443" s="108"/>
      <c r="C443" s="108"/>
      <c r="D443" s="108"/>
      <c r="E443" s="108"/>
      <c r="F443" s="108"/>
      <c r="G443" s="108"/>
      <c r="H443" s="109"/>
    </row>
    <row r="444" spans="2:8" ht="13.2">
      <c r="B444" s="108"/>
      <c r="C444" s="108"/>
      <c r="D444" s="108"/>
      <c r="E444" s="108"/>
      <c r="F444" s="108"/>
      <c r="G444" s="108"/>
      <c r="H444" s="109"/>
    </row>
    <row r="445" spans="2:8" ht="13.2">
      <c r="B445" s="108"/>
      <c r="C445" s="108"/>
      <c r="D445" s="108"/>
      <c r="E445" s="108"/>
      <c r="F445" s="108"/>
      <c r="G445" s="108"/>
      <c r="H445" s="109"/>
    </row>
    <row r="446" spans="2:8" ht="13.2">
      <c r="B446" s="108"/>
      <c r="C446" s="108"/>
      <c r="D446" s="108"/>
      <c r="E446" s="108"/>
      <c r="F446" s="108"/>
      <c r="G446" s="108"/>
      <c r="H446" s="109"/>
    </row>
    <row r="447" spans="2:8" ht="13.2">
      <c r="B447" s="108"/>
      <c r="C447" s="108"/>
      <c r="D447" s="108"/>
      <c r="E447" s="108"/>
      <c r="F447" s="108"/>
      <c r="G447" s="108"/>
      <c r="H447" s="109"/>
    </row>
    <row r="448" spans="2:8" ht="13.2">
      <c r="B448" s="108"/>
      <c r="C448" s="108"/>
      <c r="D448" s="108"/>
      <c r="E448" s="108"/>
      <c r="F448" s="108"/>
      <c r="G448" s="108"/>
      <c r="H448" s="109"/>
    </row>
    <row r="449" spans="2:8" ht="13.2">
      <c r="B449" s="108"/>
      <c r="C449" s="108"/>
      <c r="D449" s="108"/>
      <c r="E449" s="108"/>
      <c r="F449" s="108"/>
      <c r="G449" s="108"/>
      <c r="H449" s="109"/>
    </row>
    <row r="450" spans="2:8" ht="13.2">
      <c r="B450" s="108"/>
      <c r="C450" s="108"/>
      <c r="D450" s="108"/>
      <c r="E450" s="108"/>
      <c r="F450" s="108"/>
      <c r="G450" s="108"/>
      <c r="H450" s="109"/>
    </row>
    <row r="451" spans="2:8" ht="13.2">
      <c r="B451" s="108"/>
      <c r="C451" s="108"/>
      <c r="D451" s="108"/>
      <c r="E451" s="108"/>
      <c r="F451" s="108"/>
      <c r="G451" s="108"/>
      <c r="H451" s="109"/>
    </row>
    <row r="452" spans="2:8" ht="13.2">
      <c r="B452" s="108"/>
      <c r="C452" s="108"/>
      <c r="D452" s="108"/>
      <c r="E452" s="108"/>
      <c r="F452" s="108"/>
      <c r="G452" s="108"/>
      <c r="H452" s="109"/>
    </row>
    <row r="453" spans="2:8" ht="13.2">
      <c r="B453" s="108"/>
      <c r="C453" s="108"/>
      <c r="D453" s="108"/>
      <c r="E453" s="108"/>
      <c r="F453" s="108"/>
      <c r="G453" s="108"/>
      <c r="H453" s="109"/>
    </row>
    <row r="454" spans="2:8" ht="13.2">
      <c r="B454" s="108"/>
      <c r="C454" s="108"/>
      <c r="D454" s="108"/>
      <c r="E454" s="108"/>
      <c r="F454" s="108"/>
      <c r="G454" s="108"/>
      <c r="H454" s="109"/>
    </row>
    <row r="455" spans="2:8" ht="13.2">
      <c r="B455" s="108"/>
      <c r="C455" s="108"/>
      <c r="D455" s="108"/>
      <c r="E455" s="108"/>
      <c r="F455" s="108"/>
      <c r="G455" s="108"/>
      <c r="H455" s="109"/>
    </row>
    <row r="456" spans="2:8" ht="13.2">
      <c r="B456" s="108"/>
      <c r="C456" s="108"/>
      <c r="D456" s="108"/>
      <c r="E456" s="108"/>
      <c r="F456" s="108"/>
      <c r="G456" s="108"/>
      <c r="H456" s="109"/>
    </row>
    <row r="457" spans="2:8" ht="13.2">
      <c r="B457" s="108"/>
      <c r="C457" s="108"/>
      <c r="D457" s="108"/>
      <c r="E457" s="108"/>
      <c r="F457" s="108"/>
      <c r="G457" s="108"/>
      <c r="H457" s="109"/>
    </row>
    <row r="458" spans="2:8" ht="13.2">
      <c r="B458" s="108"/>
      <c r="C458" s="108"/>
      <c r="D458" s="108"/>
      <c r="E458" s="108"/>
      <c r="F458" s="108"/>
      <c r="G458" s="108"/>
      <c r="H458" s="109"/>
    </row>
    <row r="459" spans="2:8" ht="13.2">
      <c r="B459" s="108"/>
      <c r="C459" s="108"/>
      <c r="D459" s="108"/>
      <c r="E459" s="108"/>
      <c r="F459" s="108"/>
      <c r="G459" s="108"/>
      <c r="H459" s="109"/>
    </row>
    <row r="460" spans="2:8" ht="13.2">
      <c r="B460" s="108"/>
      <c r="C460" s="108"/>
      <c r="D460" s="108"/>
      <c r="E460" s="108"/>
      <c r="F460" s="108"/>
      <c r="G460" s="108"/>
      <c r="H460" s="109"/>
    </row>
    <row r="461" spans="2:8" ht="13.2">
      <c r="B461" s="108"/>
      <c r="C461" s="108"/>
      <c r="D461" s="108"/>
      <c r="E461" s="108"/>
      <c r="F461" s="108"/>
      <c r="G461" s="108"/>
      <c r="H461" s="109"/>
    </row>
    <row r="462" spans="2:8" ht="13.2">
      <c r="B462" s="108"/>
      <c r="C462" s="108"/>
      <c r="D462" s="108"/>
      <c r="E462" s="108"/>
      <c r="F462" s="108"/>
      <c r="G462" s="108"/>
      <c r="H462" s="109"/>
    </row>
    <row r="463" spans="2:8" ht="13.2">
      <c r="B463" s="108"/>
      <c r="C463" s="108"/>
      <c r="D463" s="108"/>
      <c r="E463" s="108"/>
      <c r="F463" s="108"/>
      <c r="G463" s="108"/>
      <c r="H463" s="109"/>
    </row>
    <row r="464" spans="2:8" ht="13.2">
      <c r="B464" s="108"/>
      <c r="C464" s="108"/>
      <c r="D464" s="108"/>
      <c r="E464" s="108"/>
      <c r="F464" s="108"/>
      <c r="G464" s="108"/>
      <c r="H464" s="109"/>
    </row>
    <row r="465" spans="2:8" ht="13.2">
      <c r="B465" s="108"/>
      <c r="C465" s="108"/>
      <c r="D465" s="108"/>
      <c r="E465" s="108"/>
      <c r="F465" s="108"/>
      <c r="G465" s="108"/>
      <c r="H465" s="109"/>
    </row>
    <row r="466" spans="2:8" ht="13.2">
      <c r="B466" s="108"/>
      <c r="C466" s="108"/>
      <c r="D466" s="108"/>
      <c r="E466" s="108"/>
      <c r="F466" s="108"/>
      <c r="G466" s="108"/>
      <c r="H466" s="109"/>
    </row>
    <row r="467" spans="2:8" ht="13.2">
      <c r="B467" s="108"/>
      <c r="C467" s="108"/>
      <c r="D467" s="108"/>
      <c r="E467" s="108"/>
      <c r="F467" s="108"/>
      <c r="G467" s="108"/>
      <c r="H467" s="109"/>
    </row>
    <row r="468" spans="2:8" ht="13.2">
      <c r="B468" s="108"/>
      <c r="C468" s="108"/>
      <c r="D468" s="108"/>
      <c r="E468" s="108"/>
      <c r="F468" s="108"/>
      <c r="G468" s="108"/>
      <c r="H468" s="109"/>
    </row>
    <row r="469" spans="2:8" ht="13.2">
      <c r="B469" s="108"/>
      <c r="C469" s="108"/>
      <c r="D469" s="108"/>
      <c r="E469" s="108"/>
      <c r="F469" s="108"/>
      <c r="G469" s="108"/>
      <c r="H469" s="109"/>
    </row>
    <row r="470" spans="2:8" ht="13.2">
      <c r="B470" s="108"/>
      <c r="C470" s="108"/>
      <c r="D470" s="108"/>
      <c r="E470" s="108"/>
      <c r="F470" s="108"/>
      <c r="G470" s="108"/>
      <c r="H470" s="109"/>
    </row>
    <row r="471" spans="2:8" ht="13.2">
      <c r="B471" s="108"/>
      <c r="C471" s="108"/>
      <c r="D471" s="108"/>
      <c r="E471" s="108"/>
      <c r="F471" s="108"/>
      <c r="G471" s="108"/>
      <c r="H471" s="109"/>
    </row>
    <row r="472" spans="2:8" ht="13.2">
      <c r="B472" s="108"/>
      <c r="C472" s="108"/>
      <c r="D472" s="108"/>
      <c r="E472" s="108"/>
      <c r="F472" s="108"/>
      <c r="G472" s="108"/>
      <c r="H472" s="109"/>
    </row>
    <row r="473" spans="2:8" ht="13.2">
      <c r="B473" s="108"/>
      <c r="C473" s="108"/>
      <c r="D473" s="108"/>
      <c r="E473" s="108"/>
      <c r="F473" s="108"/>
      <c r="G473" s="108"/>
      <c r="H473" s="109"/>
    </row>
    <row r="474" spans="2:8" ht="13.2">
      <c r="B474" s="108"/>
      <c r="C474" s="108"/>
      <c r="D474" s="108"/>
      <c r="E474" s="108"/>
      <c r="F474" s="108"/>
      <c r="G474" s="108"/>
      <c r="H474" s="109"/>
    </row>
    <row r="475" spans="2:8" ht="13.2">
      <c r="B475" s="108"/>
      <c r="C475" s="108"/>
      <c r="D475" s="108"/>
      <c r="E475" s="108"/>
      <c r="F475" s="108"/>
      <c r="G475" s="108"/>
      <c r="H475" s="109"/>
    </row>
    <row r="476" spans="2:8" ht="13.2">
      <c r="B476" s="108"/>
      <c r="C476" s="108"/>
      <c r="D476" s="108"/>
      <c r="E476" s="108"/>
      <c r="F476" s="108"/>
      <c r="G476" s="108"/>
      <c r="H476" s="109"/>
    </row>
    <row r="477" spans="2:8" ht="13.2">
      <c r="B477" s="108"/>
      <c r="C477" s="108"/>
      <c r="D477" s="108"/>
      <c r="E477" s="108"/>
      <c r="F477" s="108"/>
      <c r="G477" s="108"/>
      <c r="H477" s="109"/>
    </row>
    <row r="478" spans="2:8" ht="13.2">
      <c r="B478" s="108"/>
      <c r="C478" s="108"/>
      <c r="D478" s="108"/>
      <c r="E478" s="108"/>
      <c r="F478" s="108"/>
      <c r="G478" s="108"/>
      <c r="H478" s="109"/>
    </row>
    <row r="479" spans="2:8" ht="13.2">
      <c r="B479" s="108"/>
      <c r="C479" s="108"/>
      <c r="D479" s="108"/>
      <c r="E479" s="108"/>
      <c r="F479" s="108"/>
      <c r="G479" s="108"/>
      <c r="H479" s="109"/>
    </row>
    <row r="480" spans="2:8" ht="13.2">
      <c r="B480" s="108"/>
      <c r="C480" s="108"/>
      <c r="D480" s="108"/>
      <c r="E480" s="108"/>
      <c r="F480" s="108"/>
      <c r="G480" s="108"/>
      <c r="H480" s="109"/>
    </row>
    <row r="481" spans="2:8" ht="13.2">
      <c r="B481" s="108"/>
      <c r="C481" s="108"/>
      <c r="D481" s="108"/>
      <c r="E481" s="108"/>
      <c r="F481" s="108"/>
      <c r="G481" s="108"/>
      <c r="H481" s="109"/>
    </row>
    <row r="482" spans="2:8" ht="13.2">
      <c r="B482" s="108"/>
      <c r="C482" s="108"/>
      <c r="D482" s="108"/>
      <c r="E482" s="108"/>
      <c r="F482" s="108"/>
      <c r="G482" s="108"/>
      <c r="H482" s="109"/>
    </row>
    <row r="483" spans="2:8" ht="13.2">
      <c r="B483" s="108"/>
      <c r="C483" s="108"/>
      <c r="D483" s="108"/>
      <c r="E483" s="108"/>
      <c r="F483" s="108"/>
      <c r="G483" s="108"/>
      <c r="H483" s="109"/>
    </row>
    <row r="484" spans="2:8" ht="13.2">
      <c r="B484" s="108"/>
      <c r="C484" s="108"/>
      <c r="D484" s="108"/>
      <c r="E484" s="108"/>
      <c r="F484" s="108"/>
      <c r="G484" s="108"/>
      <c r="H484" s="109"/>
    </row>
    <row r="485" spans="2:8" ht="13.2">
      <c r="B485" s="108"/>
      <c r="C485" s="108"/>
      <c r="D485" s="108"/>
      <c r="E485" s="108"/>
      <c r="F485" s="108"/>
      <c r="G485" s="108"/>
      <c r="H485" s="109"/>
    </row>
    <row r="486" spans="2:8" ht="13.2">
      <c r="B486" s="108"/>
      <c r="C486" s="108"/>
      <c r="D486" s="108"/>
      <c r="E486" s="108"/>
      <c r="F486" s="108"/>
      <c r="G486" s="108"/>
      <c r="H486" s="109"/>
    </row>
    <row r="487" spans="2:8" ht="13.2">
      <c r="B487" s="108"/>
      <c r="C487" s="108"/>
      <c r="D487" s="108"/>
      <c r="E487" s="108"/>
      <c r="F487" s="108"/>
      <c r="G487" s="108"/>
      <c r="H487" s="109"/>
    </row>
    <row r="488" spans="2:8" ht="13.2">
      <c r="B488" s="108"/>
      <c r="C488" s="108"/>
      <c r="D488" s="108"/>
      <c r="E488" s="108"/>
      <c r="F488" s="108"/>
      <c r="G488" s="108"/>
      <c r="H488" s="109"/>
    </row>
    <row r="489" spans="2:8" ht="13.2">
      <c r="B489" s="108"/>
      <c r="C489" s="108"/>
      <c r="D489" s="108"/>
      <c r="E489" s="108"/>
      <c r="F489" s="108"/>
      <c r="G489" s="108"/>
      <c r="H489" s="109"/>
    </row>
    <row r="490" spans="2:8" ht="13.2">
      <c r="B490" s="108"/>
      <c r="C490" s="108"/>
      <c r="D490" s="108"/>
      <c r="E490" s="108"/>
      <c r="F490" s="108"/>
      <c r="G490" s="108"/>
      <c r="H490" s="109"/>
    </row>
    <row r="491" spans="2:8" ht="13.2">
      <c r="B491" s="108"/>
      <c r="C491" s="108"/>
      <c r="D491" s="108"/>
      <c r="E491" s="108"/>
      <c r="F491" s="108"/>
      <c r="G491" s="108"/>
      <c r="H491" s="109"/>
    </row>
    <row r="492" spans="2:8" ht="13.2">
      <c r="B492" s="108"/>
      <c r="C492" s="108"/>
      <c r="D492" s="108"/>
      <c r="E492" s="108"/>
      <c r="F492" s="108"/>
      <c r="G492" s="108"/>
      <c r="H492" s="109"/>
    </row>
    <row r="493" spans="2:8" ht="13.2">
      <c r="B493" s="108"/>
      <c r="C493" s="108"/>
      <c r="D493" s="108"/>
      <c r="E493" s="108"/>
      <c r="F493" s="108"/>
      <c r="G493" s="108"/>
      <c r="H493" s="109"/>
    </row>
    <row r="494" spans="2:8" ht="13.2">
      <c r="B494" s="108"/>
      <c r="C494" s="108"/>
      <c r="D494" s="108"/>
      <c r="E494" s="108"/>
      <c r="F494" s="108"/>
      <c r="G494" s="108"/>
      <c r="H494" s="109"/>
    </row>
    <row r="495" spans="2:8" ht="13.2">
      <c r="B495" s="108"/>
      <c r="C495" s="108"/>
      <c r="D495" s="108"/>
      <c r="E495" s="108"/>
      <c r="F495" s="108"/>
      <c r="G495" s="108"/>
      <c r="H495" s="109"/>
    </row>
    <row r="496" spans="2:8" ht="13.2">
      <c r="B496" s="108"/>
      <c r="C496" s="108"/>
      <c r="D496" s="108"/>
      <c r="E496" s="108"/>
      <c r="F496" s="108"/>
      <c r="G496" s="108"/>
      <c r="H496" s="109"/>
    </row>
    <row r="497" spans="2:8" ht="13.2">
      <c r="B497" s="108"/>
      <c r="C497" s="108"/>
      <c r="D497" s="108"/>
      <c r="E497" s="108"/>
      <c r="F497" s="108"/>
      <c r="G497" s="108"/>
      <c r="H497" s="109"/>
    </row>
    <row r="498" spans="2:8" ht="13.2">
      <c r="B498" s="108"/>
      <c r="C498" s="108"/>
      <c r="D498" s="108"/>
      <c r="E498" s="108"/>
      <c r="F498" s="108"/>
      <c r="G498" s="108"/>
      <c r="H498" s="109"/>
    </row>
    <row r="499" spans="2:8" ht="13.2">
      <c r="B499" s="108"/>
      <c r="C499" s="108"/>
      <c r="D499" s="108"/>
      <c r="E499" s="108"/>
      <c r="F499" s="108"/>
      <c r="G499" s="108"/>
      <c r="H499" s="109"/>
    </row>
    <row r="500" spans="2:8" ht="13.2">
      <c r="B500" s="108"/>
      <c r="C500" s="108"/>
      <c r="D500" s="108"/>
      <c r="E500" s="108"/>
      <c r="F500" s="108"/>
      <c r="G500" s="108"/>
      <c r="H500" s="109"/>
    </row>
    <row r="501" spans="2:8" ht="13.2">
      <c r="B501" s="108"/>
      <c r="C501" s="108"/>
      <c r="D501" s="108"/>
      <c r="E501" s="108"/>
      <c r="F501" s="108"/>
      <c r="G501" s="108"/>
      <c r="H501" s="109"/>
    </row>
    <row r="502" spans="2:8" ht="13.2">
      <c r="B502" s="108"/>
      <c r="C502" s="108"/>
      <c r="D502" s="108"/>
      <c r="E502" s="108"/>
      <c r="F502" s="108"/>
      <c r="G502" s="108"/>
      <c r="H502" s="109"/>
    </row>
    <row r="503" spans="2:8" ht="13.2">
      <c r="B503" s="108"/>
      <c r="C503" s="108"/>
      <c r="D503" s="108"/>
      <c r="E503" s="108"/>
      <c r="F503" s="108"/>
      <c r="G503" s="108"/>
      <c r="H503" s="109"/>
    </row>
    <row r="504" spans="2:8" ht="13.2">
      <c r="B504" s="108"/>
      <c r="C504" s="108"/>
      <c r="D504" s="108"/>
      <c r="E504" s="108"/>
      <c r="F504" s="108"/>
      <c r="G504" s="108"/>
      <c r="H504" s="109"/>
    </row>
    <row r="505" spans="2:8" ht="13.2">
      <c r="B505" s="108"/>
      <c r="C505" s="108"/>
      <c r="D505" s="108"/>
      <c r="E505" s="108"/>
      <c r="F505" s="108"/>
      <c r="G505" s="108"/>
      <c r="H505" s="109"/>
    </row>
    <row r="506" spans="2:8" ht="13.2">
      <c r="B506" s="108"/>
      <c r="C506" s="108"/>
      <c r="D506" s="108"/>
      <c r="E506" s="108"/>
      <c r="F506" s="108"/>
      <c r="G506" s="108"/>
      <c r="H506" s="109"/>
    </row>
    <row r="507" spans="2:8" ht="13.2">
      <c r="B507" s="108"/>
      <c r="C507" s="108"/>
      <c r="D507" s="108"/>
      <c r="E507" s="108"/>
      <c r="F507" s="108"/>
      <c r="G507" s="108"/>
      <c r="H507" s="109"/>
    </row>
    <row r="508" spans="2:8" ht="13.2">
      <c r="B508" s="108"/>
      <c r="C508" s="108"/>
      <c r="D508" s="108"/>
      <c r="E508" s="108"/>
      <c r="F508" s="108"/>
      <c r="G508" s="108"/>
      <c r="H508" s="109"/>
    </row>
    <row r="509" spans="2:8" ht="13.2">
      <c r="B509" s="108"/>
      <c r="C509" s="108"/>
      <c r="D509" s="108"/>
      <c r="E509" s="108"/>
      <c r="F509" s="108"/>
      <c r="G509" s="108"/>
      <c r="H509" s="109"/>
    </row>
    <row r="510" spans="2:8" ht="13.2">
      <c r="B510" s="108"/>
      <c r="C510" s="108"/>
      <c r="D510" s="108"/>
      <c r="E510" s="108"/>
      <c r="F510" s="108"/>
      <c r="G510" s="108"/>
      <c r="H510" s="109"/>
    </row>
    <row r="511" spans="2:8" ht="13.2">
      <c r="B511" s="108"/>
      <c r="C511" s="108"/>
      <c r="D511" s="108"/>
      <c r="E511" s="108"/>
      <c r="F511" s="108"/>
      <c r="G511" s="108"/>
      <c r="H511" s="109"/>
    </row>
    <row r="512" spans="2:8" ht="13.2">
      <c r="B512" s="108"/>
      <c r="C512" s="108"/>
      <c r="D512" s="108"/>
      <c r="E512" s="108"/>
      <c r="F512" s="108"/>
      <c r="G512" s="108"/>
      <c r="H512" s="109"/>
    </row>
    <row r="513" spans="2:8" ht="13.2">
      <c r="B513" s="108"/>
      <c r="C513" s="108"/>
      <c r="D513" s="108"/>
      <c r="E513" s="108"/>
      <c r="F513" s="108"/>
      <c r="G513" s="108"/>
      <c r="H513" s="109"/>
    </row>
    <row r="514" spans="2:8" ht="13.2">
      <c r="B514" s="108"/>
      <c r="C514" s="108"/>
      <c r="D514" s="108"/>
      <c r="E514" s="108"/>
      <c r="F514" s="108"/>
      <c r="G514" s="108"/>
      <c r="H514" s="109"/>
    </row>
    <row r="515" spans="2:8" ht="13.2">
      <c r="B515" s="108"/>
      <c r="C515" s="108"/>
      <c r="D515" s="108"/>
      <c r="E515" s="108"/>
      <c r="F515" s="108"/>
      <c r="G515" s="108"/>
      <c r="H515" s="109"/>
    </row>
    <row r="516" spans="2:8" ht="13.2">
      <c r="B516" s="108"/>
      <c r="C516" s="108"/>
      <c r="D516" s="108"/>
      <c r="E516" s="108"/>
      <c r="F516" s="108"/>
      <c r="G516" s="108"/>
      <c r="H516" s="109"/>
    </row>
    <row r="517" spans="2:8" ht="13.2">
      <c r="B517" s="108"/>
      <c r="C517" s="108"/>
      <c r="D517" s="108"/>
      <c r="E517" s="108"/>
      <c r="F517" s="108"/>
      <c r="G517" s="108"/>
      <c r="H517" s="109"/>
    </row>
    <row r="518" spans="2:8" ht="13.2">
      <c r="B518" s="108"/>
      <c r="C518" s="108"/>
      <c r="D518" s="108"/>
      <c r="E518" s="108"/>
      <c r="F518" s="108"/>
      <c r="G518" s="108"/>
      <c r="H518" s="109"/>
    </row>
    <row r="519" spans="2:8" ht="13.2">
      <c r="B519" s="108"/>
      <c r="C519" s="108"/>
      <c r="D519" s="108"/>
      <c r="E519" s="108"/>
      <c r="F519" s="108"/>
      <c r="G519" s="108"/>
      <c r="H519" s="109"/>
    </row>
    <row r="520" spans="2:8" ht="13.2">
      <c r="B520" s="108"/>
      <c r="C520" s="108"/>
      <c r="D520" s="108"/>
      <c r="E520" s="108"/>
      <c r="F520" s="108"/>
      <c r="G520" s="108"/>
      <c r="H520" s="109"/>
    </row>
    <row r="521" spans="2:8" ht="13.2">
      <c r="B521" s="108"/>
      <c r="C521" s="108"/>
      <c r="D521" s="108"/>
      <c r="E521" s="108"/>
      <c r="F521" s="108"/>
      <c r="G521" s="108"/>
      <c r="H521" s="109"/>
    </row>
    <row r="522" spans="2:8" ht="13.2">
      <c r="B522" s="108"/>
      <c r="C522" s="108"/>
      <c r="D522" s="108"/>
      <c r="E522" s="108"/>
      <c r="F522" s="108"/>
      <c r="G522" s="108"/>
      <c r="H522" s="109"/>
    </row>
    <row r="523" spans="2:8" ht="13.2">
      <c r="B523" s="108"/>
      <c r="C523" s="108"/>
      <c r="D523" s="108"/>
      <c r="E523" s="108"/>
      <c r="F523" s="108"/>
      <c r="G523" s="108"/>
      <c r="H523" s="109"/>
    </row>
    <row r="524" spans="2:8" ht="13.2">
      <c r="B524" s="108"/>
      <c r="C524" s="108"/>
      <c r="D524" s="108"/>
      <c r="E524" s="108"/>
      <c r="F524" s="108"/>
      <c r="G524" s="108"/>
      <c r="H524" s="109"/>
    </row>
    <row r="525" spans="2:8" ht="13.2">
      <c r="B525" s="108"/>
      <c r="C525" s="108"/>
      <c r="D525" s="108"/>
      <c r="E525" s="108"/>
      <c r="F525" s="108"/>
      <c r="G525" s="108"/>
      <c r="H525" s="109"/>
    </row>
    <row r="526" spans="2:8" ht="13.2">
      <c r="B526" s="108"/>
      <c r="C526" s="108"/>
      <c r="D526" s="108"/>
      <c r="E526" s="108"/>
      <c r="F526" s="108"/>
      <c r="G526" s="108"/>
      <c r="H526" s="109"/>
    </row>
    <row r="527" spans="2:8" ht="13.2">
      <c r="B527" s="108"/>
      <c r="C527" s="108"/>
      <c r="D527" s="108"/>
      <c r="E527" s="108"/>
      <c r="F527" s="108"/>
      <c r="G527" s="108"/>
      <c r="H527" s="109"/>
    </row>
    <row r="528" spans="2:8" ht="13.2">
      <c r="B528" s="108"/>
      <c r="C528" s="108"/>
      <c r="D528" s="108"/>
      <c r="E528" s="108"/>
      <c r="F528" s="108"/>
      <c r="G528" s="108"/>
      <c r="H528" s="109"/>
    </row>
    <row r="529" spans="2:8" ht="13.2">
      <c r="B529" s="108"/>
      <c r="C529" s="108"/>
      <c r="D529" s="108"/>
      <c r="E529" s="108"/>
      <c r="F529" s="108"/>
      <c r="G529" s="108"/>
      <c r="H529" s="109"/>
    </row>
    <row r="530" spans="2:8" ht="13.2">
      <c r="B530" s="108"/>
      <c r="C530" s="108"/>
      <c r="D530" s="108"/>
      <c r="E530" s="108"/>
      <c r="F530" s="108"/>
      <c r="G530" s="108"/>
      <c r="H530" s="109"/>
    </row>
    <row r="531" spans="2:8" ht="13.2">
      <c r="B531" s="108"/>
      <c r="C531" s="108"/>
      <c r="D531" s="108"/>
      <c r="E531" s="108"/>
      <c r="F531" s="108"/>
      <c r="G531" s="108"/>
      <c r="H531" s="109"/>
    </row>
    <row r="532" spans="2:8" ht="13.2">
      <c r="B532" s="108"/>
      <c r="C532" s="108"/>
      <c r="D532" s="108"/>
      <c r="E532" s="108"/>
      <c r="F532" s="108"/>
      <c r="G532" s="108"/>
      <c r="H532" s="109"/>
    </row>
    <row r="533" spans="2:8" ht="13.2">
      <c r="B533" s="108"/>
      <c r="C533" s="108"/>
      <c r="D533" s="108"/>
      <c r="E533" s="108"/>
      <c r="F533" s="108"/>
      <c r="G533" s="108"/>
      <c r="H533" s="109"/>
    </row>
    <row r="534" spans="2:8" ht="13.2">
      <c r="B534" s="108"/>
      <c r="C534" s="108"/>
      <c r="D534" s="108"/>
      <c r="E534" s="108"/>
      <c r="F534" s="108"/>
      <c r="G534" s="108"/>
      <c r="H534" s="109"/>
    </row>
    <row r="535" spans="2:8" ht="13.2">
      <c r="B535" s="108"/>
      <c r="C535" s="108"/>
      <c r="D535" s="108"/>
      <c r="E535" s="108"/>
      <c r="F535" s="108"/>
      <c r="G535" s="108"/>
      <c r="H535" s="109"/>
    </row>
    <row r="536" spans="2:8" ht="13.2">
      <c r="B536" s="108"/>
      <c r="C536" s="108"/>
      <c r="D536" s="108"/>
      <c r="E536" s="108"/>
      <c r="F536" s="108"/>
      <c r="G536" s="108"/>
      <c r="H536" s="109"/>
    </row>
    <row r="537" spans="2:8" ht="13.2">
      <c r="B537" s="108"/>
      <c r="C537" s="108"/>
      <c r="D537" s="108"/>
      <c r="E537" s="108"/>
      <c r="F537" s="108"/>
      <c r="G537" s="108"/>
      <c r="H537" s="109"/>
    </row>
    <row r="538" spans="2:8" ht="13.2">
      <c r="B538" s="108"/>
      <c r="C538" s="108"/>
      <c r="D538" s="108"/>
      <c r="E538" s="108"/>
      <c r="F538" s="108"/>
      <c r="G538" s="108"/>
      <c r="H538" s="109"/>
    </row>
    <row r="539" spans="2:8" ht="13.2">
      <c r="B539" s="108"/>
      <c r="C539" s="108"/>
      <c r="D539" s="108"/>
      <c r="E539" s="108"/>
      <c r="F539" s="108"/>
      <c r="G539" s="108"/>
      <c r="H539" s="109"/>
    </row>
    <row r="540" spans="2:8" ht="13.2">
      <c r="B540" s="108"/>
      <c r="C540" s="108"/>
      <c r="D540" s="108"/>
      <c r="E540" s="108"/>
      <c r="F540" s="108"/>
      <c r="G540" s="108"/>
      <c r="H540" s="109"/>
    </row>
    <row r="541" spans="2:8" ht="13.2">
      <c r="B541" s="108"/>
      <c r="C541" s="108"/>
      <c r="D541" s="108"/>
      <c r="E541" s="108"/>
      <c r="F541" s="108"/>
      <c r="G541" s="108"/>
      <c r="H541" s="109"/>
    </row>
    <row r="542" spans="2:8" ht="13.2">
      <c r="B542" s="108"/>
      <c r="C542" s="108"/>
      <c r="D542" s="108"/>
      <c r="E542" s="108"/>
      <c r="F542" s="108"/>
      <c r="G542" s="108"/>
      <c r="H542" s="109"/>
    </row>
    <row r="543" spans="2:8" ht="13.2">
      <c r="B543" s="108"/>
      <c r="C543" s="108"/>
      <c r="D543" s="108"/>
      <c r="E543" s="108"/>
      <c r="F543" s="108"/>
      <c r="G543" s="108"/>
      <c r="H543" s="109"/>
    </row>
    <row r="544" spans="2:8" ht="13.2">
      <c r="B544" s="108"/>
      <c r="C544" s="108"/>
      <c r="D544" s="108"/>
      <c r="E544" s="108"/>
      <c r="F544" s="108"/>
      <c r="G544" s="108"/>
      <c r="H544" s="109"/>
    </row>
    <row r="545" spans="2:8" ht="13.2">
      <c r="B545" s="108"/>
      <c r="C545" s="108"/>
      <c r="D545" s="108"/>
      <c r="E545" s="108"/>
      <c r="F545" s="108"/>
      <c r="G545" s="108"/>
      <c r="H545" s="109"/>
    </row>
    <row r="546" spans="2:8" ht="13.2">
      <c r="B546" s="108"/>
      <c r="C546" s="108"/>
      <c r="D546" s="108"/>
      <c r="E546" s="108"/>
      <c r="F546" s="108"/>
      <c r="G546" s="108"/>
      <c r="H546" s="109"/>
    </row>
    <row r="547" spans="2:8" ht="13.2">
      <c r="B547" s="108"/>
      <c r="C547" s="108"/>
      <c r="D547" s="108"/>
      <c r="E547" s="108"/>
      <c r="F547" s="108"/>
      <c r="G547" s="108"/>
      <c r="H547" s="109"/>
    </row>
    <row r="548" spans="2:8" ht="13.2">
      <c r="B548" s="108"/>
      <c r="C548" s="108"/>
      <c r="D548" s="108"/>
      <c r="E548" s="108"/>
      <c r="F548" s="108"/>
      <c r="G548" s="108"/>
      <c r="H548" s="109"/>
    </row>
    <row r="549" spans="2:8" ht="13.2">
      <c r="B549" s="108"/>
      <c r="C549" s="108"/>
      <c r="D549" s="108"/>
      <c r="E549" s="108"/>
      <c r="F549" s="108"/>
      <c r="G549" s="108"/>
      <c r="H549" s="109"/>
    </row>
    <row r="550" spans="2:8" ht="13.2">
      <c r="B550" s="108"/>
      <c r="C550" s="108"/>
      <c r="D550" s="108"/>
      <c r="E550" s="108"/>
      <c r="F550" s="108"/>
      <c r="G550" s="108"/>
      <c r="H550" s="109"/>
    </row>
    <row r="551" spans="2:8" ht="13.2">
      <c r="B551" s="108"/>
      <c r="C551" s="108"/>
      <c r="D551" s="108"/>
      <c r="E551" s="108"/>
      <c r="F551" s="108"/>
      <c r="G551" s="108"/>
      <c r="H551" s="109"/>
    </row>
    <row r="552" spans="2:8" ht="13.2">
      <c r="B552" s="108"/>
      <c r="C552" s="108"/>
      <c r="D552" s="108"/>
      <c r="E552" s="108"/>
      <c r="F552" s="108"/>
      <c r="G552" s="108"/>
      <c r="H552" s="109"/>
    </row>
    <row r="553" spans="2:8" ht="13.2">
      <c r="B553" s="108"/>
      <c r="C553" s="108"/>
      <c r="D553" s="108"/>
      <c r="E553" s="108"/>
      <c r="F553" s="108"/>
      <c r="G553" s="108"/>
      <c r="H553" s="109"/>
    </row>
    <row r="554" spans="2:8" ht="13.2">
      <c r="B554" s="108"/>
      <c r="C554" s="108"/>
      <c r="D554" s="108"/>
      <c r="E554" s="108"/>
      <c r="F554" s="108"/>
      <c r="G554" s="108"/>
      <c r="H554" s="109"/>
    </row>
    <row r="555" spans="2:8" ht="13.2">
      <c r="B555" s="108"/>
      <c r="C555" s="108"/>
      <c r="D555" s="108"/>
      <c r="E555" s="108"/>
      <c r="F555" s="108"/>
      <c r="G555" s="108"/>
      <c r="H555" s="109"/>
    </row>
    <row r="556" spans="2:8" ht="13.2">
      <c r="B556" s="108"/>
      <c r="C556" s="108"/>
      <c r="D556" s="108"/>
      <c r="E556" s="108"/>
      <c r="F556" s="108"/>
      <c r="G556" s="108"/>
      <c r="H556" s="109"/>
    </row>
    <row r="557" spans="2:8" ht="13.2">
      <c r="B557" s="108"/>
      <c r="C557" s="108"/>
      <c r="D557" s="108"/>
      <c r="E557" s="108"/>
      <c r="F557" s="108"/>
      <c r="G557" s="108"/>
      <c r="H557" s="109"/>
    </row>
    <row r="558" spans="2:8" ht="13.2">
      <c r="B558" s="108"/>
      <c r="C558" s="108"/>
      <c r="D558" s="108"/>
      <c r="E558" s="108"/>
      <c r="F558" s="108"/>
      <c r="G558" s="108"/>
      <c r="H558" s="109"/>
    </row>
    <row r="559" spans="2:8" ht="13.2">
      <c r="B559" s="108"/>
      <c r="C559" s="108"/>
      <c r="D559" s="108"/>
      <c r="E559" s="108"/>
      <c r="F559" s="108"/>
      <c r="G559" s="108"/>
      <c r="H559" s="109"/>
    </row>
    <row r="560" spans="2:8" ht="13.2">
      <c r="B560" s="108"/>
      <c r="C560" s="108"/>
      <c r="D560" s="108"/>
      <c r="E560" s="108"/>
      <c r="F560" s="108"/>
      <c r="G560" s="108"/>
      <c r="H560" s="109"/>
    </row>
    <row r="561" spans="2:8" ht="13.2">
      <c r="B561" s="108"/>
      <c r="C561" s="108"/>
      <c r="D561" s="108"/>
      <c r="E561" s="108"/>
      <c r="F561" s="108"/>
      <c r="G561" s="108"/>
      <c r="H561" s="109"/>
    </row>
    <row r="562" spans="2:8" ht="13.2">
      <c r="B562" s="108"/>
      <c r="C562" s="108"/>
      <c r="D562" s="108"/>
      <c r="E562" s="108"/>
      <c r="F562" s="108"/>
      <c r="G562" s="108"/>
      <c r="H562" s="109"/>
    </row>
    <row r="563" spans="2:8" ht="13.2">
      <c r="B563" s="108"/>
      <c r="C563" s="108"/>
      <c r="D563" s="108"/>
      <c r="E563" s="108"/>
      <c r="F563" s="108"/>
      <c r="G563" s="108"/>
      <c r="H563" s="109"/>
    </row>
    <row r="564" spans="2:8" ht="13.2">
      <c r="B564" s="108"/>
      <c r="C564" s="108"/>
      <c r="D564" s="108"/>
      <c r="E564" s="108"/>
      <c r="F564" s="108"/>
      <c r="G564" s="108"/>
      <c r="H564" s="109"/>
    </row>
    <row r="565" spans="2:8" ht="13.2">
      <c r="B565" s="108"/>
      <c r="C565" s="108"/>
      <c r="D565" s="108"/>
      <c r="E565" s="108"/>
      <c r="F565" s="108"/>
      <c r="G565" s="108"/>
      <c r="H565" s="109"/>
    </row>
    <row r="566" spans="2:8" ht="13.2">
      <c r="B566" s="108"/>
      <c r="C566" s="108"/>
      <c r="D566" s="108"/>
      <c r="E566" s="108"/>
      <c r="F566" s="108"/>
      <c r="G566" s="108"/>
      <c r="H566" s="109"/>
    </row>
    <row r="567" spans="2:8" ht="13.2">
      <c r="B567" s="108"/>
      <c r="C567" s="108"/>
      <c r="D567" s="108"/>
      <c r="E567" s="108"/>
      <c r="F567" s="108"/>
      <c r="G567" s="108"/>
      <c r="H567" s="109"/>
    </row>
    <row r="568" spans="2:8" ht="13.2">
      <c r="B568" s="108"/>
      <c r="C568" s="108"/>
      <c r="D568" s="108"/>
      <c r="E568" s="108"/>
      <c r="F568" s="108"/>
      <c r="G568" s="108"/>
      <c r="H568" s="109"/>
    </row>
    <row r="569" spans="2:8" ht="13.2">
      <c r="B569" s="108"/>
      <c r="C569" s="108"/>
      <c r="D569" s="108"/>
      <c r="E569" s="108"/>
      <c r="F569" s="108"/>
      <c r="G569" s="108"/>
      <c r="H569" s="109"/>
    </row>
    <row r="570" spans="2:8" ht="13.2">
      <c r="B570" s="108"/>
      <c r="C570" s="108"/>
      <c r="D570" s="108"/>
      <c r="E570" s="108"/>
      <c r="F570" s="108"/>
      <c r="G570" s="108"/>
      <c r="H570" s="109"/>
    </row>
    <row r="571" spans="2:8" ht="13.2">
      <c r="B571" s="108"/>
      <c r="C571" s="108"/>
      <c r="D571" s="108"/>
      <c r="E571" s="108"/>
      <c r="F571" s="108"/>
      <c r="G571" s="108"/>
      <c r="H571" s="109"/>
    </row>
    <row r="572" spans="2:8" ht="13.2">
      <c r="B572" s="108"/>
      <c r="C572" s="108"/>
      <c r="D572" s="108"/>
      <c r="E572" s="108"/>
      <c r="F572" s="108"/>
      <c r="G572" s="108"/>
      <c r="H572" s="109"/>
    </row>
    <row r="573" spans="2:8" ht="13.2">
      <c r="B573" s="108"/>
      <c r="C573" s="108"/>
      <c r="D573" s="108"/>
      <c r="E573" s="108"/>
      <c r="F573" s="108"/>
      <c r="G573" s="108"/>
      <c r="H573" s="109"/>
    </row>
    <row r="574" spans="2:8" ht="13.2">
      <c r="B574" s="108"/>
      <c r="C574" s="108"/>
      <c r="D574" s="108"/>
      <c r="E574" s="108"/>
      <c r="F574" s="108"/>
      <c r="G574" s="108"/>
      <c r="H574" s="109"/>
    </row>
    <row r="575" spans="2:8" ht="13.2">
      <c r="B575" s="108"/>
      <c r="C575" s="108"/>
      <c r="D575" s="108"/>
      <c r="E575" s="108"/>
      <c r="F575" s="108"/>
      <c r="G575" s="108"/>
      <c r="H575" s="109"/>
    </row>
    <row r="576" spans="2:8" ht="13.2">
      <c r="B576" s="108"/>
      <c r="C576" s="108"/>
      <c r="D576" s="108"/>
      <c r="E576" s="108"/>
      <c r="F576" s="108"/>
      <c r="G576" s="108"/>
      <c r="H576" s="109"/>
    </row>
    <row r="577" spans="2:8" ht="13.2">
      <c r="B577" s="108"/>
      <c r="C577" s="108"/>
      <c r="D577" s="108"/>
      <c r="E577" s="108"/>
      <c r="F577" s="108"/>
      <c r="G577" s="108"/>
      <c r="H577" s="109"/>
    </row>
    <row r="578" spans="2:8" ht="13.2">
      <c r="B578" s="108"/>
      <c r="C578" s="108"/>
      <c r="D578" s="108"/>
      <c r="E578" s="108"/>
      <c r="F578" s="108"/>
      <c r="G578" s="108"/>
      <c r="H578" s="109"/>
    </row>
    <row r="579" spans="2:8" ht="13.2">
      <c r="B579" s="108"/>
      <c r="C579" s="108"/>
      <c r="D579" s="108"/>
      <c r="E579" s="108"/>
      <c r="F579" s="108"/>
      <c r="G579" s="108"/>
      <c r="H579" s="109"/>
    </row>
    <row r="580" spans="2:8" ht="13.2">
      <c r="B580" s="108"/>
      <c r="C580" s="108"/>
      <c r="D580" s="108"/>
      <c r="E580" s="108"/>
      <c r="F580" s="108"/>
      <c r="G580" s="108"/>
      <c r="H580" s="109"/>
    </row>
    <row r="581" spans="2:8" ht="13.2">
      <c r="B581" s="108"/>
      <c r="C581" s="108"/>
      <c r="D581" s="108"/>
      <c r="E581" s="108"/>
      <c r="F581" s="108"/>
      <c r="G581" s="108"/>
      <c r="H581" s="109"/>
    </row>
    <row r="582" spans="2:8" ht="13.2">
      <c r="B582" s="108"/>
      <c r="C582" s="108"/>
      <c r="D582" s="108"/>
      <c r="E582" s="108"/>
      <c r="F582" s="108"/>
      <c r="G582" s="108"/>
      <c r="H582" s="109"/>
    </row>
    <row r="583" spans="2:8" ht="13.2">
      <c r="B583" s="108"/>
      <c r="C583" s="108"/>
      <c r="D583" s="108"/>
      <c r="E583" s="108"/>
      <c r="F583" s="108"/>
      <c r="G583" s="108"/>
      <c r="H583" s="109"/>
    </row>
    <row r="584" spans="2:8" ht="13.2">
      <c r="B584" s="108"/>
      <c r="C584" s="108"/>
      <c r="D584" s="108"/>
      <c r="E584" s="108"/>
      <c r="F584" s="108"/>
      <c r="G584" s="108"/>
      <c r="H584" s="109"/>
    </row>
    <row r="585" spans="2:8" ht="13.2">
      <c r="B585" s="108"/>
      <c r="C585" s="108"/>
      <c r="D585" s="108"/>
      <c r="E585" s="108"/>
      <c r="F585" s="108"/>
      <c r="G585" s="108"/>
      <c r="H585" s="109"/>
    </row>
    <row r="586" spans="2:8" ht="13.2">
      <c r="B586" s="108"/>
      <c r="C586" s="108"/>
      <c r="D586" s="108"/>
      <c r="E586" s="108"/>
      <c r="F586" s="108"/>
      <c r="G586" s="108"/>
      <c r="H586" s="109"/>
    </row>
    <row r="587" spans="2:8" ht="13.2">
      <c r="B587" s="108"/>
      <c r="C587" s="108"/>
      <c r="D587" s="108"/>
      <c r="E587" s="108"/>
      <c r="F587" s="108"/>
      <c r="G587" s="108"/>
      <c r="H587" s="109"/>
    </row>
    <row r="588" spans="2:8" ht="13.2">
      <c r="B588" s="108"/>
      <c r="C588" s="108"/>
      <c r="D588" s="108"/>
      <c r="E588" s="108"/>
      <c r="F588" s="108"/>
      <c r="G588" s="108"/>
      <c r="H588" s="109"/>
    </row>
    <row r="589" spans="2:8" ht="13.2">
      <c r="B589" s="108"/>
      <c r="C589" s="108"/>
      <c r="D589" s="108"/>
      <c r="E589" s="108"/>
      <c r="F589" s="108"/>
      <c r="G589" s="108"/>
      <c r="H589" s="109"/>
    </row>
    <row r="590" spans="2:8" ht="13.2">
      <c r="B590" s="108"/>
      <c r="C590" s="108"/>
      <c r="D590" s="108"/>
      <c r="E590" s="108"/>
      <c r="F590" s="108"/>
      <c r="G590" s="108"/>
      <c r="H590" s="109"/>
    </row>
    <row r="591" spans="2:8" ht="13.2">
      <c r="B591" s="108"/>
      <c r="C591" s="108"/>
      <c r="D591" s="108"/>
      <c r="E591" s="108"/>
      <c r="F591" s="108"/>
      <c r="G591" s="108"/>
      <c r="H591" s="109"/>
    </row>
    <row r="592" spans="2:8" ht="13.2">
      <c r="B592" s="108"/>
      <c r="C592" s="108"/>
      <c r="D592" s="108"/>
      <c r="E592" s="108"/>
      <c r="F592" s="108"/>
      <c r="G592" s="108"/>
      <c r="H592" s="109"/>
    </row>
    <row r="593" spans="2:8" ht="13.2">
      <c r="B593" s="108"/>
      <c r="C593" s="108"/>
      <c r="D593" s="108"/>
      <c r="E593" s="108"/>
      <c r="F593" s="108"/>
      <c r="G593" s="108"/>
      <c r="H593" s="109"/>
    </row>
    <row r="594" spans="2:8" ht="13.2">
      <c r="B594" s="108"/>
      <c r="C594" s="108"/>
      <c r="D594" s="108"/>
      <c r="E594" s="108"/>
      <c r="F594" s="108"/>
      <c r="G594" s="108"/>
      <c r="H594" s="109"/>
    </row>
    <row r="595" spans="2:8" ht="13.2">
      <c r="B595" s="108"/>
      <c r="C595" s="108"/>
      <c r="D595" s="108"/>
      <c r="E595" s="108"/>
      <c r="F595" s="108"/>
      <c r="G595" s="108"/>
      <c r="H595" s="109"/>
    </row>
    <row r="596" spans="2:8" ht="13.2">
      <c r="B596" s="108"/>
      <c r="C596" s="108"/>
      <c r="D596" s="108"/>
      <c r="E596" s="108"/>
      <c r="F596" s="108"/>
      <c r="G596" s="108"/>
      <c r="H596" s="109"/>
    </row>
    <row r="597" spans="2:8" ht="13.2">
      <c r="B597" s="108"/>
      <c r="C597" s="108"/>
      <c r="D597" s="108"/>
      <c r="E597" s="108"/>
      <c r="F597" s="108"/>
      <c r="G597" s="108"/>
      <c r="H597" s="109"/>
    </row>
    <row r="598" spans="2:8" ht="13.2">
      <c r="B598" s="108"/>
      <c r="C598" s="108"/>
      <c r="D598" s="108"/>
      <c r="E598" s="108"/>
      <c r="F598" s="108"/>
      <c r="G598" s="108"/>
      <c r="H598" s="109"/>
    </row>
    <row r="599" spans="2:8" ht="13.2">
      <c r="B599" s="108"/>
      <c r="C599" s="108"/>
      <c r="D599" s="108"/>
      <c r="E599" s="108"/>
      <c r="F599" s="108"/>
      <c r="G599" s="108"/>
      <c r="H599" s="109"/>
    </row>
    <row r="600" spans="2:8" ht="13.2">
      <c r="B600" s="108"/>
      <c r="C600" s="108"/>
      <c r="D600" s="108"/>
      <c r="E600" s="108"/>
      <c r="F600" s="108"/>
      <c r="G600" s="108"/>
      <c r="H600" s="109"/>
    </row>
    <row r="601" spans="2:8" ht="13.2">
      <c r="B601" s="108"/>
      <c r="C601" s="108"/>
      <c r="D601" s="108"/>
      <c r="E601" s="108"/>
      <c r="F601" s="108"/>
      <c r="G601" s="108"/>
      <c r="H601" s="109"/>
    </row>
    <row r="602" spans="2:8" ht="13.2">
      <c r="B602" s="108"/>
      <c r="C602" s="108"/>
      <c r="D602" s="108"/>
      <c r="E602" s="108"/>
      <c r="F602" s="108"/>
      <c r="G602" s="108"/>
      <c r="H602" s="109"/>
    </row>
    <row r="603" spans="2:8" ht="13.2">
      <c r="B603" s="108"/>
      <c r="C603" s="108"/>
      <c r="D603" s="108"/>
      <c r="E603" s="108"/>
      <c r="F603" s="108"/>
      <c r="G603" s="108"/>
      <c r="H603" s="109"/>
    </row>
    <row r="604" spans="2:8" ht="13.2">
      <c r="B604" s="108"/>
      <c r="C604" s="108"/>
      <c r="D604" s="108"/>
      <c r="E604" s="108"/>
      <c r="F604" s="108"/>
      <c r="G604" s="108"/>
      <c r="H604" s="109"/>
    </row>
    <row r="605" spans="2:8" ht="13.2">
      <c r="B605" s="108"/>
      <c r="C605" s="108"/>
      <c r="D605" s="108"/>
      <c r="E605" s="108"/>
      <c r="F605" s="108"/>
      <c r="G605" s="108"/>
      <c r="H605" s="109"/>
    </row>
    <row r="606" spans="2:8" ht="13.2">
      <c r="B606" s="108"/>
      <c r="C606" s="108"/>
      <c r="D606" s="108"/>
      <c r="E606" s="108"/>
      <c r="F606" s="108"/>
      <c r="G606" s="108"/>
      <c r="H606" s="109"/>
    </row>
    <row r="607" spans="2:8" ht="13.2">
      <c r="B607" s="108"/>
      <c r="C607" s="108"/>
      <c r="D607" s="108"/>
      <c r="E607" s="108"/>
      <c r="F607" s="108"/>
      <c r="G607" s="108"/>
      <c r="H607" s="109"/>
    </row>
    <row r="608" spans="2:8" ht="13.2">
      <c r="B608" s="108"/>
      <c r="C608" s="108"/>
      <c r="D608" s="108"/>
      <c r="E608" s="108"/>
      <c r="F608" s="108"/>
      <c r="G608" s="108"/>
      <c r="H608" s="109"/>
    </row>
    <row r="609" spans="2:8" ht="13.2">
      <c r="B609" s="108"/>
      <c r="C609" s="108"/>
      <c r="D609" s="108"/>
      <c r="E609" s="108"/>
      <c r="F609" s="108"/>
      <c r="G609" s="108"/>
      <c r="H609" s="109"/>
    </row>
    <row r="610" spans="2:8" ht="13.2">
      <c r="B610" s="108"/>
      <c r="C610" s="108"/>
      <c r="D610" s="108"/>
      <c r="E610" s="108"/>
      <c r="F610" s="108"/>
      <c r="G610" s="108"/>
      <c r="H610" s="109"/>
    </row>
    <row r="611" spans="2:8" ht="13.2">
      <c r="B611" s="108"/>
      <c r="C611" s="108"/>
      <c r="D611" s="108"/>
      <c r="E611" s="108"/>
      <c r="F611" s="108"/>
      <c r="G611" s="108"/>
      <c r="H611" s="109"/>
    </row>
    <row r="612" spans="2:8" ht="13.2">
      <c r="B612" s="108"/>
      <c r="C612" s="108"/>
      <c r="D612" s="108"/>
      <c r="E612" s="108"/>
      <c r="F612" s="108"/>
      <c r="G612" s="108"/>
      <c r="H612" s="109"/>
    </row>
    <row r="613" spans="2:8" ht="13.2">
      <c r="B613" s="108"/>
      <c r="C613" s="108"/>
      <c r="D613" s="108"/>
      <c r="E613" s="108"/>
      <c r="F613" s="108"/>
      <c r="G613" s="108"/>
      <c r="H613" s="109"/>
    </row>
    <row r="614" spans="2:8" ht="13.2">
      <c r="B614" s="108"/>
      <c r="C614" s="108"/>
      <c r="D614" s="108"/>
      <c r="E614" s="108"/>
      <c r="F614" s="108"/>
      <c r="G614" s="108"/>
      <c r="H614" s="109"/>
    </row>
    <row r="615" spans="2:8" ht="13.2">
      <c r="B615" s="108"/>
      <c r="C615" s="108"/>
      <c r="D615" s="108"/>
      <c r="E615" s="108"/>
      <c r="F615" s="108"/>
      <c r="G615" s="108"/>
      <c r="H615" s="109"/>
    </row>
    <row r="616" spans="2:8" ht="13.2">
      <c r="B616" s="108"/>
      <c r="C616" s="108"/>
      <c r="D616" s="108"/>
      <c r="E616" s="108"/>
      <c r="F616" s="108"/>
      <c r="G616" s="108"/>
      <c r="H616" s="109"/>
    </row>
    <row r="617" spans="2:8" ht="13.2">
      <c r="B617" s="108"/>
      <c r="C617" s="108"/>
      <c r="D617" s="108"/>
      <c r="E617" s="108"/>
      <c r="F617" s="108"/>
      <c r="G617" s="108"/>
      <c r="H617" s="109"/>
    </row>
    <row r="618" spans="2:8" ht="13.2">
      <c r="B618" s="108"/>
      <c r="C618" s="108"/>
      <c r="D618" s="108"/>
      <c r="E618" s="108"/>
      <c r="F618" s="108"/>
      <c r="G618" s="108"/>
      <c r="H618" s="109"/>
    </row>
    <row r="619" spans="2:8" ht="13.2">
      <c r="B619" s="108"/>
      <c r="C619" s="108"/>
      <c r="D619" s="108"/>
      <c r="E619" s="108"/>
      <c r="F619" s="108"/>
      <c r="G619" s="108"/>
      <c r="H619" s="109"/>
    </row>
    <row r="620" spans="2:8" ht="13.2">
      <c r="B620" s="108"/>
      <c r="C620" s="108"/>
      <c r="D620" s="108"/>
      <c r="E620" s="108"/>
      <c r="F620" s="108"/>
      <c r="G620" s="108"/>
      <c r="H620" s="109"/>
    </row>
    <row r="621" spans="2:8" ht="13.2">
      <c r="B621" s="108"/>
      <c r="C621" s="108"/>
      <c r="D621" s="108"/>
      <c r="E621" s="108"/>
      <c r="F621" s="108"/>
      <c r="G621" s="108"/>
      <c r="H621" s="109"/>
    </row>
    <row r="622" spans="2:8" ht="13.2">
      <c r="B622" s="108"/>
      <c r="C622" s="108"/>
      <c r="D622" s="108"/>
      <c r="E622" s="108"/>
      <c r="F622" s="108"/>
      <c r="G622" s="108"/>
      <c r="H622" s="109"/>
    </row>
    <row r="623" spans="2:8" ht="13.2">
      <c r="B623" s="108"/>
      <c r="C623" s="108"/>
      <c r="D623" s="108"/>
      <c r="E623" s="108"/>
      <c r="F623" s="108"/>
      <c r="G623" s="108"/>
      <c r="H623" s="109"/>
    </row>
    <row r="624" spans="2:8" ht="13.2">
      <c r="B624" s="108"/>
      <c r="C624" s="108"/>
      <c r="D624" s="108"/>
      <c r="E624" s="108"/>
      <c r="F624" s="108"/>
      <c r="G624" s="108"/>
      <c r="H624" s="109"/>
    </row>
    <row r="625" spans="2:8" ht="13.2">
      <c r="B625" s="108"/>
      <c r="C625" s="108"/>
      <c r="D625" s="108"/>
      <c r="E625" s="108"/>
      <c r="F625" s="108"/>
      <c r="G625" s="108"/>
      <c r="H625" s="109"/>
    </row>
    <row r="626" spans="2:8" ht="13.2">
      <c r="B626" s="108"/>
      <c r="C626" s="108"/>
      <c r="D626" s="108"/>
      <c r="E626" s="108"/>
      <c r="F626" s="108"/>
      <c r="G626" s="108"/>
      <c r="H626" s="109"/>
    </row>
    <row r="627" spans="2:8" ht="13.2">
      <c r="B627" s="108"/>
      <c r="C627" s="108"/>
      <c r="D627" s="108"/>
      <c r="E627" s="108"/>
      <c r="F627" s="108"/>
      <c r="G627" s="108"/>
      <c r="H627" s="109"/>
    </row>
    <row r="628" spans="2:8" ht="13.2">
      <c r="B628" s="108"/>
      <c r="C628" s="108"/>
      <c r="D628" s="108"/>
      <c r="E628" s="108"/>
      <c r="F628" s="108"/>
      <c r="G628" s="108"/>
      <c r="H628" s="109"/>
    </row>
    <row r="629" spans="2:8" ht="13.2">
      <c r="B629" s="108"/>
      <c r="C629" s="108"/>
      <c r="D629" s="108"/>
      <c r="E629" s="108"/>
      <c r="F629" s="108"/>
      <c r="G629" s="108"/>
      <c r="H629" s="109"/>
    </row>
    <row r="630" spans="2:8" ht="13.2">
      <c r="B630" s="108"/>
      <c r="C630" s="108"/>
      <c r="D630" s="108"/>
      <c r="E630" s="108"/>
      <c r="F630" s="108"/>
      <c r="G630" s="108"/>
      <c r="H630" s="109"/>
    </row>
    <row r="631" spans="2:8" ht="13.2">
      <c r="B631" s="108"/>
      <c r="C631" s="108"/>
      <c r="D631" s="108"/>
      <c r="E631" s="108"/>
      <c r="F631" s="108"/>
      <c r="G631" s="108"/>
      <c r="H631" s="109"/>
    </row>
    <row r="632" spans="2:8" ht="13.2">
      <c r="B632" s="108"/>
      <c r="C632" s="108"/>
      <c r="D632" s="108"/>
      <c r="E632" s="108"/>
      <c r="F632" s="108"/>
      <c r="G632" s="108"/>
      <c r="H632" s="109"/>
    </row>
    <row r="633" spans="2:8" ht="13.2">
      <c r="B633" s="108"/>
      <c r="C633" s="108"/>
      <c r="D633" s="108"/>
      <c r="E633" s="108"/>
      <c r="F633" s="108"/>
      <c r="G633" s="108"/>
      <c r="H633" s="109"/>
    </row>
    <row r="634" spans="2:8" ht="13.2">
      <c r="B634" s="108"/>
      <c r="C634" s="108"/>
      <c r="D634" s="108"/>
      <c r="E634" s="108"/>
      <c r="F634" s="108"/>
      <c r="G634" s="108"/>
      <c r="H634" s="109"/>
    </row>
    <row r="635" spans="2:8" ht="13.2">
      <c r="B635" s="108"/>
      <c r="C635" s="108"/>
      <c r="D635" s="108"/>
      <c r="E635" s="108"/>
      <c r="F635" s="108"/>
      <c r="G635" s="108"/>
      <c r="H635" s="109"/>
    </row>
    <row r="636" spans="2:8" ht="13.2">
      <c r="B636" s="108"/>
      <c r="C636" s="108"/>
      <c r="D636" s="108"/>
      <c r="E636" s="108"/>
      <c r="F636" s="108"/>
      <c r="G636" s="108"/>
      <c r="H636" s="109"/>
    </row>
    <row r="637" spans="2:8" ht="13.2">
      <c r="B637" s="108"/>
      <c r="C637" s="108"/>
      <c r="D637" s="108"/>
      <c r="E637" s="108"/>
      <c r="F637" s="108"/>
      <c r="G637" s="108"/>
      <c r="H637" s="109"/>
    </row>
    <row r="638" spans="2:8" ht="13.2">
      <c r="B638" s="108"/>
      <c r="C638" s="108"/>
      <c r="D638" s="108"/>
      <c r="E638" s="108"/>
      <c r="F638" s="108"/>
      <c r="G638" s="108"/>
      <c r="H638" s="109"/>
    </row>
    <row r="639" spans="2:8" ht="13.2">
      <c r="B639" s="108"/>
      <c r="C639" s="108"/>
      <c r="D639" s="108"/>
      <c r="E639" s="108"/>
      <c r="F639" s="108"/>
      <c r="G639" s="108"/>
      <c r="H639" s="109"/>
    </row>
    <row r="640" spans="2:8" ht="13.2">
      <c r="B640" s="108"/>
      <c r="C640" s="108"/>
      <c r="D640" s="108"/>
      <c r="E640" s="108"/>
      <c r="F640" s="108"/>
      <c r="G640" s="108"/>
      <c r="H640" s="109"/>
    </row>
    <row r="641" spans="2:8" ht="13.2">
      <c r="B641" s="108"/>
      <c r="C641" s="108"/>
      <c r="D641" s="108"/>
      <c r="E641" s="108"/>
      <c r="F641" s="108"/>
      <c r="G641" s="108"/>
      <c r="H641" s="109"/>
    </row>
    <row r="642" spans="2:8" ht="13.2">
      <c r="B642" s="108"/>
      <c r="C642" s="108"/>
      <c r="D642" s="108"/>
      <c r="E642" s="108"/>
      <c r="F642" s="108"/>
      <c r="G642" s="108"/>
      <c r="H642" s="109"/>
    </row>
    <row r="643" spans="2:8" ht="13.2">
      <c r="B643" s="108"/>
      <c r="C643" s="108"/>
      <c r="D643" s="108"/>
      <c r="E643" s="108"/>
      <c r="F643" s="108"/>
      <c r="G643" s="108"/>
      <c r="H643" s="109"/>
    </row>
    <row r="644" spans="2:8" ht="13.2">
      <c r="B644" s="108"/>
      <c r="C644" s="108"/>
      <c r="D644" s="108"/>
      <c r="E644" s="108"/>
      <c r="F644" s="108"/>
      <c r="G644" s="108"/>
      <c r="H644" s="109"/>
    </row>
    <row r="645" spans="2:8" ht="13.2">
      <c r="B645" s="108"/>
      <c r="C645" s="108"/>
      <c r="D645" s="108"/>
      <c r="E645" s="108"/>
      <c r="F645" s="108"/>
      <c r="G645" s="108"/>
      <c r="H645" s="109"/>
    </row>
    <row r="646" spans="2:8" ht="13.2">
      <c r="B646" s="108"/>
      <c r="C646" s="108"/>
      <c r="D646" s="108"/>
      <c r="E646" s="108"/>
      <c r="F646" s="108"/>
      <c r="G646" s="108"/>
      <c r="H646" s="109"/>
    </row>
    <row r="647" spans="2:8" ht="13.2">
      <c r="B647" s="108"/>
      <c r="C647" s="108"/>
      <c r="D647" s="108"/>
      <c r="E647" s="108"/>
      <c r="F647" s="108"/>
      <c r="G647" s="108"/>
      <c r="H647" s="109"/>
    </row>
    <row r="648" spans="2:8" ht="13.2">
      <c r="B648" s="108"/>
      <c r="C648" s="108"/>
      <c r="D648" s="108"/>
      <c r="E648" s="108"/>
      <c r="F648" s="108"/>
      <c r="G648" s="108"/>
      <c r="H648" s="109"/>
    </row>
    <row r="649" spans="2:8" ht="13.2">
      <c r="B649" s="108"/>
      <c r="C649" s="108"/>
      <c r="D649" s="108"/>
      <c r="E649" s="108"/>
      <c r="F649" s="108"/>
      <c r="G649" s="108"/>
      <c r="H649" s="109"/>
    </row>
    <row r="650" spans="2:8" ht="13.2">
      <c r="B650" s="108"/>
      <c r="C650" s="108"/>
      <c r="D650" s="108"/>
      <c r="E650" s="108"/>
      <c r="F650" s="108"/>
      <c r="G650" s="108"/>
      <c r="H650" s="109"/>
    </row>
    <row r="651" spans="2:8" ht="13.2">
      <c r="B651" s="108"/>
      <c r="C651" s="108"/>
      <c r="D651" s="108"/>
      <c r="E651" s="108"/>
      <c r="F651" s="108"/>
      <c r="G651" s="108"/>
      <c r="H651" s="109"/>
    </row>
    <row r="652" spans="2:8" ht="13.2">
      <c r="B652" s="108"/>
      <c r="C652" s="108"/>
      <c r="D652" s="108"/>
      <c r="E652" s="108"/>
      <c r="F652" s="108"/>
      <c r="G652" s="108"/>
      <c r="H652" s="109"/>
    </row>
    <row r="653" spans="2:8" ht="13.2">
      <c r="B653" s="108"/>
      <c r="C653" s="108"/>
      <c r="D653" s="108"/>
      <c r="E653" s="108"/>
      <c r="F653" s="108"/>
      <c r="G653" s="108"/>
      <c r="H653" s="109"/>
    </row>
    <row r="654" spans="2:8" ht="13.2">
      <c r="B654" s="108"/>
      <c r="C654" s="108"/>
      <c r="D654" s="108"/>
      <c r="E654" s="108"/>
      <c r="F654" s="108"/>
      <c r="G654" s="108"/>
      <c r="H654" s="109"/>
    </row>
    <row r="655" spans="2:8" ht="13.2">
      <c r="B655" s="108"/>
      <c r="C655" s="108"/>
      <c r="D655" s="108"/>
      <c r="E655" s="108"/>
      <c r="F655" s="108"/>
      <c r="G655" s="108"/>
      <c r="H655" s="109"/>
    </row>
    <row r="656" spans="2:8" ht="13.2">
      <c r="B656" s="108"/>
      <c r="C656" s="108"/>
      <c r="D656" s="108"/>
      <c r="E656" s="108"/>
      <c r="F656" s="108"/>
      <c r="G656" s="108"/>
      <c r="H656" s="109"/>
    </row>
    <row r="657" spans="2:8" ht="13.2">
      <c r="B657" s="108"/>
      <c r="C657" s="108"/>
      <c r="D657" s="108"/>
      <c r="E657" s="108"/>
      <c r="F657" s="108"/>
      <c r="G657" s="108"/>
      <c r="H657" s="109"/>
    </row>
    <row r="658" spans="2:8" ht="13.2">
      <c r="B658" s="108"/>
      <c r="C658" s="108"/>
      <c r="D658" s="108"/>
      <c r="E658" s="108"/>
      <c r="F658" s="108"/>
      <c r="G658" s="108"/>
      <c r="H658" s="109"/>
    </row>
    <row r="659" spans="2:8" ht="13.2">
      <c r="B659" s="108"/>
      <c r="C659" s="108"/>
      <c r="D659" s="108"/>
      <c r="E659" s="108"/>
      <c r="F659" s="108"/>
      <c r="G659" s="108"/>
      <c r="H659" s="109"/>
    </row>
    <row r="660" spans="2:8" ht="13.2">
      <c r="B660" s="108"/>
      <c r="C660" s="108"/>
      <c r="D660" s="108"/>
      <c r="E660" s="108"/>
      <c r="F660" s="108"/>
      <c r="G660" s="108"/>
      <c r="H660" s="109"/>
    </row>
    <row r="661" spans="2:8" ht="13.2">
      <c r="B661" s="108"/>
      <c r="C661" s="108"/>
      <c r="D661" s="108"/>
      <c r="E661" s="108"/>
      <c r="F661" s="108"/>
      <c r="G661" s="108"/>
      <c r="H661" s="109"/>
    </row>
    <row r="662" spans="2:8" ht="13.2">
      <c r="B662" s="108"/>
      <c r="C662" s="108"/>
      <c r="D662" s="108"/>
      <c r="E662" s="108"/>
      <c r="F662" s="108"/>
      <c r="G662" s="108"/>
      <c r="H662" s="109"/>
    </row>
    <row r="663" spans="2:8" ht="13.2">
      <c r="B663" s="108"/>
      <c r="C663" s="108"/>
      <c r="D663" s="108"/>
      <c r="E663" s="108"/>
      <c r="F663" s="108"/>
      <c r="G663" s="108"/>
      <c r="H663" s="109"/>
    </row>
    <row r="664" spans="2:8" ht="13.2">
      <c r="B664" s="108"/>
      <c r="C664" s="108"/>
      <c r="D664" s="108"/>
      <c r="E664" s="108"/>
      <c r="F664" s="108"/>
      <c r="G664" s="108"/>
      <c r="H664" s="109"/>
    </row>
    <row r="665" spans="2:8" ht="13.2">
      <c r="B665" s="108"/>
      <c r="C665" s="108"/>
      <c r="D665" s="108"/>
      <c r="E665" s="108"/>
      <c r="F665" s="108"/>
      <c r="G665" s="108"/>
      <c r="H665" s="109"/>
    </row>
    <row r="666" spans="2:8" ht="13.2">
      <c r="B666" s="108"/>
      <c r="C666" s="108"/>
      <c r="D666" s="108"/>
      <c r="E666" s="108"/>
      <c r="F666" s="108"/>
      <c r="G666" s="108"/>
      <c r="H666" s="109"/>
    </row>
    <row r="667" spans="2:8" ht="13.2">
      <c r="B667" s="108"/>
      <c r="C667" s="108"/>
      <c r="D667" s="108"/>
      <c r="E667" s="108"/>
      <c r="F667" s="108"/>
      <c r="G667" s="108"/>
      <c r="H667" s="109"/>
    </row>
    <row r="668" spans="2:8" ht="13.2">
      <c r="B668" s="108"/>
      <c r="C668" s="108"/>
      <c r="D668" s="108"/>
      <c r="E668" s="108"/>
      <c r="F668" s="108"/>
      <c r="G668" s="108"/>
      <c r="H668" s="109"/>
    </row>
    <row r="669" spans="2:8" ht="13.2">
      <c r="B669" s="108"/>
      <c r="C669" s="108"/>
      <c r="D669" s="108"/>
      <c r="E669" s="108"/>
      <c r="F669" s="108"/>
      <c r="G669" s="108"/>
      <c r="H669" s="109"/>
    </row>
    <row r="670" spans="2:8" ht="13.2">
      <c r="B670" s="108"/>
      <c r="C670" s="108"/>
      <c r="D670" s="108"/>
      <c r="E670" s="108"/>
      <c r="F670" s="108"/>
      <c r="G670" s="108"/>
      <c r="H670" s="109"/>
    </row>
    <row r="671" spans="2:8" ht="13.2">
      <c r="B671" s="108"/>
      <c r="C671" s="108"/>
      <c r="D671" s="108"/>
      <c r="E671" s="108"/>
      <c r="F671" s="108"/>
      <c r="G671" s="108"/>
      <c r="H671" s="109"/>
    </row>
    <row r="672" spans="2:8" ht="13.2">
      <c r="B672" s="108"/>
      <c r="C672" s="108"/>
      <c r="D672" s="108"/>
      <c r="E672" s="108"/>
      <c r="F672" s="108"/>
      <c r="G672" s="108"/>
      <c r="H672" s="109"/>
    </row>
    <row r="673" spans="2:8" ht="13.2">
      <c r="B673" s="108"/>
      <c r="C673" s="108"/>
      <c r="D673" s="108"/>
      <c r="E673" s="108"/>
      <c r="F673" s="108"/>
      <c r="G673" s="108"/>
      <c r="H673" s="109"/>
    </row>
    <row r="674" spans="2:8" ht="13.2">
      <c r="B674" s="108"/>
      <c r="C674" s="108"/>
      <c r="D674" s="108"/>
      <c r="E674" s="108"/>
      <c r="F674" s="108"/>
      <c r="G674" s="108"/>
      <c r="H674" s="109"/>
    </row>
    <row r="675" spans="2:8" ht="13.2">
      <c r="B675" s="108"/>
      <c r="C675" s="108"/>
      <c r="D675" s="108"/>
      <c r="E675" s="108"/>
      <c r="F675" s="108"/>
      <c r="G675" s="108"/>
      <c r="H675" s="109"/>
    </row>
    <row r="676" spans="2:8" ht="13.2">
      <c r="B676" s="108"/>
      <c r="C676" s="108"/>
      <c r="D676" s="108"/>
      <c r="E676" s="108"/>
      <c r="F676" s="108"/>
      <c r="G676" s="108"/>
      <c r="H676" s="109"/>
    </row>
    <row r="677" spans="2:8" ht="13.2">
      <c r="B677" s="108"/>
      <c r="C677" s="108"/>
      <c r="D677" s="108"/>
      <c r="E677" s="108"/>
      <c r="F677" s="108"/>
      <c r="G677" s="108"/>
      <c r="H677" s="109"/>
    </row>
    <row r="678" spans="2:8" ht="13.2">
      <c r="B678" s="108"/>
      <c r="C678" s="108"/>
      <c r="D678" s="108"/>
      <c r="E678" s="108"/>
      <c r="F678" s="108"/>
      <c r="G678" s="108"/>
      <c r="H678" s="109"/>
    </row>
    <row r="679" spans="2:8" ht="13.2">
      <c r="B679" s="108"/>
      <c r="C679" s="108"/>
      <c r="D679" s="108"/>
      <c r="E679" s="108"/>
      <c r="F679" s="108"/>
      <c r="G679" s="108"/>
      <c r="H679" s="109"/>
    </row>
    <row r="680" spans="2:8" ht="13.2">
      <c r="B680" s="108"/>
      <c r="C680" s="108"/>
      <c r="D680" s="108"/>
      <c r="E680" s="108"/>
      <c r="F680" s="108"/>
      <c r="G680" s="108"/>
      <c r="H680" s="109"/>
    </row>
    <row r="681" spans="2:8" ht="13.2">
      <c r="B681" s="108"/>
      <c r="C681" s="108"/>
      <c r="D681" s="108"/>
      <c r="E681" s="108"/>
      <c r="F681" s="108"/>
      <c r="G681" s="108"/>
      <c r="H681" s="109"/>
    </row>
    <row r="682" spans="2:8" ht="13.2">
      <c r="B682" s="108"/>
      <c r="C682" s="108"/>
      <c r="D682" s="108"/>
      <c r="E682" s="108"/>
      <c r="F682" s="108"/>
      <c r="G682" s="108"/>
      <c r="H682" s="109"/>
    </row>
    <row r="683" spans="2:8" ht="13.2">
      <c r="B683" s="108"/>
      <c r="C683" s="108"/>
      <c r="D683" s="108"/>
      <c r="E683" s="108"/>
      <c r="F683" s="108"/>
      <c r="G683" s="108"/>
      <c r="H683" s="109"/>
    </row>
    <row r="684" spans="2:8" ht="13.2">
      <c r="B684" s="108"/>
      <c r="C684" s="108"/>
      <c r="D684" s="108"/>
      <c r="E684" s="108"/>
      <c r="F684" s="108"/>
      <c r="G684" s="108"/>
      <c r="H684" s="109"/>
    </row>
    <row r="685" spans="2:8" ht="13.2">
      <c r="B685" s="108"/>
      <c r="C685" s="108"/>
      <c r="D685" s="108"/>
      <c r="E685" s="108"/>
      <c r="F685" s="108"/>
      <c r="G685" s="108"/>
      <c r="H685" s="109"/>
    </row>
    <row r="686" spans="2:8" ht="13.2">
      <c r="B686" s="108"/>
      <c r="C686" s="108"/>
      <c r="D686" s="108"/>
      <c r="E686" s="108"/>
      <c r="F686" s="108"/>
      <c r="G686" s="108"/>
      <c r="H686" s="109"/>
    </row>
    <row r="687" spans="2:8" ht="13.2">
      <c r="B687" s="108"/>
      <c r="C687" s="108"/>
      <c r="D687" s="108"/>
      <c r="E687" s="108"/>
      <c r="F687" s="108"/>
      <c r="G687" s="108"/>
      <c r="H687" s="109"/>
    </row>
    <row r="688" spans="2:8" ht="13.2">
      <c r="B688" s="108"/>
      <c r="C688" s="108"/>
      <c r="D688" s="108"/>
      <c r="E688" s="108"/>
      <c r="F688" s="108"/>
      <c r="G688" s="108"/>
      <c r="H688" s="109"/>
    </row>
    <row r="689" spans="2:8" ht="13.2">
      <c r="B689" s="108"/>
      <c r="C689" s="108"/>
      <c r="D689" s="108"/>
      <c r="E689" s="108"/>
      <c r="F689" s="108"/>
      <c r="G689" s="108"/>
      <c r="H689" s="109"/>
    </row>
    <row r="690" spans="2:8" ht="13.2">
      <c r="B690" s="108"/>
      <c r="C690" s="108"/>
      <c r="D690" s="108"/>
      <c r="E690" s="108"/>
      <c r="F690" s="108"/>
      <c r="G690" s="108"/>
      <c r="H690" s="109"/>
    </row>
    <row r="691" spans="2:8" ht="13.2">
      <c r="B691" s="108"/>
      <c r="C691" s="108"/>
      <c r="D691" s="108"/>
      <c r="E691" s="108"/>
      <c r="F691" s="108"/>
      <c r="G691" s="108"/>
      <c r="H691" s="109"/>
    </row>
    <row r="692" spans="2:8" ht="13.2">
      <c r="B692" s="108"/>
      <c r="C692" s="108"/>
      <c r="D692" s="108"/>
      <c r="E692" s="108"/>
      <c r="F692" s="108"/>
      <c r="G692" s="108"/>
      <c r="H692" s="109"/>
    </row>
    <row r="693" spans="2:8" ht="13.2">
      <c r="B693" s="108"/>
      <c r="C693" s="108"/>
      <c r="D693" s="108"/>
      <c r="E693" s="108"/>
      <c r="F693" s="108"/>
      <c r="G693" s="108"/>
      <c r="H693" s="109"/>
    </row>
    <row r="694" spans="2:8" ht="13.2">
      <c r="B694" s="108"/>
      <c r="C694" s="108"/>
      <c r="D694" s="108"/>
      <c r="E694" s="108"/>
      <c r="F694" s="108"/>
      <c r="G694" s="108"/>
      <c r="H694" s="109"/>
    </row>
    <row r="695" spans="2:8" ht="13.2">
      <c r="B695" s="108"/>
      <c r="C695" s="108"/>
      <c r="D695" s="108"/>
      <c r="E695" s="108"/>
      <c r="F695" s="108"/>
      <c r="G695" s="108"/>
      <c r="H695" s="109"/>
    </row>
    <row r="696" spans="2:8" ht="13.2">
      <c r="B696" s="108"/>
      <c r="C696" s="108"/>
      <c r="D696" s="108"/>
      <c r="E696" s="108"/>
      <c r="F696" s="108"/>
      <c r="G696" s="108"/>
      <c r="H696" s="109"/>
    </row>
    <row r="697" spans="2:8" ht="13.2">
      <c r="B697" s="108"/>
      <c r="C697" s="108"/>
      <c r="D697" s="108"/>
      <c r="E697" s="108"/>
      <c r="F697" s="108"/>
      <c r="G697" s="108"/>
      <c r="H697" s="109"/>
    </row>
    <row r="698" spans="2:8" ht="13.2">
      <c r="B698" s="108"/>
      <c r="C698" s="108"/>
      <c r="D698" s="108"/>
      <c r="E698" s="108"/>
      <c r="F698" s="108"/>
      <c r="G698" s="108"/>
      <c r="H698" s="109"/>
    </row>
    <row r="699" spans="2:8" ht="13.2">
      <c r="B699" s="108"/>
      <c r="C699" s="108"/>
      <c r="D699" s="108"/>
      <c r="E699" s="108"/>
      <c r="F699" s="108"/>
      <c r="G699" s="108"/>
      <c r="H699" s="109"/>
    </row>
    <row r="700" spans="2:8" ht="13.2">
      <c r="B700" s="108"/>
      <c r="C700" s="108"/>
      <c r="D700" s="108"/>
      <c r="E700" s="108"/>
      <c r="F700" s="108"/>
      <c r="G700" s="108"/>
      <c r="H700" s="109"/>
    </row>
    <row r="701" spans="2:8" ht="13.2">
      <c r="B701" s="108"/>
      <c r="C701" s="108"/>
      <c r="D701" s="108"/>
      <c r="E701" s="108"/>
      <c r="F701" s="108"/>
      <c r="G701" s="108"/>
      <c r="H701" s="109"/>
    </row>
    <row r="702" spans="2:8" ht="13.2">
      <c r="B702" s="108"/>
      <c r="C702" s="108"/>
      <c r="D702" s="108"/>
      <c r="E702" s="108"/>
      <c r="F702" s="108"/>
      <c r="G702" s="108"/>
      <c r="H702" s="109"/>
    </row>
    <row r="703" spans="2:8" ht="13.2">
      <c r="B703" s="108"/>
      <c r="C703" s="108"/>
      <c r="D703" s="108"/>
      <c r="E703" s="108"/>
      <c r="F703" s="108"/>
      <c r="G703" s="108"/>
      <c r="H703" s="109"/>
    </row>
    <row r="704" spans="2:8" ht="13.2">
      <c r="B704" s="108"/>
      <c r="C704" s="108"/>
      <c r="D704" s="108"/>
      <c r="E704" s="108"/>
      <c r="F704" s="108"/>
      <c r="G704" s="108"/>
      <c r="H704" s="109"/>
    </row>
    <row r="705" spans="2:8" ht="13.2">
      <c r="B705" s="108"/>
      <c r="C705" s="108"/>
      <c r="D705" s="108"/>
      <c r="E705" s="108"/>
      <c r="F705" s="108"/>
      <c r="G705" s="108"/>
      <c r="H705" s="109"/>
    </row>
    <row r="706" spans="2:8" ht="13.2">
      <c r="B706" s="108"/>
      <c r="C706" s="108"/>
      <c r="D706" s="108"/>
      <c r="E706" s="108"/>
      <c r="F706" s="108"/>
      <c r="G706" s="108"/>
      <c r="H706" s="109"/>
    </row>
    <row r="707" spans="2:8" ht="13.2">
      <c r="B707" s="108"/>
      <c r="C707" s="108"/>
      <c r="D707" s="108"/>
      <c r="E707" s="108"/>
      <c r="F707" s="108"/>
      <c r="G707" s="108"/>
      <c r="H707" s="109"/>
    </row>
    <row r="708" spans="2:8" ht="13.2">
      <c r="B708" s="108"/>
      <c r="C708" s="108"/>
      <c r="D708" s="108"/>
      <c r="E708" s="108"/>
      <c r="F708" s="108"/>
      <c r="G708" s="108"/>
      <c r="H708" s="109"/>
    </row>
    <row r="709" spans="2:8" ht="13.2">
      <c r="B709" s="108"/>
      <c r="C709" s="108"/>
      <c r="D709" s="108"/>
      <c r="E709" s="108"/>
      <c r="F709" s="108"/>
      <c r="G709" s="108"/>
      <c r="H709" s="109"/>
    </row>
    <row r="710" spans="2:8" ht="13.2">
      <c r="B710" s="108"/>
      <c r="C710" s="108"/>
      <c r="D710" s="108"/>
      <c r="E710" s="108"/>
      <c r="F710" s="108"/>
      <c r="G710" s="108"/>
      <c r="H710" s="109"/>
    </row>
    <row r="711" spans="2:8" ht="13.2">
      <c r="B711" s="108"/>
      <c r="C711" s="108"/>
      <c r="D711" s="108"/>
      <c r="E711" s="108"/>
      <c r="F711" s="108"/>
      <c r="G711" s="108"/>
      <c r="H711" s="109"/>
    </row>
    <row r="712" spans="2:8" ht="13.2">
      <c r="B712" s="108"/>
      <c r="C712" s="108"/>
      <c r="D712" s="108"/>
      <c r="E712" s="108"/>
      <c r="F712" s="108"/>
      <c r="G712" s="108"/>
      <c r="H712" s="109"/>
    </row>
    <row r="713" spans="2:8" ht="13.2">
      <c r="B713" s="108"/>
      <c r="C713" s="108"/>
      <c r="D713" s="108"/>
      <c r="E713" s="108"/>
      <c r="F713" s="108"/>
      <c r="G713" s="108"/>
      <c r="H713" s="109"/>
    </row>
    <row r="714" spans="2:8" ht="13.2">
      <c r="B714" s="108"/>
      <c r="C714" s="108"/>
      <c r="D714" s="108"/>
      <c r="E714" s="108"/>
      <c r="F714" s="108"/>
      <c r="G714" s="108"/>
      <c r="H714" s="109"/>
    </row>
    <row r="715" spans="2:8" ht="13.2">
      <c r="B715" s="108"/>
      <c r="C715" s="108"/>
      <c r="D715" s="108"/>
      <c r="E715" s="108"/>
      <c r="F715" s="108"/>
      <c r="G715" s="108"/>
      <c r="H715" s="109"/>
    </row>
    <row r="716" spans="2:8" ht="13.2">
      <c r="B716" s="108"/>
      <c r="C716" s="108"/>
      <c r="D716" s="108"/>
      <c r="E716" s="108"/>
      <c r="F716" s="108"/>
      <c r="G716" s="108"/>
      <c r="H716" s="109"/>
    </row>
    <row r="717" spans="2:8" ht="13.2">
      <c r="B717" s="108"/>
      <c r="C717" s="108"/>
      <c r="D717" s="108"/>
      <c r="E717" s="108"/>
      <c r="F717" s="108"/>
      <c r="G717" s="108"/>
      <c r="H717" s="109"/>
    </row>
    <row r="718" spans="2:8" ht="13.2">
      <c r="B718" s="108"/>
      <c r="C718" s="108"/>
      <c r="D718" s="108"/>
      <c r="E718" s="108"/>
      <c r="F718" s="108"/>
      <c r="G718" s="108"/>
      <c r="H718" s="109"/>
    </row>
    <row r="719" spans="2:8" ht="13.2">
      <c r="B719" s="108"/>
      <c r="C719" s="108"/>
      <c r="D719" s="108"/>
      <c r="E719" s="108"/>
      <c r="F719" s="108"/>
      <c r="G719" s="108"/>
      <c r="H719" s="109"/>
    </row>
    <row r="720" spans="2:8" ht="13.2">
      <c r="B720" s="108"/>
      <c r="C720" s="108"/>
      <c r="D720" s="108"/>
      <c r="E720" s="108"/>
      <c r="F720" s="108"/>
      <c r="G720" s="108"/>
      <c r="H720" s="109"/>
    </row>
    <row r="721" spans="2:8" ht="13.2">
      <c r="B721" s="108"/>
      <c r="C721" s="108"/>
      <c r="D721" s="108"/>
      <c r="E721" s="108"/>
      <c r="F721" s="108"/>
      <c r="G721" s="108"/>
      <c r="H721" s="109"/>
    </row>
    <row r="722" spans="2:8" ht="13.2">
      <c r="B722" s="108"/>
      <c r="C722" s="108"/>
      <c r="D722" s="108"/>
      <c r="E722" s="108"/>
      <c r="F722" s="108"/>
      <c r="G722" s="108"/>
      <c r="H722" s="109"/>
    </row>
    <row r="723" spans="2:8" ht="13.2">
      <c r="B723" s="108"/>
      <c r="C723" s="108"/>
      <c r="D723" s="108"/>
      <c r="E723" s="108"/>
      <c r="F723" s="108"/>
      <c r="G723" s="108"/>
      <c r="H723" s="109"/>
    </row>
    <row r="724" spans="2:8" ht="13.2">
      <c r="B724" s="108"/>
      <c r="C724" s="108"/>
      <c r="D724" s="108"/>
      <c r="E724" s="108"/>
      <c r="F724" s="108"/>
      <c r="G724" s="108"/>
      <c r="H724" s="109"/>
    </row>
    <row r="725" spans="2:8" ht="13.2">
      <c r="B725" s="108"/>
      <c r="C725" s="108"/>
      <c r="D725" s="108"/>
      <c r="E725" s="108"/>
      <c r="F725" s="108"/>
      <c r="G725" s="108"/>
      <c r="H725" s="109"/>
    </row>
    <row r="726" spans="2:8" ht="13.2">
      <c r="B726" s="108"/>
      <c r="C726" s="108"/>
      <c r="D726" s="108"/>
      <c r="E726" s="108"/>
      <c r="F726" s="108"/>
      <c r="G726" s="108"/>
      <c r="H726" s="109"/>
    </row>
    <row r="727" spans="2:8" ht="13.2">
      <c r="B727" s="108"/>
      <c r="C727" s="108"/>
      <c r="D727" s="108"/>
      <c r="E727" s="108"/>
      <c r="F727" s="108"/>
      <c r="G727" s="108"/>
      <c r="H727" s="109"/>
    </row>
    <row r="728" spans="2:8" ht="13.2">
      <c r="B728" s="108"/>
      <c r="C728" s="108"/>
      <c r="D728" s="108"/>
      <c r="E728" s="108"/>
      <c r="F728" s="108"/>
      <c r="G728" s="108"/>
      <c r="H728" s="109"/>
    </row>
    <row r="729" spans="2:8" ht="13.2">
      <c r="B729" s="108"/>
      <c r="C729" s="108"/>
      <c r="D729" s="108"/>
      <c r="E729" s="108"/>
      <c r="F729" s="108"/>
      <c r="G729" s="108"/>
      <c r="H729" s="109"/>
    </row>
    <row r="730" spans="2:8" ht="13.2">
      <c r="B730" s="108"/>
      <c r="C730" s="108"/>
      <c r="D730" s="108"/>
      <c r="E730" s="108"/>
      <c r="F730" s="108"/>
      <c r="G730" s="108"/>
      <c r="H730" s="109"/>
    </row>
    <row r="731" spans="2:8" ht="13.2">
      <c r="B731" s="108"/>
      <c r="C731" s="108"/>
      <c r="D731" s="108"/>
      <c r="E731" s="108"/>
      <c r="F731" s="108"/>
      <c r="G731" s="108"/>
      <c r="H731" s="109"/>
    </row>
    <row r="732" spans="2:8" ht="13.2">
      <c r="B732" s="108"/>
      <c r="C732" s="108"/>
      <c r="D732" s="108"/>
      <c r="E732" s="108"/>
      <c r="F732" s="108"/>
      <c r="G732" s="108"/>
      <c r="H732" s="109"/>
    </row>
    <row r="733" spans="2:8" ht="13.2">
      <c r="B733" s="108"/>
      <c r="C733" s="108"/>
      <c r="D733" s="108"/>
      <c r="E733" s="108"/>
      <c r="F733" s="108"/>
      <c r="G733" s="108"/>
      <c r="H733" s="109"/>
    </row>
    <row r="734" spans="2:8" ht="13.2">
      <c r="B734" s="108"/>
      <c r="C734" s="108"/>
      <c r="D734" s="108"/>
      <c r="E734" s="108"/>
      <c r="F734" s="108"/>
      <c r="G734" s="108"/>
      <c r="H734" s="109"/>
    </row>
    <row r="735" spans="2:8" ht="13.2">
      <c r="B735" s="108"/>
      <c r="C735" s="108"/>
      <c r="D735" s="108"/>
      <c r="E735" s="108"/>
      <c r="F735" s="108"/>
      <c r="G735" s="108"/>
      <c r="H735" s="109"/>
    </row>
    <row r="736" spans="2:8" ht="13.2">
      <c r="B736" s="108"/>
      <c r="C736" s="108"/>
      <c r="D736" s="108"/>
      <c r="E736" s="108"/>
      <c r="F736" s="108"/>
      <c r="G736" s="108"/>
      <c r="H736" s="109"/>
    </row>
    <row r="737" spans="2:8" ht="13.2">
      <c r="B737" s="108"/>
      <c r="C737" s="108"/>
      <c r="D737" s="108"/>
      <c r="E737" s="108"/>
      <c r="F737" s="108"/>
      <c r="G737" s="108"/>
      <c r="H737" s="109"/>
    </row>
    <row r="738" spans="2:8" ht="13.2">
      <c r="B738" s="108"/>
      <c r="C738" s="108"/>
      <c r="D738" s="108"/>
      <c r="E738" s="108"/>
      <c r="F738" s="108"/>
      <c r="G738" s="108"/>
      <c r="H738" s="109"/>
    </row>
    <row r="739" spans="2:8" ht="13.2">
      <c r="B739" s="108"/>
      <c r="C739" s="108"/>
      <c r="D739" s="108"/>
      <c r="E739" s="108"/>
      <c r="F739" s="108"/>
      <c r="G739" s="108"/>
      <c r="H739" s="109"/>
    </row>
    <row r="740" spans="2:8" ht="13.2">
      <c r="B740" s="108"/>
      <c r="C740" s="108"/>
      <c r="D740" s="108"/>
      <c r="E740" s="108"/>
      <c r="F740" s="108"/>
      <c r="G740" s="108"/>
      <c r="H740" s="109"/>
    </row>
    <row r="741" spans="2:8" ht="13.2">
      <c r="B741" s="108"/>
      <c r="C741" s="108"/>
      <c r="D741" s="108"/>
      <c r="E741" s="108"/>
      <c r="F741" s="108"/>
      <c r="G741" s="108"/>
      <c r="H741" s="109"/>
    </row>
    <row r="742" spans="2:8" ht="13.2">
      <c r="B742" s="108"/>
      <c r="C742" s="108"/>
      <c r="D742" s="108"/>
      <c r="E742" s="108"/>
      <c r="F742" s="108"/>
      <c r="G742" s="108"/>
      <c r="H742" s="109"/>
    </row>
    <row r="743" spans="2:8" ht="13.2">
      <c r="B743" s="108"/>
      <c r="C743" s="108"/>
      <c r="D743" s="108"/>
      <c r="E743" s="108"/>
      <c r="F743" s="108"/>
      <c r="G743" s="108"/>
      <c r="H743" s="109"/>
    </row>
    <row r="744" spans="2:8" ht="13.2">
      <c r="B744" s="108"/>
      <c r="C744" s="108"/>
      <c r="D744" s="108"/>
      <c r="E744" s="108"/>
      <c r="F744" s="108"/>
      <c r="G744" s="108"/>
      <c r="H744" s="109"/>
    </row>
    <row r="745" spans="2:8" ht="13.2">
      <c r="B745" s="108"/>
      <c r="C745" s="108"/>
      <c r="D745" s="108"/>
      <c r="E745" s="108"/>
      <c r="F745" s="108"/>
      <c r="G745" s="108"/>
      <c r="H745" s="109"/>
    </row>
    <row r="746" spans="2:8" ht="13.2">
      <c r="B746" s="108"/>
      <c r="C746" s="108"/>
      <c r="D746" s="108"/>
      <c r="E746" s="108"/>
      <c r="F746" s="108"/>
      <c r="G746" s="108"/>
      <c r="H746" s="109"/>
    </row>
    <row r="747" spans="2:8" ht="13.2">
      <c r="B747" s="108"/>
      <c r="C747" s="108"/>
      <c r="D747" s="108"/>
      <c r="E747" s="108"/>
      <c r="F747" s="108"/>
      <c r="G747" s="108"/>
      <c r="H747" s="109"/>
    </row>
    <row r="748" spans="2:8" ht="13.2">
      <c r="B748" s="108"/>
      <c r="C748" s="108"/>
      <c r="D748" s="108"/>
      <c r="E748" s="108"/>
      <c r="F748" s="108"/>
      <c r="G748" s="108"/>
      <c r="H748" s="109"/>
    </row>
    <row r="749" spans="2:8" ht="13.2">
      <c r="B749" s="108"/>
      <c r="C749" s="108"/>
      <c r="D749" s="108"/>
      <c r="E749" s="108"/>
      <c r="F749" s="108"/>
      <c r="G749" s="108"/>
      <c r="H749" s="109"/>
    </row>
    <row r="750" spans="2:8" ht="13.2">
      <c r="B750" s="108"/>
      <c r="C750" s="108"/>
      <c r="D750" s="108"/>
      <c r="E750" s="108"/>
      <c r="F750" s="108"/>
      <c r="G750" s="108"/>
      <c r="H750" s="109"/>
    </row>
    <row r="751" spans="2:8" ht="13.2">
      <c r="B751" s="108"/>
      <c r="C751" s="108"/>
      <c r="D751" s="108"/>
      <c r="E751" s="108"/>
      <c r="F751" s="108"/>
      <c r="G751" s="108"/>
      <c r="H751" s="109"/>
    </row>
    <row r="752" spans="2:8" ht="13.2">
      <c r="B752" s="108"/>
      <c r="C752" s="108"/>
      <c r="D752" s="108"/>
      <c r="E752" s="108"/>
      <c r="F752" s="108"/>
      <c r="G752" s="108"/>
      <c r="H752" s="109"/>
    </row>
    <row r="753" spans="2:8" ht="13.2">
      <c r="B753" s="108"/>
      <c r="C753" s="108"/>
      <c r="D753" s="108"/>
      <c r="E753" s="108"/>
      <c r="F753" s="108"/>
      <c r="G753" s="108"/>
      <c r="H753" s="109"/>
    </row>
    <row r="754" spans="2:8" ht="13.2">
      <c r="B754" s="108"/>
      <c r="C754" s="108"/>
      <c r="D754" s="108"/>
      <c r="E754" s="108"/>
      <c r="F754" s="108"/>
      <c r="G754" s="108"/>
      <c r="H754" s="109"/>
    </row>
    <row r="755" spans="2:8" ht="13.2">
      <c r="B755" s="108"/>
      <c r="C755" s="108"/>
      <c r="D755" s="108"/>
      <c r="E755" s="108"/>
      <c r="F755" s="108"/>
      <c r="G755" s="108"/>
      <c r="H755" s="109"/>
    </row>
    <row r="756" spans="2:8" ht="13.2">
      <c r="B756" s="108"/>
      <c r="C756" s="108"/>
      <c r="D756" s="108"/>
      <c r="E756" s="108"/>
      <c r="F756" s="108"/>
      <c r="G756" s="108"/>
      <c r="H756" s="109"/>
    </row>
    <row r="757" spans="2:8" ht="13.2">
      <c r="B757" s="108"/>
      <c r="C757" s="108"/>
      <c r="D757" s="108"/>
      <c r="E757" s="108"/>
      <c r="F757" s="108"/>
      <c r="G757" s="108"/>
      <c r="H757" s="109"/>
    </row>
    <row r="758" spans="2:8" ht="13.2">
      <c r="B758" s="108"/>
      <c r="C758" s="108"/>
      <c r="D758" s="108"/>
      <c r="E758" s="108"/>
      <c r="F758" s="108"/>
      <c r="G758" s="108"/>
      <c r="H758" s="109"/>
    </row>
    <row r="759" spans="2:8" ht="13.2">
      <c r="B759" s="108"/>
      <c r="C759" s="108"/>
      <c r="D759" s="108"/>
      <c r="E759" s="108"/>
      <c r="F759" s="108"/>
      <c r="G759" s="108"/>
      <c r="H759" s="109"/>
    </row>
    <row r="760" spans="2:8" ht="13.2">
      <c r="B760" s="108"/>
      <c r="C760" s="108"/>
      <c r="D760" s="108"/>
      <c r="E760" s="108"/>
      <c r="F760" s="108"/>
      <c r="G760" s="108"/>
      <c r="H760" s="109"/>
    </row>
    <row r="761" spans="2:8" ht="13.2">
      <c r="B761" s="108"/>
      <c r="C761" s="108"/>
      <c r="D761" s="108"/>
      <c r="E761" s="108"/>
      <c r="F761" s="108"/>
      <c r="G761" s="108"/>
      <c r="H761" s="109"/>
    </row>
    <row r="762" spans="2:8" ht="13.2">
      <c r="B762" s="108"/>
      <c r="C762" s="108"/>
      <c r="D762" s="108"/>
      <c r="E762" s="108"/>
      <c r="F762" s="108"/>
      <c r="G762" s="108"/>
      <c r="H762" s="109"/>
    </row>
    <row r="763" spans="2:8" ht="13.2">
      <c r="B763" s="108"/>
      <c r="C763" s="108"/>
      <c r="D763" s="108"/>
      <c r="E763" s="108"/>
      <c r="F763" s="108"/>
      <c r="G763" s="108"/>
      <c r="H763" s="109"/>
    </row>
    <row r="764" spans="2:8" ht="13.2">
      <c r="B764" s="108"/>
      <c r="C764" s="108"/>
      <c r="D764" s="108"/>
      <c r="E764" s="108"/>
      <c r="F764" s="108"/>
      <c r="G764" s="108"/>
      <c r="H764" s="109"/>
    </row>
    <row r="765" spans="2:8" ht="13.2">
      <c r="B765" s="108"/>
      <c r="C765" s="108"/>
      <c r="D765" s="108"/>
      <c r="E765" s="108"/>
      <c r="F765" s="108"/>
      <c r="G765" s="108"/>
      <c r="H765" s="109"/>
    </row>
    <row r="766" spans="2:8" ht="13.2">
      <c r="B766" s="108"/>
      <c r="C766" s="108"/>
      <c r="D766" s="108"/>
      <c r="E766" s="108"/>
      <c r="F766" s="108"/>
      <c r="G766" s="108"/>
      <c r="H766" s="109"/>
    </row>
    <row r="767" spans="2:8" ht="13.2">
      <c r="B767" s="108"/>
      <c r="C767" s="108"/>
      <c r="D767" s="108"/>
      <c r="E767" s="108"/>
      <c r="F767" s="108"/>
      <c r="G767" s="108"/>
      <c r="H767" s="109"/>
    </row>
    <row r="768" spans="2:8" ht="13.2">
      <c r="B768" s="108"/>
      <c r="C768" s="108"/>
      <c r="D768" s="108"/>
      <c r="E768" s="108"/>
      <c r="F768" s="108"/>
      <c r="G768" s="108"/>
      <c r="H768" s="109"/>
    </row>
    <row r="769" spans="2:8" ht="13.2">
      <c r="B769" s="108"/>
      <c r="C769" s="108"/>
      <c r="D769" s="108"/>
      <c r="E769" s="108"/>
      <c r="F769" s="108"/>
      <c r="G769" s="108"/>
      <c r="H769" s="109"/>
    </row>
    <row r="770" spans="2:8" ht="13.2">
      <c r="B770" s="108"/>
      <c r="C770" s="108"/>
      <c r="D770" s="108"/>
      <c r="E770" s="108"/>
      <c r="F770" s="108"/>
      <c r="G770" s="108"/>
      <c r="H770" s="109"/>
    </row>
    <row r="771" spans="2:8" ht="13.2">
      <c r="B771" s="108"/>
      <c r="C771" s="108"/>
      <c r="D771" s="108"/>
      <c r="E771" s="108"/>
      <c r="F771" s="108"/>
      <c r="G771" s="108"/>
      <c r="H771" s="109"/>
    </row>
    <row r="772" spans="2:8" ht="13.2">
      <c r="B772" s="108"/>
      <c r="C772" s="108"/>
      <c r="D772" s="108"/>
      <c r="E772" s="108"/>
      <c r="F772" s="108"/>
      <c r="G772" s="108"/>
      <c r="H772" s="109"/>
    </row>
    <row r="773" spans="2:8" ht="13.2">
      <c r="B773" s="108"/>
      <c r="C773" s="108"/>
      <c r="D773" s="108"/>
      <c r="E773" s="108"/>
      <c r="F773" s="108"/>
      <c r="G773" s="108"/>
      <c r="H773" s="109"/>
    </row>
    <row r="774" spans="2:8" ht="13.2">
      <c r="B774" s="108"/>
      <c r="C774" s="108"/>
      <c r="D774" s="108"/>
      <c r="E774" s="108"/>
      <c r="F774" s="108"/>
      <c r="G774" s="108"/>
      <c r="H774" s="109"/>
    </row>
    <row r="775" spans="2:8" ht="13.2">
      <c r="B775" s="108"/>
      <c r="C775" s="108"/>
      <c r="D775" s="108"/>
      <c r="E775" s="108"/>
      <c r="F775" s="108"/>
      <c r="G775" s="108"/>
      <c r="H775" s="109"/>
    </row>
    <row r="776" spans="2:8" ht="13.2">
      <c r="B776" s="108"/>
      <c r="C776" s="108"/>
      <c r="D776" s="108"/>
      <c r="E776" s="108"/>
      <c r="F776" s="108"/>
      <c r="G776" s="108"/>
      <c r="H776" s="109"/>
    </row>
    <row r="777" spans="2:8" ht="13.2">
      <c r="B777" s="108"/>
      <c r="C777" s="108"/>
      <c r="D777" s="108"/>
      <c r="E777" s="108"/>
      <c r="F777" s="108"/>
      <c r="G777" s="108"/>
      <c r="H777" s="109"/>
    </row>
    <row r="778" spans="2:8" ht="13.2">
      <c r="B778" s="108"/>
      <c r="C778" s="108"/>
      <c r="D778" s="108"/>
      <c r="E778" s="108"/>
      <c r="F778" s="108"/>
      <c r="G778" s="108"/>
      <c r="H778" s="109"/>
    </row>
    <row r="779" spans="2:8" ht="13.2">
      <c r="B779" s="108"/>
      <c r="C779" s="108"/>
      <c r="D779" s="108"/>
      <c r="E779" s="108"/>
      <c r="F779" s="108"/>
      <c r="G779" s="108"/>
      <c r="H779" s="109"/>
    </row>
    <row r="780" spans="2:8" ht="13.2">
      <c r="B780" s="108"/>
      <c r="C780" s="108"/>
      <c r="D780" s="108"/>
      <c r="E780" s="108"/>
      <c r="F780" s="108"/>
      <c r="G780" s="108"/>
      <c r="H780" s="109"/>
    </row>
    <row r="781" spans="2:8" ht="13.2">
      <c r="B781" s="108"/>
      <c r="C781" s="108"/>
      <c r="D781" s="108"/>
      <c r="E781" s="108"/>
      <c r="F781" s="108"/>
      <c r="G781" s="108"/>
      <c r="H781" s="109"/>
    </row>
    <row r="782" spans="2:8" ht="13.2">
      <c r="B782" s="108"/>
      <c r="C782" s="108"/>
      <c r="D782" s="108"/>
      <c r="E782" s="108"/>
      <c r="F782" s="108"/>
      <c r="G782" s="108"/>
      <c r="H782" s="109"/>
    </row>
    <row r="783" spans="2:8" ht="13.2">
      <c r="B783" s="108"/>
      <c r="C783" s="108"/>
      <c r="D783" s="108"/>
      <c r="E783" s="108"/>
      <c r="F783" s="108"/>
      <c r="G783" s="108"/>
      <c r="H783" s="109"/>
    </row>
    <row r="784" spans="2:8" ht="13.2">
      <c r="B784" s="108"/>
      <c r="C784" s="108"/>
      <c r="D784" s="108"/>
      <c r="E784" s="108"/>
      <c r="F784" s="108"/>
      <c r="G784" s="108"/>
      <c r="H784" s="109"/>
    </row>
    <row r="785" spans="2:8" ht="13.2">
      <c r="B785" s="108"/>
      <c r="C785" s="108"/>
      <c r="D785" s="108"/>
      <c r="E785" s="108"/>
      <c r="F785" s="108"/>
      <c r="G785" s="108"/>
      <c r="H785" s="109"/>
    </row>
    <row r="786" spans="2:8" ht="13.2">
      <c r="B786" s="108"/>
      <c r="C786" s="108"/>
      <c r="D786" s="108"/>
      <c r="E786" s="108"/>
      <c r="F786" s="108"/>
      <c r="G786" s="108"/>
      <c r="H786" s="109"/>
    </row>
    <row r="787" spans="2:8" ht="13.2">
      <c r="B787" s="108"/>
      <c r="C787" s="108"/>
      <c r="D787" s="108"/>
      <c r="E787" s="108"/>
      <c r="F787" s="108"/>
      <c r="G787" s="108"/>
      <c r="H787" s="109"/>
    </row>
    <row r="788" spans="2:8" ht="13.2">
      <c r="B788" s="108"/>
      <c r="C788" s="108"/>
      <c r="D788" s="108"/>
      <c r="E788" s="108"/>
      <c r="F788" s="108"/>
      <c r="G788" s="108"/>
      <c r="H788" s="109"/>
    </row>
    <row r="789" spans="2:8" ht="13.2">
      <c r="B789" s="108"/>
      <c r="C789" s="108"/>
      <c r="D789" s="108"/>
      <c r="E789" s="108"/>
      <c r="F789" s="108"/>
      <c r="G789" s="108"/>
      <c r="H789" s="109"/>
    </row>
    <row r="790" spans="2:8" ht="13.2">
      <c r="B790" s="108"/>
      <c r="C790" s="108"/>
      <c r="D790" s="108"/>
      <c r="E790" s="108"/>
      <c r="F790" s="108"/>
      <c r="G790" s="108"/>
      <c r="H790" s="109"/>
    </row>
    <row r="791" spans="2:8" ht="13.2">
      <c r="B791" s="108"/>
      <c r="C791" s="108"/>
      <c r="D791" s="108"/>
      <c r="E791" s="108"/>
      <c r="F791" s="108"/>
      <c r="G791" s="108"/>
      <c r="H791" s="109"/>
    </row>
    <row r="792" spans="2:8" ht="13.2">
      <c r="B792" s="108"/>
      <c r="C792" s="108"/>
      <c r="D792" s="108"/>
      <c r="E792" s="108"/>
      <c r="F792" s="108"/>
      <c r="G792" s="108"/>
      <c r="H792" s="109"/>
    </row>
    <row r="793" spans="2:8" ht="13.2">
      <c r="B793" s="108"/>
      <c r="C793" s="108"/>
      <c r="D793" s="108"/>
      <c r="E793" s="108"/>
      <c r="F793" s="108"/>
      <c r="G793" s="108"/>
      <c r="H793" s="109"/>
    </row>
    <row r="794" spans="2:8" ht="13.2">
      <c r="B794" s="108"/>
      <c r="C794" s="108"/>
      <c r="D794" s="108"/>
      <c r="E794" s="108"/>
      <c r="F794" s="108"/>
      <c r="G794" s="108"/>
      <c r="H794" s="109"/>
    </row>
    <row r="795" spans="2:8" ht="13.2">
      <c r="B795" s="108"/>
      <c r="C795" s="108"/>
      <c r="D795" s="108"/>
      <c r="E795" s="108"/>
      <c r="F795" s="108"/>
      <c r="G795" s="108"/>
      <c r="H795" s="109"/>
    </row>
    <row r="796" spans="2:8" ht="13.2">
      <c r="B796" s="108"/>
      <c r="C796" s="108"/>
      <c r="D796" s="108"/>
      <c r="E796" s="108"/>
      <c r="F796" s="108"/>
      <c r="G796" s="108"/>
      <c r="H796" s="109"/>
    </row>
    <row r="797" spans="2:8" ht="13.2">
      <c r="B797" s="108"/>
      <c r="C797" s="108"/>
      <c r="D797" s="108"/>
      <c r="E797" s="108"/>
      <c r="F797" s="108"/>
      <c r="G797" s="108"/>
      <c r="H797" s="109"/>
    </row>
    <row r="798" spans="2:8" ht="13.2">
      <c r="B798" s="108"/>
      <c r="C798" s="108"/>
      <c r="D798" s="108"/>
      <c r="E798" s="108"/>
      <c r="F798" s="108"/>
      <c r="G798" s="108"/>
      <c r="H798" s="109"/>
    </row>
    <row r="799" spans="2:8" ht="13.2">
      <c r="B799" s="108"/>
      <c r="C799" s="108"/>
      <c r="D799" s="108"/>
      <c r="E799" s="108"/>
      <c r="F799" s="108"/>
      <c r="G799" s="108"/>
      <c r="H799" s="109"/>
    </row>
    <row r="800" spans="2:8" ht="13.2">
      <c r="B800" s="108"/>
      <c r="C800" s="108"/>
      <c r="D800" s="108"/>
      <c r="E800" s="108"/>
      <c r="F800" s="108"/>
      <c r="G800" s="108"/>
      <c r="H800" s="109"/>
    </row>
    <row r="801" spans="2:8" ht="13.2">
      <c r="B801" s="108"/>
      <c r="C801" s="108"/>
      <c r="D801" s="108"/>
      <c r="E801" s="108"/>
      <c r="F801" s="108"/>
      <c r="G801" s="108"/>
      <c r="H801" s="109"/>
    </row>
    <row r="802" spans="2:8" ht="13.2">
      <c r="B802" s="108"/>
      <c r="C802" s="108"/>
      <c r="D802" s="108"/>
      <c r="E802" s="108"/>
      <c r="F802" s="108"/>
      <c r="G802" s="108"/>
      <c r="H802" s="109"/>
    </row>
    <row r="803" spans="2:8" ht="13.2">
      <c r="B803" s="108"/>
      <c r="C803" s="108"/>
      <c r="D803" s="108"/>
      <c r="E803" s="108"/>
      <c r="F803" s="108"/>
      <c r="G803" s="108"/>
      <c r="H803" s="109"/>
    </row>
    <row r="804" spans="2:8" ht="13.2">
      <c r="B804" s="108"/>
      <c r="C804" s="108"/>
      <c r="D804" s="108"/>
      <c r="E804" s="108"/>
      <c r="F804" s="108"/>
      <c r="G804" s="108"/>
      <c r="H804" s="109"/>
    </row>
    <row r="805" spans="2:8" ht="13.2">
      <c r="B805" s="108"/>
      <c r="C805" s="108"/>
      <c r="D805" s="108"/>
      <c r="E805" s="108"/>
      <c r="F805" s="108"/>
      <c r="G805" s="108"/>
      <c r="H805" s="109"/>
    </row>
    <row r="806" spans="2:8" ht="13.2">
      <c r="B806" s="108"/>
      <c r="C806" s="108"/>
      <c r="D806" s="108"/>
      <c r="E806" s="108"/>
      <c r="F806" s="108"/>
      <c r="G806" s="108"/>
      <c r="H806" s="109"/>
    </row>
    <row r="807" spans="2:8" ht="13.2">
      <c r="B807" s="108"/>
      <c r="C807" s="108"/>
      <c r="D807" s="108"/>
      <c r="E807" s="108"/>
      <c r="F807" s="108"/>
      <c r="G807" s="108"/>
      <c r="H807" s="109"/>
    </row>
    <row r="808" spans="2:8" ht="13.2">
      <c r="B808" s="108"/>
      <c r="C808" s="108"/>
      <c r="D808" s="108"/>
      <c r="E808" s="108"/>
      <c r="F808" s="108"/>
      <c r="G808" s="108"/>
      <c r="H808" s="109"/>
    </row>
    <row r="809" spans="2:8" ht="13.2">
      <c r="B809" s="108"/>
      <c r="C809" s="108"/>
      <c r="D809" s="108"/>
      <c r="E809" s="108"/>
      <c r="F809" s="108"/>
      <c r="G809" s="108"/>
      <c r="H809" s="109"/>
    </row>
    <row r="810" spans="2:8" ht="13.2">
      <c r="B810" s="108"/>
      <c r="C810" s="108"/>
      <c r="D810" s="108"/>
      <c r="E810" s="108"/>
      <c r="F810" s="108"/>
      <c r="G810" s="108"/>
      <c r="H810" s="109"/>
    </row>
    <row r="811" spans="2:8" ht="13.2">
      <c r="B811" s="108"/>
      <c r="C811" s="108"/>
      <c r="D811" s="108"/>
      <c r="E811" s="108"/>
      <c r="F811" s="108"/>
      <c r="G811" s="108"/>
      <c r="H811" s="109"/>
    </row>
    <row r="812" spans="2:8" ht="13.2">
      <c r="B812" s="108"/>
      <c r="C812" s="108"/>
      <c r="D812" s="108"/>
      <c r="E812" s="108"/>
      <c r="F812" s="108"/>
      <c r="G812" s="108"/>
      <c r="H812" s="109"/>
    </row>
    <row r="813" spans="2:8" ht="13.2">
      <c r="B813" s="108"/>
      <c r="C813" s="108"/>
      <c r="D813" s="108"/>
      <c r="E813" s="108"/>
      <c r="F813" s="108"/>
      <c r="G813" s="108"/>
      <c r="H813" s="109"/>
    </row>
    <row r="814" spans="2:8" ht="13.2">
      <c r="B814" s="108"/>
      <c r="C814" s="108"/>
      <c r="D814" s="108"/>
      <c r="E814" s="108"/>
      <c r="F814" s="108"/>
      <c r="G814" s="108"/>
      <c r="H814" s="109"/>
    </row>
    <row r="815" spans="2:8" ht="13.2">
      <c r="B815" s="108"/>
      <c r="C815" s="108"/>
      <c r="D815" s="108"/>
      <c r="E815" s="108"/>
      <c r="F815" s="108"/>
      <c r="G815" s="108"/>
      <c r="H815" s="109"/>
    </row>
    <row r="816" spans="2:8" ht="13.2">
      <c r="B816" s="108"/>
      <c r="C816" s="108"/>
      <c r="D816" s="108"/>
      <c r="E816" s="108"/>
      <c r="F816" s="108"/>
      <c r="G816" s="108"/>
      <c r="H816" s="109"/>
    </row>
    <row r="817" spans="2:8" ht="13.2">
      <c r="B817" s="108"/>
      <c r="C817" s="108"/>
      <c r="D817" s="108"/>
      <c r="E817" s="108"/>
      <c r="F817" s="108"/>
      <c r="G817" s="108"/>
      <c r="H817" s="109"/>
    </row>
    <row r="818" spans="2:8" ht="13.2">
      <c r="B818" s="108"/>
      <c r="C818" s="108"/>
      <c r="D818" s="108"/>
      <c r="E818" s="108"/>
      <c r="F818" s="108"/>
      <c r="G818" s="108"/>
      <c r="H818" s="109"/>
    </row>
    <row r="819" spans="2:8" ht="13.2">
      <c r="B819" s="108"/>
      <c r="C819" s="108"/>
      <c r="D819" s="108"/>
      <c r="E819" s="108"/>
      <c r="F819" s="108"/>
      <c r="G819" s="108"/>
      <c r="H819" s="109"/>
    </row>
    <row r="820" spans="2:8" ht="13.2">
      <c r="B820" s="108"/>
      <c r="C820" s="108"/>
      <c r="D820" s="108"/>
      <c r="E820" s="108"/>
      <c r="F820" s="108"/>
      <c r="G820" s="108"/>
      <c r="H820" s="109"/>
    </row>
    <row r="821" spans="2:8" ht="13.2">
      <c r="B821" s="108"/>
      <c r="C821" s="108"/>
      <c r="D821" s="108"/>
      <c r="E821" s="108"/>
      <c r="F821" s="108"/>
      <c r="G821" s="108"/>
      <c r="H821" s="109"/>
    </row>
    <row r="822" spans="2:8" ht="13.2">
      <c r="B822" s="108"/>
      <c r="C822" s="108"/>
      <c r="D822" s="108"/>
      <c r="E822" s="108"/>
      <c r="F822" s="108"/>
      <c r="G822" s="108"/>
      <c r="H822" s="109"/>
    </row>
    <row r="823" spans="2:8" ht="13.2">
      <c r="B823" s="108"/>
      <c r="C823" s="108"/>
      <c r="D823" s="108"/>
      <c r="E823" s="108"/>
      <c r="F823" s="108"/>
      <c r="G823" s="108"/>
      <c r="H823" s="109"/>
    </row>
    <row r="824" spans="2:8" ht="13.2">
      <c r="B824" s="108"/>
      <c r="C824" s="108"/>
      <c r="D824" s="108"/>
      <c r="E824" s="108"/>
      <c r="F824" s="108"/>
      <c r="G824" s="108"/>
      <c r="H824" s="109"/>
    </row>
    <row r="825" spans="2:8" ht="13.2">
      <c r="B825" s="108"/>
      <c r="C825" s="108"/>
      <c r="D825" s="108"/>
      <c r="E825" s="108"/>
      <c r="F825" s="108"/>
      <c r="G825" s="108"/>
      <c r="H825" s="109"/>
    </row>
    <row r="826" spans="2:8" ht="13.2">
      <c r="B826" s="108"/>
      <c r="C826" s="108"/>
      <c r="D826" s="108"/>
      <c r="E826" s="108"/>
      <c r="F826" s="108"/>
      <c r="G826" s="108"/>
      <c r="H826" s="109"/>
    </row>
    <row r="827" spans="2:8" ht="13.2">
      <c r="B827" s="108"/>
      <c r="C827" s="108"/>
      <c r="D827" s="108"/>
      <c r="E827" s="108"/>
      <c r="F827" s="108"/>
      <c r="G827" s="108"/>
      <c r="H827" s="109"/>
    </row>
    <row r="828" spans="2:8" ht="13.2">
      <c r="B828" s="108"/>
      <c r="C828" s="108"/>
      <c r="D828" s="108"/>
      <c r="E828" s="108"/>
      <c r="F828" s="108"/>
      <c r="G828" s="108"/>
      <c r="H828" s="109"/>
    </row>
    <row r="829" spans="2:8" ht="13.2">
      <c r="B829" s="108"/>
      <c r="C829" s="108"/>
      <c r="D829" s="108"/>
      <c r="E829" s="108"/>
      <c r="F829" s="108"/>
      <c r="G829" s="108"/>
      <c r="H829" s="109"/>
    </row>
    <row r="830" spans="2:8" ht="13.2">
      <c r="B830" s="108"/>
      <c r="C830" s="108"/>
      <c r="D830" s="108"/>
      <c r="E830" s="108"/>
      <c r="F830" s="108"/>
      <c r="G830" s="108"/>
      <c r="H830" s="109"/>
    </row>
    <row r="831" spans="2:8" ht="13.2">
      <c r="B831" s="108"/>
      <c r="C831" s="108"/>
      <c r="D831" s="108"/>
      <c r="E831" s="108"/>
      <c r="F831" s="108"/>
      <c r="G831" s="108"/>
      <c r="H831" s="109"/>
    </row>
    <row r="832" spans="2:8" ht="13.2">
      <c r="B832" s="108"/>
      <c r="C832" s="108"/>
      <c r="D832" s="108"/>
      <c r="E832" s="108"/>
      <c r="F832" s="108"/>
      <c r="G832" s="108"/>
      <c r="H832" s="109"/>
    </row>
    <row r="833" spans="2:8" ht="13.2">
      <c r="B833" s="108"/>
      <c r="C833" s="108"/>
      <c r="D833" s="108"/>
      <c r="E833" s="108"/>
      <c r="F833" s="108"/>
      <c r="G833" s="108"/>
      <c r="H833" s="109"/>
    </row>
    <row r="834" spans="2:8" ht="13.2">
      <c r="B834" s="108"/>
      <c r="C834" s="108"/>
      <c r="D834" s="108"/>
      <c r="E834" s="108"/>
      <c r="F834" s="108"/>
      <c r="G834" s="108"/>
      <c r="H834" s="109"/>
    </row>
    <row r="835" spans="2:8" ht="13.2">
      <c r="B835" s="108"/>
      <c r="C835" s="108"/>
      <c r="D835" s="108"/>
      <c r="E835" s="108"/>
      <c r="F835" s="108"/>
      <c r="G835" s="108"/>
      <c r="H835" s="109"/>
    </row>
    <row r="836" spans="2:8" ht="13.2">
      <c r="B836" s="108"/>
      <c r="C836" s="108"/>
      <c r="D836" s="108"/>
      <c r="E836" s="108"/>
      <c r="F836" s="108"/>
      <c r="G836" s="108"/>
      <c r="H836" s="109"/>
    </row>
    <row r="837" spans="2:8" ht="13.2">
      <c r="B837" s="108"/>
      <c r="C837" s="108"/>
      <c r="D837" s="108"/>
      <c r="E837" s="108"/>
      <c r="F837" s="108"/>
      <c r="G837" s="108"/>
      <c r="H837" s="109"/>
    </row>
    <row r="838" spans="2:8" ht="13.2">
      <c r="B838" s="108"/>
      <c r="C838" s="108"/>
      <c r="D838" s="108"/>
      <c r="E838" s="108"/>
      <c r="F838" s="108"/>
      <c r="G838" s="108"/>
      <c r="H838" s="109"/>
    </row>
    <row r="839" spans="2:8" ht="13.2">
      <c r="B839" s="108"/>
      <c r="C839" s="108"/>
      <c r="D839" s="108"/>
      <c r="E839" s="108"/>
      <c r="F839" s="108"/>
      <c r="G839" s="108"/>
      <c r="H839" s="109"/>
    </row>
    <row r="840" spans="2:8" ht="13.2">
      <c r="B840" s="108"/>
      <c r="C840" s="108"/>
      <c r="D840" s="108"/>
      <c r="E840" s="108"/>
      <c r="F840" s="108"/>
      <c r="G840" s="108"/>
      <c r="H840" s="109"/>
    </row>
    <row r="841" spans="2:8" ht="13.2">
      <c r="B841" s="108"/>
      <c r="C841" s="108"/>
      <c r="D841" s="108"/>
      <c r="E841" s="108"/>
      <c r="F841" s="108"/>
      <c r="G841" s="108"/>
      <c r="H841" s="109"/>
    </row>
    <row r="842" spans="2:8" ht="13.2">
      <c r="B842" s="108"/>
      <c r="C842" s="108"/>
      <c r="D842" s="108"/>
      <c r="E842" s="108"/>
      <c r="F842" s="108"/>
      <c r="G842" s="108"/>
      <c r="H842" s="109"/>
    </row>
    <row r="843" spans="2:8" ht="13.2">
      <c r="B843" s="108"/>
      <c r="C843" s="108"/>
      <c r="D843" s="108"/>
      <c r="E843" s="108"/>
      <c r="F843" s="108"/>
      <c r="G843" s="108"/>
      <c r="H843" s="109"/>
    </row>
    <row r="844" spans="2:8" ht="13.2">
      <c r="B844" s="108"/>
      <c r="C844" s="108"/>
      <c r="D844" s="108"/>
      <c r="E844" s="108"/>
      <c r="F844" s="108"/>
      <c r="G844" s="108"/>
      <c r="H844" s="109"/>
    </row>
    <row r="845" spans="2:8" ht="13.2">
      <c r="B845" s="108"/>
      <c r="C845" s="108"/>
      <c r="D845" s="108"/>
      <c r="E845" s="108"/>
      <c r="F845" s="108"/>
      <c r="G845" s="108"/>
      <c r="H845" s="109"/>
    </row>
    <row r="846" spans="2:8" ht="13.2">
      <c r="B846" s="108"/>
      <c r="C846" s="108"/>
      <c r="D846" s="108"/>
      <c r="E846" s="108"/>
      <c r="F846" s="108"/>
      <c r="G846" s="108"/>
      <c r="H846" s="109"/>
    </row>
    <row r="847" spans="2:8" ht="13.2">
      <c r="B847" s="108"/>
      <c r="C847" s="108"/>
      <c r="D847" s="108"/>
      <c r="E847" s="108"/>
      <c r="F847" s="108"/>
      <c r="G847" s="108"/>
      <c r="H847" s="109"/>
    </row>
    <row r="848" spans="2:8" ht="13.2">
      <c r="B848" s="108"/>
      <c r="C848" s="108"/>
      <c r="D848" s="108"/>
      <c r="E848" s="108"/>
      <c r="F848" s="108"/>
      <c r="G848" s="108"/>
      <c r="H848" s="109"/>
    </row>
    <row r="849" spans="2:8" ht="13.2">
      <c r="B849" s="108"/>
      <c r="C849" s="108"/>
      <c r="D849" s="108"/>
      <c r="E849" s="108"/>
      <c r="F849" s="108"/>
      <c r="G849" s="108"/>
      <c r="H849" s="109"/>
    </row>
    <row r="850" spans="2:8" ht="13.2">
      <c r="B850" s="108"/>
      <c r="C850" s="108"/>
      <c r="D850" s="108"/>
      <c r="E850" s="108"/>
      <c r="F850" s="108"/>
      <c r="G850" s="108"/>
      <c r="H850" s="109"/>
    </row>
    <row r="851" spans="2:8" ht="13.2">
      <c r="B851" s="108"/>
      <c r="C851" s="108"/>
      <c r="D851" s="108"/>
      <c r="E851" s="108"/>
      <c r="F851" s="108"/>
      <c r="G851" s="108"/>
      <c r="H851" s="109"/>
    </row>
    <row r="852" spans="2:8" ht="13.2">
      <c r="B852" s="108"/>
      <c r="C852" s="108"/>
      <c r="D852" s="108"/>
      <c r="E852" s="108"/>
      <c r="F852" s="108"/>
      <c r="G852" s="108"/>
      <c r="H852" s="109"/>
    </row>
    <row r="853" spans="2:8" ht="13.2">
      <c r="B853" s="108"/>
      <c r="C853" s="108"/>
      <c r="D853" s="108"/>
      <c r="E853" s="108"/>
      <c r="F853" s="108"/>
      <c r="G853" s="108"/>
      <c r="H853" s="109"/>
    </row>
    <row r="854" spans="2:8" ht="13.2">
      <c r="B854" s="108"/>
      <c r="C854" s="108"/>
      <c r="D854" s="108"/>
      <c r="E854" s="108"/>
      <c r="F854" s="108"/>
      <c r="G854" s="108"/>
      <c r="H854" s="109"/>
    </row>
    <row r="855" spans="2:8" ht="13.2">
      <c r="B855" s="108"/>
      <c r="C855" s="108"/>
      <c r="D855" s="108"/>
      <c r="E855" s="108"/>
      <c r="F855" s="108"/>
      <c r="G855" s="108"/>
      <c r="H855" s="109"/>
    </row>
    <row r="856" spans="2:8" ht="13.2">
      <c r="B856" s="108"/>
      <c r="C856" s="108"/>
      <c r="D856" s="108"/>
      <c r="E856" s="108"/>
      <c r="F856" s="108"/>
      <c r="G856" s="108"/>
      <c r="H856" s="109"/>
    </row>
    <row r="857" spans="2:8" ht="13.2">
      <c r="B857" s="108"/>
      <c r="C857" s="108"/>
      <c r="D857" s="108"/>
      <c r="E857" s="108"/>
      <c r="F857" s="108"/>
      <c r="G857" s="108"/>
      <c r="H857" s="109"/>
    </row>
    <row r="858" spans="2:8" ht="13.2">
      <c r="B858" s="108"/>
      <c r="C858" s="108"/>
      <c r="D858" s="108"/>
      <c r="E858" s="108"/>
      <c r="F858" s="108"/>
      <c r="G858" s="108"/>
      <c r="H858" s="109"/>
    </row>
    <row r="859" spans="2:8" ht="13.2">
      <c r="B859" s="108"/>
      <c r="C859" s="108"/>
      <c r="D859" s="108"/>
      <c r="E859" s="108"/>
      <c r="F859" s="108"/>
      <c r="G859" s="108"/>
      <c r="H859" s="109"/>
    </row>
    <row r="860" spans="2:8" ht="13.2">
      <c r="B860" s="108"/>
      <c r="C860" s="108"/>
      <c r="D860" s="108"/>
      <c r="E860" s="108"/>
      <c r="F860" s="108"/>
      <c r="G860" s="108"/>
      <c r="H860" s="109"/>
    </row>
    <row r="861" spans="2:8" ht="13.2">
      <c r="B861" s="108"/>
      <c r="C861" s="108"/>
      <c r="D861" s="108"/>
      <c r="E861" s="108"/>
      <c r="F861" s="108"/>
      <c r="G861" s="108"/>
      <c r="H861" s="109"/>
    </row>
    <row r="862" spans="2:8" ht="13.2">
      <c r="B862" s="108"/>
      <c r="C862" s="108"/>
      <c r="D862" s="108"/>
      <c r="E862" s="108"/>
      <c r="F862" s="108"/>
      <c r="G862" s="108"/>
      <c r="H862" s="109"/>
    </row>
    <row r="863" spans="2:8" ht="13.2">
      <c r="B863" s="108"/>
      <c r="C863" s="108"/>
      <c r="D863" s="108"/>
      <c r="E863" s="108"/>
      <c r="F863" s="108"/>
      <c r="G863" s="108"/>
      <c r="H863" s="109"/>
    </row>
    <row r="864" spans="2:8" ht="13.2">
      <c r="B864" s="108"/>
      <c r="C864" s="108"/>
      <c r="D864" s="108"/>
      <c r="E864" s="108"/>
      <c r="F864" s="108"/>
      <c r="G864" s="108"/>
      <c r="H864" s="109"/>
    </row>
    <row r="865" spans="2:8" ht="13.2">
      <c r="B865" s="108"/>
      <c r="C865" s="108"/>
      <c r="D865" s="108"/>
      <c r="E865" s="108"/>
      <c r="F865" s="108"/>
      <c r="G865" s="108"/>
      <c r="H865" s="109"/>
    </row>
    <row r="866" spans="2:8" ht="13.2">
      <c r="B866" s="108"/>
      <c r="C866" s="108"/>
      <c r="D866" s="108"/>
      <c r="E866" s="108"/>
      <c r="F866" s="108"/>
      <c r="G866" s="108"/>
      <c r="H866" s="109"/>
    </row>
    <row r="867" spans="2:8" ht="13.2">
      <c r="B867" s="108"/>
      <c r="C867" s="108"/>
      <c r="D867" s="108"/>
      <c r="E867" s="108"/>
      <c r="F867" s="108"/>
      <c r="G867" s="108"/>
      <c r="H867" s="109"/>
    </row>
    <row r="868" spans="2:8" ht="13.2">
      <c r="B868" s="108"/>
      <c r="C868" s="108"/>
      <c r="D868" s="108"/>
      <c r="E868" s="108"/>
      <c r="F868" s="108"/>
      <c r="G868" s="108"/>
      <c r="H868" s="109"/>
    </row>
    <row r="869" spans="2:8" ht="13.2">
      <c r="B869" s="108"/>
      <c r="C869" s="108"/>
      <c r="D869" s="108"/>
      <c r="E869" s="108"/>
      <c r="F869" s="108"/>
      <c r="G869" s="108"/>
      <c r="H869" s="109"/>
    </row>
    <row r="870" spans="2:8" ht="13.2">
      <c r="B870" s="108"/>
      <c r="C870" s="108"/>
      <c r="D870" s="108"/>
      <c r="E870" s="108"/>
      <c r="F870" s="108"/>
      <c r="G870" s="108"/>
      <c r="H870" s="109"/>
    </row>
    <row r="871" spans="2:8" ht="13.2">
      <c r="B871" s="108"/>
      <c r="C871" s="108"/>
      <c r="D871" s="108"/>
      <c r="E871" s="108"/>
      <c r="F871" s="108"/>
      <c r="G871" s="108"/>
      <c r="H871" s="109"/>
    </row>
    <row r="872" spans="2:8" ht="13.2">
      <c r="B872" s="108"/>
      <c r="C872" s="108"/>
      <c r="D872" s="108"/>
      <c r="E872" s="108"/>
      <c r="F872" s="108"/>
      <c r="G872" s="108"/>
      <c r="H872" s="109"/>
    </row>
    <row r="873" spans="2:8" ht="13.2">
      <c r="B873" s="108"/>
      <c r="C873" s="108"/>
      <c r="D873" s="108"/>
      <c r="E873" s="108"/>
      <c r="F873" s="108"/>
      <c r="G873" s="108"/>
      <c r="H873" s="109"/>
    </row>
    <row r="874" spans="2:8" ht="13.2">
      <c r="B874" s="108"/>
      <c r="C874" s="108"/>
      <c r="D874" s="108"/>
      <c r="E874" s="108"/>
      <c r="F874" s="108"/>
      <c r="G874" s="108"/>
      <c r="H874" s="109"/>
    </row>
    <row r="875" spans="2:8" ht="13.2">
      <c r="B875" s="108"/>
      <c r="C875" s="108"/>
      <c r="D875" s="108"/>
      <c r="E875" s="108"/>
      <c r="F875" s="108"/>
      <c r="G875" s="108"/>
      <c r="H875" s="109"/>
    </row>
    <row r="876" spans="2:8" ht="13.2">
      <c r="B876" s="108"/>
      <c r="C876" s="108"/>
      <c r="D876" s="108"/>
      <c r="E876" s="108"/>
      <c r="F876" s="108"/>
      <c r="G876" s="108"/>
      <c r="H876" s="109"/>
    </row>
    <row r="877" spans="2:8" ht="13.2">
      <c r="B877" s="108"/>
      <c r="C877" s="108"/>
      <c r="D877" s="108"/>
      <c r="E877" s="108"/>
      <c r="F877" s="108"/>
      <c r="G877" s="108"/>
      <c r="H877" s="109"/>
    </row>
    <row r="878" spans="2:8" ht="13.2">
      <c r="B878" s="108"/>
      <c r="C878" s="108"/>
      <c r="D878" s="108"/>
      <c r="E878" s="108"/>
      <c r="F878" s="108"/>
      <c r="G878" s="108"/>
      <c r="H878" s="109"/>
    </row>
    <row r="879" spans="2:8" ht="13.2">
      <c r="B879" s="108"/>
      <c r="C879" s="108"/>
      <c r="D879" s="108"/>
      <c r="E879" s="108"/>
      <c r="F879" s="108"/>
      <c r="G879" s="108"/>
      <c r="H879" s="109"/>
    </row>
    <row r="880" spans="2:8" ht="13.2">
      <c r="B880" s="108"/>
      <c r="C880" s="108"/>
      <c r="D880" s="108"/>
      <c r="E880" s="108"/>
      <c r="F880" s="108"/>
      <c r="G880" s="108"/>
      <c r="H880" s="109"/>
    </row>
    <row r="881" spans="2:8" ht="13.2">
      <c r="B881" s="108"/>
      <c r="C881" s="108"/>
      <c r="D881" s="108"/>
      <c r="E881" s="108"/>
      <c r="F881" s="108"/>
      <c r="G881" s="108"/>
      <c r="H881" s="109"/>
    </row>
    <row r="882" spans="2:8" ht="13.2">
      <c r="B882" s="108"/>
      <c r="C882" s="108"/>
      <c r="D882" s="108"/>
      <c r="E882" s="108"/>
      <c r="F882" s="108"/>
      <c r="G882" s="108"/>
      <c r="H882" s="109"/>
    </row>
    <row r="883" spans="2:8" ht="13.2">
      <c r="B883" s="108"/>
      <c r="C883" s="108"/>
      <c r="D883" s="108"/>
      <c r="E883" s="108"/>
      <c r="F883" s="108"/>
      <c r="G883" s="108"/>
      <c r="H883" s="109"/>
    </row>
    <row r="884" spans="2:8" ht="13.2">
      <c r="B884" s="108"/>
      <c r="C884" s="108"/>
      <c r="D884" s="108"/>
      <c r="E884" s="108"/>
      <c r="F884" s="108"/>
      <c r="G884" s="108"/>
      <c r="H884" s="109"/>
    </row>
    <row r="885" spans="2:8" ht="13.2">
      <c r="B885" s="108"/>
      <c r="C885" s="108"/>
      <c r="D885" s="108"/>
      <c r="E885" s="108"/>
      <c r="F885" s="108"/>
      <c r="G885" s="108"/>
      <c r="H885" s="109"/>
    </row>
    <row r="886" spans="2:8" ht="13.2">
      <c r="B886" s="108"/>
      <c r="C886" s="108"/>
      <c r="D886" s="108"/>
      <c r="E886" s="108"/>
      <c r="F886" s="108"/>
      <c r="G886" s="108"/>
      <c r="H886" s="109"/>
    </row>
    <row r="887" spans="2:8" ht="13.2">
      <c r="B887" s="108"/>
      <c r="C887" s="108"/>
      <c r="D887" s="108"/>
      <c r="E887" s="108"/>
      <c r="F887" s="108"/>
      <c r="G887" s="108"/>
      <c r="H887" s="109"/>
    </row>
    <row r="888" spans="2:8" ht="13.2">
      <c r="B888" s="108"/>
      <c r="C888" s="108"/>
      <c r="D888" s="108"/>
      <c r="E888" s="108"/>
      <c r="F888" s="108"/>
      <c r="G888" s="108"/>
      <c r="H888" s="109"/>
    </row>
    <row r="889" spans="2:8" ht="13.2">
      <c r="B889" s="108"/>
      <c r="C889" s="108"/>
      <c r="D889" s="108"/>
      <c r="E889" s="108"/>
      <c r="F889" s="108"/>
      <c r="G889" s="108"/>
      <c r="H889" s="109"/>
    </row>
    <row r="890" spans="2:8" ht="13.2">
      <c r="B890" s="108"/>
      <c r="C890" s="108"/>
      <c r="D890" s="108"/>
      <c r="E890" s="108"/>
      <c r="F890" s="108"/>
      <c r="G890" s="108"/>
      <c r="H890" s="109"/>
    </row>
    <row r="891" spans="2:8" ht="13.2">
      <c r="B891" s="108"/>
      <c r="C891" s="108"/>
      <c r="D891" s="108"/>
      <c r="E891" s="108"/>
      <c r="F891" s="108"/>
      <c r="G891" s="108"/>
      <c r="H891" s="109"/>
    </row>
    <row r="892" spans="2:8" ht="13.2">
      <c r="B892" s="108"/>
      <c r="C892" s="108"/>
      <c r="D892" s="108"/>
      <c r="E892" s="108"/>
      <c r="F892" s="108"/>
      <c r="G892" s="108"/>
      <c r="H892" s="109"/>
    </row>
    <row r="893" spans="2:8" ht="13.2">
      <c r="B893" s="108"/>
      <c r="C893" s="108"/>
      <c r="D893" s="108"/>
      <c r="E893" s="108"/>
      <c r="F893" s="108"/>
      <c r="G893" s="108"/>
      <c r="H893" s="109"/>
    </row>
    <row r="894" spans="2:8" ht="13.2">
      <c r="B894" s="108"/>
      <c r="C894" s="108"/>
      <c r="D894" s="108"/>
      <c r="E894" s="108"/>
      <c r="F894" s="108"/>
      <c r="G894" s="108"/>
      <c r="H894" s="109"/>
    </row>
    <row r="895" spans="2:8" ht="13.2">
      <c r="B895" s="108"/>
      <c r="C895" s="108"/>
      <c r="D895" s="108"/>
      <c r="E895" s="108"/>
      <c r="F895" s="108"/>
      <c r="G895" s="108"/>
      <c r="H895" s="109"/>
    </row>
    <row r="896" spans="2:8" ht="13.2">
      <c r="B896" s="108"/>
      <c r="C896" s="108"/>
      <c r="D896" s="108"/>
      <c r="E896" s="108"/>
      <c r="F896" s="108"/>
      <c r="G896" s="108"/>
      <c r="H896" s="109"/>
    </row>
    <row r="897" spans="2:8" ht="13.2">
      <c r="B897" s="108"/>
      <c r="C897" s="108"/>
      <c r="D897" s="108"/>
      <c r="E897" s="108"/>
      <c r="F897" s="108"/>
      <c r="G897" s="108"/>
      <c r="H897" s="109"/>
    </row>
    <row r="898" spans="2:8" ht="13.2">
      <c r="B898" s="108"/>
      <c r="C898" s="108"/>
      <c r="D898" s="108"/>
      <c r="E898" s="108"/>
      <c r="F898" s="108"/>
      <c r="G898" s="108"/>
      <c r="H898" s="109"/>
    </row>
    <row r="899" spans="2:8" ht="13.2">
      <c r="B899" s="108"/>
      <c r="C899" s="108"/>
      <c r="D899" s="108"/>
      <c r="E899" s="108"/>
      <c r="F899" s="108"/>
      <c r="G899" s="108"/>
      <c r="H899" s="109"/>
    </row>
    <row r="900" spans="2:8" ht="13.2">
      <c r="B900" s="108"/>
      <c r="C900" s="108"/>
      <c r="D900" s="108"/>
      <c r="E900" s="108"/>
      <c r="F900" s="108"/>
      <c r="G900" s="108"/>
      <c r="H900" s="109"/>
    </row>
    <row r="901" spans="2:8" ht="13.2">
      <c r="B901" s="108"/>
      <c r="C901" s="108"/>
      <c r="D901" s="108"/>
      <c r="E901" s="108"/>
      <c r="F901" s="108"/>
      <c r="G901" s="108"/>
      <c r="H901" s="109"/>
    </row>
    <row r="902" spans="2:8" ht="13.2">
      <c r="B902" s="108"/>
      <c r="C902" s="108"/>
      <c r="D902" s="108"/>
      <c r="E902" s="108"/>
      <c r="F902" s="108"/>
      <c r="G902" s="108"/>
      <c r="H902" s="109"/>
    </row>
    <row r="903" spans="2:8" ht="13.2">
      <c r="B903" s="108"/>
      <c r="C903" s="108"/>
      <c r="D903" s="108"/>
      <c r="E903" s="108"/>
      <c r="F903" s="108"/>
      <c r="G903" s="108"/>
      <c r="H903" s="109"/>
    </row>
    <row r="904" spans="2:8" ht="13.2">
      <c r="B904" s="108"/>
      <c r="C904" s="108"/>
      <c r="D904" s="108"/>
      <c r="E904" s="108"/>
      <c r="F904" s="108"/>
      <c r="G904" s="108"/>
      <c r="H904" s="109"/>
    </row>
    <row r="905" spans="2:8" ht="13.2">
      <c r="B905" s="108"/>
      <c r="C905" s="108"/>
      <c r="D905" s="108"/>
      <c r="E905" s="108"/>
      <c r="F905" s="108"/>
      <c r="G905" s="108"/>
      <c r="H905" s="109"/>
    </row>
    <row r="906" spans="2:8" ht="13.2">
      <c r="B906" s="108"/>
      <c r="C906" s="108"/>
      <c r="D906" s="108"/>
      <c r="E906" s="108"/>
      <c r="F906" s="108"/>
      <c r="G906" s="108"/>
      <c r="H906" s="109"/>
    </row>
    <row r="907" spans="2:8" ht="13.2">
      <c r="B907" s="108"/>
      <c r="C907" s="108"/>
      <c r="D907" s="108"/>
      <c r="E907" s="108"/>
      <c r="F907" s="108"/>
      <c r="G907" s="108"/>
      <c r="H907" s="109"/>
    </row>
    <row r="908" spans="2:8" ht="13.2">
      <c r="B908" s="108"/>
      <c r="C908" s="108"/>
      <c r="D908" s="108"/>
      <c r="E908" s="108"/>
      <c r="F908" s="108"/>
      <c r="G908" s="108"/>
      <c r="H908" s="109"/>
    </row>
    <row r="909" spans="2:8" ht="13.2">
      <c r="B909" s="108"/>
      <c r="C909" s="108"/>
      <c r="D909" s="108"/>
      <c r="E909" s="108"/>
      <c r="F909" s="108"/>
      <c r="G909" s="108"/>
      <c r="H909" s="109"/>
    </row>
    <row r="910" spans="2:8" ht="13.2">
      <c r="B910" s="108"/>
      <c r="C910" s="108"/>
      <c r="D910" s="108"/>
      <c r="E910" s="108"/>
      <c r="F910" s="108"/>
      <c r="G910" s="108"/>
      <c r="H910" s="109"/>
    </row>
    <row r="911" spans="2:8" ht="13.2">
      <c r="B911" s="108"/>
      <c r="C911" s="108"/>
      <c r="D911" s="108"/>
      <c r="E911" s="108"/>
      <c r="F911" s="108"/>
      <c r="G911" s="108"/>
      <c r="H911" s="109"/>
    </row>
    <row r="912" spans="2:8" ht="13.2">
      <c r="B912" s="108"/>
      <c r="C912" s="108"/>
      <c r="D912" s="108"/>
      <c r="E912" s="108"/>
      <c r="F912" s="108"/>
      <c r="G912" s="108"/>
      <c r="H912" s="109"/>
    </row>
    <row r="913" spans="2:8" ht="13.2">
      <c r="B913" s="108"/>
      <c r="C913" s="108"/>
      <c r="D913" s="108"/>
      <c r="E913" s="108"/>
      <c r="F913" s="108"/>
      <c r="G913" s="108"/>
      <c r="H913" s="109"/>
    </row>
    <row r="914" spans="2:8" ht="13.2">
      <c r="B914" s="108"/>
      <c r="C914" s="108"/>
      <c r="D914" s="108"/>
      <c r="E914" s="108"/>
      <c r="F914" s="108"/>
      <c r="G914" s="108"/>
      <c r="H914" s="109"/>
    </row>
    <row r="915" spans="2:8" ht="13.2">
      <c r="B915" s="108"/>
      <c r="C915" s="108"/>
      <c r="D915" s="108"/>
      <c r="E915" s="108"/>
      <c r="F915" s="108"/>
      <c r="G915" s="108"/>
      <c r="H915" s="109"/>
    </row>
    <row r="916" spans="2:8" ht="13.2">
      <c r="B916" s="108"/>
      <c r="C916" s="108"/>
      <c r="D916" s="108"/>
      <c r="E916" s="108"/>
      <c r="F916" s="108"/>
      <c r="G916" s="108"/>
      <c r="H916" s="109"/>
    </row>
    <row r="917" spans="2:8" ht="13.2">
      <c r="B917" s="108"/>
      <c r="C917" s="108"/>
      <c r="D917" s="108"/>
      <c r="E917" s="108"/>
      <c r="F917" s="108"/>
      <c r="G917" s="108"/>
      <c r="H917" s="109"/>
    </row>
    <row r="918" spans="2:8" ht="13.2">
      <c r="B918" s="108"/>
      <c r="C918" s="108"/>
      <c r="D918" s="108"/>
      <c r="E918" s="108"/>
      <c r="F918" s="108"/>
      <c r="G918" s="108"/>
      <c r="H918" s="109"/>
    </row>
    <row r="919" spans="2:8" ht="13.2">
      <c r="B919" s="108"/>
      <c r="C919" s="108"/>
      <c r="D919" s="108"/>
      <c r="E919" s="108"/>
      <c r="F919" s="108"/>
      <c r="G919" s="108"/>
      <c r="H919" s="109"/>
    </row>
    <row r="920" spans="2:8" ht="13.2">
      <c r="B920" s="108"/>
      <c r="C920" s="108"/>
      <c r="D920" s="108"/>
      <c r="E920" s="108"/>
      <c r="F920" s="108"/>
      <c r="G920" s="108"/>
      <c r="H920" s="109"/>
    </row>
    <row r="921" spans="2:8" ht="13.2">
      <c r="B921" s="108"/>
      <c r="C921" s="108"/>
      <c r="D921" s="108"/>
      <c r="E921" s="108"/>
      <c r="F921" s="108"/>
      <c r="G921" s="108"/>
      <c r="H921" s="109"/>
    </row>
    <row r="922" spans="2:8" ht="13.2">
      <c r="B922" s="108"/>
      <c r="C922" s="108"/>
      <c r="D922" s="108"/>
      <c r="E922" s="108"/>
      <c r="F922" s="108"/>
      <c r="G922" s="108"/>
      <c r="H922" s="109"/>
    </row>
    <row r="923" spans="2:8" ht="13.2">
      <c r="B923" s="108"/>
      <c r="C923" s="108"/>
      <c r="D923" s="108"/>
      <c r="E923" s="108"/>
      <c r="F923" s="108"/>
      <c r="G923" s="108"/>
      <c r="H923" s="109"/>
    </row>
    <row r="924" spans="2:8" ht="13.2">
      <c r="B924" s="108"/>
      <c r="C924" s="108"/>
      <c r="D924" s="108"/>
      <c r="E924" s="108"/>
      <c r="F924" s="108"/>
      <c r="G924" s="108"/>
      <c r="H924" s="109"/>
    </row>
    <row r="925" spans="2:8" ht="13.2">
      <c r="B925" s="108"/>
      <c r="C925" s="108"/>
      <c r="D925" s="108"/>
      <c r="E925" s="108"/>
      <c r="F925" s="108"/>
      <c r="G925" s="108"/>
      <c r="H925" s="109"/>
    </row>
    <row r="926" spans="2:8" ht="13.2">
      <c r="B926" s="108"/>
      <c r="C926" s="108"/>
      <c r="D926" s="108"/>
      <c r="E926" s="108"/>
      <c r="F926" s="108"/>
      <c r="G926" s="108"/>
      <c r="H926" s="109"/>
    </row>
    <row r="927" spans="2:8" ht="13.2">
      <c r="B927" s="108"/>
      <c r="C927" s="108"/>
      <c r="D927" s="108"/>
      <c r="E927" s="108"/>
      <c r="F927" s="108"/>
      <c r="G927" s="108"/>
      <c r="H927" s="109"/>
    </row>
    <row r="928" spans="2:8" ht="13.2">
      <c r="B928" s="108"/>
      <c r="C928" s="108"/>
      <c r="D928" s="108"/>
      <c r="E928" s="108"/>
      <c r="F928" s="108"/>
      <c r="G928" s="108"/>
      <c r="H928" s="109"/>
    </row>
    <row r="929" spans="2:8" ht="13.2">
      <c r="B929" s="108"/>
      <c r="C929" s="108"/>
      <c r="D929" s="108"/>
      <c r="E929" s="108"/>
      <c r="F929" s="108"/>
      <c r="G929" s="108"/>
      <c r="H929" s="109"/>
    </row>
    <row r="930" spans="2:8" ht="13.2">
      <c r="B930" s="108"/>
      <c r="C930" s="108"/>
      <c r="D930" s="108"/>
      <c r="E930" s="108"/>
      <c r="F930" s="108"/>
      <c r="G930" s="108"/>
      <c r="H930" s="109"/>
    </row>
    <row r="931" spans="2:8" ht="13.2">
      <c r="B931" s="108"/>
      <c r="C931" s="108"/>
      <c r="D931" s="108"/>
      <c r="E931" s="108"/>
      <c r="F931" s="108"/>
      <c r="G931" s="108"/>
      <c r="H931" s="109"/>
    </row>
    <row r="932" spans="2:8" ht="13.2">
      <c r="B932" s="108"/>
      <c r="C932" s="108"/>
      <c r="D932" s="108"/>
      <c r="E932" s="108"/>
      <c r="F932" s="108"/>
      <c r="G932" s="108"/>
      <c r="H932" s="109"/>
    </row>
    <row r="933" spans="2:8" ht="13.2">
      <c r="B933" s="108"/>
      <c r="C933" s="108"/>
      <c r="D933" s="108"/>
      <c r="E933" s="108"/>
      <c r="F933" s="108"/>
      <c r="G933" s="108"/>
      <c r="H933" s="109"/>
    </row>
    <row r="934" spans="2:8" ht="13.2">
      <c r="B934" s="108"/>
      <c r="C934" s="108"/>
      <c r="D934" s="108"/>
      <c r="E934" s="108"/>
      <c r="F934" s="108"/>
      <c r="G934" s="108"/>
      <c r="H934" s="109"/>
    </row>
    <row r="935" spans="2:8" ht="13.2">
      <c r="B935" s="108"/>
      <c r="C935" s="108"/>
      <c r="D935" s="108"/>
      <c r="E935" s="108"/>
      <c r="F935" s="108"/>
      <c r="G935" s="108"/>
      <c r="H935" s="109"/>
    </row>
    <row r="936" spans="2:8" ht="13.2">
      <c r="B936" s="108"/>
      <c r="C936" s="108"/>
      <c r="D936" s="108"/>
      <c r="E936" s="108"/>
      <c r="F936" s="108"/>
      <c r="G936" s="108"/>
      <c r="H936" s="109"/>
    </row>
    <row r="937" spans="2:8" ht="13.2">
      <c r="B937" s="108"/>
      <c r="C937" s="108"/>
      <c r="D937" s="108"/>
      <c r="E937" s="108"/>
      <c r="F937" s="108"/>
      <c r="G937" s="108"/>
      <c r="H937" s="109"/>
    </row>
    <row r="938" spans="2:8" ht="13.2">
      <c r="B938" s="108"/>
      <c r="C938" s="108"/>
      <c r="D938" s="108"/>
      <c r="E938" s="108"/>
      <c r="F938" s="108"/>
      <c r="G938" s="108"/>
      <c r="H938" s="109"/>
    </row>
    <row r="939" spans="2:8" ht="13.2">
      <c r="B939" s="108"/>
      <c r="C939" s="108"/>
      <c r="D939" s="108"/>
      <c r="E939" s="108"/>
      <c r="F939" s="108"/>
      <c r="G939" s="108"/>
      <c r="H939" s="109"/>
    </row>
    <row r="940" spans="2:8" ht="13.2">
      <c r="B940" s="108"/>
      <c r="C940" s="108"/>
      <c r="D940" s="108"/>
      <c r="E940" s="108"/>
      <c r="F940" s="108"/>
      <c r="G940" s="108"/>
      <c r="H940" s="109"/>
    </row>
    <row r="941" spans="2:8" ht="13.2">
      <c r="B941" s="108"/>
      <c r="C941" s="108"/>
      <c r="D941" s="108"/>
      <c r="E941" s="108"/>
      <c r="F941" s="108"/>
      <c r="G941" s="108"/>
      <c r="H941" s="109"/>
    </row>
    <row r="942" spans="2:8" ht="13.2">
      <c r="B942" s="108"/>
      <c r="C942" s="108"/>
      <c r="D942" s="108"/>
      <c r="E942" s="108"/>
      <c r="F942" s="108"/>
      <c r="G942" s="108"/>
      <c r="H942" s="109"/>
    </row>
    <row r="943" spans="2:8" ht="13.2">
      <c r="B943" s="108"/>
      <c r="C943" s="108"/>
      <c r="D943" s="108"/>
      <c r="E943" s="108"/>
      <c r="F943" s="108"/>
      <c r="G943" s="108"/>
      <c r="H943" s="109"/>
    </row>
    <row r="944" spans="2:8" ht="13.2">
      <c r="B944" s="108"/>
      <c r="C944" s="108"/>
      <c r="D944" s="108"/>
      <c r="E944" s="108"/>
      <c r="F944" s="108"/>
      <c r="G944" s="108"/>
      <c r="H944" s="109"/>
    </row>
    <row r="945" spans="2:8" ht="13.2">
      <c r="B945" s="108"/>
      <c r="C945" s="108"/>
      <c r="D945" s="108"/>
      <c r="E945" s="108"/>
      <c r="F945" s="108"/>
      <c r="G945" s="108"/>
      <c r="H945" s="109"/>
    </row>
    <row r="946" spans="2:8" ht="13.2">
      <c r="B946" s="108"/>
      <c r="C946" s="108"/>
      <c r="D946" s="108"/>
      <c r="E946" s="108"/>
      <c r="F946" s="108"/>
      <c r="G946" s="108"/>
      <c r="H946" s="109"/>
    </row>
    <row r="947" spans="2:8" ht="13.2">
      <c r="B947" s="108"/>
      <c r="C947" s="108"/>
      <c r="D947" s="108"/>
      <c r="E947" s="108"/>
      <c r="F947" s="108"/>
      <c r="G947" s="108"/>
      <c r="H947" s="109"/>
    </row>
    <row r="948" spans="2:8" ht="13.2">
      <c r="B948" s="108"/>
      <c r="C948" s="108"/>
      <c r="D948" s="108"/>
      <c r="E948" s="108"/>
      <c r="F948" s="108"/>
      <c r="G948" s="108"/>
      <c r="H948" s="109"/>
    </row>
    <row r="949" spans="2:8" ht="13.2">
      <c r="B949" s="108"/>
      <c r="C949" s="108"/>
      <c r="D949" s="108"/>
      <c r="E949" s="108"/>
      <c r="F949" s="108"/>
      <c r="G949" s="108"/>
      <c r="H949" s="109"/>
    </row>
    <row r="950" spans="2:8" ht="13.2">
      <c r="B950" s="108"/>
      <c r="C950" s="108"/>
      <c r="D950" s="108"/>
      <c r="E950" s="108"/>
      <c r="F950" s="108"/>
      <c r="G950" s="108"/>
      <c r="H950" s="109"/>
    </row>
    <row r="951" spans="2:8" ht="13.2">
      <c r="B951" s="108"/>
      <c r="C951" s="108"/>
      <c r="D951" s="108"/>
      <c r="E951" s="108"/>
      <c r="F951" s="108"/>
      <c r="G951" s="108"/>
      <c r="H951" s="109"/>
    </row>
    <row r="952" spans="2:8" ht="13.2">
      <c r="B952" s="108"/>
      <c r="C952" s="108"/>
      <c r="D952" s="108"/>
      <c r="E952" s="108"/>
      <c r="F952" s="108"/>
      <c r="G952" s="108"/>
      <c r="H952" s="109"/>
    </row>
    <row r="953" spans="2:8" ht="13.2">
      <c r="B953" s="108"/>
      <c r="C953" s="108"/>
      <c r="D953" s="108"/>
      <c r="E953" s="108"/>
      <c r="F953" s="108"/>
      <c r="G953" s="108"/>
      <c r="H953" s="109"/>
    </row>
    <row r="954" spans="2:8" ht="13.2">
      <c r="B954" s="108"/>
      <c r="C954" s="108"/>
      <c r="D954" s="108"/>
      <c r="E954" s="108"/>
      <c r="F954" s="108"/>
      <c r="G954" s="108"/>
      <c r="H954" s="109"/>
    </row>
    <row r="955" spans="2:8" ht="13.2">
      <c r="B955" s="108"/>
      <c r="C955" s="108"/>
      <c r="D955" s="108"/>
      <c r="E955" s="108"/>
      <c r="F955" s="108"/>
      <c r="G955" s="108"/>
      <c r="H955" s="109"/>
    </row>
    <row r="956" spans="2:8" ht="13.2">
      <c r="B956" s="108"/>
      <c r="C956" s="108"/>
      <c r="D956" s="108"/>
      <c r="E956" s="108"/>
      <c r="F956" s="108"/>
      <c r="G956" s="108"/>
      <c r="H956" s="109"/>
    </row>
    <row r="957" spans="2:8" ht="13.2">
      <c r="B957" s="108"/>
      <c r="C957" s="108"/>
      <c r="D957" s="108"/>
      <c r="E957" s="108"/>
      <c r="F957" s="108"/>
      <c r="G957" s="108"/>
      <c r="H957" s="109"/>
    </row>
    <row r="958" spans="2:8" ht="13.2">
      <c r="B958" s="108"/>
      <c r="C958" s="108"/>
      <c r="D958" s="108"/>
      <c r="E958" s="108"/>
      <c r="F958" s="108"/>
      <c r="G958" s="108"/>
      <c r="H958" s="109"/>
    </row>
    <row r="959" spans="2:8" ht="13.2">
      <c r="B959" s="108"/>
      <c r="C959" s="108"/>
      <c r="D959" s="108"/>
      <c r="E959" s="108"/>
      <c r="F959" s="108"/>
      <c r="G959" s="108"/>
      <c r="H959" s="109"/>
    </row>
    <row r="960" spans="2:8" ht="13.2">
      <c r="B960" s="108"/>
      <c r="C960" s="108"/>
      <c r="D960" s="108"/>
      <c r="E960" s="108"/>
      <c r="F960" s="108"/>
      <c r="G960" s="108"/>
      <c r="H960" s="109"/>
    </row>
    <row r="961" spans="2:8" ht="13.2">
      <c r="B961" s="108"/>
      <c r="C961" s="108"/>
      <c r="D961" s="108"/>
      <c r="E961" s="108"/>
      <c r="F961" s="108"/>
      <c r="G961" s="108"/>
      <c r="H961" s="109"/>
    </row>
    <row r="962" spans="2:8" ht="13.2">
      <c r="B962" s="108"/>
      <c r="C962" s="108"/>
      <c r="D962" s="108"/>
      <c r="E962" s="108"/>
      <c r="F962" s="108"/>
      <c r="G962" s="108"/>
      <c r="H962" s="109"/>
    </row>
    <row r="963" spans="2:8" ht="13.2">
      <c r="B963" s="108"/>
      <c r="C963" s="108"/>
      <c r="D963" s="108"/>
      <c r="E963" s="108"/>
      <c r="F963" s="108"/>
      <c r="G963" s="108"/>
      <c r="H963" s="109"/>
    </row>
    <row r="964" spans="2:8" ht="13.2">
      <c r="B964" s="108"/>
      <c r="C964" s="108"/>
      <c r="D964" s="108"/>
      <c r="E964" s="108"/>
      <c r="F964" s="108"/>
      <c r="G964" s="108"/>
      <c r="H964" s="109"/>
    </row>
    <row r="965" spans="2:8" ht="13.2">
      <c r="B965" s="108"/>
      <c r="C965" s="108"/>
      <c r="D965" s="108"/>
      <c r="E965" s="108"/>
      <c r="F965" s="108"/>
      <c r="G965" s="108"/>
      <c r="H965" s="109"/>
    </row>
    <row r="966" spans="2:8" ht="13.2">
      <c r="B966" s="108"/>
      <c r="C966" s="108"/>
      <c r="D966" s="108"/>
      <c r="E966" s="108"/>
      <c r="F966" s="108"/>
      <c r="G966" s="108"/>
      <c r="H966" s="109"/>
    </row>
    <row r="967" spans="2:8" ht="13.2">
      <c r="B967" s="108"/>
      <c r="C967" s="108"/>
      <c r="D967" s="108"/>
      <c r="E967" s="108"/>
      <c r="F967" s="108"/>
      <c r="G967" s="108"/>
      <c r="H967" s="109"/>
    </row>
    <row r="968" spans="2:8" ht="13.2">
      <c r="B968" s="108"/>
      <c r="C968" s="108"/>
      <c r="D968" s="108"/>
      <c r="E968" s="108"/>
      <c r="F968" s="108"/>
      <c r="G968" s="108"/>
      <c r="H968" s="109"/>
    </row>
    <row r="969" spans="2:8" ht="13.2">
      <c r="B969" s="108"/>
      <c r="C969" s="108"/>
      <c r="D969" s="108"/>
      <c r="E969" s="108"/>
      <c r="F969" s="108"/>
      <c r="G969" s="108"/>
      <c r="H969" s="109"/>
    </row>
    <row r="970" spans="2:8" ht="13.2">
      <c r="B970" s="108"/>
      <c r="C970" s="108"/>
      <c r="D970" s="108"/>
      <c r="E970" s="108"/>
      <c r="F970" s="108"/>
      <c r="G970" s="108"/>
      <c r="H970" s="109"/>
    </row>
    <row r="971" spans="2:8" ht="13.2">
      <c r="B971" s="108"/>
      <c r="C971" s="108"/>
      <c r="D971" s="108"/>
      <c r="E971" s="108"/>
      <c r="F971" s="108"/>
      <c r="G971" s="108"/>
      <c r="H971" s="109"/>
    </row>
    <row r="972" spans="2:8" ht="13.2">
      <c r="B972" s="108"/>
      <c r="C972" s="108"/>
      <c r="D972" s="108"/>
      <c r="E972" s="108"/>
      <c r="F972" s="108"/>
      <c r="G972" s="108"/>
      <c r="H972" s="109"/>
    </row>
    <row r="973" spans="2:8" ht="13.2">
      <c r="B973" s="108"/>
      <c r="C973" s="108"/>
      <c r="D973" s="108"/>
      <c r="E973" s="108"/>
      <c r="F973" s="108"/>
      <c r="G973" s="108"/>
      <c r="H973" s="109"/>
    </row>
    <row r="974" spans="2:8" ht="13.2">
      <c r="B974" s="108"/>
      <c r="C974" s="108"/>
      <c r="D974" s="108"/>
      <c r="E974" s="108"/>
      <c r="F974" s="108"/>
      <c r="G974" s="108"/>
      <c r="H974" s="109"/>
    </row>
    <row r="975" spans="2:8" ht="13.2">
      <c r="B975" s="108"/>
      <c r="C975" s="108"/>
      <c r="D975" s="108"/>
      <c r="E975" s="108"/>
      <c r="F975" s="108"/>
      <c r="G975" s="108"/>
      <c r="H975" s="109"/>
    </row>
    <row r="976" spans="2:8" ht="13.2">
      <c r="B976" s="108"/>
      <c r="C976" s="108"/>
      <c r="D976" s="108"/>
      <c r="E976" s="108"/>
      <c r="F976" s="108"/>
      <c r="G976" s="108"/>
      <c r="H976" s="109"/>
    </row>
    <row r="977" spans="2:8" ht="13.2">
      <c r="B977" s="108"/>
      <c r="C977" s="108"/>
      <c r="D977" s="108"/>
      <c r="E977" s="108"/>
      <c r="F977" s="108"/>
      <c r="G977" s="108"/>
      <c r="H977" s="109"/>
    </row>
    <row r="978" spans="2:8" ht="13.2">
      <c r="B978" s="108"/>
      <c r="C978" s="108"/>
      <c r="D978" s="108"/>
      <c r="E978" s="108"/>
      <c r="F978" s="108"/>
      <c r="G978" s="108"/>
      <c r="H978" s="109"/>
    </row>
    <row r="979" spans="2:8" ht="13.2">
      <c r="B979" s="108"/>
      <c r="C979" s="108"/>
      <c r="D979" s="108"/>
      <c r="E979" s="108"/>
      <c r="F979" s="108"/>
      <c r="G979" s="108"/>
      <c r="H979" s="109"/>
    </row>
    <row r="980" spans="2:8" ht="13.2">
      <c r="B980" s="108"/>
      <c r="C980" s="108"/>
      <c r="D980" s="108"/>
      <c r="E980" s="108"/>
      <c r="F980" s="108"/>
      <c r="G980" s="108"/>
      <c r="H980" s="109"/>
    </row>
    <row r="981" spans="2:8" ht="13.2">
      <c r="B981" s="108"/>
      <c r="C981" s="108"/>
      <c r="D981" s="108"/>
      <c r="E981" s="108"/>
      <c r="F981" s="108"/>
      <c r="G981" s="108"/>
      <c r="H981" s="109"/>
    </row>
    <row r="982" spans="2:8" ht="13.2">
      <c r="B982" s="108"/>
      <c r="C982" s="108"/>
      <c r="D982" s="108"/>
      <c r="E982" s="108"/>
      <c r="F982" s="108"/>
      <c r="G982" s="108"/>
      <c r="H982" s="109"/>
    </row>
    <row r="983" spans="2:8" ht="13.2">
      <c r="B983" s="108"/>
      <c r="C983" s="108"/>
      <c r="D983" s="108"/>
      <c r="E983" s="108"/>
      <c r="F983" s="108"/>
      <c r="G983" s="108"/>
      <c r="H983" s="109"/>
    </row>
    <row r="984" spans="2:8" ht="13.2">
      <c r="B984" s="108"/>
      <c r="C984" s="108"/>
      <c r="D984" s="108"/>
      <c r="E984" s="108"/>
      <c r="F984" s="108"/>
      <c r="G984" s="108"/>
      <c r="H984" s="109"/>
    </row>
    <row r="985" spans="2:8" ht="13.2">
      <c r="B985" s="108"/>
      <c r="C985" s="108"/>
      <c r="D985" s="108"/>
      <c r="E985" s="108"/>
      <c r="F985" s="108"/>
      <c r="G985" s="108"/>
      <c r="H985" s="109"/>
    </row>
    <row r="986" spans="2:8" ht="13.2">
      <c r="B986" s="108"/>
      <c r="C986" s="108"/>
      <c r="D986" s="108"/>
      <c r="E986" s="108"/>
      <c r="F986" s="108"/>
      <c r="G986" s="108"/>
      <c r="H986" s="109"/>
    </row>
    <row r="987" spans="2:8" ht="13.2">
      <c r="B987" s="108"/>
      <c r="C987" s="108"/>
      <c r="D987" s="108"/>
      <c r="E987" s="108"/>
      <c r="F987" s="108"/>
      <c r="G987" s="108"/>
      <c r="H987" s="109"/>
    </row>
    <row r="988" spans="2:8" ht="13.2">
      <c r="B988" s="108"/>
      <c r="C988" s="108"/>
      <c r="D988" s="108"/>
      <c r="E988" s="108"/>
      <c r="F988" s="108"/>
      <c r="G988" s="108"/>
      <c r="H988" s="109"/>
    </row>
    <row r="989" spans="2:8" ht="13.2">
      <c r="B989" s="108"/>
      <c r="C989" s="108"/>
      <c r="D989" s="108"/>
      <c r="E989" s="108"/>
      <c r="F989" s="108"/>
      <c r="G989" s="108"/>
      <c r="H989" s="109"/>
    </row>
    <row r="990" spans="2:8" ht="13.2">
      <c r="B990" s="108"/>
      <c r="C990" s="108"/>
      <c r="D990" s="108"/>
      <c r="E990" s="108"/>
      <c r="F990" s="108"/>
      <c r="G990" s="108"/>
      <c r="H990" s="109"/>
    </row>
    <row r="991" spans="2:8" ht="13.2">
      <c r="B991" s="108"/>
      <c r="C991" s="108"/>
      <c r="D991" s="108"/>
      <c r="E991" s="108"/>
      <c r="F991" s="108"/>
      <c r="G991" s="108"/>
      <c r="H991" s="109"/>
    </row>
    <row r="992" spans="2:8" ht="13.2">
      <c r="B992" s="108"/>
      <c r="C992" s="108"/>
      <c r="D992" s="108"/>
      <c r="E992" s="108"/>
      <c r="F992" s="108"/>
      <c r="G992" s="108"/>
      <c r="H992" s="109"/>
    </row>
    <row r="993" spans="2:8" ht="13.2">
      <c r="B993" s="108"/>
      <c r="C993" s="108"/>
      <c r="D993" s="108"/>
      <c r="E993" s="108"/>
      <c r="F993" s="108"/>
      <c r="G993" s="108"/>
      <c r="H993" s="109"/>
    </row>
    <row r="994" spans="2:8" ht="13.2">
      <c r="B994" s="108"/>
      <c r="C994" s="108"/>
      <c r="D994" s="108"/>
      <c r="E994" s="108"/>
      <c r="F994" s="108"/>
      <c r="G994" s="108"/>
      <c r="H994" s="109"/>
    </row>
    <row r="995" spans="2:8" ht="13.2">
      <c r="B995" s="108"/>
      <c r="C995" s="108"/>
      <c r="D995" s="108"/>
      <c r="E995" s="108"/>
      <c r="F995" s="108"/>
      <c r="G995" s="108"/>
      <c r="H995" s="109"/>
    </row>
    <row r="996" spans="2:8" ht="13.2">
      <c r="B996" s="108"/>
      <c r="C996" s="108"/>
      <c r="D996" s="108"/>
      <c r="E996" s="108"/>
      <c r="F996" s="108"/>
      <c r="G996" s="108"/>
      <c r="H996" s="109"/>
    </row>
    <row r="997" spans="2:8" ht="13.2">
      <c r="B997" s="108"/>
      <c r="C997" s="108"/>
      <c r="D997" s="108"/>
      <c r="E997" s="108"/>
      <c r="F997" s="108"/>
      <c r="G997" s="108"/>
      <c r="H997" s="109"/>
    </row>
    <row r="998" spans="2:8" ht="13.2">
      <c r="B998" s="108"/>
      <c r="C998" s="108"/>
      <c r="D998" s="108"/>
      <c r="E998" s="108"/>
      <c r="F998" s="108"/>
      <c r="G998" s="108"/>
      <c r="H998" s="109"/>
    </row>
    <row r="999" spans="2:8" ht="13.2">
      <c r="B999" s="108"/>
      <c r="C999" s="108"/>
      <c r="D999" s="108"/>
      <c r="E999" s="108"/>
      <c r="F999" s="108"/>
      <c r="G999" s="108"/>
      <c r="H999" s="109"/>
    </row>
    <row r="1000" spans="2:8" ht="13.2">
      <c r="B1000" s="108"/>
      <c r="C1000" s="108"/>
      <c r="D1000" s="108"/>
      <c r="E1000" s="108"/>
      <c r="F1000" s="108"/>
      <c r="G1000" s="108"/>
      <c r="H1000" s="109"/>
    </row>
  </sheetData>
  <autoFilter ref="A1:H37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kpi dược sĩ</vt:lpstr>
      <vt:lpstr>kpi nhà thuốc</vt:lpstr>
      <vt:lpstr>Dự án T8</vt:lpstr>
      <vt:lpstr>Hot Bill 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Nguyễn</cp:lastModifiedBy>
  <dcterms:modified xsi:type="dcterms:W3CDTF">2026-09-03T07:29:01Z</dcterms:modified>
</cp:coreProperties>
</file>